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ThisWorkbook" hidePivotFieldList="1"/>
  <mc:AlternateContent xmlns:mc="http://schemas.openxmlformats.org/markup-compatibility/2006">
    <mc:Choice Requires="x15">
      <x15ac:absPath xmlns:x15ac="http://schemas.microsoft.com/office/spreadsheetml/2010/11/ac" url="C:\Users\Cecilia\Downloads\MATJ投资版图梳理\"/>
    </mc:Choice>
  </mc:AlternateContent>
  <xr:revisionPtr revIDLastSave="0" documentId="13_ncr:1_{CCA3D56A-BD19-44BB-AC14-0AC2E3780EB1}" xr6:coauthVersionLast="47" xr6:coauthVersionMax="47" xr10:uidLastSave="{00000000-0000-0000-0000-000000000000}"/>
  <bookViews>
    <workbookView xWindow="-110" yWindow="-110" windowWidth="22620" windowHeight="13500" xr2:uid="{00000000-000D-0000-FFFF-FFFF00000000}"/>
  </bookViews>
  <sheets>
    <sheet name="阿里系投资情况概览" sheetId="5" r:id="rId1"/>
    <sheet name="阿里投资_2020-2023" sheetId="3" r:id="rId2"/>
    <sheet name="阿里投资_Full" sheetId="1" r:id="rId3"/>
    <sheet name="阿里系其他主体投资" sheetId="2" r:id="rId4"/>
  </sheets>
  <definedNames>
    <definedName name="_xlnm._FilterDatabase" localSheetId="1" hidden="1">'阿里投资_2020-2023'!$B$1:$X$1519</definedName>
    <definedName name="_xlnm._FilterDatabase" localSheetId="2" hidden="1">阿里投资_Full!$B$1:$X$1519</definedName>
    <definedName name="_xlnm._FilterDatabase" localSheetId="0" hidden="1">阿里系投资情况概览!$X$2:$X$62</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03" i="2" l="1"/>
  <c r="D1180" i="2"/>
  <c r="D1181" i="2" s="1"/>
  <c r="D1182" i="2" s="1"/>
  <c r="D1183" i="2" s="1"/>
  <c r="D1184" i="2" s="1"/>
  <c r="D1185" i="2" s="1"/>
  <c r="D1186" i="2" s="1"/>
  <c r="D1187" i="2" s="1"/>
  <c r="D1188" i="2" s="1"/>
  <c r="D1189" i="2" s="1"/>
  <c r="D1190" i="2" s="1"/>
  <c r="D1191" i="2" s="1"/>
  <c r="D1192" i="2" s="1"/>
  <c r="D1193" i="2" s="1"/>
  <c r="D1194" i="2" s="1"/>
  <c r="D1195" i="2" s="1"/>
  <c r="D1196" i="2" s="1"/>
  <c r="D1197" i="2" s="1"/>
  <c r="D1198" i="2" s="1"/>
  <c r="D1199" i="2" s="1"/>
  <c r="D1200" i="2" s="1"/>
  <c r="D1201" i="2" s="1"/>
  <c r="D1178" i="2"/>
  <c r="D1176" i="2"/>
  <c r="D1171" i="2"/>
  <c r="D1172" i="2" s="1"/>
  <c r="D1173" i="2" s="1"/>
  <c r="D1174" i="2" s="1"/>
  <c r="D1168" i="2"/>
  <c r="D1164" i="2"/>
  <c r="D1161" i="2"/>
  <c r="D1162" i="2" s="1"/>
  <c r="D1157" i="2"/>
  <c r="D1158" i="2" s="1"/>
  <c r="D1159" i="2" s="1"/>
  <c r="D1155" i="2"/>
  <c r="D1152" i="2"/>
  <c r="D1153" i="2" s="1"/>
  <c r="D1139" i="2"/>
  <c r="D1140" i="2" s="1"/>
  <c r="D1141" i="2" s="1"/>
  <c r="D1142" i="2" s="1"/>
  <c r="D1143" i="2" s="1"/>
  <c r="D1144" i="2" s="1"/>
  <c r="D1145" i="2" s="1"/>
  <c r="D1146" i="2" s="1"/>
  <c r="D1147" i="2" s="1"/>
  <c r="D1148" i="2" s="1"/>
  <c r="D1149" i="2" s="1"/>
  <c r="D1150" i="2" s="1"/>
  <c r="D1134" i="2"/>
  <c r="D1135" i="2" s="1"/>
  <c r="D1136" i="2" s="1"/>
  <c r="D1137" i="2" s="1"/>
  <c r="D1128" i="2"/>
  <c r="D1129" i="2" s="1"/>
  <c r="D1130" i="2" s="1"/>
  <c r="D1131" i="2" s="1"/>
  <c r="D1132" i="2" s="1"/>
  <c r="D1125" i="2"/>
  <c r="D1126" i="2" s="1"/>
  <c r="D1119" i="2"/>
  <c r="D1120" i="2" s="1"/>
  <c r="D1121" i="2" s="1"/>
  <c r="D1122" i="2" s="1"/>
  <c r="D1123" i="2" s="1"/>
  <c r="D1116" i="2"/>
  <c r="D1117" i="2" s="1"/>
  <c r="D1109" i="2"/>
  <c r="D1110" i="2" s="1"/>
  <c r="D1111" i="2" s="1"/>
  <c r="D1112" i="2" s="1"/>
  <c r="D1113" i="2" s="1"/>
  <c r="D1114" i="2" s="1"/>
  <c r="D1106" i="2"/>
  <c r="D1107" i="2" s="1"/>
  <c r="D1101" i="2"/>
  <c r="D1102" i="2" s="1"/>
  <c r="D1103" i="2" s="1"/>
  <c r="D1104" i="2" s="1"/>
  <c r="D1097" i="2"/>
  <c r="D1094" i="2"/>
  <c r="D1089" i="2"/>
  <c r="D1090" i="2" s="1"/>
  <c r="D1091" i="2" s="1"/>
  <c r="D1092" i="2" s="1"/>
  <c r="D1086" i="2"/>
  <c r="D1087" i="2" s="1"/>
  <c r="D1084" i="2"/>
  <c r="D1080" i="2"/>
  <c r="D1081" i="2" s="1"/>
  <c r="D1082" i="2" s="1"/>
  <c r="D1073" i="2"/>
  <c r="D1074" i="2" s="1"/>
  <c r="D1075" i="2" s="1"/>
  <c r="D1076" i="2" s="1"/>
  <c r="D1077" i="2" s="1"/>
  <c r="D1078" i="2" s="1"/>
  <c r="D1070" i="2"/>
  <c r="D1069" i="2"/>
  <c r="D1065" i="2"/>
  <c r="D1066" i="2" s="1"/>
  <c r="D1067" i="2" s="1"/>
  <c r="D1061" i="2"/>
  <c r="D1062" i="2" s="1"/>
  <c r="D1063" i="2" s="1"/>
  <c r="D1055" i="2"/>
  <c r="D1056" i="2" s="1"/>
  <c r="D1057" i="2" s="1"/>
  <c r="D1058" i="2" s="1"/>
  <c r="D1059" i="2" s="1"/>
  <c r="D1050" i="2"/>
  <c r="D1051" i="2" s="1"/>
  <c r="D1052" i="2" s="1"/>
  <c r="D1053" i="2" s="1"/>
  <c r="D1045" i="2"/>
  <c r="D1046" i="2" s="1"/>
  <c r="D1047" i="2" s="1"/>
  <c r="D1048" i="2" s="1"/>
  <c r="D1042" i="2"/>
  <c r="D1043" i="2" s="1"/>
  <c r="D1040" i="2"/>
  <c r="D1035" i="2"/>
  <c r="D1031" i="2"/>
  <c r="D1032" i="2" s="1"/>
  <c r="D1027" i="2"/>
  <c r="D1020" i="2"/>
  <c r="D1021" i="2" s="1"/>
  <c r="D1022" i="2" s="1"/>
  <c r="D1023" i="2" s="1"/>
  <c r="D1015" i="2"/>
  <c r="D1016" i="2" s="1"/>
  <c r="D1017" i="2" s="1"/>
  <c r="D1018" i="2" s="1"/>
  <c r="D1010" i="2"/>
  <c r="D1011" i="2" s="1"/>
  <c r="D1012" i="2" s="1"/>
  <c r="D1013" i="2" s="1"/>
  <c r="D1002" i="2"/>
  <c r="D1003" i="2" s="1"/>
  <c r="D1004" i="2" s="1"/>
  <c r="D1005" i="2" s="1"/>
  <c r="D1006" i="2" s="1"/>
  <c r="D1007" i="2" s="1"/>
  <c r="D1008" i="2" s="1"/>
  <c r="D992" i="2"/>
  <c r="D993" i="2" s="1"/>
  <c r="D994" i="2" s="1"/>
  <c r="D995" i="2" s="1"/>
  <c r="D996" i="2" s="1"/>
  <c r="D997" i="2" s="1"/>
  <c r="D998" i="2" s="1"/>
  <c r="D999" i="2" s="1"/>
  <c r="D1000" i="2" s="1"/>
  <c r="D981" i="2"/>
  <c r="D982" i="2" s="1"/>
  <c r="D983" i="2" s="1"/>
  <c r="D984" i="2" s="1"/>
  <c r="D985" i="2" s="1"/>
  <c r="D986" i="2" s="1"/>
  <c r="D987" i="2" s="1"/>
  <c r="D988" i="2" s="1"/>
  <c r="D989" i="2" s="1"/>
  <c r="D990" i="2" s="1"/>
  <c r="D975" i="2"/>
  <c r="D976" i="2" s="1"/>
  <c r="D977" i="2" s="1"/>
  <c r="D978" i="2" s="1"/>
  <c r="D979" i="2" s="1"/>
  <c r="D970" i="2"/>
  <c r="D971" i="2" s="1"/>
  <c r="D972" i="2" s="1"/>
  <c r="D973" i="2" s="1"/>
  <c r="D967" i="2"/>
  <c r="D968" i="2" s="1"/>
  <c r="D961" i="2"/>
  <c r="D962" i="2" s="1"/>
  <c r="D963" i="2" s="1"/>
  <c r="D964" i="2" s="1"/>
  <c r="D965" i="2" s="1"/>
  <c r="D956" i="2"/>
  <c r="D957" i="2" s="1"/>
  <c r="D958" i="2" s="1"/>
  <c r="D959" i="2" s="1"/>
  <c r="D950" i="2"/>
  <c r="D951" i="2" s="1"/>
  <c r="D952" i="2" s="1"/>
  <c r="D953" i="2" s="1"/>
  <c r="D954" i="2" s="1"/>
  <c r="D945" i="2"/>
  <c r="D946" i="2" s="1"/>
  <c r="D947" i="2" s="1"/>
  <c r="D948" i="2" s="1"/>
  <c r="D937" i="2"/>
  <c r="D938" i="2" s="1"/>
  <c r="D939" i="2" s="1"/>
  <c r="D940" i="2" s="1"/>
  <c r="D941" i="2" s="1"/>
  <c r="D942" i="2" s="1"/>
  <c r="D943" i="2" s="1"/>
  <c r="D935" i="2"/>
  <c r="D933" i="2"/>
  <c r="D929" i="2"/>
  <c r="D924" i="2"/>
  <c r="D925" i="2" s="1"/>
  <c r="D926" i="2" s="1"/>
  <c r="D921" i="2"/>
  <c r="D922" i="2" s="1"/>
  <c r="D916" i="2"/>
  <c r="D917" i="2" s="1"/>
  <c r="D913" i="2"/>
  <c r="D914" i="2" s="1"/>
  <c r="D910" i="2"/>
  <c r="D911" i="2" s="1"/>
  <c r="D908" i="2"/>
  <c r="D904" i="2"/>
  <c r="D900" i="2"/>
  <c r="D901" i="2" s="1"/>
  <c r="D902" i="2" s="1"/>
  <c r="D895" i="2"/>
  <c r="D896" i="2" s="1"/>
  <c r="D897" i="2" s="1"/>
  <c r="D898" i="2" s="1"/>
  <c r="D884" i="2"/>
  <c r="D885" i="2" s="1"/>
  <c r="D886" i="2" s="1"/>
  <c r="D887" i="2" s="1"/>
  <c r="D888" i="2" s="1"/>
  <c r="D889" i="2" s="1"/>
  <c r="D890" i="2" s="1"/>
  <c r="D891" i="2" s="1"/>
  <c r="D892" i="2" s="1"/>
  <c r="D893" i="2" s="1"/>
  <c r="D880" i="2"/>
  <c r="D881" i="2" s="1"/>
  <c r="D882" i="2" s="1"/>
  <c r="D877" i="2"/>
  <c r="D875" i="2"/>
  <c r="D870" i="2"/>
  <c r="D871" i="2" s="1"/>
  <c r="D872" i="2" s="1"/>
  <c r="D873" i="2" s="1"/>
  <c r="D867" i="2"/>
  <c r="D863" i="2"/>
  <c r="D858" i="2"/>
  <c r="D859" i="2" s="1"/>
  <c r="D853" i="2"/>
  <c r="D854" i="2" s="1"/>
  <c r="D855" i="2" s="1"/>
  <c r="D856" i="2" s="1"/>
  <c r="D849" i="2"/>
  <c r="D850" i="2" s="1"/>
  <c r="D844" i="2"/>
  <c r="D845" i="2" s="1"/>
  <c r="D846" i="2" s="1"/>
  <c r="D838" i="2"/>
  <c r="D839" i="2" s="1"/>
  <c r="D840" i="2" s="1"/>
  <c r="D841" i="2" s="1"/>
  <c r="D835" i="2"/>
  <c r="D836" i="2" s="1"/>
  <c r="D832" i="2"/>
  <c r="D833" i="2" s="1"/>
  <c r="D827" i="2"/>
  <c r="D828" i="2" s="1"/>
  <c r="D829" i="2" s="1"/>
  <c r="D821" i="2"/>
  <c r="D822" i="2" s="1"/>
  <c r="D823" i="2" s="1"/>
  <c r="D824" i="2" s="1"/>
  <c r="D817" i="2"/>
  <c r="D818" i="2" s="1"/>
  <c r="D819" i="2" s="1"/>
  <c r="D813" i="2"/>
  <c r="D814" i="2" s="1"/>
  <c r="D809" i="2"/>
  <c r="D810" i="2" s="1"/>
  <c r="D811" i="2" s="1"/>
  <c r="D807" i="2"/>
  <c r="D798" i="2"/>
  <c r="D799" i="2" s="1"/>
  <c r="D800" i="2" s="1"/>
  <c r="D801" i="2" s="1"/>
  <c r="D802" i="2" s="1"/>
  <c r="D803" i="2" s="1"/>
  <c r="D804" i="2" s="1"/>
  <c r="D805" i="2" s="1"/>
  <c r="D795" i="2"/>
  <c r="D796" i="2" s="1"/>
  <c r="D793" i="2"/>
  <c r="D791" i="2"/>
  <c r="D779" i="2"/>
  <c r="D780" i="2" s="1"/>
  <c r="D781" i="2" s="1"/>
  <c r="D782" i="2" s="1"/>
  <c r="D783" i="2" s="1"/>
  <c r="D784" i="2" s="1"/>
  <c r="D785" i="2" s="1"/>
  <c r="D786" i="2" s="1"/>
  <c r="D787" i="2" s="1"/>
  <c r="D788" i="2" s="1"/>
  <c r="D789" i="2" s="1"/>
  <c r="D777" i="2"/>
  <c r="D773" i="2"/>
  <c r="D774" i="2" s="1"/>
  <c r="D769" i="2"/>
  <c r="D770" i="2" s="1"/>
  <c r="D762" i="2"/>
  <c r="D763" i="2" s="1"/>
  <c r="D764" i="2" s="1"/>
  <c r="D765" i="2" s="1"/>
  <c r="D766" i="2" s="1"/>
  <c r="D767" i="2" s="1"/>
  <c r="D754" i="2"/>
  <c r="D755" i="2" s="1"/>
  <c r="D756" i="2" s="1"/>
  <c r="D757" i="2" s="1"/>
  <c r="D758" i="2" s="1"/>
  <c r="D759" i="2" s="1"/>
  <c r="D760" i="2" s="1"/>
  <c r="D747" i="2"/>
  <c r="D748" i="2" s="1"/>
  <c r="D749" i="2" s="1"/>
  <c r="D750" i="2" s="1"/>
  <c r="D751" i="2" s="1"/>
  <c r="D744" i="2"/>
  <c r="D745" i="2" s="1"/>
  <c r="D742" i="2"/>
  <c r="D739" i="2"/>
  <c r="D740" i="2" s="1"/>
  <c r="D736" i="2"/>
  <c r="D737" i="2" s="1"/>
  <c r="D733" i="2"/>
  <c r="D734" i="2" s="1"/>
  <c r="D728" i="2"/>
  <c r="D729" i="2" s="1"/>
  <c r="D730" i="2" s="1"/>
  <c r="D731" i="2" s="1"/>
  <c r="D725" i="2"/>
  <c r="D726" i="2" s="1"/>
  <c r="D720" i="2"/>
  <c r="D716" i="2"/>
  <c r="D717" i="2" s="1"/>
  <c r="D714" i="2"/>
  <c r="D711" i="2"/>
  <c r="D706" i="2"/>
  <c r="D707" i="2" s="1"/>
  <c r="D708" i="2" s="1"/>
  <c r="D709" i="2" s="1"/>
  <c r="D704" i="2"/>
  <c r="D702" i="2"/>
  <c r="D701" i="2"/>
  <c r="D695" i="2"/>
  <c r="D696" i="2" s="1"/>
  <c r="D697" i="2" s="1"/>
  <c r="D698" i="2" s="1"/>
  <c r="D699" i="2" s="1"/>
  <c r="D690" i="2"/>
  <c r="D691" i="2" s="1"/>
  <c r="D692" i="2" s="1"/>
  <c r="D693" i="2" s="1"/>
  <c r="D687" i="2"/>
  <c r="D685" i="2"/>
  <c r="D679" i="2"/>
  <c r="D680" i="2" s="1"/>
  <c r="D681" i="2" s="1"/>
  <c r="D682" i="2" s="1"/>
  <c r="D683" i="2" s="1"/>
  <c r="D673" i="2"/>
  <c r="D674" i="2" s="1"/>
  <c r="D675" i="2" s="1"/>
  <c r="D676" i="2" s="1"/>
  <c r="D677" i="2" s="1"/>
  <c r="D663" i="2"/>
  <c r="D664" i="2" s="1"/>
  <c r="D665" i="2" s="1"/>
  <c r="D666" i="2" s="1"/>
  <c r="D667" i="2" s="1"/>
  <c r="D668" i="2" s="1"/>
  <c r="D669" i="2" s="1"/>
  <c r="D670" i="2" s="1"/>
  <c r="D671" i="2" s="1"/>
  <c r="D658" i="2"/>
  <c r="D659" i="2" s="1"/>
  <c r="D656" i="2"/>
  <c r="D654" i="2"/>
  <c r="D652" i="2"/>
  <c r="D647" i="2"/>
  <c r="D648" i="2" s="1"/>
  <c r="D649" i="2" s="1"/>
  <c r="D643" i="2"/>
  <c r="D644" i="2" s="1"/>
  <c r="D645" i="2" s="1"/>
  <c r="D641" i="2"/>
  <c r="D638" i="2"/>
  <c r="D636" i="2"/>
  <c r="D631" i="2"/>
  <c r="D628" i="2"/>
  <c r="D629" i="2" s="1"/>
  <c r="D624" i="2"/>
  <c r="D625" i="2" s="1"/>
  <c r="D626" i="2" s="1"/>
  <c r="D620" i="2"/>
  <c r="D621" i="2" s="1"/>
  <c r="D622" i="2" s="1"/>
  <c r="D614" i="2"/>
  <c r="D611" i="2"/>
  <c r="D608" i="2"/>
  <c r="D605" i="2"/>
  <c r="D606" i="2" s="1"/>
  <c r="D597" i="2"/>
  <c r="D598" i="2" s="1"/>
  <c r="D591" i="2"/>
  <c r="D592" i="2" s="1"/>
  <c r="D593" i="2" s="1"/>
  <c r="D594" i="2" s="1"/>
  <c r="D595" i="2" s="1"/>
  <c r="D586" i="2"/>
  <c r="D587" i="2" s="1"/>
  <c r="D588" i="2" s="1"/>
  <c r="D583" i="2"/>
  <c r="D579" i="2"/>
  <c r="D577" i="2"/>
  <c r="D572" i="2"/>
  <c r="D573" i="2" s="1"/>
  <c r="D574" i="2" s="1"/>
  <c r="D566" i="2"/>
  <c r="D567" i="2" s="1"/>
  <c r="D568" i="2" s="1"/>
  <c r="D569" i="2" s="1"/>
  <c r="D570" i="2" s="1"/>
  <c r="D559" i="2"/>
  <c r="D560" i="2" s="1"/>
  <c r="D561" i="2" s="1"/>
  <c r="D562" i="2" s="1"/>
  <c r="D563" i="2" s="1"/>
  <c r="D554" i="2"/>
  <c r="D555" i="2" s="1"/>
  <c r="D556" i="2" s="1"/>
  <c r="D557" i="2" s="1"/>
  <c r="D552" i="2"/>
  <c r="D549" i="2"/>
  <c r="D550" i="2" s="1"/>
  <c r="D547" i="2"/>
  <c r="D541" i="2"/>
  <c r="D539" i="2"/>
  <c r="D535" i="2"/>
  <c r="D536" i="2" s="1"/>
  <c r="D537" i="2" s="1"/>
  <c r="D526" i="2"/>
  <c r="D527" i="2" s="1"/>
  <c r="D528" i="2" s="1"/>
  <c r="D529" i="2" s="1"/>
  <c r="D522" i="2"/>
  <c r="D517" i="2"/>
  <c r="D518" i="2" s="1"/>
  <c r="D519" i="2" s="1"/>
  <c r="D520" i="2" s="1"/>
  <c r="D513" i="2"/>
  <c r="D514" i="2" s="1"/>
  <c r="D510" i="2"/>
  <c r="D511" i="2" s="1"/>
  <c r="D506" i="2"/>
  <c r="D507" i="2" s="1"/>
  <c r="D508" i="2" s="1"/>
  <c r="D499" i="2"/>
  <c r="D500" i="2" s="1"/>
  <c r="D501" i="2" s="1"/>
  <c r="D502" i="2" s="1"/>
  <c r="D503" i="2" s="1"/>
  <c r="D496" i="2"/>
  <c r="D497" i="2" s="1"/>
  <c r="D490" i="2"/>
  <c r="D491" i="2" s="1"/>
  <c r="D492" i="2" s="1"/>
  <c r="D493" i="2" s="1"/>
  <c r="D494" i="2" s="1"/>
  <c r="D487" i="2"/>
  <c r="D488" i="2" s="1"/>
  <c r="D474" i="2"/>
  <c r="D475" i="2" s="1"/>
  <c r="D476" i="2" s="1"/>
  <c r="D477" i="2" s="1"/>
  <c r="D478" i="2" s="1"/>
  <c r="D479" i="2" s="1"/>
  <c r="D480" i="2" s="1"/>
  <c r="D481" i="2" s="1"/>
  <c r="D482" i="2" s="1"/>
  <c r="D483" i="2" s="1"/>
  <c r="D484" i="2" s="1"/>
  <c r="D485" i="2" s="1"/>
  <c r="D471" i="2"/>
  <c r="D472" i="2" s="1"/>
  <c r="D466" i="2"/>
  <c r="D467" i="2" s="1"/>
  <c r="D468" i="2" s="1"/>
  <c r="D460" i="2"/>
  <c r="D461" i="2" s="1"/>
  <c r="D462" i="2" s="1"/>
  <c r="D463" i="2" s="1"/>
  <c r="D458" i="2"/>
  <c r="D456" i="2"/>
  <c r="D450" i="2"/>
  <c r="D451" i="2" s="1"/>
  <c r="D452" i="2" s="1"/>
  <c r="D453" i="2" s="1"/>
  <c r="D454" i="2" s="1"/>
  <c r="D448" i="2"/>
  <c r="D447" i="2"/>
  <c r="D445" i="2"/>
  <c r="D443" i="2"/>
  <c r="D439" i="2"/>
  <c r="D440" i="2" s="1"/>
  <c r="D441" i="2" s="1"/>
  <c r="D436" i="2"/>
  <c r="D437" i="2" s="1"/>
  <c r="D434" i="2"/>
  <c r="D428" i="2"/>
  <c r="D429" i="2" s="1"/>
  <c r="D430" i="2" s="1"/>
  <c r="D424" i="2"/>
  <c r="D425" i="2" s="1"/>
  <c r="D426" i="2" s="1"/>
  <c r="D422" i="2"/>
  <c r="D417" i="2"/>
  <c r="D418" i="2" s="1"/>
  <c r="D419" i="2" s="1"/>
  <c r="D420" i="2" s="1"/>
  <c r="D413" i="2"/>
  <c r="D414" i="2" s="1"/>
  <c r="D415" i="2" s="1"/>
  <c r="D409" i="2"/>
  <c r="D410" i="2" s="1"/>
  <c r="D411" i="2" s="1"/>
  <c r="D398" i="2"/>
  <c r="D399" i="2" s="1"/>
  <c r="D400" i="2" s="1"/>
  <c r="D401" i="2" s="1"/>
  <c r="D402" i="2" s="1"/>
  <c r="D403" i="2" s="1"/>
  <c r="D404" i="2" s="1"/>
  <c r="D405" i="2" s="1"/>
  <c r="D406" i="2" s="1"/>
  <c r="D407" i="2" s="1"/>
  <c r="D395" i="2"/>
  <c r="D392" i="2"/>
  <c r="D386" i="2"/>
  <c r="D387" i="2" s="1"/>
  <c r="D388" i="2" s="1"/>
  <c r="D389" i="2" s="1"/>
  <c r="D390" i="2" s="1"/>
  <c r="D384" i="2"/>
  <c r="D380" i="2"/>
  <c r="D381" i="2" s="1"/>
  <c r="D382" i="2" s="1"/>
  <c r="D377" i="2"/>
  <c r="D378" i="2" s="1"/>
  <c r="D369" i="2"/>
  <c r="D370" i="2" s="1"/>
  <c r="D371" i="2" s="1"/>
  <c r="D372" i="2" s="1"/>
  <c r="D373" i="2" s="1"/>
  <c r="D374" i="2" s="1"/>
  <c r="D375" i="2" s="1"/>
  <c r="D366" i="2"/>
  <c r="D367" i="2" s="1"/>
  <c r="D362" i="2"/>
  <c r="D363" i="2" s="1"/>
  <c r="D364" i="2" s="1"/>
  <c r="D358" i="2"/>
  <c r="D359" i="2" s="1"/>
  <c r="D360" i="2" s="1"/>
  <c r="D356" i="2"/>
  <c r="D354" i="2"/>
  <c r="D349" i="2"/>
  <c r="D350" i="2" s="1"/>
  <c r="D351" i="2" s="1"/>
  <c r="D343" i="2"/>
  <c r="D344" i="2" s="1"/>
  <c r="D345" i="2" s="1"/>
  <c r="D346" i="2" s="1"/>
  <c r="D342" i="2"/>
  <c r="D338" i="2"/>
  <c r="D339" i="2" s="1"/>
  <c r="D340" i="2" s="1"/>
  <c r="D332" i="2"/>
  <c r="D333" i="2" s="1"/>
  <c r="D334" i="2" s="1"/>
  <c r="D335" i="2" s="1"/>
  <c r="D336" i="2" s="1"/>
  <c r="D328" i="2"/>
  <c r="D329" i="2" s="1"/>
  <c r="D330" i="2" s="1"/>
  <c r="D322" i="2"/>
  <c r="D323" i="2" s="1"/>
  <c r="D324" i="2" s="1"/>
  <c r="D325" i="2" s="1"/>
  <c r="D318" i="2"/>
  <c r="D319" i="2" s="1"/>
  <c r="D320" i="2" s="1"/>
  <c r="D306" i="2"/>
  <c r="D307" i="2" s="1"/>
  <c r="D308" i="2" s="1"/>
  <c r="D309" i="2" s="1"/>
  <c r="D310" i="2" s="1"/>
  <c r="D311" i="2" s="1"/>
  <c r="D312" i="2" s="1"/>
  <c r="D313" i="2" s="1"/>
  <c r="D314" i="2" s="1"/>
  <c r="D315" i="2" s="1"/>
  <c r="D316" i="2" s="1"/>
  <c r="D303" i="2"/>
  <c r="D304" i="2" s="1"/>
  <c r="D300" i="2"/>
  <c r="D301" i="2" s="1"/>
  <c r="D292" i="2"/>
  <c r="D293" i="2" s="1"/>
  <c r="D294" i="2" s="1"/>
  <c r="D295" i="2" s="1"/>
  <c r="D296" i="2" s="1"/>
  <c r="D297" i="2" s="1"/>
  <c r="D286" i="2"/>
  <c r="D287" i="2" s="1"/>
  <c r="D288" i="2" s="1"/>
  <c r="D289" i="2" s="1"/>
  <c r="D290" i="2" s="1"/>
  <c r="D278" i="2"/>
  <c r="D279" i="2" s="1"/>
  <c r="D280" i="2" s="1"/>
  <c r="D281" i="2" s="1"/>
  <c r="D282" i="2" s="1"/>
  <c r="D283" i="2" s="1"/>
  <c r="D284" i="2" s="1"/>
  <c r="D276" i="2"/>
  <c r="D270" i="2"/>
  <c r="D271" i="2" s="1"/>
  <c r="D272" i="2" s="1"/>
  <c r="D273" i="2" s="1"/>
  <c r="D259" i="2"/>
  <c r="D260" i="2" s="1"/>
  <c r="D261" i="2" s="1"/>
  <c r="D262" i="2" s="1"/>
  <c r="D263" i="2" s="1"/>
  <c r="D264" i="2" s="1"/>
  <c r="D265" i="2" s="1"/>
  <c r="D254" i="2"/>
  <c r="D255" i="2" s="1"/>
  <c r="D256" i="2" s="1"/>
  <c r="D257" i="2" s="1"/>
  <c r="D250" i="2"/>
  <c r="D251" i="2" s="1"/>
  <c r="D252" i="2" s="1"/>
  <c r="D243" i="2"/>
  <c r="D244" i="2" s="1"/>
  <c r="D245" i="2" s="1"/>
  <c r="D246" i="2" s="1"/>
  <c r="D247" i="2" s="1"/>
  <c r="D248" i="2" s="1"/>
  <c r="D239" i="2"/>
  <c r="D240" i="2" s="1"/>
  <c r="D241" i="2" s="1"/>
  <c r="D234" i="2"/>
  <c r="D235" i="2" s="1"/>
  <c r="D236" i="2" s="1"/>
  <c r="D237" i="2" s="1"/>
  <c r="D231" i="2"/>
  <c r="D232" i="2" s="1"/>
  <c r="D228" i="2"/>
  <c r="D229" i="2" s="1"/>
  <c r="D216" i="2"/>
  <c r="D217" i="2" s="1"/>
  <c r="D218" i="2" s="1"/>
  <c r="D219" i="2" s="1"/>
  <c r="D220" i="2" s="1"/>
  <c r="D221" i="2" s="1"/>
  <c r="D222" i="2" s="1"/>
  <c r="D223" i="2" s="1"/>
  <c r="D224" i="2" s="1"/>
  <c r="D225" i="2" s="1"/>
  <c r="D226" i="2" s="1"/>
  <c r="D211" i="2"/>
  <c r="D212" i="2" s="1"/>
  <c r="D213" i="2" s="1"/>
  <c r="D214" i="2" s="1"/>
  <c r="D207" i="2"/>
  <c r="D203" i="2"/>
  <c r="D204" i="2" s="1"/>
  <c r="D205" i="2" s="1"/>
  <c r="D201" i="2"/>
  <c r="D181" i="2"/>
  <c r="D182" i="2" s="1"/>
  <c r="D183" i="2" s="1"/>
  <c r="D184" i="2" s="1"/>
  <c r="D185" i="2" s="1"/>
  <c r="D186" i="2" s="1"/>
  <c r="D187" i="2" s="1"/>
  <c r="D188" i="2" s="1"/>
  <c r="D189" i="2" s="1"/>
  <c r="D190" i="2" s="1"/>
  <c r="D191" i="2" s="1"/>
  <c r="D192" i="2" s="1"/>
  <c r="D193" i="2" s="1"/>
  <c r="D194" i="2" s="1"/>
  <c r="D195" i="2" s="1"/>
  <c r="D196" i="2" s="1"/>
  <c r="D197" i="2" s="1"/>
  <c r="D198" i="2" s="1"/>
  <c r="D199" i="2" s="1"/>
  <c r="D177" i="2"/>
  <c r="D178" i="2" s="1"/>
  <c r="D173" i="2"/>
  <c r="D174" i="2" s="1"/>
  <c r="D175" i="2" s="1"/>
  <c r="D171" i="2"/>
  <c r="D164" i="2"/>
  <c r="D165" i="2" s="1"/>
  <c r="D166" i="2" s="1"/>
  <c r="D167" i="2" s="1"/>
  <c r="D168" i="2" s="1"/>
  <c r="D169" i="2" s="1"/>
  <c r="D156" i="2"/>
  <c r="D157" i="2" s="1"/>
  <c r="D158" i="2" s="1"/>
  <c r="D159" i="2" s="1"/>
  <c r="D160" i="2" s="1"/>
  <c r="D161" i="2" s="1"/>
  <c r="D162" i="2" s="1"/>
  <c r="D147" i="2"/>
  <c r="D148" i="2" s="1"/>
  <c r="D149" i="2" s="1"/>
  <c r="D150" i="2" s="1"/>
  <c r="D151" i="2" s="1"/>
  <c r="D152" i="2" s="1"/>
  <c r="D153" i="2" s="1"/>
  <c r="D154" i="2" s="1"/>
  <c r="D145" i="2"/>
  <c r="D140" i="2"/>
  <c r="D141" i="2" s="1"/>
  <c r="D142" i="2" s="1"/>
  <c r="D143" i="2" s="1"/>
  <c r="D135" i="2"/>
  <c r="D136" i="2" s="1"/>
  <c r="D137" i="2" s="1"/>
  <c r="D138" i="2" s="1"/>
  <c r="D132" i="2"/>
  <c r="D133" i="2" s="1"/>
  <c r="D127" i="2"/>
  <c r="D128" i="2" s="1"/>
  <c r="D122" i="2"/>
  <c r="D123" i="2" s="1"/>
  <c r="D124" i="2" s="1"/>
  <c r="D125" i="2" s="1"/>
  <c r="D119" i="2"/>
  <c r="D120" i="2" s="1"/>
  <c r="D115" i="2"/>
  <c r="D116" i="2" s="1"/>
  <c r="D117" i="2" s="1"/>
  <c r="D112" i="2"/>
  <c r="D113" i="2" s="1"/>
  <c r="D108" i="2"/>
  <c r="D109" i="2" s="1"/>
  <c r="D110" i="2" s="1"/>
  <c r="D100" i="2"/>
  <c r="D101" i="2" s="1"/>
  <c r="D102" i="2" s="1"/>
  <c r="D103" i="2" s="1"/>
  <c r="D104" i="2" s="1"/>
  <c r="D105" i="2" s="1"/>
  <c r="D106" i="2" s="1"/>
  <c r="D94" i="2"/>
  <c r="D95" i="2" s="1"/>
  <c r="D96" i="2" s="1"/>
  <c r="D97" i="2" s="1"/>
  <c r="D98" i="2" s="1"/>
  <c r="D83" i="2"/>
  <c r="D84" i="2" s="1"/>
  <c r="D85" i="2" s="1"/>
  <c r="D86" i="2" s="1"/>
  <c r="D87" i="2" s="1"/>
  <c r="D88" i="2" s="1"/>
  <c r="D89" i="2" s="1"/>
  <c r="D90" i="2" s="1"/>
  <c r="D91" i="2" s="1"/>
  <c r="D92" i="2" s="1"/>
  <c r="D81" i="2"/>
  <c r="D74" i="2"/>
  <c r="D75" i="2" s="1"/>
  <c r="D76" i="2" s="1"/>
  <c r="D77" i="2" s="1"/>
  <c r="D78" i="2" s="1"/>
  <c r="D79" i="2" s="1"/>
  <c r="D69" i="2"/>
  <c r="D70" i="2" s="1"/>
  <c r="D71" i="2" s="1"/>
  <c r="D72" i="2" s="1"/>
  <c r="D67" i="2"/>
  <c r="D68" i="2" s="1"/>
  <c r="D59" i="2"/>
  <c r="D60" i="2" s="1"/>
  <c r="D61" i="2" s="1"/>
  <c r="D62" i="2" s="1"/>
  <c r="D63" i="2" s="1"/>
  <c r="D64" i="2" s="1"/>
  <c r="D65" i="2" s="1"/>
  <c r="D53" i="2"/>
  <c r="D54" i="2" s="1"/>
  <c r="D55" i="2" s="1"/>
  <c r="D56" i="2" s="1"/>
  <c r="D57" i="2" s="1"/>
  <c r="D49" i="2"/>
  <c r="D50" i="2" s="1"/>
  <c r="D51" i="2" s="1"/>
  <c r="D46" i="2"/>
  <c r="D47" i="2" s="1"/>
  <c r="D40" i="2"/>
  <c r="D41" i="2" s="1"/>
  <c r="D42" i="2" s="1"/>
  <c r="D43" i="2" s="1"/>
  <c r="D44" i="2" s="1"/>
  <c r="D36" i="2"/>
  <c r="D37" i="2" s="1"/>
  <c r="D38" i="2" s="1"/>
  <c r="D14" i="2"/>
  <c r="D15" i="2" s="1"/>
  <c r="D16" i="2" s="1"/>
  <c r="D17" i="2" s="1"/>
  <c r="D18" i="2" s="1"/>
  <c r="D19" i="2" s="1"/>
  <c r="D20" i="2" s="1"/>
  <c r="D21" i="2" s="1"/>
  <c r="D22" i="2" s="1"/>
  <c r="D23" i="2" s="1"/>
  <c r="D24" i="2" s="1"/>
  <c r="D25" i="2" s="1"/>
  <c r="D26" i="2" s="1"/>
  <c r="D27" i="2" s="1"/>
  <c r="D28" i="2" s="1"/>
  <c r="D29" i="2" s="1"/>
  <c r="D30" i="2" s="1"/>
  <c r="D31" i="2" s="1"/>
  <c r="D32" i="2" s="1"/>
  <c r="D33" i="2" s="1"/>
  <c r="D34" i="2" s="1"/>
  <c r="D3" i="2"/>
  <c r="D4" i="2" s="1"/>
  <c r="D5" i="2" s="1"/>
  <c r="D6" i="2" s="1"/>
  <c r="D7" i="2" s="1"/>
  <c r="D8" i="2" s="1"/>
  <c r="D9" i="2" s="1"/>
  <c r="D10" i="2" s="1"/>
  <c r="D11" i="2" s="1"/>
  <c r="D12" i="2" s="1"/>
  <c r="K1517" i="1"/>
  <c r="K1518" i="1" s="1"/>
  <c r="D1517" i="1"/>
  <c r="D1518" i="1" s="1"/>
  <c r="K1515" i="1"/>
  <c r="D1515" i="1"/>
  <c r="K1511" i="1"/>
  <c r="K1512" i="1" s="1"/>
  <c r="K1513" i="1" s="1"/>
  <c r="D1511" i="1"/>
  <c r="D1512" i="1" s="1"/>
  <c r="D1513" i="1" s="1"/>
  <c r="K1509" i="1"/>
  <c r="D1509" i="1"/>
  <c r="K1506" i="1"/>
  <c r="D1506" i="1"/>
  <c r="K1502" i="1"/>
  <c r="D1502" i="1"/>
  <c r="K1495" i="1"/>
  <c r="K1496" i="1" s="1"/>
  <c r="K1497" i="1" s="1"/>
  <c r="D1495" i="1"/>
  <c r="D1496" i="1" s="1"/>
  <c r="D1497" i="1" s="1"/>
  <c r="K1491" i="1"/>
  <c r="K1492" i="1" s="1"/>
  <c r="K1493" i="1" s="1"/>
  <c r="D1491" i="1"/>
  <c r="D1492" i="1" s="1"/>
  <c r="D1493" i="1" s="1"/>
  <c r="K1485" i="1"/>
  <c r="K1486" i="1" s="1"/>
  <c r="K1487" i="1" s="1"/>
  <c r="D1485" i="1"/>
  <c r="D1486" i="1" s="1"/>
  <c r="D1487" i="1" s="1"/>
  <c r="K1481" i="1"/>
  <c r="K1482" i="1" s="1"/>
  <c r="K1483" i="1" s="1"/>
  <c r="D1481" i="1"/>
  <c r="D1482" i="1" s="1"/>
  <c r="D1483" i="1" s="1"/>
  <c r="K1478" i="1"/>
  <c r="K1479" i="1" s="1"/>
  <c r="D1478" i="1"/>
  <c r="D1479" i="1" s="1"/>
  <c r="K1475" i="1"/>
  <c r="K1476" i="1" s="1"/>
  <c r="D1475" i="1"/>
  <c r="D1476" i="1" s="1"/>
  <c r="K1469" i="1"/>
  <c r="K1470" i="1" s="1"/>
  <c r="K1471" i="1" s="1"/>
  <c r="K1472" i="1" s="1"/>
  <c r="D1469" i="1"/>
  <c r="D1470" i="1" s="1"/>
  <c r="D1471" i="1" s="1"/>
  <c r="D1472" i="1" s="1"/>
  <c r="K1462" i="1"/>
  <c r="K1463" i="1" s="1"/>
  <c r="K1464" i="1" s="1"/>
  <c r="K1465" i="1" s="1"/>
  <c r="K1466" i="1" s="1"/>
  <c r="D1462" i="1"/>
  <c r="D1463" i="1" s="1"/>
  <c r="D1464" i="1" s="1"/>
  <c r="D1465" i="1" s="1"/>
  <c r="D1466" i="1" s="1"/>
  <c r="K1457" i="1"/>
  <c r="K1458" i="1" s="1"/>
  <c r="K1459" i="1" s="1"/>
  <c r="K1460" i="1" s="1"/>
  <c r="D1457" i="1"/>
  <c r="D1458" i="1" s="1"/>
  <c r="D1459" i="1" s="1"/>
  <c r="D1460" i="1" s="1"/>
  <c r="K1451" i="1"/>
  <c r="K1452" i="1" s="1"/>
  <c r="K1453" i="1" s="1"/>
  <c r="K1454" i="1" s="1"/>
  <c r="D1451" i="1"/>
  <c r="D1452" i="1" s="1"/>
  <c r="D1453" i="1" s="1"/>
  <c r="D1454" i="1" s="1"/>
  <c r="K1449" i="1"/>
  <c r="D1449" i="1"/>
  <c r="K1446" i="1"/>
  <c r="D1446" i="1"/>
  <c r="K1444" i="1"/>
  <c r="D1444" i="1"/>
  <c r="K1441" i="1"/>
  <c r="K1442" i="1" s="1"/>
  <c r="D1441" i="1"/>
  <c r="D1442" i="1" s="1"/>
  <c r="K1439" i="1"/>
  <c r="D1439" i="1"/>
  <c r="K1436" i="1"/>
  <c r="K1437" i="1" s="1"/>
  <c r="D1436" i="1"/>
  <c r="D1437" i="1" s="1"/>
  <c r="K1431" i="1"/>
  <c r="K1432" i="1" s="1"/>
  <c r="D1431" i="1"/>
  <c r="D1432" i="1" s="1"/>
  <c r="K1428" i="1"/>
  <c r="K1429" i="1" s="1"/>
  <c r="D1428" i="1"/>
  <c r="D1429" i="1" s="1"/>
  <c r="K1424" i="1"/>
  <c r="K1425" i="1" s="1"/>
  <c r="K1426" i="1" s="1"/>
  <c r="D1424" i="1"/>
  <c r="D1425" i="1" s="1"/>
  <c r="D1426" i="1" s="1"/>
  <c r="K1422" i="1"/>
  <c r="D1422" i="1"/>
  <c r="K1418" i="1"/>
  <c r="K1419" i="1" s="1"/>
  <c r="D1418" i="1"/>
  <c r="D1419" i="1" s="1"/>
  <c r="K1413" i="1"/>
  <c r="K1414" i="1" s="1"/>
  <c r="K1415" i="1" s="1"/>
  <c r="K1416" i="1" s="1"/>
  <c r="D1413" i="1"/>
  <c r="D1414" i="1" s="1"/>
  <c r="D1415" i="1" s="1"/>
  <c r="D1416" i="1" s="1"/>
  <c r="K1407" i="1"/>
  <c r="K1408" i="1" s="1"/>
  <c r="D1407" i="1"/>
  <c r="D1408" i="1" s="1"/>
  <c r="K1403" i="1"/>
  <c r="K1404" i="1" s="1"/>
  <c r="K1405" i="1" s="1"/>
  <c r="D1403" i="1"/>
  <c r="D1404" i="1" s="1"/>
  <c r="D1405" i="1" s="1"/>
  <c r="K1398" i="1"/>
  <c r="K1399" i="1" s="1"/>
  <c r="K1400" i="1" s="1"/>
  <c r="K1401" i="1" s="1"/>
  <c r="D1398" i="1"/>
  <c r="D1399" i="1" s="1"/>
  <c r="D1400" i="1" s="1"/>
  <c r="D1401" i="1" s="1"/>
  <c r="K1395" i="1"/>
  <c r="K1396" i="1" s="1"/>
  <c r="D1395" i="1"/>
  <c r="D1396" i="1" s="1"/>
  <c r="K1391" i="1"/>
  <c r="K1392" i="1" s="1"/>
  <c r="D1391" i="1"/>
  <c r="D1392" i="1" s="1"/>
  <c r="K1382" i="1"/>
  <c r="K1383" i="1" s="1"/>
  <c r="K1384" i="1" s="1"/>
  <c r="K1385" i="1" s="1"/>
  <c r="K1386" i="1" s="1"/>
  <c r="K1387" i="1" s="1"/>
  <c r="K1388" i="1" s="1"/>
  <c r="K1389" i="1" s="1"/>
  <c r="D1382" i="1"/>
  <c r="D1383" i="1" s="1"/>
  <c r="D1384" i="1" s="1"/>
  <c r="D1385" i="1" s="1"/>
  <c r="D1386" i="1" s="1"/>
  <c r="D1387" i="1" s="1"/>
  <c r="D1388" i="1" s="1"/>
  <c r="D1389" i="1" s="1"/>
  <c r="K1375" i="1"/>
  <c r="K1376" i="1" s="1"/>
  <c r="K1377" i="1" s="1"/>
  <c r="K1378" i="1" s="1"/>
  <c r="K1379" i="1" s="1"/>
  <c r="D1375" i="1"/>
  <c r="D1376" i="1" s="1"/>
  <c r="D1377" i="1" s="1"/>
  <c r="D1378" i="1" s="1"/>
  <c r="D1379" i="1" s="1"/>
  <c r="K1371" i="1"/>
  <c r="D1371" i="1"/>
  <c r="K1367" i="1"/>
  <c r="K1368" i="1" s="1"/>
  <c r="D1367" i="1"/>
  <c r="D1368" i="1" s="1"/>
  <c r="K1365" i="1"/>
  <c r="D1365" i="1"/>
  <c r="K1359" i="1"/>
  <c r="K1360" i="1" s="1"/>
  <c r="K1361" i="1" s="1"/>
  <c r="K1362" i="1" s="1"/>
  <c r="K1363" i="1" s="1"/>
  <c r="D1359" i="1"/>
  <c r="D1360" i="1" s="1"/>
  <c r="D1361" i="1" s="1"/>
  <c r="D1362" i="1" s="1"/>
  <c r="D1363" i="1" s="1"/>
  <c r="K1353" i="1"/>
  <c r="K1354" i="1" s="1"/>
  <c r="K1355" i="1" s="1"/>
  <c r="K1356" i="1" s="1"/>
  <c r="D1353" i="1"/>
  <c r="D1354" i="1" s="1"/>
  <c r="D1355" i="1" s="1"/>
  <c r="D1356" i="1" s="1"/>
  <c r="K1350" i="1"/>
  <c r="K1351" i="1" s="1"/>
  <c r="D1350" i="1"/>
  <c r="D1351" i="1" s="1"/>
  <c r="K1348" i="1"/>
  <c r="D1348" i="1"/>
  <c r="K1344" i="1"/>
  <c r="D1344" i="1"/>
  <c r="K1339" i="1"/>
  <c r="K1340" i="1" s="1"/>
  <c r="D1339" i="1"/>
  <c r="D1340" i="1" s="1"/>
  <c r="K1336" i="1"/>
  <c r="K1337" i="1" s="1"/>
  <c r="D1336" i="1"/>
  <c r="D1337" i="1" s="1"/>
  <c r="K1332" i="1"/>
  <c r="K1333" i="1" s="1"/>
  <c r="D1332" i="1"/>
  <c r="D1333" i="1" s="1"/>
  <c r="K1324" i="1"/>
  <c r="K1325" i="1" s="1"/>
  <c r="K1326" i="1" s="1"/>
  <c r="K1327" i="1" s="1"/>
  <c r="K1328" i="1" s="1"/>
  <c r="K1329" i="1" s="1"/>
  <c r="K1330" i="1" s="1"/>
  <c r="D1324" i="1"/>
  <c r="D1325" i="1" s="1"/>
  <c r="D1326" i="1" s="1"/>
  <c r="D1327" i="1" s="1"/>
  <c r="D1328" i="1" s="1"/>
  <c r="D1329" i="1" s="1"/>
  <c r="D1330" i="1" s="1"/>
  <c r="K1320" i="1"/>
  <c r="K1321" i="1" s="1"/>
  <c r="K1322" i="1" s="1"/>
  <c r="D1320" i="1"/>
  <c r="D1321" i="1" s="1"/>
  <c r="D1322" i="1" s="1"/>
  <c r="K1317" i="1"/>
  <c r="D1317" i="1"/>
  <c r="K1312" i="1"/>
  <c r="K1313" i="1" s="1"/>
  <c r="K1314" i="1" s="1"/>
  <c r="D1312" i="1"/>
  <c r="D1313" i="1" s="1"/>
  <c r="D1314" i="1" s="1"/>
  <c r="K1311" i="1"/>
  <c r="D1311" i="1"/>
  <c r="K1309" i="1"/>
  <c r="D1309" i="1"/>
  <c r="K1303" i="1"/>
  <c r="K1304" i="1" s="1"/>
  <c r="K1305" i="1" s="1"/>
  <c r="K1306" i="1" s="1"/>
  <c r="K1307" i="1" s="1"/>
  <c r="D1303" i="1"/>
  <c r="D1304" i="1" s="1"/>
  <c r="D1305" i="1" s="1"/>
  <c r="D1306" i="1" s="1"/>
  <c r="D1307" i="1" s="1"/>
  <c r="K1300" i="1"/>
  <c r="K1301" i="1" s="1"/>
  <c r="D1300" i="1"/>
  <c r="D1301" i="1" s="1"/>
  <c r="K1296" i="1"/>
  <c r="K1297" i="1" s="1"/>
  <c r="K1298" i="1" s="1"/>
  <c r="D1296" i="1"/>
  <c r="D1297" i="1" s="1"/>
  <c r="D1298" i="1" s="1"/>
  <c r="D1287" i="1"/>
  <c r="D1288" i="1" s="1"/>
  <c r="D1289" i="1" s="1"/>
  <c r="D1290" i="1" s="1"/>
  <c r="D1291" i="1" s="1"/>
  <c r="D1292" i="1" s="1"/>
  <c r="D1293" i="1" s="1"/>
  <c r="D1294" i="1" s="1"/>
  <c r="K1286" i="1"/>
  <c r="K1287" i="1" s="1"/>
  <c r="K1288" i="1" s="1"/>
  <c r="K1289" i="1" s="1"/>
  <c r="K1290" i="1" s="1"/>
  <c r="K1291" i="1" s="1"/>
  <c r="K1292" i="1" s="1"/>
  <c r="K1293" i="1" s="1"/>
  <c r="K1294" i="1" s="1"/>
  <c r="D1286" i="1"/>
  <c r="K1284" i="1"/>
  <c r="D1284" i="1"/>
  <c r="K1282" i="1"/>
  <c r="D1282" i="1"/>
  <c r="K1277" i="1"/>
  <c r="K1278" i="1" s="1"/>
  <c r="K1279" i="1" s="1"/>
  <c r="D1277" i="1"/>
  <c r="D1278" i="1" s="1"/>
  <c r="D1279" i="1" s="1"/>
  <c r="K1272" i="1"/>
  <c r="K1273" i="1" s="1"/>
  <c r="K1274" i="1" s="1"/>
  <c r="K1275" i="1" s="1"/>
  <c r="D1272" i="1"/>
  <c r="D1273" i="1" s="1"/>
  <c r="D1274" i="1" s="1"/>
  <c r="D1275" i="1" s="1"/>
  <c r="K1268" i="1"/>
  <c r="K1269" i="1" s="1"/>
  <c r="K1270" i="1" s="1"/>
  <c r="D1268" i="1"/>
  <c r="D1269" i="1" s="1"/>
  <c r="D1270" i="1" s="1"/>
  <c r="K1264" i="1"/>
  <c r="K1265" i="1" s="1"/>
  <c r="D1264" i="1"/>
  <c r="D1265" i="1" s="1"/>
  <c r="K1254" i="1"/>
  <c r="K1255" i="1" s="1"/>
  <c r="K1256" i="1" s="1"/>
  <c r="K1257" i="1" s="1"/>
  <c r="K1258" i="1" s="1"/>
  <c r="K1259" i="1" s="1"/>
  <c r="K1260" i="1" s="1"/>
  <c r="D1254" i="1"/>
  <c r="D1255" i="1" s="1"/>
  <c r="D1256" i="1" s="1"/>
  <c r="D1257" i="1" s="1"/>
  <c r="D1258" i="1" s="1"/>
  <c r="D1259" i="1" s="1"/>
  <c r="D1260" i="1" s="1"/>
  <c r="K1250" i="1"/>
  <c r="D1250" i="1"/>
  <c r="K1247" i="1"/>
  <c r="K1248" i="1" s="1"/>
  <c r="D1247" i="1"/>
  <c r="D1248" i="1" s="1"/>
  <c r="K1243" i="1"/>
  <c r="K1244" i="1" s="1"/>
  <c r="K1245" i="1" s="1"/>
  <c r="D1243" i="1"/>
  <c r="D1244" i="1" s="1"/>
  <c r="D1245" i="1" s="1"/>
  <c r="K1241" i="1"/>
  <c r="D1241" i="1"/>
  <c r="K1236" i="1"/>
  <c r="K1237" i="1" s="1"/>
  <c r="K1238" i="1" s="1"/>
  <c r="K1239" i="1" s="1"/>
  <c r="D1236" i="1"/>
  <c r="D1237" i="1" s="1"/>
  <c r="D1238" i="1" s="1"/>
  <c r="D1239" i="1" s="1"/>
  <c r="K1234" i="1"/>
  <c r="D1234" i="1"/>
  <c r="K1228" i="1"/>
  <c r="K1229" i="1" s="1"/>
  <c r="K1230" i="1" s="1"/>
  <c r="K1231" i="1" s="1"/>
  <c r="D1228" i="1"/>
  <c r="D1229" i="1" s="1"/>
  <c r="D1230" i="1" s="1"/>
  <c r="D1231" i="1" s="1"/>
  <c r="K1222" i="1"/>
  <c r="K1223" i="1" s="1"/>
  <c r="K1224" i="1" s="1"/>
  <c r="K1225" i="1" s="1"/>
  <c r="K1226" i="1" s="1"/>
  <c r="D1222" i="1"/>
  <c r="D1223" i="1" s="1"/>
  <c r="D1224" i="1" s="1"/>
  <c r="D1225" i="1" s="1"/>
  <c r="D1226" i="1" s="1"/>
  <c r="K1213" i="1"/>
  <c r="K1214" i="1" s="1"/>
  <c r="K1215" i="1" s="1"/>
  <c r="K1216" i="1" s="1"/>
  <c r="K1217" i="1" s="1"/>
  <c r="K1218" i="1" s="1"/>
  <c r="K1219" i="1" s="1"/>
  <c r="K1220" i="1" s="1"/>
  <c r="D1213" i="1"/>
  <c r="D1214" i="1" s="1"/>
  <c r="D1215" i="1" s="1"/>
  <c r="D1216" i="1" s="1"/>
  <c r="D1217" i="1" s="1"/>
  <c r="D1218" i="1" s="1"/>
  <c r="D1219" i="1" s="1"/>
  <c r="D1220" i="1" s="1"/>
  <c r="K1204" i="1"/>
  <c r="K1205" i="1" s="1"/>
  <c r="K1206" i="1" s="1"/>
  <c r="K1207" i="1" s="1"/>
  <c r="K1208" i="1" s="1"/>
  <c r="K1209" i="1" s="1"/>
  <c r="K1210" i="1" s="1"/>
  <c r="K1211" i="1" s="1"/>
  <c r="D1204" i="1"/>
  <c r="D1205" i="1" s="1"/>
  <c r="D1206" i="1" s="1"/>
  <c r="D1207" i="1" s="1"/>
  <c r="D1208" i="1" s="1"/>
  <c r="D1209" i="1" s="1"/>
  <c r="D1210" i="1" s="1"/>
  <c r="D1211" i="1" s="1"/>
  <c r="K1202" i="1"/>
  <c r="D1202" i="1"/>
  <c r="K1198" i="1"/>
  <c r="K1199" i="1" s="1"/>
  <c r="D1198" i="1"/>
  <c r="D1199" i="1" s="1"/>
  <c r="K1196" i="1"/>
  <c r="D1196" i="1"/>
  <c r="K1191" i="1"/>
  <c r="K1192" i="1" s="1"/>
  <c r="K1193" i="1" s="1"/>
  <c r="K1194" i="1" s="1"/>
  <c r="D1191" i="1"/>
  <c r="D1192" i="1" s="1"/>
  <c r="D1193" i="1" s="1"/>
  <c r="D1194" i="1" s="1"/>
  <c r="K1187" i="1"/>
  <c r="K1188" i="1" s="1"/>
  <c r="K1189" i="1" s="1"/>
  <c r="D1187" i="1"/>
  <c r="D1188" i="1" s="1"/>
  <c r="D1189" i="1" s="1"/>
  <c r="K1181" i="1"/>
  <c r="K1182" i="1" s="1"/>
  <c r="K1183" i="1" s="1"/>
  <c r="K1184" i="1" s="1"/>
  <c r="D1181" i="1"/>
  <c r="D1182" i="1" s="1"/>
  <c r="D1183" i="1" s="1"/>
  <c r="D1184" i="1" s="1"/>
  <c r="K1177" i="1"/>
  <c r="K1178" i="1" s="1"/>
  <c r="K1179" i="1" s="1"/>
  <c r="D1177" i="1"/>
  <c r="D1178" i="1" s="1"/>
  <c r="D1179" i="1" s="1"/>
  <c r="K1174" i="1"/>
  <c r="K1175" i="1" s="1"/>
  <c r="D1174" i="1"/>
  <c r="D1175" i="1" s="1"/>
  <c r="K1167" i="1"/>
  <c r="K1168" i="1" s="1"/>
  <c r="K1169" i="1" s="1"/>
  <c r="K1170" i="1" s="1"/>
  <c r="K1171" i="1" s="1"/>
  <c r="K1172" i="1" s="1"/>
  <c r="D1167" i="1"/>
  <c r="D1168" i="1" s="1"/>
  <c r="D1169" i="1" s="1"/>
  <c r="D1170" i="1" s="1"/>
  <c r="D1171" i="1" s="1"/>
  <c r="D1172" i="1" s="1"/>
  <c r="K1159" i="1"/>
  <c r="K1160" i="1" s="1"/>
  <c r="K1161" i="1" s="1"/>
  <c r="K1162" i="1" s="1"/>
  <c r="K1163" i="1" s="1"/>
  <c r="K1164" i="1" s="1"/>
  <c r="K1165" i="1" s="1"/>
  <c r="D1159" i="1"/>
  <c r="D1160" i="1" s="1"/>
  <c r="D1161" i="1" s="1"/>
  <c r="D1162" i="1" s="1"/>
  <c r="D1163" i="1" s="1"/>
  <c r="D1164" i="1" s="1"/>
  <c r="D1165" i="1" s="1"/>
  <c r="K1156" i="1"/>
  <c r="D1156" i="1"/>
  <c r="K1153" i="1"/>
  <c r="K1154" i="1" s="1"/>
  <c r="D1153" i="1"/>
  <c r="D1154" i="1" s="1"/>
  <c r="K1142" i="1"/>
  <c r="K1143" i="1" s="1"/>
  <c r="K1144" i="1" s="1"/>
  <c r="D1142" i="1"/>
  <c r="D1143" i="1" s="1"/>
  <c r="D1144" i="1" s="1"/>
  <c r="K1138" i="1"/>
  <c r="K1139" i="1" s="1"/>
  <c r="K1140" i="1" s="1"/>
  <c r="D1138" i="1"/>
  <c r="D1139" i="1" s="1"/>
  <c r="D1140" i="1" s="1"/>
  <c r="K1132" i="1"/>
  <c r="K1133" i="1" s="1"/>
  <c r="K1134" i="1" s="1"/>
  <c r="K1135" i="1" s="1"/>
  <c r="D1132" i="1"/>
  <c r="D1133" i="1" s="1"/>
  <c r="D1134" i="1" s="1"/>
  <c r="D1135" i="1" s="1"/>
  <c r="K1129" i="1"/>
  <c r="K1130" i="1" s="1"/>
  <c r="D1129" i="1"/>
  <c r="D1130" i="1" s="1"/>
  <c r="K1127" i="1"/>
  <c r="D1127" i="1"/>
  <c r="K1124" i="1"/>
  <c r="K1123" i="1"/>
  <c r="D1123" i="1"/>
  <c r="D1124" i="1" s="1"/>
  <c r="K1121" i="1"/>
  <c r="D1121" i="1"/>
  <c r="K1114" i="1"/>
  <c r="K1115" i="1" s="1"/>
  <c r="K1116" i="1" s="1"/>
  <c r="K1117" i="1" s="1"/>
  <c r="K1118" i="1" s="1"/>
  <c r="K1119" i="1" s="1"/>
  <c r="D1114" i="1"/>
  <c r="D1115" i="1" s="1"/>
  <c r="D1116" i="1" s="1"/>
  <c r="D1117" i="1" s="1"/>
  <c r="D1118" i="1" s="1"/>
  <c r="D1119" i="1" s="1"/>
  <c r="K1111" i="1"/>
  <c r="K1112" i="1" s="1"/>
  <c r="D1111" i="1"/>
  <c r="D1112" i="1" s="1"/>
  <c r="K1109" i="1"/>
  <c r="D1109" i="1"/>
  <c r="K1104" i="1"/>
  <c r="K1105" i="1" s="1"/>
  <c r="K1106" i="1" s="1"/>
  <c r="K1107" i="1" s="1"/>
  <c r="D1104" i="1"/>
  <c r="D1105" i="1" s="1"/>
  <c r="D1106" i="1" s="1"/>
  <c r="D1107" i="1" s="1"/>
  <c r="K1097" i="1"/>
  <c r="K1098" i="1" s="1"/>
  <c r="K1099" i="1" s="1"/>
  <c r="K1100" i="1" s="1"/>
  <c r="K1101" i="1" s="1"/>
  <c r="K1102" i="1" s="1"/>
  <c r="K1096" i="1"/>
  <c r="D1096" i="1"/>
  <c r="D1097" i="1" s="1"/>
  <c r="D1098" i="1" s="1"/>
  <c r="D1099" i="1" s="1"/>
  <c r="D1100" i="1" s="1"/>
  <c r="D1101" i="1" s="1"/>
  <c r="D1102" i="1" s="1"/>
  <c r="K1088" i="1"/>
  <c r="K1089" i="1" s="1"/>
  <c r="K1090" i="1" s="1"/>
  <c r="K1091" i="1" s="1"/>
  <c r="K1092" i="1" s="1"/>
  <c r="K1093" i="1" s="1"/>
  <c r="K1094" i="1" s="1"/>
  <c r="D1088" i="1"/>
  <c r="D1089" i="1" s="1"/>
  <c r="D1090" i="1" s="1"/>
  <c r="D1091" i="1" s="1"/>
  <c r="D1092" i="1" s="1"/>
  <c r="D1093" i="1" s="1"/>
  <c r="D1094" i="1" s="1"/>
  <c r="K1084" i="1"/>
  <c r="K1085" i="1" s="1"/>
  <c r="D1084" i="1"/>
  <c r="D1085" i="1" s="1"/>
  <c r="K1079" i="1"/>
  <c r="K1080" i="1" s="1"/>
  <c r="K1081" i="1" s="1"/>
  <c r="K1082" i="1" s="1"/>
  <c r="D1079" i="1"/>
  <c r="D1080" i="1" s="1"/>
  <c r="D1081" i="1" s="1"/>
  <c r="D1082" i="1" s="1"/>
  <c r="K1074" i="1"/>
  <c r="K1075" i="1" s="1"/>
  <c r="K1076" i="1" s="1"/>
  <c r="K1077" i="1" s="1"/>
  <c r="D1074" i="1"/>
  <c r="D1075" i="1" s="1"/>
  <c r="D1076" i="1" s="1"/>
  <c r="D1077" i="1" s="1"/>
  <c r="D1071" i="1"/>
  <c r="D1072" i="1" s="1"/>
  <c r="K1070" i="1"/>
  <c r="K1071" i="1" s="1"/>
  <c r="K1072" i="1" s="1"/>
  <c r="D1070" i="1"/>
  <c r="K1067" i="1"/>
  <c r="K1068" i="1" s="1"/>
  <c r="D1067" i="1"/>
  <c r="D1068" i="1" s="1"/>
  <c r="K1061" i="1"/>
  <c r="K1062" i="1" s="1"/>
  <c r="K1063" i="1" s="1"/>
  <c r="K1064" i="1" s="1"/>
  <c r="K1065" i="1" s="1"/>
  <c r="D1061" i="1"/>
  <c r="D1062" i="1" s="1"/>
  <c r="D1063" i="1" s="1"/>
  <c r="D1064" i="1" s="1"/>
  <c r="D1065" i="1" s="1"/>
  <c r="K1058" i="1"/>
  <c r="K1059" i="1" s="1"/>
  <c r="D1058" i="1"/>
  <c r="D1059" i="1" s="1"/>
  <c r="K1056" i="1"/>
  <c r="D1056" i="1"/>
  <c r="K1054" i="1"/>
  <c r="D1054" i="1"/>
  <c r="K1043" i="1"/>
  <c r="K1044" i="1" s="1"/>
  <c r="K1045" i="1" s="1"/>
  <c r="K1046" i="1" s="1"/>
  <c r="K1047" i="1" s="1"/>
  <c r="K1048" i="1" s="1"/>
  <c r="K1049" i="1" s="1"/>
  <c r="K1050" i="1" s="1"/>
  <c r="K1051" i="1" s="1"/>
  <c r="K1052" i="1" s="1"/>
  <c r="D1043" i="1"/>
  <c r="D1044" i="1" s="1"/>
  <c r="D1045" i="1" s="1"/>
  <c r="D1046" i="1" s="1"/>
  <c r="D1047" i="1" s="1"/>
  <c r="D1048" i="1" s="1"/>
  <c r="D1049" i="1" s="1"/>
  <c r="D1050" i="1" s="1"/>
  <c r="D1051" i="1" s="1"/>
  <c r="D1052" i="1" s="1"/>
  <c r="K1038" i="1"/>
  <c r="K1039" i="1" s="1"/>
  <c r="K1040" i="1" s="1"/>
  <c r="K1041" i="1" s="1"/>
  <c r="D1038" i="1"/>
  <c r="D1039" i="1" s="1"/>
  <c r="D1040" i="1" s="1"/>
  <c r="D1041" i="1" s="1"/>
  <c r="K1031" i="1"/>
  <c r="K1032" i="1" s="1"/>
  <c r="K1033" i="1" s="1"/>
  <c r="K1034" i="1" s="1"/>
  <c r="K1035" i="1" s="1"/>
  <c r="K1036" i="1" s="1"/>
  <c r="D1031" i="1"/>
  <c r="D1032" i="1" s="1"/>
  <c r="D1033" i="1" s="1"/>
  <c r="D1034" i="1" s="1"/>
  <c r="D1035" i="1" s="1"/>
  <c r="D1036" i="1" s="1"/>
  <c r="K1024" i="1"/>
  <c r="K1025" i="1" s="1"/>
  <c r="K1026" i="1" s="1"/>
  <c r="K1027" i="1" s="1"/>
  <c r="K1028" i="1" s="1"/>
  <c r="K1029" i="1" s="1"/>
  <c r="D1024" i="1"/>
  <c r="D1025" i="1" s="1"/>
  <c r="D1026" i="1" s="1"/>
  <c r="D1027" i="1" s="1"/>
  <c r="D1028" i="1" s="1"/>
  <c r="D1029" i="1" s="1"/>
  <c r="K1021" i="1"/>
  <c r="K1022" i="1" s="1"/>
  <c r="D1021" i="1"/>
  <c r="D1022" i="1" s="1"/>
  <c r="K1014" i="1"/>
  <c r="K1015" i="1" s="1"/>
  <c r="K1016" i="1" s="1"/>
  <c r="K1017" i="1" s="1"/>
  <c r="K1018" i="1" s="1"/>
  <c r="K1019" i="1" s="1"/>
  <c r="D1014" i="1"/>
  <c r="D1015" i="1" s="1"/>
  <c r="D1016" i="1" s="1"/>
  <c r="D1017" i="1" s="1"/>
  <c r="D1018" i="1" s="1"/>
  <c r="D1019" i="1" s="1"/>
  <c r="K1006" i="1"/>
  <c r="K1007" i="1" s="1"/>
  <c r="K1008" i="1" s="1"/>
  <c r="K1009" i="1" s="1"/>
  <c r="K1010" i="1" s="1"/>
  <c r="K1011" i="1" s="1"/>
  <c r="K1012" i="1" s="1"/>
  <c r="D1006" i="1"/>
  <c r="D1007" i="1" s="1"/>
  <c r="D1008" i="1" s="1"/>
  <c r="D1009" i="1" s="1"/>
  <c r="D1010" i="1" s="1"/>
  <c r="D1011" i="1" s="1"/>
  <c r="D1012" i="1" s="1"/>
  <c r="D1003" i="1"/>
  <c r="K1001" i="1"/>
  <c r="K1002" i="1" s="1"/>
  <c r="K1003" i="1" s="1"/>
  <c r="D1001" i="1"/>
  <c r="D1002" i="1" s="1"/>
  <c r="K998" i="1"/>
  <c r="D998" i="1"/>
  <c r="K993" i="1"/>
  <c r="K994" i="1" s="1"/>
  <c r="K995" i="1" s="1"/>
  <c r="K996" i="1" s="1"/>
  <c r="D993" i="1"/>
  <c r="D994" i="1" s="1"/>
  <c r="D995" i="1" s="1"/>
  <c r="D996" i="1" s="1"/>
  <c r="K986" i="1"/>
  <c r="K987" i="1" s="1"/>
  <c r="K988" i="1" s="1"/>
  <c r="K989" i="1" s="1"/>
  <c r="K990" i="1" s="1"/>
  <c r="K991" i="1" s="1"/>
  <c r="D986" i="1"/>
  <c r="D987" i="1" s="1"/>
  <c r="D988" i="1" s="1"/>
  <c r="D989" i="1" s="1"/>
  <c r="D990" i="1" s="1"/>
  <c r="D991" i="1" s="1"/>
  <c r="K983" i="1"/>
  <c r="K984" i="1" s="1"/>
  <c r="D983" i="1"/>
  <c r="D984" i="1" s="1"/>
  <c r="K979" i="1"/>
  <c r="K980" i="1" s="1"/>
  <c r="K981" i="1" s="1"/>
  <c r="D979" i="1"/>
  <c r="D980" i="1" s="1"/>
  <c r="D981" i="1" s="1"/>
  <c r="K974" i="1"/>
  <c r="K975" i="1" s="1"/>
  <c r="K976" i="1" s="1"/>
  <c r="K977" i="1" s="1"/>
  <c r="D974" i="1"/>
  <c r="D975" i="1" s="1"/>
  <c r="D976" i="1" s="1"/>
  <c r="D977" i="1" s="1"/>
  <c r="K972" i="1"/>
  <c r="D972" i="1"/>
  <c r="K969" i="1"/>
  <c r="D969" i="1"/>
  <c r="K966" i="1"/>
  <c r="K967" i="1" s="1"/>
  <c r="D966" i="1"/>
  <c r="D967" i="1" s="1"/>
  <c r="K964" i="1"/>
  <c r="D964" i="1"/>
  <c r="K958" i="1"/>
  <c r="K959" i="1" s="1"/>
  <c r="K960" i="1" s="1"/>
  <c r="K961" i="1" s="1"/>
  <c r="D958" i="1"/>
  <c r="D959" i="1" s="1"/>
  <c r="D960" i="1" s="1"/>
  <c r="D961" i="1" s="1"/>
  <c r="K956" i="1"/>
  <c r="D956" i="1"/>
  <c r="K952" i="1"/>
  <c r="K953" i="1" s="1"/>
  <c r="K954" i="1" s="1"/>
  <c r="D952" i="1"/>
  <c r="D953" i="1" s="1"/>
  <c r="D954" i="1" s="1"/>
  <c r="K949" i="1"/>
  <c r="D949" i="1"/>
  <c r="K941" i="1"/>
  <c r="K942" i="1" s="1"/>
  <c r="K943" i="1" s="1"/>
  <c r="K944" i="1" s="1"/>
  <c r="K945" i="1" s="1"/>
  <c r="K946" i="1" s="1"/>
  <c r="K947" i="1" s="1"/>
  <c r="D941" i="1"/>
  <c r="D942" i="1" s="1"/>
  <c r="D943" i="1" s="1"/>
  <c r="D944" i="1" s="1"/>
  <c r="D945" i="1" s="1"/>
  <c r="D946" i="1" s="1"/>
  <c r="D947" i="1" s="1"/>
  <c r="K936" i="1"/>
  <c r="K937" i="1" s="1"/>
  <c r="K938" i="1" s="1"/>
  <c r="K939" i="1" s="1"/>
  <c r="D936" i="1"/>
  <c r="D937" i="1" s="1"/>
  <c r="D938" i="1" s="1"/>
  <c r="D939" i="1" s="1"/>
  <c r="K934" i="1"/>
  <c r="D934" i="1"/>
  <c r="K923" i="1"/>
  <c r="K924" i="1" s="1"/>
  <c r="K925" i="1" s="1"/>
  <c r="K926" i="1" s="1"/>
  <c r="K927" i="1" s="1"/>
  <c r="K928" i="1" s="1"/>
  <c r="K929" i="1" s="1"/>
  <c r="K930" i="1" s="1"/>
  <c r="K931" i="1" s="1"/>
  <c r="K932" i="1" s="1"/>
  <c r="D923" i="1"/>
  <c r="D924" i="1" s="1"/>
  <c r="D925" i="1" s="1"/>
  <c r="D926" i="1" s="1"/>
  <c r="D927" i="1" s="1"/>
  <c r="D928" i="1" s="1"/>
  <c r="D929" i="1" s="1"/>
  <c r="D930" i="1" s="1"/>
  <c r="D931" i="1" s="1"/>
  <c r="D932" i="1" s="1"/>
  <c r="K920" i="1"/>
  <c r="D920" i="1"/>
  <c r="K914" i="1"/>
  <c r="K915" i="1" s="1"/>
  <c r="K916" i="1" s="1"/>
  <c r="K917" i="1" s="1"/>
  <c r="D914" i="1"/>
  <c r="D915" i="1" s="1"/>
  <c r="D916" i="1" s="1"/>
  <c r="D917" i="1" s="1"/>
  <c r="K908" i="1"/>
  <c r="K909" i="1" s="1"/>
  <c r="K910" i="1" s="1"/>
  <c r="K911" i="1" s="1"/>
  <c r="K912" i="1" s="1"/>
  <c r="D908" i="1"/>
  <c r="D909" i="1" s="1"/>
  <c r="D910" i="1" s="1"/>
  <c r="D911" i="1" s="1"/>
  <c r="D912" i="1" s="1"/>
  <c r="K906" i="1"/>
  <c r="D906" i="1"/>
  <c r="K900" i="1"/>
  <c r="K901" i="1" s="1"/>
  <c r="K902" i="1" s="1"/>
  <c r="K903" i="1" s="1"/>
  <c r="D900" i="1"/>
  <c r="D901" i="1" s="1"/>
  <c r="D902" i="1" s="1"/>
  <c r="D903" i="1" s="1"/>
  <c r="K895" i="1"/>
  <c r="K896" i="1" s="1"/>
  <c r="K897" i="1" s="1"/>
  <c r="K898" i="1" s="1"/>
  <c r="D895" i="1"/>
  <c r="D896" i="1" s="1"/>
  <c r="D897" i="1" s="1"/>
  <c r="D898" i="1" s="1"/>
  <c r="D893" i="1"/>
  <c r="K892" i="1"/>
  <c r="K893" i="1" s="1"/>
  <c r="D892" i="1"/>
  <c r="K890" i="1"/>
  <c r="D890" i="1"/>
  <c r="K875" i="1"/>
  <c r="K876" i="1" s="1"/>
  <c r="K877" i="1" s="1"/>
  <c r="K878" i="1" s="1"/>
  <c r="K879" i="1" s="1"/>
  <c r="K880" i="1" s="1"/>
  <c r="K881" i="1" s="1"/>
  <c r="K882" i="1" s="1"/>
  <c r="K883" i="1" s="1"/>
  <c r="K884" i="1" s="1"/>
  <c r="K885" i="1" s="1"/>
  <c r="K886" i="1" s="1"/>
  <c r="K887" i="1" s="1"/>
  <c r="K888" i="1" s="1"/>
  <c r="D875" i="1"/>
  <c r="D876" i="1" s="1"/>
  <c r="D877" i="1" s="1"/>
  <c r="D878" i="1" s="1"/>
  <c r="D879" i="1" s="1"/>
  <c r="D880" i="1" s="1"/>
  <c r="D881" i="1" s="1"/>
  <c r="D882" i="1" s="1"/>
  <c r="D883" i="1" s="1"/>
  <c r="D884" i="1" s="1"/>
  <c r="D885" i="1" s="1"/>
  <c r="D886" i="1" s="1"/>
  <c r="D887" i="1" s="1"/>
  <c r="D888" i="1" s="1"/>
  <c r="K872" i="1"/>
  <c r="K873" i="1" s="1"/>
  <c r="D872" i="1"/>
  <c r="D873" i="1" s="1"/>
  <c r="K866" i="1"/>
  <c r="K867" i="1" s="1"/>
  <c r="K868" i="1" s="1"/>
  <c r="K869" i="1" s="1"/>
  <c r="D866" i="1"/>
  <c r="D867" i="1" s="1"/>
  <c r="D868" i="1" s="1"/>
  <c r="D869" i="1" s="1"/>
  <c r="K857" i="1"/>
  <c r="K858" i="1" s="1"/>
  <c r="K859" i="1" s="1"/>
  <c r="K860" i="1" s="1"/>
  <c r="K861" i="1" s="1"/>
  <c r="K862" i="1" s="1"/>
  <c r="K863" i="1" s="1"/>
  <c r="K864" i="1" s="1"/>
  <c r="D857" i="1"/>
  <c r="D858" i="1" s="1"/>
  <c r="D859" i="1" s="1"/>
  <c r="D860" i="1" s="1"/>
  <c r="D861" i="1" s="1"/>
  <c r="D862" i="1" s="1"/>
  <c r="D863" i="1" s="1"/>
  <c r="D864" i="1" s="1"/>
  <c r="K855" i="1"/>
  <c r="D855" i="1"/>
  <c r="K850" i="1"/>
  <c r="D850" i="1"/>
  <c r="K838" i="1"/>
  <c r="K839" i="1" s="1"/>
  <c r="K840" i="1" s="1"/>
  <c r="K841" i="1" s="1"/>
  <c r="K842" i="1" s="1"/>
  <c r="K843" i="1" s="1"/>
  <c r="K844" i="1" s="1"/>
  <c r="K845" i="1" s="1"/>
  <c r="K846" i="1" s="1"/>
  <c r="K847" i="1" s="1"/>
  <c r="K848" i="1" s="1"/>
  <c r="D838" i="1"/>
  <c r="D839" i="1" s="1"/>
  <c r="D840" i="1" s="1"/>
  <c r="D841" i="1" s="1"/>
  <c r="D842" i="1" s="1"/>
  <c r="D843" i="1" s="1"/>
  <c r="D844" i="1" s="1"/>
  <c r="D845" i="1" s="1"/>
  <c r="D846" i="1" s="1"/>
  <c r="D847" i="1" s="1"/>
  <c r="D848" i="1" s="1"/>
  <c r="K832" i="1"/>
  <c r="K833" i="1" s="1"/>
  <c r="K834" i="1" s="1"/>
  <c r="K835" i="1" s="1"/>
  <c r="K836" i="1" s="1"/>
  <c r="D832" i="1"/>
  <c r="D833" i="1" s="1"/>
  <c r="D834" i="1" s="1"/>
  <c r="D835" i="1" s="1"/>
  <c r="D836" i="1" s="1"/>
  <c r="K830" i="1"/>
  <c r="D830" i="1"/>
  <c r="K828" i="1"/>
  <c r="D828" i="1"/>
  <c r="K822" i="1"/>
  <c r="K823" i="1" s="1"/>
  <c r="K824" i="1" s="1"/>
  <c r="K825" i="1" s="1"/>
  <c r="K826" i="1" s="1"/>
  <c r="D822" i="1"/>
  <c r="D823" i="1" s="1"/>
  <c r="D824" i="1" s="1"/>
  <c r="D825" i="1" s="1"/>
  <c r="D826" i="1" s="1"/>
  <c r="D817" i="1"/>
  <c r="D818" i="1" s="1"/>
  <c r="D819" i="1" s="1"/>
  <c r="K812" i="1"/>
  <c r="K813" i="1" s="1"/>
  <c r="K814" i="1" s="1"/>
  <c r="K815" i="1" s="1"/>
  <c r="K816" i="1" s="1"/>
  <c r="K817" i="1" s="1"/>
  <c r="K818" i="1" s="1"/>
  <c r="K819" i="1" s="1"/>
  <c r="D812" i="1"/>
  <c r="D813" i="1" s="1"/>
  <c r="D814" i="1" s="1"/>
  <c r="D815" i="1" s="1"/>
  <c r="D816" i="1" s="1"/>
  <c r="K803" i="1"/>
  <c r="K804" i="1" s="1"/>
  <c r="K805" i="1" s="1"/>
  <c r="K806" i="1" s="1"/>
  <c r="K807" i="1" s="1"/>
  <c r="K808" i="1" s="1"/>
  <c r="K809" i="1" s="1"/>
  <c r="D803" i="1"/>
  <c r="D804" i="1" s="1"/>
  <c r="D805" i="1" s="1"/>
  <c r="D806" i="1" s="1"/>
  <c r="D807" i="1" s="1"/>
  <c r="D808" i="1" s="1"/>
  <c r="D809" i="1" s="1"/>
  <c r="K799" i="1"/>
  <c r="D799" i="1"/>
  <c r="K793" i="1"/>
  <c r="K794" i="1" s="1"/>
  <c r="K795" i="1" s="1"/>
  <c r="K796" i="1" s="1"/>
  <c r="K797" i="1" s="1"/>
  <c r="D793" i="1"/>
  <c r="D794" i="1" s="1"/>
  <c r="D795" i="1" s="1"/>
  <c r="D796" i="1" s="1"/>
  <c r="D797" i="1" s="1"/>
  <c r="K784" i="1"/>
  <c r="K785" i="1" s="1"/>
  <c r="K786" i="1" s="1"/>
  <c r="K787" i="1" s="1"/>
  <c r="K788" i="1" s="1"/>
  <c r="K789" i="1" s="1"/>
  <c r="K790" i="1" s="1"/>
  <c r="D784" i="1"/>
  <c r="D785" i="1" s="1"/>
  <c r="D786" i="1" s="1"/>
  <c r="D787" i="1" s="1"/>
  <c r="D788" i="1" s="1"/>
  <c r="D789" i="1" s="1"/>
  <c r="D790" i="1" s="1"/>
  <c r="K779" i="1"/>
  <c r="K780" i="1" s="1"/>
  <c r="K781" i="1" s="1"/>
  <c r="K777" i="1"/>
  <c r="K778" i="1" s="1"/>
  <c r="D777" i="1"/>
  <c r="D778" i="1" s="1"/>
  <c r="D779" i="1" s="1"/>
  <c r="D780" i="1" s="1"/>
  <c r="D781" i="1" s="1"/>
  <c r="K774" i="1"/>
  <c r="K775" i="1" s="1"/>
  <c r="D774" i="1"/>
  <c r="D775" i="1" s="1"/>
  <c r="K770" i="1"/>
  <c r="K771" i="1" s="1"/>
  <c r="K772" i="1" s="1"/>
  <c r="D770" i="1"/>
  <c r="D771" i="1" s="1"/>
  <c r="D772" i="1" s="1"/>
  <c r="K762" i="1"/>
  <c r="K763" i="1" s="1"/>
  <c r="K764" i="1" s="1"/>
  <c r="K765" i="1" s="1"/>
  <c r="K766" i="1" s="1"/>
  <c r="K767" i="1" s="1"/>
  <c r="K768" i="1" s="1"/>
  <c r="D762" i="1"/>
  <c r="D763" i="1" s="1"/>
  <c r="D764" i="1" s="1"/>
  <c r="D765" i="1" s="1"/>
  <c r="D766" i="1" s="1"/>
  <c r="D767" i="1" s="1"/>
  <c r="D768" i="1" s="1"/>
  <c r="K759" i="1"/>
  <c r="K760" i="1" s="1"/>
  <c r="D759" i="1"/>
  <c r="D760" i="1" s="1"/>
  <c r="K756" i="1"/>
  <c r="K757" i="1" s="1"/>
  <c r="D756" i="1"/>
  <c r="D757" i="1" s="1"/>
  <c r="K749" i="1"/>
  <c r="K750" i="1" s="1"/>
  <c r="K751" i="1" s="1"/>
  <c r="K752" i="1" s="1"/>
  <c r="K753" i="1" s="1"/>
  <c r="K754" i="1" s="1"/>
  <c r="D749" i="1"/>
  <c r="D750" i="1" s="1"/>
  <c r="D751" i="1" s="1"/>
  <c r="D752" i="1" s="1"/>
  <c r="D753" i="1" s="1"/>
  <c r="D754" i="1" s="1"/>
  <c r="K746" i="1"/>
  <c r="K747" i="1" s="1"/>
  <c r="D746" i="1"/>
  <c r="D747" i="1" s="1"/>
  <c r="K744" i="1"/>
  <c r="D744" i="1"/>
  <c r="K738" i="1"/>
  <c r="K739" i="1" s="1"/>
  <c r="K740" i="1" s="1"/>
  <c r="K741" i="1" s="1"/>
  <c r="K742" i="1" s="1"/>
  <c r="D738" i="1"/>
  <c r="D739" i="1" s="1"/>
  <c r="D740" i="1" s="1"/>
  <c r="D741" i="1" s="1"/>
  <c r="D742" i="1" s="1"/>
  <c r="K735" i="1"/>
  <c r="K736" i="1" s="1"/>
  <c r="D735" i="1"/>
  <c r="D736" i="1" s="1"/>
  <c r="K732" i="1"/>
  <c r="K733" i="1" s="1"/>
  <c r="D732" i="1"/>
  <c r="D733" i="1" s="1"/>
  <c r="K728" i="1"/>
  <c r="K729" i="1" s="1"/>
  <c r="K730" i="1" s="1"/>
  <c r="D728" i="1"/>
  <c r="D729" i="1" s="1"/>
  <c r="D730" i="1" s="1"/>
  <c r="D723" i="1"/>
  <c r="D724" i="1" s="1"/>
  <c r="D725" i="1" s="1"/>
  <c r="K722" i="1"/>
  <c r="K723" i="1" s="1"/>
  <c r="K724" i="1" s="1"/>
  <c r="K725" i="1" s="1"/>
  <c r="D722" i="1"/>
  <c r="K710" i="1"/>
  <c r="K711" i="1" s="1"/>
  <c r="K712" i="1" s="1"/>
  <c r="K713" i="1" s="1"/>
  <c r="K714" i="1" s="1"/>
  <c r="K715" i="1" s="1"/>
  <c r="K716" i="1" s="1"/>
  <c r="K717" i="1" s="1"/>
  <c r="K718" i="1" s="1"/>
  <c r="K719" i="1" s="1"/>
  <c r="K720" i="1" s="1"/>
  <c r="D710" i="1"/>
  <c r="D711" i="1" s="1"/>
  <c r="D712" i="1" s="1"/>
  <c r="D713" i="1" s="1"/>
  <c r="D714" i="1" s="1"/>
  <c r="D715" i="1" s="1"/>
  <c r="D716" i="1" s="1"/>
  <c r="D717" i="1" s="1"/>
  <c r="D718" i="1" s="1"/>
  <c r="D719" i="1" s="1"/>
  <c r="D720" i="1" s="1"/>
  <c r="K700" i="1"/>
  <c r="K701" i="1" s="1"/>
  <c r="K702" i="1" s="1"/>
  <c r="K703" i="1" s="1"/>
  <c r="K704" i="1" s="1"/>
  <c r="K705" i="1" s="1"/>
  <c r="K706" i="1" s="1"/>
  <c r="K707" i="1" s="1"/>
  <c r="K708" i="1" s="1"/>
  <c r="D700" i="1"/>
  <c r="D701" i="1" s="1"/>
  <c r="D702" i="1" s="1"/>
  <c r="D703" i="1" s="1"/>
  <c r="D704" i="1" s="1"/>
  <c r="D705" i="1" s="1"/>
  <c r="D706" i="1" s="1"/>
  <c r="D707" i="1" s="1"/>
  <c r="D708" i="1" s="1"/>
  <c r="K697" i="1"/>
  <c r="K698" i="1" s="1"/>
  <c r="D697" i="1"/>
  <c r="D698" i="1" s="1"/>
  <c r="K692" i="1"/>
  <c r="K693" i="1" s="1"/>
  <c r="K694" i="1" s="1"/>
  <c r="K695" i="1" s="1"/>
  <c r="D692" i="1"/>
  <c r="D693" i="1" s="1"/>
  <c r="D694" i="1" s="1"/>
  <c r="D695" i="1" s="1"/>
  <c r="K690" i="1"/>
  <c r="D690" i="1"/>
  <c r="K688" i="1"/>
  <c r="D688" i="1"/>
  <c r="K683" i="1"/>
  <c r="K684" i="1" s="1"/>
  <c r="K685" i="1" s="1"/>
  <c r="K686" i="1" s="1"/>
  <c r="D683" i="1"/>
  <c r="D684" i="1" s="1"/>
  <c r="D685" i="1" s="1"/>
  <c r="D686" i="1" s="1"/>
  <c r="K679" i="1"/>
  <c r="K680" i="1" s="1"/>
  <c r="K681" i="1" s="1"/>
  <c r="D679" i="1"/>
  <c r="D680" i="1" s="1"/>
  <c r="D681" i="1" s="1"/>
  <c r="K671" i="1"/>
  <c r="K672" i="1" s="1"/>
  <c r="K673" i="1" s="1"/>
  <c r="K674" i="1" s="1"/>
  <c r="K675" i="1" s="1"/>
  <c r="K676" i="1" s="1"/>
  <c r="K677" i="1" s="1"/>
  <c r="D671" i="1"/>
  <c r="D672" i="1" s="1"/>
  <c r="D673" i="1" s="1"/>
  <c r="D674" i="1" s="1"/>
  <c r="D675" i="1" s="1"/>
  <c r="D676" i="1" s="1"/>
  <c r="D677" i="1" s="1"/>
  <c r="K668" i="1"/>
  <c r="K669" i="1" s="1"/>
  <c r="D668" i="1"/>
  <c r="D669" i="1" s="1"/>
  <c r="K666" i="1"/>
  <c r="D666" i="1"/>
  <c r="K660" i="1"/>
  <c r="K661" i="1" s="1"/>
  <c r="K662" i="1" s="1"/>
  <c r="K663" i="1" s="1"/>
  <c r="K664" i="1" s="1"/>
  <c r="D660" i="1"/>
  <c r="D661" i="1" s="1"/>
  <c r="D662" i="1" s="1"/>
  <c r="D663" i="1" s="1"/>
  <c r="D664" i="1" s="1"/>
  <c r="K656" i="1"/>
  <c r="K657" i="1" s="1"/>
  <c r="D656" i="1"/>
  <c r="D657" i="1" s="1"/>
  <c r="K647" i="1"/>
  <c r="K648" i="1" s="1"/>
  <c r="K649" i="1" s="1"/>
  <c r="K650" i="1" s="1"/>
  <c r="K651" i="1" s="1"/>
  <c r="K652" i="1" s="1"/>
  <c r="K653" i="1" s="1"/>
  <c r="K654" i="1" s="1"/>
  <c r="K646" i="1"/>
  <c r="D646" i="1"/>
  <c r="D647" i="1" s="1"/>
  <c r="D648" i="1" s="1"/>
  <c r="D649" i="1" s="1"/>
  <c r="D650" i="1" s="1"/>
  <c r="D651" i="1" s="1"/>
  <c r="D652" i="1" s="1"/>
  <c r="D653" i="1" s="1"/>
  <c r="D654" i="1" s="1"/>
  <c r="K638" i="1"/>
  <c r="K639" i="1" s="1"/>
  <c r="K640" i="1" s="1"/>
  <c r="K641" i="1" s="1"/>
  <c r="K642" i="1" s="1"/>
  <c r="D638" i="1"/>
  <c r="D639" i="1" s="1"/>
  <c r="D640" i="1" s="1"/>
  <c r="D641" i="1" s="1"/>
  <c r="D642" i="1" s="1"/>
  <c r="K618" i="1"/>
  <c r="K619" i="1" s="1"/>
  <c r="K620" i="1" s="1"/>
  <c r="K621" i="1" s="1"/>
  <c r="K622" i="1" s="1"/>
  <c r="K623" i="1" s="1"/>
  <c r="K624" i="1" s="1"/>
  <c r="K625" i="1" s="1"/>
  <c r="K626" i="1" s="1"/>
  <c r="K627" i="1" s="1"/>
  <c r="K628" i="1" s="1"/>
  <c r="K629" i="1" s="1"/>
  <c r="K630" i="1" s="1"/>
  <c r="K631" i="1" s="1"/>
  <c r="K632" i="1" s="1"/>
  <c r="K633" i="1" s="1"/>
  <c r="K634" i="1" s="1"/>
  <c r="K635" i="1" s="1"/>
  <c r="K636" i="1" s="1"/>
  <c r="D618" i="1"/>
  <c r="D619" i="1" s="1"/>
  <c r="D620" i="1" s="1"/>
  <c r="D621" i="1" s="1"/>
  <c r="D622" i="1" s="1"/>
  <c r="D623" i="1" s="1"/>
  <c r="D624" i="1" s="1"/>
  <c r="D625" i="1" s="1"/>
  <c r="D626" i="1" s="1"/>
  <c r="D627" i="1" s="1"/>
  <c r="D628" i="1" s="1"/>
  <c r="D629" i="1" s="1"/>
  <c r="D630" i="1" s="1"/>
  <c r="D631" i="1" s="1"/>
  <c r="D632" i="1" s="1"/>
  <c r="D633" i="1" s="1"/>
  <c r="D634" i="1" s="1"/>
  <c r="D635" i="1" s="1"/>
  <c r="D636" i="1" s="1"/>
  <c r="K613" i="1"/>
  <c r="K614" i="1" s="1"/>
  <c r="K615" i="1" s="1"/>
  <c r="K616" i="1" s="1"/>
  <c r="D613" i="1"/>
  <c r="D614" i="1" s="1"/>
  <c r="D615" i="1" s="1"/>
  <c r="D616" i="1" s="1"/>
  <c r="K601" i="1"/>
  <c r="K602" i="1" s="1"/>
  <c r="K603" i="1" s="1"/>
  <c r="K604" i="1" s="1"/>
  <c r="K605" i="1" s="1"/>
  <c r="K606" i="1" s="1"/>
  <c r="K607" i="1" s="1"/>
  <c r="K608" i="1" s="1"/>
  <c r="K609" i="1" s="1"/>
  <c r="K610" i="1" s="1"/>
  <c r="K611" i="1" s="1"/>
  <c r="D601" i="1"/>
  <c r="D602" i="1" s="1"/>
  <c r="D603" i="1" s="1"/>
  <c r="D604" i="1" s="1"/>
  <c r="D605" i="1" s="1"/>
  <c r="D606" i="1" s="1"/>
  <c r="D607" i="1" s="1"/>
  <c r="D608" i="1" s="1"/>
  <c r="D609" i="1" s="1"/>
  <c r="D610" i="1" s="1"/>
  <c r="D611" i="1" s="1"/>
  <c r="K591" i="1"/>
  <c r="K592" i="1" s="1"/>
  <c r="K593" i="1" s="1"/>
  <c r="K594" i="1" s="1"/>
  <c r="K595" i="1" s="1"/>
  <c r="K596" i="1" s="1"/>
  <c r="K597" i="1" s="1"/>
  <c r="K598" i="1" s="1"/>
  <c r="K599" i="1" s="1"/>
  <c r="D591" i="1"/>
  <c r="D592" i="1" s="1"/>
  <c r="D593" i="1" s="1"/>
  <c r="D594" i="1" s="1"/>
  <c r="D595" i="1" s="1"/>
  <c r="D596" i="1" s="1"/>
  <c r="D597" i="1" s="1"/>
  <c r="D598" i="1" s="1"/>
  <c r="D599" i="1" s="1"/>
  <c r="K587" i="1"/>
  <c r="K588" i="1" s="1"/>
  <c r="K589" i="1" s="1"/>
  <c r="D587" i="1"/>
  <c r="D588" i="1" s="1"/>
  <c r="D589" i="1" s="1"/>
  <c r="K574" i="1"/>
  <c r="K575" i="1" s="1"/>
  <c r="K576" i="1" s="1"/>
  <c r="K577" i="1" s="1"/>
  <c r="K578" i="1" s="1"/>
  <c r="K579" i="1" s="1"/>
  <c r="K580" i="1" s="1"/>
  <c r="K581" i="1" s="1"/>
  <c r="K582" i="1" s="1"/>
  <c r="K583" i="1" s="1"/>
  <c r="K584" i="1" s="1"/>
  <c r="K585" i="1" s="1"/>
  <c r="D574" i="1"/>
  <c r="D575" i="1" s="1"/>
  <c r="D576" i="1" s="1"/>
  <c r="D577" i="1" s="1"/>
  <c r="D578" i="1" s="1"/>
  <c r="D579" i="1" s="1"/>
  <c r="D580" i="1" s="1"/>
  <c r="D581" i="1" s="1"/>
  <c r="D582" i="1" s="1"/>
  <c r="D583" i="1" s="1"/>
  <c r="D584" i="1" s="1"/>
  <c r="D585" i="1" s="1"/>
  <c r="K571" i="1"/>
  <c r="K572" i="1" s="1"/>
  <c r="D571" i="1"/>
  <c r="D572" i="1" s="1"/>
  <c r="K569" i="1"/>
  <c r="D569" i="1"/>
  <c r="K564" i="1"/>
  <c r="K565" i="1" s="1"/>
  <c r="K566" i="1" s="1"/>
  <c r="K567" i="1" s="1"/>
  <c r="D564" i="1"/>
  <c r="D565" i="1" s="1"/>
  <c r="D566" i="1" s="1"/>
  <c r="D567" i="1" s="1"/>
  <c r="K561" i="1"/>
  <c r="K562" i="1" s="1"/>
  <c r="D561" i="1"/>
  <c r="D562" i="1" s="1"/>
  <c r="K556" i="1"/>
  <c r="K557" i="1" s="1"/>
  <c r="K558" i="1" s="1"/>
  <c r="K559" i="1" s="1"/>
  <c r="D556" i="1"/>
  <c r="D557" i="1" s="1"/>
  <c r="D558" i="1" s="1"/>
  <c r="D559" i="1" s="1"/>
  <c r="K553" i="1"/>
  <c r="K554" i="1" s="1"/>
  <c r="D553" i="1"/>
  <c r="D554" i="1" s="1"/>
  <c r="K548" i="1"/>
  <c r="K549" i="1" s="1"/>
  <c r="K550" i="1" s="1"/>
  <c r="K551" i="1" s="1"/>
  <c r="K547" i="1"/>
  <c r="D547" i="1"/>
  <c r="D548" i="1" s="1"/>
  <c r="D549" i="1" s="1"/>
  <c r="D550" i="1" s="1"/>
  <c r="D551" i="1" s="1"/>
  <c r="K534" i="1"/>
  <c r="K535" i="1" s="1"/>
  <c r="K536" i="1" s="1"/>
  <c r="K537" i="1" s="1"/>
  <c r="K538" i="1" s="1"/>
  <c r="K539" i="1" s="1"/>
  <c r="K540" i="1" s="1"/>
  <c r="K541" i="1" s="1"/>
  <c r="K542" i="1" s="1"/>
  <c r="K543" i="1" s="1"/>
  <c r="K544" i="1" s="1"/>
  <c r="D534" i="1"/>
  <c r="D535" i="1" s="1"/>
  <c r="D536" i="1" s="1"/>
  <c r="D537" i="1" s="1"/>
  <c r="D538" i="1" s="1"/>
  <c r="D539" i="1" s="1"/>
  <c r="D540" i="1" s="1"/>
  <c r="D541" i="1" s="1"/>
  <c r="D542" i="1" s="1"/>
  <c r="D543" i="1" s="1"/>
  <c r="D544" i="1" s="1"/>
  <c r="K532" i="1"/>
  <c r="D532" i="1"/>
  <c r="K527" i="1"/>
  <c r="K528" i="1" s="1"/>
  <c r="K529" i="1" s="1"/>
  <c r="K530" i="1" s="1"/>
  <c r="D527" i="1"/>
  <c r="D528" i="1" s="1"/>
  <c r="D529" i="1" s="1"/>
  <c r="D530" i="1" s="1"/>
  <c r="K525" i="1"/>
  <c r="D525" i="1"/>
  <c r="K520" i="1"/>
  <c r="K521" i="1" s="1"/>
  <c r="K522" i="1" s="1"/>
  <c r="K523" i="1" s="1"/>
  <c r="D520" i="1"/>
  <c r="D521" i="1" s="1"/>
  <c r="D522" i="1" s="1"/>
  <c r="D523" i="1" s="1"/>
  <c r="K516" i="1"/>
  <c r="K517" i="1" s="1"/>
  <c r="K518" i="1" s="1"/>
  <c r="K515" i="1"/>
  <c r="D515" i="1"/>
  <c r="D516" i="1" s="1"/>
  <c r="D517" i="1" s="1"/>
  <c r="D518" i="1" s="1"/>
  <c r="K510" i="1"/>
  <c r="K511" i="1" s="1"/>
  <c r="K512" i="1" s="1"/>
  <c r="D510" i="1"/>
  <c r="D511" i="1" s="1"/>
  <c r="D512" i="1" s="1"/>
  <c r="K503" i="1"/>
  <c r="K504" i="1" s="1"/>
  <c r="K505" i="1" s="1"/>
  <c r="K506" i="1" s="1"/>
  <c r="K507" i="1" s="1"/>
  <c r="K508" i="1" s="1"/>
  <c r="D503" i="1"/>
  <c r="D504" i="1" s="1"/>
  <c r="D505" i="1" s="1"/>
  <c r="D506" i="1" s="1"/>
  <c r="D507" i="1" s="1"/>
  <c r="D508" i="1" s="1"/>
  <c r="K499" i="1"/>
  <c r="K500" i="1" s="1"/>
  <c r="K501" i="1" s="1"/>
  <c r="D499" i="1"/>
  <c r="D500" i="1" s="1"/>
  <c r="D501" i="1" s="1"/>
  <c r="K495" i="1"/>
  <c r="K496" i="1" s="1"/>
  <c r="D495" i="1"/>
  <c r="D496" i="1" s="1"/>
  <c r="K489" i="1"/>
  <c r="K490" i="1" s="1"/>
  <c r="K491" i="1" s="1"/>
  <c r="K492" i="1" s="1"/>
  <c r="K493" i="1" s="1"/>
  <c r="K488" i="1"/>
  <c r="D488" i="1"/>
  <c r="D489" i="1" s="1"/>
  <c r="D490" i="1" s="1"/>
  <c r="D491" i="1" s="1"/>
  <c r="D492" i="1" s="1"/>
  <c r="D493" i="1" s="1"/>
  <c r="K485" i="1"/>
  <c r="K486" i="1" s="1"/>
  <c r="D485" i="1"/>
  <c r="D486" i="1" s="1"/>
  <c r="K481" i="1"/>
  <c r="D481" i="1"/>
  <c r="K479" i="1"/>
  <c r="D479" i="1"/>
  <c r="K473" i="1"/>
  <c r="K474" i="1" s="1"/>
  <c r="K475" i="1" s="1"/>
  <c r="K476" i="1" s="1"/>
  <c r="K477" i="1" s="1"/>
  <c r="D473" i="1"/>
  <c r="D474" i="1" s="1"/>
  <c r="D475" i="1" s="1"/>
  <c r="D476" i="1" s="1"/>
  <c r="D477" i="1" s="1"/>
  <c r="K462" i="1"/>
  <c r="K463" i="1" s="1"/>
  <c r="K464" i="1" s="1"/>
  <c r="K465" i="1" s="1"/>
  <c r="K466" i="1" s="1"/>
  <c r="K467" i="1" s="1"/>
  <c r="K468" i="1" s="1"/>
  <c r="K469" i="1" s="1"/>
  <c r="K470" i="1" s="1"/>
  <c r="K471" i="1" s="1"/>
  <c r="D462" i="1"/>
  <c r="D463" i="1" s="1"/>
  <c r="D464" i="1" s="1"/>
  <c r="D465" i="1" s="1"/>
  <c r="D466" i="1" s="1"/>
  <c r="D467" i="1" s="1"/>
  <c r="D468" i="1" s="1"/>
  <c r="D469" i="1" s="1"/>
  <c r="D470" i="1" s="1"/>
  <c r="D471" i="1" s="1"/>
  <c r="K460" i="1"/>
  <c r="D460" i="1"/>
  <c r="K458" i="1"/>
  <c r="D458" i="1"/>
  <c r="K456" i="1"/>
  <c r="D456" i="1"/>
  <c r="K454" i="1"/>
  <c r="D454" i="1"/>
  <c r="K442" i="1"/>
  <c r="K443" i="1" s="1"/>
  <c r="K444" i="1" s="1"/>
  <c r="K445" i="1" s="1"/>
  <c r="K446" i="1" s="1"/>
  <c r="K447" i="1" s="1"/>
  <c r="K448" i="1" s="1"/>
  <c r="K449" i="1" s="1"/>
  <c r="K450" i="1" s="1"/>
  <c r="K451" i="1" s="1"/>
  <c r="D442" i="1"/>
  <c r="D443" i="1" s="1"/>
  <c r="D444" i="1" s="1"/>
  <c r="D445" i="1" s="1"/>
  <c r="D446" i="1" s="1"/>
  <c r="D447" i="1" s="1"/>
  <c r="D448" i="1" s="1"/>
  <c r="D449" i="1" s="1"/>
  <c r="D450" i="1" s="1"/>
  <c r="D451" i="1" s="1"/>
  <c r="K432" i="1"/>
  <c r="K433" i="1" s="1"/>
  <c r="K434" i="1" s="1"/>
  <c r="K435" i="1" s="1"/>
  <c r="K436" i="1" s="1"/>
  <c r="K437" i="1" s="1"/>
  <c r="K438" i="1" s="1"/>
  <c r="K439" i="1" s="1"/>
  <c r="K440" i="1" s="1"/>
  <c r="D432" i="1"/>
  <c r="D433" i="1" s="1"/>
  <c r="D434" i="1" s="1"/>
  <c r="D435" i="1" s="1"/>
  <c r="D436" i="1" s="1"/>
  <c r="D437" i="1" s="1"/>
  <c r="D438" i="1" s="1"/>
  <c r="D439" i="1" s="1"/>
  <c r="D440" i="1" s="1"/>
  <c r="K424" i="1"/>
  <c r="K425" i="1" s="1"/>
  <c r="K426" i="1" s="1"/>
  <c r="K427" i="1" s="1"/>
  <c r="K428" i="1" s="1"/>
  <c r="K429" i="1" s="1"/>
  <c r="K430" i="1" s="1"/>
  <c r="D424" i="1"/>
  <c r="D425" i="1" s="1"/>
  <c r="D426" i="1" s="1"/>
  <c r="D427" i="1" s="1"/>
  <c r="D428" i="1" s="1"/>
  <c r="D429" i="1" s="1"/>
  <c r="D430" i="1" s="1"/>
  <c r="K419" i="1"/>
  <c r="K420" i="1" s="1"/>
  <c r="K421" i="1" s="1"/>
  <c r="D419" i="1"/>
  <c r="D420" i="1" s="1"/>
  <c r="D421" i="1" s="1"/>
  <c r="K404" i="1"/>
  <c r="K405" i="1" s="1"/>
  <c r="K406" i="1" s="1"/>
  <c r="K407" i="1" s="1"/>
  <c r="K408" i="1" s="1"/>
  <c r="K409" i="1" s="1"/>
  <c r="K410" i="1" s="1"/>
  <c r="K411" i="1" s="1"/>
  <c r="K412" i="1" s="1"/>
  <c r="K413" i="1" s="1"/>
  <c r="K414" i="1" s="1"/>
  <c r="K415" i="1" s="1"/>
  <c r="K416" i="1" s="1"/>
  <c r="K417" i="1" s="1"/>
  <c r="D404" i="1"/>
  <c r="D405" i="1" s="1"/>
  <c r="D406" i="1" s="1"/>
  <c r="D407" i="1" s="1"/>
  <c r="D408" i="1" s="1"/>
  <c r="D409" i="1" s="1"/>
  <c r="D410" i="1" s="1"/>
  <c r="D411" i="1" s="1"/>
  <c r="D412" i="1" s="1"/>
  <c r="D413" i="1" s="1"/>
  <c r="D414" i="1" s="1"/>
  <c r="D415" i="1" s="1"/>
  <c r="D416" i="1" s="1"/>
  <c r="D417" i="1" s="1"/>
  <c r="K401" i="1"/>
  <c r="K402" i="1" s="1"/>
  <c r="K395" i="1"/>
  <c r="K396" i="1" s="1"/>
  <c r="K397" i="1" s="1"/>
  <c r="K398" i="1" s="1"/>
  <c r="K399" i="1" s="1"/>
  <c r="K400" i="1" s="1"/>
  <c r="D395" i="1"/>
  <c r="D396" i="1" s="1"/>
  <c r="D397" i="1" s="1"/>
  <c r="D398" i="1" s="1"/>
  <c r="D399" i="1" s="1"/>
  <c r="D400" i="1" s="1"/>
  <c r="D401" i="1" s="1"/>
  <c r="D402" i="1" s="1"/>
  <c r="K392" i="1"/>
  <c r="D392" i="1"/>
  <c r="K388" i="1"/>
  <c r="K389" i="1" s="1"/>
  <c r="D388" i="1"/>
  <c r="D389" i="1" s="1"/>
  <c r="K376" i="1"/>
  <c r="K377" i="1" s="1"/>
  <c r="K378" i="1" s="1"/>
  <c r="K379" i="1" s="1"/>
  <c r="K380" i="1" s="1"/>
  <c r="K381" i="1" s="1"/>
  <c r="K382" i="1" s="1"/>
  <c r="D376" i="1"/>
  <c r="D377" i="1" s="1"/>
  <c r="D378" i="1" s="1"/>
  <c r="D379" i="1" s="1"/>
  <c r="D380" i="1" s="1"/>
  <c r="D381" i="1" s="1"/>
  <c r="D382" i="1" s="1"/>
  <c r="K371" i="1"/>
  <c r="K372" i="1" s="1"/>
  <c r="K373" i="1" s="1"/>
  <c r="D371" i="1"/>
  <c r="D372" i="1" s="1"/>
  <c r="D373" i="1" s="1"/>
  <c r="K366" i="1"/>
  <c r="K367" i="1" s="1"/>
  <c r="K368" i="1" s="1"/>
  <c r="K369" i="1" s="1"/>
  <c r="D366" i="1"/>
  <c r="D367" i="1" s="1"/>
  <c r="D368" i="1" s="1"/>
  <c r="D369" i="1" s="1"/>
  <c r="K362" i="1"/>
  <c r="K363" i="1" s="1"/>
  <c r="K364" i="1" s="1"/>
  <c r="D362" i="1"/>
  <c r="D363" i="1" s="1"/>
  <c r="D364" i="1" s="1"/>
  <c r="K360" i="1"/>
  <c r="D360" i="1"/>
  <c r="K353" i="1"/>
  <c r="K354" i="1" s="1"/>
  <c r="K355" i="1" s="1"/>
  <c r="K356" i="1" s="1"/>
  <c r="K357" i="1" s="1"/>
  <c r="K358" i="1" s="1"/>
  <c r="D353" i="1"/>
  <c r="D354" i="1" s="1"/>
  <c r="D355" i="1" s="1"/>
  <c r="D356" i="1" s="1"/>
  <c r="D357" i="1" s="1"/>
  <c r="D358" i="1" s="1"/>
  <c r="K349" i="1"/>
  <c r="K350" i="1" s="1"/>
  <c r="K351" i="1" s="1"/>
  <c r="D349" i="1"/>
  <c r="D350" i="1" s="1"/>
  <c r="D351" i="1" s="1"/>
  <c r="K345" i="1"/>
  <c r="K346" i="1" s="1"/>
  <c r="K347" i="1" s="1"/>
  <c r="D345" i="1"/>
  <c r="D346" i="1" s="1"/>
  <c r="D347" i="1" s="1"/>
  <c r="K339" i="1"/>
  <c r="K340" i="1" s="1"/>
  <c r="K341" i="1" s="1"/>
  <c r="K342" i="1" s="1"/>
  <c r="K343" i="1" s="1"/>
  <c r="D339" i="1"/>
  <c r="D340" i="1" s="1"/>
  <c r="D341" i="1" s="1"/>
  <c r="D342" i="1" s="1"/>
  <c r="D343" i="1" s="1"/>
  <c r="K332" i="1"/>
  <c r="K333" i="1" s="1"/>
  <c r="K334" i="1" s="1"/>
  <c r="K335" i="1" s="1"/>
  <c r="K336" i="1" s="1"/>
  <c r="D332" i="1"/>
  <c r="D333" i="1" s="1"/>
  <c r="D334" i="1" s="1"/>
  <c r="D335" i="1" s="1"/>
  <c r="D336" i="1" s="1"/>
  <c r="K327" i="1"/>
  <c r="K328" i="1" s="1"/>
  <c r="K329" i="1" s="1"/>
  <c r="K330" i="1" s="1"/>
  <c r="D327" i="1"/>
  <c r="D328" i="1" s="1"/>
  <c r="D329" i="1" s="1"/>
  <c r="D330" i="1" s="1"/>
  <c r="K323" i="1"/>
  <c r="K324" i="1" s="1"/>
  <c r="K325" i="1" s="1"/>
  <c r="D323" i="1"/>
  <c r="D324" i="1" s="1"/>
  <c r="D325" i="1" s="1"/>
  <c r="K314" i="1"/>
  <c r="K315" i="1" s="1"/>
  <c r="K316" i="1" s="1"/>
  <c r="K317" i="1" s="1"/>
  <c r="K318" i="1" s="1"/>
  <c r="K319" i="1" s="1"/>
  <c r="K320" i="1" s="1"/>
  <c r="K321" i="1" s="1"/>
  <c r="D314" i="1"/>
  <c r="D315" i="1" s="1"/>
  <c r="D316" i="1" s="1"/>
  <c r="D317" i="1" s="1"/>
  <c r="D318" i="1" s="1"/>
  <c r="D319" i="1" s="1"/>
  <c r="D320" i="1" s="1"/>
  <c r="D321" i="1" s="1"/>
  <c r="K308" i="1"/>
  <c r="K309" i="1" s="1"/>
  <c r="K310" i="1" s="1"/>
  <c r="K311" i="1" s="1"/>
  <c r="K312" i="1" s="1"/>
  <c r="D308" i="1"/>
  <c r="D309" i="1" s="1"/>
  <c r="D310" i="1" s="1"/>
  <c r="D311" i="1" s="1"/>
  <c r="D312" i="1" s="1"/>
  <c r="K300" i="1"/>
  <c r="K301" i="1" s="1"/>
  <c r="K302" i="1" s="1"/>
  <c r="K303" i="1" s="1"/>
  <c r="K304" i="1" s="1"/>
  <c r="K305" i="1" s="1"/>
  <c r="K306" i="1" s="1"/>
  <c r="D300" i="1"/>
  <c r="D301" i="1" s="1"/>
  <c r="D302" i="1" s="1"/>
  <c r="D303" i="1" s="1"/>
  <c r="D304" i="1" s="1"/>
  <c r="D305" i="1" s="1"/>
  <c r="D306" i="1" s="1"/>
  <c r="K292" i="1"/>
  <c r="K293" i="1" s="1"/>
  <c r="K294" i="1" s="1"/>
  <c r="K295" i="1" s="1"/>
  <c r="K296" i="1" s="1"/>
  <c r="K297" i="1" s="1"/>
  <c r="K298" i="1" s="1"/>
  <c r="D292" i="1"/>
  <c r="D293" i="1" s="1"/>
  <c r="D294" i="1" s="1"/>
  <c r="D295" i="1" s="1"/>
  <c r="D296" i="1" s="1"/>
  <c r="D297" i="1" s="1"/>
  <c r="D298" i="1" s="1"/>
  <c r="K288" i="1"/>
  <c r="K289" i="1" s="1"/>
  <c r="K290" i="1" s="1"/>
  <c r="D288" i="1"/>
  <c r="D289" i="1" s="1"/>
  <c r="D290" i="1" s="1"/>
  <c r="K282" i="1"/>
  <c r="K283" i="1" s="1"/>
  <c r="K284" i="1" s="1"/>
  <c r="K285" i="1" s="1"/>
  <c r="D282" i="1"/>
  <c r="D283" i="1" s="1"/>
  <c r="D284" i="1" s="1"/>
  <c r="D285" i="1" s="1"/>
  <c r="K280" i="1"/>
  <c r="K278" i="1"/>
  <c r="K279" i="1" s="1"/>
  <c r="D278" i="1"/>
  <c r="D279" i="1" s="1"/>
  <c r="D280" i="1" s="1"/>
  <c r="K274" i="1"/>
  <c r="K275" i="1" s="1"/>
  <c r="K276" i="1" s="1"/>
  <c r="D274" i="1"/>
  <c r="D275" i="1" s="1"/>
  <c r="D276" i="1" s="1"/>
  <c r="K272" i="1"/>
  <c r="D272" i="1"/>
  <c r="K264" i="1"/>
  <c r="K265" i="1" s="1"/>
  <c r="K266" i="1" s="1"/>
  <c r="K267" i="1" s="1"/>
  <c r="K268" i="1" s="1"/>
  <c r="K269" i="1" s="1"/>
  <c r="K270" i="1" s="1"/>
  <c r="D264" i="1"/>
  <c r="D265" i="1" s="1"/>
  <c r="D266" i="1" s="1"/>
  <c r="D267" i="1" s="1"/>
  <c r="D268" i="1" s="1"/>
  <c r="D269" i="1" s="1"/>
  <c r="D270" i="1" s="1"/>
  <c r="K261" i="1"/>
  <c r="K262" i="1" s="1"/>
  <c r="D261" i="1"/>
  <c r="D262" i="1" s="1"/>
  <c r="K258" i="1"/>
  <c r="K259" i="1" s="1"/>
  <c r="D258" i="1"/>
  <c r="D259" i="1" s="1"/>
  <c r="K254" i="1"/>
  <c r="K255" i="1" s="1"/>
  <c r="K256" i="1" s="1"/>
  <c r="D254" i="1"/>
  <c r="D255" i="1" s="1"/>
  <c r="D256" i="1" s="1"/>
  <c r="K248" i="1"/>
  <c r="K249" i="1" s="1"/>
  <c r="K250" i="1" s="1"/>
  <c r="K251" i="1" s="1"/>
  <c r="K252" i="1" s="1"/>
  <c r="D248" i="1"/>
  <c r="D249" i="1" s="1"/>
  <c r="D250" i="1" s="1"/>
  <c r="D251" i="1" s="1"/>
  <c r="D252" i="1" s="1"/>
  <c r="K237" i="1"/>
  <c r="K238" i="1" s="1"/>
  <c r="K239" i="1" s="1"/>
  <c r="K240" i="1" s="1"/>
  <c r="K241" i="1" s="1"/>
  <c r="K242" i="1" s="1"/>
  <c r="K243" i="1" s="1"/>
  <c r="K244" i="1" s="1"/>
  <c r="K245" i="1" s="1"/>
  <c r="K246" i="1" s="1"/>
  <c r="D237" i="1"/>
  <c r="D238" i="1" s="1"/>
  <c r="D239" i="1" s="1"/>
  <c r="D240" i="1" s="1"/>
  <c r="D241" i="1" s="1"/>
  <c r="D242" i="1" s="1"/>
  <c r="D243" i="1" s="1"/>
  <c r="D244" i="1" s="1"/>
  <c r="D245" i="1" s="1"/>
  <c r="D246" i="1" s="1"/>
  <c r="K233" i="1"/>
  <c r="K234" i="1" s="1"/>
  <c r="D233" i="1"/>
  <c r="D234" i="1" s="1"/>
  <c r="K222" i="1"/>
  <c r="K223" i="1" s="1"/>
  <c r="K224" i="1" s="1"/>
  <c r="K225" i="1" s="1"/>
  <c r="K226" i="1" s="1"/>
  <c r="K227" i="1" s="1"/>
  <c r="K228" i="1" s="1"/>
  <c r="K229" i="1" s="1"/>
  <c r="K230" i="1" s="1"/>
  <c r="K231" i="1" s="1"/>
  <c r="D222" i="1"/>
  <c r="D223" i="1" s="1"/>
  <c r="D224" i="1" s="1"/>
  <c r="D225" i="1" s="1"/>
  <c r="D226" i="1" s="1"/>
  <c r="D227" i="1" s="1"/>
  <c r="D228" i="1" s="1"/>
  <c r="D229" i="1" s="1"/>
  <c r="D230" i="1" s="1"/>
  <c r="D231" i="1" s="1"/>
  <c r="K213" i="1"/>
  <c r="K214" i="1" s="1"/>
  <c r="K215" i="1" s="1"/>
  <c r="K216" i="1" s="1"/>
  <c r="K217" i="1" s="1"/>
  <c r="K218" i="1" s="1"/>
  <c r="K219" i="1" s="1"/>
  <c r="D213" i="1"/>
  <c r="D214" i="1" s="1"/>
  <c r="D215" i="1" s="1"/>
  <c r="D216" i="1" s="1"/>
  <c r="D217" i="1" s="1"/>
  <c r="D218" i="1" s="1"/>
  <c r="D219" i="1" s="1"/>
  <c r="K211" i="1"/>
  <c r="D211" i="1"/>
  <c r="K203" i="1"/>
  <c r="K204" i="1" s="1"/>
  <c r="K205" i="1" s="1"/>
  <c r="K206" i="1" s="1"/>
  <c r="K207" i="1" s="1"/>
  <c r="K208" i="1" s="1"/>
  <c r="K209" i="1" s="1"/>
  <c r="D203" i="1"/>
  <c r="D204" i="1" s="1"/>
  <c r="D205" i="1" s="1"/>
  <c r="D206" i="1" s="1"/>
  <c r="D207" i="1" s="1"/>
  <c r="D208" i="1" s="1"/>
  <c r="D209" i="1" s="1"/>
  <c r="K200" i="1"/>
  <c r="K201" i="1" s="1"/>
  <c r="D200" i="1"/>
  <c r="D201" i="1" s="1"/>
  <c r="K193" i="1"/>
  <c r="K194" i="1" s="1"/>
  <c r="K195" i="1" s="1"/>
  <c r="K196" i="1" s="1"/>
  <c r="K197" i="1" s="1"/>
  <c r="K198" i="1" s="1"/>
  <c r="D193" i="1"/>
  <c r="D194" i="1" s="1"/>
  <c r="D195" i="1" s="1"/>
  <c r="D196" i="1" s="1"/>
  <c r="D197" i="1" s="1"/>
  <c r="D198" i="1" s="1"/>
  <c r="K188" i="1"/>
  <c r="K189" i="1" s="1"/>
  <c r="K190" i="1" s="1"/>
  <c r="K191" i="1" s="1"/>
  <c r="D188" i="1"/>
  <c r="D189" i="1" s="1"/>
  <c r="D190" i="1" s="1"/>
  <c r="D191" i="1" s="1"/>
  <c r="K181" i="1"/>
  <c r="K182" i="1" s="1"/>
  <c r="K183" i="1" s="1"/>
  <c r="K184" i="1" s="1"/>
  <c r="K185" i="1" s="1"/>
  <c r="K186" i="1" s="1"/>
  <c r="D181" i="1"/>
  <c r="D182" i="1" s="1"/>
  <c r="D183" i="1" s="1"/>
  <c r="D184" i="1" s="1"/>
  <c r="D185" i="1" s="1"/>
  <c r="D186" i="1" s="1"/>
  <c r="K177" i="1"/>
  <c r="K178" i="1" s="1"/>
  <c r="K179" i="1" s="1"/>
  <c r="D177" i="1"/>
  <c r="D178" i="1" s="1"/>
  <c r="D179" i="1" s="1"/>
  <c r="K166" i="1"/>
  <c r="K167" i="1" s="1"/>
  <c r="K168" i="1" s="1"/>
  <c r="K169" i="1" s="1"/>
  <c r="K170" i="1" s="1"/>
  <c r="K171" i="1" s="1"/>
  <c r="K172" i="1" s="1"/>
  <c r="K173" i="1" s="1"/>
  <c r="K174" i="1" s="1"/>
  <c r="K175" i="1" s="1"/>
  <c r="D166" i="1"/>
  <c r="D167" i="1" s="1"/>
  <c r="D168" i="1" s="1"/>
  <c r="D169" i="1" s="1"/>
  <c r="D170" i="1" s="1"/>
  <c r="D171" i="1" s="1"/>
  <c r="D172" i="1" s="1"/>
  <c r="D173" i="1" s="1"/>
  <c r="D174" i="1" s="1"/>
  <c r="D175" i="1" s="1"/>
  <c r="K162" i="1"/>
  <c r="K163" i="1" s="1"/>
  <c r="K164" i="1" s="1"/>
  <c r="D162" i="1"/>
  <c r="D163" i="1" s="1"/>
  <c r="D164" i="1" s="1"/>
  <c r="K156" i="1"/>
  <c r="K157" i="1" s="1"/>
  <c r="K158" i="1" s="1"/>
  <c r="K159" i="1" s="1"/>
  <c r="K160" i="1" s="1"/>
  <c r="D156" i="1"/>
  <c r="D157" i="1" s="1"/>
  <c r="D158" i="1" s="1"/>
  <c r="D159" i="1" s="1"/>
  <c r="D160" i="1" s="1"/>
  <c r="K149" i="1"/>
  <c r="K150" i="1" s="1"/>
  <c r="K151" i="1" s="1"/>
  <c r="K152" i="1" s="1"/>
  <c r="K153" i="1" s="1"/>
  <c r="K154" i="1" s="1"/>
  <c r="D149" i="1"/>
  <c r="D150" i="1" s="1"/>
  <c r="D151" i="1" s="1"/>
  <c r="D152" i="1" s="1"/>
  <c r="D153" i="1" s="1"/>
  <c r="D154" i="1" s="1"/>
  <c r="K146" i="1"/>
  <c r="K147" i="1" s="1"/>
  <c r="D146" i="1"/>
  <c r="D147" i="1" s="1"/>
  <c r="K140" i="1"/>
  <c r="K141" i="1" s="1"/>
  <c r="K142" i="1" s="1"/>
  <c r="K143" i="1" s="1"/>
  <c r="K144" i="1" s="1"/>
  <c r="D140" i="1"/>
  <c r="D141" i="1" s="1"/>
  <c r="D142" i="1" s="1"/>
  <c r="D143" i="1" s="1"/>
  <c r="D144" i="1" s="1"/>
  <c r="K136" i="1"/>
  <c r="K137" i="1" s="1"/>
  <c r="K138" i="1" s="1"/>
  <c r="D136" i="1"/>
  <c r="D137" i="1" s="1"/>
  <c r="D138" i="1" s="1"/>
  <c r="K127" i="1"/>
  <c r="K128" i="1" s="1"/>
  <c r="K129" i="1" s="1"/>
  <c r="K130" i="1" s="1"/>
  <c r="K131" i="1" s="1"/>
  <c r="K132" i="1" s="1"/>
  <c r="K133" i="1" s="1"/>
  <c r="K134" i="1" s="1"/>
  <c r="D127" i="1"/>
  <c r="D128" i="1" s="1"/>
  <c r="D129" i="1" s="1"/>
  <c r="D130" i="1" s="1"/>
  <c r="D131" i="1" s="1"/>
  <c r="D132" i="1" s="1"/>
  <c r="D133" i="1" s="1"/>
  <c r="D134" i="1" s="1"/>
  <c r="K123" i="1"/>
  <c r="K124" i="1" s="1"/>
  <c r="K125" i="1" s="1"/>
  <c r="D123" i="1"/>
  <c r="D124" i="1" s="1"/>
  <c r="D125" i="1" s="1"/>
  <c r="K113" i="1"/>
  <c r="K114" i="1" s="1"/>
  <c r="K115" i="1" s="1"/>
  <c r="K116" i="1" s="1"/>
  <c r="K117" i="1" s="1"/>
  <c r="K118" i="1" s="1"/>
  <c r="K119" i="1" s="1"/>
  <c r="K120" i="1" s="1"/>
  <c r="K121" i="1" s="1"/>
  <c r="D113" i="1"/>
  <c r="D114" i="1" s="1"/>
  <c r="D115" i="1" s="1"/>
  <c r="D116" i="1" s="1"/>
  <c r="D117" i="1" s="1"/>
  <c r="D118" i="1" s="1"/>
  <c r="D119" i="1" s="1"/>
  <c r="D120" i="1" s="1"/>
  <c r="D121" i="1" s="1"/>
  <c r="K109" i="1"/>
  <c r="K110" i="1" s="1"/>
  <c r="K111" i="1" s="1"/>
  <c r="D109" i="1"/>
  <c r="D110" i="1" s="1"/>
  <c r="D111" i="1" s="1"/>
  <c r="K106" i="1"/>
  <c r="K107" i="1" s="1"/>
  <c r="D106" i="1"/>
  <c r="D107" i="1" s="1"/>
  <c r="K100" i="1"/>
  <c r="K101" i="1" s="1"/>
  <c r="K102" i="1" s="1"/>
  <c r="K103" i="1" s="1"/>
  <c r="K104" i="1" s="1"/>
  <c r="D100" i="1"/>
  <c r="D101" i="1" s="1"/>
  <c r="D102" i="1" s="1"/>
  <c r="D103" i="1" s="1"/>
  <c r="D104" i="1" s="1"/>
  <c r="K97" i="1"/>
  <c r="K98" i="1" s="1"/>
  <c r="D97" i="1"/>
  <c r="D98" i="1" s="1"/>
  <c r="K91" i="1"/>
  <c r="K92" i="1" s="1"/>
  <c r="K93" i="1" s="1"/>
  <c r="K94" i="1" s="1"/>
  <c r="K95" i="1" s="1"/>
  <c r="D91" i="1"/>
  <c r="D92" i="1" s="1"/>
  <c r="D93" i="1" s="1"/>
  <c r="D94" i="1" s="1"/>
  <c r="D95" i="1" s="1"/>
  <c r="K87" i="1"/>
  <c r="K88" i="1" s="1"/>
  <c r="K89" i="1" s="1"/>
  <c r="D87" i="1"/>
  <c r="D88" i="1" s="1"/>
  <c r="D89" i="1" s="1"/>
  <c r="K80" i="1"/>
  <c r="K81" i="1" s="1"/>
  <c r="K82" i="1" s="1"/>
  <c r="K83" i="1" s="1"/>
  <c r="K84" i="1" s="1"/>
  <c r="K85" i="1" s="1"/>
  <c r="D80" i="1"/>
  <c r="D81" i="1" s="1"/>
  <c r="D82" i="1" s="1"/>
  <c r="D83" i="1" s="1"/>
  <c r="D84" i="1" s="1"/>
  <c r="D85" i="1" s="1"/>
  <c r="K72" i="1"/>
  <c r="K73" i="1" s="1"/>
  <c r="K74" i="1" s="1"/>
  <c r="K75" i="1" s="1"/>
  <c r="K76" i="1" s="1"/>
  <c r="K77" i="1" s="1"/>
  <c r="K78" i="1" s="1"/>
  <c r="D72" i="1"/>
  <c r="D73" i="1" s="1"/>
  <c r="D74" i="1" s="1"/>
  <c r="D75" i="1" s="1"/>
  <c r="D76" i="1" s="1"/>
  <c r="D77" i="1" s="1"/>
  <c r="D78" i="1" s="1"/>
  <c r="K69" i="1"/>
  <c r="K70" i="1" s="1"/>
  <c r="D69" i="1"/>
  <c r="D70" i="1" s="1"/>
  <c r="K66" i="1"/>
  <c r="K67" i="1" s="1"/>
  <c r="D66" i="1"/>
  <c r="D67" i="1" s="1"/>
  <c r="D63" i="1"/>
  <c r="D64" i="1" s="1"/>
  <c r="K62" i="1"/>
  <c r="K63" i="1" s="1"/>
  <c r="K64" i="1" s="1"/>
  <c r="D62" i="1"/>
  <c r="K56" i="1"/>
  <c r="K57" i="1" s="1"/>
  <c r="K58" i="1" s="1"/>
  <c r="K59" i="1" s="1"/>
  <c r="K60" i="1" s="1"/>
  <c r="D56" i="1"/>
  <c r="D57" i="1" s="1"/>
  <c r="D58" i="1" s="1"/>
  <c r="D59" i="1" s="1"/>
  <c r="D60" i="1" s="1"/>
  <c r="K52" i="1"/>
  <c r="K53" i="1" s="1"/>
  <c r="K54" i="1" s="1"/>
  <c r="D52" i="1"/>
  <c r="D53" i="1" s="1"/>
  <c r="D54" i="1" s="1"/>
  <c r="K47" i="1"/>
  <c r="K48" i="1" s="1"/>
  <c r="K49" i="1" s="1"/>
  <c r="K50" i="1" s="1"/>
  <c r="D47" i="1"/>
  <c r="D48" i="1" s="1"/>
  <c r="D49" i="1" s="1"/>
  <c r="D50" i="1" s="1"/>
  <c r="K41" i="1"/>
  <c r="K42" i="1" s="1"/>
  <c r="K43" i="1" s="1"/>
  <c r="K44" i="1" s="1"/>
  <c r="K45" i="1" s="1"/>
  <c r="D41" i="1"/>
  <c r="D42" i="1" s="1"/>
  <c r="D43" i="1" s="1"/>
  <c r="D44" i="1" s="1"/>
  <c r="D45" i="1" s="1"/>
  <c r="K39" i="1"/>
  <c r="D39" i="1"/>
  <c r="K32" i="1"/>
  <c r="K33" i="1" s="1"/>
  <c r="K34" i="1" s="1"/>
  <c r="K35" i="1" s="1"/>
  <c r="K36" i="1" s="1"/>
  <c r="K37" i="1" s="1"/>
  <c r="D32" i="1"/>
  <c r="D33" i="1" s="1"/>
  <c r="D34" i="1" s="1"/>
  <c r="D35" i="1" s="1"/>
  <c r="D36" i="1" s="1"/>
  <c r="D37" i="1" s="1"/>
  <c r="K30" i="1"/>
  <c r="K29" i="1"/>
  <c r="D29" i="1"/>
  <c r="D30" i="1" s="1"/>
  <c r="K7" i="1"/>
  <c r="K8" i="1" s="1"/>
  <c r="K9" i="1" s="1"/>
  <c r="K10" i="1" s="1"/>
  <c r="K11" i="1" s="1"/>
  <c r="K12" i="1" s="1"/>
  <c r="K13" i="1" s="1"/>
  <c r="K14" i="1" s="1"/>
  <c r="K15" i="1" s="1"/>
  <c r="K16" i="1" s="1"/>
  <c r="K17" i="1" s="1"/>
  <c r="K18" i="1" s="1"/>
  <c r="K19" i="1" s="1"/>
  <c r="K20" i="1" s="1"/>
  <c r="K21" i="1" s="1"/>
  <c r="K22" i="1" s="1"/>
  <c r="K23" i="1" s="1"/>
  <c r="K24" i="1" s="1"/>
  <c r="K25" i="1" s="1"/>
  <c r="K26" i="1" s="1"/>
  <c r="K27" i="1" s="1"/>
  <c r="D7" i="1"/>
  <c r="D8" i="1" s="1"/>
  <c r="D9" i="1" s="1"/>
  <c r="D10" i="1" s="1"/>
  <c r="D11" i="1" s="1"/>
  <c r="D12" i="1" s="1"/>
  <c r="D13" i="1" s="1"/>
  <c r="D14" i="1" s="1"/>
  <c r="D15" i="1" s="1"/>
  <c r="D16" i="1" s="1"/>
  <c r="D17" i="1" s="1"/>
  <c r="D18" i="1" s="1"/>
  <c r="D19" i="1" s="1"/>
  <c r="D20" i="1" s="1"/>
  <c r="D21" i="1" s="1"/>
  <c r="D22" i="1" s="1"/>
  <c r="D23" i="1" s="1"/>
  <c r="D24" i="1" s="1"/>
  <c r="D25" i="1" s="1"/>
  <c r="D26" i="1" s="1"/>
  <c r="D27" i="1" s="1"/>
  <c r="K3" i="1"/>
  <c r="K4" i="1" s="1"/>
  <c r="K5" i="1" s="1"/>
  <c r="D3" i="1"/>
  <c r="D4" i="1" s="1"/>
  <c r="D5" i="1" s="1"/>
  <c r="K1517" i="3"/>
  <c r="K1518" i="3" s="1"/>
  <c r="D1517" i="3"/>
  <c r="D1518" i="3" s="1"/>
  <c r="K1515" i="3"/>
  <c r="D1515" i="3"/>
  <c r="K1511" i="3"/>
  <c r="K1512" i="3" s="1"/>
  <c r="K1513" i="3" s="1"/>
  <c r="D1511" i="3"/>
  <c r="D1512" i="3" s="1"/>
  <c r="D1513" i="3" s="1"/>
  <c r="K1509" i="3"/>
  <c r="D1509" i="3"/>
  <c r="K1506" i="3"/>
  <c r="D1506" i="3"/>
  <c r="K1502" i="3"/>
  <c r="D1502" i="3"/>
  <c r="K1495" i="3"/>
  <c r="K1496" i="3" s="1"/>
  <c r="K1497" i="3" s="1"/>
  <c r="D1495" i="3"/>
  <c r="D1496" i="3" s="1"/>
  <c r="D1497" i="3" s="1"/>
  <c r="K1491" i="3"/>
  <c r="K1492" i="3" s="1"/>
  <c r="K1493" i="3" s="1"/>
  <c r="D1491" i="3"/>
  <c r="D1492" i="3" s="1"/>
  <c r="D1493" i="3" s="1"/>
  <c r="K1485" i="3"/>
  <c r="K1486" i="3" s="1"/>
  <c r="K1487" i="3" s="1"/>
  <c r="D1485" i="3"/>
  <c r="D1486" i="3" s="1"/>
  <c r="D1487" i="3" s="1"/>
  <c r="K1481" i="3"/>
  <c r="K1482" i="3" s="1"/>
  <c r="K1483" i="3" s="1"/>
  <c r="D1481" i="3"/>
  <c r="D1482" i="3" s="1"/>
  <c r="D1483" i="3" s="1"/>
  <c r="K1478" i="3"/>
  <c r="K1479" i="3" s="1"/>
  <c r="D1478" i="3"/>
  <c r="D1479" i="3" s="1"/>
  <c r="K1475" i="3"/>
  <c r="K1476" i="3" s="1"/>
  <c r="D1475" i="3"/>
  <c r="D1476" i="3" s="1"/>
  <c r="K1469" i="3"/>
  <c r="K1470" i="3" s="1"/>
  <c r="K1471" i="3" s="1"/>
  <c r="K1472" i="3" s="1"/>
  <c r="D1469" i="3"/>
  <c r="D1470" i="3" s="1"/>
  <c r="D1471" i="3" s="1"/>
  <c r="D1472" i="3" s="1"/>
  <c r="K1462" i="3"/>
  <c r="K1463" i="3" s="1"/>
  <c r="K1464" i="3" s="1"/>
  <c r="K1465" i="3" s="1"/>
  <c r="K1466" i="3" s="1"/>
  <c r="D1462" i="3"/>
  <c r="D1463" i="3" s="1"/>
  <c r="D1464" i="3" s="1"/>
  <c r="D1465" i="3" s="1"/>
  <c r="D1466" i="3" s="1"/>
  <c r="K1457" i="3"/>
  <c r="K1458" i="3" s="1"/>
  <c r="K1459" i="3" s="1"/>
  <c r="K1460" i="3" s="1"/>
  <c r="D1457" i="3"/>
  <c r="D1458" i="3" s="1"/>
  <c r="D1459" i="3" s="1"/>
  <c r="D1460" i="3" s="1"/>
  <c r="K1451" i="3"/>
  <c r="K1452" i="3" s="1"/>
  <c r="K1453" i="3" s="1"/>
  <c r="K1454" i="3" s="1"/>
  <c r="D1451" i="3"/>
  <c r="D1452" i="3" s="1"/>
  <c r="D1453" i="3" s="1"/>
  <c r="D1454" i="3" s="1"/>
  <c r="K1449" i="3"/>
  <c r="D1449" i="3"/>
  <c r="K1446" i="3"/>
  <c r="D1446" i="3"/>
  <c r="K1444" i="3"/>
  <c r="D1444" i="3"/>
  <c r="K1441" i="3"/>
  <c r="K1442" i="3" s="1"/>
  <c r="D1441" i="3"/>
  <c r="D1442" i="3" s="1"/>
  <c r="K1439" i="3"/>
  <c r="D1439" i="3"/>
  <c r="K1436" i="3"/>
  <c r="K1437" i="3" s="1"/>
  <c r="D1436" i="3"/>
  <c r="D1437" i="3" s="1"/>
  <c r="K1431" i="3"/>
  <c r="K1432" i="3" s="1"/>
  <c r="D1431" i="3"/>
  <c r="D1432" i="3" s="1"/>
  <c r="K1428" i="3"/>
  <c r="K1429" i="3" s="1"/>
  <c r="D1428" i="3"/>
  <c r="D1429" i="3" s="1"/>
  <c r="K1424" i="3"/>
  <c r="K1425" i="3" s="1"/>
  <c r="K1426" i="3" s="1"/>
  <c r="D1424" i="3"/>
  <c r="D1425" i="3" s="1"/>
  <c r="D1426" i="3" s="1"/>
  <c r="K1422" i="3"/>
  <c r="D1422" i="3"/>
  <c r="K1418" i="3"/>
  <c r="K1419" i="3" s="1"/>
  <c r="D1418" i="3"/>
  <c r="D1419" i="3" s="1"/>
  <c r="K1413" i="3"/>
  <c r="K1414" i="3" s="1"/>
  <c r="K1415" i="3" s="1"/>
  <c r="K1416" i="3" s="1"/>
  <c r="D1413" i="3"/>
  <c r="D1414" i="3" s="1"/>
  <c r="D1415" i="3" s="1"/>
  <c r="D1416" i="3" s="1"/>
  <c r="K1407" i="3"/>
  <c r="K1408" i="3" s="1"/>
  <c r="D1407" i="3"/>
  <c r="D1408" i="3" s="1"/>
  <c r="K1403" i="3"/>
  <c r="K1404" i="3" s="1"/>
  <c r="K1405" i="3" s="1"/>
  <c r="D1403" i="3"/>
  <c r="D1404" i="3" s="1"/>
  <c r="D1405" i="3" s="1"/>
  <c r="K1398" i="3"/>
  <c r="K1399" i="3" s="1"/>
  <c r="K1400" i="3" s="1"/>
  <c r="K1401" i="3" s="1"/>
  <c r="D1398" i="3"/>
  <c r="D1399" i="3" s="1"/>
  <c r="D1400" i="3" s="1"/>
  <c r="D1401" i="3" s="1"/>
  <c r="K1395" i="3"/>
  <c r="K1396" i="3" s="1"/>
  <c r="D1395" i="3"/>
  <c r="D1396" i="3" s="1"/>
  <c r="K1391" i="3"/>
  <c r="K1392" i="3" s="1"/>
  <c r="D1391" i="3"/>
  <c r="D1392" i="3" s="1"/>
  <c r="K1382" i="3"/>
  <c r="K1383" i="3" s="1"/>
  <c r="K1384" i="3" s="1"/>
  <c r="K1385" i="3" s="1"/>
  <c r="K1386" i="3" s="1"/>
  <c r="K1387" i="3" s="1"/>
  <c r="K1388" i="3" s="1"/>
  <c r="K1389" i="3" s="1"/>
  <c r="D1382" i="3"/>
  <c r="D1383" i="3" s="1"/>
  <c r="D1384" i="3" s="1"/>
  <c r="D1385" i="3" s="1"/>
  <c r="D1386" i="3" s="1"/>
  <c r="D1387" i="3" s="1"/>
  <c r="D1388" i="3" s="1"/>
  <c r="D1389" i="3" s="1"/>
  <c r="K1375" i="3"/>
  <c r="K1376" i="3" s="1"/>
  <c r="K1377" i="3" s="1"/>
  <c r="K1378" i="3" s="1"/>
  <c r="K1379" i="3" s="1"/>
  <c r="D1375" i="3"/>
  <c r="D1376" i="3" s="1"/>
  <c r="D1377" i="3" s="1"/>
  <c r="D1378" i="3" s="1"/>
  <c r="D1379" i="3" s="1"/>
  <c r="K1371" i="3"/>
  <c r="D1371" i="3"/>
  <c r="K1367" i="3"/>
  <c r="K1368" i="3" s="1"/>
  <c r="D1367" i="3"/>
  <c r="D1368" i="3" s="1"/>
  <c r="K1365" i="3"/>
  <c r="D1365" i="3"/>
  <c r="K1359" i="3"/>
  <c r="K1360" i="3" s="1"/>
  <c r="K1361" i="3" s="1"/>
  <c r="K1362" i="3" s="1"/>
  <c r="K1363" i="3" s="1"/>
  <c r="D1359" i="3"/>
  <c r="D1360" i="3" s="1"/>
  <c r="D1361" i="3" s="1"/>
  <c r="D1362" i="3" s="1"/>
  <c r="D1363" i="3" s="1"/>
  <c r="K1355" i="3"/>
  <c r="K1356" i="3" s="1"/>
  <c r="K1353" i="3"/>
  <c r="K1354" i="3" s="1"/>
  <c r="D1353" i="3"/>
  <c r="D1354" i="3" s="1"/>
  <c r="D1355" i="3" s="1"/>
  <c r="D1356" i="3" s="1"/>
  <c r="K1350" i="3"/>
  <c r="K1351" i="3" s="1"/>
  <c r="D1350" i="3"/>
  <c r="D1351" i="3" s="1"/>
  <c r="K1348" i="3"/>
  <c r="D1348" i="3"/>
  <c r="K1344" i="3"/>
  <c r="D1344" i="3"/>
  <c r="K1339" i="3"/>
  <c r="K1340" i="3" s="1"/>
  <c r="D1339" i="3"/>
  <c r="D1340" i="3" s="1"/>
  <c r="K1336" i="3"/>
  <c r="K1337" i="3" s="1"/>
  <c r="D1336" i="3"/>
  <c r="D1337" i="3" s="1"/>
  <c r="K1332" i="3"/>
  <c r="K1333" i="3" s="1"/>
  <c r="D1332" i="3"/>
  <c r="D1333" i="3" s="1"/>
  <c r="K1324" i="3"/>
  <c r="K1325" i="3" s="1"/>
  <c r="K1326" i="3" s="1"/>
  <c r="K1327" i="3" s="1"/>
  <c r="K1328" i="3" s="1"/>
  <c r="K1329" i="3" s="1"/>
  <c r="K1330" i="3" s="1"/>
  <c r="D1324" i="3"/>
  <c r="D1325" i="3" s="1"/>
  <c r="D1326" i="3" s="1"/>
  <c r="D1327" i="3" s="1"/>
  <c r="D1328" i="3" s="1"/>
  <c r="D1329" i="3" s="1"/>
  <c r="D1330" i="3" s="1"/>
  <c r="K1320" i="3"/>
  <c r="K1321" i="3" s="1"/>
  <c r="K1322" i="3" s="1"/>
  <c r="D1320" i="3"/>
  <c r="D1321" i="3" s="1"/>
  <c r="D1322" i="3" s="1"/>
  <c r="K1317" i="3"/>
  <c r="D1317" i="3"/>
  <c r="K1311" i="3"/>
  <c r="K1312" i="3" s="1"/>
  <c r="K1313" i="3" s="1"/>
  <c r="K1314" i="3" s="1"/>
  <c r="D1311" i="3"/>
  <c r="D1312" i="3" s="1"/>
  <c r="D1313" i="3" s="1"/>
  <c r="D1314" i="3" s="1"/>
  <c r="K1309" i="3"/>
  <c r="D1309" i="3"/>
  <c r="K1307" i="3"/>
  <c r="D1306" i="3"/>
  <c r="D1307" i="3" s="1"/>
  <c r="K1303" i="3"/>
  <c r="K1304" i="3" s="1"/>
  <c r="K1305" i="3" s="1"/>
  <c r="K1306" i="3" s="1"/>
  <c r="D1303" i="3"/>
  <c r="D1304" i="3" s="1"/>
  <c r="D1305" i="3" s="1"/>
  <c r="K1300" i="3"/>
  <c r="K1301" i="3" s="1"/>
  <c r="D1300" i="3"/>
  <c r="D1301" i="3" s="1"/>
  <c r="K1296" i="3"/>
  <c r="K1297" i="3" s="1"/>
  <c r="K1298" i="3" s="1"/>
  <c r="D1296" i="3"/>
  <c r="D1297" i="3" s="1"/>
  <c r="D1298" i="3" s="1"/>
  <c r="K1286" i="3"/>
  <c r="K1287" i="3" s="1"/>
  <c r="K1288" i="3" s="1"/>
  <c r="K1289" i="3" s="1"/>
  <c r="K1290" i="3" s="1"/>
  <c r="K1291" i="3" s="1"/>
  <c r="K1292" i="3" s="1"/>
  <c r="K1293" i="3" s="1"/>
  <c r="K1294" i="3" s="1"/>
  <c r="D1286" i="3"/>
  <c r="D1287" i="3" s="1"/>
  <c r="D1288" i="3" s="1"/>
  <c r="D1289" i="3" s="1"/>
  <c r="D1290" i="3" s="1"/>
  <c r="D1291" i="3" s="1"/>
  <c r="D1292" i="3" s="1"/>
  <c r="D1293" i="3" s="1"/>
  <c r="D1294" i="3" s="1"/>
  <c r="K1284" i="3"/>
  <c r="D1284" i="3"/>
  <c r="K1282" i="3"/>
  <c r="D1282" i="3"/>
  <c r="K1277" i="3"/>
  <c r="K1278" i="3" s="1"/>
  <c r="K1279" i="3" s="1"/>
  <c r="D1277" i="3"/>
  <c r="D1278" i="3" s="1"/>
  <c r="D1279" i="3" s="1"/>
  <c r="K1272" i="3"/>
  <c r="K1273" i="3" s="1"/>
  <c r="K1274" i="3" s="1"/>
  <c r="K1275" i="3" s="1"/>
  <c r="D1272" i="3"/>
  <c r="D1273" i="3" s="1"/>
  <c r="D1274" i="3" s="1"/>
  <c r="D1275" i="3" s="1"/>
  <c r="K1268" i="3"/>
  <c r="K1269" i="3" s="1"/>
  <c r="K1270" i="3" s="1"/>
  <c r="D1268" i="3"/>
  <c r="D1269" i="3" s="1"/>
  <c r="D1270" i="3" s="1"/>
  <c r="K1264" i="3"/>
  <c r="K1265" i="3" s="1"/>
  <c r="D1264" i="3"/>
  <c r="D1265" i="3" s="1"/>
  <c r="K1254" i="3"/>
  <c r="K1255" i="3" s="1"/>
  <c r="K1256" i="3" s="1"/>
  <c r="K1257" i="3" s="1"/>
  <c r="K1258" i="3" s="1"/>
  <c r="K1259" i="3" s="1"/>
  <c r="K1260" i="3" s="1"/>
  <c r="D1254" i="3"/>
  <c r="D1255" i="3" s="1"/>
  <c r="D1256" i="3" s="1"/>
  <c r="D1257" i="3" s="1"/>
  <c r="D1258" i="3" s="1"/>
  <c r="D1259" i="3" s="1"/>
  <c r="D1260" i="3" s="1"/>
  <c r="K1250" i="3"/>
  <c r="D1250" i="3"/>
  <c r="K1247" i="3"/>
  <c r="K1248" i="3" s="1"/>
  <c r="D1247" i="3"/>
  <c r="D1248" i="3" s="1"/>
  <c r="K1243" i="3"/>
  <c r="K1244" i="3" s="1"/>
  <c r="K1245" i="3" s="1"/>
  <c r="D1243" i="3"/>
  <c r="D1244" i="3" s="1"/>
  <c r="D1245" i="3" s="1"/>
  <c r="K1241" i="3"/>
  <c r="D1241" i="3"/>
  <c r="K1236" i="3"/>
  <c r="K1237" i="3" s="1"/>
  <c r="K1238" i="3" s="1"/>
  <c r="K1239" i="3" s="1"/>
  <c r="D1236" i="3"/>
  <c r="D1237" i="3" s="1"/>
  <c r="D1238" i="3" s="1"/>
  <c r="D1239" i="3" s="1"/>
  <c r="K1234" i="3"/>
  <c r="D1234" i="3"/>
  <c r="K1228" i="3"/>
  <c r="K1229" i="3" s="1"/>
  <c r="K1230" i="3" s="1"/>
  <c r="K1231" i="3" s="1"/>
  <c r="D1228" i="3"/>
  <c r="D1229" i="3" s="1"/>
  <c r="D1230" i="3" s="1"/>
  <c r="D1231" i="3" s="1"/>
  <c r="K1222" i="3"/>
  <c r="K1223" i="3" s="1"/>
  <c r="K1224" i="3" s="1"/>
  <c r="K1225" i="3" s="1"/>
  <c r="K1226" i="3" s="1"/>
  <c r="D1222" i="3"/>
  <c r="D1223" i="3" s="1"/>
  <c r="D1224" i="3" s="1"/>
  <c r="D1225" i="3" s="1"/>
  <c r="D1226" i="3" s="1"/>
  <c r="K1213" i="3"/>
  <c r="K1214" i="3" s="1"/>
  <c r="K1215" i="3" s="1"/>
  <c r="K1216" i="3" s="1"/>
  <c r="K1217" i="3" s="1"/>
  <c r="K1218" i="3" s="1"/>
  <c r="K1219" i="3" s="1"/>
  <c r="K1220" i="3" s="1"/>
  <c r="D1213" i="3"/>
  <c r="D1214" i="3" s="1"/>
  <c r="D1215" i="3" s="1"/>
  <c r="D1216" i="3" s="1"/>
  <c r="D1217" i="3" s="1"/>
  <c r="D1218" i="3" s="1"/>
  <c r="D1219" i="3" s="1"/>
  <c r="D1220" i="3" s="1"/>
  <c r="K1205" i="3"/>
  <c r="K1206" i="3" s="1"/>
  <c r="K1207" i="3" s="1"/>
  <c r="K1208" i="3" s="1"/>
  <c r="K1209" i="3" s="1"/>
  <c r="K1210" i="3" s="1"/>
  <c r="K1211" i="3" s="1"/>
  <c r="D1205" i="3"/>
  <c r="D1206" i="3" s="1"/>
  <c r="D1207" i="3" s="1"/>
  <c r="D1208" i="3" s="1"/>
  <c r="D1209" i="3" s="1"/>
  <c r="D1210" i="3" s="1"/>
  <c r="D1211" i="3" s="1"/>
  <c r="K1204" i="3"/>
  <c r="D1204" i="3"/>
  <c r="K1202" i="3"/>
  <c r="D1202" i="3"/>
  <c r="K1198" i="3"/>
  <c r="K1199" i="3" s="1"/>
  <c r="D1198" i="3"/>
  <c r="D1199" i="3" s="1"/>
  <c r="K1196" i="3"/>
  <c r="D1196" i="3"/>
  <c r="K1191" i="3"/>
  <c r="K1192" i="3" s="1"/>
  <c r="K1193" i="3" s="1"/>
  <c r="K1194" i="3" s="1"/>
  <c r="D1191" i="3"/>
  <c r="D1192" i="3" s="1"/>
  <c r="D1193" i="3" s="1"/>
  <c r="D1194" i="3" s="1"/>
  <c r="K1187" i="3"/>
  <c r="K1188" i="3" s="1"/>
  <c r="K1189" i="3" s="1"/>
  <c r="D1187" i="3"/>
  <c r="D1188" i="3" s="1"/>
  <c r="D1189" i="3" s="1"/>
  <c r="K1181" i="3"/>
  <c r="K1182" i="3" s="1"/>
  <c r="K1183" i="3" s="1"/>
  <c r="K1184" i="3" s="1"/>
  <c r="D1181" i="3"/>
  <c r="D1182" i="3" s="1"/>
  <c r="D1183" i="3" s="1"/>
  <c r="D1184" i="3" s="1"/>
  <c r="K1177" i="3"/>
  <c r="K1178" i="3" s="1"/>
  <c r="K1179" i="3" s="1"/>
  <c r="D1177" i="3"/>
  <c r="D1178" i="3" s="1"/>
  <c r="D1179" i="3" s="1"/>
  <c r="K1174" i="3"/>
  <c r="K1175" i="3" s="1"/>
  <c r="D1174" i="3"/>
  <c r="D1175" i="3" s="1"/>
  <c r="K1167" i="3"/>
  <c r="K1168" i="3" s="1"/>
  <c r="K1169" i="3" s="1"/>
  <c r="K1170" i="3" s="1"/>
  <c r="K1171" i="3" s="1"/>
  <c r="K1172" i="3" s="1"/>
  <c r="D1167" i="3"/>
  <c r="D1168" i="3" s="1"/>
  <c r="D1169" i="3" s="1"/>
  <c r="D1170" i="3" s="1"/>
  <c r="D1171" i="3" s="1"/>
  <c r="D1172" i="3" s="1"/>
  <c r="K1159" i="3"/>
  <c r="K1160" i="3" s="1"/>
  <c r="K1161" i="3" s="1"/>
  <c r="K1162" i="3" s="1"/>
  <c r="K1163" i="3" s="1"/>
  <c r="K1164" i="3" s="1"/>
  <c r="K1165" i="3" s="1"/>
  <c r="D1159" i="3"/>
  <c r="D1160" i="3" s="1"/>
  <c r="D1161" i="3" s="1"/>
  <c r="D1162" i="3" s="1"/>
  <c r="D1163" i="3" s="1"/>
  <c r="D1164" i="3" s="1"/>
  <c r="D1165" i="3" s="1"/>
  <c r="K1156" i="3"/>
  <c r="D1156" i="3"/>
  <c r="K1153" i="3"/>
  <c r="K1154" i="3" s="1"/>
  <c r="D1153" i="3"/>
  <c r="D1154" i="3" s="1"/>
  <c r="D1144" i="3"/>
  <c r="K1142" i="3"/>
  <c r="K1143" i="3" s="1"/>
  <c r="K1144" i="3" s="1"/>
  <c r="D1142" i="3"/>
  <c r="D1143" i="3" s="1"/>
  <c r="K1138" i="3"/>
  <c r="K1139" i="3" s="1"/>
  <c r="K1140" i="3" s="1"/>
  <c r="D1138" i="3"/>
  <c r="D1139" i="3" s="1"/>
  <c r="D1140" i="3" s="1"/>
  <c r="K1132" i="3"/>
  <c r="K1133" i="3" s="1"/>
  <c r="K1134" i="3" s="1"/>
  <c r="K1135" i="3" s="1"/>
  <c r="D1132" i="3"/>
  <c r="D1133" i="3" s="1"/>
  <c r="D1134" i="3" s="1"/>
  <c r="D1135" i="3" s="1"/>
  <c r="K1129" i="3"/>
  <c r="K1130" i="3" s="1"/>
  <c r="D1129" i="3"/>
  <c r="D1130" i="3" s="1"/>
  <c r="K1127" i="3"/>
  <c r="D1127" i="3"/>
  <c r="K1123" i="3"/>
  <c r="K1124" i="3" s="1"/>
  <c r="D1123" i="3"/>
  <c r="D1124" i="3" s="1"/>
  <c r="K1121" i="3"/>
  <c r="D1121" i="3"/>
  <c r="K1114" i="3"/>
  <c r="K1115" i="3" s="1"/>
  <c r="K1116" i="3" s="1"/>
  <c r="K1117" i="3" s="1"/>
  <c r="K1118" i="3" s="1"/>
  <c r="K1119" i="3" s="1"/>
  <c r="D1114" i="3"/>
  <c r="D1115" i="3" s="1"/>
  <c r="D1116" i="3" s="1"/>
  <c r="D1117" i="3" s="1"/>
  <c r="D1118" i="3" s="1"/>
  <c r="D1119" i="3" s="1"/>
  <c r="K1111" i="3"/>
  <c r="K1112" i="3" s="1"/>
  <c r="D1111" i="3"/>
  <c r="D1112" i="3" s="1"/>
  <c r="K1109" i="3"/>
  <c r="D1109" i="3"/>
  <c r="K1104" i="3"/>
  <c r="K1105" i="3" s="1"/>
  <c r="K1106" i="3" s="1"/>
  <c r="K1107" i="3" s="1"/>
  <c r="D1104" i="3"/>
  <c r="D1105" i="3" s="1"/>
  <c r="D1106" i="3" s="1"/>
  <c r="D1107" i="3" s="1"/>
  <c r="K1096" i="3"/>
  <c r="K1097" i="3" s="1"/>
  <c r="K1098" i="3" s="1"/>
  <c r="K1099" i="3" s="1"/>
  <c r="K1100" i="3" s="1"/>
  <c r="K1101" i="3" s="1"/>
  <c r="K1102" i="3" s="1"/>
  <c r="D1096" i="3"/>
  <c r="D1097" i="3" s="1"/>
  <c r="D1098" i="3" s="1"/>
  <c r="D1099" i="3" s="1"/>
  <c r="D1100" i="3" s="1"/>
  <c r="D1101" i="3" s="1"/>
  <c r="D1102" i="3" s="1"/>
  <c r="K1088" i="3"/>
  <c r="K1089" i="3" s="1"/>
  <c r="K1090" i="3" s="1"/>
  <c r="K1091" i="3" s="1"/>
  <c r="K1092" i="3" s="1"/>
  <c r="K1093" i="3" s="1"/>
  <c r="K1094" i="3" s="1"/>
  <c r="D1088" i="3"/>
  <c r="D1089" i="3" s="1"/>
  <c r="D1090" i="3" s="1"/>
  <c r="D1091" i="3" s="1"/>
  <c r="D1092" i="3" s="1"/>
  <c r="D1093" i="3" s="1"/>
  <c r="D1094" i="3" s="1"/>
  <c r="K1084" i="3"/>
  <c r="K1085" i="3" s="1"/>
  <c r="D1084" i="3"/>
  <c r="D1085" i="3" s="1"/>
  <c r="K1079" i="3"/>
  <c r="K1080" i="3" s="1"/>
  <c r="K1081" i="3" s="1"/>
  <c r="K1082" i="3" s="1"/>
  <c r="D1079" i="3"/>
  <c r="D1080" i="3" s="1"/>
  <c r="D1081" i="3" s="1"/>
  <c r="D1082" i="3" s="1"/>
  <c r="K1074" i="3"/>
  <c r="K1075" i="3" s="1"/>
  <c r="K1076" i="3" s="1"/>
  <c r="K1077" i="3" s="1"/>
  <c r="D1074" i="3"/>
  <c r="D1075" i="3" s="1"/>
  <c r="D1076" i="3" s="1"/>
  <c r="D1077" i="3" s="1"/>
  <c r="K1070" i="3"/>
  <c r="K1071" i="3" s="1"/>
  <c r="K1072" i="3" s="1"/>
  <c r="D1070" i="3"/>
  <c r="D1071" i="3" s="1"/>
  <c r="D1072" i="3" s="1"/>
  <c r="K1067" i="3"/>
  <c r="K1068" i="3" s="1"/>
  <c r="D1067" i="3"/>
  <c r="D1068" i="3" s="1"/>
  <c r="D1064" i="3"/>
  <c r="D1065" i="3" s="1"/>
  <c r="K1061" i="3"/>
  <c r="K1062" i="3" s="1"/>
  <c r="K1063" i="3" s="1"/>
  <c r="K1064" i="3" s="1"/>
  <c r="K1065" i="3" s="1"/>
  <c r="D1061" i="3"/>
  <c r="D1062" i="3" s="1"/>
  <c r="D1063" i="3" s="1"/>
  <c r="K1058" i="3"/>
  <c r="K1059" i="3" s="1"/>
  <c r="D1058" i="3"/>
  <c r="D1059" i="3" s="1"/>
  <c r="K1056" i="3"/>
  <c r="D1056" i="3"/>
  <c r="K1054" i="3"/>
  <c r="D1054" i="3"/>
  <c r="K1043" i="3"/>
  <c r="K1044" i="3" s="1"/>
  <c r="K1045" i="3" s="1"/>
  <c r="K1046" i="3" s="1"/>
  <c r="K1047" i="3" s="1"/>
  <c r="K1048" i="3" s="1"/>
  <c r="K1049" i="3" s="1"/>
  <c r="K1050" i="3" s="1"/>
  <c r="K1051" i="3" s="1"/>
  <c r="K1052" i="3" s="1"/>
  <c r="D1043" i="3"/>
  <c r="D1044" i="3" s="1"/>
  <c r="D1045" i="3" s="1"/>
  <c r="D1046" i="3" s="1"/>
  <c r="D1047" i="3" s="1"/>
  <c r="D1048" i="3" s="1"/>
  <c r="D1049" i="3" s="1"/>
  <c r="D1050" i="3" s="1"/>
  <c r="D1051" i="3" s="1"/>
  <c r="D1052" i="3" s="1"/>
  <c r="K1038" i="3"/>
  <c r="K1039" i="3" s="1"/>
  <c r="K1040" i="3" s="1"/>
  <c r="K1041" i="3" s="1"/>
  <c r="D1038" i="3"/>
  <c r="D1039" i="3" s="1"/>
  <c r="D1040" i="3" s="1"/>
  <c r="D1041" i="3" s="1"/>
  <c r="K1031" i="3"/>
  <c r="K1032" i="3" s="1"/>
  <c r="K1033" i="3" s="1"/>
  <c r="K1034" i="3" s="1"/>
  <c r="K1035" i="3" s="1"/>
  <c r="K1036" i="3" s="1"/>
  <c r="D1031" i="3"/>
  <c r="D1032" i="3" s="1"/>
  <c r="D1033" i="3" s="1"/>
  <c r="D1034" i="3" s="1"/>
  <c r="D1035" i="3" s="1"/>
  <c r="D1036" i="3" s="1"/>
  <c r="K1026" i="3"/>
  <c r="K1027" i="3" s="1"/>
  <c r="K1028" i="3" s="1"/>
  <c r="K1029" i="3" s="1"/>
  <c r="D1025" i="3"/>
  <c r="D1026" i="3" s="1"/>
  <c r="D1027" i="3" s="1"/>
  <c r="D1028" i="3" s="1"/>
  <c r="D1029" i="3" s="1"/>
  <c r="K1024" i="3"/>
  <c r="K1025" i="3" s="1"/>
  <c r="D1024" i="3"/>
  <c r="K1021" i="3"/>
  <c r="K1022" i="3" s="1"/>
  <c r="D1021" i="3"/>
  <c r="D1022" i="3" s="1"/>
  <c r="K1014" i="3"/>
  <c r="K1015" i="3" s="1"/>
  <c r="K1016" i="3" s="1"/>
  <c r="K1017" i="3" s="1"/>
  <c r="K1018" i="3" s="1"/>
  <c r="K1019" i="3" s="1"/>
  <c r="D1014" i="3"/>
  <c r="D1015" i="3" s="1"/>
  <c r="D1016" i="3" s="1"/>
  <c r="D1017" i="3" s="1"/>
  <c r="D1018" i="3" s="1"/>
  <c r="D1019" i="3" s="1"/>
  <c r="K1006" i="3"/>
  <c r="K1007" i="3" s="1"/>
  <c r="K1008" i="3" s="1"/>
  <c r="K1009" i="3" s="1"/>
  <c r="K1010" i="3" s="1"/>
  <c r="K1011" i="3" s="1"/>
  <c r="K1012" i="3" s="1"/>
  <c r="D1006" i="3"/>
  <c r="D1007" i="3" s="1"/>
  <c r="D1008" i="3" s="1"/>
  <c r="D1009" i="3" s="1"/>
  <c r="D1010" i="3" s="1"/>
  <c r="D1011" i="3" s="1"/>
  <c r="D1012" i="3" s="1"/>
  <c r="K1001" i="3"/>
  <c r="K1002" i="3" s="1"/>
  <c r="K1003" i="3" s="1"/>
  <c r="D1001" i="3"/>
  <c r="D1002" i="3" s="1"/>
  <c r="D1003" i="3" s="1"/>
  <c r="K998" i="3"/>
  <c r="D998" i="3"/>
  <c r="K993" i="3"/>
  <c r="K994" i="3" s="1"/>
  <c r="K995" i="3" s="1"/>
  <c r="K996" i="3" s="1"/>
  <c r="D993" i="3"/>
  <c r="D994" i="3" s="1"/>
  <c r="D995" i="3" s="1"/>
  <c r="D996" i="3" s="1"/>
  <c r="K986" i="3"/>
  <c r="K987" i="3" s="1"/>
  <c r="K988" i="3" s="1"/>
  <c r="K989" i="3" s="1"/>
  <c r="K990" i="3" s="1"/>
  <c r="K991" i="3" s="1"/>
  <c r="D986" i="3"/>
  <c r="D987" i="3" s="1"/>
  <c r="D988" i="3" s="1"/>
  <c r="D989" i="3" s="1"/>
  <c r="D990" i="3" s="1"/>
  <c r="D991" i="3" s="1"/>
  <c r="K983" i="3"/>
  <c r="K984" i="3" s="1"/>
  <c r="D983" i="3"/>
  <c r="D984" i="3" s="1"/>
  <c r="K979" i="3"/>
  <c r="K980" i="3" s="1"/>
  <c r="K981" i="3" s="1"/>
  <c r="D979" i="3"/>
  <c r="D980" i="3" s="1"/>
  <c r="D981" i="3" s="1"/>
  <c r="K974" i="3"/>
  <c r="K975" i="3" s="1"/>
  <c r="K976" i="3" s="1"/>
  <c r="K977" i="3" s="1"/>
  <c r="D974" i="3"/>
  <c r="D975" i="3" s="1"/>
  <c r="D976" i="3" s="1"/>
  <c r="D977" i="3" s="1"/>
  <c r="K972" i="3"/>
  <c r="D972" i="3"/>
  <c r="K969" i="3"/>
  <c r="D969" i="3"/>
  <c r="K966" i="3"/>
  <c r="K967" i="3" s="1"/>
  <c r="D966" i="3"/>
  <c r="D967" i="3" s="1"/>
  <c r="K964" i="3"/>
  <c r="D964" i="3"/>
  <c r="K958" i="3"/>
  <c r="K959" i="3" s="1"/>
  <c r="K960" i="3" s="1"/>
  <c r="K961" i="3" s="1"/>
  <c r="D958" i="3"/>
  <c r="D959" i="3" s="1"/>
  <c r="D960" i="3" s="1"/>
  <c r="D961" i="3" s="1"/>
  <c r="K956" i="3"/>
  <c r="D956" i="3"/>
  <c r="K952" i="3"/>
  <c r="K953" i="3" s="1"/>
  <c r="K954" i="3" s="1"/>
  <c r="D952" i="3"/>
  <c r="D953" i="3" s="1"/>
  <c r="D954" i="3" s="1"/>
  <c r="K949" i="3"/>
  <c r="D949" i="3"/>
  <c r="K941" i="3"/>
  <c r="K942" i="3" s="1"/>
  <c r="K943" i="3" s="1"/>
  <c r="K944" i="3" s="1"/>
  <c r="K945" i="3" s="1"/>
  <c r="K946" i="3" s="1"/>
  <c r="K947" i="3" s="1"/>
  <c r="D941" i="3"/>
  <c r="D942" i="3" s="1"/>
  <c r="D943" i="3" s="1"/>
  <c r="D944" i="3" s="1"/>
  <c r="D945" i="3" s="1"/>
  <c r="D946" i="3" s="1"/>
  <c r="D947" i="3" s="1"/>
  <c r="K936" i="3"/>
  <c r="K937" i="3" s="1"/>
  <c r="K938" i="3" s="1"/>
  <c r="K939" i="3" s="1"/>
  <c r="D936" i="3"/>
  <c r="D937" i="3" s="1"/>
  <c r="D938" i="3" s="1"/>
  <c r="D939" i="3" s="1"/>
  <c r="K934" i="3"/>
  <c r="D934" i="3"/>
  <c r="K923" i="3"/>
  <c r="K924" i="3" s="1"/>
  <c r="K925" i="3" s="1"/>
  <c r="K926" i="3" s="1"/>
  <c r="K927" i="3" s="1"/>
  <c r="K928" i="3" s="1"/>
  <c r="K929" i="3" s="1"/>
  <c r="K930" i="3" s="1"/>
  <c r="K931" i="3" s="1"/>
  <c r="K932" i="3" s="1"/>
  <c r="D923" i="3"/>
  <c r="D924" i="3" s="1"/>
  <c r="D925" i="3" s="1"/>
  <c r="D926" i="3" s="1"/>
  <c r="D927" i="3" s="1"/>
  <c r="D928" i="3" s="1"/>
  <c r="D929" i="3" s="1"/>
  <c r="D930" i="3" s="1"/>
  <c r="D931" i="3" s="1"/>
  <c r="D932" i="3" s="1"/>
  <c r="K920" i="3"/>
  <c r="D920" i="3"/>
  <c r="K914" i="3"/>
  <c r="K915" i="3" s="1"/>
  <c r="K916" i="3" s="1"/>
  <c r="K917" i="3" s="1"/>
  <c r="D914" i="3"/>
  <c r="D915" i="3" s="1"/>
  <c r="D916" i="3" s="1"/>
  <c r="D917" i="3" s="1"/>
  <c r="K908" i="3"/>
  <c r="K909" i="3" s="1"/>
  <c r="K910" i="3" s="1"/>
  <c r="K911" i="3" s="1"/>
  <c r="K912" i="3" s="1"/>
  <c r="D908" i="3"/>
  <c r="D909" i="3" s="1"/>
  <c r="D910" i="3" s="1"/>
  <c r="D911" i="3" s="1"/>
  <c r="D912" i="3" s="1"/>
  <c r="K906" i="3"/>
  <c r="D906" i="3"/>
  <c r="K900" i="3"/>
  <c r="K901" i="3" s="1"/>
  <c r="K902" i="3" s="1"/>
  <c r="K903" i="3" s="1"/>
  <c r="D900" i="3"/>
  <c r="D901" i="3" s="1"/>
  <c r="D902" i="3" s="1"/>
  <c r="D903" i="3" s="1"/>
  <c r="K895" i="3"/>
  <c r="K896" i="3" s="1"/>
  <c r="K897" i="3" s="1"/>
  <c r="K898" i="3" s="1"/>
  <c r="D895" i="3"/>
  <c r="D896" i="3" s="1"/>
  <c r="D897" i="3" s="1"/>
  <c r="D898" i="3" s="1"/>
  <c r="K892" i="3"/>
  <c r="K893" i="3" s="1"/>
  <c r="D892" i="3"/>
  <c r="D893" i="3" s="1"/>
  <c r="K890" i="3"/>
  <c r="D890" i="3"/>
  <c r="K875" i="3"/>
  <c r="K876" i="3" s="1"/>
  <c r="K877" i="3" s="1"/>
  <c r="K878" i="3" s="1"/>
  <c r="K879" i="3" s="1"/>
  <c r="K880" i="3" s="1"/>
  <c r="K881" i="3" s="1"/>
  <c r="K882" i="3" s="1"/>
  <c r="K883" i="3" s="1"/>
  <c r="K884" i="3" s="1"/>
  <c r="K885" i="3" s="1"/>
  <c r="K886" i="3" s="1"/>
  <c r="K887" i="3" s="1"/>
  <c r="K888" i="3" s="1"/>
  <c r="D875" i="3"/>
  <c r="D876" i="3" s="1"/>
  <c r="D877" i="3" s="1"/>
  <c r="D878" i="3" s="1"/>
  <c r="D879" i="3" s="1"/>
  <c r="D880" i="3" s="1"/>
  <c r="D881" i="3" s="1"/>
  <c r="D882" i="3" s="1"/>
  <c r="D883" i="3" s="1"/>
  <c r="D884" i="3" s="1"/>
  <c r="D885" i="3" s="1"/>
  <c r="D886" i="3" s="1"/>
  <c r="D887" i="3" s="1"/>
  <c r="D888" i="3" s="1"/>
  <c r="K872" i="3"/>
  <c r="K873" i="3" s="1"/>
  <c r="D872" i="3"/>
  <c r="D873" i="3" s="1"/>
  <c r="K866" i="3"/>
  <c r="K867" i="3" s="1"/>
  <c r="K868" i="3" s="1"/>
  <c r="K869" i="3" s="1"/>
  <c r="D866" i="3"/>
  <c r="D867" i="3" s="1"/>
  <c r="D868" i="3" s="1"/>
  <c r="D869" i="3" s="1"/>
  <c r="K857" i="3"/>
  <c r="K858" i="3" s="1"/>
  <c r="K859" i="3" s="1"/>
  <c r="K860" i="3" s="1"/>
  <c r="K861" i="3" s="1"/>
  <c r="K862" i="3" s="1"/>
  <c r="K863" i="3" s="1"/>
  <c r="K864" i="3" s="1"/>
  <c r="D857" i="3"/>
  <c r="D858" i="3" s="1"/>
  <c r="D859" i="3" s="1"/>
  <c r="D860" i="3" s="1"/>
  <c r="D861" i="3" s="1"/>
  <c r="D862" i="3" s="1"/>
  <c r="D863" i="3" s="1"/>
  <c r="D864" i="3" s="1"/>
  <c r="K855" i="3"/>
  <c r="D855" i="3"/>
  <c r="K850" i="3"/>
  <c r="D850" i="3"/>
  <c r="K839" i="3"/>
  <c r="K840" i="3" s="1"/>
  <c r="K841" i="3" s="1"/>
  <c r="K842" i="3" s="1"/>
  <c r="K843" i="3" s="1"/>
  <c r="K844" i="3" s="1"/>
  <c r="K845" i="3" s="1"/>
  <c r="K846" i="3" s="1"/>
  <c r="K847" i="3" s="1"/>
  <c r="K848" i="3" s="1"/>
  <c r="K838" i="3"/>
  <c r="D838" i="3"/>
  <c r="D839" i="3" s="1"/>
  <c r="D840" i="3" s="1"/>
  <c r="D841" i="3" s="1"/>
  <c r="D842" i="3" s="1"/>
  <c r="D843" i="3" s="1"/>
  <c r="D844" i="3" s="1"/>
  <c r="D845" i="3" s="1"/>
  <c r="D846" i="3" s="1"/>
  <c r="D847" i="3" s="1"/>
  <c r="D848" i="3" s="1"/>
  <c r="K832" i="3"/>
  <c r="K833" i="3" s="1"/>
  <c r="K834" i="3" s="1"/>
  <c r="K835" i="3" s="1"/>
  <c r="K836" i="3" s="1"/>
  <c r="D832" i="3"/>
  <c r="D833" i="3" s="1"/>
  <c r="D834" i="3" s="1"/>
  <c r="D835" i="3" s="1"/>
  <c r="D836" i="3" s="1"/>
  <c r="K830" i="3"/>
  <c r="D830" i="3"/>
  <c r="K828" i="3"/>
  <c r="D828" i="3"/>
  <c r="K822" i="3"/>
  <c r="K823" i="3" s="1"/>
  <c r="K824" i="3" s="1"/>
  <c r="K825" i="3" s="1"/>
  <c r="K826" i="3" s="1"/>
  <c r="D822" i="3"/>
  <c r="D823" i="3" s="1"/>
  <c r="D824" i="3" s="1"/>
  <c r="D825" i="3" s="1"/>
  <c r="D826" i="3" s="1"/>
  <c r="K812" i="3"/>
  <c r="K813" i="3" s="1"/>
  <c r="K814" i="3" s="1"/>
  <c r="K815" i="3" s="1"/>
  <c r="K816" i="3" s="1"/>
  <c r="K817" i="3" s="1"/>
  <c r="K818" i="3" s="1"/>
  <c r="K819" i="3" s="1"/>
  <c r="D812" i="3"/>
  <c r="D813" i="3" s="1"/>
  <c r="D814" i="3" s="1"/>
  <c r="D815" i="3" s="1"/>
  <c r="D816" i="3" s="1"/>
  <c r="D817" i="3" s="1"/>
  <c r="D818" i="3" s="1"/>
  <c r="D819" i="3" s="1"/>
  <c r="K803" i="3"/>
  <c r="K804" i="3" s="1"/>
  <c r="K805" i="3" s="1"/>
  <c r="K806" i="3" s="1"/>
  <c r="K807" i="3" s="1"/>
  <c r="K808" i="3" s="1"/>
  <c r="K809" i="3" s="1"/>
  <c r="D803" i="3"/>
  <c r="D804" i="3" s="1"/>
  <c r="D805" i="3" s="1"/>
  <c r="D806" i="3" s="1"/>
  <c r="D807" i="3" s="1"/>
  <c r="D808" i="3" s="1"/>
  <c r="D809" i="3" s="1"/>
  <c r="K799" i="3"/>
  <c r="D799" i="3"/>
  <c r="K793" i="3"/>
  <c r="K794" i="3" s="1"/>
  <c r="K795" i="3" s="1"/>
  <c r="K796" i="3" s="1"/>
  <c r="K797" i="3" s="1"/>
  <c r="D793" i="3"/>
  <c r="D794" i="3" s="1"/>
  <c r="D795" i="3" s="1"/>
  <c r="D796" i="3" s="1"/>
  <c r="D797" i="3" s="1"/>
  <c r="K784" i="3"/>
  <c r="K785" i="3" s="1"/>
  <c r="K786" i="3" s="1"/>
  <c r="K787" i="3" s="1"/>
  <c r="K788" i="3" s="1"/>
  <c r="K789" i="3" s="1"/>
  <c r="K790" i="3" s="1"/>
  <c r="D784" i="3"/>
  <c r="D785" i="3" s="1"/>
  <c r="D786" i="3" s="1"/>
  <c r="D787" i="3" s="1"/>
  <c r="D788" i="3" s="1"/>
  <c r="D789" i="3" s="1"/>
  <c r="D790" i="3" s="1"/>
  <c r="K777" i="3"/>
  <c r="K778" i="3" s="1"/>
  <c r="K779" i="3" s="1"/>
  <c r="K780" i="3" s="1"/>
  <c r="K781" i="3" s="1"/>
  <c r="D777" i="3"/>
  <c r="D778" i="3" s="1"/>
  <c r="D779" i="3" s="1"/>
  <c r="D780" i="3" s="1"/>
  <c r="D781" i="3" s="1"/>
  <c r="K774" i="3"/>
  <c r="K775" i="3" s="1"/>
  <c r="D774" i="3"/>
  <c r="D775" i="3" s="1"/>
  <c r="K770" i="3"/>
  <c r="K771" i="3" s="1"/>
  <c r="K772" i="3" s="1"/>
  <c r="D770" i="3"/>
  <c r="D771" i="3" s="1"/>
  <c r="D772" i="3" s="1"/>
  <c r="K762" i="3"/>
  <c r="K763" i="3" s="1"/>
  <c r="K764" i="3" s="1"/>
  <c r="K765" i="3" s="1"/>
  <c r="K766" i="3" s="1"/>
  <c r="K767" i="3" s="1"/>
  <c r="K768" i="3" s="1"/>
  <c r="D762" i="3"/>
  <c r="D763" i="3" s="1"/>
  <c r="D764" i="3" s="1"/>
  <c r="D765" i="3" s="1"/>
  <c r="D766" i="3" s="1"/>
  <c r="D767" i="3" s="1"/>
  <c r="D768" i="3" s="1"/>
  <c r="K759" i="3"/>
  <c r="K760" i="3" s="1"/>
  <c r="D759" i="3"/>
  <c r="D760" i="3" s="1"/>
  <c r="K756" i="3"/>
  <c r="K757" i="3" s="1"/>
  <c r="D756" i="3"/>
  <c r="D757" i="3" s="1"/>
  <c r="K749" i="3"/>
  <c r="K750" i="3" s="1"/>
  <c r="K751" i="3" s="1"/>
  <c r="K752" i="3" s="1"/>
  <c r="K753" i="3" s="1"/>
  <c r="K754" i="3" s="1"/>
  <c r="D749" i="3"/>
  <c r="D750" i="3" s="1"/>
  <c r="D751" i="3" s="1"/>
  <c r="D752" i="3" s="1"/>
  <c r="D753" i="3" s="1"/>
  <c r="D754" i="3" s="1"/>
  <c r="K746" i="3"/>
  <c r="K747" i="3" s="1"/>
  <c r="D746" i="3"/>
  <c r="D747" i="3" s="1"/>
  <c r="K744" i="3"/>
  <c r="D744" i="3"/>
  <c r="K740" i="3"/>
  <c r="K741" i="3" s="1"/>
  <c r="K742" i="3" s="1"/>
  <c r="K738" i="3"/>
  <c r="K739" i="3" s="1"/>
  <c r="D738" i="3"/>
  <c r="D739" i="3" s="1"/>
  <c r="D740" i="3" s="1"/>
  <c r="D741" i="3" s="1"/>
  <c r="D742" i="3" s="1"/>
  <c r="K735" i="3"/>
  <c r="K736" i="3" s="1"/>
  <c r="D735" i="3"/>
  <c r="D736" i="3" s="1"/>
  <c r="K732" i="3"/>
  <c r="K733" i="3" s="1"/>
  <c r="D732" i="3"/>
  <c r="D733" i="3" s="1"/>
  <c r="K728" i="3"/>
  <c r="K729" i="3" s="1"/>
  <c r="K730" i="3" s="1"/>
  <c r="D728" i="3"/>
  <c r="D729" i="3" s="1"/>
  <c r="D730" i="3" s="1"/>
  <c r="K722" i="3"/>
  <c r="K723" i="3" s="1"/>
  <c r="K724" i="3" s="1"/>
  <c r="K725" i="3" s="1"/>
  <c r="D722" i="3"/>
  <c r="D723" i="3" s="1"/>
  <c r="D724" i="3" s="1"/>
  <c r="D725" i="3" s="1"/>
  <c r="D711" i="3"/>
  <c r="D712" i="3" s="1"/>
  <c r="D713" i="3" s="1"/>
  <c r="D714" i="3" s="1"/>
  <c r="D715" i="3" s="1"/>
  <c r="D716" i="3" s="1"/>
  <c r="D717" i="3" s="1"/>
  <c r="D718" i="3" s="1"/>
  <c r="D719" i="3" s="1"/>
  <c r="D720" i="3" s="1"/>
  <c r="K710" i="3"/>
  <c r="K711" i="3" s="1"/>
  <c r="K712" i="3" s="1"/>
  <c r="K713" i="3" s="1"/>
  <c r="K714" i="3" s="1"/>
  <c r="K715" i="3" s="1"/>
  <c r="K716" i="3" s="1"/>
  <c r="K717" i="3" s="1"/>
  <c r="K718" i="3" s="1"/>
  <c r="K719" i="3" s="1"/>
  <c r="K720" i="3" s="1"/>
  <c r="D710" i="3"/>
  <c r="K700" i="3"/>
  <c r="K701" i="3" s="1"/>
  <c r="K702" i="3" s="1"/>
  <c r="K703" i="3" s="1"/>
  <c r="K704" i="3" s="1"/>
  <c r="K705" i="3" s="1"/>
  <c r="K706" i="3" s="1"/>
  <c r="K707" i="3" s="1"/>
  <c r="K708" i="3" s="1"/>
  <c r="D700" i="3"/>
  <c r="D701" i="3" s="1"/>
  <c r="D702" i="3" s="1"/>
  <c r="D703" i="3" s="1"/>
  <c r="D704" i="3" s="1"/>
  <c r="D705" i="3" s="1"/>
  <c r="D706" i="3" s="1"/>
  <c r="D707" i="3" s="1"/>
  <c r="D708" i="3" s="1"/>
  <c r="K697" i="3"/>
  <c r="K698" i="3" s="1"/>
  <c r="D697" i="3"/>
  <c r="D698" i="3" s="1"/>
  <c r="K692" i="3"/>
  <c r="K693" i="3" s="1"/>
  <c r="K694" i="3" s="1"/>
  <c r="K695" i="3" s="1"/>
  <c r="D692" i="3"/>
  <c r="D693" i="3" s="1"/>
  <c r="D694" i="3" s="1"/>
  <c r="D695" i="3" s="1"/>
  <c r="K690" i="3"/>
  <c r="D690" i="3"/>
  <c r="K688" i="3"/>
  <c r="D688" i="3"/>
  <c r="K683" i="3"/>
  <c r="K684" i="3" s="1"/>
  <c r="K685" i="3" s="1"/>
  <c r="K686" i="3" s="1"/>
  <c r="D683" i="3"/>
  <c r="D684" i="3" s="1"/>
  <c r="D685" i="3" s="1"/>
  <c r="D686" i="3" s="1"/>
  <c r="K679" i="3"/>
  <c r="K680" i="3" s="1"/>
  <c r="K681" i="3" s="1"/>
  <c r="D679" i="3"/>
  <c r="D680" i="3" s="1"/>
  <c r="D681" i="3" s="1"/>
  <c r="K671" i="3"/>
  <c r="K672" i="3" s="1"/>
  <c r="K673" i="3" s="1"/>
  <c r="K674" i="3" s="1"/>
  <c r="K675" i="3" s="1"/>
  <c r="K676" i="3" s="1"/>
  <c r="K677" i="3" s="1"/>
  <c r="D671" i="3"/>
  <c r="D672" i="3" s="1"/>
  <c r="D673" i="3" s="1"/>
  <c r="D674" i="3" s="1"/>
  <c r="D675" i="3" s="1"/>
  <c r="D676" i="3" s="1"/>
  <c r="D677" i="3" s="1"/>
  <c r="K668" i="3"/>
  <c r="K669" i="3" s="1"/>
  <c r="D668" i="3"/>
  <c r="D669" i="3" s="1"/>
  <c r="K666" i="3"/>
  <c r="D666" i="3"/>
  <c r="K660" i="3"/>
  <c r="K661" i="3" s="1"/>
  <c r="K662" i="3" s="1"/>
  <c r="K663" i="3" s="1"/>
  <c r="K664" i="3" s="1"/>
  <c r="D660" i="3"/>
  <c r="D661" i="3" s="1"/>
  <c r="D662" i="3" s="1"/>
  <c r="D663" i="3" s="1"/>
  <c r="D664" i="3" s="1"/>
  <c r="K656" i="3"/>
  <c r="K657" i="3" s="1"/>
  <c r="D656" i="3"/>
  <c r="D657" i="3" s="1"/>
  <c r="K646" i="3"/>
  <c r="K647" i="3" s="1"/>
  <c r="K648" i="3" s="1"/>
  <c r="K649" i="3" s="1"/>
  <c r="K650" i="3" s="1"/>
  <c r="K651" i="3" s="1"/>
  <c r="K652" i="3" s="1"/>
  <c r="K653" i="3" s="1"/>
  <c r="K654" i="3" s="1"/>
  <c r="D646" i="3"/>
  <c r="D647" i="3" s="1"/>
  <c r="D648" i="3" s="1"/>
  <c r="D649" i="3" s="1"/>
  <c r="D650" i="3" s="1"/>
  <c r="D651" i="3" s="1"/>
  <c r="D652" i="3" s="1"/>
  <c r="D653" i="3" s="1"/>
  <c r="D654" i="3" s="1"/>
  <c r="K638" i="3"/>
  <c r="K639" i="3" s="1"/>
  <c r="K640" i="3" s="1"/>
  <c r="K641" i="3" s="1"/>
  <c r="K642" i="3" s="1"/>
  <c r="D638" i="3"/>
  <c r="D639" i="3" s="1"/>
  <c r="D640" i="3" s="1"/>
  <c r="D641" i="3" s="1"/>
  <c r="D642" i="3" s="1"/>
  <c r="K618" i="3"/>
  <c r="K619" i="3" s="1"/>
  <c r="K620" i="3" s="1"/>
  <c r="K621" i="3" s="1"/>
  <c r="K622" i="3" s="1"/>
  <c r="K623" i="3" s="1"/>
  <c r="K624" i="3" s="1"/>
  <c r="K625" i="3" s="1"/>
  <c r="K626" i="3" s="1"/>
  <c r="K627" i="3" s="1"/>
  <c r="K628" i="3" s="1"/>
  <c r="K629" i="3" s="1"/>
  <c r="K630" i="3" s="1"/>
  <c r="K631" i="3" s="1"/>
  <c r="K632" i="3" s="1"/>
  <c r="K633" i="3" s="1"/>
  <c r="K634" i="3" s="1"/>
  <c r="K635" i="3" s="1"/>
  <c r="K636" i="3" s="1"/>
  <c r="D618" i="3"/>
  <c r="D619" i="3" s="1"/>
  <c r="D620" i="3" s="1"/>
  <c r="D621" i="3" s="1"/>
  <c r="D622" i="3" s="1"/>
  <c r="D623" i="3" s="1"/>
  <c r="D624" i="3" s="1"/>
  <c r="D625" i="3" s="1"/>
  <c r="D626" i="3" s="1"/>
  <c r="D627" i="3" s="1"/>
  <c r="D628" i="3" s="1"/>
  <c r="D629" i="3" s="1"/>
  <c r="D630" i="3" s="1"/>
  <c r="D631" i="3" s="1"/>
  <c r="D632" i="3" s="1"/>
  <c r="D633" i="3" s="1"/>
  <c r="D634" i="3" s="1"/>
  <c r="D635" i="3" s="1"/>
  <c r="D636" i="3" s="1"/>
  <c r="K613" i="3"/>
  <c r="K614" i="3" s="1"/>
  <c r="K615" i="3" s="1"/>
  <c r="K616" i="3" s="1"/>
  <c r="D613" i="3"/>
  <c r="D614" i="3" s="1"/>
  <c r="D615" i="3" s="1"/>
  <c r="D616" i="3" s="1"/>
  <c r="K601" i="3"/>
  <c r="K602" i="3" s="1"/>
  <c r="K603" i="3" s="1"/>
  <c r="K604" i="3" s="1"/>
  <c r="K605" i="3" s="1"/>
  <c r="K606" i="3" s="1"/>
  <c r="K607" i="3" s="1"/>
  <c r="K608" i="3" s="1"/>
  <c r="K609" i="3" s="1"/>
  <c r="K610" i="3" s="1"/>
  <c r="K611" i="3" s="1"/>
  <c r="D601" i="3"/>
  <c r="D602" i="3" s="1"/>
  <c r="D603" i="3" s="1"/>
  <c r="D604" i="3" s="1"/>
  <c r="D605" i="3" s="1"/>
  <c r="D606" i="3" s="1"/>
  <c r="D607" i="3" s="1"/>
  <c r="D608" i="3" s="1"/>
  <c r="D609" i="3" s="1"/>
  <c r="D610" i="3" s="1"/>
  <c r="D611" i="3" s="1"/>
  <c r="K591" i="3"/>
  <c r="K592" i="3" s="1"/>
  <c r="K593" i="3" s="1"/>
  <c r="K594" i="3" s="1"/>
  <c r="K595" i="3" s="1"/>
  <c r="K596" i="3" s="1"/>
  <c r="K597" i="3" s="1"/>
  <c r="K598" i="3" s="1"/>
  <c r="K599" i="3" s="1"/>
  <c r="D591" i="3"/>
  <c r="D592" i="3" s="1"/>
  <c r="D593" i="3" s="1"/>
  <c r="D594" i="3" s="1"/>
  <c r="D595" i="3" s="1"/>
  <c r="D596" i="3" s="1"/>
  <c r="D597" i="3" s="1"/>
  <c r="D598" i="3" s="1"/>
  <c r="D599" i="3" s="1"/>
  <c r="K587" i="3"/>
  <c r="K588" i="3" s="1"/>
  <c r="K589" i="3" s="1"/>
  <c r="D587" i="3"/>
  <c r="D588" i="3" s="1"/>
  <c r="D589" i="3" s="1"/>
  <c r="D577" i="3"/>
  <c r="D578" i="3" s="1"/>
  <c r="D579" i="3" s="1"/>
  <c r="D580" i="3" s="1"/>
  <c r="D581" i="3" s="1"/>
  <c r="D582" i="3" s="1"/>
  <c r="D583" i="3" s="1"/>
  <c r="D584" i="3" s="1"/>
  <c r="D585" i="3" s="1"/>
  <c r="K574" i="3"/>
  <c r="K575" i="3" s="1"/>
  <c r="K576" i="3" s="1"/>
  <c r="K577" i="3" s="1"/>
  <c r="K578" i="3" s="1"/>
  <c r="K579" i="3" s="1"/>
  <c r="K580" i="3" s="1"/>
  <c r="K581" i="3" s="1"/>
  <c r="K582" i="3" s="1"/>
  <c r="K583" i="3" s="1"/>
  <c r="K584" i="3" s="1"/>
  <c r="K585" i="3" s="1"/>
  <c r="D574" i="3"/>
  <c r="D575" i="3" s="1"/>
  <c r="D576" i="3" s="1"/>
  <c r="K572" i="3"/>
  <c r="K571" i="3"/>
  <c r="D571" i="3"/>
  <c r="D572" i="3" s="1"/>
  <c r="K569" i="3"/>
  <c r="D569" i="3"/>
  <c r="K564" i="3"/>
  <c r="K565" i="3" s="1"/>
  <c r="K566" i="3" s="1"/>
  <c r="K567" i="3" s="1"/>
  <c r="D564" i="3"/>
  <c r="D565" i="3" s="1"/>
  <c r="D566" i="3" s="1"/>
  <c r="D567" i="3" s="1"/>
  <c r="K561" i="3"/>
  <c r="K562" i="3" s="1"/>
  <c r="D561" i="3"/>
  <c r="D562" i="3" s="1"/>
  <c r="K556" i="3"/>
  <c r="K557" i="3" s="1"/>
  <c r="K558" i="3" s="1"/>
  <c r="K559" i="3" s="1"/>
  <c r="D556" i="3"/>
  <c r="D557" i="3" s="1"/>
  <c r="D558" i="3" s="1"/>
  <c r="D559" i="3" s="1"/>
  <c r="K553" i="3"/>
  <c r="K554" i="3" s="1"/>
  <c r="D553" i="3"/>
  <c r="D554" i="3" s="1"/>
  <c r="K547" i="3"/>
  <c r="K548" i="3" s="1"/>
  <c r="K549" i="3" s="1"/>
  <c r="K550" i="3" s="1"/>
  <c r="K551" i="3" s="1"/>
  <c r="D547" i="3"/>
  <c r="D548" i="3" s="1"/>
  <c r="D549" i="3" s="1"/>
  <c r="D550" i="3" s="1"/>
  <c r="D551" i="3" s="1"/>
  <c r="K534" i="3"/>
  <c r="K535" i="3" s="1"/>
  <c r="K536" i="3" s="1"/>
  <c r="K537" i="3" s="1"/>
  <c r="K538" i="3" s="1"/>
  <c r="K539" i="3" s="1"/>
  <c r="K540" i="3" s="1"/>
  <c r="K541" i="3" s="1"/>
  <c r="K542" i="3" s="1"/>
  <c r="K543" i="3" s="1"/>
  <c r="K544" i="3" s="1"/>
  <c r="D534" i="3"/>
  <c r="D535" i="3" s="1"/>
  <c r="D536" i="3" s="1"/>
  <c r="D537" i="3" s="1"/>
  <c r="D538" i="3" s="1"/>
  <c r="D539" i="3" s="1"/>
  <c r="D540" i="3" s="1"/>
  <c r="D541" i="3" s="1"/>
  <c r="D542" i="3" s="1"/>
  <c r="D543" i="3" s="1"/>
  <c r="D544" i="3" s="1"/>
  <c r="K532" i="3"/>
  <c r="D532" i="3"/>
  <c r="K527" i="3"/>
  <c r="K528" i="3" s="1"/>
  <c r="K529" i="3" s="1"/>
  <c r="K530" i="3" s="1"/>
  <c r="D527" i="3"/>
  <c r="D528" i="3" s="1"/>
  <c r="D529" i="3" s="1"/>
  <c r="D530" i="3" s="1"/>
  <c r="K525" i="3"/>
  <c r="D525" i="3"/>
  <c r="K520" i="3"/>
  <c r="K521" i="3" s="1"/>
  <c r="K522" i="3" s="1"/>
  <c r="K523" i="3" s="1"/>
  <c r="D520" i="3"/>
  <c r="D521" i="3" s="1"/>
  <c r="D522" i="3" s="1"/>
  <c r="D523" i="3" s="1"/>
  <c r="K516" i="3"/>
  <c r="K517" i="3" s="1"/>
  <c r="K518" i="3" s="1"/>
  <c r="K515" i="3"/>
  <c r="D515" i="3"/>
  <c r="D516" i="3" s="1"/>
  <c r="D517" i="3" s="1"/>
  <c r="D518" i="3" s="1"/>
  <c r="K510" i="3"/>
  <c r="K511" i="3" s="1"/>
  <c r="K512" i="3" s="1"/>
  <c r="D510" i="3"/>
  <c r="D511" i="3" s="1"/>
  <c r="D512" i="3" s="1"/>
  <c r="K503" i="3"/>
  <c r="K504" i="3" s="1"/>
  <c r="K505" i="3" s="1"/>
  <c r="K506" i="3" s="1"/>
  <c r="K507" i="3" s="1"/>
  <c r="K508" i="3" s="1"/>
  <c r="D503" i="3"/>
  <c r="D504" i="3" s="1"/>
  <c r="D505" i="3" s="1"/>
  <c r="D506" i="3" s="1"/>
  <c r="D507" i="3" s="1"/>
  <c r="D508" i="3" s="1"/>
  <c r="K499" i="3"/>
  <c r="K500" i="3" s="1"/>
  <c r="K501" i="3" s="1"/>
  <c r="D499" i="3"/>
  <c r="D500" i="3" s="1"/>
  <c r="D501" i="3" s="1"/>
  <c r="K495" i="3"/>
  <c r="K496" i="3" s="1"/>
  <c r="D495" i="3"/>
  <c r="D496" i="3" s="1"/>
  <c r="K488" i="3"/>
  <c r="K489" i="3" s="1"/>
  <c r="K490" i="3" s="1"/>
  <c r="K491" i="3" s="1"/>
  <c r="K492" i="3" s="1"/>
  <c r="K493" i="3" s="1"/>
  <c r="D488" i="3"/>
  <c r="D489" i="3" s="1"/>
  <c r="D490" i="3" s="1"/>
  <c r="D491" i="3" s="1"/>
  <c r="D492" i="3" s="1"/>
  <c r="D493" i="3" s="1"/>
  <c r="K485" i="3"/>
  <c r="K486" i="3" s="1"/>
  <c r="D485" i="3"/>
  <c r="D486" i="3" s="1"/>
  <c r="K481" i="3"/>
  <c r="D481" i="3"/>
  <c r="K479" i="3"/>
  <c r="D479" i="3"/>
  <c r="K473" i="3"/>
  <c r="K474" i="3" s="1"/>
  <c r="K475" i="3" s="1"/>
  <c r="K476" i="3" s="1"/>
  <c r="K477" i="3" s="1"/>
  <c r="D473" i="3"/>
  <c r="D474" i="3" s="1"/>
  <c r="D475" i="3" s="1"/>
  <c r="D476" i="3" s="1"/>
  <c r="D477" i="3" s="1"/>
  <c r="K462" i="3"/>
  <c r="K463" i="3" s="1"/>
  <c r="K464" i="3" s="1"/>
  <c r="K465" i="3" s="1"/>
  <c r="K466" i="3" s="1"/>
  <c r="K467" i="3" s="1"/>
  <c r="K468" i="3" s="1"/>
  <c r="K469" i="3" s="1"/>
  <c r="K470" i="3" s="1"/>
  <c r="K471" i="3" s="1"/>
  <c r="D462" i="3"/>
  <c r="D463" i="3" s="1"/>
  <c r="D464" i="3" s="1"/>
  <c r="D465" i="3" s="1"/>
  <c r="D466" i="3" s="1"/>
  <c r="D467" i="3" s="1"/>
  <c r="D468" i="3" s="1"/>
  <c r="D469" i="3" s="1"/>
  <c r="D470" i="3" s="1"/>
  <c r="D471" i="3" s="1"/>
  <c r="K460" i="3"/>
  <c r="D460" i="3"/>
  <c r="K458" i="3"/>
  <c r="D458" i="3"/>
  <c r="K456" i="3"/>
  <c r="D456" i="3"/>
  <c r="K454" i="3"/>
  <c r="D454" i="3"/>
  <c r="K442" i="3"/>
  <c r="K443" i="3" s="1"/>
  <c r="K444" i="3" s="1"/>
  <c r="K445" i="3" s="1"/>
  <c r="K446" i="3" s="1"/>
  <c r="K447" i="3" s="1"/>
  <c r="K448" i="3" s="1"/>
  <c r="K449" i="3" s="1"/>
  <c r="K450" i="3" s="1"/>
  <c r="K451" i="3" s="1"/>
  <c r="D442" i="3"/>
  <c r="D443" i="3" s="1"/>
  <c r="D444" i="3" s="1"/>
  <c r="D445" i="3" s="1"/>
  <c r="D446" i="3" s="1"/>
  <c r="D447" i="3" s="1"/>
  <c r="D448" i="3" s="1"/>
  <c r="D449" i="3" s="1"/>
  <c r="D450" i="3" s="1"/>
  <c r="D451" i="3" s="1"/>
  <c r="K432" i="3"/>
  <c r="K433" i="3" s="1"/>
  <c r="K434" i="3" s="1"/>
  <c r="K435" i="3" s="1"/>
  <c r="K436" i="3" s="1"/>
  <c r="K437" i="3" s="1"/>
  <c r="K438" i="3" s="1"/>
  <c r="K439" i="3" s="1"/>
  <c r="K440" i="3" s="1"/>
  <c r="D432" i="3"/>
  <c r="D433" i="3" s="1"/>
  <c r="D434" i="3" s="1"/>
  <c r="D435" i="3" s="1"/>
  <c r="D436" i="3" s="1"/>
  <c r="D437" i="3" s="1"/>
  <c r="D438" i="3" s="1"/>
  <c r="D439" i="3" s="1"/>
  <c r="D440" i="3" s="1"/>
  <c r="K424" i="3"/>
  <c r="K425" i="3" s="1"/>
  <c r="K426" i="3" s="1"/>
  <c r="K427" i="3" s="1"/>
  <c r="K428" i="3" s="1"/>
  <c r="K429" i="3" s="1"/>
  <c r="K430" i="3" s="1"/>
  <c r="D424" i="3"/>
  <c r="D425" i="3" s="1"/>
  <c r="D426" i="3" s="1"/>
  <c r="D427" i="3" s="1"/>
  <c r="D428" i="3" s="1"/>
  <c r="D429" i="3" s="1"/>
  <c r="D430" i="3" s="1"/>
  <c r="K419" i="3"/>
  <c r="K420" i="3" s="1"/>
  <c r="K421" i="3" s="1"/>
  <c r="D419" i="3"/>
  <c r="D420" i="3" s="1"/>
  <c r="D421" i="3" s="1"/>
  <c r="K404" i="3"/>
  <c r="K405" i="3" s="1"/>
  <c r="K406" i="3" s="1"/>
  <c r="K407" i="3" s="1"/>
  <c r="K408" i="3" s="1"/>
  <c r="K409" i="3" s="1"/>
  <c r="K410" i="3" s="1"/>
  <c r="K411" i="3" s="1"/>
  <c r="K412" i="3" s="1"/>
  <c r="K413" i="3" s="1"/>
  <c r="K414" i="3" s="1"/>
  <c r="K415" i="3" s="1"/>
  <c r="K416" i="3" s="1"/>
  <c r="K417" i="3" s="1"/>
  <c r="D404" i="3"/>
  <c r="D405" i="3" s="1"/>
  <c r="D406" i="3" s="1"/>
  <c r="D407" i="3" s="1"/>
  <c r="D408" i="3" s="1"/>
  <c r="D409" i="3" s="1"/>
  <c r="D410" i="3" s="1"/>
  <c r="D411" i="3" s="1"/>
  <c r="D412" i="3" s="1"/>
  <c r="D413" i="3" s="1"/>
  <c r="D414" i="3" s="1"/>
  <c r="D415" i="3" s="1"/>
  <c r="D416" i="3" s="1"/>
  <c r="D417" i="3" s="1"/>
  <c r="K395" i="3"/>
  <c r="K396" i="3" s="1"/>
  <c r="K397" i="3" s="1"/>
  <c r="K398" i="3" s="1"/>
  <c r="K399" i="3" s="1"/>
  <c r="K400" i="3" s="1"/>
  <c r="K401" i="3" s="1"/>
  <c r="K402" i="3" s="1"/>
  <c r="D395" i="3"/>
  <c r="D396" i="3" s="1"/>
  <c r="D397" i="3" s="1"/>
  <c r="D398" i="3" s="1"/>
  <c r="D399" i="3" s="1"/>
  <c r="D400" i="3" s="1"/>
  <c r="D401" i="3" s="1"/>
  <c r="D402" i="3" s="1"/>
  <c r="K392" i="3"/>
  <c r="D392" i="3"/>
  <c r="K388" i="3"/>
  <c r="K389" i="3" s="1"/>
  <c r="D388" i="3"/>
  <c r="D389" i="3" s="1"/>
  <c r="K376" i="3"/>
  <c r="K377" i="3" s="1"/>
  <c r="K378" i="3" s="1"/>
  <c r="K379" i="3" s="1"/>
  <c r="K380" i="3" s="1"/>
  <c r="K381" i="3" s="1"/>
  <c r="K382" i="3" s="1"/>
  <c r="D376" i="3"/>
  <c r="D377" i="3" s="1"/>
  <c r="D378" i="3" s="1"/>
  <c r="D379" i="3" s="1"/>
  <c r="D380" i="3" s="1"/>
  <c r="D381" i="3" s="1"/>
  <c r="D382" i="3" s="1"/>
  <c r="K371" i="3"/>
  <c r="K372" i="3" s="1"/>
  <c r="K373" i="3" s="1"/>
  <c r="D371" i="3"/>
  <c r="D372" i="3" s="1"/>
  <c r="D373" i="3" s="1"/>
  <c r="K366" i="3"/>
  <c r="K367" i="3" s="1"/>
  <c r="K368" i="3" s="1"/>
  <c r="K369" i="3" s="1"/>
  <c r="D366" i="3"/>
  <c r="D367" i="3" s="1"/>
  <c r="D368" i="3" s="1"/>
  <c r="D369" i="3" s="1"/>
  <c r="K362" i="3"/>
  <c r="K363" i="3" s="1"/>
  <c r="K364" i="3" s="1"/>
  <c r="D362" i="3"/>
  <c r="D363" i="3" s="1"/>
  <c r="D364" i="3" s="1"/>
  <c r="K360" i="3"/>
  <c r="D360" i="3"/>
  <c r="K353" i="3"/>
  <c r="K354" i="3" s="1"/>
  <c r="K355" i="3" s="1"/>
  <c r="K356" i="3" s="1"/>
  <c r="K357" i="3" s="1"/>
  <c r="K358" i="3" s="1"/>
  <c r="D353" i="3"/>
  <c r="D354" i="3" s="1"/>
  <c r="D355" i="3" s="1"/>
  <c r="D356" i="3" s="1"/>
  <c r="D357" i="3" s="1"/>
  <c r="D358" i="3" s="1"/>
  <c r="K349" i="3"/>
  <c r="K350" i="3" s="1"/>
  <c r="K351" i="3" s="1"/>
  <c r="D349" i="3"/>
  <c r="D350" i="3" s="1"/>
  <c r="D351" i="3" s="1"/>
  <c r="K345" i="3"/>
  <c r="K346" i="3" s="1"/>
  <c r="K347" i="3" s="1"/>
  <c r="D345" i="3"/>
  <c r="D346" i="3" s="1"/>
  <c r="D347" i="3" s="1"/>
  <c r="K339" i="3"/>
  <c r="K340" i="3" s="1"/>
  <c r="K341" i="3" s="1"/>
  <c r="K342" i="3" s="1"/>
  <c r="K343" i="3" s="1"/>
  <c r="D339" i="3"/>
  <c r="D340" i="3" s="1"/>
  <c r="D341" i="3" s="1"/>
  <c r="D342" i="3" s="1"/>
  <c r="D343" i="3" s="1"/>
  <c r="K332" i="3"/>
  <c r="K333" i="3" s="1"/>
  <c r="K334" i="3" s="1"/>
  <c r="K335" i="3" s="1"/>
  <c r="K336" i="3" s="1"/>
  <c r="D332" i="3"/>
  <c r="D333" i="3" s="1"/>
  <c r="D334" i="3" s="1"/>
  <c r="D335" i="3" s="1"/>
  <c r="D336" i="3" s="1"/>
  <c r="K327" i="3"/>
  <c r="K328" i="3" s="1"/>
  <c r="K329" i="3" s="1"/>
  <c r="K330" i="3" s="1"/>
  <c r="D327" i="3"/>
  <c r="D328" i="3" s="1"/>
  <c r="D329" i="3" s="1"/>
  <c r="D330" i="3" s="1"/>
  <c r="K323" i="3"/>
  <c r="K324" i="3" s="1"/>
  <c r="K325" i="3" s="1"/>
  <c r="D323" i="3"/>
  <c r="D324" i="3" s="1"/>
  <c r="D325" i="3" s="1"/>
  <c r="K314" i="3"/>
  <c r="K315" i="3" s="1"/>
  <c r="K316" i="3" s="1"/>
  <c r="K317" i="3" s="1"/>
  <c r="K318" i="3" s="1"/>
  <c r="K319" i="3" s="1"/>
  <c r="K320" i="3" s="1"/>
  <c r="K321" i="3" s="1"/>
  <c r="D314" i="3"/>
  <c r="D315" i="3" s="1"/>
  <c r="D316" i="3" s="1"/>
  <c r="D317" i="3" s="1"/>
  <c r="D318" i="3" s="1"/>
  <c r="D319" i="3" s="1"/>
  <c r="D320" i="3" s="1"/>
  <c r="D321" i="3" s="1"/>
  <c r="K308" i="3"/>
  <c r="K309" i="3" s="1"/>
  <c r="K310" i="3" s="1"/>
  <c r="K311" i="3" s="1"/>
  <c r="K312" i="3" s="1"/>
  <c r="D308" i="3"/>
  <c r="D309" i="3" s="1"/>
  <c r="D310" i="3" s="1"/>
  <c r="D311" i="3" s="1"/>
  <c r="D312" i="3" s="1"/>
  <c r="K300" i="3"/>
  <c r="K301" i="3" s="1"/>
  <c r="K302" i="3" s="1"/>
  <c r="K303" i="3" s="1"/>
  <c r="K304" i="3" s="1"/>
  <c r="K305" i="3" s="1"/>
  <c r="K306" i="3" s="1"/>
  <c r="D300" i="3"/>
  <c r="D301" i="3" s="1"/>
  <c r="D302" i="3" s="1"/>
  <c r="D303" i="3" s="1"/>
  <c r="D304" i="3" s="1"/>
  <c r="D305" i="3" s="1"/>
  <c r="D306" i="3" s="1"/>
  <c r="K292" i="3"/>
  <c r="K293" i="3" s="1"/>
  <c r="K294" i="3" s="1"/>
  <c r="K295" i="3" s="1"/>
  <c r="K296" i="3" s="1"/>
  <c r="K297" i="3" s="1"/>
  <c r="K298" i="3" s="1"/>
  <c r="D292" i="3"/>
  <c r="D293" i="3" s="1"/>
  <c r="D294" i="3" s="1"/>
  <c r="D295" i="3" s="1"/>
  <c r="D296" i="3" s="1"/>
  <c r="D297" i="3" s="1"/>
  <c r="D298" i="3" s="1"/>
  <c r="K288" i="3"/>
  <c r="K289" i="3" s="1"/>
  <c r="K290" i="3" s="1"/>
  <c r="D288" i="3"/>
  <c r="D289" i="3" s="1"/>
  <c r="D290" i="3" s="1"/>
  <c r="K283" i="3"/>
  <c r="K284" i="3" s="1"/>
  <c r="K285" i="3" s="1"/>
  <c r="K282" i="3"/>
  <c r="D282" i="3"/>
  <c r="D283" i="3" s="1"/>
  <c r="D284" i="3" s="1"/>
  <c r="D285" i="3" s="1"/>
  <c r="K278" i="3"/>
  <c r="K279" i="3" s="1"/>
  <c r="K280" i="3" s="1"/>
  <c r="D278" i="3"/>
  <c r="D279" i="3" s="1"/>
  <c r="D280" i="3" s="1"/>
  <c r="K274" i="3"/>
  <c r="K275" i="3" s="1"/>
  <c r="K276" i="3" s="1"/>
  <c r="D274" i="3"/>
  <c r="D275" i="3" s="1"/>
  <c r="D276" i="3" s="1"/>
  <c r="K272" i="3"/>
  <c r="D272" i="3"/>
  <c r="K264" i="3"/>
  <c r="K265" i="3" s="1"/>
  <c r="K266" i="3" s="1"/>
  <c r="K267" i="3" s="1"/>
  <c r="K268" i="3" s="1"/>
  <c r="K269" i="3" s="1"/>
  <c r="K270" i="3" s="1"/>
  <c r="D264" i="3"/>
  <c r="D265" i="3" s="1"/>
  <c r="D266" i="3" s="1"/>
  <c r="D267" i="3" s="1"/>
  <c r="D268" i="3" s="1"/>
  <c r="D269" i="3" s="1"/>
  <c r="D270" i="3" s="1"/>
  <c r="K262" i="3"/>
  <c r="K261" i="3"/>
  <c r="D261" i="3"/>
  <c r="D262" i="3" s="1"/>
  <c r="K259" i="3"/>
  <c r="K258" i="3"/>
  <c r="D258" i="3"/>
  <c r="D259" i="3" s="1"/>
  <c r="K254" i="3"/>
  <c r="K255" i="3" s="1"/>
  <c r="K256" i="3" s="1"/>
  <c r="D254" i="3"/>
  <c r="D255" i="3" s="1"/>
  <c r="D256" i="3" s="1"/>
  <c r="K248" i="3"/>
  <c r="K249" i="3" s="1"/>
  <c r="K250" i="3" s="1"/>
  <c r="K251" i="3" s="1"/>
  <c r="K252" i="3" s="1"/>
  <c r="D248" i="3"/>
  <c r="D249" i="3" s="1"/>
  <c r="D250" i="3" s="1"/>
  <c r="D251" i="3" s="1"/>
  <c r="D252" i="3" s="1"/>
  <c r="K237" i="3"/>
  <c r="K238" i="3" s="1"/>
  <c r="K239" i="3" s="1"/>
  <c r="K240" i="3" s="1"/>
  <c r="K241" i="3" s="1"/>
  <c r="K242" i="3" s="1"/>
  <c r="K243" i="3" s="1"/>
  <c r="K244" i="3" s="1"/>
  <c r="K245" i="3" s="1"/>
  <c r="K246" i="3" s="1"/>
  <c r="D237" i="3"/>
  <c r="D238" i="3" s="1"/>
  <c r="D239" i="3" s="1"/>
  <c r="D240" i="3" s="1"/>
  <c r="D241" i="3" s="1"/>
  <c r="D242" i="3" s="1"/>
  <c r="D243" i="3" s="1"/>
  <c r="D244" i="3" s="1"/>
  <c r="D245" i="3" s="1"/>
  <c r="D246" i="3" s="1"/>
  <c r="K233" i="3"/>
  <c r="K234" i="3" s="1"/>
  <c r="D233" i="3"/>
  <c r="D234" i="3" s="1"/>
  <c r="K222" i="3"/>
  <c r="K223" i="3" s="1"/>
  <c r="K224" i="3" s="1"/>
  <c r="K225" i="3" s="1"/>
  <c r="K226" i="3" s="1"/>
  <c r="K227" i="3" s="1"/>
  <c r="K228" i="3" s="1"/>
  <c r="K229" i="3" s="1"/>
  <c r="K230" i="3" s="1"/>
  <c r="K231" i="3" s="1"/>
  <c r="D222" i="3"/>
  <c r="D223" i="3" s="1"/>
  <c r="D224" i="3" s="1"/>
  <c r="D225" i="3" s="1"/>
  <c r="D226" i="3" s="1"/>
  <c r="D227" i="3" s="1"/>
  <c r="D228" i="3" s="1"/>
  <c r="D229" i="3" s="1"/>
  <c r="D230" i="3" s="1"/>
  <c r="D231" i="3" s="1"/>
  <c r="K213" i="3"/>
  <c r="K214" i="3" s="1"/>
  <c r="K215" i="3" s="1"/>
  <c r="K216" i="3" s="1"/>
  <c r="K217" i="3" s="1"/>
  <c r="K218" i="3" s="1"/>
  <c r="K219" i="3" s="1"/>
  <c r="D213" i="3"/>
  <c r="D214" i="3" s="1"/>
  <c r="D215" i="3" s="1"/>
  <c r="D216" i="3" s="1"/>
  <c r="D217" i="3" s="1"/>
  <c r="D218" i="3" s="1"/>
  <c r="D219" i="3" s="1"/>
  <c r="K211" i="3"/>
  <c r="D211" i="3"/>
  <c r="K203" i="3"/>
  <c r="K204" i="3" s="1"/>
  <c r="K205" i="3" s="1"/>
  <c r="K206" i="3" s="1"/>
  <c r="K207" i="3" s="1"/>
  <c r="K208" i="3" s="1"/>
  <c r="K209" i="3" s="1"/>
  <c r="D203" i="3"/>
  <c r="D204" i="3" s="1"/>
  <c r="D205" i="3" s="1"/>
  <c r="D206" i="3" s="1"/>
  <c r="D207" i="3" s="1"/>
  <c r="D208" i="3" s="1"/>
  <c r="D209" i="3" s="1"/>
  <c r="K200" i="3"/>
  <c r="K201" i="3" s="1"/>
  <c r="D200" i="3"/>
  <c r="D201" i="3" s="1"/>
  <c r="K193" i="3"/>
  <c r="K194" i="3" s="1"/>
  <c r="K195" i="3" s="1"/>
  <c r="K196" i="3" s="1"/>
  <c r="K197" i="3" s="1"/>
  <c r="K198" i="3" s="1"/>
  <c r="D193" i="3"/>
  <c r="D194" i="3" s="1"/>
  <c r="D195" i="3" s="1"/>
  <c r="D196" i="3" s="1"/>
  <c r="D197" i="3" s="1"/>
  <c r="D198" i="3" s="1"/>
  <c r="K188" i="3"/>
  <c r="K189" i="3" s="1"/>
  <c r="K190" i="3" s="1"/>
  <c r="K191" i="3" s="1"/>
  <c r="D188" i="3"/>
  <c r="D189" i="3" s="1"/>
  <c r="D190" i="3" s="1"/>
  <c r="D191" i="3" s="1"/>
  <c r="K181" i="3"/>
  <c r="K182" i="3" s="1"/>
  <c r="K183" i="3" s="1"/>
  <c r="K184" i="3" s="1"/>
  <c r="K185" i="3" s="1"/>
  <c r="K186" i="3" s="1"/>
  <c r="D181" i="3"/>
  <c r="D182" i="3" s="1"/>
  <c r="D183" i="3" s="1"/>
  <c r="D184" i="3" s="1"/>
  <c r="D185" i="3" s="1"/>
  <c r="D186" i="3" s="1"/>
  <c r="K177" i="3"/>
  <c r="K178" i="3" s="1"/>
  <c r="K179" i="3" s="1"/>
  <c r="D177" i="3"/>
  <c r="D178" i="3" s="1"/>
  <c r="D179" i="3" s="1"/>
  <c r="K166" i="3"/>
  <c r="K167" i="3" s="1"/>
  <c r="K168" i="3" s="1"/>
  <c r="K169" i="3" s="1"/>
  <c r="K170" i="3" s="1"/>
  <c r="K171" i="3" s="1"/>
  <c r="K172" i="3" s="1"/>
  <c r="K173" i="3" s="1"/>
  <c r="K174" i="3" s="1"/>
  <c r="K175" i="3" s="1"/>
  <c r="D166" i="3"/>
  <c r="D167" i="3" s="1"/>
  <c r="D168" i="3" s="1"/>
  <c r="D169" i="3" s="1"/>
  <c r="D170" i="3" s="1"/>
  <c r="D171" i="3" s="1"/>
  <c r="D172" i="3" s="1"/>
  <c r="D173" i="3" s="1"/>
  <c r="D174" i="3" s="1"/>
  <c r="D175" i="3" s="1"/>
  <c r="K162" i="3"/>
  <c r="K163" i="3" s="1"/>
  <c r="K164" i="3" s="1"/>
  <c r="D162" i="3"/>
  <c r="D163" i="3" s="1"/>
  <c r="D164" i="3" s="1"/>
  <c r="K156" i="3"/>
  <c r="K157" i="3" s="1"/>
  <c r="K158" i="3" s="1"/>
  <c r="K159" i="3" s="1"/>
  <c r="K160" i="3" s="1"/>
  <c r="D156" i="3"/>
  <c r="D157" i="3" s="1"/>
  <c r="D158" i="3" s="1"/>
  <c r="D159" i="3" s="1"/>
  <c r="D160" i="3" s="1"/>
  <c r="K149" i="3"/>
  <c r="K150" i="3" s="1"/>
  <c r="K151" i="3" s="1"/>
  <c r="K152" i="3" s="1"/>
  <c r="K153" i="3" s="1"/>
  <c r="K154" i="3" s="1"/>
  <c r="D149" i="3"/>
  <c r="D150" i="3" s="1"/>
  <c r="D151" i="3" s="1"/>
  <c r="D152" i="3" s="1"/>
  <c r="D153" i="3" s="1"/>
  <c r="D154" i="3" s="1"/>
  <c r="K146" i="3"/>
  <c r="K147" i="3" s="1"/>
  <c r="D146" i="3"/>
  <c r="D147" i="3" s="1"/>
  <c r="K140" i="3"/>
  <c r="K141" i="3" s="1"/>
  <c r="K142" i="3" s="1"/>
  <c r="K143" i="3" s="1"/>
  <c r="K144" i="3" s="1"/>
  <c r="D140" i="3"/>
  <c r="D141" i="3" s="1"/>
  <c r="D142" i="3" s="1"/>
  <c r="D143" i="3" s="1"/>
  <c r="D144" i="3" s="1"/>
  <c r="D137" i="3"/>
  <c r="D138" i="3" s="1"/>
  <c r="K136" i="3"/>
  <c r="K137" i="3" s="1"/>
  <c r="K138" i="3" s="1"/>
  <c r="D136" i="3"/>
  <c r="K127" i="3"/>
  <c r="K128" i="3" s="1"/>
  <c r="K129" i="3" s="1"/>
  <c r="K130" i="3" s="1"/>
  <c r="K131" i="3" s="1"/>
  <c r="K132" i="3" s="1"/>
  <c r="K133" i="3" s="1"/>
  <c r="K134" i="3" s="1"/>
  <c r="D127" i="3"/>
  <c r="D128" i="3" s="1"/>
  <c r="D129" i="3" s="1"/>
  <c r="D130" i="3" s="1"/>
  <c r="D131" i="3" s="1"/>
  <c r="D132" i="3" s="1"/>
  <c r="D133" i="3" s="1"/>
  <c r="D134" i="3" s="1"/>
  <c r="K123" i="3"/>
  <c r="K124" i="3" s="1"/>
  <c r="K125" i="3" s="1"/>
  <c r="D123" i="3"/>
  <c r="D124" i="3" s="1"/>
  <c r="D125" i="3" s="1"/>
  <c r="K113" i="3"/>
  <c r="K114" i="3" s="1"/>
  <c r="K115" i="3" s="1"/>
  <c r="K116" i="3" s="1"/>
  <c r="K117" i="3" s="1"/>
  <c r="K118" i="3" s="1"/>
  <c r="K119" i="3" s="1"/>
  <c r="K120" i="3" s="1"/>
  <c r="K121" i="3" s="1"/>
  <c r="D113" i="3"/>
  <c r="D114" i="3" s="1"/>
  <c r="D115" i="3" s="1"/>
  <c r="D116" i="3" s="1"/>
  <c r="D117" i="3" s="1"/>
  <c r="D118" i="3" s="1"/>
  <c r="D119" i="3" s="1"/>
  <c r="D120" i="3" s="1"/>
  <c r="D121" i="3" s="1"/>
  <c r="K109" i="3"/>
  <c r="K110" i="3" s="1"/>
  <c r="K111" i="3" s="1"/>
  <c r="D109" i="3"/>
  <c r="D110" i="3" s="1"/>
  <c r="D111" i="3" s="1"/>
  <c r="K106" i="3"/>
  <c r="K107" i="3" s="1"/>
  <c r="D106" i="3"/>
  <c r="D107" i="3" s="1"/>
  <c r="K100" i="3"/>
  <c r="K101" i="3" s="1"/>
  <c r="K102" i="3" s="1"/>
  <c r="K103" i="3" s="1"/>
  <c r="K104" i="3" s="1"/>
  <c r="D100" i="3"/>
  <c r="D101" i="3" s="1"/>
  <c r="D102" i="3" s="1"/>
  <c r="D103" i="3" s="1"/>
  <c r="D104" i="3" s="1"/>
  <c r="K97" i="3"/>
  <c r="K98" i="3" s="1"/>
  <c r="D97" i="3"/>
  <c r="D98" i="3" s="1"/>
  <c r="K91" i="3"/>
  <c r="K92" i="3" s="1"/>
  <c r="K93" i="3" s="1"/>
  <c r="K94" i="3" s="1"/>
  <c r="K95" i="3" s="1"/>
  <c r="D91" i="3"/>
  <c r="D92" i="3" s="1"/>
  <c r="D93" i="3" s="1"/>
  <c r="D94" i="3" s="1"/>
  <c r="D95" i="3" s="1"/>
  <c r="K87" i="3"/>
  <c r="K88" i="3" s="1"/>
  <c r="K89" i="3" s="1"/>
  <c r="D87" i="3"/>
  <c r="D88" i="3" s="1"/>
  <c r="D89" i="3" s="1"/>
  <c r="K80" i="3"/>
  <c r="K81" i="3" s="1"/>
  <c r="K82" i="3" s="1"/>
  <c r="K83" i="3" s="1"/>
  <c r="K84" i="3" s="1"/>
  <c r="K85" i="3" s="1"/>
  <c r="D80" i="3"/>
  <c r="D81" i="3" s="1"/>
  <c r="D82" i="3" s="1"/>
  <c r="D83" i="3" s="1"/>
  <c r="D84" i="3" s="1"/>
  <c r="D85" i="3" s="1"/>
  <c r="K72" i="3"/>
  <c r="K73" i="3" s="1"/>
  <c r="K74" i="3" s="1"/>
  <c r="K75" i="3" s="1"/>
  <c r="K76" i="3" s="1"/>
  <c r="K77" i="3" s="1"/>
  <c r="K78" i="3" s="1"/>
  <c r="D72" i="3"/>
  <c r="D73" i="3" s="1"/>
  <c r="D74" i="3" s="1"/>
  <c r="D75" i="3" s="1"/>
  <c r="D76" i="3" s="1"/>
  <c r="D77" i="3" s="1"/>
  <c r="D78" i="3" s="1"/>
  <c r="K69" i="3"/>
  <c r="K70" i="3" s="1"/>
  <c r="D69" i="3"/>
  <c r="D70" i="3" s="1"/>
  <c r="K66" i="3"/>
  <c r="K67" i="3" s="1"/>
  <c r="D66" i="3"/>
  <c r="D67" i="3" s="1"/>
  <c r="K62" i="3"/>
  <c r="K63" i="3" s="1"/>
  <c r="K64" i="3" s="1"/>
  <c r="D62" i="3"/>
  <c r="D63" i="3" s="1"/>
  <c r="D64" i="3" s="1"/>
  <c r="K56" i="3"/>
  <c r="K57" i="3" s="1"/>
  <c r="K58" i="3" s="1"/>
  <c r="K59" i="3" s="1"/>
  <c r="K60" i="3" s="1"/>
  <c r="D56" i="3"/>
  <c r="D57" i="3" s="1"/>
  <c r="D58" i="3" s="1"/>
  <c r="D59" i="3" s="1"/>
  <c r="D60" i="3" s="1"/>
  <c r="K52" i="3"/>
  <c r="K53" i="3" s="1"/>
  <c r="K54" i="3" s="1"/>
  <c r="D52" i="3"/>
  <c r="D53" i="3" s="1"/>
  <c r="D54" i="3" s="1"/>
  <c r="K47" i="3"/>
  <c r="K48" i="3" s="1"/>
  <c r="K49" i="3" s="1"/>
  <c r="K50" i="3" s="1"/>
  <c r="D47" i="3"/>
  <c r="D48" i="3" s="1"/>
  <c r="D49" i="3" s="1"/>
  <c r="D50" i="3" s="1"/>
  <c r="K41" i="3"/>
  <c r="K42" i="3" s="1"/>
  <c r="K43" i="3" s="1"/>
  <c r="K44" i="3" s="1"/>
  <c r="K45" i="3" s="1"/>
  <c r="D41" i="3"/>
  <c r="D42" i="3" s="1"/>
  <c r="D43" i="3" s="1"/>
  <c r="D44" i="3" s="1"/>
  <c r="D45" i="3" s="1"/>
  <c r="K39" i="3"/>
  <c r="D39" i="3"/>
  <c r="K32" i="3"/>
  <c r="K33" i="3" s="1"/>
  <c r="K34" i="3" s="1"/>
  <c r="K35" i="3" s="1"/>
  <c r="K36" i="3" s="1"/>
  <c r="K37" i="3" s="1"/>
  <c r="D32" i="3"/>
  <c r="D33" i="3" s="1"/>
  <c r="D34" i="3" s="1"/>
  <c r="D35" i="3" s="1"/>
  <c r="D36" i="3" s="1"/>
  <c r="D37" i="3" s="1"/>
  <c r="K30" i="3"/>
  <c r="K29" i="3"/>
  <c r="D29" i="3"/>
  <c r="D30" i="3" s="1"/>
  <c r="K7" i="3"/>
  <c r="K8" i="3" s="1"/>
  <c r="K9" i="3" s="1"/>
  <c r="K10" i="3" s="1"/>
  <c r="K11" i="3" s="1"/>
  <c r="K12" i="3" s="1"/>
  <c r="K13" i="3" s="1"/>
  <c r="K14" i="3" s="1"/>
  <c r="K15" i="3" s="1"/>
  <c r="K16" i="3" s="1"/>
  <c r="K17" i="3" s="1"/>
  <c r="K18" i="3" s="1"/>
  <c r="K19" i="3" s="1"/>
  <c r="K20" i="3" s="1"/>
  <c r="K21" i="3" s="1"/>
  <c r="K22" i="3" s="1"/>
  <c r="K23" i="3" s="1"/>
  <c r="K24" i="3" s="1"/>
  <c r="K25" i="3" s="1"/>
  <c r="K26" i="3" s="1"/>
  <c r="K27" i="3" s="1"/>
  <c r="D7" i="3"/>
  <c r="D8" i="3" s="1"/>
  <c r="D9" i="3" s="1"/>
  <c r="D10" i="3" s="1"/>
  <c r="D11" i="3" s="1"/>
  <c r="D12" i="3" s="1"/>
  <c r="D13" i="3" s="1"/>
  <c r="D14" i="3" s="1"/>
  <c r="D15" i="3" s="1"/>
  <c r="D16" i="3" s="1"/>
  <c r="D17" i="3" s="1"/>
  <c r="D18" i="3" s="1"/>
  <c r="D19" i="3" s="1"/>
  <c r="D20" i="3" s="1"/>
  <c r="D21" i="3" s="1"/>
  <c r="D22" i="3" s="1"/>
  <c r="D23" i="3" s="1"/>
  <c r="D24" i="3" s="1"/>
  <c r="D25" i="3" s="1"/>
  <c r="D26" i="3" s="1"/>
  <c r="D27" i="3" s="1"/>
  <c r="K3" i="3"/>
  <c r="K4" i="3" s="1"/>
  <c r="K5" i="3" s="1"/>
  <c r="D3" i="3"/>
  <c r="D4" i="3" s="1"/>
  <c r="D5" i="3" s="1"/>
  <c r="P34" i="5"/>
  <c r="P24" i="5"/>
  <c r="P23" i="5"/>
  <c r="P22" i="5"/>
  <c r="P21" i="5"/>
  <c r="P20" i="5"/>
  <c r="P19" i="5"/>
  <c r="P18" i="5"/>
  <c r="P17" i="5"/>
  <c r="P16" i="5"/>
  <c r="P15" i="5"/>
  <c r="P14" i="5"/>
  <c r="P13" i="5"/>
  <c r="P12" i="5"/>
  <c r="P11" i="5"/>
  <c r="P10" i="5"/>
  <c r="P9" i="5"/>
  <c r="P8" i="5"/>
  <c r="P7" i="5"/>
  <c r="P6" i="5"/>
  <c r="P5" i="5"/>
  <c r="P4" i="5"/>
  <c r="J4" i="5"/>
  <c r="AB16" i="5"/>
  <c r="AB8" i="5"/>
  <c r="AB15" i="5"/>
  <c r="AB7" i="5"/>
  <c r="AB14" i="5"/>
  <c r="AB6" i="5"/>
  <c r="AB13" i="5"/>
  <c r="AB5" i="5"/>
  <c r="AB12" i="5"/>
  <c r="AB18" i="5"/>
  <c r="AB20" i="5"/>
  <c r="AB19" i="5"/>
  <c r="AB11" i="5"/>
  <c r="AB10" i="5"/>
  <c r="AB17" i="5"/>
  <c r="AB9" i="5"/>
</calcChain>
</file>

<file path=xl/sharedStrings.xml><?xml version="1.0" encoding="utf-8"?>
<sst xmlns="http://schemas.openxmlformats.org/spreadsheetml/2006/main" count="31588" uniqueCount="11819">
  <si>
    <r>
      <rPr>
        <b/>
        <sz val="9"/>
        <color rgb="FF000000"/>
        <rFont val="楷体"/>
        <charset val="134"/>
      </rPr>
      <t>阿里系</t>
    </r>
  </si>
  <si>
    <r>
      <rPr>
        <b/>
        <sz val="9"/>
        <color rgb="FF000000"/>
        <rFont val="楷体"/>
        <charset val="134"/>
      </rPr>
      <t>占比</t>
    </r>
  </si>
  <si>
    <r>
      <rPr>
        <b/>
        <sz val="9"/>
        <color rgb="FF000000"/>
        <rFont val="楷体"/>
        <charset val="134"/>
      </rPr>
      <t>阿里</t>
    </r>
    <r>
      <rPr>
        <b/>
        <sz val="9"/>
        <color rgb="FF000000"/>
        <rFont val="Arial"/>
        <charset val="134"/>
      </rPr>
      <t>2020</t>
    </r>
    <r>
      <rPr>
        <b/>
        <sz val="9"/>
        <color rgb="FF000000"/>
        <rFont val="楷体"/>
        <charset val="134"/>
      </rPr>
      <t>年以来非上市企业投资案例分析</t>
    </r>
  </si>
  <si>
    <r>
      <rPr>
        <b/>
        <sz val="14"/>
        <color rgb="FFC00000"/>
        <rFont val="楷体"/>
        <charset val="134"/>
      </rPr>
      <t>【华泰互联网】阿里系投资版图梳理</t>
    </r>
  </si>
  <si>
    <r>
      <rPr>
        <b/>
        <sz val="9"/>
        <color rgb="FF000000"/>
        <rFont val="楷体"/>
        <charset val="134"/>
      </rPr>
      <t>行业分布</t>
    </r>
  </si>
  <si>
    <r>
      <rPr>
        <b/>
        <sz val="9"/>
        <color rgb="FF000000"/>
        <rFont val="楷体"/>
        <charset val="134"/>
      </rPr>
      <t>时间分布</t>
    </r>
  </si>
  <si>
    <r>
      <rPr>
        <b/>
        <sz val="9"/>
        <color rgb="FF000000"/>
        <rFont val="楷体"/>
        <charset val="134"/>
      </rPr>
      <t>公司名称</t>
    </r>
  </si>
  <si>
    <r>
      <rPr>
        <b/>
        <sz val="9"/>
        <color rgb="FF000000"/>
        <rFont val="楷体"/>
        <charset val="134"/>
      </rPr>
      <t>行业</t>
    </r>
  </si>
  <si>
    <r>
      <rPr>
        <b/>
        <sz val="9"/>
        <color rgb="FF000000"/>
        <rFont val="楷体"/>
        <charset val="134"/>
      </rPr>
      <t>子行业</t>
    </r>
  </si>
  <si>
    <r>
      <rPr>
        <b/>
        <sz val="9"/>
        <color rgb="FF000000"/>
        <rFont val="楷体"/>
        <charset val="134"/>
      </rPr>
      <t>最新投资估值</t>
    </r>
  </si>
  <si>
    <r>
      <rPr>
        <sz val="9"/>
        <color rgb="FF000000"/>
        <rFont val="楷体"/>
        <charset val="134"/>
      </rPr>
      <t>企业服务</t>
    </r>
  </si>
  <si>
    <r>
      <t>2013</t>
    </r>
    <r>
      <rPr>
        <sz val="9"/>
        <color rgb="FF000000"/>
        <rFont val="楷体"/>
        <charset val="134"/>
      </rPr>
      <t>年及以前</t>
    </r>
  </si>
  <si>
    <t>Bigbasket</t>
  </si>
  <si>
    <r>
      <rPr>
        <sz val="9"/>
        <color rgb="FF000000"/>
        <rFont val="楷体"/>
        <charset val="134"/>
      </rPr>
      <t>本地生活</t>
    </r>
  </si>
  <si>
    <r>
      <rPr>
        <sz val="9"/>
        <color rgb="FF000000"/>
        <rFont val="楷体"/>
        <charset val="134"/>
      </rPr>
      <t>综合生活服务</t>
    </r>
  </si>
  <si>
    <r>
      <t>78</t>
    </r>
    <r>
      <rPr>
        <sz val="9"/>
        <color rgb="FF000000"/>
        <rFont val="楷体"/>
        <charset val="134"/>
      </rPr>
      <t>亿元</t>
    </r>
  </si>
  <si>
    <t>Row Labels</t>
  </si>
  <si>
    <r>
      <t xml:space="preserve">Count of </t>
    </r>
    <r>
      <rPr>
        <sz val="9"/>
        <color rgb="FF000000"/>
        <rFont val="楷体"/>
        <charset val="134"/>
      </rPr>
      <t>行业</t>
    </r>
  </si>
  <si>
    <r>
      <rPr>
        <b/>
        <sz val="9"/>
        <color theme="1"/>
        <rFont val="楷体"/>
        <charset val="134"/>
      </rPr>
      <t>夏路路</t>
    </r>
    <r>
      <rPr>
        <b/>
        <sz val="9"/>
        <color theme="1"/>
        <rFont val="Arial"/>
        <charset val="134"/>
      </rPr>
      <t>Jonos - SFC No. BTP154</t>
    </r>
  </si>
  <si>
    <r>
      <rPr>
        <sz val="9"/>
        <color rgb="FF000000"/>
        <rFont val="楷体"/>
        <charset val="134"/>
      </rPr>
      <t>电商零售</t>
    </r>
  </si>
  <si>
    <r>
      <rPr>
        <sz val="9"/>
        <color rgb="FF000000"/>
        <rFont val="楷体"/>
        <charset val="134"/>
      </rPr>
      <t>河狸家</t>
    </r>
  </si>
  <si>
    <r>
      <rPr>
        <sz val="9"/>
        <color rgb="FF000000"/>
        <rFont val="楷体"/>
        <charset val="134"/>
      </rPr>
      <t>美业服务</t>
    </r>
  </si>
  <si>
    <r>
      <t>50</t>
    </r>
    <r>
      <rPr>
        <sz val="9"/>
        <color rgb="FF000000"/>
        <rFont val="楷体"/>
        <charset val="134"/>
      </rPr>
      <t>亿元</t>
    </r>
  </si>
  <si>
    <r>
      <rPr>
        <sz val="9"/>
        <color rgb="FF000000"/>
        <rFont val="楷体"/>
        <charset val="134"/>
      </rPr>
      <t>文娱传媒</t>
    </r>
  </si>
  <si>
    <r>
      <rPr>
        <sz val="9"/>
        <rFont val="楷体"/>
        <charset val="134"/>
      </rPr>
      <t>小红书</t>
    </r>
  </si>
  <si>
    <r>
      <rPr>
        <sz val="9"/>
        <color rgb="FF000000"/>
        <rFont val="楷体"/>
        <charset val="134"/>
      </rPr>
      <t>休闲娱乐</t>
    </r>
  </si>
  <si>
    <r>
      <t>1300</t>
    </r>
    <r>
      <rPr>
        <sz val="9"/>
        <color rgb="FF000000"/>
        <rFont val="楷体"/>
        <charset val="134"/>
      </rPr>
      <t>亿元</t>
    </r>
  </si>
  <si>
    <r>
      <rPr>
        <sz val="9"/>
        <color rgb="FF000000"/>
        <rFont val="楷体"/>
        <charset val="134"/>
      </rPr>
      <t>传统制造</t>
    </r>
  </si>
  <si>
    <r>
      <rPr>
        <sz val="9"/>
        <color rgb="FF000000"/>
        <rFont val="楷体"/>
        <charset val="134"/>
      </rPr>
      <t>金融</t>
    </r>
  </si>
  <si>
    <r>
      <rPr>
        <sz val="9"/>
        <color rgb="FF000000"/>
        <rFont val="楷体"/>
        <charset val="134"/>
      </rPr>
      <t>森宝积木</t>
    </r>
  </si>
  <si>
    <r>
      <rPr>
        <sz val="9"/>
        <color rgb="FF000000"/>
        <rFont val="楷体"/>
        <charset val="134"/>
      </rPr>
      <t>轻工制造</t>
    </r>
  </si>
  <si>
    <r>
      <t>15</t>
    </r>
    <r>
      <rPr>
        <sz val="9"/>
        <color rgb="FF000000"/>
        <rFont val="楷体"/>
        <charset val="134"/>
      </rPr>
      <t>亿元</t>
    </r>
  </si>
  <si>
    <r>
      <rPr>
        <sz val="9"/>
        <color rgb="FFC00000"/>
        <rFont val="楷体"/>
        <charset val="134"/>
      </rPr>
      <t>电商零售</t>
    </r>
  </si>
  <si>
    <r>
      <rPr>
        <sz val="9"/>
        <color rgb="FF000000"/>
        <rFont val="楷体"/>
        <charset val="134"/>
      </rPr>
      <t>先进制造</t>
    </r>
  </si>
  <si>
    <t>Cabana</t>
  </si>
  <si>
    <r>
      <rPr>
        <sz val="9"/>
        <color rgb="FF000000"/>
        <rFont val="楷体"/>
        <charset val="134"/>
      </rPr>
      <t>电商零售</t>
    </r>
  </si>
  <si>
    <r>
      <rPr>
        <sz val="9"/>
        <color rgb="FF000000"/>
        <rFont val="楷体"/>
        <charset val="134"/>
      </rPr>
      <t>家居家纺</t>
    </r>
  </si>
  <si>
    <r>
      <t>6.5</t>
    </r>
    <r>
      <rPr>
        <sz val="9"/>
        <color rgb="FF000000"/>
        <rFont val="楷体"/>
        <charset val="134"/>
      </rPr>
      <t>亿元</t>
    </r>
  </si>
  <si>
    <r>
      <rPr>
        <sz val="9"/>
        <color rgb="FF000000"/>
        <rFont val="楷体"/>
        <charset val="134"/>
      </rPr>
      <t>广告营销</t>
    </r>
  </si>
  <si>
    <r>
      <rPr>
        <sz val="9"/>
        <color rgb="FF000000"/>
        <rFont val="楷体"/>
        <charset val="134"/>
      </rPr>
      <t>汽车交通</t>
    </r>
  </si>
  <si>
    <t>COFE App</t>
  </si>
  <si>
    <r>
      <rPr>
        <sz val="9"/>
        <color rgb="FF000000"/>
        <rFont val="楷体"/>
        <charset val="134"/>
      </rPr>
      <t>食品饮料</t>
    </r>
  </si>
  <si>
    <r>
      <t>4.875</t>
    </r>
    <r>
      <rPr>
        <sz val="9"/>
        <color rgb="FF000000"/>
        <rFont val="楷体"/>
        <charset val="134"/>
      </rPr>
      <t>亿元</t>
    </r>
  </si>
  <si>
    <r>
      <rPr>
        <sz val="9"/>
        <color rgb="FF000000"/>
        <rFont val="楷体"/>
        <charset val="134"/>
      </rPr>
      <t>教育</t>
    </r>
  </si>
  <si>
    <r>
      <rPr>
        <sz val="9"/>
        <color rgb="FF000000"/>
        <rFont val="楷体"/>
        <charset val="134"/>
      </rPr>
      <t>物流</t>
    </r>
  </si>
  <si>
    <t>CrownX</t>
  </si>
  <si>
    <r>
      <rPr>
        <sz val="9"/>
        <color rgb="FF000000"/>
        <rFont val="楷体"/>
        <charset val="134"/>
      </rPr>
      <t>综合电商</t>
    </r>
  </si>
  <si>
    <r>
      <t>520</t>
    </r>
    <r>
      <rPr>
        <sz val="9"/>
        <color rgb="FF000000"/>
        <rFont val="楷体"/>
        <charset val="134"/>
      </rPr>
      <t>亿元</t>
    </r>
  </si>
  <si>
    <r>
      <rPr>
        <sz val="9"/>
        <color rgb="FF000000"/>
        <rFont val="楷体"/>
        <charset val="134"/>
      </rPr>
      <t>金融</t>
    </r>
  </si>
  <si>
    <r>
      <rPr>
        <sz val="9"/>
        <color rgb="FF000000"/>
        <rFont val="楷体"/>
        <charset val="134"/>
      </rPr>
      <t>本地生活</t>
    </r>
  </si>
  <si>
    <r>
      <t>KNOWIN</t>
    </r>
    <r>
      <rPr>
        <sz val="9"/>
        <rFont val="楷体"/>
        <charset val="134"/>
      </rPr>
      <t>潮流实验室</t>
    </r>
  </si>
  <si>
    <r>
      <rPr>
        <sz val="9"/>
        <color rgb="FF000000"/>
        <rFont val="楷体"/>
        <charset val="134"/>
      </rPr>
      <t>社区电商</t>
    </r>
  </si>
  <si>
    <r>
      <rPr>
        <sz val="9"/>
        <color rgb="FF000000"/>
        <rFont val="楷体"/>
        <charset val="134"/>
      </rPr>
      <t>旅游</t>
    </r>
  </si>
  <si>
    <r>
      <rPr>
        <sz val="9"/>
        <color rgb="FF000000"/>
        <rFont val="楷体"/>
        <charset val="134"/>
      </rPr>
      <t>医疗健康</t>
    </r>
  </si>
  <si>
    <r>
      <t>T11</t>
    </r>
    <r>
      <rPr>
        <sz val="9"/>
        <color rgb="FF000000"/>
        <rFont val="楷体"/>
        <charset val="134"/>
      </rPr>
      <t>生鲜超市</t>
    </r>
  </si>
  <si>
    <r>
      <rPr>
        <sz val="9"/>
        <color rgb="FF000000"/>
        <rFont val="楷体"/>
        <charset val="134"/>
      </rPr>
      <t>生鲜</t>
    </r>
  </si>
  <si>
    <r>
      <t>65</t>
    </r>
    <r>
      <rPr>
        <sz val="9"/>
        <color rgb="FF000000"/>
        <rFont val="楷体"/>
        <charset val="134"/>
      </rPr>
      <t>亿元</t>
    </r>
  </si>
  <si>
    <r>
      <rPr>
        <sz val="9"/>
        <color rgb="FF000000"/>
        <rFont val="楷体"/>
        <charset val="134"/>
      </rPr>
      <t>农业</t>
    </r>
  </si>
  <si>
    <r>
      <rPr>
        <sz val="9"/>
        <color rgb="FF000000"/>
        <rFont val="楷体"/>
        <charset val="134"/>
      </rPr>
      <t>工具软件</t>
    </r>
  </si>
  <si>
    <r>
      <rPr>
        <sz val="9"/>
        <rFont val="楷体"/>
        <charset val="134"/>
      </rPr>
      <t>爱用科技</t>
    </r>
  </si>
  <si>
    <r>
      <rPr>
        <sz val="9"/>
        <color rgb="FF000000"/>
        <rFont val="楷体"/>
        <charset val="134"/>
      </rPr>
      <t>电商解决方案</t>
    </r>
  </si>
  <si>
    <r>
      <t>5.4</t>
    </r>
    <r>
      <rPr>
        <sz val="9"/>
        <color rgb="FF000000"/>
        <rFont val="楷体"/>
        <charset val="134"/>
      </rPr>
      <t>亿元</t>
    </r>
  </si>
  <si>
    <r>
      <rPr>
        <sz val="9"/>
        <color rgb="FFC00000"/>
        <rFont val="楷体"/>
        <charset val="134"/>
      </rPr>
      <t>企业服务</t>
    </r>
  </si>
  <si>
    <r>
      <rPr>
        <sz val="9"/>
        <color rgb="FF000000"/>
        <rFont val="楷体"/>
        <charset val="134"/>
      </rPr>
      <t>旅游</t>
    </r>
  </si>
  <si>
    <r>
      <rPr>
        <sz val="9"/>
        <color rgb="FF000000"/>
        <rFont val="楷体"/>
        <charset val="134"/>
      </rPr>
      <t>菜划算</t>
    </r>
  </si>
  <si>
    <r>
      <t>2</t>
    </r>
    <r>
      <rPr>
        <sz val="9"/>
        <color rgb="FF000000"/>
        <rFont val="楷体"/>
        <charset val="134"/>
      </rPr>
      <t>亿元</t>
    </r>
  </si>
  <si>
    <r>
      <rPr>
        <sz val="9"/>
        <color rgb="FFC00000"/>
        <rFont val="楷体"/>
        <charset val="134"/>
      </rPr>
      <t>汽车交通</t>
    </r>
  </si>
  <si>
    <r>
      <rPr>
        <sz val="9"/>
        <color rgb="FF000000"/>
        <rFont val="楷体"/>
        <charset val="134"/>
      </rPr>
      <t>游戏</t>
    </r>
  </si>
  <si>
    <r>
      <rPr>
        <sz val="9"/>
        <color rgb="FF000000"/>
        <rFont val="楷体"/>
        <charset val="134"/>
      </rPr>
      <t>涵意电商</t>
    </r>
  </si>
  <si>
    <r>
      <rPr>
        <sz val="9"/>
        <color rgb="FF000000"/>
        <rFont val="楷体"/>
        <charset val="134"/>
      </rPr>
      <t>服装服饰</t>
    </r>
  </si>
  <si>
    <r>
      <rPr>
        <sz val="9"/>
        <color rgb="FF000000"/>
        <rFont val="楷体"/>
        <charset val="134"/>
      </rPr>
      <t>未透露</t>
    </r>
  </si>
  <si>
    <r>
      <rPr>
        <sz val="9"/>
        <color rgb="FF000000"/>
        <rFont val="楷体"/>
        <charset val="134"/>
      </rPr>
      <t>文娱传媒</t>
    </r>
  </si>
  <si>
    <r>
      <rPr>
        <sz val="9"/>
        <color rgb="FF000000"/>
        <rFont val="楷体"/>
        <charset val="134"/>
      </rPr>
      <t>教育</t>
    </r>
  </si>
  <si>
    <r>
      <rPr>
        <sz val="9"/>
        <rFont val="楷体"/>
        <charset val="134"/>
      </rPr>
      <t>及时格子</t>
    </r>
  </si>
  <si>
    <r>
      <rPr>
        <sz val="9"/>
        <color rgb="FF000000"/>
        <rFont val="楷体"/>
        <charset val="134"/>
      </rPr>
      <t>百货零售</t>
    </r>
  </si>
  <si>
    <r>
      <rPr>
        <sz val="9"/>
        <color rgb="FF000000"/>
        <rFont val="楷体"/>
        <charset val="134"/>
      </rPr>
      <t>物流</t>
    </r>
  </si>
  <si>
    <r>
      <rPr>
        <sz val="9"/>
        <color rgb="FF000000"/>
        <rFont val="楷体"/>
        <charset val="134"/>
      </rPr>
      <t>房地产</t>
    </r>
  </si>
  <si>
    <r>
      <rPr>
        <sz val="9"/>
        <color rgb="FF000000"/>
        <rFont val="楷体"/>
        <charset val="134"/>
      </rPr>
      <t>如涵文化</t>
    </r>
  </si>
  <si>
    <r>
      <rPr>
        <sz val="9"/>
        <color rgb="FF000000"/>
        <rFont val="楷体"/>
        <charset val="134"/>
      </rPr>
      <t>广告平台</t>
    </r>
  </si>
  <si>
    <r>
      <rPr>
        <sz val="9"/>
        <color rgb="FFC00000"/>
        <rFont val="楷体"/>
        <charset val="134"/>
      </rPr>
      <t>先进制造</t>
    </r>
  </si>
  <si>
    <r>
      <rPr>
        <sz val="9"/>
        <color rgb="FF000000"/>
        <rFont val="楷体"/>
        <charset val="134"/>
      </rPr>
      <t>体育运动</t>
    </r>
  </si>
  <si>
    <r>
      <rPr>
        <sz val="9"/>
        <rFont val="楷体"/>
        <charset val="134"/>
      </rPr>
      <t>喜屏传媒</t>
    </r>
  </si>
  <si>
    <r>
      <rPr>
        <sz val="9"/>
        <color rgb="FF000000"/>
        <rFont val="楷体"/>
        <charset val="134"/>
      </rPr>
      <t>传统广告</t>
    </r>
  </si>
  <si>
    <r>
      <t>1.5</t>
    </r>
    <r>
      <rPr>
        <sz val="9"/>
        <color rgb="FF000000"/>
        <rFont val="楷体"/>
        <charset val="134"/>
      </rPr>
      <t>亿元</t>
    </r>
  </si>
  <si>
    <r>
      <rPr>
        <sz val="9"/>
        <color rgb="FFC00000"/>
        <rFont val="楷体"/>
        <charset val="134"/>
      </rPr>
      <t>医疗健康</t>
    </r>
  </si>
  <si>
    <r>
      <rPr>
        <sz val="9"/>
        <color rgb="FF000000"/>
        <rFont val="楷体"/>
        <charset val="134"/>
      </rPr>
      <t>社交网络</t>
    </r>
  </si>
  <si>
    <r>
      <rPr>
        <sz val="9"/>
        <color rgb="FF000000"/>
        <rFont val="楷体"/>
        <charset val="134"/>
      </rPr>
      <t>作业帮</t>
    </r>
  </si>
  <si>
    <t>K12</t>
  </si>
  <si>
    <r>
      <t>715</t>
    </r>
    <r>
      <rPr>
        <sz val="9"/>
        <color rgb="FF000000"/>
        <rFont val="楷体"/>
        <charset val="134"/>
      </rPr>
      <t>亿元</t>
    </r>
  </si>
  <si>
    <r>
      <rPr>
        <sz val="9"/>
        <color rgb="FF000000"/>
        <rFont val="楷体"/>
        <charset val="134"/>
      </rPr>
      <t>游戏</t>
    </r>
  </si>
  <si>
    <r>
      <rPr>
        <sz val="9"/>
        <color rgb="FF000000"/>
        <rFont val="楷体"/>
        <charset val="134"/>
      </rPr>
      <t>广告营销</t>
    </r>
  </si>
  <si>
    <r>
      <rPr>
        <sz val="9"/>
        <rFont val="楷体"/>
        <charset val="134"/>
      </rPr>
      <t>桥彼道</t>
    </r>
    <r>
      <rPr>
        <sz val="9"/>
        <rFont val="Arial"/>
        <charset val="134"/>
      </rPr>
      <t>Qupital</t>
    </r>
  </si>
  <si>
    <r>
      <rPr>
        <sz val="9"/>
        <color rgb="FF000000"/>
        <rFont val="楷体"/>
        <charset val="134"/>
      </rPr>
      <t>供应链金融</t>
    </r>
  </si>
  <si>
    <r>
      <t>48.75</t>
    </r>
    <r>
      <rPr>
        <sz val="9"/>
        <color rgb="FF000000"/>
        <rFont val="楷体"/>
        <charset val="134"/>
      </rPr>
      <t>亿元</t>
    </r>
  </si>
  <si>
    <r>
      <rPr>
        <sz val="9"/>
        <color rgb="FF000000"/>
        <rFont val="楷体"/>
        <charset val="134"/>
      </rPr>
      <t>元宇宙</t>
    </r>
  </si>
  <si>
    <r>
      <rPr>
        <sz val="9"/>
        <color rgb="FF000000"/>
        <rFont val="楷体"/>
        <charset val="134"/>
      </rPr>
      <t>传统制造</t>
    </r>
  </si>
  <si>
    <t>Hotelmize</t>
  </si>
  <si>
    <r>
      <rPr>
        <sz val="9"/>
        <color rgb="FF000000"/>
        <rFont val="楷体"/>
        <charset val="134"/>
      </rPr>
      <t>交通食宿</t>
    </r>
  </si>
  <si>
    <r>
      <t>3.9</t>
    </r>
    <r>
      <rPr>
        <sz val="9"/>
        <color rgb="FF000000"/>
        <rFont val="楷体"/>
        <charset val="134"/>
      </rPr>
      <t>亿元</t>
    </r>
  </si>
  <si>
    <t>Grand Total</t>
  </si>
  <si>
    <r>
      <rPr>
        <sz val="9"/>
        <color rgb="FF000000"/>
        <rFont val="楷体"/>
        <charset val="134"/>
      </rPr>
      <t>区块链</t>
    </r>
  </si>
  <si>
    <r>
      <rPr>
        <sz val="9"/>
        <rFont val="楷体"/>
        <charset val="134"/>
      </rPr>
      <t>博瑞迪生物</t>
    </r>
  </si>
  <si>
    <r>
      <rPr>
        <sz val="9"/>
        <color rgb="FF000000"/>
        <rFont val="楷体"/>
        <charset val="134"/>
      </rPr>
      <t>农业生物技术</t>
    </r>
  </si>
  <si>
    <r>
      <t>5</t>
    </r>
    <r>
      <rPr>
        <sz val="9"/>
        <color rgb="FF000000"/>
        <rFont val="楷体"/>
        <charset val="134"/>
      </rPr>
      <t>亿元</t>
    </r>
  </si>
  <si>
    <r>
      <rPr>
        <sz val="9"/>
        <color rgb="FF000000"/>
        <rFont val="楷体"/>
        <charset val="134"/>
      </rPr>
      <t>农业</t>
    </r>
  </si>
  <si>
    <r>
      <rPr>
        <sz val="9"/>
        <color rgb="FF000000"/>
        <rFont val="楷体"/>
        <charset val="134"/>
      </rPr>
      <t>乐言科技</t>
    </r>
  </si>
  <si>
    <r>
      <rPr>
        <sz val="9"/>
        <color rgb="FF000000"/>
        <rFont val="楷体"/>
        <charset val="134"/>
      </rPr>
      <t>企业服务</t>
    </r>
  </si>
  <si>
    <r>
      <rPr>
        <sz val="9"/>
        <color rgb="FF000000"/>
        <rFont val="楷体"/>
        <charset val="134"/>
      </rPr>
      <t>前沿技术</t>
    </r>
  </si>
  <si>
    <r>
      <t>30</t>
    </r>
    <r>
      <rPr>
        <sz val="9"/>
        <color rgb="FF000000"/>
        <rFont val="楷体"/>
        <charset val="134"/>
      </rPr>
      <t>亿元</t>
    </r>
  </si>
  <si>
    <r>
      <rPr>
        <i/>
        <sz val="8"/>
        <color theme="1"/>
        <rFont val="楷体"/>
        <charset val="134"/>
      </rPr>
      <t>数据来源：</t>
    </r>
    <r>
      <rPr>
        <i/>
        <sz val="8"/>
        <color theme="1"/>
        <rFont val="Arial"/>
        <charset val="134"/>
      </rPr>
      <t>IT</t>
    </r>
    <r>
      <rPr>
        <i/>
        <sz val="8"/>
        <color theme="1"/>
        <rFont val="楷体"/>
        <charset val="134"/>
      </rPr>
      <t>桔子</t>
    </r>
  </si>
  <si>
    <r>
      <rPr>
        <sz val="9"/>
        <color rgb="FF000000"/>
        <rFont val="楷体"/>
        <charset val="134"/>
      </rPr>
      <t>元宇宙</t>
    </r>
  </si>
  <si>
    <r>
      <rPr>
        <sz val="9"/>
        <rFont val="楷体"/>
        <charset val="134"/>
      </rPr>
      <t>清众科技</t>
    </r>
  </si>
  <si>
    <r>
      <rPr>
        <sz val="9"/>
        <color rgb="FF000000"/>
        <rFont val="楷体"/>
        <charset val="134"/>
      </rPr>
      <t>行业信息化及解决方案</t>
    </r>
  </si>
  <si>
    <r>
      <t>1.501</t>
    </r>
    <r>
      <rPr>
        <sz val="9"/>
        <color rgb="FF000000"/>
        <rFont val="楷体"/>
        <charset val="134"/>
      </rPr>
      <t>亿元</t>
    </r>
  </si>
  <si>
    <r>
      <rPr>
        <sz val="9"/>
        <rFont val="楷体"/>
        <charset val="134"/>
      </rPr>
      <t>随幻科技</t>
    </r>
  </si>
  <si>
    <r>
      <t>16</t>
    </r>
    <r>
      <rPr>
        <sz val="9"/>
        <color rgb="FF000000"/>
        <rFont val="楷体"/>
        <charset val="134"/>
      </rPr>
      <t>亿元</t>
    </r>
  </si>
  <si>
    <r>
      <rPr>
        <sz val="9"/>
        <color theme="0"/>
        <rFont val="楷体"/>
        <charset val="134"/>
      </rPr>
      <t>本资料由华泰证券研究所互联网团队制作（华泰证券股份有限公司已具备中国证监会批准的证券投资咨询业务资格）。本资料仅供本公司及其客户和其关联机构使用。本公司不因接收人收到本资料而视其为客户。</t>
    </r>
    <r>
      <rPr>
        <sz val="9"/>
        <color theme="0"/>
        <rFont val="Arial"/>
        <charset val="134"/>
      </rPr>
      <t xml:space="preserve"> </t>
    </r>
    <r>
      <rPr>
        <sz val="9"/>
        <color theme="0"/>
        <rFont val="楷体"/>
        <charset val="134"/>
      </rPr>
      <t>本资料基于本公司认为可靠的、已公开的信息编制，但本公司及其关联机构对该等信息的准确性及完整性不作任何保证。投资者应依赖自身独立的判断做出投资决策并自行承担投资风险。</t>
    </r>
  </si>
  <si>
    <r>
      <rPr>
        <sz val="9"/>
        <color rgb="FF000000"/>
        <rFont val="楷体"/>
        <charset val="134"/>
      </rPr>
      <t>小满科技</t>
    </r>
  </si>
  <si>
    <r>
      <rPr>
        <sz val="9"/>
        <color theme="0"/>
        <rFont val="楷体"/>
        <charset val="134"/>
      </rPr>
      <t>先进制造</t>
    </r>
  </si>
  <si>
    <r>
      <rPr>
        <sz val="9"/>
        <color rgb="FF000000"/>
        <rFont val="楷体"/>
        <charset val="134"/>
      </rPr>
      <t>小蜜蜂智慧</t>
    </r>
  </si>
  <si>
    <r>
      <rPr>
        <sz val="9"/>
        <color rgb="FF000000"/>
        <rFont val="楷体"/>
        <charset val="134"/>
      </rPr>
      <t>企业</t>
    </r>
    <r>
      <rPr>
        <sz val="9"/>
        <color rgb="FF000000"/>
        <rFont val="Arial"/>
        <charset val="134"/>
      </rPr>
      <t>IT</t>
    </r>
    <r>
      <rPr>
        <sz val="9"/>
        <color rgb="FF000000"/>
        <rFont val="楷体"/>
        <charset val="134"/>
      </rPr>
      <t>服务</t>
    </r>
  </si>
  <si>
    <r>
      <rPr>
        <sz val="9"/>
        <color theme="0"/>
        <rFont val="楷体"/>
        <charset val="134"/>
      </rPr>
      <t>企业服务</t>
    </r>
  </si>
  <si>
    <r>
      <rPr>
        <sz val="9"/>
        <rFont val="楷体"/>
        <charset val="134"/>
      </rPr>
      <t>谐云科技</t>
    </r>
  </si>
  <si>
    <r>
      <rPr>
        <sz val="9"/>
        <color rgb="FF000000"/>
        <rFont val="楷体"/>
        <charset val="134"/>
      </rPr>
      <t>云服务</t>
    </r>
  </si>
  <si>
    <r>
      <rPr>
        <sz val="9"/>
        <color theme="0"/>
        <rFont val="楷体"/>
        <charset val="134"/>
      </rPr>
      <t>汽车交通</t>
    </r>
  </si>
  <si>
    <r>
      <rPr>
        <sz val="9"/>
        <color rgb="FF000000"/>
        <rFont val="楷体"/>
        <charset val="134"/>
      </rPr>
      <t>行云创新</t>
    </r>
  </si>
  <si>
    <r>
      <rPr>
        <sz val="9"/>
        <color rgb="FF000000"/>
        <rFont val="楷体"/>
        <charset val="134"/>
      </rPr>
      <t>开发者服务</t>
    </r>
  </si>
  <si>
    <r>
      <rPr>
        <sz val="9"/>
        <color theme="0"/>
        <rFont val="楷体"/>
        <charset val="134"/>
      </rPr>
      <t>电商零售</t>
    </r>
  </si>
  <si>
    <r>
      <rPr>
        <sz val="9"/>
        <color rgb="FF000000"/>
        <rFont val="楷体"/>
        <charset val="134"/>
      </rPr>
      <t>造易软件</t>
    </r>
  </si>
  <si>
    <r>
      <rPr>
        <sz val="9"/>
        <color theme="0"/>
        <rFont val="楷体"/>
        <charset val="134"/>
      </rPr>
      <t>医疗健康</t>
    </r>
  </si>
  <si>
    <r>
      <rPr>
        <sz val="9"/>
        <color rgb="FF000000"/>
        <rFont val="楷体"/>
        <charset val="134"/>
      </rPr>
      <t>中测智绘</t>
    </r>
  </si>
  <si>
    <r>
      <rPr>
        <sz val="9"/>
        <color theme="0"/>
        <rFont val="楷体"/>
        <charset val="134"/>
      </rPr>
      <t>本地生活</t>
    </r>
  </si>
  <si>
    <r>
      <rPr>
        <sz val="9"/>
        <color rgb="FF000000"/>
        <rFont val="楷体"/>
        <charset val="134"/>
      </rPr>
      <t>驻云</t>
    </r>
    <r>
      <rPr>
        <sz val="9"/>
        <color rgb="FF000000"/>
        <rFont val="Arial"/>
        <charset val="134"/>
      </rPr>
      <t>CloudCare</t>
    </r>
  </si>
  <si>
    <r>
      <t>10</t>
    </r>
    <r>
      <rPr>
        <sz val="9"/>
        <color rgb="FF000000"/>
        <rFont val="楷体"/>
        <charset val="134"/>
      </rPr>
      <t>亿元</t>
    </r>
  </si>
  <si>
    <r>
      <rPr>
        <sz val="9"/>
        <color theme="0"/>
        <rFont val="楷体"/>
        <charset val="134"/>
      </rPr>
      <t>文娱传媒</t>
    </r>
  </si>
  <si>
    <t>CARS24</t>
  </si>
  <si>
    <r>
      <rPr>
        <sz val="9"/>
        <color rgb="FF000000"/>
        <rFont val="楷体"/>
        <charset val="134"/>
      </rPr>
      <t>汽车交通</t>
    </r>
  </si>
  <si>
    <r>
      <rPr>
        <sz val="9"/>
        <color rgb="FF000000"/>
        <rFont val="楷体"/>
        <charset val="134"/>
      </rPr>
      <t>二手车</t>
    </r>
  </si>
  <si>
    <r>
      <t>214.5</t>
    </r>
    <r>
      <rPr>
        <sz val="9"/>
        <color rgb="FF000000"/>
        <rFont val="楷体"/>
        <charset val="134"/>
      </rPr>
      <t>亿元</t>
    </r>
  </si>
  <si>
    <r>
      <rPr>
        <sz val="9"/>
        <color theme="0"/>
        <rFont val="楷体"/>
        <charset val="134"/>
      </rPr>
      <t>其他</t>
    </r>
  </si>
  <si>
    <r>
      <t>T3</t>
    </r>
    <r>
      <rPr>
        <sz val="9"/>
        <color rgb="FF000000"/>
        <rFont val="楷体"/>
        <charset val="134"/>
      </rPr>
      <t>出行</t>
    </r>
  </si>
  <si>
    <r>
      <rPr>
        <sz val="9"/>
        <color rgb="FF000000"/>
        <rFont val="楷体"/>
        <charset val="134"/>
      </rPr>
      <t>交通出行</t>
    </r>
  </si>
  <si>
    <r>
      <t>380</t>
    </r>
    <r>
      <rPr>
        <sz val="9"/>
        <color rgb="FF000000"/>
        <rFont val="楷体"/>
        <charset val="134"/>
      </rPr>
      <t>亿元</t>
    </r>
  </si>
  <si>
    <r>
      <rPr>
        <sz val="9"/>
        <color rgb="FF000000"/>
        <rFont val="楷体"/>
        <charset val="134"/>
      </rPr>
      <t>斑马智行</t>
    </r>
  </si>
  <si>
    <r>
      <rPr>
        <sz val="9"/>
        <color rgb="FF000000"/>
        <rFont val="楷体"/>
        <charset val="134"/>
      </rPr>
      <t>车联网</t>
    </r>
  </si>
  <si>
    <r>
      <t>220</t>
    </r>
    <r>
      <rPr>
        <sz val="9"/>
        <color rgb="FF000000"/>
        <rFont val="楷体"/>
        <charset val="134"/>
      </rPr>
      <t>亿元</t>
    </r>
  </si>
  <si>
    <r>
      <rPr>
        <sz val="9"/>
        <color rgb="FF000000"/>
        <rFont val="楷体"/>
        <charset val="134"/>
      </rPr>
      <t>大众出行</t>
    </r>
  </si>
  <si>
    <r>
      <t>4</t>
    </r>
    <r>
      <rPr>
        <sz val="9"/>
        <color rgb="FF000000"/>
        <rFont val="楷体"/>
        <charset val="134"/>
      </rPr>
      <t>亿元</t>
    </r>
  </si>
  <si>
    <r>
      <rPr>
        <sz val="9"/>
        <rFont val="楷体"/>
        <charset val="134"/>
      </rPr>
      <t>济达交通</t>
    </r>
  </si>
  <si>
    <r>
      <t>10000</t>
    </r>
    <r>
      <rPr>
        <sz val="9"/>
        <color rgb="FF000000"/>
        <rFont val="楷体"/>
        <charset val="134"/>
      </rPr>
      <t>万元</t>
    </r>
  </si>
  <si>
    <r>
      <rPr>
        <sz val="9"/>
        <color rgb="FF000000"/>
        <rFont val="楷体"/>
        <charset val="134"/>
      </rPr>
      <t>十方运动</t>
    </r>
    <r>
      <rPr>
        <sz val="9"/>
        <color rgb="FF000000"/>
        <rFont val="Arial"/>
        <charset val="134"/>
      </rPr>
      <t>TENWAYS</t>
    </r>
  </si>
  <si>
    <r>
      <t>24</t>
    </r>
    <r>
      <rPr>
        <sz val="9"/>
        <color rgb="FF000000"/>
        <rFont val="楷体"/>
        <charset val="134"/>
      </rPr>
      <t>亿元</t>
    </r>
  </si>
  <si>
    <r>
      <rPr>
        <sz val="9"/>
        <color rgb="FF000000"/>
        <rFont val="楷体"/>
        <charset val="134"/>
      </rPr>
      <t>享道出行</t>
    </r>
  </si>
  <si>
    <r>
      <rPr>
        <sz val="9"/>
        <color rgb="FF000000"/>
        <rFont val="楷体"/>
        <charset val="134"/>
      </rPr>
      <t>新康众</t>
    </r>
  </si>
  <si>
    <r>
      <rPr>
        <sz val="9"/>
        <color rgb="FF000000"/>
        <rFont val="楷体"/>
        <charset val="134"/>
      </rPr>
      <t>汽车后服务</t>
    </r>
  </si>
  <si>
    <r>
      <t>162.5</t>
    </r>
    <r>
      <rPr>
        <sz val="9"/>
        <color rgb="FF000000"/>
        <rFont val="楷体"/>
        <charset val="134"/>
      </rPr>
      <t>亿元</t>
    </r>
  </si>
  <si>
    <r>
      <rPr>
        <sz val="9"/>
        <color rgb="FF000000"/>
        <rFont val="楷体"/>
        <charset val="134"/>
      </rPr>
      <t>元戎启行</t>
    </r>
  </si>
  <si>
    <r>
      <rPr>
        <sz val="9"/>
        <color rgb="FF000000"/>
        <rFont val="楷体"/>
        <charset val="134"/>
      </rPr>
      <t>自动</t>
    </r>
    <r>
      <rPr>
        <sz val="9"/>
        <color rgb="FF000000"/>
        <rFont val="Arial"/>
        <charset val="134"/>
      </rPr>
      <t>/</t>
    </r>
    <r>
      <rPr>
        <sz val="9"/>
        <color rgb="FF000000"/>
        <rFont val="楷体"/>
        <charset val="134"/>
      </rPr>
      <t>无人驾驶</t>
    </r>
  </si>
  <si>
    <r>
      <t>130</t>
    </r>
    <r>
      <rPr>
        <sz val="9"/>
        <color rgb="FF000000"/>
        <rFont val="楷体"/>
        <charset val="134"/>
      </rPr>
      <t>亿元</t>
    </r>
  </si>
  <si>
    <r>
      <rPr>
        <sz val="9"/>
        <rFont val="楷体"/>
        <charset val="134"/>
      </rPr>
      <t>智己汽车</t>
    </r>
  </si>
  <si>
    <r>
      <rPr>
        <sz val="9"/>
        <color rgb="FF000000"/>
        <rFont val="楷体"/>
        <charset val="134"/>
      </rPr>
      <t>汽车制造</t>
    </r>
  </si>
  <si>
    <r>
      <t>300</t>
    </r>
    <r>
      <rPr>
        <sz val="9"/>
        <color rgb="FF000000"/>
        <rFont val="楷体"/>
        <charset val="134"/>
      </rPr>
      <t>亿元</t>
    </r>
  </si>
  <si>
    <t>Riki Group</t>
  </si>
  <si>
    <r>
      <rPr>
        <sz val="9"/>
        <color rgb="FF000000"/>
        <rFont val="楷体"/>
        <charset val="134"/>
      </rPr>
      <t>动漫</t>
    </r>
  </si>
  <si>
    <r>
      <rPr>
        <sz val="9"/>
        <rFont val="楷体"/>
        <charset val="134"/>
      </rPr>
      <t>单立人喜剧</t>
    </r>
  </si>
  <si>
    <r>
      <rPr>
        <sz val="9"/>
        <color rgb="FF000000"/>
        <rFont val="楷体"/>
        <charset val="134"/>
      </rPr>
      <t>演艺</t>
    </r>
  </si>
  <si>
    <r>
      <rPr>
        <sz val="9"/>
        <color rgb="FF000000"/>
        <rFont val="楷体"/>
        <charset val="134"/>
      </rPr>
      <t>衢州新闻网</t>
    </r>
  </si>
  <si>
    <r>
      <rPr>
        <sz val="9"/>
        <color rgb="FF000000"/>
        <rFont val="楷体"/>
        <charset val="134"/>
      </rPr>
      <t>媒体及阅读</t>
    </r>
  </si>
  <si>
    <t>Ninja Van</t>
  </si>
  <si>
    <r>
      <rPr>
        <sz val="9"/>
        <color rgb="FF000000"/>
        <rFont val="楷体"/>
        <charset val="134"/>
      </rPr>
      <t>综合物流</t>
    </r>
  </si>
  <si>
    <r>
      <t>97.5</t>
    </r>
    <r>
      <rPr>
        <sz val="9"/>
        <color rgb="FF000000"/>
        <rFont val="楷体"/>
        <charset val="134"/>
      </rPr>
      <t>亿元</t>
    </r>
  </si>
  <si>
    <r>
      <rPr>
        <sz val="9"/>
        <color rgb="FF000000"/>
        <rFont val="楷体"/>
        <charset val="134"/>
      </rPr>
      <t>驿栈网络</t>
    </r>
  </si>
  <si>
    <r>
      <rPr>
        <sz val="9"/>
        <color rgb="FF000000"/>
        <rFont val="楷体"/>
        <charset val="134"/>
      </rPr>
      <t>其他物流</t>
    </r>
  </si>
  <si>
    <r>
      <t>JBD</t>
    </r>
    <r>
      <rPr>
        <sz val="9"/>
        <color rgb="FF000000"/>
        <rFont val="楷体"/>
        <charset val="134"/>
      </rPr>
      <t>显耀显示</t>
    </r>
  </si>
  <si>
    <r>
      <rPr>
        <sz val="9"/>
        <color rgb="FF000000"/>
        <rFont val="楷体"/>
        <charset val="134"/>
      </rPr>
      <t>先进制造</t>
    </r>
  </si>
  <si>
    <r>
      <rPr>
        <sz val="9"/>
        <color rgb="FF000000"/>
        <rFont val="楷体"/>
        <charset val="134"/>
      </rPr>
      <t>集成电路</t>
    </r>
  </si>
  <si>
    <r>
      <t>nreal</t>
    </r>
    <r>
      <rPr>
        <sz val="9"/>
        <rFont val="楷体"/>
        <charset val="134"/>
      </rPr>
      <t>太若科技</t>
    </r>
  </si>
  <si>
    <r>
      <t>AR/VR</t>
    </r>
    <r>
      <rPr>
        <sz val="9"/>
        <color rgb="FF000000"/>
        <rFont val="楷体"/>
        <charset val="134"/>
      </rPr>
      <t>设备</t>
    </r>
  </si>
  <si>
    <t>Sandbox VR</t>
  </si>
  <si>
    <r>
      <t>12.025</t>
    </r>
    <r>
      <rPr>
        <sz val="9"/>
        <color rgb="FF000000"/>
        <rFont val="楷体"/>
        <charset val="134"/>
      </rPr>
      <t>亿元</t>
    </r>
  </si>
  <si>
    <r>
      <rPr>
        <sz val="9"/>
        <rFont val="楷体"/>
        <charset val="134"/>
      </rPr>
      <t>叠境数字</t>
    </r>
  </si>
  <si>
    <r>
      <rPr>
        <sz val="9"/>
        <rFont val="楷体"/>
        <charset val="134"/>
      </rPr>
      <t>法奥</t>
    </r>
    <r>
      <rPr>
        <sz val="9"/>
        <rFont val="Arial"/>
        <charset val="134"/>
      </rPr>
      <t>FAIR</t>
    </r>
  </si>
  <si>
    <r>
      <rPr>
        <sz val="9"/>
        <color rgb="FF000000"/>
        <rFont val="楷体"/>
        <charset val="134"/>
      </rPr>
      <t>机器人</t>
    </r>
  </si>
  <si>
    <r>
      <t>19.5</t>
    </r>
    <r>
      <rPr>
        <sz val="9"/>
        <color rgb="FF000000"/>
        <rFont val="楷体"/>
        <charset val="134"/>
      </rPr>
      <t>亿元</t>
    </r>
  </si>
  <si>
    <r>
      <rPr>
        <sz val="9"/>
        <color rgb="FF000000"/>
        <rFont val="楷体"/>
        <charset val="134"/>
      </rPr>
      <t>飞腾信息</t>
    </r>
  </si>
  <si>
    <r>
      <rPr>
        <sz val="9"/>
        <color rgb="FF000000"/>
        <rFont val="楷体"/>
        <charset val="134"/>
      </rPr>
      <t>飞象互联</t>
    </r>
  </si>
  <si>
    <r>
      <rPr>
        <sz val="9"/>
        <color rgb="FF000000"/>
        <rFont val="楷体"/>
        <charset val="134"/>
      </rPr>
      <t>工业</t>
    </r>
    <r>
      <rPr>
        <sz val="9"/>
        <color rgb="FF000000"/>
        <rFont val="Arial"/>
        <charset val="134"/>
      </rPr>
      <t>4.0</t>
    </r>
  </si>
  <si>
    <r>
      <t>3750</t>
    </r>
    <r>
      <rPr>
        <sz val="9"/>
        <color rgb="FF000000"/>
        <rFont val="楷体"/>
        <charset val="134"/>
      </rPr>
      <t>万元</t>
    </r>
  </si>
  <si>
    <r>
      <rPr>
        <sz val="9"/>
        <rFont val="楷体"/>
        <charset val="134"/>
      </rPr>
      <t>格兰菲</t>
    </r>
  </si>
  <si>
    <r>
      <rPr>
        <sz val="9"/>
        <color rgb="FF000000"/>
        <rFont val="楷体"/>
        <charset val="134"/>
      </rPr>
      <t>瀚博半导体</t>
    </r>
  </si>
  <si>
    <r>
      <t>96</t>
    </r>
    <r>
      <rPr>
        <sz val="9"/>
        <color rgb="FF000000"/>
        <rFont val="楷体"/>
        <charset val="134"/>
      </rPr>
      <t>亿元</t>
    </r>
  </si>
  <si>
    <r>
      <rPr>
        <sz val="9"/>
        <color rgb="FF000000"/>
        <rFont val="楷体"/>
        <charset val="134"/>
      </rPr>
      <t>霍曼</t>
    </r>
    <r>
      <rPr>
        <sz val="9"/>
        <color rgb="FF000000"/>
        <rFont val="Arial"/>
        <charset val="134"/>
      </rPr>
      <t>HomeRun</t>
    </r>
  </si>
  <si>
    <r>
      <rPr>
        <sz val="9"/>
        <color rgb="FF000000"/>
        <rFont val="楷体"/>
        <charset val="134"/>
      </rPr>
      <t>家用电器</t>
    </r>
  </si>
  <si>
    <r>
      <rPr>
        <sz val="9"/>
        <color rgb="FF000000"/>
        <rFont val="楷体"/>
        <charset val="134"/>
      </rPr>
      <t>杰成新能源</t>
    </r>
  </si>
  <si>
    <r>
      <rPr>
        <sz val="9"/>
        <color rgb="FF000000"/>
        <rFont val="楷体"/>
        <charset val="134"/>
      </rPr>
      <t>新能源</t>
    </r>
  </si>
  <si>
    <r>
      <t>20</t>
    </r>
    <r>
      <rPr>
        <sz val="9"/>
        <color rgb="FF000000"/>
        <rFont val="楷体"/>
        <charset val="134"/>
      </rPr>
      <t>亿元</t>
    </r>
  </si>
  <si>
    <r>
      <rPr>
        <sz val="9"/>
        <color rgb="FF000000"/>
        <rFont val="楷体"/>
        <charset val="134"/>
      </rPr>
      <t>徕芬科技</t>
    </r>
  </si>
  <si>
    <r>
      <rPr>
        <sz val="9"/>
        <color rgb="FF000000"/>
        <rFont val="楷体"/>
        <charset val="134"/>
      </rPr>
      <t>视杏科技</t>
    </r>
  </si>
  <si>
    <r>
      <rPr>
        <sz val="9"/>
        <rFont val="楷体"/>
        <charset val="134"/>
      </rPr>
      <t>亿可能源</t>
    </r>
    <r>
      <rPr>
        <sz val="9"/>
        <rFont val="Arial"/>
        <charset val="134"/>
      </rPr>
      <t>Equota</t>
    </r>
  </si>
  <si>
    <r>
      <rPr>
        <sz val="9"/>
        <color rgb="FF000000"/>
        <rFont val="楷体"/>
        <charset val="134"/>
      </rPr>
      <t>长鑫存储</t>
    </r>
  </si>
  <si>
    <r>
      <t>580</t>
    </r>
    <r>
      <rPr>
        <sz val="9"/>
        <color rgb="FF000000"/>
        <rFont val="楷体"/>
        <charset val="134"/>
      </rPr>
      <t>亿元</t>
    </r>
  </si>
  <si>
    <r>
      <rPr>
        <sz val="9"/>
        <color rgb="FF000000"/>
        <rFont val="楷体"/>
        <charset val="134"/>
      </rPr>
      <t>致敬未知</t>
    </r>
  </si>
  <si>
    <r>
      <t>3.25</t>
    </r>
    <r>
      <rPr>
        <sz val="9"/>
        <color rgb="FF000000"/>
        <rFont val="楷体"/>
        <charset val="134"/>
      </rPr>
      <t>亿元</t>
    </r>
  </si>
  <si>
    <r>
      <rPr>
        <sz val="9"/>
        <color rgb="FF000000"/>
        <rFont val="楷体"/>
        <charset val="134"/>
      </rPr>
      <t>恒宇医疗</t>
    </r>
  </si>
  <si>
    <r>
      <rPr>
        <sz val="9"/>
        <color rgb="FF000000"/>
        <rFont val="楷体"/>
        <charset val="134"/>
      </rPr>
      <t>医疗健康</t>
    </r>
  </si>
  <si>
    <r>
      <rPr>
        <sz val="9"/>
        <color rgb="FF000000"/>
        <rFont val="楷体"/>
        <charset val="134"/>
      </rPr>
      <t>医疗器械</t>
    </r>
  </si>
  <si>
    <r>
      <rPr>
        <sz val="9"/>
        <color rgb="FF000000"/>
        <rFont val="楷体"/>
        <charset val="134"/>
      </rPr>
      <t>杰毅生物</t>
    </r>
  </si>
  <si>
    <r>
      <rPr>
        <sz val="9"/>
        <color rgb="FF000000"/>
        <rFont val="楷体"/>
        <charset val="134"/>
      </rPr>
      <t>生物技术和制药</t>
    </r>
  </si>
  <si>
    <r>
      <rPr>
        <sz val="9"/>
        <color rgb="FF000000"/>
        <rFont val="楷体"/>
        <charset val="134"/>
      </rPr>
      <t>康立明生物</t>
    </r>
  </si>
  <si>
    <r>
      <t>56</t>
    </r>
    <r>
      <rPr>
        <sz val="9"/>
        <color rgb="FF000000"/>
        <rFont val="楷体"/>
        <charset val="134"/>
      </rPr>
      <t>亿元</t>
    </r>
  </si>
  <si>
    <r>
      <rPr>
        <sz val="9"/>
        <color rgb="FF000000"/>
        <rFont val="楷体"/>
        <charset val="134"/>
      </rPr>
      <t>欧谱曼迪</t>
    </r>
  </si>
  <si>
    <r>
      <rPr>
        <sz val="9"/>
        <color rgb="FF000000"/>
        <rFont val="楷体"/>
        <charset val="134"/>
      </rPr>
      <t>中科微针</t>
    </r>
  </si>
  <si>
    <r>
      <rPr>
        <sz val="9"/>
        <color rgb="FF000000"/>
        <rFont val="楷体"/>
        <charset val="134"/>
      </rPr>
      <t>医疗综合服务</t>
    </r>
  </si>
  <si>
    <r>
      <t>Unity</t>
    </r>
    <r>
      <rPr>
        <sz val="9"/>
        <color rgb="FF000000"/>
        <rFont val="楷体"/>
        <charset val="134"/>
      </rPr>
      <t>中国</t>
    </r>
  </si>
  <si>
    <r>
      <rPr>
        <sz val="9"/>
        <color rgb="FF000000"/>
        <rFont val="楷体"/>
        <charset val="134"/>
      </rPr>
      <t>游戏综合服务</t>
    </r>
  </si>
  <si>
    <r>
      <rPr>
        <sz val="9"/>
        <rFont val="楷体"/>
        <charset val="134"/>
      </rPr>
      <t>泰乐坊</t>
    </r>
  </si>
  <si>
    <r>
      <rPr>
        <sz val="9"/>
        <color rgb="FF000000"/>
        <rFont val="楷体"/>
        <charset val="134"/>
      </rPr>
      <t>游戏开发商</t>
    </r>
  </si>
  <si>
    <t>Yahaha</t>
  </si>
  <si>
    <r>
      <rPr>
        <sz val="9"/>
        <color rgb="FF000000"/>
        <rFont val="楷体"/>
        <charset val="134"/>
      </rPr>
      <t>元宇宙社交</t>
    </r>
  </si>
  <si>
    <r>
      <t>20.8</t>
    </r>
    <r>
      <rPr>
        <sz val="9"/>
        <color rgb="FF000000"/>
        <rFont val="楷体"/>
        <charset val="134"/>
      </rPr>
      <t>亿元</t>
    </r>
  </si>
  <si>
    <t>投资主体</t>
  </si>
  <si>
    <t>被投方最新融资期日</t>
  </si>
  <si>
    <t>公司名称</t>
  </si>
  <si>
    <r>
      <rPr>
        <b/>
        <sz val="9"/>
        <color rgb="FF000000"/>
        <rFont val="楷体"/>
        <charset val="134"/>
      </rPr>
      <t>公司简介</t>
    </r>
  </si>
  <si>
    <t>工商名称</t>
  </si>
  <si>
    <t>公司网址</t>
  </si>
  <si>
    <r>
      <rPr>
        <b/>
        <sz val="9"/>
        <color rgb="FF000000"/>
        <rFont val="楷体"/>
        <charset val="134"/>
      </rPr>
      <t>成立时间</t>
    </r>
  </si>
  <si>
    <r>
      <rPr>
        <b/>
        <sz val="9"/>
        <color rgb="FF000000"/>
        <rFont val="楷体"/>
        <charset val="134"/>
      </rPr>
      <t>地点</t>
    </r>
  </si>
  <si>
    <r>
      <rPr>
        <b/>
        <sz val="9"/>
        <color rgb="FF000000"/>
        <rFont val="楷体"/>
        <charset val="134"/>
      </rPr>
      <t>运营状态</t>
    </r>
  </si>
  <si>
    <r>
      <rPr>
        <b/>
        <sz val="9"/>
        <color rgb="FF000000"/>
        <rFont val="楷体"/>
        <charset val="134"/>
      </rPr>
      <t>是否上市</t>
    </r>
    <r>
      <rPr>
        <b/>
        <sz val="9"/>
        <color rgb="FF000000"/>
        <rFont val="Arial"/>
        <charset val="134"/>
      </rPr>
      <t>/</t>
    </r>
    <r>
      <rPr>
        <b/>
        <sz val="9"/>
        <color rgb="FF000000"/>
        <rFont val="楷体"/>
        <charset val="134"/>
      </rPr>
      <t>并购</t>
    </r>
  </si>
  <si>
    <r>
      <rPr>
        <b/>
        <sz val="9"/>
        <color rgb="FF000000"/>
        <rFont val="楷体"/>
        <charset val="134"/>
      </rPr>
      <t>融资时间</t>
    </r>
  </si>
  <si>
    <r>
      <rPr>
        <b/>
        <sz val="9"/>
        <color rgb="FF000000"/>
        <rFont val="楷体"/>
        <charset val="134"/>
      </rPr>
      <t>轮次</t>
    </r>
  </si>
  <si>
    <r>
      <rPr>
        <b/>
        <sz val="9"/>
        <color rgb="FF000000"/>
        <rFont val="楷体"/>
        <charset val="134"/>
      </rPr>
      <t>融资金额</t>
    </r>
  </si>
  <si>
    <r>
      <rPr>
        <b/>
        <sz val="9"/>
        <color rgb="FF000000"/>
        <rFont val="楷体"/>
        <charset val="134"/>
      </rPr>
      <t>投资方</t>
    </r>
  </si>
  <si>
    <r>
      <rPr>
        <b/>
        <sz val="9"/>
        <color rgb="FF000000"/>
        <rFont val="楷体"/>
        <charset val="134"/>
      </rPr>
      <t>融资总额</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</si>
  <si>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估值</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</si>
  <si>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团队</t>
    </r>
  </si>
  <si>
    <t>详细地址</t>
  </si>
  <si>
    <t>公开电话</t>
  </si>
  <si>
    <t>公开邮箱</t>
  </si>
  <si>
    <t>阿里巴巴</t>
  </si>
  <si>
    <t>2016-04-11</t>
  </si>
  <si>
    <t>在路上</t>
  </si>
  <si>
    <t>在路上是一个旅游行程记录、游记分享应用和网站。隶属于上海雀沃信息技术有限公司。</t>
  </si>
  <si>
    <t>上海雀沃信息技术有限公司</t>
  </si>
  <si>
    <t>http://www.117go.com</t>
  </si>
  <si>
    <t>2012-01</t>
  </si>
  <si>
    <r>
      <rPr>
        <sz val="9"/>
        <color rgb="FF000000"/>
        <rFont val="楷体"/>
        <charset val="134"/>
      </rPr>
      <t>上海</t>
    </r>
    <r>
      <rPr>
        <sz val="9"/>
        <color rgb="FF000000"/>
        <rFont val="Arial"/>
        <charset val="134"/>
      </rPr>
      <t>-</t>
    </r>
    <r>
      <rPr>
        <sz val="9"/>
        <color rgb="FF000000"/>
        <rFont val="楷体"/>
        <charset val="134"/>
      </rPr>
      <t>闵行区</t>
    </r>
  </si>
  <si>
    <t>已关闭</t>
  </si>
  <si>
    <t>旅游</t>
  </si>
  <si>
    <t>旅游工具及社区</t>
  </si>
  <si>
    <r>
      <rPr>
        <sz val="9"/>
        <color rgb="FF000000"/>
        <rFont val="Arial"/>
        <charset val="134"/>
      </rPr>
      <t>C</t>
    </r>
    <r>
      <rPr>
        <sz val="9"/>
        <color rgb="FF000000"/>
        <rFont val="楷体"/>
        <charset val="134"/>
      </rPr>
      <t>轮</t>
    </r>
  </si>
  <si>
    <t>未透露人民币</t>
  </si>
  <si>
    <t>-</t>
  </si>
  <si>
    <r>
      <rPr>
        <sz val="9"/>
        <color rgb="FF000000"/>
        <rFont val="Arial"/>
        <charset val="134"/>
      </rPr>
      <t>2.71</t>
    </r>
    <r>
      <rPr>
        <sz val="9"/>
        <color rgb="FF000000"/>
        <rFont val="楷体"/>
        <charset val="134"/>
      </rPr>
      <t>亿</t>
    </r>
  </si>
  <si>
    <t>未透露</t>
  </si>
  <si>
    <r>
      <rPr>
        <sz val="9"/>
        <color rgb="FF000000"/>
        <rFont val="楷体"/>
        <charset val="134"/>
      </rPr>
      <t>陈伟</t>
    </r>
    <r>
      <rPr>
        <sz val="9"/>
        <color rgb="FF000000"/>
        <rFont val="Arial"/>
        <charset val="134"/>
      </rPr>
      <t>:CEO,</t>
    </r>
    <r>
      <rPr>
        <sz val="9"/>
        <color rgb="FF000000"/>
        <rFont val="楷体"/>
        <charset val="134"/>
      </rPr>
      <t>黄天赐</t>
    </r>
    <r>
      <rPr>
        <sz val="9"/>
        <color rgb="FF000000"/>
        <rFont val="Arial"/>
        <charset val="134"/>
      </rPr>
      <t>:COO,</t>
    </r>
    <r>
      <rPr>
        <sz val="9"/>
        <color rgb="FF000000"/>
        <rFont val="楷体"/>
        <charset val="134"/>
      </rPr>
      <t>浦明辉</t>
    </r>
    <r>
      <rPr>
        <sz val="9"/>
        <color rgb="FF000000"/>
        <rFont val="Arial"/>
        <charset val="134"/>
      </rPr>
      <t>:CMO</t>
    </r>
  </si>
  <si>
    <r>
      <rPr>
        <sz val="9"/>
        <color rgb="FF000000"/>
        <rFont val="Arial"/>
        <charset val="134"/>
      </rPr>
      <t>B</t>
    </r>
    <r>
      <rPr>
        <sz val="9"/>
        <color rgb="FF000000"/>
        <rFont val="楷体"/>
        <charset val="134"/>
      </rPr>
      <t>轮</t>
    </r>
  </si>
  <si>
    <t>数千万美元</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</si>
  <si>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湖畔山南资本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岳弢</t>
    </r>
  </si>
  <si>
    <r>
      <rPr>
        <sz val="9"/>
        <color rgb="FF000000"/>
        <rFont val="Arial"/>
        <charset val="134"/>
      </rPr>
      <t>A+</t>
    </r>
    <r>
      <rPr>
        <sz val="9"/>
        <color rgb="FF000000"/>
        <rFont val="楷体"/>
        <charset val="134"/>
      </rPr>
      <t>轮</t>
    </r>
  </si>
  <si>
    <t>数百万美元</t>
  </si>
  <si>
    <r>
      <rPr>
        <sz val="9"/>
        <color rgb="FF000000"/>
        <rFont val="Arial"/>
        <charset val="134"/>
      </rPr>
      <t>A</t>
    </r>
    <r>
      <rPr>
        <sz val="9"/>
        <color rgb="FF000000"/>
        <rFont val="楷体"/>
        <charset val="134"/>
      </rPr>
      <t>轮</t>
    </r>
  </si>
  <si>
    <r>
      <rPr>
        <sz val="9"/>
        <color rgb="FF000000"/>
        <rFont val="Arial"/>
        <charset val="134"/>
      </rPr>
      <t>100</t>
    </r>
    <r>
      <rPr>
        <sz val="9"/>
        <color rgb="FF000000"/>
        <rFont val="楷体"/>
        <charset val="134"/>
      </rPr>
      <t>万美元</t>
    </r>
  </si>
  <si>
    <t>红点中国</t>
  </si>
  <si>
    <t>2022-06-12</t>
  </si>
  <si>
    <t>滴滴出行</t>
  </si>
  <si>
    <r>
      <rPr>
        <sz val="9"/>
        <color rgb="FF000000"/>
        <rFont val="楷体"/>
        <charset val="134"/>
      </rPr>
      <t>滴滴出行是一家网约车共享出行平台，其自主研发的手机智能叫车系统可以帮助乘客完成在线叫车服务。用户只需打开</t>
    </r>
    <r>
      <rPr>
        <sz val="9"/>
        <color rgb="FF000000"/>
        <rFont val="Arial"/>
        <charset val="134"/>
      </rPr>
      <t>APP</t>
    </r>
    <r>
      <rPr>
        <sz val="9"/>
        <color rgb="FF000000"/>
        <rFont val="楷体"/>
        <charset val="134"/>
      </rPr>
      <t>选择乘车人数、是否现在用车等即可完成在线叫车，待司机接单后，可与其通过电话、在线等方式进行沟通。此外，旗下巴士业务</t>
    </r>
    <r>
      <rPr>
        <sz val="9"/>
        <color rgb="FF000000"/>
        <rFont val="Arial"/>
        <charset val="134"/>
      </rPr>
      <t>“</t>
    </r>
    <r>
      <rPr>
        <sz val="9"/>
        <color rgb="FF000000"/>
        <rFont val="楷体"/>
        <charset val="134"/>
      </rPr>
      <t>滴滴巴士</t>
    </r>
    <r>
      <rPr>
        <sz val="9"/>
        <color rgb="FF000000"/>
        <rFont val="Arial"/>
        <charset val="134"/>
      </rPr>
      <t>”</t>
    </r>
    <r>
      <rPr>
        <sz val="9"/>
        <color rgb="FF000000"/>
        <rFont val="楷体"/>
        <charset val="134"/>
      </rPr>
      <t>也已正式上线。</t>
    </r>
  </si>
  <si>
    <t>北京小桔科技有限公司</t>
  </si>
  <si>
    <t>http://www.didiglobal.com</t>
  </si>
  <si>
    <t>2012-07</t>
  </si>
  <si>
    <r>
      <rPr>
        <sz val="9"/>
        <color rgb="FF000000"/>
        <rFont val="楷体"/>
        <charset val="134"/>
      </rPr>
      <t>北京</t>
    </r>
    <r>
      <rPr>
        <sz val="9"/>
        <color rgb="FF000000"/>
        <rFont val="Arial"/>
        <charset val="134"/>
      </rPr>
      <t>-</t>
    </r>
    <r>
      <rPr>
        <sz val="9"/>
        <color rgb="FF000000"/>
        <rFont val="楷体"/>
        <charset val="134"/>
      </rPr>
      <t>海淀区</t>
    </r>
  </si>
  <si>
    <t>运营中</t>
  </si>
  <si>
    <t>汽车交通</t>
  </si>
  <si>
    <t>交通出行</t>
  </si>
  <si>
    <t>退市</t>
  </si>
  <si>
    <t>未透露美元</t>
  </si>
  <si>
    <r>
      <rPr>
        <sz val="9"/>
        <color rgb="FF000000"/>
        <rFont val="Arial"/>
        <charset val="134"/>
      </rPr>
      <t>1610.39</t>
    </r>
    <r>
      <rPr>
        <sz val="9"/>
        <color rgb="FF000000"/>
        <rFont val="楷体"/>
        <charset val="134"/>
      </rPr>
      <t>亿</t>
    </r>
  </si>
  <si>
    <r>
      <rPr>
        <sz val="9"/>
        <color rgb="FF000000"/>
        <rFont val="Arial"/>
        <charset val="134"/>
      </rPr>
      <t>722.54</t>
    </r>
    <r>
      <rPr>
        <sz val="9"/>
        <color rgb="FF000000"/>
        <rFont val="楷体"/>
        <charset val="134"/>
      </rPr>
      <t>亿元</t>
    </r>
  </si>
  <si>
    <r>
      <rPr>
        <sz val="9"/>
        <color rgb="FF000000"/>
        <rFont val="楷体"/>
        <charset val="134"/>
      </rPr>
      <t>程维</t>
    </r>
    <r>
      <rPr>
        <sz val="9"/>
        <color rgb="FF000000"/>
        <rFont val="Arial"/>
        <charset val="134"/>
      </rPr>
      <t>:CEO,</t>
    </r>
    <r>
      <rPr>
        <sz val="9"/>
        <color rgb="FF000000"/>
        <rFont val="楷体"/>
        <charset val="134"/>
      </rPr>
      <t>柳青</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张博</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吴睿</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俞军</t>
    </r>
    <r>
      <rPr>
        <sz val="9"/>
        <color rgb="FF000000"/>
        <rFont val="Arial"/>
        <charset val="134"/>
      </rPr>
      <t>:</t>
    </r>
    <r>
      <rPr>
        <sz val="9"/>
        <color rgb="FF000000"/>
        <rFont val="楷体"/>
        <charset val="134"/>
      </rPr>
      <t>高级副总裁</t>
    </r>
  </si>
  <si>
    <r>
      <rPr>
        <sz val="9"/>
        <color rgb="FF000000"/>
        <rFont val="楷体"/>
        <charset val="134"/>
      </rPr>
      <t>北京市海淀区东北旺路</t>
    </r>
    <r>
      <rPr>
        <sz val="9"/>
        <color rgb="FF000000"/>
        <rFont val="Arial"/>
        <charset val="134"/>
      </rPr>
      <t>8</t>
    </r>
    <r>
      <rPr>
        <sz val="9"/>
        <color rgb="FF000000"/>
        <rFont val="楷体"/>
        <charset val="134"/>
      </rPr>
      <t>号院尚东</t>
    </r>
    <r>
      <rPr>
        <sz val="9"/>
        <color rgb="FF000000"/>
        <rFont val="Arial"/>
        <charset val="134"/>
      </rPr>
      <t>·</t>
    </r>
    <r>
      <rPr>
        <sz val="9"/>
        <color rgb="FF000000"/>
        <rFont val="楷体"/>
        <charset val="134"/>
      </rPr>
      <t>数字山谷</t>
    </r>
  </si>
  <si>
    <t>400-0000-999</t>
  </si>
  <si>
    <t>bd@didiglobal.com</t>
  </si>
  <si>
    <r>
      <rPr>
        <sz val="9"/>
        <color rgb="FF000000"/>
        <rFont val="Arial"/>
        <charset val="134"/>
      </rPr>
      <t>IPO</t>
    </r>
    <r>
      <rPr>
        <sz val="9"/>
        <color rgb="FF000000"/>
        <rFont val="楷体"/>
        <charset val="134"/>
      </rPr>
      <t>上市</t>
    </r>
  </si>
  <si>
    <r>
      <rPr>
        <sz val="9"/>
        <color rgb="FF000000"/>
        <rFont val="Arial"/>
        <charset val="134"/>
      </rPr>
      <t>44</t>
    </r>
    <r>
      <rPr>
        <sz val="9"/>
        <color rgb="FF000000"/>
        <rFont val="楷体"/>
        <charset val="134"/>
      </rPr>
      <t>亿美元</t>
    </r>
  </si>
  <si>
    <t>战略投资</t>
  </si>
  <si>
    <r>
      <rPr>
        <sz val="9"/>
        <color rgb="FF000000"/>
        <rFont val="Arial"/>
        <charset val="134"/>
      </rPr>
      <t>6</t>
    </r>
    <r>
      <rPr>
        <sz val="9"/>
        <color rgb="FF000000"/>
        <rFont val="楷体"/>
        <charset val="134"/>
      </rPr>
      <t>亿美元</t>
    </r>
  </si>
  <si>
    <t>丰田汽车</t>
  </si>
  <si>
    <r>
      <rPr>
        <sz val="9"/>
        <color rgb="FF000000"/>
        <rFont val="Arial"/>
        <charset val="134"/>
      </rPr>
      <t>5</t>
    </r>
    <r>
      <rPr>
        <sz val="9"/>
        <color rgb="FF000000"/>
        <rFont val="楷体"/>
        <charset val="134"/>
      </rPr>
      <t>亿美元</t>
    </r>
  </si>
  <si>
    <t>Booking Holdings</t>
  </si>
  <si>
    <r>
      <rPr>
        <sz val="9"/>
        <color rgb="FF000000"/>
        <rFont val="Arial"/>
        <charset val="134"/>
      </rPr>
      <t>2.65</t>
    </r>
    <r>
      <rPr>
        <sz val="9"/>
        <color rgb="FF000000"/>
        <rFont val="楷体"/>
        <charset val="134"/>
      </rPr>
      <t>亿美元</t>
    </r>
  </si>
  <si>
    <r>
      <rPr>
        <sz val="9"/>
        <color rgb="FF000000"/>
        <rFont val="楷体"/>
        <charset val="134"/>
      </rPr>
      <t>韩国未来资产</t>
    </r>
    <r>
      <rPr>
        <sz val="9"/>
        <color rgb="FF000000"/>
        <rFont val="Arial"/>
        <charset val="134"/>
      </rPr>
      <t>Mirae Asset Venture Investment</t>
    </r>
  </si>
  <si>
    <r>
      <rPr>
        <sz val="9"/>
        <color rgb="FF000000"/>
        <rFont val="Arial"/>
        <charset val="134"/>
      </rPr>
      <t>40</t>
    </r>
    <r>
      <rPr>
        <sz val="9"/>
        <color rgb="FF000000"/>
        <rFont val="楷体"/>
        <charset val="134"/>
      </rPr>
      <t>亿美元</t>
    </r>
  </si>
  <si>
    <r>
      <rPr>
        <sz val="9"/>
        <color rgb="FF000000"/>
        <rFont val="楷体"/>
        <charset val="134"/>
      </rPr>
      <t>软银中国资本</t>
    </r>
    <r>
      <rPr>
        <sz val="9"/>
        <color rgb="FF000000"/>
        <rFont val="Arial"/>
        <charset val="134"/>
      </rPr>
      <t>,</t>
    </r>
    <r>
      <rPr>
        <sz val="9"/>
        <color rgb="FF000000"/>
        <rFont val="楷体"/>
        <charset val="134"/>
      </rPr>
      <t>阿布扎比投资局</t>
    </r>
    <r>
      <rPr>
        <sz val="9"/>
        <color rgb="FF000000"/>
        <rFont val="Arial"/>
        <charset val="134"/>
      </rPr>
      <t>ADIA</t>
    </r>
  </si>
  <si>
    <r>
      <rPr>
        <sz val="9"/>
        <color rgb="FF000000"/>
        <rFont val="Arial"/>
        <charset val="134"/>
      </rPr>
      <t>55</t>
    </r>
    <r>
      <rPr>
        <sz val="9"/>
        <color rgb="FF000000"/>
        <rFont val="楷体"/>
        <charset val="134"/>
      </rPr>
      <t>亿美元</t>
    </r>
  </si>
  <si>
    <r>
      <rPr>
        <sz val="9"/>
        <color rgb="FF000000"/>
        <rFont val="楷体"/>
        <charset val="134"/>
      </rPr>
      <t>软银中国资本</t>
    </r>
    <r>
      <rPr>
        <sz val="9"/>
        <color rgb="FF000000"/>
        <rFont val="Arial"/>
        <charset val="134"/>
      </rPr>
      <t>,</t>
    </r>
    <r>
      <rPr>
        <sz val="9"/>
        <color rgb="FF000000"/>
        <rFont val="楷体"/>
        <charset val="134"/>
      </rPr>
      <t>银湖投资</t>
    </r>
    <r>
      <rPr>
        <sz val="9"/>
        <color rgb="FF000000"/>
        <rFont val="Arial"/>
        <charset val="134"/>
      </rPr>
      <t>Silver Lake,</t>
    </r>
    <r>
      <rPr>
        <sz val="9"/>
        <color rgb="FF000000"/>
        <rFont val="楷体"/>
        <charset val="134"/>
      </rPr>
      <t>招商银行</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交通银行</t>
    </r>
  </si>
  <si>
    <t>律格资本</t>
  </si>
  <si>
    <r>
      <rPr>
        <sz val="9"/>
        <color rgb="FF000000"/>
        <rFont val="Arial"/>
        <charset val="134"/>
      </rPr>
      <t>1.2</t>
    </r>
    <r>
      <rPr>
        <sz val="9"/>
        <color rgb="FF000000"/>
        <rFont val="楷体"/>
        <charset val="134"/>
      </rPr>
      <t>亿美元</t>
    </r>
  </si>
  <si>
    <r>
      <rPr>
        <sz val="9"/>
        <color rgb="FF000000"/>
        <rFont val="楷体"/>
        <charset val="134"/>
      </rPr>
      <t>富士康</t>
    </r>
    <r>
      <rPr>
        <sz val="9"/>
        <color rgb="FF000000"/>
        <rFont val="Arial"/>
        <charset val="134"/>
      </rPr>
      <t>Foxconn</t>
    </r>
  </si>
  <si>
    <t>数亿美元</t>
  </si>
  <si>
    <r>
      <rPr>
        <sz val="9"/>
        <color rgb="FF000000"/>
        <rFont val="楷体"/>
        <charset val="134"/>
      </rPr>
      <t>中邮资本</t>
    </r>
    <r>
      <rPr>
        <sz val="9"/>
        <color rgb="FF000000"/>
        <rFont val="Arial"/>
        <charset val="134"/>
      </rPr>
      <t>(</t>
    </r>
    <r>
      <rPr>
        <sz val="9"/>
        <color rgb="FF000000"/>
        <rFont val="楷体"/>
        <charset val="134"/>
      </rPr>
      <t>中国邮政</t>
    </r>
    <r>
      <rPr>
        <sz val="9"/>
        <color rgb="FF000000"/>
        <rFont val="Arial"/>
        <charset val="134"/>
      </rPr>
      <t>)</t>
    </r>
  </si>
  <si>
    <r>
      <rPr>
        <sz val="9"/>
        <color rgb="FF000000"/>
        <rFont val="Arial"/>
        <charset val="134"/>
      </rPr>
      <t>4</t>
    </r>
    <r>
      <rPr>
        <sz val="9"/>
        <color rgb="FF000000"/>
        <rFont val="楷体"/>
        <charset val="134"/>
      </rPr>
      <t>亿美元</t>
    </r>
  </si>
  <si>
    <t>保利资本</t>
  </si>
  <si>
    <r>
      <rPr>
        <sz val="9"/>
        <color rgb="FF000000"/>
        <rFont val="Arial"/>
        <charset val="134"/>
      </rPr>
      <t>F</t>
    </r>
    <r>
      <rPr>
        <sz val="9"/>
        <color rgb="FF000000"/>
        <rFont val="楷体"/>
        <charset val="134"/>
      </rPr>
      <t>轮</t>
    </r>
  </si>
  <si>
    <r>
      <rPr>
        <sz val="9"/>
        <color rgb="FF000000"/>
        <rFont val="Arial"/>
        <charset val="134"/>
      </rPr>
      <t>45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</si>
  <si>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软银中国资本</t>
    </r>
    <r>
      <rPr>
        <sz val="9"/>
        <color rgb="FF000000"/>
        <rFont val="Arial"/>
        <charset val="134"/>
      </rPr>
      <t>,Apple</t>
    </r>
    <r>
      <rPr>
        <sz val="9"/>
        <color rgb="FF000000"/>
        <rFont val="楷体"/>
        <charset val="134"/>
      </rPr>
      <t>苹果</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招商银行</t>
    </r>
  </si>
  <si>
    <r>
      <rPr>
        <sz val="9"/>
        <color rgb="FF000000"/>
        <rFont val="Arial"/>
        <charset val="134"/>
      </rPr>
      <t>10</t>
    </r>
    <r>
      <rPr>
        <sz val="9"/>
        <color rgb="FF000000"/>
        <rFont val="楷体"/>
        <charset val="134"/>
      </rPr>
      <t>亿美元</t>
    </r>
  </si>
  <si>
    <r>
      <rPr>
        <sz val="9"/>
        <color rgb="FF000000"/>
        <rFont val="楷体"/>
        <charset val="134"/>
      </rPr>
      <t>鼎晖投资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中投公司</t>
    </r>
    <r>
      <rPr>
        <sz val="9"/>
        <color rgb="FF000000"/>
        <rFont val="Arial"/>
        <charset val="134"/>
      </rPr>
      <t>,</t>
    </r>
    <r>
      <rPr>
        <sz val="9"/>
        <color rgb="FF000000"/>
        <rFont val="楷体"/>
        <charset val="134"/>
      </rPr>
      <t>赛领资本</t>
    </r>
    <r>
      <rPr>
        <sz val="9"/>
        <color rgb="FF000000"/>
        <rFont val="Arial"/>
        <charset val="134"/>
      </rPr>
      <t>,</t>
    </r>
    <r>
      <rPr>
        <sz val="9"/>
        <color rgb="FF000000"/>
        <rFont val="楷体"/>
        <charset val="134"/>
      </rPr>
      <t>四维图新</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北汽产投</t>
    </r>
    <r>
      <rPr>
        <sz val="9"/>
        <color rgb="FF000000"/>
        <rFont val="Arial"/>
        <charset val="134"/>
      </rPr>
      <t>,</t>
    </r>
    <r>
      <rPr>
        <sz val="9"/>
        <color rgb="FF000000"/>
        <rFont val="楷体"/>
        <charset val="134"/>
      </rPr>
      <t>中金甲子</t>
    </r>
    <r>
      <rPr>
        <sz val="9"/>
        <color rgb="FF000000"/>
        <rFont val="Arial"/>
        <charset val="134"/>
      </rPr>
      <t>,</t>
    </r>
    <r>
      <rPr>
        <sz val="9"/>
        <color rgb="FF000000"/>
        <rFont val="楷体"/>
        <charset val="134"/>
      </rPr>
      <t>民航股权投资基金</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宽象资本</t>
    </r>
  </si>
  <si>
    <r>
      <rPr>
        <sz val="9"/>
        <color rgb="FF000000"/>
        <rFont val="Arial"/>
        <charset val="134"/>
      </rPr>
      <t>20</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</si>
  <si>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平安创新投资基金</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中投公司</t>
    </r>
    <r>
      <rPr>
        <sz val="9"/>
        <color rgb="FF000000"/>
        <rFont val="Arial"/>
        <charset val="134"/>
      </rPr>
      <t>,Coatue Management,H Capital</t>
    </r>
  </si>
  <si>
    <r>
      <rPr>
        <sz val="9"/>
        <color rgb="FF000000"/>
        <rFont val="Arial"/>
        <charset val="134"/>
      </rPr>
      <t>E</t>
    </r>
    <r>
      <rPr>
        <sz val="9"/>
        <color rgb="FF000000"/>
        <rFont val="楷体"/>
        <charset val="134"/>
      </rPr>
      <t>轮</t>
    </r>
  </si>
  <si>
    <r>
      <rPr>
        <sz val="9"/>
        <color rgb="FF000000"/>
        <rFont val="Arial"/>
        <charset val="134"/>
      </rPr>
      <t>1.42</t>
    </r>
    <r>
      <rPr>
        <sz val="9"/>
        <color rgb="FF000000"/>
        <rFont val="楷体"/>
        <charset val="134"/>
      </rPr>
      <t>亿美元</t>
    </r>
  </si>
  <si>
    <t>新浪微博基金</t>
  </si>
  <si>
    <t>合并</t>
  </si>
  <si>
    <t>快的打车</t>
  </si>
  <si>
    <r>
      <rPr>
        <sz val="9"/>
        <color rgb="FF000000"/>
        <rFont val="Arial"/>
        <charset val="134"/>
      </rPr>
      <t>D+</t>
    </r>
    <r>
      <rPr>
        <sz val="9"/>
        <color rgb="FF000000"/>
        <rFont val="楷体"/>
        <charset val="134"/>
      </rPr>
      <t>轮</t>
    </r>
  </si>
  <si>
    <r>
      <rPr>
        <sz val="9"/>
        <color rgb="FF000000"/>
        <rFont val="楷体"/>
        <charset val="134"/>
      </rPr>
      <t>红杉资本中国</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国新科创基金（国新基金）</t>
    </r>
  </si>
  <si>
    <r>
      <rPr>
        <sz val="9"/>
        <color rgb="FF000000"/>
        <rFont val="Arial"/>
        <charset val="134"/>
      </rPr>
      <t>D</t>
    </r>
    <r>
      <rPr>
        <sz val="9"/>
        <color rgb="FF000000"/>
        <rFont val="楷体"/>
        <charset val="134"/>
      </rPr>
      <t>轮</t>
    </r>
  </si>
  <si>
    <r>
      <rPr>
        <sz val="9"/>
        <color rgb="FF000000"/>
        <rFont val="Arial"/>
        <charset val="134"/>
      </rPr>
      <t>7</t>
    </r>
    <r>
      <rPr>
        <sz val="9"/>
        <color rgb="FF000000"/>
        <rFont val="楷体"/>
        <charset val="134"/>
      </rPr>
      <t>亿美元</t>
    </r>
  </si>
  <si>
    <r>
      <rPr>
        <sz val="9"/>
        <color rgb="FF000000"/>
        <rFont val="楷体"/>
        <charset val="134"/>
      </rPr>
      <t>腾讯投资</t>
    </r>
    <r>
      <rPr>
        <sz val="9"/>
        <color rgb="FF000000"/>
        <rFont val="Arial"/>
        <charset val="134"/>
      </rPr>
      <t>,DST Global,</t>
    </r>
    <r>
      <rPr>
        <sz val="9"/>
        <color rgb="FF000000"/>
        <rFont val="楷体"/>
        <charset val="134"/>
      </rPr>
      <t>淡马锡</t>
    </r>
    <r>
      <rPr>
        <sz val="9"/>
        <color rgb="FF000000"/>
        <rFont val="Arial"/>
        <charset val="134"/>
      </rPr>
      <t>Temasek,H Capital</t>
    </r>
  </si>
  <si>
    <r>
      <rPr>
        <sz val="9"/>
        <color rgb="FF000000"/>
        <rFont val="Arial"/>
        <charset val="134"/>
      </rPr>
      <t>1</t>
    </r>
    <r>
      <rPr>
        <sz val="9"/>
        <color rgb="FF000000"/>
        <rFont val="楷体"/>
        <charset val="134"/>
      </rPr>
      <t>亿美元</t>
    </r>
  </si>
  <si>
    <r>
      <rPr>
        <sz val="9"/>
        <color rgb="FF000000"/>
        <rFont val="楷体"/>
        <charset val="134"/>
      </rPr>
      <t>腾讯投资</t>
    </r>
    <r>
      <rPr>
        <sz val="9"/>
        <color rgb="FF000000"/>
        <rFont val="Arial"/>
        <charset val="134"/>
      </rPr>
      <t>,CPE</t>
    </r>
    <r>
      <rPr>
        <sz val="9"/>
        <color rgb="FF000000"/>
        <rFont val="楷体"/>
        <charset val="134"/>
      </rPr>
      <t>源峰</t>
    </r>
  </si>
  <si>
    <r>
      <rPr>
        <sz val="9"/>
        <color rgb="FF000000"/>
        <rFont val="Arial"/>
        <charset val="134"/>
      </rPr>
      <t>1500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</si>
  <si>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腾讯投资</t>
    </r>
  </si>
  <si>
    <r>
      <rPr>
        <sz val="9"/>
        <color rgb="FF000000"/>
        <rFont val="Arial"/>
        <charset val="134"/>
      </rPr>
      <t>300</t>
    </r>
    <r>
      <rPr>
        <sz val="9"/>
        <color rgb="FF000000"/>
        <rFont val="楷体"/>
        <charset val="134"/>
      </rPr>
      <t>万美元</t>
    </r>
  </si>
  <si>
    <t>金沙江创投</t>
  </si>
  <si>
    <t>天使轮</t>
  </si>
  <si>
    <t>数百万人民币</t>
  </si>
  <si>
    <t>王刚</t>
  </si>
  <si>
    <t>2013-04-01</t>
  </si>
  <si>
    <t>卓大师</t>
  </si>
  <si>
    <r>
      <rPr>
        <sz val="9"/>
        <color rgb="FF000000"/>
        <rFont val="楷体"/>
        <charset val="134"/>
      </rPr>
      <t>卓大师是一个</t>
    </r>
    <r>
      <rPr>
        <sz val="9"/>
        <color rgb="FF000000"/>
        <rFont val="Arial"/>
        <charset val="134"/>
      </rPr>
      <t>Android</t>
    </r>
    <r>
      <rPr>
        <sz val="9"/>
        <color rgb="FF000000"/>
        <rFont val="楷体"/>
        <charset val="134"/>
      </rPr>
      <t>刷机工具及手机问答网站，产品有卓大师刷机专家、小白点工具箱、一键清理等，</t>
    </r>
    <r>
      <rPr>
        <sz val="9"/>
        <color rgb="FF000000"/>
        <rFont val="Arial"/>
        <charset val="134"/>
      </rPr>
      <t>OPDA</t>
    </r>
    <r>
      <rPr>
        <sz val="9"/>
        <color rgb="FF000000"/>
        <rFont val="楷体"/>
        <charset val="134"/>
      </rPr>
      <t>团队开发。</t>
    </r>
  </si>
  <si>
    <t>北京耘升天下科技有限公司</t>
  </si>
  <si>
    <t>http://www.dashi.com</t>
  </si>
  <si>
    <t>2011-09</t>
  </si>
  <si>
    <t>工具软件</t>
  </si>
  <si>
    <t>优化清理</t>
  </si>
  <si>
    <r>
      <rPr>
        <sz val="9"/>
        <color rgb="FF000000"/>
        <rFont val="Arial"/>
        <charset val="134"/>
      </rPr>
      <t>1000</t>
    </r>
    <r>
      <rPr>
        <sz val="9"/>
        <color rgb="FF000000"/>
        <rFont val="楷体"/>
        <charset val="134"/>
      </rPr>
      <t>万美元</t>
    </r>
  </si>
  <si>
    <r>
      <rPr>
        <sz val="9"/>
        <color rgb="FF000000"/>
        <rFont val="Arial"/>
        <charset val="134"/>
      </rPr>
      <t>9800</t>
    </r>
    <r>
      <rPr>
        <sz val="9"/>
        <color rgb="FF000000"/>
        <rFont val="楷体"/>
        <charset val="134"/>
      </rPr>
      <t>万</t>
    </r>
  </si>
  <si>
    <r>
      <rPr>
        <sz val="9"/>
        <color rgb="FF000000"/>
        <rFont val="Arial"/>
        <charset val="134"/>
      </rPr>
      <t>3.25</t>
    </r>
    <r>
      <rPr>
        <sz val="9"/>
        <color rgb="FF000000"/>
        <rFont val="楷体"/>
        <charset val="134"/>
      </rPr>
      <t>亿元</t>
    </r>
  </si>
  <si>
    <r>
      <rPr>
        <sz val="9"/>
        <color rgb="FF000000"/>
        <rFont val="楷体"/>
        <charset val="134"/>
      </rPr>
      <t>苏光升</t>
    </r>
    <r>
      <rPr>
        <sz val="9"/>
        <color rgb="FF000000"/>
        <rFont val="Arial"/>
        <charset val="134"/>
      </rPr>
      <t>:CEO,</t>
    </r>
    <r>
      <rPr>
        <sz val="9"/>
        <color rgb="FF000000"/>
        <rFont val="楷体"/>
        <charset val="134"/>
      </rPr>
      <t>肖文峰</t>
    </r>
    <r>
      <rPr>
        <sz val="9"/>
        <color rgb="FF000000"/>
        <rFont val="Arial"/>
        <charset val="134"/>
      </rPr>
      <t>:CTO</t>
    </r>
  </si>
  <si>
    <t>数千万人民币</t>
  </si>
  <si>
    <t>百度</t>
  </si>
  <si>
    <t>君联资本</t>
  </si>
  <si>
    <t>2018-07-02</t>
  </si>
  <si>
    <t>好食期</t>
  </si>
  <si>
    <r>
      <rPr>
        <sz val="9"/>
        <color rgb="FF000000"/>
        <rFont val="楷体"/>
        <charset val="134"/>
      </rPr>
      <t>好食期是一个品牌食品特卖平台，为用户提供国内外品牌的近万种食品，</t>
    </r>
    <r>
      <rPr>
        <sz val="9"/>
        <color rgb="FF000000"/>
        <rFont val="Arial"/>
        <charset val="134"/>
      </rPr>
      <t>2-6</t>
    </r>
    <r>
      <rPr>
        <sz val="9"/>
        <color rgb="FF000000"/>
        <rFont val="楷体"/>
        <charset val="134"/>
      </rPr>
      <t>折特卖价格，所有商品均显示保质期，同时旗下拥有线下商家砍价平台</t>
    </r>
    <r>
      <rPr>
        <sz val="9"/>
        <color rgb="FF000000"/>
        <rFont val="Arial"/>
        <charset val="134"/>
      </rPr>
      <t>“</t>
    </r>
    <r>
      <rPr>
        <sz val="9"/>
        <color rgb="FF000000"/>
        <rFont val="楷体"/>
        <charset val="134"/>
      </rPr>
      <t>爱抢购</t>
    </r>
    <r>
      <rPr>
        <sz val="9"/>
        <color rgb="FF000000"/>
        <rFont val="Arial"/>
        <charset val="134"/>
      </rPr>
      <t>”</t>
    </r>
    <r>
      <rPr>
        <sz val="9"/>
        <color rgb="FF000000"/>
        <rFont val="楷体"/>
        <charset val="134"/>
      </rPr>
      <t>，涵盖餐饮、休闲娱乐及食品等领域。</t>
    </r>
  </si>
  <si>
    <t>上海多维度网络科技股份有限公司</t>
  </si>
  <si>
    <t>https://www.doweidu.com/dwd.html</t>
  </si>
  <si>
    <r>
      <rPr>
        <sz val="9"/>
        <color rgb="FF000000"/>
        <rFont val="楷体"/>
        <charset val="134"/>
      </rPr>
      <t>上海</t>
    </r>
    <r>
      <rPr>
        <sz val="9"/>
        <color rgb="FF000000"/>
        <rFont val="Arial"/>
        <charset val="134"/>
      </rPr>
      <t>-</t>
    </r>
    <r>
      <rPr>
        <sz val="9"/>
        <color rgb="FF000000"/>
        <rFont val="楷体"/>
        <charset val="134"/>
      </rPr>
      <t>徐汇区</t>
    </r>
  </si>
  <si>
    <t>电商零售</t>
  </si>
  <si>
    <t>食品饮料</t>
  </si>
  <si>
    <r>
      <rPr>
        <sz val="9"/>
        <color rgb="FF000000"/>
        <rFont val="Arial"/>
        <charset val="134"/>
      </rPr>
      <t>1.1</t>
    </r>
    <r>
      <rPr>
        <sz val="9"/>
        <color rgb="FF000000"/>
        <rFont val="楷体"/>
        <charset val="134"/>
      </rPr>
      <t>亿人民币</t>
    </r>
  </si>
  <si>
    <r>
      <rPr>
        <sz val="9"/>
        <color rgb="FF000000"/>
        <rFont val="Arial"/>
        <charset val="134"/>
      </rPr>
      <t>3.83</t>
    </r>
    <r>
      <rPr>
        <sz val="9"/>
        <color rgb="FF000000"/>
        <rFont val="楷体"/>
        <charset val="134"/>
      </rPr>
      <t>亿</t>
    </r>
  </si>
  <si>
    <r>
      <rPr>
        <sz val="9"/>
        <color rgb="FF000000"/>
        <rFont val="Arial"/>
        <charset val="134"/>
      </rPr>
      <t>5.5</t>
    </r>
    <r>
      <rPr>
        <sz val="9"/>
        <color rgb="FF000000"/>
        <rFont val="楷体"/>
        <charset val="134"/>
      </rPr>
      <t>亿元</t>
    </r>
  </si>
  <si>
    <r>
      <rPr>
        <sz val="9"/>
        <color rgb="FF000000"/>
        <rFont val="楷体"/>
        <charset val="134"/>
      </rPr>
      <t>雷勇</t>
    </r>
    <r>
      <rPr>
        <sz val="9"/>
        <color rgb="FF000000"/>
        <rFont val="Arial"/>
        <charset val="134"/>
      </rPr>
      <t>:CEO</t>
    </r>
  </si>
  <si>
    <r>
      <rPr>
        <sz val="9"/>
        <color rgb="FF000000"/>
        <rFont val="楷体"/>
        <charset val="134"/>
      </rPr>
      <t>上海市徐汇区钦州路</t>
    </r>
    <r>
      <rPr>
        <sz val="9"/>
        <color rgb="FF000000"/>
        <rFont val="Arial"/>
        <charset val="134"/>
      </rPr>
      <t>100</t>
    </r>
    <r>
      <rPr>
        <sz val="9"/>
        <color rgb="FF000000"/>
        <rFont val="楷体"/>
        <charset val="134"/>
      </rPr>
      <t>号上海市科技创业中心</t>
    </r>
    <r>
      <rPr>
        <sz val="9"/>
        <color rgb="FF000000"/>
        <rFont val="Arial"/>
        <charset val="134"/>
      </rPr>
      <t>2</t>
    </r>
    <r>
      <rPr>
        <sz val="9"/>
        <color rgb="FF000000"/>
        <rFont val="楷体"/>
        <charset val="134"/>
      </rPr>
      <t>号楼</t>
    </r>
    <r>
      <rPr>
        <sz val="9"/>
        <color rgb="FF000000"/>
        <rFont val="Arial"/>
        <charset val="134"/>
      </rPr>
      <t>207</t>
    </r>
    <r>
      <rPr>
        <sz val="9"/>
        <color rgb="FF000000"/>
        <rFont val="楷体"/>
        <charset val="134"/>
      </rPr>
      <t>室</t>
    </r>
  </si>
  <si>
    <t>021-6110-0735</t>
  </si>
  <si>
    <t>service@doweidu.com</t>
  </si>
  <si>
    <t>新三板定增</t>
  </si>
  <si>
    <r>
      <rPr>
        <sz val="9"/>
        <color rgb="FF000000"/>
        <rFont val="Arial"/>
        <charset val="134"/>
      </rPr>
      <t>1000</t>
    </r>
    <r>
      <rPr>
        <sz val="9"/>
        <color rgb="FF000000"/>
        <rFont val="楷体"/>
        <charset val="134"/>
      </rPr>
      <t>万人民币</t>
    </r>
  </si>
  <si>
    <t>上海复励隽华</t>
  </si>
  <si>
    <t>新三板</t>
  </si>
  <si>
    <r>
      <rPr>
        <sz val="9"/>
        <color rgb="FF000000"/>
        <rFont val="楷体"/>
        <charset val="134"/>
      </rPr>
      <t>同创伟业</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清源投资</t>
    </r>
  </si>
  <si>
    <r>
      <rPr>
        <sz val="9"/>
        <color rgb="FF000000"/>
        <rFont val="楷体"/>
        <charset val="134"/>
      </rPr>
      <t>同创伟业</t>
    </r>
    <r>
      <rPr>
        <sz val="9"/>
        <color rgb="FF000000"/>
        <rFont val="Arial"/>
        <charset val="134"/>
      </rPr>
      <t>,</t>
    </r>
    <r>
      <rPr>
        <sz val="9"/>
        <color rgb="FF000000"/>
        <rFont val="楷体"/>
        <charset val="134"/>
      </rPr>
      <t>长石资本</t>
    </r>
    <r>
      <rPr>
        <sz val="9"/>
        <color rgb="FF000000"/>
        <rFont val="Arial"/>
        <charset val="134"/>
      </rPr>
      <t>,</t>
    </r>
    <r>
      <rPr>
        <sz val="9"/>
        <color rgb="FF000000"/>
        <rFont val="楷体"/>
        <charset val="134"/>
      </rPr>
      <t>创祥投资</t>
    </r>
  </si>
  <si>
    <t>2014-10-17</t>
  </si>
  <si>
    <t>TimeHut时光小屋</t>
  </si>
  <si>
    <r>
      <rPr>
        <sz val="9"/>
        <color rgb="FF000000"/>
        <rFont val="Arial"/>
        <charset val="134"/>
      </rPr>
      <t>TimeHut</t>
    </r>
    <r>
      <rPr>
        <sz val="9"/>
        <color rgb="FF000000"/>
        <rFont val="楷体"/>
        <charset val="134"/>
      </rPr>
      <t>时光小屋</t>
    </r>
  </si>
  <si>
    <r>
      <rPr>
        <sz val="9"/>
        <color rgb="FF000000"/>
        <rFont val="Arial"/>
        <charset val="134"/>
      </rPr>
      <t>TimeHut</t>
    </r>
    <r>
      <rPr>
        <sz val="9"/>
        <color rgb="FF000000"/>
        <rFont val="楷体"/>
        <charset val="134"/>
      </rPr>
      <t>时光小屋是一个宝宝成长记录工具，可以将父母手机里关于宝宝的照片和视频一键生成宝宝成长记录。</t>
    </r>
    <r>
      <rPr>
        <sz val="9"/>
        <color rgb="FF000000"/>
        <rFont val="Arial"/>
        <charset val="134"/>
      </rPr>
      <t>Peekaboo</t>
    </r>
    <r>
      <rPr>
        <sz val="9"/>
        <color rgb="FF000000"/>
        <rFont val="楷体"/>
        <charset val="134"/>
      </rPr>
      <t>公司产品。</t>
    </r>
  </si>
  <si>
    <t>武汉时光部落网络有限公司</t>
  </si>
  <si>
    <t>http://shiguangxiaowu.cn/</t>
  </si>
  <si>
    <t>2012-10</t>
  </si>
  <si>
    <r>
      <rPr>
        <sz val="9"/>
        <color rgb="FF000000"/>
        <rFont val="楷体"/>
        <charset val="134"/>
      </rPr>
      <t>湖北</t>
    </r>
    <r>
      <rPr>
        <sz val="9"/>
        <color rgb="FF000000"/>
        <rFont val="Arial"/>
        <charset val="134"/>
      </rPr>
      <t>-</t>
    </r>
    <r>
      <rPr>
        <sz val="9"/>
        <color rgb="FF000000"/>
        <rFont val="楷体"/>
        <charset val="134"/>
      </rPr>
      <t>武汉</t>
    </r>
  </si>
  <si>
    <t>图像视频</t>
  </si>
  <si>
    <r>
      <rPr>
        <sz val="9"/>
        <color rgb="FF000000"/>
        <rFont val="楷体"/>
        <charset val="134"/>
      </rPr>
      <t>策源创投</t>
    </r>
    <r>
      <rPr>
        <sz val="9"/>
        <color rgb="FF000000"/>
        <rFont val="Arial"/>
        <charset val="134"/>
      </rPr>
      <t>,</t>
    </r>
    <r>
      <rPr>
        <sz val="9"/>
        <color rgb="FF000000"/>
        <rFont val="楷体"/>
        <charset val="134"/>
      </rPr>
      <t>阿里巴巴</t>
    </r>
  </si>
  <si>
    <r>
      <rPr>
        <sz val="9"/>
        <color rgb="FF000000"/>
        <rFont val="Arial"/>
        <charset val="134"/>
      </rPr>
      <t>2250</t>
    </r>
    <r>
      <rPr>
        <sz val="9"/>
        <color rgb="FF000000"/>
        <rFont val="楷体"/>
        <charset val="134"/>
      </rPr>
      <t>万</t>
    </r>
  </si>
  <si>
    <r>
      <rPr>
        <sz val="9"/>
        <color rgb="FF000000"/>
        <rFont val="Arial"/>
        <charset val="134"/>
      </rPr>
      <t>9750</t>
    </r>
    <r>
      <rPr>
        <sz val="9"/>
        <color rgb="FF000000"/>
        <rFont val="楷体"/>
        <charset val="134"/>
      </rPr>
      <t>万元</t>
    </r>
  </si>
  <si>
    <r>
      <rPr>
        <sz val="9"/>
        <color rgb="FF000000"/>
        <rFont val="楷体"/>
        <charset val="134"/>
      </rPr>
      <t>刘杰</t>
    </r>
    <r>
      <rPr>
        <sz val="9"/>
        <color rgb="FF000000"/>
        <rFont val="Arial"/>
        <charset val="134"/>
      </rPr>
      <t>:CEO,</t>
    </r>
    <r>
      <rPr>
        <sz val="9"/>
        <color rgb="FF000000"/>
        <rFont val="楷体"/>
        <charset val="134"/>
      </rPr>
      <t>邱江毅</t>
    </r>
    <r>
      <rPr>
        <sz val="9"/>
        <color rgb="FF000000"/>
        <rFont val="Arial"/>
        <charset val="134"/>
      </rPr>
      <t>:CTO,</t>
    </r>
    <r>
      <rPr>
        <sz val="9"/>
        <color rgb="FF000000"/>
        <rFont val="楷体"/>
        <charset val="134"/>
      </rPr>
      <t>徐纪元</t>
    </r>
    <r>
      <rPr>
        <sz val="9"/>
        <color rgb="FF000000"/>
        <rFont val="Arial"/>
        <charset val="134"/>
      </rPr>
      <t>:CTO</t>
    </r>
  </si>
  <si>
    <r>
      <rPr>
        <sz val="9"/>
        <color rgb="FF000000"/>
        <rFont val="Arial"/>
        <charset val="134"/>
      </rPr>
      <t>PreAngel,</t>
    </r>
    <r>
      <rPr>
        <sz val="9"/>
        <color rgb="FF000000"/>
        <rFont val="楷体"/>
        <charset val="134"/>
      </rPr>
      <t>东湖天使基金</t>
    </r>
  </si>
  <si>
    <t>2017-08-08</t>
  </si>
  <si>
    <t>新片场</t>
  </si>
  <si>
    <r>
      <rPr>
        <sz val="9"/>
        <color rgb="FF000000"/>
        <rFont val="楷体"/>
        <charset val="134"/>
      </rPr>
      <t>北京新片场传媒股份有限公司成立于</t>
    </r>
    <r>
      <rPr>
        <sz val="9"/>
        <color rgb="FF000000"/>
        <rFont val="Arial"/>
        <charset val="134"/>
      </rPr>
      <t>2012</t>
    </r>
    <r>
      <rPr>
        <sz val="9"/>
        <color rgb="FF000000"/>
        <rFont val="楷体"/>
        <charset val="134"/>
      </rPr>
      <t>年，依托于短片分享平台</t>
    </r>
    <r>
      <rPr>
        <sz val="9"/>
        <color rgb="FF000000"/>
        <rFont val="Arial"/>
        <charset val="134"/>
      </rPr>
      <t>“</t>
    </r>
    <r>
      <rPr>
        <sz val="9"/>
        <color rgb="FF000000"/>
        <rFont val="楷体"/>
        <charset val="134"/>
      </rPr>
      <t>场库</t>
    </r>
    <r>
      <rPr>
        <sz val="9"/>
        <color rgb="FF000000"/>
        <rFont val="Arial"/>
        <charset val="134"/>
      </rPr>
      <t>”</t>
    </r>
    <r>
      <rPr>
        <sz val="9"/>
        <color rgb="FF000000"/>
        <rFont val="楷体"/>
        <charset val="134"/>
      </rPr>
      <t>发展而来，通过互联网平台聚集了一批优秀的年轻创作人，并逐步发展为国内领先的互联网影视传媒公司。先后获得九合创投、阿里巴巴集团、红杉资本、中瑞资本、天星资本、完美世界、孚惠资本、永桐资本等机构投资，累计融资金额数亿元，市值</t>
    </r>
    <r>
      <rPr>
        <sz val="9"/>
        <color rgb="FF000000"/>
        <rFont val="Arial"/>
        <charset val="134"/>
      </rPr>
      <t>11.8</t>
    </r>
    <r>
      <rPr>
        <sz val="9"/>
        <color rgb="FF000000"/>
        <rFont val="楷体"/>
        <charset val="134"/>
      </rPr>
      <t>亿元人民币。并于</t>
    </r>
    <r>
      <rPr>
        <sz val="9"/>
        <color rgb="FF000000"/>
        <rFont val="Arial"/>
        <charset val="134"/>
      </rPr>
      <t>2015</t>
    </r>
    <r>
      <rPr>
        <sz val="9"/>
        <color rgb="FF000000"/>
        <rFont val="楷体"/>
        <charset val="134"/>
      </rPr>
      <t>年作为新媒体影视领域首家平台型公司登陆新三板，成为国内新媒体影视第一股，于</t>
    </r>
    <r>
      <rPr>
        <sz val="9"/>
        <color rgb="FF000000"/>
        <rFont val="Arial"/>
        <charset val="134"/>
      </rPr>
      <t>2017</t>
    </r>
    <r>
      <rPr>
        <sz val="9"/>
        <color rgb="FF000000"/>
        <rFont val="楷体"/>
        <charset val="134"/>
      </rPr>
      <t>年跻身新三板创新层，成为创新层</t>
    </r>
    <r>
      <rPr>
        <sz val="9"/>
        <color rgb="FF000000"/>
        <rFont val="Arial"/>
        <charset val="134"/>
      </rPr>
      <t>32</t>
    </r>
    <r>
      <rPr>
        <sz val="9"/>
        <color rgb="FF000000"/>
        <rFont val="楷体"/>
        <charset val="134"/>
      </rPr>
      <t>家影视公司之一。公司以</t>
    </r>
    <r>
      <rPr>
        <sz val="9"/>
        <color rgb="FF000000"/>
        <rFont val="Arial"/>
        <charset val="134"/>
      </rPr>
      <t>“</t>
    </r>
    <r>
      <rPr>
        <sz val="9"/>
        <color rgb="FF000000"/>
        <rFont val="楷体"/>
        <charset val="134"/>
      </rPr>
      <t>做百年娱乐企业</t>
    </r>
    <r>
      <rPr>
        <sz val="9"/>
        <color rgb="FF000000"/>
        <rFont val="Arial"/>
        <charset val="134"/>
      </rPr>
      <t>”</t>
    </r>
    <r>
      <rPr>
        <sz val="9"/>
        <color rgb="FF000000"/>
        <rFont val="楷体"/>
        <charset val="134"/>
      </rPr>
      <t>为愿景，以</t>
    </r>
    <r>
      <rPr>
        <sz val="9"/>
        <color rgb="FF000000"/>
        <rFont val="Arial"/>
        <charset val="134"/>
      </rPr>
      <t>“</t>
    </r>
    <r>
      <rPr>
        <sz val="9"/>
        <color rgb="FF000000"/>
        <rFont val="楷体"/>
        <charset val="134"/>
      </rPr>
      <t>用作品打动世界</t>
    </r>
    <r>
      <rPr>
        <sz val="9"/>
        <color rgb="FF000000"/>
        <rFont val="Arial"/>
        <charset val="134"/>
      </rPr>
      <t>”</t>
    </r>
    <r>
      <rPr>
        <sz val="9"/>
        <color rgb="FF000000"/>
        <rFont val="楷体"/>
        <charset val="134"/>
      </rPr>
      <t>为使命，围绕线上创作人社区平台，逐步拓展出了新片场影业、新片场短视频、新片场营销等多个业务品牌，新片场学院由北京新片场传媒股份有限公司运营。</t>
    </r>
  </si>
  <si>
    <t>北京新片场传媒股份有限公司</t>
  </si>
  <si>
    <t>http://www.xinpianchang.com/</t>
  </si>
  <si>
    <t>2012-02</t>
  </si>
  <si>
    <r>
      <rPr>
        <sz val="9"/>
        <color rgb="FF000000"/>
        <rFont val="楷体"/>
        <charset val="134"/>
      </rPr>
      <t>北京</t>
    </r>
    <r>
      <rPr>
        <sz val="9"/>
        <color rgb="FF000000"/>
        <rFont val="Arial"/>
        <charset val="134"/>
      </rPr>
      <t>-</t>
    </r>
    <r>
      <rPr>
        <sz val="9"/>
        <color rgb="FF000000"/>
        <rFont val="楷体"/>
        <charset val="134"/>
      </rPr>
      <t>朝阳区</t>
    </r>
  </si>
  <si>
    <t>文娱传媒</t>
  </si>
  <si>
    <t>影视</t>
  </si>
  <si>
    <r>
      <rPr>
        <sz val="9"/>
        <color rgb="FF000000"/>
        <rFont val="Arial"/>
        <charset val="134"/>
      </rPr>
      <t>1.47</t>
    </r>
    <r>
      <rPr>
        <sz val="9"/>
        <color rgb="FF000000"/>
        <rFont val="楷体"/>
        <charset val="134"/>
      </rPr>
      <t>亿人民币</t>
    </r>
  </si>
  <si>
    <r>
      <rPr>
        <sz val="9"/>
        <color rgb="FF000000"/>
        <rFont val="楷体"/>
        <charset val="134"/>
      </rPr>
      <t>完美世界</t>
    </r>
    <r>
      <rPr>
        <sz val="9"/>
        <color rgb="FF000000"/>
        <rFont val="Arial"/>
        <charset val="134"/>
      </rPr>
      <t>,</t>
    </r>
    <r>
      <rPr>
        <sz val="9"/>
        <color rgb="FF000000"/>
        <rFont val="楷体"/>
        <charset val="134"/>
      </rPr>
      <t>孚惠资本</t>
    </r>
    <r>
      <rPr>
        <sz val="9"/>
        <color rgb="FF000000"/>
        <rFont val="Arial"/>
        <charset val="134"/>
      </rPr>
      <t>(</t>
    </r>
    <r>
      <rPr>
        <sz val="9"/>
        <color rgb="FF000000"/>
        <rFont val="楷体"/>
        <charset val="134"/>
      </rPr>
      <t>华谊兄弟</t>
    </r>
    <r>
      <rPr>
        <sz val="9"/>
        <color rgb="FF000000"/>
        <rFont val="Arial"/>
        <charset val="134"/>
      </rPr>
      <t>),</t>
    </r>
    <r>
      <rPr>
        <sz val="9"/>
        <color rgb="FF000000"/>
        <rFont val="楷体"/>
        <charset val="134"/>
      </rPr>
      <t>永桐资本</t>
    </r>
  </si>
  <si>
    <r>
      <rPr>
        <sz val="9"/>
        <color rgb="FF000000"/>
        <rFont val="Arial"/>
        <charset val="134"/>
      </rPr>
      <t>3.77</t>
    </r>
    <r>
      <rPr>
        <sz val="9"/>
        <color rgb="FF000000"/>
        <rFont val="楷体"/>
        <charset val="134"/>
      </rPr>
      <t>亿</t>
    </r>
  </si>
  <si>
    <r>
      <rPr>
        <sz val="9"/>
        <color rgb="FF000000"/>
        <rFont val="Arial"/>
        <charset val="134"/>
      </rPr>
      <t>7.35</t>
    </r>
    <r>
      <rPr>
        <sz val="9"/>
        <color rgb="FF000000"/>
        <rFont val="楷体"/>
        <charset val="134"/>
      </rPr>
      <t>亿元</t>
    </r>
  </si>
  <si>
    <r>
      <rPr>
        <sz val="9"/>
        <color rgb="FF000000"/>
        <rFont val="楷体"/>
        <charset val="134"/>
      </rPr>
      <t>尹兴良</t>
    </r>
    <r>
      <rPr>
        <sz val="9"/>
        <color rgb="FF000000"/>
        <rFont val="Arial"/>
        <charset val="134"/>
      </rPr>
      <t>:CEO,</t>
    </r>
    <r>
      <rPr>
        <sz val="9"/>
        <color rgb="FF000000"/>
        <rFont val="楷体"/>
        <charset val="134"/>
      </rPr>
      <t>陈跃</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周迪</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李扬</t>
    </r>
    <r>
      <rPr>
        <sz val="9"/>
        <color rgb="FF000000"/>
        <rFont val="Arial"/>
        <charset val="134"/>
      </rPr>
      <t>:</t>
    </r>
    <r>
      <rPr>
        <sz val="9"/>
        <color rgb="FF000000"/>
        <rFont val="楷体"/>
        <charset val="134"/>
      </rPr>
      <t>联合创始人</t>
    </r>
  </si>
  <si>
    <t>010-58440119</t>
  </si>
  <si>
    <t>service@vmovier.com</t>
  </si>
  <si>
    <r>
      <rPr>
        <sz val="9"/>
        <color rgb="FF000000"/>
        <rFont val="Arial"/>
        <charset val="134"/>
      </rPr>
      <t>7000</t>
    </r>
    <r>
      <rPr>
        <sz val="9"/>
        <color rgb="FF000000"/>
        <rFont val="楷体"/>
        <charset val="134"/>
      </rPr>
      <t>万人民币</t>
    </r>
  </si>
  <si>
    <r>
      <rPr>
        <sz val="9"/>
        <color rgb="FF000000"/>
        <rFont val="楷体"/>
        <charset val="134"/>
      </rPr>
      <t>红杉资本中国</t>
    </r>
    <r>
      <rPr>
        <sz val="9"/>
        <color rgb="FF000000"/>
        <rFont val="Arial"/>
        <charset val="134"/>
      </rPr>
      <t>,</t>
    </r>
    <r>
      <rPr>
        <sz val="9"/>
        <color rgb="FF000000"/>
        <rFont val="楷体"/>
        <charset val="134"/>
      </rPr>
      <t>天星资本</t>
    </r>
  </si>
  <si>
    <r>
      <rPr>
        <sz val="9"/>
        <color rgb="FF000000"/>
        <rFont val="楷体"/>
        <charset val="134"/>
      </rPr>
      <t>红杉资本中国</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湖畔山南资本</t>
    </r>
  </si>
  <si>
    <t>数十万人民币</t>
  </si>
  <si>
    <t>九合创投</t>
  </si>
  <si>
    <t>2021-04-13</t>
  </si>
  <si>
    <t>数云</t>
  </si>
  <si>
    <r>
      <rPr>
        <sz val="9"/>
        <color rgb="FF000000"/>
        <rFont val="楷体"/>
        <charset val="134"/>
      </rPr>
      <t>数云是国内领先的数据化营销软件产品和服务提供商。数云致力于为消费品牌和零售品牌商提供整合软件产品、数据模型和专业服务的一站式数据化营销解决方案。数云以软件产品为主线，以营销效果为导向，帮助企业深度挖掘大数据价值，持续构建自身的核心竞争优势。数云的数据化营销管理软件采用先进的技术架构，支持公有云</t>
    </r>
    <r>
      <rPr>
        <sz val="9"/>
        <color rgb="FF000000"/>
        <rFont val="Arial"/>
        <charset val="134"/>
      </rPr>
      <t>SAAS</t>
    </r>
    <r>
      <rPr>
        <sz val="9"/>
        <color rgb="FF000000"/>
        <rFont val="楷体"/>
        <charset val="134"/>
      </rPr>
      <t>和私有云独立部署模式。产品贴近国内品牌商客户的核心需求，实现了以全渠道客户数据管理平台为基础，以</t>
    </r>
    <r>
      <rPr>
        <sz val="9"/>
        <color rgb="FF000000"/>
        <rFont val="Arial"/>
        <charset val="134"/>
      </rPr>
      <t>CRM</t>
    </r>
    <r>
      <rPr>
        <sz val="9"/>
        <color rgb="FF000000"/>
        <rFont val="楷体"/>
        <charset val="134"/>
      </rPr>
      <t>（客户关系管理）和</t>
    </r>
    <r>
      <rPr>
        <sz val="9"/>
        <color rgb="FF000000"/>
        <rFont val="Arial"/>
        <charset val="134"/>
      </rPr>
      <t>BI</t>
    </r>
    <r>
      <rPr>
        <sz val="9"/>
        <color rgb="FF000000"/>
        <rFont val="楷体"/>
        <charset val="134"/>
      </rPr>
      <t>（商业智能）为核心应用，并渗透到全渠道数据化营销、销售和服务各个接触点的价值闭环。</t>
    </r>
  </si>
  <si>
    <t>杭州数云信息技术有限公司</t>
  </si>
  <si>
    <t>http://www.shuyun.com/</t>
  </si>
  <si>
    <t>2011-04</t>
  </si>
  <si>
    <r>
      <rPr>
        <sz val="9"/>
        <color rgb="FF000000"/>
        <rFont val="楷体"/>
        <charset val="134"/>
      </rPr>
      <t>浙江</t>
    </r>
    <r>
      <rPr>
        <sz val="9"/>
        <color rgb="FF000000"/>
        <rFont val="Arial"/>
        <charset val="134"/>
      </rPr>
      <t>-</t>
    </r>
    <r>
      <rPr>
        <sz val="9"/>
        <color rgb="FF000000"/>
        <rFont val="楷体"/>
        <charset val="134"/>
      </rPr>
      <t>杭州</t>
    </r>
  </si>
  <si>
    <t>企业服务</t>
  </si>
  <si>
    <t>数据服务</t>
  </si>
  <si>
    <t>数亿人民币</t>
  </si>
  <si>
    <r>
      <rPr>
        <sz val="9"/>
        <color rgb="FF000000"/>
        <rFont val="楷体"/>
        <charset val="134"/>
      </rPr>
      <t>国科投资</t>
    </r>
    <r>
      <rPr>
        <sz val="9"/>
        <color rgb="FF000000"/>
        <rFont val="Arial"/>
        <charset val="134"/>
      </rPr>
      <t>,</t>
    </r>
    <r>
      <rPr>
        <sz val="9"/>
        <color rgb="FF000000"/>
        <rFont val="楷体"/>
        <charset val="134"/>
      </rPr>
      <t>一村资本</t>
    </r>
    <r>
      <rPr>
        <sz val="9"/>
        <color rgb="FF000000"/>
        <rFont val="Arial"/>
        <charset val="134"/>
      </rPr>
      <t>,</t>
    </r>
    <r>
      <rPr>
        <sz val="9"/>
        <color rgb="FF000000"/>
        <rFont val="楷体"/>
        <charset val="134"/>
      </rPr>
      <t>微盟</t>
    </r>
  </si>
  <si>
    <r>
      <rPr>
        <sz val="9"/>
        <color rgb="FF000000"/>
        <rFont val="Arial"/>
        <charset val="134"/>
      </rPr>
      <t>4.7</t>
    </r>
    <r>
      <rPr>
        <sz val="9"/>
        <color rgb="FF000000"/>
        <rFont val="楷体"/>
        <charset val="134"/>
      </rPr>
      <t>亿</t>
    </r>
  </si>
  <si>
    <r>
      <rPr>
        <sz val="9"/>
        <color rgb="FF000000"/>
        <rFont val="Arial"/>
        <charset val="134"/>
      </rPr>
      <t>15</t>
    </r>
    <r>
      <rPr>
        <sz val="9"/>
        <color rgb="FF000000"/>
        <rFont val="楷体"/>
        <charset val="134"/>
      </rPr>
      <t>亿元</t>
    </r>
  </si>
  <si>
    <r>
      <rPr>
        <sz val="9"/>
        <color rgb="FF000000"/>
        <rFont val="楷体"/>
        <charset val="134"/>
      </rPr>
      <t>宋向平</t>
    </r>
    <r>
      <rPr>
        <sz val="9"/>
        <color rgb="FF000000"/>
        <rFont val="Arial"/>
        <charset val="134"/>
      </rPr>
      <t>:CEO,</t>
    </r>
    <r>
      <rPr>
        <sz val="9"/>
        <color rgb="FF000000"/>
        <rFont val="楷体"/>
        <charset val="134"/>
      </rPr>
      <t>宣晓华</t>
    </r>
    <r>
      <rPr>
        <sz val="9"/>
        <color rgb="FF000000"/>
        <rFont val="Arial"/>
        <charset val="134"/>
      </rPr>
      <t>:</t>
    </r>
    <r>
      <rPr>
        <sz val="9"/>
        <color rgb="FF000000"/>
        <rFont val="楷体"/>
        <charset val="134"/>
      </rPr>
      <t>董事长</t>
    </r>
  </si>
  <si>
    <r>
      <rPr>
        <sz val="9"/>
        <color rgb="FF000000"/>
        <rFont val="楷体"/>
        <charset val="134"/>
      </rPr>
      <t>杭州市西湖区文三路</t>
    </r>
    <r>
      <rPr>
        <sz val="9"/>
        <color rgb="FF000000"/>
        <rFont val="Arial"/>
        <charset val="134"/>
      </rPr>
      <t>235</t>
    </r>
    <r>
      <rPr>
        <sz val="9"/>
        <color rgb="FF000000"/>
        <rFont val="楷体"/>
        <charset val="134"/>
      </rPr>
      <t>号立元商务楼</t>
    </r>
    <r>
      <rPr>
        <sz val="9"/>
        <color rgb="FF000000"/>
        <rFont val="Arial"/>
        <charset val="134"/>
      </rPr>
      <t>5</t>
    </r>
    <r>
      <rPr>
        <sz val="9"/>
        <color rgb="FF000000"/>
        <rFont val="楷体"/>
        <charset val="134"/>
      </rPr>
      <t>楼</t>
    </r>
  </si>
  <si>
    <t>0571-5602-6730</t>
  </si>
  <si>
    <t>marketing@shuyun.com</t>
  </si>
  <si>
    <r>
      <rPr>
        <sz val="9"/>
        <color rgb="FF000000"/>
        <rFont val="楷体"/>
        <charset val="134"/>
      </rPr>
      <t>阿里巴巴</t>
    </r>
    <r>
      <rPr>
        <sz val="9"/>
        <color rgb="FF000000"/>
        <rFont val="Arial"/>
        <charset val="134"/>
      </rPr>
      <t>,</t>
    </r>
    <r>
      <rPr>
        <sz val="9"/>
        <color rgb="FF000000"/>
        <rFont val="楷体"/>
        <charset val="134"/>
      </rPr>
      <t>恩贝投资</t>
    </r>
  </si>
  <si>
    <r>
      <rPr>
        <sz val="9"/>
        <color rgb="FF000000"/>
        <rFont val="Arial"/>
        <charset val="134"/>
      </rPr>
      <t>9091</t>
    </r>
    <r>
      <rPr>
        <sz val="9"/>
        <color rgb="FF000000"/>
        <rFont val="楷体"/>
        <charset val="134"/>
      </rPr>
      <t>万人民币</t>
    </r>
  </si>
  <si>
    <r>
      <rPr>
        <sz val="9"/>
        <color rgb="FF000000"/>
        <rFont val="楷体"/>
        <charset val="134"/>
      </rPr>
      <t>阿里巴巴</t>
    </r>
    <r>
      <rPr>
        <sz val="9"/>
        <color rgb="FF000000"/>
        <rFont val="Arial"/>
        <charset val="134"/>
      </rPr>
      <t>,</t>
    </r>
    <r>
      <rPr>
        <sz val="9"/>
        <color rgb="FF000000"/>
        <rFont val="楷体"/>
        <charset val="134"/>
      </rPr>
      <t>通鼎互联</t>
    </r>
  </si>
  <si>
    <r>
      <rPr>
        <sz val="9"/>
        <color rgb="FF000000"/>
        <rFont val="楷体"/>
        <charset val="134"/>
      </rPr>
      <t>红杉资本中国</t>
    </r>
    <r>
      <rPr>
        <sz val="9"/>
        <color rgb="FF000000"/>
        <rFont val="Arial"/>
        <charset val="134"/>
      </rPr>
      <t>,</t>
    </r>
    <r>
      <rPr>
        <sz val="9"/>
        <color rgb="FF000000"/>
        <rFont val="楷体"/>
        <charset val="134"/>
      </rPr>
      <t>赛伯乐投资</t>
    </r>
  </si>
  <si>
    <t>红杉资本中国</t>
  </si>
  <si>
    <t>2015-01-23</t>
  </si>
  <si>
    <t>游友移动</t>
  </si>
  <si>
    <r>
      <rPr>
        <sz val="9"/>
        <color rgb="FF000000"/>
        <rFont val="楷体"/>
        <charset val="134"/>
      </rPr>
      <t>游友移动成立于</t>
    </r>
    <r>
      <rPr>
        <sz val="9"/>
        <color rgb="FF000000"/>
        <rFont val="Arial"/>
        <charset val="134"/>
      </rPr>
      <t>2012</t>
    </r>
    <r>
      <rPr>
        <sz val="9"/>
        <color rgb="FF000000"/>
        <rFont val="楷体"/>
        <charset val="134"/>
      </rPr>
      <t>年，是上海吾游信息技术有限公司旗下的旅游通信服务品牌。游友移动总部在上海，向全国每年</t>
    </r>
    <r>
      <rPr>
        <sz val="9"/>
        <color rgb="FF000000"/>
        <rFont val="Arial"/>
        <charset val="134"/>
      </rPr>
      <t>1</t>
    </r>
    <r>
      <rPr>
        <sz val="9"/>
        <color rgb="FF000000"/>
        <rFont val="楷体"/>
        <charset val="134"/>
      </rPr>
      <t>亿出境旅客，提供便宜、可靠、方便的出国</t>
    </r>
    <r>
      <rPr>
        <sz val="9"/>
        <color rgb="FF000000"/>
        <rFont val="Arial"/>
        <charset val="134"/>
      </rPr>
      <t>WIFI</t>
    </r>
    <r>
      <rPr>
        <sz val="9"/>
        <color rgb="FF000000"/>
        <rFont val="楷体"/>
        <charset val="134"/>
      </rPr>
      <t>租赁服务。目前覆盖全球超过</t>
    </r>
    <r>
      <rPr>
        <sz val="9"/>
        <color rgb="FF000000"/>
        <rFont val="Arial"/>
        <charset val="134"/>
      </rPr>
      <t>70</t>
    </r>
    <r>
      <rPr>
        <sz val="9"/>
        <color rgb="FF000000"/>
        <rFont val="楷体"/>
        <charset val="134"/>
      </rPr>
      <t>个国家和地区。</t>
    </r>
  </si>
  <si>
    <t>上海吾游信息技术有限公司</t>
  </si>
  <si>
    <t>http://www.youyoumob.com</t>
  </si>
  <si>
    <t>2013-01</t>
  </si>
  <si>
    <r>
      <rPr>
        <sz val="9"/>
        <color rgb="FF000000"/>
        <rFont val="楷体"/>
        <charset val="134"/>
      </rPr>
      <t>上海</t>
    </r>
    <r>
      <rPr>
        <sz val="9"/>
        <color rgb="FF000000"/>
        <rFont val="Arial"/>
        <charset val="134"/>
      </rPr>
      <t>-</t>
    </r>
    <r>
      <rPr>
        <sz val="9"/>
        <color rgb="FF000000"/>
        <rFont val="楷体"/>
        <charset val="134"/>
      </rPr>
      <t>浦东新区</t>
    </r>
  </si>
  <si>
    <t>跨境游</t>
  </si>
  <si>
    <r>
      <rPr>
        <sz val="9"/>
        <color rgb="FF000000"/>
        <rFont val="楷体"/>
        <charset val="134"/>
      </rPr>
      <t>阿里巴巴</t>
    </r>
    <r>
      <rPr>
        <sz val="9"/>
        <color rgb="FF000000"/>
        <rFont val="Arial"/>
        <charset val="134"/>
      </rPr>
      <t>,</t>
    </r>
    <r>
      <rPr>
        <sz val="9"/>
        <color rgb="FF000000"/>
        <rFont val="楷体"/>
        <charset val="134"/>
      </rPr>
      <t>湖畔山南资本</t>
    </r>
  </si>
  <si>
    <r>
      <rPr>
        <sz val="9"/>
        <color rgb="FF000000"/>
        <rFont val="Arial"/>
        <charset val="134"/>
      </rPr>
      <t>3410</t>
    </r>
    <r>
      <rPr>
        <sz val="9"/>
        <color rgb="FF000000"/>
        <rFont val="楷体"/>
        <charset val="134"/>
      </rPr>
      <t>万</t>
    </r>
  </si>
  <si>
    <r>
      <rPr>
        <sz val="9"/>
        <color rgb="FF000000"/>
        <rFont val="Arial"/>
        <charset val="134"/>
      </rPr>
      <t>1.5</t>
    </r>
    <r>
      <rPr>
        <sz val="9"/>
        <color rgb="FF000000"/>
        <rFont val="楷体"/>
        <charset val="134"/>
      </rPr>
      <t>亿元</t>
    </r>
  </si>
  <si>
    <r>
      <rPr>
        <sz val="9"/>
        <color rgb="FF000000"/>
        <rFont val="楷体"/>
        <charset val="134"/>
      </rPr>
      <t>李剑波</t>
    </r>
    <r>
      <rPr>
        <sz val="9"/>
        <color rgb="FF000000"/>
        <rFont val="Arial"/>
        <charset val="134"/>
      </rPr>
      <t>:</t>
    </r>
    <r>
      <rPr>
        <sz val="9"/>
        <color rgb="FF000000"/>
        <rFont val="楷体"/>
        <charset val="134"/>
      </rPr>
      <t>创始人</t>
    </r>
  </si>
  <si>
    <t>松禾资本</t>
  </si>
  <si>
    <r>
      <rPr>
        <sz val="9"/>
        <color rgb="FF000000"/>
        <rFont val="Arial"/>
        <charset val="134"/>
      </rPr>
      <t>10</t>
    </r>
    <r>
      <rPr>
        <sz val="9"/>
        <color rgb="FF000000"/>
        <rFont val="楷体"/>
        <charset val="134"/>
      </rPr>
      <t>万人民币</t>
    </r>
  </si>
  <si>
    <t>INNOSPACE+</t>
  </si>
  <si>
    <t>种子轮</t>
  </si>
  <si>
    <t>PreAngel</t>
  </si>
  <si>
    <t>2020-06-16</t>
  </si>
  <si>
    <t>七牛云</t>
  </si>
  <si>
    <r>
      <rPr>
        <sz val="9"/>
        <color rgb="FF000000"/>
        <rFont val="楷体"/>
        <charset val="134"/>
      </rPr>
      <t>七牛云是国内知名的云计算及数据服务提供商，持续在海量文件存储、</t>
    </r>
    <r>
      <rPr>
        <sz val="9"/>
        <color rgb="FF000000"/>
        <rFont val="Arial"/>
        <charset val="134"/>
      </rPr>
      <t xml:space="preserve">CDN </t>
    </r>
    <r>
      <rPr>
        <sz val="9"/>
        <color rgb="FF000000"/>
        <rFont val="楷体"/>
        <charset val="134"/>
      </rPr>
      <t>内容分发、视频点播、互动直播及大规模异构数据的智能分析与处理等领域的核心技术进行深度投入，致力于以数据科技全面驱动数字化未来，赋能各行各业全面进入数据时代。从最初的提升客户的</t>
    </r>
    <r>
      <rPr>
        <sz val="9"/>
        <color rgb="FF000000"/>
        <rFont val="Arial"/>
        <charset val="134"/>
      </rPr>
      <t xml:space="preserve"> IT </t>
    </r>
    <r>
      <rPr>
        <sz val="9"/>
        <color rgb="FF000000"/>
        <rFont val="楷体"/>
        <charset val="134"/>
      </rPr>
      <t>效能，缩短从想法到产品之间的距离，到今天更进一步致力于提升客户的</t>
    </r>
    <r>
      <rPr>
        <sz val="9"/>
        <color rgb="FF000000"/>
        <rFont val="Arial"/>
        <charset val="134"/>
      </rPr>
      <t xml:space="preserve"> DT </t>
    </r>
    <r>
      <rPr>
        <sz val="9"/>
        <color rgb="FF000000"/>
        <rFont val="楷体"/>
        <charset val="134"/>
      </rPr>
      <t>效能，七牛云基于领先的云存储能力建立了统一的异构数据湖，打造了完备的视频云服务闭环，并创建了简洁开放的机器数据处理平台。七牛云始终追求为用户提供全方位的一站式云</t>
    </r>
    <r>
      <rPr>
        <sz val="9"/>
        <color rgb="FF000000"/>
        <rFont val="Arial"/>
        <charset val="134"/>
      </rPr>
      <t xml:space="preserve"> + </t>
    </r>
    <r>
      <rPr>
        <sz val="9"/>
        <color rgb="FF000000"/>
        <rFont val="楷体"/>
        <charset val="134"/>
      </rPr>
      <t>数据的服务和多场景解决方案，客户数已经超过百万。</t>
    </r>
  </si>
  <si>
    <t>上海七牛信息技术有限公司</t>
  </si>
  <si>
    <t>http://www.qiniu.com</t>
  </si>
  <si>
    <t>2011-08</t>
  </si>
  <si>
    <t>云服务</t>
  </si>
  <si>
    <r>
      <rPr>
        <sz val="9"/>
        <color rgb="FF000000"/>
        <rFont val="Arial"/>
        <charset val="134"/>
      </rPr>
      <t>9300</t>
    </r>
    <r>
      <rPr>
        <sz val="9"/>
        <color rgb="FF000000"/>
        <rFont val="楷体"/>
        <charset val="134"/>
      </rPr>
      <t>万美元</t>
    </r>
  </si>
  <si>
    <r>
      <rPr>
        <sz val="9"/>
        <color rgb="FF000000"/>
        <rFont val="楷体"/>
        <charset val="134"/>
      </rPr>
      <t>交银国际</t>
    </r>
    <r>
      <rPr>
        <sz val="9"/>
        <color rgb="FF000000"/>
        <rFont val="Arial"/>
        <charset val="134"/>
      </rPr>
      <t>,</t>
    </r>
    <r>
      <rPr>
        <sz val="9"/>
        <color rgb="FF000000"/>
        <rFont val="楷体"/>
        <charset val="134"/>
      </rPr>
      <t>宏兆集团</t>
    </r>
    <r>
      <rPr>
        <sz val="9"/>
        <color rgb="FF000000"/>
        <rFont val="Arial"/>
        <charset val="134"/>
      </rPr>
      <t>-</t>
    </r>
    <r>
      <rPr>
        <sz val="9"/>
        <color rgb="FF000000"/>
        <rFont val="楷体"/>
        <charset val="134"/>
      </rPr>
      <t>宏兆基金</t>
    </r>
    <r>
      <rPr>
        <sz val="9"/>
        <color rgb="FF000000"/>
        <rFont val="Arial"/>
        <charset val="134"/>
      </rPr>
      <t>,</t>
    </r>
    <r>
      <rPr>
        <sz val="9"/>
        <color rgb="FF000000"/>
        <rFont val="楷体"/>
        <charset val="134"/>
      </rPr>
      <t>国调基金</t>
    </r>
  </si>
  <si>
    <r>
      <rPr>
        <sz val="9"/>
        <color rgb="FF000000"/>
        <rFont val="Arial"/>
        <charset val="134"/>
      </rPr>
      <t>16.84</t>
    </r>
    <r>
      <rPr>
        <sz val="9"/>
        <color rgb="FF000000"/>
        <rFont val="楷体"/>
        <charset val="134"/>
      </rPr>
      <t>亿</t>
    </r>
  </si>
  <si>
    <r>
      <rPr>
        <sz val="9"/>
        <color rgb="FF000000"/>
        <rFont val="Arial"/>
        <charset val="134"/>
      </rPr>
      <t>65</t>
    </r>
    <r>
      <rPr>
        <sz val="9"/>
        <color rgb="FF000000"/>
        <rFont val="楷体"/>
        <charset val="134"/>
      </rPr>
      <t>亿元</t>
    </r>
  </si>
  <si>
    <r>
      <rPr>
        <sz val="9"/>
        <color rgb="FF000000"/>
        <rFont val="楷体"/>
        <charset val="134"/>
      </rPr>
      <t>许式伟</t>
    </r>
    <r>
      <rPr>
        <sz val="9"/>
        <color rgb="FF000000"/>
        <rFont val="Arial"/>
        <charset val="134"/>
      </rPr>
      <t>:CEO,</t>
    </r>
    <r>
      <rPr>
        <sz val="9"/>
        <color rgb="FF000000"/>
        <rFont val="楷体"/>
        <charset val="134"/>
      </rPr>
      <t>吕桂华</t>
    </r>
    <r>
      <rPr>
        <sz val="9"/>
        <color rgb="FF000000"/>
        <rFont val="Arial"/>
        <charset val="134"/>
      </rPr>
      <t>:</t>
    </r>
    <r>
      <rPr>
        <sz val="9"/>
        <color rgb="FF000000"/>
        <rFont val="楷体"/>
        <charset val="134"/>
      </rPr>
      <t>总裁</t>
    </r>
  </si>
  <si>
    <r>
      <rPr>
        <sz val="9"/>
        <color rgb="FF000000"/>
        <rFont val="楷体"/>
        <charset val="134"/>
      </rPr>
      <t>上海市浦东新区浦东软件园博霞路</t>
    </r>
    <r>
      <rPr>
        <sz val="9"/>
        <color rgb="FF000000"/>
        <rFont val="Arial"/>
        <charset val="134"/>
      </rPr>
      <t>66</t>
    </r>
    <r>
      <rPr>
        <sz val="9"/>
        <color rgb="FF000000"/>
        <rFont val="楷体"/>
        <charset val="134"/>
      </rPr>
      <t>号</t>
    </r>
    <r>
      <rPr>
        <sz val="9"/>
        <color rgb="FF000000"/>
        <rFont val="Arial"/>
        <charset val="134"/>
      </rPr>
      <t>Q</t>
    </r>
    <r>
      <rPr>
        <sz val="9"/>
        <color rgb="FF000000"/>
        <rFont val="楷体"/>
        <charset val="134"/>
      </rPr>
      <t>座</t>
    </r>
  </si>
  <si>
    <t>021-2070-3999</t>
  </si>
  <si>
    <t>gaoqingfei@qiniu.com</t>
  </si>
  <si>
    <r>
      <rPr>
        <sz val="9"/>
        <color rgb="FF000000"/>
        <rFont val="Arial"/>
        <charset val="134"/>
      </rPr>
      <t>8500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</si>
  <si>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云锋基金</t>
    </r>
  </si>
  <si>
    <r>
      <rPr>
        <sz val="9"/>
        <color rgb="FF000000"/>
        <rFont val="Arial"/>
        <charset val="134"/>
      </rPr>
      <t>5500</t>
    </r>
    <r>
      <rPr>
        <sz val="9"/>
        <color rgb="FF000000"/>
        <rFont val="楷体"/>
        <charset val="134"/>
      </rPr>
      <t>万美元</t>
    </r>
  </si>
  <si>
    <r>
      <rPr>
        <sz val="9"/>
        <color rgb="FF000000"/>
        <rFont val="楷体"/>
        <charset val="134"/>
      </rPr>
      <t>方广资本</t>
    </r>
    <r>
      <rPr>
        <sz val="9"/>
        <color rgb="FF000000"/>
        <rFont val="Arial"/>
        <charset val="134"/>
      </rPr>
      <t>,Telstra Ventures,</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张江集团</t>
    </r>
  </si>
  <si>
    <r>
      <rPr>
        <sz val="9"/>
        <color rgb="FF000000"/>
        <rFont val="Arial"/>
        <charset val="134"/>
      </rPr>
      <t>2000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</si>
  <si>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宽带资本</t>
    </r>
    <r>
      <rPr>
        <sz val="9"/>
        <color rgb="FF000000"/>
        <rFont val="Arial"/>
        <charset val="134"/>
      </rPr>
      <t>CBC</t>
    </r>
  </si>
  <si>
    <r>
      <rPr>
        <sz val="9"/>
        <color rgb="FF000000"/>
        <rFont val="Arial"/>
        <charset val="134"/>
      </rPr>
      <t>500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</si>
  <si>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启明创投</t>
    </r>
  </si>
  <si>
    <t>经纬创投</t>
  </si>
  <si>
    <t>2013-09-01</t>
  </si>
  <si>
    <t>酷盘Kanbox</t>
  </si>
  <si>
    <r>
      <rPr>
        <sz val="9"/>
        <color rgb="FF000000"/>
        <rFont val="楷体"/>
        <charset val="134"/>
      </rPr>
      <t>酷盘</t>
    </r>
    <r>
      <rPr>
        <sz val="9"/>
        <color rgb="FF000000"/>
        <rFont val="Arial"/>
        <charset val="134"/>
      </rPr>
      <t>Kanbox</t>
    </r>
  </si>
  <si>
    <r>
      <rPr>
        <sz val="9"/>
        <color rgb="FF000000"/>
        <rFont val="楷体"/>
        <charset val="134"/>
      </rPr>
      <t>酷盘</t>
    </r>
    <r>
      <rPr>
        <sz val="9"/>
        <color rgb="FF000000"/>
        <rFont val="Arial"/>
        <charset val="134"/>
      </rPr>
      <t>Kanbox</t>
    </r>
    <r>
      <rPr>
        <sz val="9"/>
        <color rgb="FF000000"/>
        <rFont val="楷体"/>
        <charset val="134"/>
      </rPr>
      <t>是一家云存储和网盘服务商，主打个人用户网络存储服务。北京袋鼠网络科技有限公司旗下产品。</t>
    </r>
  </si>
  <si>
    <t>北京袋鼠网络科技有限公司</t>
  </si>
  <si>
    <t>https://www.kanbox.com</t>
  </si>
  <si>
    <t>2010-06</t>
  </si>
  <si>
    <r>
      <rPr>
        <sz val="9"/>
        <color rgb="FF000000"/>
        <rFont val="楷体"/>
        <charset val="134"/>
      </rPr>
      <t>企业</t>
    </r>
    <r>
      <rPr>
        <sz val="9"/>
        <color rgb="FF000000"/>
        <rFont val="Arial"/>
        <charset val="134"/>
      </rPr>
      <t>IT</t>
    </r>
    <r>
      <rPr>
        <sz val="9"/>
        <color rgb="FF000000"/>
        <rFont val="楷体"/>
        <charset val="134"/>
      </rPr>
      <t>服务</t>
    </r>
  </si>
  <si>
    <t>并购</t>
  </si>
  <si>
    <r>
      <rPr>
        <sz val="9"/>
        <color rgb="FF000000"/>
        <rFont val="Arial"/>
        <charset val="134"/>
      </rPr>
      <t>1.66</t>
    </r>
    <r>
      <rPr>
        <sz val="9"/>
        <color rgb="FF000000"/>
        <rFont val="楷体"/>
        <charset val="134"/>
      </rPr>
      <t>亿</t>
    </r>
  </si>
  <si>
    <r>
      <rPr>
        <sz val="9"/>
        <color rgb="FF000000"/>
        <rFont val="楷体"/>
        <charset val="134"/>
      </rPr>
      <t>顾志诚</t>
    </r>
    <r>
      <rPr>
        <sz val="9"/>
        <color rgb="FF000000"/>
        <rFont val="Arial"/>
        <charset val="134"/>
      </rPr>
      <t>:CEO</t>
    </r>
  </si>
  <si>
    <r>
      <rPr>
        <sz val="9"/>
        <color rgb="FF000000"/>
        <rFont val="Arial"/>
        <charset val="134"/>
      </rPr>
      <t>DCM</t>
    </r>
    <r>
      <rPr>
        <sz val="9"/>
        <color rgb="FF000000"/>
        <rFont val="楷体"/>
        <charset val="134"/>
      </rPr>
      <t>中国</t>
    </r>
    <r>
      <rPr>
        <sz val="9"/>
        <color rgb="FF000000"/>
        <rFont val="Arial"/>
        <charset val="134"/>
      </rPr>
      <t>,SIG</t>
    </r>
    <r>
      <rPr>
        <sz val="9"/>
        <color rgb="FF000000"/>
        <rFont val="楷体"/>
        <charset val="134"/>
      </rPr>
      <t>海纳亚洲</t>
    </r>
  </si>
  <si>
    <r>
      <rPr>
        <sz val="9"/>
        <color rgb="FF000000"/>
        <rFont val="Arial"/>
        <charset val="134"/>
      </rPr>
      <t>SIG</t>
    </r>
    <r>
      <rPr>
        <sz val="9"/>
        <color rgb="FF000000"/>
        <rFont val="楷体"/>
        <charset val="134"/>
      </rPr>
      <t>海纳亚洲</t>
    </r>
  </si>
  <si>
    <r>
      <rPr>
        <sz val="9"/>
        <color rgb="FF000000"/>
        <rFont val="楷体"/>
        <charset val="134"/>
      </rPr>
      <t>薛蛮子</t>
    </r>
    <r>
      <rPr>
        <sz val="9"/>
        <color rgb="FF000000"/>
        <rFont val="Arial"/>
        <charset val="134"/>
      </rPr>
      <t>(</t>
    </r>
    <r>
      <rPr>
        <sz val="9"/>
        <color rgb="FF000000"/>
        <rFont val="楷体"/>
        <charset val="134"/>
      </rPr>
      <t>蛮子基金</t>
    </r>
    <r>
      <rPr>
        <sz val="9"/>
        <color rgb="FF000000"/>
        <rFont val="Arial"/>
        <charset val="134"/>
      </rPr>
      <t>),</t>
    </r>
    <r>
      <rPr>
        <sz val="9"/>
        <color rgb="FF000000"/>
        <rFont val="楷体"/>
        <charset val="134"/>
      </rPr>
      <t>薛蛮子</t>
    </r>
  </si>
  <si>
    <t>2015-08-20</t>
  </si>
  <si>
    <t>365翻译</t>
  </si>
  <si>
    <r>
      <rPr>
        <sz val="9"/>
        <color rgb="FF000000"/>
        <rFont val="Arial"/>
        <charset val="134"/>
      </rPr>
      <t>365</t>
    </r>
    <r>
      <rPr>
        <sz val="9"/>
        <color rgb="FF000000"/>
        <rFont val="楷体"/>
        <charset val="134"/>
      </rPr>
      <t>翻译</t>
    </r>
  </si>
  <si>
    <r>
      <rPr>
        <sz val="9"/>
        <color rgb="FF000000"/>
        <rFont val="Arial"/>
        <charset val="134"/>
      </rPr>
      <t>365</t>
    </r>
    <r>
      <rPr>
        <sz val="9"/>
        <color rgb="FF000000"/>
        <rFont val="楷体"/>
        <charset val="134"/>
      </rPr>
      <t>翻译是一家语言服务提供商，支持多语种的笔译音译，隶属于一朵云（北京）科技有限公司。</t>
    </r>
  </si>
  <si>
    <t>一朵云（北京）科技有限公司</t>
  </si>
  <si>
    <t>http://www.365fanyi.com</t>
  </si>
  <si>
    <t>2011-01</t>
  </si>
  <si>
    <r>
      <rPr>
        <sz val="9"/>
        <color rgb="FF000000"/>
        <rFont val="楷体"/>
        <charset val="134"/>
      </rPr>
      <t>北京</t>
    </r>
    <r>
      <rPr>
        <sz val="9"/>
        <color rgb="FF000000"/>
        <rFont val="Arial"/>
        <charset val="134"/>
      </rPr>
      <t>-</t>
    </r>
    <r>
      <rPr>
        <sz val="9"/>
        <color rgb="FF000000"/>
        <rFont val="楷体"/>
        <charset val="134"/>
      </rPr>
      <t>石景山区</t>
    </r>
  </si>
  <si>
    <t>教育</t>
  </si>
  <si>
    <t>语言学习</t>
  </si>
  <si>
    <r>
      <rPr>
        <sz val="9"/>
        <color rgb="FF000000"/>
        <rFont val="Arial"/>
        <charset val="134"/>
      </rPr>
      <t>3900</t>
    </r>
    <r>
      <rPr>
        <sz val="9"/>
        <color rgb="FF000000"/>
        <rFont val="楷体"/>
        <charset val="134"/>
      </rPr>
      <t>万</t>
    </r>
  </si>
  <si>
    <r>
      <rPr>
        <sz val="9"/>
        <color rgb="FF000000"/>
        <rFont val="楷体"/>
        <charset val="134"/>
      </rPr>
      <t>刘禹</t>
    </r>
    <r>
      <rPr>
        <sz val="9"/>
        <color rgb="FF000000"/>
        <rFont val="Arial"/>
        <charset val="134"/>
      </rPr>
      <t>:CEO</t>
    </r>
  </si>
  <si>
    <r>
      <rPr>
        <sz val="9"/>
        <color rgb="FF000000"/>
        <rFont val="楷体"/>
        <charset val="134"/>
      </rPr>
      <t>宽带资本</t>
    </r>
    <r>
      <rPr>
        <sz val="9"/>
        <color rgb="FF000000"/>
        <rFont val="Arial"/>
        <charset val="134"/>
      </rPr>
      <t>CBC</t>
    </r>
  </si>
  <si>
    <r>
      <rPr>
        <sz val="9"/>
        <color rgb="FF000000"/>
        <rFont val="楷体"/>
        <charset val="134"/>
      </rPr>
      <t>真格基金</t>
    </r>
    <r>
      <rPr>
        <sz val="9"/>
        <color rgb="FF000000"/>
        <rFont val="Arial"/>
        <charset val="134"/>
      </rPr>
      <t>,</t>
    </r>
    <r>
      <rPr>
        <sz val="9"/>
        <color rgb="FF000000"/>
        <rFont val="楷体"/>
        <charset val="134"/>
      </rPr>
      <t>徐小平</t>
    </r>
  </si>
  <si>
    <t>2016-01-29</t>
  </si>
  <si>
    <t>丸子地球</t>
  </si>
  <si>
    <r>
      <rPr>
        <sz val="9"/>
        <color rgb="FF000000"/>
        <rFont val="楷体"/>
        <charset val="134"/>
      </rPr>
      <t>丸子地球</t>
    </r>
    <r>
      <rPr>
        <sz val="9"/>
        <color rgb="FF000000"/>
        <rFont val="Arial"/>
        <charset val="134"/>
      </rPr>
      <t>(</t>
    </r>
    <r>
      <rPr>
        <sz val="9"/>
        <color rgb="FF000000"/>
        <rFont val="楷体"/>
        <charset val="134"/>
      </rPr>
      <t>前身叫：一客丸子</t>
    </r>
    <r>
      <rPr>
        <sz val="9"/>
        <color rgb="FF000000"/>
        <rFont val="Arial"/>
        <charset val="134"/>
      </rPr>
      <t>)</t>
    </r>
    <r>
      <rPr>
        <sz val="9"/>
        <color rgb="FF000000"/>
        <rFont val="楷体"/>
        <charset val="134"/>
      </rPr>
      <t>是一家专注出境旅行私人定制的旅游网站，在全球</t>
    </r>
    <r>
      <rPr>
        <sz val="9"/>
        <color rgb="FF000000"/>
        <rFont val="Arial"/>
        <charset val="134"/>
      </rPr>
      <t>43</t>
    </r>
    <r>
      <rPr>
        <sz val="9"/>
        <color rgb="FF000000"/>
        <rFont val="楷体"/>
        <charset val="134"/>
      </rPr>
      <t>个国家</t>
    </r>
    <r>
      <rPr>
        <sz val="9"/>
        <color rgb="FF000000"/>
        <rFont val="Arial"/>
        <charset val="134"/>
      </rPr>
      <t>300</t>
    </r>
    <r>
      <rPr>
        <sz val="9"/>
        <color rgb="FF000000"/>
        <rFont val="楷体"/>
        <charset val="134"/>
      </rPr>
      <t>多座城市提供私人导游定制服务。此前主打游客与本地人（地主）旅游对接服务。</t>
    </r>
  </si>
  <si>
    <t>上海幻橙网络科技有限公司</t>
  </si>
  <si>
    <t>http://www.wanzi.cc</t>
  </si>
  <si>
    <t>2012-03</t>
  </si>
  <si>
    <r>
      <rPr>
        <sz val="9"/>
        <color rgb="FF000000"/>
        <rFont val="楷体"/>
        <charset val="134"/>
      </rPr>
      <t>上海</t>
    </r>
    <r>
      <rPr>
        <sz val="9"/>
        <color rgb="FF000000"/>
        <rFont val="Arial"/>
        <charset val="134"/>
      </rPr>
      <t>-</t>
    </r>
    <r>
      <rPr>
        <sz val="9"/>
        <color rgb="FF000000"/>
        <rFont val="楷体"/>
        <charset val="134"/>
      </rPr>
      <t>长宁区</t>
    </r>
  </si>
  <si>
    <r>
      <rPr>
        <sz val="9"/>
        <color rgb="FF000000"/>
        <rFont val="楷体"/>
        <charset val="134"/>
      </rPr>
      <t>阿里巴巴</t>
    </r>
    <r>
      <rPr>
        <sz val="9"/>
        <color rgb="FF000000"/>
        <rFont val="Arial"/>
        <charset val="134"/>
      </rPr>
      <t>,</t>
    </r>
    <r>
      <rPr>
        <sz val="9"/>
        <color rgb="FF000000"/>
        <rFont val="楷体"/>
        <charset val="134"/>
      </rPr>
      <t>苏河汇</t>
    </r>
    <r>
      <rPr>
        <sz val="9"/>
        <color rgb="FF000000"/>
        <rFont val="Arial"/>
        <charset val="134"/>
      </rPr>
      <t>,</t>
    </r>
    <r>
      <rPr>
        <sz val="9"/>
        <color rgb="FF000000"/>
        <rFont val="楷体"/>
        <charset val="134"/>
      </rPr>
      <t>银杏谷资本</t>
    </r>
    <r>
      <rPr>
        <sz val="9"/>
        <color rgb="FF000000"/>
        <rFont val="Arial"/>
        <charset val="134"/>
      </rPr>
      <t>,</t>
    </r>
    <r>
      <rPr>
        <sz val="9"/>
        <color rgb="FF000000"/>
        <rFont val="楷体"/>
        <charset val="134"/>
      </rPr>
      <t>五岳资本</t>
    </r>
    <r>
      <rPr>
        <sz val="9"/>
        <color rgb="FF000000"/>
        <rFont val="Arial"/>
        <charset val="134"/>
      </rPr>
      <t>,</t>
    </r>
    <r>
      <rPr>
        <sz val="9"/>
        <color rgb="FF000000"/>
        <rFont val="楷体"/>
        <charset val="134"/>
      </rPr>
      <t>知卓资本</t>
    </r>
  </si>
  <si>
    <r>
      <rPr>
        <sz val="9"/>
        <color rgb="FF000000"/>
        <rFont val="Arial"/>
        <charset val="134"/>
      </rPr>
      <t>4030</t>
    </r>
    <r>
      <rPr>
        <sz val="9"/>
        <color rgb="FF000000"/>
        <rFont val="楷体"/>
        <charset val="134"/>
      </rPr>
      <t>万</t>
    </r>
  </si>
  <si>
    <r>
      <rPr>
        <sz val="9"/>
        <color rgb="FF000000"/>
        <rFont val="楷体"/>
        <charset val="134"/>
      </rPr>
      <t>宋海波</t>
    </r>
    <r>
      <rPr>
        <sz val="9"/>
        <color rgb="FF000000"/>
        <rFont val="Arial"/>
        <charset val="134"/>
      </rPr>
      <t>:</t>
    </r>
    <r>
      <rPr>
        <sz val="9"/>
        <color rgb="FF000000"/>
        <rFont val="楷体"/>
        <charset val="134"/>
      </rPr>
      <t>创始人</t>
    </r>
  </si>
  <si>
    <r>
      <rPr>
        <sz val="9"/>
        <color rgb="FF000000"/>
        <rFont val="楷体"/>
        <charset val="134"/>
      </rPr>
      <t>上海市长宁区仙霞路</t>
    </r>
    <r>
      <rPr>
        <sz val="9"/>
        <color rgb="FF000000"/>
        <rFont val="Arial"/>
        <charset val="134"/>
      </rPr>
      <t>350</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3107</t>
    </r>
    <r>
      <rPr>
        <sz val="9"/>
        <color rgb="FF000000"/>
        <rFont val="楷体"/>
        <charset val="134"/>
      </rPr>
      <t>室</t>
    </r>
  </si>
  <si>
    <t>021-61720379</t>
  </si>
  <si>
    <t>leo@wanzi.email</t>
  </si>
  <si>
    <t>五岳资本</t>
  </si>
  <si>
    <t>苏河汇</t>
  </si>
  <si>
    <t>2020-03-23</t>
  </si>
  <si>
    <t>点我达</t>
  </si>
  <si>
    <t>点我达是一家即时配送物流服务商，为用户提供在线生活信息平台和线下即时配送物流服务。公司致力于解决同城鲜花速递、蔬菜配送、水果配送等即时物流问题，已开通餐厅外卖、超市外卖、跑腿等业务。</t>
  </si>
  <si>
    <t>浙江点我达网络科技有限公司</t>
  </si>
  <si>
    <t>https://www.dianwoda.com/</t>
  </si>
  <si>
    <t>2009-10</t>
  </si>
  <si>
    <t>物流</t>
  </si>
  <si>
    <t>同城物流</t>
  </si>
  <si>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</si>
  <si>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34.96</t>
    </r>
    <r>
      <rPr>
        <sz val="9"/>
        <color rgb="FF000000"/>
        <rFont val="楷体"/>
        <charset val="134"/>
      </rPr>
      <t>亿</t>
    </r>
  </si>
  <si>
    <r>
      <rPr>
        <sz val="9"/>
        <color rgb="FF000000"/>
        <rFont val="楷体"/>
        <charset val="134"/>
      </rPr>
      <t>赵剑锋</t>
    </r>
    <r>
      <rPr>
        <sz val="9"/>
        <color rgb="FF000000"/>
        <rFont val="Arial"/>
        <charset val="134"/>
      </rPr>
      <t>:CEO,</t>
    </r>
    <r>
      <rPr>
        <sz val="9"/>
        <color rgb="FF000000"/>
        <rFont val="楷体"/>
        <charset val="134"/>
      </rPr>
      <t>蒋磊</t>
    </r>
    <r>
      <rPr>
        <sz val="9"/>
        <color rgb="FF000000"/>
        <rFont val="Arial"/>
        <charset val="134"/>
      </rPr>
      <t>:COO,</t>
    </r>
    <r>
      <rPr>
        <sz val="9"/>
        <color rgb="FF000000"/>
        <rFont val="楷体"/>
        <charset val="134"/>
      </rPr>
      <t>戴仁光</t>
    </r>
    <r>
      <rPr>
        <sz val="9"/>
        <color rgb="FF000000"/>
        <rFont val="Arial"/>
        <charset val="134"/>
      </rPr>
      <t>:</t>
    </r>
    <r>
      <rPr>
        <sz val="9"/>
        <color rgb="FF000000"/>
        <rFont val="楷体"/>
        <charset val="134"/>
      </rPr>
      <t>联合创始人</t>
    </r>
  </si>
  <si>
    <r>
      <rPr>
        <sz val="9"/>
        <color rgb="FF000000"/>
        <rFont val="楷体"/>
        <charset val="134"/>
      </rPr>
      <t>杭州下城区白石巷</t>
    </r>
    <r>
      <rPr>
        <sz val="9"/>
        <color rgb="FF000000"/>
        <rFont val="Arial"/>
        <charset val="134"/>
      </rPr>
      <t>318</t>
    </r>
    <r>
      <rPr>
        <sz val="9"/>
        <color rgb="FF000000"/>
        <rFont val="楷体"/>
        <charset val="134"/>
      </rPr>
      <t>号人力资源产业园北楼</t>
    </r>
    <r>
      <rPr>
        <sz val="9"/>
        <color rgb="FF000000"/>
        <rFont val="Arial"/>
        <charset val="134"/>
      </rPr>
      <t>15</t>
    </r>
    <r>
      <rPr>
        <sz val="9"/>
        <color rgb="FF000000"/>
        <rFont val="楷体"/>
        <charset val="134"/>
      </rPr>
      <t>楼</t>
    </r>
  </si>
  <si>
    <t>0571-8822-3300</t>
  </si>
  <si>
    <t>marketing@dianwoba.com</t>
  </si>
  <si>
    <r>
      <rPr>
        <sz val="9"/>
        <color rgb="FF000000"/>
        <rFont val="Arial"/>
        <charset val="134"/>
      </rPr>
      <t>2.9</t>
    </r>
    <r>
      <rPr>
        <sz val="9"/>
        <color rgb="FF000000"/>
        <rFont val="楷体"/>
        <charset val="134"/>
      </rPr>
      <t>亿美元</t>
    </r>
  </si>
  <si>
    <t>圆通速递</t>
  </si>
  <si>
    <r>
      <rPr>
        <sz val="9"/>
        <color rgb="FF000000"/>
        <rFont val="Arial"/>
        <charset val="134"/>
      </rPr>
      <t>1.5</t>
    </r>
    <r>
      <rPr>
        <sz val="9"/>
        <color rgb="FF000000"/>
        <rFont val="楷体"/>
        <charset val="134"/>
      </rPr>
      <t>亿美元</t>
    </r>
  </si>
  <si>
    <r>
      <rPr>
        <sz val="9"/>
        <color rgb="FF000000"/>
        <rFont val="Arial"/>
        <charset val="134"/>
      </rPr>
      <t>C+</t>
    </r>
    <r>
      <rPr>
        <sz val="9"/>
        <color rgb="FF000000"/>
        <rFont val="楷体"/>
        <charset val="134"/>
      </rPr>
      <t>轮</t>
    </r>
  </si>
  <si>
    <t>创新工场</t>
  </si>
  <si>
    <t>沂景资本</t>
  </si>
  <si>
    <r>
      <rPr>
        <sz val="9"/>
        <color rgb="FF000000"/>
        <rFont val="楷体"/>
        <charset val="134"/>
      </rPr>
      <t>赛富基金</t>
    </r>
    <r>
      <rPr>
        <sz val="9"/>
        <color rgb="FF000000"/>
        <rFont val="Arial"/>
        <charset val="134"/>
      </rPr>
      <t>SAIF Partners,</t>
    </r>
    <r>
      <rPr>
        <sz val="9"/>
        <color rgb="FF000000"/>
        <rFont val="楷体"/>
        <charset val="134"/>
      </rPr>
      <t>远镜创投</t>
    </r>
    <r>
      <rPr>
        <sz val="9"/>
        <color rgb="FF000000"/>
        <rFont val="Arial"/>
        <charset val="134"/>
      </rPr>
      <t>,</t>
    </r>
    <r>
      <rPr>
        <sz val="9"/>
        <color rgb="FF000000"/>
        <rFont val="楷体"/>
        <charset val="134"/>
      </rPr>
      <t>乔景资本</t>
    </r>
  </si>
  <si>
    <r>
      <rPr>
        <sz val="9"/>
        <color rgb="FF000000"/>
        <rFont val="Arial"/>
        <charset val="134"/>
      </rPr>
      <t>200</t>
    </r>
    <r>
      <rPr>
        <sz val="9"/>
        <color rgb="FF000000"/>
        <rFont val="楷体"/>
        <charset val="134"/>
      </rPr>
      <t>万美元</t>
    </r>
  </si>
  <si>
    <t>戈壁创投</t>
  </si>
  <si>
    <t>2015-02-14</t>
  </si>
  <si>
    <t>快的打车是一款智能手机打车应用，软件为打车乘客和出租司机量身定做，乘客可以轻松发单，随时随地打车；司机可以降低空驶率，轻松多赚钱。</t>
  </si>
  <si>
    <t>杭州快智科技有限公司</t>
  </si>
  <si>
    <t>http://www.kuaidadi.com</t>
  </si>
  <si>
    <t>2012-05</t>
  </si>
  <si>
    <r>
      <rPr>
        <sz val="9"/>
        <color rgb="FF000000"/>
        <rFont val="Arial"/>
        <charset val="134"/>
      </rPr>
      <t>48</t>
    </r>
    <r>
      <rPr>
        <sz val="9"/>
        <color rgb="FF000000"/>
        <rFont val="楷体"/>
        <charset val="134"/>
      </rPr>
      <t>亿</t>
    </r>
  </si>
  <si>
    <r>
      <rPr>
        <sz val="9"/>
        <color rgb="FF000000"/>
        <rFont val="楷体"/>
        <charset val="134"/>
      </rPr>
      <t>陈伟星</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吕传伟</t>
    </r>
    <r>
      <rPr>
        <sz val="9"/>
        <color rgb="FF000000"/>
        <rFont val="Arial"/>
        <charset val="134"/>
      </rPr>
      <t>:CEO</t>
    </r>
  </si>
  <si>
    <r>
      <rPr>
        <sz val="9"/>
        <color rgb="FF000000"/>
        <rFont val="楷体"/>
        <charset val="134"/>
      </rPr>
      <t>阿里巴巴</t>
    </r>
    <r>
      <rPr>
        <sz val="9"/>
        <color rgb="FF000000"/>
        <rFont val="Arial"/>
        <charset val="134"/>
      </rPr>
      <t>,</t>
    </r>
    <r>
      <rPr>
        <sz val="9"/>
        <color rgb="FF000000"/>
        <rFont val="楷体"/>
        <charset val="134"/>
      </rPr>
      <t>软银中国资本</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</si>
  <si>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</si>
  <si>
    <r>
      <rPr>
        <sz val="9"/>
        <color rgb="FF000000"/>
        <rFont val="楷体"/>
        <charset val="134"/>
      </rPr>
      <t>经纬创投</t>
    </r>
    <r>
      <rPr>
        <sz val="9"/>
        <color rgb="FF000000"/>
        <rFont val="Arial"/>
        <charset val="134"/>
      </rPr>
      <t>,</t>
    </r>
    <r>
      <rPr>
        <sz val="9"/>
        <color rgb="FF000000"/>
        <rFont val="楷体"/>
        <charset val="134"/>
      </rPr>
      <t>阿里巴巴</t>
    </r>
  </si>
  <si>
    <r>
      <rPr>
        <sz val="9"/>
        <color rgb="FF000000"/>
        <rFont val="Arial"/>
        <charset val="134"/>
      </rPr>
      <t>400</t>
    </r>
    <r>
      <rPr>
        <sz val="9"/>
        <color rgb="FF000000"/>
        <rFont val="楷体"/>
        <charset val="134"/>
      </rPr>
      <t>万美元</t>
    </r>
  </si>
  <si>
    <t>阿米巴资本</t>
  </si>
  <si>
    <t>2014-08-22</t>
  </si>
  <si>
    <t>超级课程表</t>
  </si>
  <si>
    <t>超级课程表是一个大学生课程表及社交应用，广州超级周末科技有限公司旗下。</t>
  </si>
  <si>
    <t>广州超级周末科技有限公司</t>
  </si>
  <si>
    <t>http://www.super.cn/</t>
  </si>
  <si>
    <t>2012-08</t>
  </si>
  <si>
    <r>
      <rPr>
        <sz val="9"/>
        <color rgb="FF000000"/>
        <rFont val="楷体"/>
        <charset val="134"/>
      </rPr>
      <t>广东</t>
    </r>
    <r>
      <rPr>
        <sz val="9"/>
        <color rgb="FF000000"/>
        <rFont val="Arial"/>
        <charset val="134"/>
      </rPr>
      <t>-</t>
    </r>
    <r>
      <rPr>
        <sz val="9"/>
        <color rgb="FF000000"/>
        <rFont val="楷体"/>
        <charset val="134"/>
      </rPr>
      <t>广州</t>
    </r>
  </si>
  <si>
    <t>高等教育</t>
  </si>
  <si>
    <r>
      <rPr>
        <sz val="9"/>
        <color rgb="FF000000"/>
        <rFont val="楷体"/>
        <charset val="134"/>
      </rPr>
      <t>红杉资本中国</t>
    </r>
    <r>
      <rPr>
        <sz val="9"/>
        <color rgb="FF000000"/>
        <rFont val="Arial"/>
        <charset val="134"/>
      </rPr>
      <t>,</t>
    </r>
    <r>
      <rPr>
        <sz val="9"/>
        <color rgb="FF000000"/>
        <rFont val="楷体"/>
        <charset val="134"/>
      </rPr>
      <t>策源创投</t>
    </r>
    <r>
      <rPr>
        <sz val="9"/>
        <color rgb="FF000000"/>
        <rFont val="Arial"/>
        <charset val="134"/>
      </rPr>
      <t>,</t>
    </r>
    <r>
      <rPr>
        <sz val="9"/>
        <color rgb="FF000000"/>
        <rFont val="楷体"/>
        <charset val="134"/>
      </rPr>
      <t>阿里巴巴</t>
    </r>
  </si>
  <si>
    <r>
      <rPr>
        <sz val="9"/>
        <color rgb="FF000000"/>
        <rFont val="Arial"/>
        <charset val="134"/>
      </rPr>
      <t>2.08</t>
    </r>
    <r>
      <rPr>
        <sz val="9"/>
        <color rgb="FF000000"/>
        <rFont val="楷体"/>
        <charset val="134"/>
      </rPr>
      <t>亿</t>
    </r>
  </si>
  <si>
    <r>
      <rPr>
        <sz val="9"/>
        <color rgb="FF000000"/>
        <rFont val="Arial"/>
        <charset val="134"/>
      </rPr>
      <t>9.75</t>
    </r>
    <r>
      <rPr>
        <sz val="9"/>
        <color rgb="FF000000"/>
        <rFont val="楷体"/>
        <charset val="134"/>
      </rPr>
      <t>亿元</t>
    </r>
  </si>
  <si>
    <r>
      <rPr>
        <sz val="9"/>
        <color rgb="FF000000"/>
        <rFont val="楷体"/>
        <charset val="134"/>
      </rPr>
      <t>余佳文</t>
    </r>
    <r>
      <rPr>
        <sz val="9"/>
        <color rgb="FF000000"/>
        <rFont val="Arial"/>
        <charset val="134"/>
      </rPr>
      <t>:CEO,</t>
    </r>
    <r>
      <rPr>
        <sz val="9"/>
        <color rgb="FF000000"/>
        <rFont val="楷体"/>
        <charset val="134"/>
      </rPr>
      <t>叶长润</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茹云峰</t>
    </r>
    <r>
      <rPr>
        <sz val="9"/>
        <color rgb="FF000000"/>
        <rFont val="Arial"/>
        <charset val="134"/>
      </rPr>
      <t>:CTO</t>
    </r>
  </si>
  <si>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策源创投</t>
    </r>
  </si>
  <si>
    <r>
      <rPr>
        <sz val="9"/>
        <color rgb="FF000000"/>
        <rFont val="楷体"/>
        <charset val="134"/>
      </rPr>
      <t>创新谷</t>
    </r>
    <r>
      <rPr>
        <sz val="9"/>
        <color rgb="FF000000"/>
        <rFont val="Arial"/>
        <charset val="134"/>
      </rPr>
      <t>Innovalley</t>
    </r>
  </si>
  <si>
    <t>2019-03-28</t>
  </si>
  <si>
    <t>Teambition</t>
  </si>
  <si>
    <r>
      <rPr>
        <sz val="9"/>
        <color rgb="FF000000"/>
        <rFont val="Arial"/>
        <charset val="134"/>
      </rPr>
      <t xml:space="preserve">Teambition </t>
    </r>
    <r>
      <rPr>
        <sz val="9"/>
        <color rgb="FF000000"/>
        <rFont val="楷体"/>
        <charset val="134"/>
      </rPr>
      <t>是国内团队协作工具的创导者，通过帮助团队轻松共享和讨论工作中的任务、文件、分享、日程等内容，让团队协作焕发无限可能。其</t>
    </r>
    <r>
      <rPr>
        <sz val="9"/>
        <color rgb="FF000000"/>
        <rFont val="Arial"/>
        <charset val="134"/>
      </rPr>
      <t xml:space="preserve"> iPhone </t>
    </r>
    <r>
      <rPr>
        <sz val="9"/>
        <color rgb="FF000000"/>
        <rFont val="楷体"/>
        <charset val="134"/>
      </rPr>
      <t>应用被苹果公司评为</t>
    </r>
    <r>
      <rPr>
        <sz val="9"/>
        <color rgb="FF000000"/>
        <rFont val="Arial"/>
        <charset val="134"/>
      </rPr>
      <t>2015</t>
    </r>
    <r>
      <rPr>
        <sz val="9"/>
        <color rgb="FF000000"/>
        <rFont val="楷体"/>
        <charset val="134"/>
      </rPr>
      <t>年度最佳应用。目前，已经有超过一百万用户通过</t>
    </r>
    <r>
      <rPr>
        <sz val="9"/>
        <color rgb="FF000000"/>
        <rFont val="Arial"/>
        <charset val="134"/>
      </rPr>
      <t xml:space="preserve"> Teambition </t>
    </r>
    <r>
      <rPr>
        <sz val="9"/>
        <color rgb="FF000000"/>
        <rFont val="楷体"/>
        <charset val="134"/>
      </rPr>
      <t>进行团队协作，其中也包括多个行业的龙头企业。</t>
    </r>
  </si>
  <si>
    <t>上海汇翼信息科技有限公司</t>
  </si>
  <si>
    <t>https://www.teambition.com</t>
  </si>
  <si>
    <r>
      <rPr>
        <sz val="9"/>
        <color rgb="FF000000"/>
        <rFont val="楷体"/>
        <charset val="134"/>
      </rPr>
      <t>办公</t>
    </r>
    <r>
      <rPr>
        <sz val="9"/>
        <color rgb="FF000000"/>
        <rFont val="Arial"/>
        <charset val="134"/>
      </rPr>
      <t>OA</t>
    </r>
  </si>
  <si>
    <r>
      <rPr>
        <sz val="9"/>
        <color rgb="FF000000"/>
        <rFont val="Arial"/>
        <charset val="134"/>
      </rPr>
      <t>3.11</t>
    </r>
    <r>
      <rPr>
        <sz val="9"/>
        <color rgb="FF000000"/>
        <rFont val="楷体"/>
        <charset val="134"/>
      </rPr>
      <t>亿</t>
    </r>
  </si>
  <si>
    <r>
      <rPr>
        <sz val="9"/>
        <color rgb="FF000000"/>
        <rFont val="楷体"/>
        <charset val="134"/>
      </rPr>
      <t>齐俊元</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姜翔</t>
    </r>
    <r>
      <rPr>
        <sz val="9"/>
        <color rgb="FF000000"/>
        <rFont val="Arial"/>
        <charset val="134"/>
      </rPr>
      <t>:</t>
    </r>
    <r>
      <rPr>
        <sz val="9"/>
        <color rgb="FF000000"/>
        <rFont val="楷体"/>
        <charset val="134"/>
      </rPr>
      <t>联合创始人（</t>
    </r>
    <r>
      <rPr>
        <sz val="9"/>
        <color rgb="FF000000"/>
        <rFont val="Arial"/>
        <charset val="134"/>
      </rPr>
      <t>VP Engineering</t>
    </r>
    <r>
      <rPr>
        <sz val="9"/>
        <color rgb="FF000000"/>
        <rFont val="楷体"/>
        <charset val="134"/>
      </rPr>
      <t>）</t>
    </r>
    <r>
      <rPr>
        <sz val="9"/>
        <color rgb="FF000000"/>
        <rFont val="Arial"/>
        <charset val="134"/>
      </rPr>
      <t>,</t>
    </r>
    <r>
      <rPr>
        <sz val="9"/>
        <color rgb="FF000000"/>
        <rFont val="楷体"/>
        <charset val="134"/>
      </rPr>
      <t>王雅倩</t>
    </r>
    <r>
      <rPr>
        <sz val="9"/>
        <color rgb="FF000000"/>
        <rFont val="Arial"/>
        <charset val="134"/>
      </rPr>
      <t>:Teambition COO,</t>
    </r>
    <r>
      <rPr>
        <sz val="9"/>
        <color rgb="FF000000"/>
        <rFont val="楷体"/>
        <charset val="134"/>
      </rPr>
      <t>宣莹</t>
    </r>
    <r>
      <rPr>
        <sz val="9"/>
        <color rgb="FF000000"/>
        <rFont val="Arial"/>
        <charset val="134"/>
      </rPr>
      <t>:</t>
    </r>
    <r>
      <rPr>
        <sz val="9"/>
        <color rgb="FF000000"/>
        <rFont val="楷体"/>
        <charset val="134"/>
      </rPr>
      <t>品牌公关经理</t>
    </r>
  </si>
  <si>
    <t>400-060-5576</t>
  </si>
  <si>
    <t>support@teambition.com</t>
  </si>
  <si>
    <r>
      <rPr>
        <sz val="9"/>
        <color rgb="FF000000"/>
        <rFont val="Arial"/>
        <charset val="134"/>
      </rPr>
      <t>B+</t>
    </r>
    <r>
      <rPr>
        <sz val="9"/>
        <color rgb="FF000000"/>
        <rFont val="楷体"/>
        <charset val="134"/>
      </rPr>
      <t>轮</t>
    </r>
  </si>
  <si>
    <t>腾讯投资</t>
  </si>
  <si>
    <r>
      <rPr>
        <sz val="9"/>
        <color rgb="FF000000"/>
        <rFont val="Arial"/>
        <charset val="134"/>
      </rPr>
      <t>1200</t>
    </r>
    <r>
      <rPr>
        <sz val="9"/>
        <color rgb="FF000000"/>
        <rFont val="楷体"/>
        <charset val="134"/>
      </rPr>
      <t>万美元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</si>
  <si>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盘古创富</t>
    </r>
    <r>
      <rPr>
        <sz val="9"/>
        <color rgb="FF000000"/>
        <rFont val="Arial"/>
        <charset val="134"/>
      </rPr>
      <t>VANGOO</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</si>
  <si>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盘古创富</t>
    </r>
    <r>
      <rPr>
        <sz val="9"/>
        <color rgb="FF000000"/>
        <rFont val="Arial"/>
        <charset val="134"/>
      </rPr>
      <t>VANGOO</t>
    </r>
  </si>
  <si>
    <r>
      <rPr>
        <sz val="9"/>
        <color rgb="FF000000"/>
        <rFont val="Arial"/>
        <charset val="134"/>
      </rPr>
      <t>250</t>
    </r>
    <r>
      <rPr>
        <sz val="9"/>
        <color rgb="FF000000"/>
        <rFont val="楷体"/>
        <charset val="134"/>
      </rPr>
      <t>万人民币</t>
    </r>
  </si>
  <si>
    <t>2016-06-12</t>
  </si>
  <si>
    <t>树熊集团</t>
  </si>
  <si>
    <r>
      <rPr>
        <sz val="9"/>
        <color rgb="FF000000"/>
        <rFont val="楷体"/>
        <charset val="134"/>
      </rPr>
      <t>树熊集团创建于</t>
    </r>
    <r>
      <rPr>
        <sz val="9"/>
        <color rgb="FF000000"/>
        <rFont val="Arial"/>
        <charset val="134"/>
      </rPr>
      <t>2012</t>
    </r>
    <r>
      <rPr>
        <sz val="9"/>
        <color rgb="FF000000"/>
        <rFont val="楷体"/>
        <charset val="134"/>
      </rPr>
      <t>年，由杭州树熊、树熊云计算、树熊智能科技、四川树熊、星速科技等多家全资及控股科技公司组成，以边缘计算和人工智能为基础、以大数据为核心、以智慧商业及智能家庭为主要应用，业务涵盖商业</t>
    </r>
    <r>
      <rPr>
        <sz val="9"/>
        <color rgb="FF000000"/>
        <rFont val="Arial"/>
        <charset val="134"/>
      </rPr>
      <t>Wi-Fi</t>
    </r>
    <r>
      <rPr>
        <sz val="9"/>
        <color rgb="FF000000"/>
        <rFont val="楷体"/>
        <charset val="134"/>
      </rPr>
      <t>、场景大数据、网络安全、数字门店等数字化商业服务。</t>
    </r>
  </si>
  <si>
    <t>杭州树熊网络有限公司</t>
  </si>
  <si>
    <t>https://www.treebear.cn/</t>
  </si>
  <si>
    <t>2012-09</t>
  </si>
  <si>
    <t>销售营销</t>
  </si>
  <si>
    <r>
      <rPr>
        <sz val="9"/>
        <color rgb="FF000000"/>
        <rFont val="Arial"/>
        <charset val="134"/>
      </rPr>
      <t>2</t>
    </r>
    <r>
      <rPr>
        <sz val="9"/>
        <color rgb="FF000000"/>
        <rFont val="楷体"/>
        <charset val="134"/>
      </rPr>
      <t>亿人民币</t>
    </r>
  </si>
  <si>
    <r>
      <rPr>
        <sz val="9"/>
        <color rgb="FF000000"/>
        <rFont val="楷体"/>
        <charset val="134"/>
      </rPr>
      <t>联建光电</t>
    </r>
    <r>
      <rPr>
        <sz val="9"/>
        <color rgb="FF000000"/>
        <rFont val="Arial"/>
        <charset val="134"/>
      </rPr>
      <t>,</t>
    </r>
    <r>
      <rPr>
        <sz val="9"/>
        <color rgb="FF000000"/>
        <rFont val="楷体"/>
        <charset val="134"/>
      </rPr>
      <t>德塔资本</t>
    </r>
  </si>
  <si>
    <r>
      <rPr>
        <sz val="9"/>
        <color rgb="FF000000"/>
        <rFont val="Arial"/>
        <charset val="134"/>
      </rPr>
      <t>2.33</t>
    </r>
    <r>
      <rPr>
        <sz val="9"/>
        <color rgb="FF000000"/>
        <rFont val="楷体"/>
        <charset val="134"/>
      </rPr>
      <t>亿</t>
    </r>
  </si>
  <si>
    <r>
      <rPr>
        <sz val="9"/>
        <color rgb="FF000000"/>
        <rFont val="Arial"/>
        <charset val="134"/>
      </rPr>
      <t>10</t>
    </r>
    <r>
      <rPr>
        <sz val="9"/>
        <color rgb="FF000000"/>
        <rFont val="楷体"/>
        <charset val="134"/>
      </rPr>
      <t>亿元</t>
    </r>
  </si>
  <si>
    <r>
      <rPr>
        <sz val="9"/>
        <color rgb="FF000000"/>
        <rFont val="楷体"/>
        <charset val="134"/>
      </rPr>
      <t>赖杰</t>
    </r>
    <r>
      <rPr>
        <sz val="9"/>
        <color rgb="FF000000"/>
        <rFont val="Arial"/>
        <charset val="134"/>
      </rPr>
      <t>:CEO,</t>
    </r>
    <r>
      <rPr>
        <sz val="9"/>
        <color rgb="FF000000"/>
        <rFont val="楷体"/>
        <charset val="134"/>
      </rPr>
      <t>华璐坷</t>
    </r>
    <r>
      <rPr>
        <sz val="9"/>
        <color rgb="FF000000"/>
        <rFont val="Arial"/>
        <charset val="134"/>
      </rPr>
      <t>:</t>
    </r>
    <r>
      <rPr>
        <sz val="9"/>
        <color rgb="FF000000"/>
        <rFont val="楷体"/>
        <charset val="134"/>
      </rPr>
      <t>高级副总裁</t>
    </r>
  </si>
  <si>
    <r>
      <rPr>
        <sz val="9"/>
        <color rgb="FF000000"/>
        <rFont val="楷体"/>
        <charset val="134"/>
      </rPr>
      <t>杭州市余杭区向往街</t>
    </r>
    <r>
      <rPr>
        <sz val="9"/>
        <color rgb="FF000000"/>
        <rFont val="Arial"/>
        <charset val="134"/>
      </rPr>
      <t>1118</t>
    </r>
    <r>
      <rPr>
        <sz val="9"/>
        <color rgb="FF000000"/>
        <rFont val="楷体"/>
        <charset val="134"/>
      </rPr>
      <t>号</t>
    </r>
    <r>
      <rPr>
        <sz val="9"/>
        <color rgb="FF000000"/>
        <rFont val="Arial"/>
        <charset val="134"/>
      </rPr>
      <t xml:space="preserve">  </t>
    </r>
    <r>
      <rPr>
        <sz val="9"/>
        <color rgb="FF000000"/>
        <rFont val="楷体"/>
        <charset val="134"/>
      </rPr>
      <t>欧美金融城</t>
    </r>
    <r>
      <rPr>
        <sz val="9"/>
        <color rgb="FF000000"/>
        <rFont val="Arial"/>
        <charset val="134"/>
      </rPr>
      <t>T4</t>
    </r>
    <r>
      <rPr>
        <sz val="9"/>
        <color rgb="FF000000"/>
        <rFont val="楷体"/>
        <charset val="134"/>
      </rPr>
      <t>美国中心</t>
    </r>
    <r>
      <rPr>
        <sz val="9"/>
        <color rgb="FF000000"/>
        <rFont val="Arial"/>
        <charset val="134"/>
      </rPr>
      <t>38</t>
    </r>
    <r>
      <rPr>
        <sz val="9"/>
        <color rgb="FF000000"/>
        <rFont val="楷体"/>
        <charset val="134"/>
      </rPr>
      <t>楼</t>
    </r>
  </si>
  <si>
    <t>400-101-1786</t>
  </si>
  <si>
    <t>hz@treebear.cn</t>
  </si>
  <si>
    <r>
      <rPr>
        <sz val="9"/>
        <color rgb="FF000000"/>
        <rFont val="楷体"/>
        <charset val="134"/>
      </rPr>
      <t>阿里巴巴</t>
    </r>
    <r>
      <rPr>
        <sz val="9"/>
        <color rgb="FF000000"/>
        <rFont val="Arial"/>
        <charset val="134"/>
      </rPr>
      <t>,</t>
    </r>
    <r>
      <rPr>
        <sz val="9"/>
        <color rgb="FF000000"/>
        <rFont val="楷体"/>
        <charset val="134"/>
      </rPr>
      <t>蚂蚁集团</t>
    </r>
  </si>
  <si>
    <t>盈动资本</t>
  </si>
  <si>
    <t>2018-09-03</t>
  </si>
  <si>
    <t>大搜车</t>
  </si>
  <si>
    <r>
      <rPr>
        <sz val="9"/>
        <color rgb="FF000000"/>
        <rFont val="楷体"/>
        <charset val="134"/>
      </rPr>
      <t>大搜车，中国领先的汽车新零售和新金融平台，成立于</t>
    </r>
    <r>
      <rPr>
        <sz val="9"/>
        <color rgb="FF000000"/>
        <rFont val="Arial"/>
        <charset val="134"/>
      </rPr>
      <t>2012</t>
    </r>
    <r>
      <rPr>
        <sz val="9"/>
        <color rgb="FF000000"/>
        <rFont val="楷体"/>
        <charset val="134"/>
      </rPr>
      <t>年</t>
    </r>
    <r>
      <rPr>
        <sz val="9"/>
        <color rgb="FF000000"/>
        <rFont val="Arial"/>
        <charset val="134"/>
      </rPr>
      <t>12</t>
    </r>
    <r>
      <rPr>
        <sz val="9"/>
        <color rgb="FF000000"/>
        <rFont val="楷体"/>
        <charset val="134"/>
      </rPr>
      <t>月。凭借多年对汽车行业的深刻洞察与理解，大搜车推出的</t>
    </r>
    <r>
      <rPr>
        <sz val="9"/>
        <color rgb="FF000000"/>
        <rFont val="Arial"/>
        <charset val="134"/>
      </rPr>
      <t>SaaS</t>
    </r>
    <r>
      <rPr>
        <sz val="9"/>
        <color rgb="FF000000"/>
        <rFont val="楷体"/>
        <charset val="134"/>
      </rPr>
      <t>系统，在二手车商以及新车非</t>
    </r>
    <r>
      <rPr>
        <sz val="9"/>
        <color rgb="FF000000"/>
        <rFont val="Arial"/>
        <charset val="134"/>
      </rPr>
      <t>4S</t>
    </r>
    <r>
      <rPr>
        <sz val="9"/>
        <color rgb="FF000000"/>
        <rFont val="楷体"/>
        <charset val="134"/>
      </rPr>
      <t>店渠道覆盖率超过</t>
    </r>
    <r>
      <rPr>
        <sz val="9"/>
        <color rgb="FF000000"/>
        <rFont val="Arial"/>
        <charset val="134"/>
      </rPr>
      <t>70%</t>
    </r>
    <r>
      <rPr>
        <sz val="9"/>
        <color rgb="FF000000"/>
        <rFont val="楷体"/>
        <charset val="134"/>
      </rPr>
      <t>；推出的汽车消费金融方案</t>
    </r>
    <r>
      <rPr>
        <sz val="9"/>
        <color rgb="FF000000"/>
        <rFont val="Arial"/>
        <charset val="134"/>
      </rPr>
      <t>“</t>
    </r>
    <r>
      <rPr>
        <sz val="9"/>
        <color rgb="FF000000"/>
        <rFont val="楷体"/>
        <charset val="134"/>
      </rPr>
      <t>弹个车</t>
    </r>
    <r>
      <rPr>
        <sz val="9"/>
        <color rgb="FF000000"/>
        <rFont val="Arial"/>
        <charset val="134"/>
      </rPr>
      <t>”</t>
    </r>
    <r>
      <rPr>
        <sz val="9"/>
        <color rgb="FF000000"/>
        <rFont val="楷体"/>
        <charset val="134"/>
      </rPr>
      <t>，短短一年内在中国带动汽车融资租赁品类的创新发展，驱动了中国汽车及二手车行业的进步。</t>
    </r>
  </si>
  <si>
    <t>杭州大搜车汽车服务有限公司</t>
  </si>
  <si>
    <t>http://souche.com</t>
  </si>
  <si>
    <t>2012-11</t>
  </si>
  <si>
    <t>汽车流通</t>
  </si>
  <si>
    <r>
      <rPr>
        <sz val="9"/>
        <color rgb="FF000000"/>
        <rFont val="Arial"/>
        <charset val="134"/>
      </rPr>
      <t>5.78</t>
    </r>
    <r>
      <rPr>
        <sz val="9"/>
        <color rgb="FF000000"/>
        <rFont val="楷体"/>
        <charset val="134"/>
      </rPr>
      <t>亿美元</t>
    </r>
  </si>
  <si>
    <r>
      <rPr>
        <sz val="9"/>
        <color rgb="FF000000"/>
        <rFont val="楷体"/>
        <charset val="134"/>
      </rPr>
      <t>五源资本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锴明投资</t>
    </r>
    <r>
      <rPr>
        <sz val="9"/>
        <color rgb="FF000000"/>
        <rFont val="Arial"/>
        <charset val="134"/>
      </rPr>
      <t>ClearVue,</t>
    </r>
    <r>
      <rPr>
        <sz val="9"/>
        <color rgb="FF000000"/>
        <rFont val="楷体"/>
        <charset val="134"/>
      </rPr>
      <t>春华资本</t>
    </r>
    <r>
      <rPr>
        <sz val="9"/>
        <color rgb="FF000000"/>
        <rFont val="Arial"/>
        <charset val="134"/>
      </rPr>
      <t>Primavera,</t>
    </r>
    <r>
      <rPr>
        <sz val="9"/>
        <color rgb="FF000000"/>
        <rFont val="楷体"/>
        <charset val="134"/>
      </rPr>
      <t>领沨资本</t>
    </r>
    <r>
      <rPr>
        <sz val="9"/>
        <color rgb="FF000000"/>
        <rFont val="Arial"/>
        <charset val="134"/>
      </rPr>
      <t>,</t>
    </r>
    <r>
      <rPr>
        <sz val="9"/>
        <color rgb="FF000000"/>
        <rFont val="楷体"/>
        <charset val="134"/>
      </rPr>
      <t>宜信财富</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昊翔资本</t>
    </r>
    <r>
      <rPr>
        <sz val="9"/>
        <color rgb="FF000000"/>
        <rFont val="Arial"/>
        <charset val="134"/>
      </rPr>
      <t>,</t>
    </r>
    <r>
      <rPr>
        <sz val="9"/>
        <color rgb="FF000000"/>
        <rFont val="楷体"/>
        <charset val="134"/>
      </rPr>
      <t>帕拉丁资产管理</t>
    </r>
    <r>
      <rPr>
        <sz val="9"/>
        <color rgb="FF000000"/>
        <rFont val="Arial"/>
        <charset val="134"/>
      </rPr>
      <t>,</t>
    </r>
    <r>
      <rPr>
        <sz val="9"/>
        <color rgb="FF000000"/>
        <rFont val="楷体"/>
        <charset val="134"/>
      </rPr>
      <t>赟汇资本</t>
    </r>
  </si>
  <si>
    <r>
      <rPr>
        <sz val="9"/>
        <color rgb="FF000000"/>
        <rFont val="Arial"/>
        <charset val="134"/>
      </rPr>
      <t>78.87</t>
    </r>
    <r>
      <rPr>
        <sz val="9"/>
        <color rgb="FF000000"/>
        <rFont val="楷体"/>
        <charset val="134"/>
      </rPr>
      <t>亿</t>
    </r>
  </si>
  <si>
    <r>
      <rPr>
        <sz val="9"/>
        <color rgb="FF000000"/>
        <rFont val="Arial"/>
        <charset val="134"/>
      </rPr>
      <t>227.5</t>
    </r>
    <r>
      <rPr>
        <sz val="9"/>
        <color rgb="FF000000"/>
        <rFont val="楷体"/>
        <charset val="134"/>
      </rPr>
      <t>亿元</t>
    </r>
  </si>
  <si>
    <r>
      <rPr>
        <sz val="9"/>
        <color rgb="FF000000"/>
        <rFont val="楷体"/>
        <charset val="134"/>
      </rPr>
      <t>姚军红</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李发军</t>
    </r>
    <r>
      <rPr>
        <sz val="9"/>
        <color rgb="FF000000"/>
        <rFont val="Arial"/>
        <charset val="134"/>
      </rPr>
      <t>:COO</t>
    </r>
  </si>
  <si>
    <r>
      <rPr>
        <sz val="9"/>
        <color rgb="FF000000"/>
        <rFont val="楷体"/>
        <charset val="134"/>
      </rPr>
      <t>浙江省杭州市余杭区五常大道</t>
    </r>
    <r>
      <rPr>
        <sz val="9"/>
        <color rgb="FF000000"/>
        <rFont val="Arial"/>
        <charset val="134"/>
      </rPr>
      <t>175</t>
    </r>
    <r>
      <rPr>
        <sz val="9"/>
        <color rgb="FF000000"/>
        <rFont val="楷体"/>
        <charset val="134"/>
      </rPr>
      <t>号</t>
    </r>
  </si>
  <si>
    <t>400-801-0010</t>
  </si>
  <si>
    <r>
      <rPr>
        <sz val="9"/>
        <color rgb="FF000000"/>
        <rFont val="Arial"/>
        <charset val="134"/>
      </rPr>
      <t>3.35</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</si>
  <si>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招银国际</t>
    </r>
  </si>
  <si>
    <r>
      <rPr>
        <sz val="9"/>
        <color rgb="FF000000"/>
        <rFont val="Arial"/>
        <charset val="134"/>
      </rPr>
      <t>1.8</t>
    </r>
    <r>
      <rPr>
        <sz val="9"/>
        <color rgb="FF000000"/>
        <rFont val="楷体"/>
        <charset val="134"/>
      </rPr>
      <t>亿美元</t>
    </r>
  </si>
  <si>
    <r>
      <rPr>
        <sz val="9"/>
        <color rgb="FF000000"/>
        <rFont val="楷体"/>
        <charset val="134"/>
      </rPr>
      <t>五源资本</t>
    </r>
    <r>
      <rPr>
        <sz val="9"/>
        <color rgb="FF000000"/>
        <rFont val="Arial"/>
        <charset val="134"/>
      </rPr>
      <t>,</t>
    </r>
    <r>
      <rPr>
        <sz val="9"/>
        <color rgb="FF000000"/>
        <rFont val="楷体"/>
        <charset val="134"/>
      </rPr>
      <t>锴明投资</t>
    </r>
    <r>
      <rPr>
        <sz val="9"/>
        <color rgb="FF000000"/>
        <rFont val="Arial"/>
        <charset val="134"/>
      </rPr>
      <t>ClearVue,</t>
    </r>
    <r>
      <rPr>
        <sz val="9"/>
        <color rgb="FF000000"/>
        <rFont val="楷体"/>
        <charset val="134"/>
      </rPr>
      <t>华平投资</t>
    </r>
    <r>
      <rPr>
        <sz val="9"/>
        <color rgb="FF000000"/>
        <rFont val="Arial"/>
        <charset val="134"/>
      </rPr>
      <t>,</t>
    </r>
    <r>
      <rPr>
        <sz val="9"/>
        <color rgb="FF000000"/>
        <rFont val="楷体"/>
        <charset val="134"/>
      </rPr>
      <t>宜信基金</t>
    </r>
    <r>
      <rPr>
        <sz val="9"/>
        <color rgb="FF000000"/>
        <rFont val="Arial"/>
        <charset val="134"/>
      </rPr>
      <t>,</t>
    </r>
    <r>
      <rPr>
        <sz val="9"/>
        <color rgb="FF000000"/>
        <rFont val="楷体"/>
        <charset val="134"/>
      </rPr>
      <t>海通国际</t>
    </r>
    <r>
      <rPr>
        <sz val="9"/>
        <color rgb="FF000000"/>
        <rFont val="Arial"/>
        <charset val="134"/>
      </rPr>
      <t>,</t>
    </r>
    <r>
      <rPr>
        <sz val="9"/>
        <color rgb="FF000000"/>
        <rFont val="楷体"/>
        <charset val="134"/>
      </rPr>
      <t>佐誉资本</t>
    </r>
    <r>
      <rPr>
        <sz val="9"/>
        <color rgb="FF000000"/>
        <rFont val="Arial"/>
        <charset val="134"/>
      </rPr>
      <t>,</t>
    </r>
    <r>
      <rPr>
        <sz val="9"/>
        <color rgb="FF000000"/>
        <rFont val="楷体"/>
        <charset val="134"/>
      </rPr>
      <t>香港鼎珮投资集团</t>
    </r>
  </si>
  <si>
    <r>
      <rPr>
        <sz val="9"/>
        <color rgb="FF000000"/>
        <rFont val="楷体"/>
        <charset val="134"/>
      </rPr>
      <t>神州租车</t>
    </r>
    <r>
      <rPr>
        <sz val="9"/>
        <color rgb="FF000000"/>
        <rFont val="Arial"/>
        <charset val="134"/>
      </rPr>
      <t>,</t>
    </r>
    <r>
      <rPr>
        <sz val="9"/>
        <color rgb="FF000000"/>
        <rFont val="楷体"/>
        <charset val="134"/>
      </rPr>
      <t>蚂蚁集团</t>
    </r>
  </si>
  <si>
    <r>
      <rPr>
        <sz val="9"/>
        <color rgb="FF000000"/>
        <rFont val="Arial"/>
        <charset val="134"/>
      </rPr>
      <t>1490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</si>
  <si>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源渡创投</t>
    </r>
  </si>
  <si>
    <r>
      <rPr>
        <sz val="9"/>
        <color rgb="FF000000"/>
        <rFont val="Arial"/>
        <charset val="134"/>
      </rPr>
      <t>550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</si>
  <si>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源渡创投</t>
    </r>
  </si>
  <si>
    <t>2013-06-01</t>
  </si>
  <si>
    <t>淘淘搜</t>
  </si>
  <si>
    <r>
      <rPr>
        <sz val="9"/>
        <color rgb="FF000000"/>
        <rFont val="楷体"/>
        <charset val="134"/>
      </rPr>
      <t>淘淘搜是一个专业的图片购物搜索引擎及导购网站，</t>
    </r>
    <r>
      <rPr>
        <sz val="9"/>
        <color rgb="FF000000"/>
        <rFont val="Arial"/>
        <charset val="134"/>
      </rPr>
      <t>2013</t>
    </r>
    <r>
      <rPr>
        <sz val="9"/>
        <color rgb="FF000000"/>
        <rFont val="楷体"/>
        <charset val="134"/>
      </rPr>
      <t>年转型为比价为主的商品导购和特卖团购网站，杭州淘淘搜科技有限公司旗下。</t>
    </r>
  </si>
  <si>
    <t>杭州淘淘搜科技有限公司</t>
  </si>
  <si>
    <t>http://www.taotaosou.com</t>
  </si>
  <si>
    <t>2010-01</t>
  </si>
  <si>
    <t>综合电商</t>
  </si>
  <si>
    <r>
      <rPr>
        <sz val="9"/>
        <color rgb="FF000000"/>
        <rFont val="楷体"/>
        <charset val="134"/>
      </rPr>
      <t>鼎晖投资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阿里巴巴</t>
    </r>
  </si>
  <si>
    <r>
      <rPr>
        <sz val="9"/>
        <color rgb="FF000000"/>
        <rFont val="Arial"/>
        <charset val="134"/>
      </rPr>
      <t>2.18</t>
    </r>
    <r>
      <rPr>
        <sz val="9"/>
        <color rgb="FF000000"/>
        <rFont val="楷体"/>
        <charset val="134"/>
      </rPr>
      <t>亿</t>
    </r>
  </si>
  <si>
    <r>
      <rPr>
        <sz val="9"/>
        <color rgb="FF000000"/>
        <rFont val="楷体"/>
        <charset val="134"/>
      </rPr>
      <t>林建聪</t>
    </r>
    <r>
      <rPr>
        <sz val="9"/>
        <color rgb="FF000000"/>
        <rFont val="Arial"/>
        <charset val="134"/>
      </rPr>
      <t>:CEO</t>
    </r>
  </si>
  <si>
    <t>daniel.wang@pureinfo.com.cn</t>
  </si>
  <si>
    <r>
      <rPr>
        <sz val="9"/>
        <color rgb="FF000000"/>
        <rFont val="楷体"/>
        <charset val="134"/>
      </rPr>
      <t>鼎晖投资</t>
    </r>
    <r>
      <rPr>
        <sz val="9"/>
        <color rgb="FF000000"/>
        <rFont val="Arial"/>
        <charset val="134"/>
      </rPr>
      <t>,</t>
    </r>
    <r>
      <rPr>
        <sz val="9"/>
        <color rgb="FF000000"/>
        <rFont val="楷体"/>
        <charset val="134"/>
      </rPr>
      <t>阿里巴巴</t>
    </r>
  </si>
  <si>
    <r>
      <rPr>
        <sz val="9"/>
        <color rgb="FF000000"/>
        <rFont val="Arial"/>
        <charset val="134"/>
      </rPr>
      <t>300</t>
    </r>
    <r>
      <rPr>
        <sz val="9"/>
        <color rgb="FF000000"/>
        <rFont val="楷体"/>
        <charset val="134"/>
      </rPr>
      <t>万人民币</t>
    </r>
  </si>
  <si>
    <t>2017-03-21</t>
  </si>
  <si>
    <t>大麦网</t>
  </si>
  <si>
    <r>
      <rPr>
        <sz val="9"/>
        <color rgb="FF000000"/>
        <rFont val="楷体"/>
        <charset val="134"/>
      </rPr>
      <t>大麦网</t>
    </r>
    <r>
      <rPr>
        <sz val="9"/>
        <color rgb="FF000000"/>
        <rFont val="Arial"/>
        <charset val="134"/>
      </rPr>
      <t xml:space="preserve"> (</t>
    </r>
    <r>
      <rPr>
        <sz val="9"/>
        <color rgb="FF000000"/>
        <rFont val="楷体"/>
        <charset val="134"/>
      </rPr>
      <t>前身叫中国票务在线</t>
    </r>
    <r>
      <rPr>
        <sz val="9"/>
        <color rgb="FF000000"/>
        <rFont val="Arial"/>
        <charset val="134"/>
      </rPr>
      <t>)</t>
    </r>
    <r>
      <rPr>
        <sz val="9"/>
        <color rgb="FF000000"/>
        <rFont val="楷体"/>
        <charset val="134"/>
      </rPr>
      <t>是一个在线票务交易服务网站，北京红马传媒文化发展有限公司旗下。</t>
    </r>
  </si>
  <si>
    <t>北京大麦文化传媒发展有限公司</t>
  </si>
  <si>
    <t>http://www.damai.cn</t>
  </si>
  <si>
    <t>2000-01</t>
  </si>
  <si>
    <r>
      <rPr>
        <sz val="9"/>
        <color rgb="FF000000"/>
        <rFont val="楷体"/>
        <charset val="134"/>
      </rPr>
      <t>北京</t>
    </r>
    <r>
      <rPr>
        <sz val="9"/>
        <color rgb="FF000000"/>
        <rFont val="Arial"/>
        <charset val="134"/>
      </rPr>
      <t>-</t>
    </r>
    <r>
      <rPr>
        <sz val="9"/>
        <color rgb="FF000000"/>
        <rFont val="楷体"/>
        <charset val="134"/>
      </rPr>
      <t>东城区</t>
    </r>
  </si>
  <si>
    <t>演艺</t>
  </si>
  <si>
    <r>
      <rPr>
        <sz val="9"/>
        <color rgb="FF000000"/>
        <rFont val="Arial"/>
        <charset val="134"/>
      </rPr>
      <t>1.8</t>
    </r>
    <r>
      <rPr>
        <sz val="9"/>
        <color rgb="FF000000"/>
        <rFont val="楷体"/>
        <charset val="134"/>
      </rPr>
      <t>亿</t>
    </r>
  </si>
  <si>
    <r>
      <rPr>
        <sz val="9"/>
        <color rgb="FF000000"/>
        <rFont val="楷体"/>
        <charset val="134"/>
      </rPr>
      <t>曹杰</t>
    </r>
    <r>
      <rPr>
        <sz val="9"/>
        <color rgb="FF000000"/>
        <rFont val="Arial"/>
        <charset val="134"/>
      </rPr>
      <t>:CEO</t>
    </r>
  </si>
  <si>
    <r>
      <rPr>
        <sz val="9"/>
        <color rgb="FF000000"/>
        <rFont val="楷体"/>
        <charset val="134"/>
      </rPr>
      <t>北京市东城区东中街</t>
    </r>
    <r>
      <rPr>
        <sz val="9"/>
        <color rgb="FF000000"/>
        <rFont val="Arial"/>
        <charset val="134"/>
      </rPr>
      <t>32</t>
    </r>
    <r>
      <rPr>
        <sz val="9"/>
        <color rgb="FF000000"/>
        <rFont val="楷体"/>
        <charset val="134"/>
      </rPr>
      <t>号楼</t>
    </r>
    <r>
      <rPr>
        <sz val="9"/>
        <color rgb="FF000000"/>
        <rFont val="Arial"/>
        <charset val="134"/>
      </rPr>
      <t>7</t>
    </r>
    <r>
      <rPr>
        <sz val="9"/>
        <color rgb="FF000000"/>
        <rFont val="楷体"/>
        <charset val="134"/>
      </rPr>
      <t>层</t>
    </r>
  </si>
  <si>
    <t>1010-3721,400-610-3721</t>
  </si>
  <si>
    <t xml:space="preserve">service@piao.com.cn </t>
  </si>
  <si>
    <r>
      <rPr>
        <sz val="9"/>
        <color rgb="FF000000"/>
        <rFont val="Arial"/>
        <charset val="134"/>
      </rPr>
      <t>1</t>
    </r>
    <r>
      <rPr>
        <sz val="9"/>
        <color rgb="FF000000"/>
        <rFont val="楷体"/>
        <charset val="134"/>
      </rPr>
      <t>亿人民币</t>
    </r>
  </si>
  <si>
    <r>
      <rPr>
        <sz val="9"/>
        <color rgb="FF000000"/>
        <rFont val="楷体"/>
        <charset val="134"/>
      </rPr>
      <t>君联资本</t>
    </r>
    <r>
      <rPr>
        <sz val="9"/>
        <color rgb="FF000000"/>
        <rFont val="Arial"/>
        <charset val="134"/>
      </rPr>
      <t>,SIG</t>
    </r>
    <r>
      <rPr>
        <sz val="9"/>
        <color rgb="FF000000"/>
        <rFont val="楷体"/>
        <charset val="134"/>
      </rPr>
      <t>海纳亚洲</t>
    </r>
  </si>
  <si>
    <r>
      <rPr>
        <sz val="9"/>
        <color rgb="FF000000"/>
        <rFont val="Arial"/>
        <charset val="134"/>
      </rPr>
      <t>3000</t>
    </r>
    <r>
      <rPr>
        <sz val="9"/>
        <color rgb="FF000000"/>
        <rFont val="楷体"/>
        <charset val="134"/>
      </rPr>
      <t>万人民币</t>
    </r>
  </si>
  <si>
    <t>2022-04-22</t>
  </si>
  <si>
    <t>知乎</t>
  </si>
  <si>
    <r>
      <rPr>
        <sz val="9"/>
        <color rgb="FF000000"/>
        <rFont val="楷体"/>
        <charset val="134"/>
      </rPr>
      <t>知乎，中文互联网高质量的问答社区和创作者聚集的原创内容平台，凭借认真、专业、友善的社区氛围、独特的产品机制以及结构化和易获得的优质内容，聚集了中文互联网科技、商业、影视、时尚、文化等领域最具创造力的人群，已成为综合性、全品类、在诸多领域具有关键影响力的知识分享社区和创作者聚集的原创内容平台，建立起了以社区驱动的内容变现商业模式。截至</t>
    </r>
    <r>
      <rPr>
        <sz val="9"/>
        <color rgb="FF000000"/>
        <rFont val="Arial"/>
        <charset val="134"/>
      </rPr>
      <t xml:space="preserve"> 2020 </t>
    </r>
    <r>
      <rPr>
        <sz val="9"/>
        <color rgb="FF000000"/>
        <rFont val="楷体"/>
        <charset val="134"/>
      </rPr>
      <t>年，</t>
    </r>
    <r>
      <rPr>
        <sz val="9"/>
        <color rgb="FF000000"/>
        <rFont val="Arial"/>
        <charset val="134"/>
      </rPr>
      <t xml:space="preserve"> </t>
    </r>
    <r>
      <rPr>
        <sz val="9"/>
        <color rgb="FF000000"/>
        <rFont val="楷体"/>
        <charset val="134"/>
      </rPr>
      <t>已有超过</t>
    </r>
    <r>
      <rPr>
        <sz val="9"/>
        <color rgb="FF000000"/>
        <rFont val="Arial"/>
        <charset val="134"/>
      </rPr>
      <t xml:space="preserve"> 4000 </t>
    </r>
    <r>
      <rPr>
        <sz val="9"/>
        <color rgb="FF000000"/>
        <rFont val="楷体"/>
        <charset val="134"/>
      </rPr>
      <t>万名答主在知乎创作，全站问题总数超过</t>
    </r>
    <r>
      <rPr>
        <sz val="9"/>
        <color rgb="FF000000"/>
        <rFont val="Arial"/>
        <charset val="134"/>
      </rPr>
      <t xml:space="preserve"> 4400 </t>
    </r>
    <r>
      <rPr>
        <sz val="9"/>
        <color rgb="FF000000"/>
        <rFont val="楷体"/>
        <charset val="134"/>
      </rPr>
      <t>万，回答总数超过</t>
    </r>
    <r>
      <rPr>
        <sz val="9"/>
        <color rgb="FF000000"/>
        <rFont val="Arial"/>
        <charset val="134"/>
      </rPr>
      <t xml:space="preserve"> 2.4 </t>
    </r>
    <r>
      <rPr>
        <sz val="9"/>
        <color rgb="FF000000"/>
        <rFont val="楷体"/>
        <charset val="134"/>
      </rPr>
      <t>亿。目前，知乎已经覆盖问答社区、会员服务体系「盐选会员」、搜索、热榜等一系列产品和服务，并建立了包括图文、视频、直播等在内的多元媒介形式。</t>
    </r>
  </si>
  <si>
    <t>北京智者天下科技有限公司</t>
  </si>
  <si>
    <t>http://www.zhihu.com</t>
  </si>
  <si>
    <t>媒体及阅读</t>
  </si>
  <si>
    <r>
      <rPr>
        <sz val="9"/>
        <color rgb="FF000000"/>
        <rFont val="Arial"/>
        <charset val="134"/>
      </rPr>
      <t>7.92</t>
    </r>
    <r>
      <rPr>
        <sz val="9"/>
        <color rgb="FF000000"/>
        <rFont val="楷体"/>
        <charset val="134"/>
      </rPr>
      <t>亿港元</t>
    </r>
  </si>
  <si>
    <r>
      <rPr>
        <sz val="9"/>
        <color rgb="FF000000"/>
        <rFont val="Arial"/>
        <charset val="134"/>
      </rPr>
      <t>114.07</t>
    </r>
    <r>
      <rPr>
        <sz val="9"/>
        <color rgb="FF000000"/>
        <rFont val="楷体"/>
        <charset val="134"/>
      </rPr>
      <t>亿</t>
    </r>
  </si>
  <si>
    <r>
      <rPr>
        <sz val="9"/>
        <color rgb="FF000000"/>
        <rFont val="Arial"/>
        <charset val="134"/>
      </rPr>
      <t>83.632</t>
    </r>
    <r>
      <rPr>
        <sz val="9"/>
        <color rgb="FF000000"/>
        <rFont val="楷体"/>
        <charset val="134"/>
      </rPr>
      <t>亿元</t>
    </r>
  </si>
  <si>
    <r>
      <rPr>
        <sz val="9"/>
        <color rgb="FF000000"/>
        <rFont val="楷体"/>
        <charset val="134"/>
      </rPr>
      <t>周源</t>
    </r>
    <r>
      <rPr>
        <sz val="9"/>
        <color rgb="FF000000"/>
        <rFont val="Arial"/>
        <charset val="134"/>
      </rPr>
      <t>:CEO,</t>
    </r>
    <r>
      <rPr>
        <sz val="9"/>
        <color rgb="FF000000"/>
        <rFont val="楷体"/>
        <charset val="134"/>
      </rPr>
      <t>李申申</t>
    </r>
    <r>
      <rPr>
        <sz val="9"/>
        <color rgb="FF000000"/>
        <rFont val="Arial"/>
        <charset val="134"/>
      </rPr>
      <t>:CTO,</t>
    </r>
    <r>
      <rPr>
        <sz val="9"/>
        <color rgb="FF000000"/>
        <rFont val="楷体"/>
        <charset val="134"/>
      </rPr>
      <t>黄继新</t>
    </r>
    <r>
      <rPr>
        <sz val="9"/>
        <color rgb="FF000000"/>
        <rFont val="Arial"/>
        <charset val="134"/>
      </rPr>
      <t>:COO,</t>
    </r>
    <r>
      <rPr>
        <sz val="9"/>
        <color rgb="FF000000"/>
        <rFont val="楷体"/>
        <charset val="134"/>
      </rPr>
      <t>李大海</t>
    </r>
    <r>
      <rPr>
        <sz val="9"/>
        <color rgb="FF000000"/>
        <rFont val="Arial"/>
        <charset val="134"/>
      </rPr>
      <t>:</t>
    </r>
    <r>
      <rPr>
        <sz val="9"/>
        <color rgb="FF000000"/>
        <rFont val="楷体"/>
        <charset val="134"/>
      </rPr>
      <t>合伙人</t>
    </r>
    <r>
      <rPr>
        <sz val="9"/>
        <color rgb="FF000000"/>
        <rFont val="Arial"/>
        <charset val="134"/>
      </rPr>
      <t>&amp;CTO</t>
    </r>
  </si>
  <si>
    <r>
      <rPr>
        <sz val="9"/>
        <color rgb="FF000000"/>
        <rFont val="楷体"/>
        <charset val="134"/>
      </rPr>
      <t>北京市海淀区学院路甲</t>
    </r>
    <r>
      <rPr>
        <sz val="9"/>
        <color rgb="FF000000"/>
        <rFont val="Arial"/>
        <charset val="134"/>
      </rPr>
      <t xml:space="preserve"> 5 </t>
    </r>
    <r>
      <rPr>
        <sz val="9"/>
        <color rgb="FF000000"/>
        <rFont val="楷体"/>
        <charset val="134"/>
      </rPr>
      <t>号</t>
    </r>
    <r>
      <rPr>
        <sz val="9"/>
        <color rgb="FF000000"/>
        <rFont val="Arial"/>
        <charset val="134"/>
      </rPr>
      <t xml:space="preserve"> 768 </t>
    </r>
    <r>
      <rPr>
        <sz val="9"/>
        <color rgb="FF000000"/>
        <rFont val="楷体"/>
        <charset val="134"/>
      </rPr>
      <t>创意园</t>
    </r>
    <r>
      <rPr>
        <sz val="9"/>
        <color rgb="FF000000"/>
        <rFont val="Arial"/>
        <charset val="134"/>
      </rPr>
      <t xml:space="preserve"> A </t>
    </r>
    <r>
      <rPr>
        <sz val="9"/>
        <color rgb="FF000000"/>
        <rFont val="楷体"/>
        <charset val="134"/>
      </rPr>
      <t>座西区四通道</t>
    </r>
    <r>
      <rPr>
        <sz val="9"/>
        <color rgb="FF000000"/>
        <rFont val="Arial"/>
        <charset val="134"/>
      </rPr>
      <t xml:space="preserve"> 3-010</t>
    </r>
  </si>
  <si>
    <t>010-5676-1188</t>
  </si>
  <si>
    <t>bd@zhihu.com</t>
  </si>
  <si>
    <r>
      <rPr>
        <sz val="9"/>
        <color rgb="FF000000"/>
        <rFont val="Arial"/>
        <charset val="134"/>
      </rPr>
      <t>5.23</t>
    </r>
    <r>
      <rPr>
        <sz val="9"/>
        <color rgb="FF000000"/>
        <rFont val="楷体"/>
        <charset val="134"/>
      </rPr>
      <t>亿美元</t>
    </r>
  </si>
  <si>
    <t>基石轮</t>
  </si>
  <si>
    <r>
      <rPr>
        <sz val="9"/>
        <color rgb="FF000000"/>
        <rFont val="Arial"/>
        <charset val="134"/>
      </rPr>
      <t>2.5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</si>
  <si>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莉莉丝</t>
    </r>
  </si>
  <si>
    <r>
      <rPr>
        <sz val="9"/>
        <color rgb="FF000000"/>
        <rFont val="Arial"/>
        <charset val="134"/>
      </rPr>
      <t>4.34</t>
    </r>
    <r>
      <rPr>
        <sz val="9"/>
        <color rgb="FF000000"/>
        <rFont val="楷体"/>
        <charset val="134"/>
      </rPr>
      <t>亿美元</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</si>
  <si>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快手</t>
    </r>
  </si>
  <si>
    <r>
      <rPr>
        <sz val="9"/>
        <color rgb="FF000000"/>
        <rFont val="Arial"/>
        <charset val="134"/>
      </rPr>
      <t>2.7</t>
    </r>
    <r>
      <rPr>
        <sz val="9"/>
        <color rgb="FF000000"/>
        <rFont val="楷体"/>
        <charset val="134"/>
      </rPr>
      <t>亿美元</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</si>
  <si>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尚珹资本</t>
    </r>
    <r>
      <rPr>
        <sz val="9"/>
        <color rgb="FF000000"/>
        <rFont val="Arial"/>
        <charset val="134"/>
      </rPr>
      <t>,</t>
    </r>
    <r>
      <rPr>
        <sz val="9"/>
        <color rgb="FF000000"/>
        <rFont val="楷体"/>
        <charset val="134"/>
      </rPr>
      <t>阳光保险</t>
    </r>
  </si>
  <si>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搜狗</t>
    </r>
  </si>
  <si>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搜狗</t>
    </r>
  </si>
  <si>
    <r>
      <rPr>
        <sz val="9"/>
        <color rgb="FF000000"/>
        <rFont val="Arial"/>
        <charset val="134"/>
      </rPr>
      <t>2200</t>
    </r>
    <r>
      <rPr>
        <sz val="9"/>
        <color rgb="FF000000"/>
        <rFont val="楷体"/>
        <charset val="134"/>
      </rPr>
      <t>万美元</t>
    </r>
  </si>
  <si>
    <r>
      <rPr>
        <sz val="9"/>
        <color rgb="FF000000"/>
        <rFont val="楷体"/>
        <charset val="134"/>
      </rPr>
      <t>启明创投</t>
    </r>
    <r>
      <rPr>
        <sz val="9"/>
        <color rgb="FF000000"/>
        <rFont val="Arial"/>
        <charset val="134"/>
      </rPr>
      <t>,</t>
    </r>
    <r>
      <rPr>
        <sz val="9"/>
        <color rgb="FF000000"/>
        <rFont val="楷体"/>
        <charset val="134"/>
      </rPr>
      <t>赛富基金</t>
    </r>
    <r>
      <rPr>
        <sz val="9"/>
        <color rgb="FF000000"/>
        <rFont val="Arial"/>
        <charset val="134"/>
      </rPr>
      <t>SAIF Partners</t>
    </r>
  </si>
  <si>
    <t>启明创投</t>
  </si>
  <si>
    <t>2012-11-01</t>
  </si>
  <si>
    <t>丁丁网</t>
  </si>
  <si>
    <r>
      <rPr>
        <sz val="9"/>
        <color rgb="FF000000"/>
        <rFont val="楷体"/>
        <charset val="134"/>
      </rPr>
      <t>丁丁网</t>
    </r>
    <r>
      <rPr>
        <sz val="9"/>
        <color rgb="FF000000"/>
        <rFont val="Arial"/>
        <charset val="134"/>
      </rPr>
      <t>/</t>
    </r>
    <r>
      <rPr>
        <sz val="9"/>
        <color rgb="FF000000"/>
        <rFont val="楷体"/>
        <charset val="134"/>
      </rPr>
      <t>丁丁优惠是一家结合位置技术和搜索技术为城市人群提供精准生活信息服务的高科技互联网企业。</t>
    </r>
  </si>
  <si>
    <t>上海极索信息技术有限公司</t>
  </si>
  <si>
    <t>http://www.ddmap.com/</t>
  </si>
  <si>
    <t>2005-05</t>
  </si>
  <si>
    <t>本地生活</t>
  </si>
  <si>
    <t>综合生活服务</t>
  </si>
  <si>
    <r>
      <rPr>
        <sz val="9"/>
        <color rgb="FF000000"/>
        <rFont val="Arial"/>
        <charset val="134"/>
      </rPr>
      <t>5.72</t>
    </r>
    <r>
      <rPr>
        <sz val="9"/>
        <color rgb="FF000000"/>
        <rFont val="楷体"/>
        <charset val="134"/>
      </rPr>
      <t>亿</t>
    </r>
  </si>
  <si>
    <r>
      <rPr>
        <sz val="9"/>
        <color rgb="FF000000"/>
        <rFont val="楷体"/>
        <charset val="134"/>
      </rPr>
      <t>徐龙江</t>
    </r>
    <r>
      <rPr>
        <sz val="9"/>
        <color rgb="FF000000"/>
        <rFont val="Arial"/>
        <charset val="134"/>
      </rPr>
      <t>:CEO</t>
    </r>
  </si>
  <si>
    <r>
      <rPr>
        <sz val="9"/>
        <color rgb="FF000000"/>
        <rFont val="Arial"/>
        <charset val="134"/>
      </rPr>
      <t>4000</t>
    </r>
    <r>
      <rPr>
        <sz val="9"/>
        <color rgb="FF000000"/>
        <rFont val="楷体"/>
        <charset val="134"/>
      </rPr>
      <t>万美元</t>
    </r>
  </si>
  <si>
    <r>
      <rPr>
        <sz val="9"/>
        <color rgb="FF000000"/>
        <rFont val="楷体"/>
        <charset val="134"/>
      </rPr>
      <t>华威国际集团</t>
    </r>
    <r>
      <rPr>
        <sz val="9"/>
        <color rgb="FF000000"/>
        <rFont val="Arial"/>
        <charset val="134"/>
      </rPr>
      <t>CID,</t>
    </r>
    <r>
      <rPr>
        <sz val="9"/>
        <color rgb="FF000000"/>
        <rFont val="楷体"/>
        <charset val="134"/>
      </rPr>
      <t>风和投资</t>
    </r>
  </si>
  <si>
    <r>
      <rPr>
        <sz val="9"/>
        <color rgb="FF000000"/>
        <rFont val="Arial"/>
        <charset val="134"/>
      </rPr>
      <t>900</t>
    </r>
    <r>
      <rPr>
        <sz val="9"/>
        <color rgb="FF000000"/>
        <rFont val="楷体"/>
        <charset val="134"/>
      </rPr>
      <t>万美元</t>
    </r>
  </si>
  <si>
    <r>
      <rPr>
        <sz val="9"/>
        <color rgb="FF000000"/>
        <rFont val="楷体"/>
        <charset val="134"/>
      </rPr>
      <t>宏达电</t>
    </r>
    <r>
      <rPr>
        <sz val="9"/>
        <color rgb="FF000000"/>
        <rFont val="Arial"/>
        <charset val="134"/>
      </rPr>
      <t>HTC</t>
    </r>
  </si>
  <si>
    <r>
      <rPr>
        <sz val="9"/>
        <color rgb="FF000000"/>
        <rFont val="楷体"/>
        <charset val="134"/>
      </rPr>
      <t>五源资本</t>
    </r>
    <r>
      <rPr>
        <sz val="9"/>
        <color rgb="FF000000"/>
        <rFont val="Arial"/>
        <charset val="134"/>
      </rPr>
      <t>,KTB</t>
    </r>
    <r>
      <rPr>
        <sz val="9"/>
        <color rgb="FF000000"/>
        <rFont val="楷体"/>
        <charset val="134"/>
      </rPr>
      <t>投资集团</t>
    </r>
  </si>
  <si>
    <t>2019-10-12</t>
  </si>
  <si>
    <t>宝宝树</t>
  </si>
  <si>
    <t>宝宝树是一个垂直母婴网站，用户在这里可以进行有价值的经验分享，得到愉快的育儿成长体验，此外宝宝树还开发了多款智能硬件。北京众鸣世纪科技有限公司旗下。</t>
  </si>
  <si>
    <t>北京众鸣世纪科技有限公司</t>
  </si>
  <si>
    <t>http://www.babytree.com/</t>
  </si>
  <si>
    <t>2007-03</t>
  </si>
  <si>
    <r>
      <rPr>
        <sz val="9"/>
        <color rgb="FF000000"/>
        <rFont val="Arial"/>
        <charset val="134"/>
      </rPr>
      <t>IPO</t>
    </r>
    <r>
      <rPr>
        <sz val="9"/>
        <color rgb="FF000000"/>
        <rFont val="楷体"/>
        <charset val="134"/>
      </rPr>
      <t>上市后</t>
    </r>
  </si>
  <si>
    <r>
      <rPr>
        <sz val="9"/>
        <color rgb="FF000000"/>
        <rFont val="Arial"/>
        <charset val="134"/>
      </rPr>
      <t>4560</t>
    </r>
    <r>
      <rPr>
        <sz val="9"/>
        <color rgb="FF000000"/>
        <rFont val="楷体"/>
        <charset val="134"/>
      </rPr>
      <t>万港元</t>
    </r>
  </si>
  <si>
    <t>复星集团</t>
  </si>
  <si>
    <r>
      <rPr>
        <sz val="9"/>
        <color rgb="FF000000"/>
        <rFont val="Arial"/>
        <charset val="134"/>
      </rPr>
      <t>70.48</t>
    </r>
    <r>
      <rPr>
        <sz val="9"/>
        <color rgb="FF000000"/>
        <rFont val="楷体"/>
        <charset val="134"/>
      </rPr>
      <t>亿</t>
    </r>
  </si>
  <si>
    <r>
      <rPr>
        <sz val="9"/>
        <color rgb="FF000000"/>
        <rFont val="Arial"/>
        <charset val="134"/>
      </rPr>
      <t>1.824</t>
    </r>
    <r>
      <rPr>
        <sz val="9"/>
        <color rgb="FF000000"/>
        <rFont val="楷体"/>
        <charset val="134"/>
      </rPr>
      <t>亿元</t>
    </r>
  </si>
  <si>
    <r>
      <rPr>
        <sz val="9"/>
        <color rgb="FF000000"/>
        <rFont val="楷体"/>
        <charset val="134"/>
      </rPr>
      <t>王怀南</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楼丽丽</t>
    </r>
    <r>
      <rPr>
        <sz val="9"/>
        <color rgb="FF000000"/>
        <rFont val="Arial"/>
        <charset val="134"/>
      </rPr>
      <t>:</t>
    </r>
    <r>
      <rPr>
        <sz val="9"/>
        <color rgb="FF000000"/>
        <rFont val="楷体"/>
        <charset val="134"/>
      </rPr>
      <t>总裁</t>
    </r>
  </si>
  <si>
    <r>
      <rPr>
        <sz val="9"/>
        <color rgb="FF000000"/>
        <rFont val="楷体"/>
        <charset val="134"/>
      </rPr>
      <t>北京市朝阳区东三环北路甲</t>
    </r>
    <r>
      <rPr>
        <sz val="9"/>
        <color rgb="FF000000"/>
        <rFont val="Arial"/>
        <charset val="134"/>
      </rPr>
      <t>26</t>
    </r>
    <r>
      <rPr>
        <sz val="9"/>
        <color rgb="FF000000"/>
        <rFont val="楷体"/>
        <charset val="134"/>
      </rPr>
      <t>号博瑞大厦</t>
    </r>
    <r>
      <rPr>
        <sz val="9"/>
        <color rgb="FF000000"/>
        <rFont val="Arial"/>
        <charset val="134"/>
      </rPr>
      <t>A</t>
    </r>
    <r>
      <rPr>
        <sz val="9"/>
        <color rgb="FF000000"/>
        <rFont val="楷体"/>
        <charset val="134"/>
      </rPr>
      <t>座</t>
    </r>
    <r>
      <rPr>
        <sz val="9"/>
        <color rgb="FF000000"/>
        <rFont val="Arial"/>
        <charset val="134"/>
      </rPr>
      <t>6</t>
    </r>
    <r>
      <rPr>
        <sz val="9"/>
        <color rgb="FF000000"/>
        <rFont val="楷体"/>
        <charset val="134"/>
      </rPr>
      <t>层</t>
    </r>
    <r>
      <rPr>
        <sz val="9"/>
        <color rgb="FF000000"/>
        <rFont val="Arial"/>
        <charset val="134"/>
      </rPr>
      <t>;</t>
    </r>
    <r>
      <rPr>
        <sz val="9"/>
        <color rgb="FF000000"/>
        <rFont val="楷体"/>
        <charset val="134"/>
      </rPr>
      <t>北京市朝阳区东三环北路甲</t>
    </r>
    <r>
      <rPr>
        <sz val="9"/>
        <color rgb="FF000000"/>
        <rFont val="Arial"/>
        <charset val="134"/>
      </rPr>
      <t>26</t>
    </r>
    <r>
      <rPr>
        <sz val="9"/>
        <color rgb="FF000000"/>
        <rFont val="楷体"/>
        <charset val="134"/>
      </rPr>
      <t>号楼</t>
    </r>
    <r>
      <rPr>
        <sz val="9"/>
        <color rgb="FF000000"/>
        <rFont val="Arial"/>
        <charset val="134"/>
      </rPr>
      <t>6</t>
    </r>
    <r>
      <rPr>
        <sz val="9"/>
        <color rgb="FF000000"/>
        <rFont val="楷体"/>
        <charset val="134"/>
      </rPr>
      <t>层</t>
    </r>
    <r>
      <rPr>
        <sz val="9"/>
        <color rgb="FF000000"/>
        <rFont val="Arial"/>
        <charset val="134"/>
      </rPr>
      <t>608</t>
    </r>
  </si>
  <si>
    <t>400-044-5288</t>
  </si>
  <si>
    <t>cs@babytree-inc.com</t>
  </si>
  <si>
    <r>
      <rPr>
        <sz val="9"/>
        <color rgb="FF000000"/>
        <rFont val="Arial"/>
        <charset val="134"/>
      </rPr>
      <t>16.08</t>
    </r>
    <r>
      <rPr>
        <sz val="9"/>
        <color rgb="FF000000"/>
        <rFont val="楷体"/>
        <charset val="134"/>
      </rPr>
      <t>亿港元</t>
    </r>
  </si>
  <si>
    <r>
      <rPr>
        <sz val="9"/>
        <color rgb="FF000000"/>
        <rFont val="Arial"/>
        <charset val="134"/>
      </rPr>
      <t>30</t>
    </r>
    <r>
      <rPr>
        <sz val="9"/>
        <color rgb="FF000000"/>
        <rFont val="楷体"/>
        <charset val="134"/>
      </rPr>
      <t>亿人民币</t>
    </r>
  </si>
  <si>
    <r>
      <rPr>
        <sz val="9"/>
        <color rgb="FF000000"/>
        <rFont val="楷体"/>
        <charset val="134"/>
      </rPr>
      <t>经纬创投</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华盖资本</t>
    </r>
    <r>
      <rPr>
        <sz val="9"/>
        <color rgb="FF000000"/>
        <rFont val="Arial"/>
        <charset val="134"/>
      </rPr>
      <t>,</t>
    </r>
    <r>
      <rPr>
        <sz val="9"/>
        <color rgb="FF000000"/>
        <rFont val="楷体"/>
        <charset val="134"/>
      </rPr>
      <t>复星集团</t>
    </r>
    <r>
      <rPr>
        <sz val="9"/>
        <color rgb="FF000000"/>
        <rFont val="Arial"/>
        <charset val="134"/>
      </rPr>
      <t>,</t>
    </r>
    <r>
      <rPr>
        <sz val="9"/>
        <color rgb="FF000000"/>
        <rFont val="楷体"/>
        <charset val="134"/>
      </rPr>
      <t>滨江创投</t>
    </r>
    <r>
      <rPr>
        <sz val="9"/>
        <color rgb="FF000000"/>
        <rFont val="Arial"/>
        <charset val="134"/>
      </rPr>
      <t>,</t>
    </r>
    <r>
      <rPr>
        <sz val="9"/>
        <color rgb="FF000000"/>
        <rFont val="楷体"/>
        <charset val="134"/>
      </rPr>
      <t>晨山资本</t>
    </r>
    <r>
      <rPr>
        <sz val="9"/>
        <color rgb="FF000000"/>
        <rFont val="Arial"/>
        <charset val="134"/>
      </rPr>
      <t>,</t>
    </r>
    <r>
      <rPr>
        <sz val="9"/>
        <color rgb="FF000000"/>
        <rFont val="楷体"/>
        <charset val="134"/>
      </rPr>
      <t>招商财富</t>
    </r>
    <r>
      <rPr>
        <sz val="9"/>
        <color rgb="FF000000"/>
        <rFont val="Arial"/>
        <charset val="134"/>
      </rPr>
      <t>,</t>
    </r>
    <r>
      <rPr>
        <sz val="9"/>
        <color rgb="FF000000"/>
        <rFont val="楷体"/>
        <charset val="134"/>
      </rPr>
      <t>招金投资</t>
    </r>
    <r>
      <rPr>
        <sz val="9"/>
        <color rgb="FF000000"/>
        <rFont val="Arial"/>
        <charset val="134"/>
      </rPr>
      <t>,</t>
    </r>
    <r>
      <rPr>
        <sz val="9"/>
        <color rgb="FF000000"/>
        <rFont val="楷体"/>
        <charset val="134"/>
      </rPr>
      <t>澹复投资</t>
    </r>
  </si>
  <si>
    <r>
      <rPr>
        <sz val="9"/>
        <color rgb="FF000000"/>
        <rFont val="Arial"/>
        <charset val="134"/>
      </rPr>
      <t>3</t>
    </r>
    <r>
      <rPr>
        <sz val="9"/>
        <color rgb="FF000000"/>
        <rFont val="楷体"/>
        <charset val="134"/>
      </rPr>
      <t>亿美元</t>
    </r>
  </si>
  <si>
    <r>
      <rPr>
        <sz val="9"/>
        <color rgb="FF000000"/>
        <rFont val="楷体"/>
        <charset val="134"/>
      </rPr>
      <t>千合资本</t>
    </r>
    <r>
      <rPr>
        <sz val="9"/>
        <color rgb="FF000000"/>
        <rFont val="Arial"/>
        <charset val="134"/>
      </rPr>
      <t>,</t>
    </r>
    <r>
      <rPr>
        <sz val="9"/>
        <color rgb="FF000000"/>
        <rFont val="楷体"/>
        <charset val="134"/>
      </rPr>
      <t>易方达基金</t>
    </r>
    <r>
      <rPr>
        <sz val="9"/>
        <color rgb="FF000000"/>
        <rFont val="Arial"/>
        <charset val="134"/>
      </rPr>
      <t>,</t>
    </r>
    <r>
      <rPr>
        <sz val="9"/>
        <color rgb="FF000000"/>
        <rFont val="楷体"/>
        <charset val="134"/>
      </rPr>
      <t>聚美优品</t>
    </r>
  </si>
  <si>
    <r>
      <rPr>
        <sz val="9"/>
        <color rgb="FF000000"/>
        <rFont val="Arial"/>
        <charset val="134"/>
      </rPr>
      <t>1.5</t>
    </r>
    <r>
      <rPr>
        <sz val="9"/>
        <color rgb="FF000000"/>
        <rFont val="楷体"/>
        <charset val="134"/>
      </rPr>
      <t>亿人民币</t>
    </r>
  </si>
  <si>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</si>
  <si>
    <r>
      <rPr>
        <sz val="9"/>
        <color rgb="FF000000"/>
        <rFont val="楷体"/>
        <charset val="134"/>
      </rPr>
      <t>宽带资本</t>
    </r>
    <r>
      <rPr>
        <sz val="9"/>
        <color rgb="FF000000"/>
        <rFont val="Arial"/>
        <charset val="134"/>
      </rPr>
      <t>CBC,SIG</t>
    </r>
    <r>
      <rPr>
        <sz val="9"/>
        <color rgb="FF000000"/>
        <rFont val="楷体"/>
        <charset val="134"/>
      </rPr>
      <t>海纳亚洲</t>
    </r>
  </si>
  <si>
    <r>
      <rPr>
        <sz val="9"/>
        <color rgb="FF000000"/>
        <rFont val="楷体"/>
        <charset val="134"/>
      </rPr>
      <t>经纬创投</t>
    </r>
    <r>
      <rPr>
        <sz val="9"/>
        <color rgb="FF000000"/>
        <rFont val="Arial"/>
        <charset val="134"/>
      </rPr>
      <t>,Matrix Partners</t>
    </r>
    <r>
      <rPr>
        <sz val="9"/>
        <color rgb="FF000000"/>
        <rFont val="楷体"/>
        <charset val="134"/>
      </rPr>
      <t>经纬海外</t>
    </r>
  </si>
  <si>
    <r>
      <rPr>
        <sz val="9"/>
        <color rgb="FF000000"/>
        <rFont val="Arial"/>
        <charset val="134"/>
      </rPr>
      <t>Matrix Partners</t>
    </r>
    <r>
      <rPr>
        <sz val="9"/>
        <color rgb="FF000000"/>
        <rFont val="楷体"/>
        <charset val="134"/>
      </rPr>
      <t>经纬海外</t>
    </r>
  </si>
  <si>
    <t>2016-12-13</t>
  </si>
  <si>
    <t>堆糖APP</t>
  </si>
  <si>
    <r>
      <rPr>
        <sz val="9"/>
        <color rgb="FF000000"/>
        <rFont val="楷体"/>
        <charset val="134"/>
      </rPr>
      <t>堆糖</t>
    </r>
    <r>
      <rPr>
        <sz val="9"/>
        <color rgb="FF000000"/>
        <rFont val="Arial"/>
        <charset val="134"/>
      </rPr>
      <t>APP</t>
    </r>
  </si>
  <si>
    <t>堆糖是一个图片分享社交电商，用户可以在平台上以图片的方式展示和浏览喜爱的事物，涵盖生活态度、饮食文化、阅读观影、旅行摄影等内容。同时平台会根据用户的生活方式等，聚焦女性群体，沉淀有效用户，从而实现商业化。</t>
  </si>
  <si>
    <t>堆糖信息科技（上海）有限公司</t>
  </si>
  <si>
    <t>http://www.duitang.com/</t>
  </si>
  <si>
    <t>2011-05</t>
  </si>
  <si>
    <t>社交网络</t>
  </si>
  <si>
    <t>兴趣社区</t>
  </si>
  <si>
    <t>头头是道投资基金</t>
  </si>
  <si>
    <r>
      <rPr>
        <sz val="9"/>
        <color rgb="FF000000"/>
        <rFont val="Arial"/>
        <charset val="134"/>
      </rPr>
      <t>6950</t>
    </r>
    <r>
      <rPr>
        <sz val="9"/>
        <color rgb="FF000000"/>
        <rFont val="楷体"/>
        <charset val="134"/>
      </rPr>
      <t>万</t>
    </r>
  </si>
  <si>
    <r>
      <rPr>
        <sz val="9"/>
        <color rgb="FF000000"/>
        <rFont val="楷体"/>
        <charset val="134"/>
      </rPr>
      <t>张涓</t>
    </r>
    <r>
      <rPr>
        <sz val="9"/>
        <color rgb="FF000000"/>
        <rFont val="Arial"/>
        <charset val="134"/>
      </rPr>
      <t>:</t>
    </r>
    <r>
      <rPr>
        <sz val="9"/>
        <color rgb="FF000000"/>
        <rFont val="楷体"/>
        <charset val="134"/>
      </rPr>
      <t>创始人</t>
    </r>
  </si>
  <si>
    <r>
      <rPr>
        <sz val="9"/>
        <color rgb="FF000000"/>
        <rFont val="楷体"/>
        <charset val="134"/>
      </rPr>
      <t>中国（上海）自由贸易试验区郭守敬路</t>
    </r>
    <r>
      <rPr>
        <sz val="9"/>
        <color rgb="FF000000"/>
        <rFont val="Arial"/>
        <charset val="134"/>
      </rPr>
      <t>498</t>
    </r>
    <r>
      <rPr>
        <sz val="9"/>
        <color rgb="FF000000"/>
        <rFont val="楷体"/>
        <charset val="134"/>
      </rPr>
      <t>号</t>
    </r>
    <r>
      <rPr>
        <sz val="9"/>
        <color rgb="FF000000"/>
        <rFont val="Arial"/>
        <charset val="134"/>
      </rPr>
      <t>14</t>
    </r>
    <r>
      <rPr>
        <sz val="9"/>
        <color rgb="FF000000"/>
        <rFont val="楷体"/>
        <charset val="134"/>
      </rPr>
      <t>幢</t>
    </r>
    <r>
      <rPr>
        <sz val="9"/>
        <color rgb="FF000000"/>
        <rFont val="Arial"/>
        <charset val="134"/>
      </rPr>
      <t>22301-1601</t>
    </r>
    <r>
      <rPr>
        <sz val="9"/>
        <color rgb="FF000000"/>
        <rFont val="楷体"/>
        <charset val="134"/>
      </rPr>
      <t>座</t>
    </r>
  </si>
  <si>
    <t xml:space="preserve"> 15252741395</t>
  </si>
  <si>
    <t>pei.fan@duitang.com</t>
  </si>
  <si>
    <r>
      <rPr>
        <sz val="9"/>
        <color rgb="FF000000"/>
        <rFont val="Arial"/>
        <charset val="134"/>
      </rPr>
      <t>Pre-A</t>
    </r>
    <r>
      <rPr>
        <sz val="9"/>
        <color rgb="FF000000"/>
        <rFont val="楷体"/>
        <charset val="134"/>
      </rPr>
      <t>轮</t>
    </r>
  </si>
  <si>
    <t>2017-08-03</t>
  </si>
  <si>
    <t>易果生鲜</t>
  </si>
  <si>
    <r>
      <rPr>
        <sz val="9"/>
        <color rgb="FF000000"/>
        <rFont val="楷体"/>
        <charset val="134"/>
      </rPr>
      <t>易果生鲜致力于向注重生活品质的都市中高端家庭提供精品生鲜食材。公司经营的</t>
    </r>
    <r>
      <rPr>
        <sz val="9"/>
        <color rgb="FF000000"/>
        <rFont val="Arial"/>
        <charset val="134"/>
      </rPr>
      <t>“</t>
    </r>
    <r>
      <rPr>
        <sz val="9"/>
        <color rgb="FF000000"/>
        <rFont val="楷体"/>
        <charset val="134"/>
      </rPr>
      <t>易果生鲜，全球精选</t>
    </r>
    <r>
      <rPr>
        <sz val="9"/>
        <color rgb="FF000000"/>
        <rFont val="Arial"/>
        <charset val="134"/>
      </rPr>
      <t>”</t>
    </r>
    <r>
      <rPr>
        <sz val="9"/>
        <color rgb="FF000000"/>
        <rFont val="楷体"/>
        <charset val="134"/>
      </rPr>
      <t>电商网站旗下经营水果、蔬菜、水产、肉类、禽蛋、食品饮料、甜点、酒类、礼品礼券</t>
    </r>
    <r>
      <rPr>
        <sz val="9"/>
        <color rgb="FF000000"/>
        <rFont val="Arial"/>
        <charset val="134"/>
      </rPr>
      <t>8</t>
    </r>
    <r>
      <rPr>
        <sz val="9"/>
        <color rgb="FF000000"/>
        <rFont val="楷体"/>
        <charset val="134"/>
      </rPr>
      <t>大品类共</t>
    </r>
    <r>
      <rPr>
        <sz val="9"/>
        <color rgb="FF000000"/>
        <rFont val="Arial"/>
        <charset val="134"/>
      </rPr>
      <t>3200</t>
    </r>
    <r>
      <rPr>
        <sz val="9"/>
        <color rgb="FF000000"/>
        <rFont val="楷体"/>
        <charset val="134"/>
      </rPr>
      <t>种产品，以</t>
    </r>
    <r>
      <rPr>
        <sz val="9"/>
        <color rgb="FF000000"/>
        <rFont val="Arial"/>
        <charset val="134"/>
      </rPr>
      <t>“</t>
    </r>
    <r>
      <rPr>
        <sz val="9"/>
        <color rgb="FF000000"/>
        <rFont val="楷体"/>
        <charset val="134"/>
      </rPr>
      <t>常温、冰鲜、冻鲜、活鲜</t>
    </r>
    <r>
      <rPr>
        <sz val="9"/>
        <color rgb="FF000000"/>
        <rFont val="Arial"/>
        <charset val="134"/>
      </rPr>
      <t>”4</t>
    </r>
    <r>
      <rPr>
        <sz val="9"/>
        <color rgb="FF000000"/>
        <rFont val="楷体"/>
        <charset val="134"/>
      </rPr>
      <t>种形式，全程冷链运输，全年无休鲜活配送。</t>
    </r>
  </si>
  <si>
    <t>上海易果电子商务有限公司</t>
  </si>
  <si>
    <t>http://www.yiguo.com</t>
  </si>
  <si>
    <t>2007-02</t>
  </si>
  <si>
    <t>生鲜</t>
  </si>
  <si>
    <r>
      <rPr>
        <sz val="9"/>
        <color rgb="FF000000"/>
        <rFont val="楷体"/>
        <charset val="134"/>
      </rPr>
      <t>阿里巴巴</t>
    </r>
    <r>
      <rPr>
        <sz val="9"/>
        <color rgb="FF000000"/>
        <rFont val="Arial"/>
        <charset val="134"/>
      </rPr>
      <t>,</t>
    </r>
    <r>
      <rPr>
        <sz val="9"/>
        <color rgb="FF000000"/>
        <rFont val="楷体"/>
        <charset val="134"/>
      </rPr>
      <t>天猫商城</t>
    </r>
  </si>
  <si>
    <r>
      <rPr>
        <sz val="9"/>
        <color rgb="FF000000"/>
        <rFont val="Arial"/>
        <charset val="134"/>
      </rPr>
      <t>60.1</t>
    </r>
    <r>
      <rPr>
        <sz val="9"/>
        <color rgb="FF000000"/>
        <rFont val="楷体"/>
        <charset val="134"/>
      </rPr>
      <t>亿</t>
    </r>
  </si>
  <si>
    <r>
      <rPr>
        <sz val="9"/>
        <color rgb="FF000000"/>
        <rFont val="Arial"/>
        <charset val="134"/>
      </rPr>
      <t>97.5</t>
    </r>
    <r>
      <rPr>
        <sz val="9"/>
        <color rgb="FF000000"/>
        <rFont val="楷体"/>
        <charset val="134"/>
      </rPr>
      <t>亿元</t>
    </r>
  </si>
  <si>
    <r>
      <rPr>
        <sz val="9"/>
        <color rgb="FF000000"/>
        <rFont val="楷体"/>
        <charset val="134"/>
      </rPr>
      <t>茅庐</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金光磊</t>
    </r>
    <r>
      <rPr>
        <sz val="9"/>
        <color rgb="FF000000"/>
        <rFont val="Arial"/>
        <charset val="134"/>
      </rPr>
      <t>:CEO,</t>
    </r>
    <r>
      <rPr>
        <sz val="9"/>
        <color rgb="FF000000"/>
        <rFont val="楷体"/>
        <charset val="134"/>
      </rPr>
      <t>张晔</t>
    </r>
    <r>
      <rPr>
        <sz val="9"/>
        <color rgb="FF000000"/>
        <rFont val="Arial"/>
        <charset val="134"/>
      </rPr>
      <t>:</t>
    </r>
    <r>
      <rPr>
        <sz val="9"/>
        <color rgb="FF000000"/>
        <rFont val="楷体"/>
        <charset val="134"/>
      </rPr>
      <t>董事长</t>
    </r>
  </si>
  <si>
    <r>
      <rPr>
        <sz val="9"/>
        <color rgb="FF000000"/>
        <rFont val="楷体"/>
        <charset val="134"/>
      </rPr>
      <t>上海市长宁区金钟路</t>
    </r>
    <r>
      <rPr>
        <sz val="9"/>
        <color rgb="FF000000"/>
        <rFont val="Arial"/>
        <charset val="134"/>
      </rPr>
      <t>999</t>
    </r>
    <r>
      <rPr>
        <sz val="9"/>
        <color rgb="FF000000"/>
        <rFont val="楷体"/>
        <charset val="134"/>
      </rPr>
      <t>号</t>
    </r>
    <r>
      <rPr>
        <sz val="9"/>
        <color rgb="FF000000"/>
        <rFont val="Arial"/>
        <charset val="134"/>
      </rPr>
      <t>c</t>
    </r>
    <r>
      <rPr>
        <sz val="9"/>
        <color rgb="FF000000"/>
        <rFont val="楷体"/>
        <charset val="134"/>
      </rPr>
      <t>幢</t>
    </r>
    <r>
      <rPr>
        <sz val="9"/>
        <color rgb="FF000000"/>
        <rFont val="Arial"/>
        <charset val="134"/>
      </rPr>
      <t>5</t>
    </r>
    <r>
      <rPr>
        <sz val="9"/>
        <color rgb="FF000000"/>
        <rFont val="楷体"/>
        <charset val="134"/>
      </rPr>
      <t>楼</t>
    </r>
  </si>
  <si>
    <t>400-000-7788</t>
  </si>
  <si>
    <t>KF@yiguo.com</t>
  </si>
  <si>
    <r>
      <rPr>
        <sz val="9"/>
        <color rgb="FF000000"/>
        <rFont val="楷体"/>
        <charset val="134"/>
      </rPr>
      <t>苏宁</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三行资本</t>
    </r>
    <r>
      <rPr>
        <sz val="9"/>
        <color rgb="FF000000"/>
        <rFont val="Arial"/>
        <charset val="134"/>
      </rPr>
      <t>,</t>
    </r>
    <r>
      <rPr>
        <sz val="9"/>
        <color rgb="FF000000"/>
        <rFont val="楷体"/>
        <charset val="134"/>
      </rPr>
      <t>中银国际</t>
    </r>
    <r>
      <rPr>
        <sz val="9"/>
        <color rgb="FF000000"/>
        <rFont val="Arial"/>
        <charset val="134"/>
      </rPr>
      <t>,</t>
    </r>
    <r>
      <rPr>
        <sz val="9"/>
        <color rgb="FF000000"/>
        <rFont val="楷体"/>
        <charset val="134"/>
      </rPr>
      <t>银华瑞信</t>
    </r>
    <r>
      <rPr>
        <sz val="9"/>
        <color rgb="FF000000"/>
        <rFont val="Arial"/>
        <charset val="134"/>
      </rPr>
      <t>,</t>
    </r>
    <r>
      <rPr>
        <sz val="9"/>
        <color rgb="FF000000"/>
        <rFont val="楷体"/>
        <charset val="134"/>
      </rPr>
      <t>晟道投资</t>
    </r>
    <r>
      <rPr>
        <sz val="9"/>
        <color rgb="FF000000"/>
        <rFont val="Arial"/>
        <charset val="134"/>
      </rPr>
      <t>,</t>
    </r>
    <r>
      <rPr>
        <sz val="9"/>
        <color rgb="FF000000"/>
        <rFont val="楷体"/>
        <charset val="134"/>
      </rPr>
      <t>睦嘉投资</t>
    </r>
  </si>
  <si>
    <r>
      <rPr>
        <sz val="9"/>
        <color rgb="FF000000"/>
        <rFont val="Arial"/>
        <charset val="134"/>
      </rPr>
      <t>2.6</t>
    </r>
    <r>
      <rPr>
        <sz val="9"/>
        <color rgb="FF000000"/>
        <rFont val="楷体"/>
        <charset val="134"/>
      </rPr>
      <t>亿美元</t>
    </r>
  </si>
  <si>
    <r>
      <rPr>
        <sz val="9"/>
        <color rgb="FF000000"/>
        <rFont val="楷体"/>
        <charset val="134"/>
      </rPr>
      <t>阿里巴巴</t>
    </r>
    <r>
      <rPr>
        <sz val="9"/>
        <color rgb="FF000000"/>
        <rFont val="Arial"/>
        <charset val="134"/>
      </rPr>
      <t>,KKR</t>
    </r>
  </si>
  <si>
    <t>仁弘资本</t>
  </si>
  <si>
    <t>2016-04-30</t>
  </si>
  <si>
    <t>遛遛宠物</t>
  </si>
  <si>
    <t>遛遛宠物是一个基于宠物的移动社交应用，基于地理位置帮助用户发现身边的爱宠达人和宠物、一起遛狗；解决宠物配种、领养、寄养等服务。</t>
  </si>
  <si>
    <t>遛友宠物信息科技（上海）有限公司</t>
  </si>
  <si>
    <t>http://www.liuliu.co</t>
  </si>
  <si>
    <t>2014-09</t>
  </si>
  <si>
    <t>宠物服务</t>
  </si>
  <si>
    <r>
      <rPr>
        <sz val="9"/>
        <color rgb="FF000000"/>
        <rFont val="楷体"/>
        <charset val="134"/>
      </rPr>
      <t>紫辉创投</t>
    </r>
    <r>
      <rPr>
        <sz val="9"/>
        <color rgb="FF000000"/>
        <rFont val="Arial"/>
        <charset val="134"/>
      </rPr>
      <t>,</t>
    </r>
    <r>
      <rPr>
        <sz val="9"/>
        <color rgb="FF000000"/>
        <rFont val="楷体"/>
        <charset val="134"/>
      </rPr>
      <t>徽瑾创投</t>
    </r>
  </si>
  <si>
    <r>
      <rPr>
        <sz val="9"/>
        <color rgb="FF000000"/>
        <rFont val="Arial"/>
        <charset val="134"/>
      </rPr>
      <t>1425</t>
    </r>
    <r>
      <rPr>
        <sz val="9"/>
        <color rgb="FF000000"/>
        <rFont val="楷体"/>
        <charset val="134"/>
      </rPr>
      <t>万</t>
    </r>
  </si>
  <si>
    <r>
      <rPr>
        <sz val="9"/>
        <color rgb="FF000000"/>
        <rFont val="Arial"/>
        <charset val="134"/>
      </rPr>
      <t>5000</t>
    </r>
    <r>
      <rPr>
        <sz val="9"/>
        <color rgb="FF000000"/>
        <rFont val="楷体"/>
        <charset val="134"/>
      </rPr>
      <t>万元</t>
    </r>
  </si>
  <si>
    <r>
      <rPr>
        <sz val="9"/>
        <color rgb="FF000000"/>
        <rFont val="楷体"/>
        <charset val="134"/>
      </rPr>
      <t>张帆</t>
    </r>
    <r>
      <rPr>
        <sz val="9"/>
        <color rgb="FF000000"/>
        <rFont val="Arial"/>
        <charset val="134"/>
      </rPr>
      <t>:</t>
    </r>
    <r>
      <rPr>
        <sz val="9"/>
        <color rgb="FF000000"/>
        <rFont val="楷体"/>
        <charset val="134"/>
      </rPr>
      <t>创始人</t>
    </r>
  </si>
  <si>
    <t>admin@liuliu.co</t>
  </si>
  <si>
    <r>
      <rPr>
        <sz val="9"/>
        <color rgb="FF000000"/>
        <rFont val="楷体"/>
        <charset val="134"/>
      </rPr>
      <t>阿里巴巴</t>
    </r>
    <r>
      <rPr>
        <sz val="9"/>
        <color rgb="FF000000"/>
        <rFont val="Arial"/>
        <charset val="134"/>
      </rPr>
      <t>,</t>
    </r>
    <r>
      <rPr>
        <sz val="9"/>
        <color rgb="FF000000"/>
        <rFont val="楷体"/>
        <charset val="134"/>
      </rPr>
      <t>紫辉创投</t>
    </r>
  </si>
  <si>
    <r>
      <rPr>
        <sz val="9"/>
        <color rgb="FF000000"/>
        <rFont val="Arial"/>
        <charset val="134"/>
      </rPr>
      <t>125</t>
    </r>
    <r>
      <rPr>
        <sz val="9"/>
        <color rgb="FF000000"/>
        <rFont val="楷体"/>
        <charset val="134"/>
      </rPr>
      <t>万人民币</t>
    </r>
  </si>
  <si>
    <t>紫辉创投</t>
  </si>
  <si>
    <t>2020-08-27</t>
  </si>
  <si>
    <t>思必驰</t>
  </si>
  <si>
    <r>
      <rPr>
        <sz val="9"/>
        <color rgb="FF000000"/>
        <rFont val="楷体"/>
        <charset val="134"/>
      </rPr>
      <t>思必驰是国内专业的对话式人工智能平台公司，拥有全链路的智能语音语言技术，自主研发了新一代人机交互平台</t>
    </r>
    <r>
      <rPr>
        <sz val="9"/>
        <color rgb="FF000000"/>
        <rFont val="Arial"/>
        <charset val="134"/>
      </rPr>
      <t>(DUI)</t>
    </r>
    <r>
      <rPr>
        <sz val="9"/>
        <color rgb="FF000000"/>
        <rFont val="楷体"/>
        <charset val="134"/>
      </rPr>
      <t>，和人工智能芯片</t>
    </r>
    <r>
      <rPr>
        <sz val="9"/>
        <color rgb="FF000000"/>
        <rFont val="Arial"/>
        <charset val="134"/>
      </rPr>
      <t>(TH1520)</t>
    </r>
    <r>
      <rPr>
        <sz val="9"/>
        <color rgb="FF000000"/>
        <rFont val="楷体"/>
        <charset val="134"/>
      </rPr>
      <t>；为车联网、</t>
    </r>
    <r>
      <rPr>
        <sz val="9"/>
        <color rgb="FF000000"/>
        <rFont val="Arial"/>
        <charset val="134"/>
      </rPr>
      <t>IoT</t>
    </r>
    <r>
      <rPr>
        <sz val="9"/>
        <color rgb="FF000000"/>
        <rFont val="楷体"/>
        <charset val="134"/>
      </rPr>
      <t>及政务、金融等众多行业场景合作伙伴提供自然语言交互解决方案。</t>
    </r>
  </si>
  <si>
    <t>思必驰科技股份有限公司</t>
  </si>
  <si>
    <t>http://www.aispeech.com</t>
  </si>
  <si>
    <t>2007-10</t>
  </si>
  <si>
    <r>
      <rPr>
        <sz val="9"/>
        <color rgb="FF000000"/>
        <rFont val="楷体"/>
        <charset val="134"/>
      </rPr>
      <t>江苏</t>
    </r>
    <r>
      <rPr>
        <sz val="9"/>
        <color rgb="FF000000"/>
        <rFont val="Arial"/>
        <charset val="134"/>
      </rPr>
      <t>-</t>
    </r>
    <r>
      <rPr>
        <sz val="9"/>
        <color rgb="FF000000"/>
        <rFont val="楷体"/>
        <charset val="134"/>
      </rPr>
      <t>苏州</t>
    </r>
  </si>
  <si>
    <t>前沿技术</t>
  </si>
  <si>
    <t>Pre-IPO</t>
  </si>
  <si>
    <r>
      <rPr>
        <sz val="9"/>
        <color rgb="FF000000"/>
        <rFont val="楷体"/>
        <charset val="134"/>
      </rPr>
      <t>元禾控股</t>
    </r>
    <r>
      <rPr>
        <sz val="9"/>
        <color rgb="FF000000"/>
        <rFont val="Arial"/>
        <charset val="134"/>
      </rPr>
      <t>,</t>
    </r>
    <r>
      <rPr>
        <sz val="9"/>
        <color rgb="FF000000"/>
        <rFont val="楷体"/>
        <charset val="134"/>
      </rPr>
      <t>美的集团</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大横琴科技</t>
    </r>
    <r>
      <rPr>
        <sz val="9"/>
        <color rgb="FF000000"/>
        <rFont val="Arial"/>
        <charset val="134"/>
      </rPr>
      <t>,</t>
    </r>
    <r>
      <rPr>
        <sz val="9"/>
        <color rgb="FF000000"/>
        <rFont val="楷体"/>
        <charset val="134"/>
      </rPr>
      <t>菡源资产</t>
    </r>
  </si>
  <si>
    <r>
      <rPr>
        <sz val="9"/>
        <color rgb="FF000000"/>
        <rFont val="Arial"/>
        <charset val="134"/>
      </rPr>
      <t>15.9</t>
    </r>
    <r>
      <rPr>
        <sz val="9"/>
        <color rgb="FF000000"/>
        <rFont val="楷体"/>
        <charset val="134"/>
      </rPr>
      <t>亿</t>
    </r>
  </si>
  <si>
    <r>
      <rPr>
        <sz val="9"/>
        <color rgb="FF000000"/>
        <rFont val="Arial"/>
        <charset val="134"/>
      </rPr>
      <t>80</t>
    </r>
    <r>
      <rPr>
        <sz val="9"/>
        <color rgb="FF000000"/>
        <rFont val="楷体"/>
        <charset val="134"/>
      </rPr>
      <t>亿元</t>
    </r>
  </si>
  <si>
    <r>
      <rPr>
        <sz val="9"/>
        <color rgb="FF000000"/>
        <rFont val="楷体"/>
        <charset val="134"/>
      </rPr>
      <t>高始兴</t>
    </r>
    <r>
      <rPr>
        <sz val="9"/>
        <color rgb="FF000000"/>
        <rFont val="Arial"/>
        <charset val="134"/>
      </rPr>
      <t>:CEO,</t>
    </r>
    <r>
      <rPr>
        <sz val="9"/>
        <color rgb="FF000000"/>
        <rFont val="楷体"/>
        <charset val="134"/>
      </rPr>
      <t>俞凯</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首席科学家</t>
    </r>
  </si>
  <si>
    <r>
      <rPr>
        <sz val="9"/>
        <color rgb="FF000000"/>
        <rFont val="楷体"/>
        <charset val="134"/>
      </rPr>
      <t>苏州工业园区星湖街</t>
    </r>
    <r>
      <rPr>
        <sz val="9"/>
        <color rgb="FF000000"/>
        <rFont val="Arial"/>
        <charset val="134"/>
      </rPr>
      <t>328</t>
    </r>
    <r>
      <rPr>
        <sz val="9"/>
        <color rgb="FF000000"/>
        <rFont val="楷体"/>
        <charset val="134"/>
      </rPr>
      <t>号创意产业园</t>
    </r>
    <r>
      <rPr>
        <sz val="9"/>
        <color rgb="FF000000"/>
        <rFont val="Arial"/>
        <charset val="134"/>
      </rPr>
      <t>9-703</t>
    </r>
  </si>
  <si>
    <t>180-1558-8312</t>
  </si>
  <si>
    <t>qiaoyun.chen@aispeech.com</t>
  </si>
  <si>
    <r>
      <rPr>
        <sz val="9"/>
        <color rgb="FF000000"/>
        <rFont val="Arial"/>
        <charset val="134"/>
      </rPr>
      <t>4.1</t>
    </r>
    <r>
      <rPr>
        <sz val="9"/>
        <color rgb="FF000000"/>
        <rFont val="楷体"/>
        <charset val="134"/>
      </rPr>
      <t>亿人民币</t>
    </r>
  </si>
  <si>
    <r>
      <rPr>
        <sz val="9"/>
        <color rgb="FF000000"/>
        <rFont val="楷体"/>
        <charset val="134"/>
      </rPr>
      <t>金石投资</t>
    </r>
    <r>
      <rPr>
        <sz val="9"/>
        <color rgb="FF000000"/>
        <rFont val="Arial"/>
        <charset val="134"/>
      </rPr>
      <t>,</t>
    </r>
    <r>
      <rPr>
        <sz val="9"/>
        <color rgb="FF000000"/>
        <rFont val="楷体"/>
        <charset val="134"/>
      </rPr>
      <t>北汽产投</t>
    </r>
    <r>
      <rPr>
        <sz val="9"/>
        <color rgb="FF000000"/>
        <rFont val="Arial"/>
        <charset val="134"/>
      </rPr>
      <t>,</t>
    </r>
    <r>
      <rPr>
        <sz val="9"/>
        <color rgb="FF000000"/>
        <rFont val="楷体"/>
        <charset val="134"/>
      </rPr>
      <t>和利资本</t>
    </r>
    <r>
      <rPr>
        <sz val="9"/>
        <color rgb="FF000000"/>
        <rFont val="Arial"/>
        <charset val="134"/>
      </rPr>
      <t>,</t>
    </r>
    <r>
      <rPr>
        <sz val="9"/>
        <color rgb="FF000000"/>
        <rFont val="楷体"/>
        <charset val="134"/>
      </rPr>
      <t>明善资本</t>
    </r>
  </si>
  <si>
    <r>
      <rPr>
        <sz val="9"/>
        <color rgb="FF000000"/>
        <rFont val="Arial"/>
        <charset val="134"/>
      </rPr>
      <t>5</t>
    </r>
    <r>
      <rPr>
        <sz val="9"/>
        <color rgb="FF000000"/>
        <rFont val="楷体"/>
        <charset val="134"/>
      </rPr>
      <t>亿人民币</t>
    </r>
  </si>
  <si>
    <r>
      <rPr>
        <sz val="9"/>
        <color rgb="FF000000"/>
        <rFont val="楷体"/>
        <charset val="134"/>
      </rPr>
      <t>深创投</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联发科</t>
    </r>
    <r>
      <rPr>
        <sz val="9"/>
        <color rgb="FF000000"/>
        <rFont val="Arial"/>
        <charset val="134"/>
      </rPr>
      <t>MTK,</t>
    </r>
    <r>
      <rPr>
        <sz val="9"/>
        <color rgb="FF000000"/>
        <rFont val="楷体"/>
        <charset val="134"/>
      </rPr>
      <t>富士康</t>
    </r>
    <r>
      <rPr>
        <sz val="9"/>
        <color rgb="FF000000"/>
        <rFont val="Arial"/>
        <charset val="134"/>
      </rPr>
      <t>Foxconn,</t>
    </r>
    <r>
      <rPr>
        <sz val="9"/>
        <color rgb="FF000000"/>
        <rFont val="楷体"/>
        <charset val="134"/>
      </rPr>
      <t>中民投</t>
    </r>
  </si>
  <si>
    <r>
      <rPr>
        <sz val="9"/>
        <color rgb="FF000000"/>
        <rFont val="楷体"/>
        <charset val="134"/>
      </rPr>
      <t>阿里巴巴</t>
    </r>
    <r>
      <rPr>
        <sz val="9"/>
        <color rgb="FF000000"/>
        <rFont val="Arial"/>
        <charset val="134"/>
      </rPr>
      <t>,</t>
    </r>
    <r>
      <rPr>
        <sz val="9"/>
        <color rgb="FF000000"/>
        <rFont val="楷体"/>
        <charset val="134"/>
      </rPr>
      <t>元璟资本</t>
    </r>
  </si>
  <si>
    <r>
      <rPr>
        <sz val="9"/>
        <color rgb="FF000000"/>
        <rFont val="Arial"/>
        <charset val="134"/>
      </rPr>
      <t>DCM</t>
    </r>
    <r>
      <rPr>
        <sz val="9"/>
        <color rgb="FF000000"/>
        <rFont val="楷体"/>
        <charset val="134"/>
      </rPr>
      <t>中国</t>
    </r>
  </si>
  <si>
    <r>
      <rPr>
        <sz val="9"/>
        <color rgb="FF000000"/>
        <rFont val="楷体"/>
        <charset val="134"/>
      </rPr>
      <t>荷塘创投</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清控银杏创投</t>
    </r>
  </si>
  <si>
    <t>2019-07-12</t>
  </si>
  <si>
    <t>iTutorGroup集团</t>
  </si>
  <si>
    <r>
      <rPr>
        <sz val="9"/>
        <color rgb="FF000000"/>
        <rFont val="Arial"/>
        <charset val="134"/>
      </rPr>
      <t>iTutorGroup</t>
    </r>
    <r>
      <rPr>
        <sz val="9"/>
        <color rgb="FF000000"/>
        <rFont val="楷体"/>
        <charset val="134"/>
      </rPr>
      <t>集团</t>
    </r>
  </si>
  <si>
    <r>
      <rPr>
        <sz val="9"/>
        <color rgb="FF000000"/>
        <rFont val="Arial"/>
        <charset val="134"/>
      </rPr>
      <t>TutorGroup</t>
    </r>
    <r>
      <rPr>
        <sz val="9"/>
        <color rgb="FF000000"/>
        <rFont val="楷体"/>
        <charset val="134"/>
      </rPr>
      <t>是一个真人在线语言学习平台，旗下有</t>
    </r>
    <r>
      <rPr>
        <sz val="9"/>
        <color rgb="FF000000"/>
        <rFont val="Arial"/>
        <charset val="134"/>
      </rPr>
      <t>TutorABC</t>
    </r>
    <r>
      <rPr>
        <sz val="9"/>
        <color rgb="FF000000"/>
        <rFont val="楷体"/>
        <charset val="134"/>
      </rPr>
      <t>、</t>
    </r>
    <r>
      <rPr>
        <sz val="9"/>
        <color rgb="FF000000"/>
        <rFont val="Arial"/>
        <charset val="134"/>
      </rPr>
      <t>VipJr</t>
    </r>
    <r>
      <rPr>
        <sz val="9"/>
        <color rgb="FF000000"/>
        <rFont val="楷体"/>
        <charset val="134"/>
      </rPr>
      <t>等英语学习平台。是全球领先的在线教育公司，通过其网络为成千上万的学生和商业专业人士提供个性化的学习体验。</t>
    </r>
    <r>
      <rPr>
        <sz val="9"/>
        <color rgb="FF000000"/>
        <rFont val="Arial"/>
        <charset val="134"/>
      </rPr>
      <t>iTutorGroup</t>
    </r>
    <r>
      <rPr>
        <sz val="9"/>
        <color rgb="FF000000"/>
        <rFont val="楷体"/>
        <charset val="134"/>
      </rPr>
      <t>通过利用大数据分析，利用学生、同学、教学顾问和数字内容之间的高级算法匹配来做到这一点。已成为全球最大的在线平台，推动着实时人与人之间的互动。</t>
    </r>
  </si>
  <si>
    <t>北京创意麦奇教育信息咨询有限公司</t>
  </si>
  <si>
    <t>http://www.tutor-group.com/</t>
  </si>
  <si>
    <t>2008-08</t>
  </si>
  <si>
    <t>中国平安</t>
  </si>
  <si>
    <r>
      <rPr>
        <sz val="9"/>
        <color rgb="FF000000"/>
        <rFont val="Arial"/>
        <charset val="134"/>
      </rPr>
      <t>35.43</t>
    </r>
    <r>
      <rPr>
        <sz val="9"/>
        <color rgb="FF000000"/>
        <rFont val="楷体"/>
        <charset val="134"/>
      </rPr>
      <t>亿</t>
    </r>
  </si>
  <si>
    <r>
      <rPr>
        <sz val="9"/>
        <color rgb="FF000000"/>
        <rFont val="Arial"/>
        <charset val="134"/>
      </rPr>
      <t>143</t>
    </r>
    <r>
      <rPr>
        <sz val="9"/>
        <color rgb="FF000000"/>
        <rFont val="楷体"/>
        <charset val="134"/>
      </rPr>
      <t>亿元</t>
    </r>
  </si>
  <si>
    <r>
      <rPr>
        <sz val="9"/>
        <color rgb="FF000000"/>
        <rFont val="楷体"/>
        <charset val="134"/>
      </rPr>
      <t>杨正大</t>
    </r>
    <r>
      <rPr>
        <sz val="9"/>
        <color rgb="FF000000"/>
        <rFont val="Arial"/>
        <charset val="134"/>
      </rPr>
      <t>:CEO</t>
    </r>
  </si>
  <si>
    <r>
      <rPr>
        <sz val="9"/>
        <color rgb="FF000000"/>
        <rFont val="楷体"/>
        <charset val="134"/>
      </rPr>
      <t>北京市朝阳区建国路</t>
    </r>
    <r>
      <rPr>
        <sz val="9"/>
        <color rgb="FF000000"/>
        <rFont val="Arial"/>
        <charset val="134"/>
      </rPr>
      <t>118</t>
    </r>
    <r>
      <rPr>
        <sz val="9"/>
        <color rgb="FF000000"/>
        <rFont val="楷体"/>
        <charset val="134"/>
      </rPr>
      <t>号楼</t>
    </r>
    <r>
      <rPr>
        <sz val="9"/>
        <color rgb="FF000000"/>
        <rFont val="Arial"/>
        <charset val="134"/>
      </rPr>
      <t>18</t>
    </r>
    <r>
      <rPr>
        <sz val="9"/>
        <color rgb="FF000000"/>
        <rFont val="楷体"/>
        <charset val="134"/>
      </rPr>
      <t>层</t>
    </r>
    <r>
      <rPr>
        <sz val="9"/>
        <color rgb="FF000000"/>
        <rFont val="Arial"/>
        <charset val="134"/>
      </rPr>
      <t>1836</t>
    </r>
  </si>
  <si>
    <t>4006-303-030</t>
  </si>
  <si>
    <t>pr@itutorgroup.com</t>
  </si>
  <si>
    <r>
      <rPr>
        <sz val="9"/>
        <color rgb="FF000000"/>
        <rFont val="Arial"/>
        <charset val="134"/>
      </rPr>
      <t>2</t>
    </r>
    <r>
      <rPr>
        <sz val="9"/>
        <color rgb="FF000000"/>
        <rFont val="楷体"/>
        <charset val="134"/>
      </rPr>
      <t>亿美元</t>
    </r>
  </si>
  <si>
    <r>
      <rPr>
        <sz val="9"/>
        <color rgb="FF000000"/>
        <rFont val="楷体"/>
        <charset val="134"/>
      </rPr>
      <t>淡马锡</t>
    </r>
    <r>
      <rPr>
        <sz val="9"/>
        <color rgb="FF000000"/>
        <rFont val="Arial"/>
        <charset val="134"/>
      </rPr>
      <t>Temasek,</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银翎资本</t>
    </r>
    <r>
      <rPr>
        <sz val="9"/>
        <color rgb="FF000000"/>
        <rFont val="Arial"/>
        <charset val="134"/>
      </rPr>
      <t>Silverlink Capital,</t>
    </r>
    <r>
      <rPr>
        <sz val="9"/>
        <color rgb="FF000000"/>
        <rFont val="楷体"/>
        <charset val="134"/>
      </rPr>
      <t>中俄投资基金</t>
    </r>
  </si>
  <si>
    <t>复思资本</t>
  </si>
  <si>
    <r>
      <rPr>
        <sz val="9"/>
        <color rgb="FF000000"/>
        <rFont val="楷体"/>
        <charset val="134"/>
      </rPr>
      <t>启明创投</t>
    </r>
    <r>
      <rPr>
        <sz val="9"/>
        <color rgb="FF000000"/>
        <rFont val="Arial"/>
        <charset val="134"/>
      </rPr>
      <t>,CA</t>
    </r>
    <r>
      <rPr>
        <sz val="9"/>
        <color rgb="FF000000"/>
        <rFont val="楷体"/>
        <charset val="134"/>
      </rPr>
      <t>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淡马锡</t>
    </r>
    <r>
      <rPr>
        <sz val="9"/>
        <color rgb="FF000000"/>
        <rFont val="Arial"/>
        <charset val="134"/>
      </rPr>
      <t>Temasek</t>
    </r>
  </si>
  <si>
    <r>
      <rPr>
        <sz val="9"/>
        <color rgb="FF000000"/>
        <rFont val="楷体"/>
        <charset val="134"/>
      </rPr>
      <t>启明创投</t>
    </r>
    <r>
      <rPr>
        <sz val="9"/>
        <color rgb="FF000000"/>
        <rFont val="Arial"/>
        <charset val="134"/>
      </rPr>
      <t>,CA</t>
    </r>
    <r>
      <rPr>
        <sz val="9"/>
        <color rgb="FF000000"/>
        <rFont val="楷体"/>
        <charset val="134"/>
      </rPr>
      <t>创投</t>
    </r>
  </si>
  <si>
    <t>2016-04-14</t>
  </si>
  <si>
    <t>LBE安全大师</t>
  </si>
  <si>
    <r>
      <rPr>
        <sz val="9"/>
        <color rgb="FF000000"/>
        <rFont val="Arial"/>
        <charset val="134"/>
      </rPr>
      <t>LBE</t>
    </r>
    <r>
      <rPr>
        <sz val="9"/>
        <color rgb="FF000000"/>
        <rFont val="楷体"/>
        <charset val="134"/>
      </rPr>
      <t>安全大师</t>
    </r>
  </si>
  <si>
    <r>
      <rPr>
        <sz val="9"/>
        <color rgb="FF000000"/>
        <rFont val="Arial"/>
        <charset val="134"/>
      </rPr>
      <t>LBE</t>
    </r>
    <r>
      <rPr>
        <sz val="9"/>
        <color rgb="FF000000"/>
        <rFont val="楷体"/>
        <charset val="134"/>
      </rPr>
      <t>安全大师起源于魅族论坛的</t>
    </r>
    <r>
      <rPr>
        <sz val="9"/>
        <color rgb="FF000000"/>
        <rFont val="Arial"/>
        <charset val="134"/>
      </rPr>
      <t>LBE</t>
    </r>
    <r>
      <rPr>
        <sz val="9"/>
        <color rgb="FF000000"/>
        <rFont val="楷体"/>
        <charset val="134"/>
      </rPr>
      <t>小组，是</t>
    </r>
    <r>
      <rPr>
        <sz val="9"/>
        <color rgb="FF000000"/>
        <rFont val="Arial"/>
        <charset val="134"/>
      </rPr>
      <t>Android</t>
    </r>
    <r>
      <rPr>
        <sz val="9"/>
        <color rgb="FF000000"/>
        <rFont val="楷体"/>
        <charset val="134"/>
      </rPr>
      <t>平台上一款主动式防御软件，具备实时监控与拦截能力的安全软件。永杨安风（北京）科技股份有限公司旗下产品</t>
    </r>
  </si>
  <si>
    <t>永杨安风（北京）科技股份有限公司</t>
  </si>
  <si>
    <t>http://www.lbesec.com</t>
  </si>
  <si>
    <t>2011-03</t>
  </si>
  <si>
    <t>安全隐私</t>
  </si>
  <si>
    <r>
      <rPr>
        <sz val="9"/>
        <color rgb="FF000000"/>
        <rFont val="Arial"/>
        <charset val="134"/>
      </rPr>
      <t>3000</t>
    </r>
    <r>
      <rPr>
        <sz val="9"/>
        <color rgb="FF000000"/>
        <rFont val="楷体"/>
        <charset val="134"/>
      </rPr>
      <t>万美元</t>
    </r>
  </si>
  <si>
    <r>
      <rPr>
        <sz val="9"/>
        <color rgb="FF000000"/>
        <rFont val="Arial"/>
        <charset val="134"/>
      </rPr>
      <t>5.95</t>
    </r>
    <r>
      <rPr>
        <sz val="9"/>
        <color rgb="FF000000"/>
        <rFont val="楷体"/>
        <charset val="134"/>
      </rPr>
      <t>亿</t>
    </r>
  </si>
  <si>
    <r>
      <rPr>
        <sz val="9"/>
        <color rgb="FF000000"/>
        <rFont val="楷体"/>
        <charset val="134"/>
      </rPr>
      <t>张勇（拉面）</t>
    </r>
    <r>
      <rPr>
        <sz val="9"/>
        <color rgb="FF000000"/>
        <rFont val="Arial"/>
        <charset val="134"/>
      </rPr>
      <t>:CEO</t>
    </r>
  </si>
  <si>
    <r>
      <rPr>
        <sz val="9"/>
        <color rgb="FF000000"/>
        <rFont val="楷体"/>
        <charset val="134"/>
      </rPr>
      <t>北京市朝阳区高碑店乡半壁店村惠河南街</t>
    </r>
    <r>
      <rPr>
        <sz val="9"/>
        <color rgb="FF000000"/>
        <rFont val="Arial"/>
        <charset val="134"/>
      </rPr>
      <t>1008-B</t>
    </r>
    <r>
      <rPr>
        <sz val="9"/>
        <color rgb="FF000000"/>
        <rFont val="楷体"/>
        <charset val="134"/>
      </rPr>
      <t>四惠大厦</t>
    </r>
    <r>
      <rPr>
        <sz val="9"/>
        <color rgb="FF000000"/>
        <rFont val="Arial"/>
        <charset val="134"/>
      </rPr>
      <t>5</t>
    </r>
    <r>
      <rPr>
        <sz val="9"/>
        <color rgb="FF000000"/>
        <rFont val="楷体"/>
        <charset val="134"/>
      </rPr>
      <t>层</t>
    </r>
    <r>
      <rPr>
        <sz val="9"/>
        <color rgb="FF000000"/>
        <rFont val="Arial"/>
        <charset val="134"/>
      </rPr>
      <t>5001-5006</t>
    </r>
    <r>
      <rPr>
        <sz val="9"/>
        <color rgb="FF000000"/>
        <rFont val="楷体"/>
        <charset val="134"/>
      </rPr>
      <t>房</t>
    </r>
  </si>
  <si>
    <t>小米集团</t>
  </si>
  <si>
    <r>
      <rPr>
        <sz val="9"/>
        <color rgb="FF000000"/>
        <rFont val="楷体"/>
        <charset val="134"/>
      </rPr>
      <t>腾讯投资</t>
    </r>
    <r>
      <rPr>
        <sz val="9"/>
        <color rgb="FF000000"/>
        <rFont val="Arial"/>
        <charset val="134"/>
      </rPr>
      <t>,</t>
    </r>
    <r>
      <rPr>
        <sz val="9"/>
        <color rgb="FF000000"/>
        <rFont val="楷体"/>
        <charset val="134"/>
      </rPr>
      <t>阿里巴巴</t>
    </r>
  </si>
  <si>
    <t>2021-03-29</t>
  </si>
  <si>
    <t>哔哩哔哩bilibili</t>
  </si>
  <si>
    <r>
      <rPr>
        <sz val="9"/>
        <color rgb="FF000000"/>
        <rFont val="楷体"/>
        <charset val="134"/>
      </rPr>
      <t>哔哩哔哩</t>
    </r>
    <r>
      <rPr>
        <sz val="9"/>
        <color rgb="FF000000"/>
        <rFont val="Arial"/>
        <charset val="134"/>
      </rPr>
      <t>bilibili</t>
    </r>
  </si>
  <si>
    <r>
      <rPr>
        <sz val="9"/>
        <color rgb="FF000000"/>
        <rFont val="楷体"/>
        <charset val="134"/>
      </rPr>
      <t>哔哩哔哩是一个弹幕视频分享网站，支持即时弹幕评论，站内大多数视频来源于日本电视台播出的新番动画、</t>
    </r>
    <r>
      <rPr>
        <sz val="9"/>
        <color rgb="FF000000"/>
        <rFont val="Arial"/>
        <charset val="134"/>
      </rPr>
      <t>NICONICO</t>
    </r>
    <r>
      <rPr>
        <sz val="9"/>
        <color rgb="FF000000"/>
        <rFont val="楷体"/>
        <charset val="134"/>
      </rPr>
      <t>动画、</t>
    </r>
    <r>
      <rPr>
        <sz val="9"/>
        <color rgb="FF000000"/>
        <rFont val="Arial"/>
        <charset val="134"/>
      </rPr>
      <t>Youtube</t>
    </r>
    <r>
      <rPr>
        <sz val="9"/>
        <color rgb="FF000000"/>
        <rFont val="楷体"/>
        <charset val="134"/>
      </rPr>
      <t>等视频分享网站，也包括国内的动漫作品及动漫爱好者制作的二次创作内容。</t>
    </r>
  </si>
  <si>
    <t>杭州幻电科技有限公司</t>
  </si>
  <si>
    <t>http://www.bilibili.com</t>
  </si>
  <si>
    <t>动漫</t>
  </si>
  <si>
    <r>
      <rPr>
        <sz val="9"/>
        <color rgb="FF000000"/>
        <rFont val="Arial"/>
        <charset val="134"/>
      </rPr>
      <t>201.5</t>
    </r>
    <r>
      <rPr>
        <sz val="9"/>
        <color rgb="FF000000"/>
        <rFont val="楷体"/>
        <charset val="134"/>
      </rPr>
      <t>亿港元</t>
    </r>
  </si>
  <si>
    <r>
      <rPr>
        <sz val="9"/>
        <color rgb="FF000000"/>
        <rFont val="Arial"/>
        <charset val="134"/>
      </rPr>
      <t>249.41</t>
    </r>
    <r>
      <rPr>
        <sz val="9"/>
        <color rgb="FF000000"/>
        <rFont val="楷体"/>
        <charset val="134"/>
      </rPr>
      <t>亿</t>
    </r>
  </si>
  <si>
    <r>
      <rPr>
        <sz val="9"/>
        <color rgb="FF000000"/>
        <rFont val="Arial"/>
        <charset val="134"/>
      </rPr>
      <t>2459.2</t>
    </r>
    <r>
      <rPr>
        <sz val="9"/>
        <color rgb="FF000000"/>
        <rFont val="楷体"/>
        <charset val="134"/>
      </rPr>
      <t>亿元</t>
    </r>
  </si>
  <si>
    <r>
      <rPr>
        <sz val="9"/>
        <color rgb="FF000000"/>
        <rFont val="楷体"/>
        <charset val="134"/>
      </rPr>
      <t>徐逸</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陈睿</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李旎</t>
    </r>
    <r>
      <rPr>
        <sz val="9"/>
        <color rgb="FF000000"/>
        <rFont val="Arial"/>
        <charset val="134"/>
      </rPr>
      <t>:</t>
    </r>
    <r>
      <rPr>
        <sz val="9"/>
        <color rgb="FF000000"/>
        <rFont val="楷体"/>
        <charset val="134"/>
      </rPr>
      <t>副董事长兼</t>
    </r>
    <r>
      <rPr>
        <sz val="9"/>
        <color rgb="FF000000"/>
        <rFont val="Arial"/>
        <charset val="134"/>
      </rPr>
      <t>COO</t>
    </r>
  </si>
  <si>
    <r>
      <rPr>
        <sz val="9"/>
        <color rgb="FF000000"/>
        <rFont val="楷体"/>
        <charset val="134"/>
      </rPr>
      <t>中国（上海）自由贸易试验区祖冲之路</t>
    </r>
    <r>
      <rPr>
        <sz val="9"/>
        <color rgb="FF000000"/>
        <rFont val="Arial"/>
        <charset val="134"/>
      </rPr>
      <t>2277</t>
    </r>
    <r>
      <rPr>
        <sz val="9"/>
        <color rgb="FF000000"/>
        <rFont val="楷体"/>
        <charset val="134"/>
      </rPr>
      <t>弄</t>
    </r>
    <r>
      <rPr>
        <sz val="9"/>
        <color rgb="FF000000"/>
        <rFont val="Arial"/>
        <charset val="134"/>
      </rPr>
      <t>1</t>
    </r>
    <r>
      <rPr>
        <sz val="9"/>
        <color rgb="FF000000"/>
        <rFont val="楷体"/>
        <charset val="134"/>
      </rPr>
      <t>号</t>
    </r>
    <r>
      <rPr>
        <sz val="9"/>
        <color rgb="FF000000"/>
        <rFont val="Arial"/>
        <charset val="134"/>
      </rPr>
      <t>905</t>
    </r>
    <r>
      <rPr>
        <sz val="9"/>
        <color rgb="FF000000"/>
        <rFont val="楷体"/>
        <charset val="134"/>
      </rPr>
      <t>、</t>
    </r>
    <r>
      <rPr>
        <sz val="9"/>
        <color rgb="FF000000"/>
        <rFont val="Arial"/>
        <charset val="134"/>
      </rPr>
      <t>906</t>
    </r>
    <r>
      <rPr>
        <sz val="9"/>
        <color rgb="FF000000"/>
        <rFont val="楷体"/>
        <charset val="134"/>
      </rPr>
      <t>室</t>
    </r>
  </si>
  <si>
    <r>
      <rPr>
        <sz val="9"/>
        <color rgb="FF000000"/>
        <rFont val="楷体"/>
        <charset val="134"/>
      </rPr>
      <t>索尼</t>
    </r>
    <r>
      <rPr>
        <sz val="9"/>
        <color rgb="FF000000"/>
        <rFont val="Arial"/>
        <charset val="134"/>
      </rPr>
      <t>Sony</t>
    </r>
  </si>
  <si>
    <r>
      <rPr>
        <sz val="9"/>
        <color rgb="FF000000"/>
        <rFont val="Arial"/>
        <charset val="134"/>
      </rPr>
      <t>3.18</t>
    </r>
    <r>
      <rPr>
        <sz val="9"/>
        <color rgb="FF000000"/>
        <rFont val="楷体"/>
        <charset val="134"/>
      </rPr>
      <t>亿美元</t>
    </r>
  </si>
  <si>
    <r>
      <rPr>
        <sz val="9"/>
        <color rgb="FF000000"/>
        <rFont val="Arial"/>
        <charset val="134"/>
      </rPr>
      <t>4.83</t>
    </r>
    <r>
      <rPr>
        <sz val="9"/>
        <color rgb="FF000000"/>
        <rFont val="楷体"/>
        <charset val="134"/>
      </rPr>
      <t>亿美元</t>
    </r>
  </si>
  <si>
    <r>
      <rPr>
        <sz val="9"/>
        <color rgb="FF000000"/>
        <rFont val="楷体"/>
        <charset val="134"/>
      </rPr>
      <t>君联资本</t>
    </r>
    <r>
      <rPr>
        <sz val="9"/>
        <color rgb="FF000000"/>
        <rFont val="Arial"/>
        <charset val="134"/>
      </rPr>
      <t>,</t>
    </r>
    <r>
      <rPr>
        <sz val="9"/>
        <color rgb="FF000000"/>
        <rFont val="楷体"/>
        <charset val="134"/>
      </rPr>
      <t>高瓴投资</t>
    </r>
  </si>
  <si>
    <r>
      <rPr>
        <sz val="9"/>
        <color rgb="FF000000"/>
        <rFont val="楷体"/>
        <charset val="134"/>
      </rPr>
      <t>腾讯投资</t>
    </r>
    <r>
      <rPr>
        <sz val="9"/>
        <color rgb="FF000000"/>
        <rFont val="Arial"/>
        <charset val="134"/>
      </rPr>
      <t>,CMC</t>
    </r>
    <r>
      <rPr>
        <sz val="9"/>
        <color rgb="FF000000"/>
        <rFont val="楷体"/>
        <charset val="134"/>
      </rPr>
      <t>资本</t>
    </r>
    <r>
      <rPr>
        <sz val="9"/>
        <color rgb="FF000000"/>
        <rFont val="Arial"/>
        <charset val="134"/>
      </rPr>
      <t>,H Capital,</t>
    </r>
    <r>
      <rPr>
        <sz val="9"/>
        <color rgb="FF000000"/>
        <rFont val="楷体"/>
        <charset val="134"/>
      </rPr>
      <t>正心谷资本</t>
    </r>
  </si>
  <si>
    <r>
      <rPr>
        <sz val="9"/>
        <color rgb="FF000000"/>
        <rFont val="Arial"/>
        <charset val="134"/>
      </rPr>
      <t>1223</t>
    </r>
    <r>
      <rPr>
        <sz val="9"/>
        <color rgb="FF000000"/>
        <rFont val="楷体"/>
        <charset val="134"/>
      </rPr>
      <t>万人民币</t>
    </r>
  </si>
  <si>
    <t>掌趣科技</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</si>
  <si>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启明创投</t>
    </r>
  </si>
  <si>
    <r>
      <rPr>
        <sz val="9"/>
        <color rgb="FF000000"/>
        <rFont val="Arial"/>
        <charset val="134"/>
      </rPr>
      <t>IDG</t>
    </r>
    <r>
      <rPr>
        <sz val="9"/>
        <color rgb="FF000000"/>
        <rFont val="楷体"/>
        <charset val="134"/>
      </rPr>
      <t>资本</t>
    </r>
  </si>
  <si>
    <t>2016-01-05</t>
  </si>
  <si>
    <t>穷游网</t>
  </si>
  <si>
    <t>穷游网是一家出境游旅行服务平台，主要提供出境游攻略及旅行产品预订服务，包括签证、机酒、租车、景点门票、当地通讯等旅游及其周边产品，致力于为用户构建一个旅行社区和问答交流平台。</t>
  </si>
  <si>
    <t>北京穷游天下科技发展有限公司</t>
  </si>
  <si>
    <t>http://www.qyer.com</t>
  </si>
  <si>
    <t>2007-11</t>
  </si>
  <si>
    <r>
      <rPr>
        <sz val="9"/>
        <color rgb="FF000000"/>
        <rFont val="Arial"/>
        <charset val="134"/>
      </rPr>
      <t>5700</t>
    </r>
    <r>
      <rPr>
        <sz val="9"/>
        <color rgb="FF000000"/>
        <rFont val="楷体"/>
        <charset val="134"/>
      </rPr>
      <t>万美元</t>
    </r>
  </si>
  <si>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众信旅游</t>
    </r>
    <r>
      <rPr>
        <sz val="9"/>
        <color rgb="FF000000"/>
        <rFont val="Arial"/>
        <charset val="134"/>
      </rPr>
      <t>,</t>
    </r>
    <r>
      <rPr>
        <sz val="9"/>
        <color rgb="FF000000"/>
        <rFont val="楷体"/>
        <charset val="134"/>
      </rPr>
      <t>金鼎资本</t>
    </r>
  </si>
  <si>
    <r>
      <rPr>
        <sz val="9"/>
        <color rgb="FF000000"/>
        <rFont val="Arial"/>
        <charset val="134"/>
      </rPr>
      <t>7.8</t>
    </r>
    <r>
      <rPr>
        <sz val="9"/>
        <color rgb="FF000000"/>
        <rFont val="楷体"/>
        <charset val="134"/>
      </rPr>
      <t>亿</t>
    </r>
  </si>
  <si>
    <r>
      <rPr>
        <sz val="9"/>
        <color rgb="FF000000"/>
        <rFont val="Arial"/>
        <charset val="134"/>
      </rPr>
      <t>29.9</t>
    </r>
    <r>
      <rPr>
        <sz val="9"/>
        <color rgb="FF000000"/>
        <rFont val="楷体"/>
        <charset val="134"/>
      </rPr>
      <t>亿元</t>
    </r>
  </si>
  <si>
    <r>
      <rPr>
        <sz val="9"/>
        <color rgb="FF000000"/>
        <rFont val="楷体"/>
        <charset val="134"/>
      </rPr>
      <t>肖异</t>
    </r>
    <r>
      <rPr>
        <sz val="9"/>
        <color rgb="FF000000"/>
        <rFont val="Arial"/>
        <charset val="134"/>
      </rPr>
      <t>:CEO,</t>
    </r>
    <r>
      <rPr>
        <sz val="9"/>
        <color rgb="FF000000"/>
        <rFont val="楷体"/>
        <charset val="134"/>
      </rPr>
      <t>蔡景晖</t>
    </r>
    <r>
      <rPr>
        <sz val="9"/>
        <color rgb="FF000000"/>
        <rFont val="Arial"/>
        <charset val="134"/>
      </rPr>
      <t>:COO</t>
    </r>
  </si>
  <si>
    <r>
      <rPr>
        <sz val="9"/>
        <color rgb="FF000000"/>
        <rFont val="楷体"/>
        <charset val="134"/>
      </rPr>
      <t>北京市海淀区中关村南大街</t>
    </r>
    <r>
      <rPr>
        <sz val="9"/>
        <color rgb="FF000000"/>
        <rFont val="Arial"/>
        <charset val="134"/>
      </rPr>
      <t>5</t>
    </r>
    <r>
      <rPr>
        <sz val="9"/>
        <color rgb="FF000000"/>
        <rFont val="楷体"/>
        <charset val="134"/>
      </rPr>
      <t>号</t>
    </r>
    <r>
      <rPr>
        <sz val="9"/>
        <color rgb="FF000000"/>
        <rFont val="Arial"/>
        <charset val="134"/>
      </rPr>
      <t>683</t>
    </r>
    <r>
      <rPr>
        <sz val="9"/>
        <color rgb="FF000000"/>
        <rFont val="楷体"/>
        <charset val="134"/>
      </rPr>
      <t>号</t>
    </r>
  </si>
  <si>
    <t>010-8639-2952</t>
  </si>
  <si>
    <t>bd@qyer.com</t>
  </si>
  <si>
    <r>
      <rPr>
        <sz val="9"/>
        <color rgb="FF000000"/>
        <rFont val="楷体"/>
        <charset val="134"/>
      </rPr>
      <t>挚信资本</t>
    </r>
    <r>
      <rPr>
        <sz val="9"/>
        <color rgb="FF000000"/>
        <rFont val="Arial"/>
        <charset val="134"/>
      </rPr>
      <t>,</t>
    </r>
    <r>
      <rPr>
        <sz val="9"/>
        <color rgb="FF000000"/>
        <rFont val="楷体"/>
        <charset val="134"/>
      </rPr>
      <t>阿里巴巴</t>
    </r>
    <r>
      <rPr>
        <sz val="9"/>
        <color rgb="FF000000"/>
        <rFont val="Arial"/>
        <charset val="134"/>
      </rPr>
      <t>,SIG</t>
    </r>
    <r>
      <rPr>
        <sz val="9"/>
        <color rgb="FF000000"/>
        <rFont val="楷体"/>
        <charset val="134"/>
      </rPr>
      <t>海纳亚洲</t>
    </r>
  </si>
  <si>
    <t>挚信资本</t>
  </si>
  <si>
    <t>2021-01-18</t>
  </si>
  <si>
    <t>美味不用等</t>
  </si>
  <si>
    <t>美味不用等是一家互联网餐厅整体解决方案提供商，通过排队等位、餐位预订、点菜收银、移动支付、会员管理等服务为商户提供互联网餐厅整体解决方案，帮助餐饮商户解决企业经营过程中遇到的效率、客流、资金、数据四大难题。</t>
  </si>
  <si>
    <t>美味不用等（上海）信息科技股份有限公司</t>
  </si>
  <si>
    <t>http://www.mwee.cn/</t>
  </si>
  <si>
    <t>商户服务及信息化</t>
  </si>
  <si>
    <r>
      <rPr>
        <sz val="9"/>
        <color rgb="FF000000"/>
        <rFont val="Arial"/>
        <charset val="134"/>
      </rPr>
      <t>13.53</t>
    </r>
    <r>
      <rPr>
        <sz val="9"/>
        <color rgb="FF000000"/>
        <rFont val="楷体"/>
        <charset val="134"/>
      </rPr>
      <t>亿</t>
    </r>
  </si>
  <si>
    <r>
      <rPr>
        <sz val="9"/>
        <color rgb="FF000000"/>
        <rFont val="楷体"/>
        <charset val="134"/>
      </rPr>
      <t>郑国春</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谢新法</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陆瑞豪</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杨佳佳</t>
    </r>
    <r>
      <rPr>
        <sz val="9"/>
        <color rgb="FF000000"/>
        <rFont val="Arial"/>
        <charset val="134"/>
      </rPr>
      <t>:</t>
    </r>
    <r>
      <rPr>
        <sz val="9"/>
        <color rgb="FF000000"/>
        <rFont val="楷体"/>
        <charset val="134"/>
      </rPr>
      <t>联合创始人</t>
    </r>
  </si>
  <si>
    <r>
      <rPr>
        <sz val="9"/>
        <color rgb="FF000000"/>
        <rFont val="Arial"/>
        <charset val="134"/>
      </rPr>
      <t>4</t>
    </r>
    <r>
      <rPr>
        <sz val="9"/>
        <color rgb="FF000000"/>
        <rFont val="楷体"/>
        <charset val="134"/>
      </rPr>
      <t>亿人民币</t>
    </r>
  </si>
  <si>
    <r>
      <rPr>
        <sz val="9"/>
        <color rgb="FF000000"/>
        <rFont val="楷体"/>
        <charset val="134"/>
      </rPr>
      <t>携程</t>
    </r>
    <r>
      <rPr>
        <sz val="9"/>
        <color rgb="FF000000"/>
        <rFont val="Arial"/>
        <charset val="134"/>
      </rPr>
      <t>,</t>
    </r>
    <r>
      <rPr>
        <sz val="9"/>
        <color rgb="FF000000"/>
        <rFont val="楷体"/>
        <charset val="134"/>
      </rPr>
      <t>口碑</t>
    </r>
  </si>
  <si>
    <r>
      <rPr>
        <sz val="9"/>
        <color rgb="FF000000"/>
        <rFont val="楷体"/>
        <charset val="134"/>
      </rPr>
      <t>蚂蚁集团</t>
    </r>
    <r>
      <rPr>
        <sz val="9"/>
        <color rgb="FF000000"/>
        <rFont val="Arial"/>
        <charset val="134"/>
      </rPr>
      <t>,</t>
    </r>
    <r>
      <rPr>
        <sz val="9"/>
        <color rgb="FF000000"/>
        <rFont val="楷体"/>
        <charset val="134"/>
      </rPr>
      <t>中视资本</t>
    </r>
    <r>
      <rPr>
        <sz val="9"/>
        <color rgb="FF000000"/>
        <rFont val="Arial"/>
        <charset val="134"/>
      </rPr>
      <t>,</t>
    </r>
    <r>
      <rPr>
        <sz val="9"/>
        <color rgb="FF000000"/>
        <rFont val="楷体"/>
        <charset val="134"/>
      </rPr>
      <t>海润国际并购基金</t>
    </r>
  </si>
  <si>
    <r>
      <rPr>
        <sz val="9"/>
        <color rgb="FF000000"/>
        <rFont val="楷体"/>
        <charset val="134"/>
      </rPr>
      <t>经纬创投</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大众点评网</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有成资本</t>
    </r>
    <r>
      <rPr>
        <sz val="9"/>
        <color rgb="FF000000"/>
        <rFont val="Arial"/>
        <charset val="134"/>
      </rPr>
      <t>,</t>
    </r>
    <r>
      <rPr>
        <sz val="9"/>
        <color rgb="FF000000"/>
        <rFont val="楷体"/>
        <charset val="134"/>
      </rPr>
      <t>安持资本</t>
    </r>
    <r>
      <rPr>
        <sz val="9"/>
        <color rgb="FF000000"/>
        <rFont val="Arial"/>
        <charset val="134"/>
      </rPr>
      <t>,</t>
    </r>
    <r>
      <rPr>
        <sz val="9"/>
        <color rgb="FF000000"/>
        <rFont val="楷体"/>
        <charset val="134"/>
      </rPr>
      <t>口碑</t>
    </r>
  </si>
  <si>
    <r>
      <rPr>
        <sz val="9"/>
        <color rgb="FF000000"/>
        <rFont val="楷体"/>
        <charset val="134"/>
      </rPr>
      <t>经纬创投</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信天创投</t>
    </r>
  </si>
  <si>
    <r>
      <rPr>
        <sz val="9"/>
        <color rgb="FF000000"/>
        <rFont val="楷体"/>
        <charset val="134"/>
      </rPr>
      <t>经纬创投</t>
    </r>
    <r>
      <rPr>
        <sz val="9"/>
        <color rgb="FF000000"/>
        <rFont val="Arial"/>
        <charset val="134"/>
      </rPr>
      <t>,</t>
    </r>
    <r>
      <rPr>
        <sz val="9"/>
        <color rgb="FF000000"/>
        <rFont val="楷体"/>
        <charset val="134"/>
      </rPr>
      <t>信天创投</t>
    </r>
  </si>
  <si>
    <t>盛大资本</t>
  </si>
  <si>
    <t>2016-07-05</t>
  </si>
  <si>
    <t>豌豆荚</t>
  </si>
  <si>
    <r>
      <rPr>
        <sz val="9"/>
        <color rgb="FF000000"/>
        <rFont val="楷体"/>
        <charset val="134"/>
      </rPr>
      <t>豌豆荚是一个</t>
    </r>
    <r>
      <rPr>
        <sz val="9"/>
        <color rgb="FF000000"/>
        <rFont val="Arial"/>
        <charset val="134"/>
      </rPr>
      <t>Android</t>
    </r>
    <r>
      <rPr>
        <sz val="9"/>
        <color rgb="FF000000"/>
        <rFont val="楷体"/>
        <charset val="134"/>
      </rPr>
      <t>手机应用助手，旗下产品包括豌豆荚、豌豆荚应用推广、豌豆荚一键安装等。豌豆荚通过「应用内搜索」技术索引有千万量级的不重复应用、游戏、视频、电子书、主题、电影票、问答、旅游等内容，为用户提供全面准确、直达行动的内容搜索及消费体验。北京卓易讯畅科技有限公司旗下。</t>
    </r>
  </si>
  <si>
    <t>北京卓易讯畅科技有限公司</t>
  </si>
  <si>
    <t>http://www.wandoujia.com</t>
  </si>
  <si>
    <t>2009-12</t>
  </si>
  <si>
    <t>应用商店</t>
  </si>
  <si>
    <r>
      <rPr>
        <sz val="9"/>
        <color rgb="FF000000"/>
        <rFont val="Arial"/>
        <charset val="134"/>
      </rPr>
      <t>23.6</t>
    </r>
    <r>
      <rPr>
        <sz val="9"/>
        <color rgb="FF000000"/>
        <rFont val="楷体"/>
        <charset val="134"/>
      </rPr>
      <t>亿</t>
    </r>
  </si>
  <si>
    <r>
      <rPr>
        <sz val="9"/>
        <color rgb="FF000000"/>
        <rFont val="楷体"/>
        <charset val="134"/>
      </rPr>
      <t>周利民</t>
    </r>
    <r>
      <rPr>
        <sz val="9"/>
        <color rgb="FF000000"/>
        <rFont val="Arial"/>
        <charset val="134"/>
      </rPr>
      <t>:CEO,</t>
    </r>
    <r>
      <rPr>
        <sz val="9"/>
        <color rgb="FF000000"/>
        <rFont val="楷体"/>
        <charset val="134"/>
      </rPr>
      <t>王俊煜</t>
    </r>
    <r>
      <rPr>
        <sz val="9"/>
        <color rgb="FF000000"/>
        <rFont val="Arial"/>
        <charset val="134"/>
      </rPr>
      <t>:</t>
    </r>
    <r>
      <rPr>
        <sz val="9"/>
        <color rgb="FF000000"/>
        <rFont val="楷体"/>
        <charset val="134"/>
      </rPr>
      <t>联合创始人</t>
    </r>
  </si>
  <si>
    <r>
      <rPr>
        <sz val="9"/>
        <color rgb="FF000000"/>
        <rFont val="楷体"/>
        <charset val="134"/>
      </rPr>
      <t>北京市海淀区西小口路</t>
    </r>
    <r>
      <rPr>
        <sz val="9"/>
        <color rgb="FF000000"/>
        <rFont val="Arial"/>
        <charset val="134"/>
      </rPr>
      <t xml:space="preserve"> 66 </t>
    </r>
    <r>
      <rPr>
        <sz val="9"/>
        <color rgb="FF000000"/>
        <rFont val="楷体"/>
        <charset val="134"/>
      </rPr>
      <t>号东升科技园</t>
    </r>
    <r>
      <rPr>
        <sz val="9"/>
        <color rgb="FF000000"/>
        <rFont val="Arial"/>
        <charset val="134"/>
      </rPr>
      <t xml:space="preserve"> B-2 </t>
    </r>
    <r>
      <rPr>
        <sz val="9"/>
        <color rgb="FF000000"/>
        <rFont val="楷体"/>
        <charset val="134"/>
      </rPr>
      <t>楼三层</t>
    </r>
  </si>
  <si>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</si>
  <si>
    <r>
      <rPr>
        <sz val="9"/>
        <color rgb="FF000000"/>
        <rFont val="楷体"/>
        <charset val="134"/>
      </rPr>
      <t>创新工场</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软银中国资本</t>
    </r>
  </si>
  <si>
    <t>2014-12-11</t>
  </si>
  <si>
    <t>挚文集团-陌陌</t>
  </si>
  <si>
    <r>
      <rPr>
        <sz val="9"/>
        <color rgb="FF000000"/>
        <rFont val="楷体"/>
        <charset val="134"/>
      </rPr>
      <t>挚文集团</t>
    </r>
    <r>
      <rPr>
        <sz val="9"/>
        <color rgb="FF000000"/>
        <rFont val="Arial"/>
        <charset val="134"/>
      </rPr>
      <t>-</t>
    </r>
    <r>
      <rPr>
        <sz val="9"/>
        <color rgb="FF000000"/>
        <rFont val="楷体"/>
        <charset val="134"/>
      </rPr>
      <t>陌陌</t>
    </r>
  </si>
  <si>
    <r>
      <rPr>
        <sz val="9"/>
        <color rgb="FF000000"/>
        <rFont val="楷体"/>
        <charset val="134"/>
      </rPr>
      <t>挚文集团</t>
    </r>
    <r>
      <rPr>
        <sz val="9"/>
        <color rgb="FF000000"/>
        <rFont val="Arial"/>
        <charset val="134"/>
      </rPr>
      <t>(</t>
    </r>
    <r>
      <rPr>
        <sz val="9"/>
        <color rgb="FF000000"/>
        <rFont val="楷体"/>
        <charset val="134"/>
      </rPr>
      <t>陌陌</t>
    </r>
    <r>
      <rPr>
        <sz val="9"/>
        <color rgb="FF000000"/>
        <rFont val="Arial"/>
        <charset val="134"/>
      </rPr>
      <t>)</t>
    </r>
    <r>
      <rPr>
        <sz val="9"/>
        <color rgb="FF000000"/>
        <rFont val="楷体"/>
        <charset val="134"/>
      </rPr>
      <t>是一个视频社交及游戏娱乐平台，平台涵盖了视频社交应用、游戏应用和直播应用，致力于通过多种类的社交和娱乐应用丰富用户的娱乐生活。旗下有视频社交</t>
    </r>
    <r>
      <rPr>
        <sz val="9"/>
        <color rgb="FF000000"/>
        <rFont val="Arial"/>
        <charset val="134"/>
      </rPr>
      <t>APP“MOMO”</t>
    </r>
    <r>
      <rPr>
        <sz val="9"/>
        <color rgb="FF000000"/>
        <rFont val="楷体"/>
        <charset val="134"/>
      </rPr>
      <t>、游戏平台</t>
    </r>
    <r>
      <rPr>
        <sz val="9"/>
        <color rgb="FF000000"/>
        <rFont val="Arial"/>
        <charset val="134"/>
      </rPr>
      <t>“</t>
    </r>
    <r>
      <rPr>
        <sz val="9"/>
        <color rgb="FF000000"/>
        <rFont val="楷体"/>
        <charset val="134"/>
      </rPr>
      <t>默默游戏</t>
    </r>
    <r>
      <rPr>
        <sz val="9"/>
        <color rgb="FF000000"/>
        <rFont val="Arial"/>
        <charset val="134"/>
      </rPr>
      <t>”</t>
    </r>
    <r>
      <rPr>
        <sz val="9"/>
        <color rgb="FF000000"/>
        <rFont val="楷体"/>
        <charset val="134"/>
      </rPr>
      <t>以及手机直播应用</t>
    </r>
    <r>
      <rPr>
        <sz val="9"/>
        <color rgb="FF000000"/>
        <rFont val="Arial"/>
        <charset val="134"/>
      </rPr>
      <t>“</t>
    </r>
    <r>
      <rPr>
        <sz val="9"/>
        <color rgb="FF000000"/>
        <rFont val="楷体"/>
        <charset val="134"/>
      </rPr>
      <t>陌陌直播</t>
    </r>
    <r>
      <rPr>
        <sz val="9"/>
        <color rgb="FF000000"/>
        <rFont val="Arial"/>
        <charset val="134"/>
      </rPr>
      <t>”</t>
    </r>
    <r>
      <rPr>
        <sz val="9"/>
        <color rgb="FF000000"/>
        <rFont val="楷体"/>
        <charset val="134"/>
      </rPr>
      <t>等。</t>
    </r>
  </si>
  <si>
    <t>北京陌陌科技有限公司</t>
  </si>
  <si>
    <t>http://www.immomo.com</t>
  </si>
  <si>
    <t>陌生人交友</t>
  </si>
  <si>
    <r>
      <rPr>
        <sz val="9"/>
        <color rgb="FF000000"/>
        <rFont val="Arial"/>
        <charset val="134"/>
      </rPr>
      <t>38.98</t>
    </r>
    <r>
      <rPr>
        <sz val="9"/>
        <color rgb="FF000000"/>
        <rFont val="楷体"/>
        <charset val="134"/>
      </rPr>
      <t>亿</t>
    </r>
  </si>
  <si>
    <r>
      <rPr>
        <sz val="9"/>
        <color rgb="FF000000"/>
        <rFont val="楷体"/>
        <charset val="134"/>
      </rPr>
      <t>唐岩</t>
    </r>
    <r>
      <rPr>
        <sz val="9"/>
        <color rgb="FF000000"/>
        <rFont val="Arial"/>
        <charset val="134"/>
      </rPr>
      <t>:</t>
    </r>
    <r>
      <rPr>
        <sz val="9"/>
        <color rgb="FF000000"/>
        <rFont val="楷体"/>
        <charset val="134"/>
      </rPr>
      <t>董事局主席</t>
    </r>
    <r>
      <rPr>
        <sz val="9"/>
        <color rgb="FF000000"/>
        <rFont val="Arial"/>
        <charset val="134"/>
      </rPr>
      <t>,</t>
    </r>
    <r>
      <rPr>
        <sz val="9"/>
        <color rgb="FF000000"/>
        <rFont val="楷体"/>
        <charset val="134"/>
      </rPr>
      <t>雷小亮</t>
    </r>
    <r>
      <rPr>
        <sz val="9"/>
        <color rgb="FF000000"/>
        <rFont val="Arial"/>
        <charset val="134"/>
      </rPr>
      <t>:CPO,</t>
    </r>
    <r>
      <rPr>
        <sz val="9"/>
        <color rgb="FF000000"/>
        <rFont val="楷体"/>
        <charset val="134"/>
      </rPr>
      <t>李志威</t>
    </r>
    <r>
      <rPr>
        <sz val="9"/>
        <color rgb="FF000000"/>
        <rFont val="Arial"/>
        <charset val="134"/>
      </rPr>
      <t>:CTO,</t>
    </r>
    <r>
      <rPr>
        <sz val="9"/>
        <color rgb="FF000000"/>
        <rFont val="楷体"/>
        <charset val="134"/>
      </rPr>
      <t>张思川</t>
    </r>
    <r>
      <rPr>
        <sz val="9"/>
        <color rgb="FF000000"/>
        <rFont val="Arial"/>
        <charset val="134"/>
      </rPr>
      <t>:</t>
    </r>
    <r>
      <rPr>
        <sz val="9"/>
        <color rgb="FF000000"/>
        <rFont val="楷体"/>
        <charset val="134"/>
      </rPr>
      <t>设计总监</t>
    </r>
    <r>
      <rPr>
        <sz val="9"/>
        <color rgb="FF000000"/>
        <rFont val="Arial"/>
        <charset val="134"/>
      </rPr>
      <t>,</t>
    </r>
    <r>
      <rPr>
        <sz val="9"/>
        <color rgb="FF000000"/>
        <rFont val="楷体"/>
        <charset val="134"/>
      </rPr>
      <t>王力</t>
    </r>
    <r>
      <rPr>
        <sz val="9"/>
        <color rgb="FF000000"/>
        <rFont val="Arial"/>
        <charset val="134"/>
      </rPr>
      <t>:</t>
    </r>
    <r>
      <rPr>
        <sz val="9"/>
        <color rgb="FF000000"/>
        <rFont val="楷体"/>
        <charset val="134"/>
      </rPr>
      <t>总裁</t>
    </r>
  </si>
  <si>
    <r>
      <rPr>
        <sz val="9"/>
        <color rgb="FF000000"/>
        <rFont val="楷体"/>
        <charset val="134"/>
      </rPr>
      <t>北京市朝阳区阜通东大街</t>
    </r>
    <r>
      <rPr>
        <sz val="9"/>
        <color rgb="FF000000"/>
        <rFont val="Arial"/>
        <charset val="134"/>
      </rPr>
      <t>1</t>
    </r>
    <r>
      <rPr>
        <sz val="9"/>
        <color rgb="FF000000"/>
        <rFont val="楷体"/>
        <charset val="134"/>
      </rPr>
      <t>号院</t>
    </r>
    <r>
      <rPr>
        <sz val="9"/>
        <color rgb="FF000000"/>
        <rFont val="Arial"/>
        <charset val="134"/>
      </rPr>
      <t>6</t>
    </r>
    <r>
      <rPr>
        <sz val="9"/>
        <color rgb="FF000000"/>
        <rFont val="楷体"/>
        <charset val="134"/>
      </rPr>
      <t>号楼</t>
    </r>
    <r>
      <rPr>
        <sz val="9"/>
        <color rgb="FF000000"/>
        <rFont val="Arial"/>
        <charset val="134"/>
      </rPr>
      <t>20</t>
    </r>
    <r>
      <rPr>
        <sz val="9"/>
        <color rgb="FF000000"/>
        <rFont val="楷体"/>
        <charset val="134"/>
      </rPr>
      <t>层</t>
    </r>
    <r>
      <rPr>
        <sz val="9"/>
        <color rgb="FF000000"/>
        <rFont val="Arial"/>
        <charset val="134"/>
      </rPr>
      <t>222002</t>
    </r>
  </si>
  <si>
    <r>
      <rPr>
        <sz val="9"/>
        <color rgb="FF000000"/>
        <rFont val="Arial"/>
        <charset val="134"/>
      </rPr>
      <t>6000</t>
    </r>
    <r>
      <rPr>
        <sz val="9"/>
        <color rgb="FF000000"/>
        <rFont val="楷体"/>
        <charset val="134"/>
      </rPr>
      <t>万美元</t>
    </r>
  </si>
  <si>
    <r>
      <rPr>
        <sz val="9"/>
        <color rgb="FF000000"/>
        <rFont val="楷体"/>
        <charset val="134"/>
      </rPr>
      <t>阿里巴巴</t>
    </r>
    <r>
      <rPr>
        <sz val="9"/>
        <color rgb="FF000000"/>
        <rFont val="Arial"/>
        <charset val="134"/>
      </rPr>
      <t>,58</t>
    </r>
    <r>
      <rPr>
        <sz val="9"/>
        <color rgb="FF000000"/>
        <rFont val="楷体"/>
        <charset val="134"/>
      </rPr>
      <t>同城</t>
    </r>
  </si>
  <si>
    <r>
      <rPr>
        <sz val="9"/>
        <color rgb="FF000000"/>
        <rFont val="Arial"/>
        <charset val="134"/>
      </rPr>
      <t>1.87</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</si>
  <si>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云锋基金</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</si>
  <si>
    <r>
      <rPr>
        <sz val="9"/>
        <color rgb="FF000000"/>
        <rFont val="楷体"/>
        <charset val="134"/>
      </rPr>
      <t>经纬创投</t>
    </r>
    <r>
      <rPr>
        <sz val="9"/>
        <color rgb="FF000000"/>
        <rFont val="Arial"/>
        <charset val="134"/>
      </rPr>
      <t>,</t>
    </r>
    <r>
      <rPr>
        <sz val="9"/>
        <color rgb="FF000000"/>
        <rFont val="楷体"/>
        <charset val="134"/>
      </rPr>
      <t>阿里巴巴</t>
    </r>
    <r>
      <rPr>
        <sz val="9"/>
        <color rgb="FF000000"/>
        <rFont val="Arial"/>
        <charset val="134"/>
      </rPr>
      <t>,DST Global</t>
    </r>
  </si>
  <si>
    <r>
      <rPr>
        <sz val="9"/>
        <color rgb="FF000000"/>
        <rFont val="Arial"/>
        <charset val="134"/>
      </rPr>
      <t>250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</si>
  <si>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紫辉创投</t>
    </r>
  </si>
  <si>
    <t>友盟</t>
  </si>
  <si>
    <r>
      <rPr>
        <sz val="9"/>
        <color rgb="FF000000"/>
        <rFont val="楷体"/>
        <charset val="134"/>
      </rPr>
      <t>友盟以</t>
    </r>
    <r>
      <rPr>
        <sz val="9"/>
        <color rgb="FF000000"/>
        <rFont val="Arial"/>
        <charset val="134"/>
      </rPr>
      <t>“</t>
    </r>
    <r>
      <rPr>
        <sz val="9"/>
        <color rgb="FF000000"/>
        <rFont val="楷体"/>
        <charset val="134"/>
      </rPr>
      <t>数据智能，驱动业务增长</t>
    </r>
    <r>
      <rPr>
        <sz val="9"/>
        <color rgb="FF000000"/>
        <rFont val="Arial"/>
        <charset val="134"/>
      </rPr>
      <t>”</t>
    </r>
    <r>
      <rPr>
        <sz val="9"/>
        <color rgb="FF000000"/>
        <rFont val="楷体"/>
        <charset val="134"/>
      </rPr>
      <t>为使命，基于卓越的技术与算法能力，结合实时更新的全域数据资源，覆盖</t>
    </r>
    <r>
      <rPr>
        <sz val="9"/>
        <color rgb="FF000000"/>
        <rFont val="Arial"/>
        <charset val="134"/>
      </rPr>
      <t>191</t>
    </r>
    <r>
      <rPr>
        <sz val="9"/>
        <color rgb="FF000000"/>
        <rFont val="楷体"/>
        <charset val="134"/>
      </rPr>
      <t>个行业分类、输出</t>
    </r>
    <r>
      <rPr>
        <sz val="9"/>
        <color rgb="FF000000"/>
        <rFont val="Arial"/>
        <charset val="134"/>
      </rPr>
      <t>300+</t>
    </r>
    <r>
      <rPr>
        <sz val="9"/>
        <color rgb="FF000000"/>
        <rFont val="楷体"/>
        <charset val="134"/>
      </rPr>
      <t>应用或行业的分析指标，通过</t>
    </r>
    <r>
      <rPr>
        <sz val="9"/>
        <color rgb="FF000000"/>
        <rFont val="Arial"/>
        <charset val="134"/>
      </rPr>
      <t>AI</t>
    </r>
    <r>
      <rPr>
        <sz val="9"/>
        <color rgb="FF000000"/>
        <rFont val="楷体"/>
        <charset val="134"/>
      </rPr>
      <t>赋能的一站式互联网数据产品与服务体系，帮助企业实现深度用户洞察、实时业务决策和持续业务增长。</t>
    </r>
  </si>
  <si>
    <t>北京锐讯灵通科技有限公司</t>
  </si>
  <si>
    <t>https://www.umeng.com/</t>
  </si>
  <si>
    <t>2010-11</t>
  </si>
  <si>
    <r>
      <rPr>
        <sz val="9"/>
        <color rgb="FF000000"/>
        <rFont val="Arial"/>
        <charset val="134"/>
      </rPr>
      <t>8000</t>
    </r>
    <r>
      <rPr>
        <sz val="9"/>
        <color rgb="FF000000"/>
        <rFont val="楷体"/>
        <charset val="134"/>
      </rPr>
      <t>万美元</t>
    </r>
  </si>
  <si>
    <r>
      <rPr>
        <sz val="9"/>
        <color rgb="FF000000"/>
        <rFont val="Arial"/>
        <charset val="134"/>
      </rPr>
      <t>5.88</t>
    </r>
    <r>
      <rPr>
        <sz val="9"/>
        <color rgb="FF000000"/>
        <rFont val="楷体"/>
        <charset val="134"/>
      </rPr>
      <t>亿</t>
    </r>
  </si>
  <si>
    <r>
      <rPr>
        <sz val="9"/>
        <color rgb="FF000000"/>
        <rFont val="Arial"/>
        <charset val="134"/>
      </rPr>
      <t>26</t>
    </r>
    <r>
      <rPr>
        <sz val="9"/>
        <color rgb="FF000000"/>
        <rFont val="楷体"/>
        <charset val="134"/>
      </rPr>
      <t>亿元</t>
    </r>
  </si>
  <si>
    <r>
      <rPr>
        <sz val="9"/>
        <color rgb="FF000000"/>
        <rFont val="楷体"/>
        <charset val="134"/>
      </rPr>
      <t>蒋凡</t>
    </r>
    <r>
      <rPr>
        <sz val="9"/>
        <color rgb="FF000000"/>
        <rFont val="Arial"/>
        <charset val="134"/>
      </rPr>
      <t>:CEO,</t>
    </r>
    <r>
      <rPr>
        <sz val="9"/>
        <color rgb="FF000000"/>
        <rFont val="楷体"/>
        <charset val="134"/>
      </rPr>
      <t>方海</t>
    </r>
    <r>
      <rPr>
        <sz val="9"/>
        <color rgb="FF000000"/>
        <rFont val="Arial"/>
        <charset val="134"/>
      </rPr>
      <t>:CTO,</t>
    </r>
    <r>
      <rPr>
        <sz val="9"/>
        <color rgb="FF000000"/>
        <rFont val="楷体"/>
        <charset val="134"/>
      </rPr>
      <t>陈彧堃</t>
    </r>
    <r>
      <rPr>
        <sz val="9"/>
        <color rgb="FF000000"/>
        <rFont val="Arial"/>
        <charset val="134"/>
      </rPr>
      <t>:</t>
    </r>
    <r>
      <rPr>
        <sz val="9"/>
        <color rgb="FF000000"/>
        <rFont val="楷体"/>
        <charset val="134"/>
      </rPr>
      <t>联合创始人</t>
    </r>
  </si>
  <si>
    <t>北京市朝阳区望京东园四区金辉大厦</t>
  </si>
  <si>
    <t>400-9901-848</t>
  </si>
  <si>
    <t>umengmarket@service.umeng.com</t>
  </si>
  <si>
    <t>2020-01-18</t>
  </si>
  <si>
    <t>客如云</t>
  </si>
  <si>
    <r>
      <rPr>
        <sz val="9"/>
        <color rgb="FF000000"/>
        <rFont val="楷体"/>
        <charset val="134"/>
      </rPr>
      <t>客如云是一家餐饮</t>
    </r>
    <r>
      <rPr>
        <sz val="9"/>
        <color rgb="FF000000"/>
        <rFont val="Arial"/>
        <charset val="134"/>
      </rPr>
      <t>O2O</t>
    </r>
    <r>
      <rPr>
        <sz val="9"/>
        <color rgb="FF000000"/>
        <rFont val="楷体"/>
        <charset val="134"/>
      </rPr>
      <t>技术服务商，产品有移动</t>
    </r>
    <r>
      <rPr>
        <sz val="9"/>
        <color rgb="FF000000"/>
        <rFont val="Arial"/>
        <charset val="134"/>
      </rPr>
      <t>APP“</t>
    </r>
    <r>
      <rPr>
        <sz val="9"/>
        <color rgb="FF000000"/>
        <rFont val="楷体"/>
        <charset val="134"/>
      </rPr>
      <t>找位</t>
    </r>
    <r>
      <rPr>
        <sz val="9"/>
        <color rgb="FF000000"/>
        <rFont val="Arial"/>
        <charset val="134"/>
      </rPr>
      <t>”</t>
    </r>
    <r>
      <rPr>
        <sz val="9"/>
        <color rgb="FF000000"/>
        <rFont val="楷体"/>
        <charset val="134"/>
      </rPr>
      <t>、智能云餐厅系统等，隶属于客如云科技（北京）股份有限公司。</t>
    </r>
  </si>
  <si>
    <t>客如云科技（北京）股份有限公司</t>
  </si>
  <si>
    <t>http://www.keruyun.com</t>
  </si>
  <si>
    <t>餐饮业</t>
  </si>
  <si>
    <r>
      <rPr>
        <sz val="9"/>
        <color rgb="FF000000"/>
        <rFont val="Arial"/>
        <charset val="134"/>
      </rPr>
      <t>8</t>
    </r>
    <r>
      <rPr>
        <sz val="9"/>
        <color rgb="FF000000"/>
        <rFont val="楷体"/>
        <charset val="134"/>
      </rPr>
      <t>亿人民币</t>
    </r>
  </si>
  <si>
    <r>
      <rPr>
        <sz val="9"/>
        <color rgb="FF000000"/>
        <rFont val="Arial"/>
        <charset val="134"/>
      </rPr>
      <t>13.2</t>
    </r>
    <r>
      <rPr>
        <sz val="9"/>
        <color rgb="FF000000"/>
        <rFont val="楷体"/>
        <charset val="134"/>
      </rPr>
      <t>亿</t>
    </r>
  </si>
  <si>
    <r>
      <rPr>
        <sz val="9"/>
        <color rgb="FF000000"/>
        <rFont val="Arial"/>
        <charset val="134"/>
      </rPr>
      <t>40</t>
    </r>
    <r>
      <rPr>
        <sz val="9"/>
        <color rgb="FF000000"/>
        <rFont val="楷体"/>
        <charset val="134"/>
      </rPr>
      <t>亿元</t>
    </r>
  </si>
  <si>
    <r>
      <rPr>
        <sz val="9"/>
        <color rgb="FF000000"/>
        <rFont val="楷体"/>
        <charset val="134"/>
      </rPr>
      <t>彭雷</t>
    </r>
    <r>
      <rPr>
        <sz val="9"/>
        <color rgb="FF000000"/>
        <rFont val="Arial"/>
        <charset val="134"/>
      </rPr>
      <t>:</t>
    </r>
    <r>
      <rPr>
        <sz val="9"/>
        <color rgb="FF000000"/>
        <rFont val="楷体"/>
        <charset val="134"/>
      </rPr>
      <t>创始人</t>
    </r>
  </si>
  <si>
    <r>
      <rPr>
        <sz val="9"/>
        <color rgb="FF000000"/>
        <rFont val="楷体"/>
        <charset val="134"/>
      </rPr>
      <t>北京市东城区新中西街</t>
    </r>
    <r>
      <rPr>
        <sz val="9"/>
        <color rgb="FF000000"/>
        <rFont val="Arial"/>
        <charset val="134"/>
      </rPr>
      <t>2</t>
    </r>
    <r>
      <rPr>
        <sz val="9"/>
        <color rgb="FF000000"/>
        <rFont val="楷体"/>
        <charset val="134"/>
      </rPr>
      <t>号楼新中大厦</t>
    </r>
    <r>
      <rPr>
        <sz val="9"/>
        <color rgb="FF000000"/>
        <rFont val="Arial"/>
        <charset val="134"/>
      </rPr>
      <t>8</t>
    </r>
    <r>
      <rPr>
        <sz val="9"/>
        <color rgb="FF000000"/>
        <rFont val="楷体"/>
        <charset val="134"/>
      </rPr>
      <t>层</t>
    </r>
    <r>
      <rPr>
        <sz val="9"/>
        <color rgb="FF000000"/>
        <rFont val="Arial"/>
        <charset val="134"/>
      </rPr>
      <t>8E</t>
    </r>
    <r>
      <rPr>
        <sz val="9"/>
        <color rgb="FF000000"/>
        <rFont val="楷体"/>
        <charset val="134"/>
      </rPr>
      <t>室</t>
    </r>
  </si>
  <si>
    <t>4006-315-666</t>
  </si>
  <si>
    <t>market@shishike.com</t>
  </si>
  <si>
    <t>钱包产业基金</t>
  </si>
  <si>
    <r>
      <rPr>
        <sz val="9"/>
        <color rgb="FF000000"/>
        <rFont val="Arial"/>
        <charset val="134"/>
      </rPr>
      <t>7200</t>
    </r>
    <r>
      <rPr>
        <sz val="9"/>
        <color rgb="FF000000"/>
        <rFont val="楷体"/>
        <charset val="134"/>
      </rPr>
      <t>万人民币</t>
    </r>
  </si>
  <si>
    <r>
      <rPr>
        <sz val="9"/>
        <color rgb="FF000000"/>
        <rFont val="楷体"/>
        <charset val="134"/>
      </rPr>
      <t>凯兴资本</t>
    </r>
    <r>
      <rPr>
        <sz val="9"/>
        <color rgb="FF000000"/>
        <rFont val="Arial"/>
        <charset val="134"/>
      </rPr>
      <t>,</t>
    </r>
    <r>
      <rPr>
        <sz val="9"/>
        <color rgb="FF000000"/>
        <rFont val="楷体"/>
        <charset val="134"/>
      </rPr>
      <t>鼎峰资本</t>
    </r>
    <r>
      <rPr>
        <sz val="9"/>
        <color rgb="FF000000"/>
        <rFont val="Arial"/>
        <charset val="134"/>
      </rPr>
      <t>,</t>
    </r>
    <r>
      <rPr>
        <sz val="9"/>
        <color rgb="FF000000"/>
        <rFont val="楷体"/>
        <charset val="134"/>
      </rPr>
      <t>丰实资本</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中信建投资本</t>
    </r>
    <r>
      <rPr>
        <sz val="9"/>
        <color rgb="FF000000"/>
        <rFont val="Arial"/>
        <charset val="134"/>
      </rPr>
      <t>,</t>
    </r>
    <r>
      <rPr>
        <sz val="9"/>
        <color rgb="FF000000"/>
        <rFont val="楷体"/>
        <charset val="134"/>
      </rPr>
      <t>中投证券</t>
    </r>
    <r>
      <rPr>
        <sz val="9"/>
        <color rgb="FF000000"/>
        <rFont val="Arial"/>
        <charset val="134"/>
      </rPr>
      <t>,</t>
    </r>
    <r>
      <rPr>
        <sz val="9"/>
        <color rgb="FF000000"/>
        <rFont val="楷体"/>
        <charset val="134"/>
      </rPr>
      <t>水木融创</t>
    </r>
  </si>
  <si>
    <r>
      <rPr>
        <sz val="9"/>
        <color rgb="FF000000"/>
        <rFont val="Arial"/>
        <charset val="134"/>
      </rPr>
      <t>6600</t>
    </r>
    <r>
      <rPr>
        <sz val="9"/>
        <color rgb="FF000000"/>
        <rFont val="楷体"/>
        <charset val="134"/>
      </rPr>
      <t>万人民币</t>
    </r>
  </si>
  <si>
    <r>
      <rPr>
        <sz val="9"/>
        <color rgb="FF000000"/>
        <rFont val="楷体"/>
        <charset val="134"/>
      </rPr>
      <t>百度</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凯兴资本</t>
    </r>
    <r>
      <rPr>
        <sz val="9"/>
        <color rgb="FF000000"/>
        <rFont val="Arial"/>
        <charset val="134"/>
      </rPr>
      <t>,</t>
    </r>
    <r>
      <rPr>
        <sz val="9"/>
        <color rgb="FF000000"/>
        <rFont val="楷体"/>
        <charset val="134"/>
      </rPr>
      <t>天星资本</t>
    </r>
  </si>
  <si>
    <r>
      <rPr>
        <sz val="9"/>
        <color rgb="FF000000"/>
        <rFont val="Arial"/>
        <charset val="134"/>
      </rPr>
      <t>450</t>
    </r>
    <r>
      <rPr>
        <sz val="9"/>
        <color rgb="FF000000"/>
        <rFont val="楷体"/>
        <charset val="134"/>
      </rPr>
      <t>万美元</t>
    </r>
  </si>
  <si>
    <r>
      <rPr>
        <sz val="9"/>
        <color rgb="FF000000"/>
        <rFont val="楷体"/>
        <charset val="134"/>
      </rPr>
      <t>景林投资</t>
    </r>
    <r>
      <rPr>
        <sz val="9"/>
        <color rgb="FF000000"/>
        <rFont val="Arial"/>
        <charset val="134"/>
      </rPr>
      <t>,</t>
    </r>
    <r>
      <rPr>
        <sz val="9"/>
        <color rgb="FF000000"/>
        <rFont val="楷体"/>
        <charset val="134"/>
      </rPr>
      <t>凯兴资本</t>
    </r>
  </si>
  <si>
    <t>2017-05-26</t>
  </si>
  <si>
    <t>趣拍云</t>
  </si>
  <si>
    <t>趣拍云是一家短视频和直播技术服务解决方案提供商，专注于手机短视频拍摄和分享应用趣拍，基于阿里云运行，隶属于杭州短趣网络传媒技术有限公司。</t>
  </si>
  <si>
    <t>杭州短趣网络传媒技术有限公司</t>
  </si>
  <si>
    <t>https://www.qupai.me/</t>
  </si>
  <si>
    <r>
      <rPr>
        <sz val="9"/>
        <color rgb="FF000000"/>
        <rFont val="楷体"/>
        <charset val="134"/>
      </rPr>
      <t>视频</t>
    </r>
    <r>
      <rPr>
        <sz val="9"/>
        <color rgb="FF000000"/>
        <rFont val="Arial"/>
        <charset val="134"/>
      </rPr>
      <t>/</t>
    </r>
    <r>
      <rPr>
        <sz val="9"/>
        <color rgb="FF000000"/>
        <rFont val="楷体"/>
        <charset val="134"/>
      </rPr>
      <t>直播</t>
    </r>
  </si>
  <si>
    <t>阿里云</t>
  </si>
  <si>
    <r>
      <rPr>
        <sz val="9"/>
        <color rgb="FF000000"/>
        <rFont val="Arial"/>
        <charset val="134"/>
      </rPr>
      <t>3000</t>
    </r>
    <r>
      <rPr>
        <sz val="9"/>
        <color rgb="FF000000"/>
        <rFont val="楷体"/>
        <charset val="134"/>
      </rPr>
      <t>万</t>
    </r>
  </si>
  <si>
    <r>
      <rPr>
        <sz val="9"/>
        <color rgb="FF000000"/>
        <rFont val="楷体"/>
        <charset val="134"/>
      </rPr>
      <t>王强宇</t>
    </r>
    <r>
      <rPr>
        <sz val="9"/>
        <color rgb="FF000000"/>
        <rFont val="Arial"/>
        <charset val="134"/>
      </rPr>
      <t>:CEO</t>
    </r>
  </si>
  <si>
    <r>
      <rPr>
        <sz val="9"/>
        <color rgb="FF000000"/>
        <rFont val="楷体"/>
        <charset val="134"/>
      </rPr>
      <t>杭州市拱墅区祥园路</t>
    </r>
    <r>
      <rPr>
        <sz val="9"/>
        <color rgb="FF000000"/>
        <rFont val="Arial"/>
        <charset val="134"/>
      </rPr>
      <t>28</t>
    </r>
    <r>
      <rPr>
        <sz val="9"/>
        <color rgb="FF000000"/>
        <rFont val="楷体"/>
        <charset val="134"/>
      </rPr>
      <t>号乐富智园</t>
    </r>
    <r>
      <rPr>
        <sz val="9"/>
        <color rgb="FF000000"/>
        <rFont val="Arial"/>
        <charset val="134"/>
      </rPr>
      <t>3</t>
    </r>
    <r>
      <rPr>
        <sz val="9"/>
        <color rgb="FF000000"/>
        <rFont val="楷体"/>
        <charset val="134"/>
      </rPr>
      <t>幢</t>
    </r>
    <r>
      <rPr>
        <sz val="9"/>
        <color rgb="FF000000"/>
        <rFont val="Arial"/>
        <charset val="134"/>
      </rPr>
      <t>2</t>
    </r>
    <r>
      <rPr>
        <sz val="9"/>
        <color rgb="FF000000"/>
        <rFont val="楷体"/>
        <charset val="134"/>
      </rPr>
      <t>楼</t>
    </r>
  </si>
  <si>
    <t>0571-89700771</t>
  </si>
  <si>
    <t>linjl@danqoo.com</t>
  </si>
  <si>
    <t>2023-03-09</t>
  </si>
  <si>
    <t>小i机器人</t>
  </si>
  <si>
    <r>
      <rPr>
        <sz val="9"/>
        <color rgb="FF000000"/>
        <rFont val="楷体"/>
        <charset val="134"/>
      </rPr>
      <t>小</t>
    </r>
    <r>
      <rPr>
        <sz val="9"/>
        <color rgb="FF000000"/>
        <rFont val="Arial"/>
        <charset val="134"/>
      </rPr>
      <t>i</t>
    </r>
    <r>
      <rPr>
        <sz val="9"/>
        <color rgb="FF000000"/>
        <rFont val="楷体"/>
        <charset val="134"/>
      </rPr>
      <t>机器人</t>
    </r>
  </si>
  <si>
    <r>
      <rPr>
        <sz val="9"/>
        <color rgb="FF000000"/>
        <rFont val="楷体"/>
        <charset val="134"/>
      </rPr>
      <t>小</t>
    </r>
    <r>
      <rPr>
        <sz val="9"/>
        <color rgb="FF000000"/>
        <rFont val="Arial"/>
        <charset val="134"/>
      </rPr>
      <t>i</t>
    </r>
    <r>
      <rPr>
        <sz val="9"/>
        <color rgb="FF000000"/>
        <rFont val="楷体"/>
        <charset val="134"/>
      </rPr>
      <t>机器人是领先的人工智能技术公司，专注于认知智能相关技术的自主研发和产业化应用。基于多语种自然语言处理、深度语义交互、语音识别和机器学习等人工智能核心技术，小</t>
    </r>
    <r>
      <rPr>
        <sz val="9"/>
        <color rgb="FF000000"/>
        <rFont val="Arial"/>
        <charset val="134"/>
      </rPr>
      <t>i</t>
    </r>
    <r>
      <rPr>
        <sz val="9"/>
        <color rgb="FF000000"/>
        <rFont val="楷体"/>
        <charset val="134"/>
      </rPr>
      <t>机器人形成了面向企业服务、金融、政务、医疗、制造等行业的多样化解决方案和完善的服务体系，赋能数千家政企客户及合作伙伴。作为产业推动者，小</t>
    </r>
    <r>
      <rPr>
        <sz val="9"/>
        <color rgb="FF000000"/>
        <rFont val="Arial"/>
        <charset val="134"/>
      </rPr>
      <t>i</t>
    </r>
    <r>
      <rPr>
        <sz val="9"/>
        <color rgb="FF000000"/>
        <rFont val="楷体"/>
        <charset val="134"/>
      </rPr>
      <t>机器人持续投入生态建设，通过开放平台赋能数十万开发者，以技术的不断创新和大规模的商用落地，推动人工智能产业发展。</t>
    </r>
  </si>
  <si>
    <t>上海智臻智能网络科技股份有限公司</t>
  </si>
  <si>
    <t>http://www.xiaoi.com</t>
  </si>
  <si>
    <t>2009-08</t>
  </si>
  <si>
    <r>
      <rPr>
        <sz val="9"/>
        <color rgb="FF000000"/>
        <rFont val="楷体"/>
        <charset val="134"/>
      </rPr>
      <t>上海</t>
    </r>
    <r>
      <rPr>
        <sz val="9"/>
        <color rgb="FF000000"/>
        <rFont val="Arial"/>
        <charset val="134"/>
      </rPr>
      <t>-</t>
    </r>
    <r>
      <rPr>
        <sz val="9"/>
        <color rgb="FF000000"/>
        <rFont val="楷体"/>
        <charset val="134"/>
      </rPr>
      <t>嘉定区</t>
    </r>
  </si>
  <si>
    <t>先进制造</t>
  </si>
  <si>
    <t>机器人</t>
  </si>
  <si>
    <r>
      <rPr>
        <sz val="9"/>
        <color rgb="FF000000"/>
        <rFont val="Arial"/>
        <charset val="134"/>
      </rPr>
      <t>5280</t>
    </r>
    <r>
      <rPr>
        <sz val="9"/>
        <color rgb="FF000000"/>
        <rFont val="楷体"/>
        <charset val="134"/>
      </rPr>
      <t>万美元</t>
    </r>
  </si>
  <si>
    <r>
      <rPr>
        <sz val="9"/>
        <color rgb="FF000000"/>
        <rFont val="Arial"/>
        <charset val="134"/>
      </rPr>
      <t>13.02</t>
    </r>
    <r>
      <rPr>
        <sz val="9"/>
        <color rgb="FF000000"/>
        <rFont val="楷体"/>
        <charset val="134"/>
      </rPr>
      <t>亿</t>
    </r>
  </si>
  <si>
    <r>
      <rPr>
        <sz val="9"/>
        <color rgb="FF000000"/>
        <rFont val="Arial"/>
        <charset val="134"/>
      </rPr>
      <t>36.66</t>
    </r>
    <r>
      <rPr>
        <sz val="9"/>
        <color rgb="FF000000"/>
        <rFont val="楷体"/>
        <charset val="134"/>
      </rPr>
      <t>亿元</t>
    </r>
  </si>
  <si>
    <r>
      <rPr>
        <sz val="9"/>
        <color rgb="FF000000"/>
        <rFont val="楷体"/>
        <charset val="134"/>
      </rPr>
      <t>袁辉</t>
    </r>
    <r>
      <rPr>
        <sz val="9"/>
        <color rgb="FF000000"/>
        <rFont val="Arial"/>
        <charset val="134"/>
      </rPr>
      <t>:CEO,</t>
    </r>
    <r>
      <rPr>
        <sz val="9"/>
        <color rgb="FF000000"/>
        <rFont val="楷体"/>
        <charset val="134"/>
      </rPr>
      <t>朱频频</t>
    </r>
    <r>
      <rPr>
        <sz val="9"/>
        <color rgb="FF000000"/>
        <rFont val="Arial"/>
        <charset val="134"/>
      </rPr>
      <t>:CTO</t>
    </r>
  </si>
  <si>
    <r>
      <rPr>
        <sz val="9"/>
        <color rgb="FF000000"/>
        <rFont val="楷体"/>
        <charset val="134"/>
      </rPr>
      <t>上海市嘉定区金沙江西路</t>
    </r>
    <r>
      <rPr>
        <sz val="9"/>
        <color rgb="FF000000"/>
        <rFont val="Arial"/>
        <charset val="134"/>
      </rPr>
      <t>1555</t>
    </r>
    <r>
      <rPr>
        <sz val="9"/>
        <color rgb="FF000000"/>
        <rFont val="楷体"/>
        <charset val="134"/>
      </rPr>
      <t>弄慧创国际</t>
    </r>
    <r>
      <rPr>
        <sz val="9"/>
        <color rgb="FF000000"/>
        <rFont val="Arial"/>
        <charset val="134"/>
      </rPr>
      <t>383</t>
    </r>
    <r>
      <rPr>
        <sz val="9"/>
        <color rgb="FF000000"/>
        <rFont val="楷体"/>
        <charset val="134"/>
      </rPr>
      <t>号</t>
    </r>
    <r>
      <rPr>
        <sz val="9"/>
        <color rgb="FF000000"/>
        <rFont val="Arial"/>
        <charset val="134"/>
      </rPr>
      <t>1</t>
    </r>
    <r>
      <rPr>
        <sz val="9"/>
        <color rgb="FF000000"/>
        <rFont val="楷体"/>
        <charset val="134"/>
      </rPr>
      <t>楼</t>
    </r>
  </si>
  <si>
    <t>400-100-3932</t>
  </si>
  <si>
    <t>marketing@xiaoi.net</t>
  </si>
  <si>
    <r>
      <rPr>
        <sz val="9"/>
        <color rgb="FF000000"/>
        <rFont val="楷体"/>
        <charset val="134"/>
      </rPr>
      <t>蓝色光标</t>
    </r>
    <r>
      <rPr>
        <sz val="9"/>
        <color rgb="FF000000"/>
        <rFont val="Arial"/>
        <charset val="134"/>
      </rPr>
      <t>,</t>
    </r>
    <r>
      <rPr>
        <sz val="9"/>
        <color rgb="FF000000"/>
        <rFont val="楷体"/>
        <charset val="134"/>
      </rPr>
      <t>华泰证券</t>
    </r>
  </si>
  <si>
    <r>
      <rPr>
        <sz val="9"/>
        <color rgb="FF000000"/>
        <rFont val="Arial"/>
        <charset val="134"/>
      </rPr>
      <t>4941</t>
    </r>
    <r>
      <rPr>
        <sz val="9"/>
        <color rgb="FF000000"/>
        <rFont val="楷体"/>
        <charset val="134"/>
      </rPr>
      <t>万人民币</t>
    </r>
  </si>
  <si>
    <t>通鼎互联</t>
  </si>
  <si>
    <r>
      <rPr>
        <sz val="9"/>
        <color rgb="FF000000"/>
        <rFont val="楷体"/>
        <charset val="134"/>
      </rPr>
      <t>宽带资本</t>
    </r>
    <r>
      <rPr>
        <sz val="9"/>
        <color rgb="FF000000"/>
        <rFont val="Arial"/>
        <charset val="134"/>
      </rPr>
      <t>CBC,</t>
    </r>
    <r>
      <rPr>
        <sz val="9"/>
        <color rgb="FF000000"/>
        <rFont val="楷体"/>
        <charset val="134"/>
      </rPr>
      <t>阿里巴巴</t>
    </r>
    <r>
      <rPr>
        <sz val="9"/>
        <color rgb="FF000000"/>
        <rFont val="Arial"/>
        <charset val="134"/>
      </rPr>
      <t>,</t>
    </r>
    <r>
      <rPr>
        <sz val="9"/>
        <color rgb="FF000000"/>
        <rFont val="楷体"/>
        <charset val="134"/>
      </rPr>
      <t>海银资本</t>
    </r>
    <r>
      <rPr>
        <sz val="9"/>
        <color rgb="FF000000"/>
        <rFont val="Arial"/>
        <charset val="134"/>
      </rPr>
      <t>,</t>
    </r>
    <r>
      <rPr>
        <sz val="9"/>
        <color rgb="FF000000"/>
        <rFont val="楷体"/>
        <charset val="134"/>
      </rPr>
      <t>仁弘资本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</si>
  <si>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清科创投</t>
    </r>
    <r>
      <rPr>
        <sz val="9"/>
        <color rgb="FF000000"/>
        <rFont val="Arial"/>
        <charset val="134"/>
      </rPr>
      <t>,</t>
    </r>
    <r>
      <rPr>
        <sz val="9"/>
        <color rgb="FF000000"/>
        <rFont val="楷体"/>
        <charset val="134"/>
      </rPr>
      <t>英特尔投资</t>
    </r>
    <r>
      <rPr>
        <sz val="9"/>
        <color rgb="FF000000"/>
        <rFont val="Arial"/>
        <charset val="134"/>
      </rPr>
      <t>Intel Capital,</t>
    </r>
    <r>
      <rPr>
        <sz val="9"/>
        <color rgb="FF000000"/>
        <rFont val="楷体"/>
        <charset val="134"/>
      </rPr>
      <t>德鼎创新基金</t>
    </r>
    <r>
      <rPr>
        <sz val="9"/>
        <color rgb="FF000000"/>
        <rFont val="Arial"/>
        <charset val="134"/>
      </rPr>
      <t>(</t>
    </r>
    <r>
      <rPr>
        <sz val="9"/>
        <color rgb="FF000000"/>
        <rFont val="楷体"/>
        <charset val="134"/>
      </rPr>
      <t>德丰杰龙脉</t>
    </r>
    <r>
      <rPr>
        <sz val="9"/>
        <color rgb="FF000000"/>
        <rFont val="Arial"/>
        <charset val="134"/>
      </rPr>
      <t>),Militello Capital</t>
    </r>
  </si>
  <si>
    <t>2014-09-17</t>
  </si>
  <si>
    <t>漫博客er\魔漫相机</t>
  </si>
  <si>
    <r>
      <rPr>
        <sz val="9"/>
        <color rgb="FF000000"/>
        <rFont val="楷体"/>
        <charset val="134"/>
      </rPr>
      <t>漫博客</t>
    </r>
    <r>
      <rPr>
        <sz val="9"/>
        <color rgb="FF000000"/>
        <rFont val="Arial"/>
        <charset val="134"/>
      </rPr>
      <t>er\</t>
    </r>
    <r>
      <rPr>
        <sz val="9"/>
        <color rgb="FF000000"/>
        <rFont val="楷体"/>
        <charset val="134"/>
      </rPr>
      <t>魔漫相机</t>
    </r>
  </si>
  <si>
    <r>
      <rPr>
        <sz val="9"/>
        <color rgb="FF000000"/>
        <rFont val="楷体"/>
        <charset val="134"/>
      </rPr>
      <t>漫博客网是一家主打动漫、漫画等文化创意的网络科技旗下，产品有魔漫相机、小人儿说等</t>
    </r>
    <r>
      <rPr>
        <sz val="9"/>
        <color rgb="FF000000"/>
        <rFont val="Arial"/>
        <charset val="134"/>
      </rPr>
      <t>APP</t>
    </r>
    <r>
      <rPr>
        <sz val="9"/>
        <color rgb="FF000000"/>
        <rFont val="楷体"/>
        <charset val="134"/>
      </rPr>
      <t>。北京百舜华年文化传播有限公司旗下。</t>
    </r>
  </si>
  <si>
    <t>北京百舜华年文化传播有限公司</t>
  </si>
  <si>
    <t>http://www.manboker.com</t>
  </si>
  <si>
    <t>2008-06</t>
  </si>
  <si>
    <r>
      <rPr>
        <sz val="9"/>
        <color rgb="FF000000"/>
        <rFont val="Arial"/>
        <charset val="134"/>
      </rPr>
      <t>1.95</t>
    </r>
    <r>
      <rPr>
        <sz val="9"/>
        <color rgb="FF000000"/>
        <rFont val="楷体"/>
        <charset val="134"/>
      </rPr>
      <t>亿</t>
    </r>
  </si>
  <si>
    <r>
      <rPr>
        <sz val="9"/>
        <color rgb="FF000000"/>
        <rFont val="楷体"/>
        <charset val="134"/>
      </rPr>
      <t>黄光明</t>
    </r>
    <r>
      <rPr>
        <sz val="9"/>
        <color rgb="FF000000"/>
        <rFont val="Arial"/>
        <charset val="134"/>
      </rPr>
      <t>:CEO,</t>
    </r>
    <r>
      <rPr>
        <sz val="9"/>
        <color rgb="FF000000"/>
        <rFont val="楷体"/>
        <charset val="134"/>
      </rPr>
      <t>任晓倩</t>
    </r>
    <r>
      <rPr>
        <sz val="9"/>
        <color rgb="FF000000"/>
        <rFont val="Arial"/>
        <charset val="134"/>
      </rPr>
      <t>:</t>
    </r>
    <r>
      <rPr>
        <sz val="9"/>
        <color rgb="FF000000"/>
        <rFont val="楷体"/>
        <charset val="134"/>
      </rPr>
      <t>联合创始人</t>
    </r>
  </si>
  <si>
    <t>2018-10-12</t>
  </si>
  <si>
    <t>饿了么</t>
  </si>
  <si>
    <r>
      <rPr>
        <sz val="9"/>
        <color rgb="FF000000"/>
        <rFont val="楷体"/>
        <charset val="134"/>
      </rPr>
      <t>饿了么是一个外卖订餐平台，通过整合线下餐饮品牌和线上网络资源，为用户提供各类中式、日式、西式、夜宵等优质美食，用户可通过手机</t>
    </r>
    <r>
      <rPr>
        <sz val="9"/>
        <color rgb="FF000000"/>
        <rFont val="Arial"/>
        <charset val="134"/>
      </rPr>
      <t>APP</t>
    </r>
    <r>
      <rPr>
        <sz val="9"/>
        <color rgb="FF000000"/>
        <rFont val="楷体"/>
        <charset val="134"/>
      </rPr>
      <t>、电脑端搜索周边餐厅在线订餐，用户起送价为菜品原价＋餐盒费的方式计算。同时在办公场所推出无人零售货架</t>
    </r>
    <r>
      <rPr>
        <sz val="9"/>
        <color rgb="FF000000"/>
        <rFont val="Arial"/>
        <charset val="134"/>
      </rPr>
      <t>“e</t>
    </r>
    <r>
      <rPr>
        <sz val="9"/>
        <color rgb="FF000000"/>
        <rFont val="楷体"/>
        <charset val="134"/>
      </rPr>
      <t>点便利</t>
    </r>
    <r>
      <rPr>
        <sz val="9"/>
        <color rgb="FF000000"/>
        <rFont val="Arial"/>
        <charset val="134"/>
      </rPr>
      <t>”</t>
    </r>
    <r>
      <rPr>
        <sz val="9"/>
        <color rgb="FF000000"/>
        <rFont val="楷体"/>
        <charset val="134"/>
      </rPr>
      <t>，为用户提供熟食生鲜、综合零食、日用品等商品。</t>
    </r>
  </si>
  <si>
    <t>上海拉扎斯信息科技有限公司</t>
  </si>
  <si>
    <t>http://ele.me/</t>
  </si>
  <si>
    <t>2008-09</t>
  </si>
  <si>
    <r>
      <rPr>
        <sz val="9"/>
        <color rgb="FF000000"/>
        <rFont val="楷体"/>
        <charset val="134"/>
      </rPr>
      <t>上海</t>
    </r>
    <r>
      <rPr>
        <sz val="9"/>
        <color rgb="FF000000"/>
        <rFont val="Arial"/>
        <charset val="134"/>
      </rPr>
      <t>-</t>
    </r>
    <r>
      <rPr>
        <sz val="9"/>
        <color rgb="FF000000"/>
        <rFont val="楷体"/>
        <charset val="134"/>
      </rPr>
      <t>普陀区</t>
    </r>
  </si>
  <si>
    <t>口碑</t>
  </si>
  <si>
    <r>
      <rPr>
        <sz val="9"/>
        <color rgb="FF000000"/>
        <rFont val="Arial"/>
        <charset val="134"/>
      </rPr>
      <t>841.17</t>
    </r>
    <r>
      <rPr>
        <sz val="9"/>
        <color rgb="FF000000"/>
        <rFont val="楷体"/>
        <charset val="134"/>
      </rPr>
      <t>亿</t>
    </r>
  </si>
  <si>
    <r>
      <rPr>
        <sz val="9"/>
        <color rgb="FF000000"/>
        <rFont val="楷体"/>
        <charset val="134"/>
      </rPr>
      <t>张旭豪</t>
    </r>
    <r>
      <rPr>
        <sz val="9"/>
        <color rgb="FF000000"/>
        <rFont val="Arial"/>
        <charset val="134"/>
      </rPr>
      <t>:CEO,</t>
    </r>
    <r>
      <rPr>
        <sz val="9"/>
        <color rgb="FF000000"/>
        <rFont val="楷体"/>
        <charset val="134"/>
      </rPr>
      <t>康嘉</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张雪峰</t>
    </r>
    <r>
      <rPr>
        <sz val="9"/>
        <color rgb="FF000000"/>
        <rFont val="Arial"/>
        <charset val="134"/>
      </rPr>
      <t>:CTO,</t>
    </r>
    <r>
      <rPr>
        <sz val="9"/>
        <color rgb="FF000000"/>
        <rFont val="楷体"/>
        <charset val="134"/>
      </rPr>
      <t>王磊</t>
    </r>
    <r>
      <rPr>
        <sz val="9"/>
        <color rgb="FF000000"/>
        <rFont val="Arial"/>
        <charset val="134"/>
      </rPr>
      <t>:CEO</t>
    </r>
  </si>
  <si>
    <r>
      <rPr>
        <sz val="9"/>
        <color rgb="FF000000"/>
        <rFont val="楷体"/>
        <charset val="134"/>
      </rPr>
      <t>上海市普陀区金沙江路</t>
    </r>
    <r>
      <rPr>
        <sz val="9"/>
        <color rgb="FF000000"/>
        <rFont val="Arial"/>
        <charset val="134"/>
      </rPr>
      <t>1518</t>
    </r>
    <r>
      <rPr>
        <sz val="9"/>
        <color rgb="FF000000"/>
        <rFont val="楷体"/>
        <charset val="134"/>
      </rPr>
      <t>弄近铁城市广场</t>
    </r>
    <r>
      <rPr>
        <sz val="9"/>
        <color rgb="FF000000"/>
        <rFont val="Arial"/>
        <charset val="134"/>
      </rPr>
      <t>401</t>
    </r>
    <r>
      <rPr>
        <sz val="9"/>
        <color rgb="FF000000"/>
        <rFont val="楷体"/>
        <charset val="134"/>
      </rPr>
      <t>室</t>
    </r>
  </si>
  <si>
    <t>021- 8024-1717</t>
  </si>
  <si>
    <t>marketing_coop@ele.me</t>
  </si>
  <si>
    <r>
      <rPr>
        <sz val="9"/>
        <color rgb="FF000000"/>
        <rFont val="Arial"/>
        <charset val="134"/>
      </rPr>
      <t>95</t>
    </r>
    <r>
      <rPr>
        <sz val="9"/>
        <color rgb="FF000000"/>
        <rFont val="楷体"/>
        <charset val="134"/>
      </rPr>
      <t>亿美元</t>
    </r>
  </si>
  <si>
    <r>
      <rPr>
        <sz val="9"/>
        <color rgb="FF000000"/>
        <rFont val="Arial"/>
        <charset val="134"/>
      </rPr>
      <t>12.5</t>
    </r>
    <r>
      <rPr>
        <sz val="9"/>
        <color rgb="FF000000"/>
        <rFont val="楷体"/>
        <charset val="134"/>
      </rPr>
      <t>亿美元</t>
    </r>
  </si>
  <si>
    <r>
      <rPr>
        <sz val="9"/>
        <color rgb="FF000000"/>
        <rFont val="Arial"/>
        <charset val="134"/>
      </rPr>
      <t>6.3</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</si>
  <si>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华联股份</t>
    </r>
  </si>
  <si>
    <r>
      <rPr>
        <sz val="9"/>
        <color rgb="FF000000"/>
        <rFont val="Arial"/>
        <charset val="134"/>
      </rPr>
      <t>3.5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</si>
  <si>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大众点评网</t>
    </r>
  </si>
  <si>
    <t>大众点评网</t>
  </si>
  <si>
    <r>
      <rPr>
        <sz val="9"/>
        <color rgb="FF000000"/>
        <rFont val="Arial"/>
        <charset val="134"/>
      </rPr>
      <t>2500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</si>
  <si>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金沙江创投</t>
    </r>
  </si>
  <si>
    <r>
      <rPr>
        <sz val="9"/>
        <color rgb="FF000000"/>
        <rFont val="楷体"/>
        <charset val="134"/>
      </rPr>
      <t>经纬创投</t>
    </r>
    <r>
      <rPr>
        <sz val="9"/>
        <color rgb="FF000000"/>
        <rFont val="Arial"/>
        <charset val="134"/>
      </rPr>
      <t>,</t>
    </r>
    <r>
      <rPr>
        <sz val="9"/>
        <color rgb="FF000000"/>
        <rFont val="楷体"/>
        <charset val="134"/>
      </rPr>
      <t>金沙江创投</t>
    </r>
  </si>
  <si>
    <t>2017-09-26</t>
  </si>
  <si>
    <t>EJOY广州简悦科技</t>
  </si>
  <si>
    <r>
      <rPr>
        <sz val="9"/>
        <color rgb="FF000000"/>
        <rFont val="Arial"/>
        <charset val="134"/>
      </rPr>
      <t>EJOY</t>
    </r>
    <r>
      <rPr>
        <sz val="9"/>
        <color rgb="FF000000"/>
        <rFont val="楷体"/>
        <charset val="134"/>
      </rPr>
      <t>广州简悦科技</t>
    </r>
  </si>
  <si>
    <r>
      <rPr>
        <sz val="9"/>
        <color rgb="FF000000"/>
        <rFont val="楷体"/>
        <charset val="134"/>
      </rPr>
      <t>广州简悦科技（</t>
    </r>
    <r>
      <rPr>
        <sz val="9"/>
        <color rgb="FF000000"/>
        <rFont val="Arial"/>
        <charset val="134"/>
      </rPr>
      <t>EJOY</t>
    </r>
    <r>
      <rPr>
        <sz val="9"/>
        <color rgb="FF000000"/>
        <rFont val="楷体"/>
        <charset val="134"/>
      </rPr>
      <t>）是一家新兴的网络游戏开发和运营公司，产品有《狂刃</t>
    </r>
    <r>
      <rPr>
        <sz val="9"/>
        <color rgb="FF000000"/>
        <rFont val="Arial"/>
        <charset val="134"/>
      </rPr>
      <t>OL</t>
    </r>
    <r>
      <rPr>
        <sz val="9"/>
        <color rgb="FF000000"/>
        <rFont val="楷体"/>
        <charset val="134"/>
      </rPr>
      <t>》等。</t>
    </r>
  </si>
  <si>
    <t>广州简悦信息科技有限公司</t>
  </si>
  <si>
    <t>http://www.ejoy.com</t>
  </si>
  <si>
    <t>游戏</t>
  </si>
  <si>
    <t>游戏开发商</t>
  </si>
  <si>
    <r>
      <rPr>
        <sz val="9"/>
        <color rgb="FF000000"/>
        <rFont val="Arial"/>
        <charset val="134"/>
      </rPr>
      <t>1.3</t>
    </r>
    <r>
      <rPr>
        <sz val="9"/>
        <color rgb="FF000000"/>
        <rFont val="楷体"/>
        <charset val="134"/>
      </rPr>
      <t>亿</t>
    </r>
  </si>
  <si>
    <r>
      <rPr>
        <sz val="9"/>
        <color rgb="FF000000"/>
        <rFont val="楷体"/>
        <charset val="134"/>
      </rPr>
      <t>詹钟晖</t>
    </r>
    <r>
      <rPr>
        <sz val="9"/>
        <color rgb="FF000000"/>
        <rFont val="Arial"/>
        <charset val="134"/>
      </rPr>
      <t>:CEO,</t>
    </r>
    <r>
      <rPr>
        <sz val="9"/>
        <color rgb="FF000000"/>
        <rFont val="楷体"/>
        <charset val="134"/>
      </rPr>
      <t>吴云洋</t>
    </r>
    <r>
      <rPr>
        <sz val="9"/>
        <color rgb="FF000000"/>
        <rFont val="Arial"/>
        <charset val="134"/>
      </rPr>
      <t>:CTO</t>
    </r>
  </si>
  <si>
    <r>
      <rPr>
        <sz val="9"/>
        <color rgb="FF000000"/>
        <rFont val="楷体"/>
        <charset val="134"/>
      </rPr>
      <t>天河区黄埔大道</t>
    </r>
    <r>
      <rPr>
        <sz val="9"/>
        <color rgb="FF000000"/>
        <rFont val="Arial"/>
        <charset val="134"/>
      </rPr>
      <t xml:space="preserve"> </t>
    </r>
    <r>
      <rPr>
        <sz val="9"/>
        <color rgb="FF000000"/>
        <rFont val="楷体"/>
        <charset val="134"/>
      </rPr>
      <t>西</t>
    </r>
    <r>
      <rPr>
        <sz val="9"/>
        <color rgb="FF000000"/>
        <rFont val="Arial"/>
        <charset val="134"/>
      </rPr>
      <t>120</t>
    </r>
    <r>
      <rPr>
        <sz val="9"/>
        <color rgb="FF000000"/>
        <rFont val="楷体"/>
        <charset val="134"/>
      </rPr>
      <t>号高志大厦</t>
    </r>
    <r>
      <rPr>
        <sz val="9"/>
        <color rgb="FF000000"/>
        <rFont val="Arial"/>
        <charset val="134"/>
      </rPr>
      <t>25</t>
    </r>
    <r>
      <rPr>
        <sz val="9"/>
        <color rgb="FF000000"/>
        <rFont val="楷体"/>
        <charset val="134"/>
      </rPr>
      <t>楼</t>
    </r>
  </si>
  <si>
    <t xml:space="preserve"> talent@ejoy.com;ericcwan@gmail.com;dingdang@ejoy.</t>
  </si>
  <si>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毅达资本</t>
    </r>
  </si>
  <si>
    <t>2013-02-01</t>
  </si>
  <si>
    <t>声盟</t>
  </si>
  <si>
    <t>声盟是一家主打声音为媒介的新媒体广告技术及服务提供商，为开发者提供声音广告和联盟服务，隶属于蓝沛科技（北京）有限公司。</t>
  </si>
  <si>
    <t>蓝沛科技（北京）有限公司</t>
  </si>
  <si>
    <t>http://www.shengmeng.la</t>
  </si>
  <si>
    <t>广告营销</t>
  </si>
  <si>
    <t>整合营销传播</t>
  </si>
  <si>
    <r>
      <rPr>
        <sz val="9"/>
        <color rgb="FF000000"/>
        <rFont val="楷体"/>
        <charset val="134"/>
      </rPr>
      <t>石毅</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贾振强</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王东方</t>
    </r>
    <r>
      <rPr>
        <sz val="9"/>
        <color rgb="FF000000"/>
        <rFont val="Arial"/>
        <charset val="134"/>
      </rPr>
      <t>:</t>
    </r>
    <r>
      <rPr>
        <sz val="9"/>
        <color rgb="FF000000"/>
        <rFont val="楷体"/>
        <charset val="134"/>
      </rPr>
      <t>联合创始人</t>
    </r>
  </si>
  <si>
    <t>2021-04-20</t>
  </si>
  <si>
    <t>美团</t>
  </si>
  <si>
    <r>
      <rPr>
        <sz val="9"/>
        <color rgb="FF000000"/>
        <rFont val="楷体"/>
        <charset val="134"/>
      </rPr>
      <t>美团是一个本地生活综合服务平台，致力于围绕个人生活提供所需的各种服务，包括餐饮、外卖、</t>
    </r>
    <r>
      <rPr>
        <sz val="9"/>
        <color rgb="FF000000"/>
        <rFont val="Arial"/>
        <charset val="134"/>
      </rPr>
      <t>KTV</t>
    </r>
    <r>
      <rPr>
        <sz val="9"/>
        <color rgb="FF000000"/>
        <rFont val="楷体"/>
        <charset val="134"/>
      </rPr>
      <t>、电影、住宿、旅游、美容美发等日常生活基本需求，以及婚庆、家装等消费服务，同时提供用户消费评价、商家评分、商家信息查询等功能。</t>
    </r>
  </si>
  <si>
    <t>北京三快科技有限公司</t>
  </si>
  <si>
    <t>http://www.meituan.com/</t>
  </si>
  <si>
    <t>2010-03</t>
  </si>
  <si>
    <r>
      <rPr>
        <sz val="9"/>
        <color rgb="FF000000"/>
        <rFont val="Arial"/>
        <charset val="134"/>
      </rPr>
      <t>100</t>
    </r>
    <r>
      <rPr>
        <sz val="9"/>
        <color rgb="FF000000"/>
        <rFont val="楷体"/>
        <charset val="134"/>
      </rPr>
      <t>亿美元</t>
    </r>
  </si>
  <si>
    <r>
      <rPr>
        <sz val="9"/>
        <color rgb="FF000000"/>
        <rFont val="Arial"/>
        <charset val="134"/>
      </rPr>
      <t>1583.53</t>
    </r>
    <r>
      <rPr>
        <sz val="9"/>
        <color rgb="FF000000"/>
        <rFont val="楷体"/>
        <charset val="134"/>
      </rPr>
      <t>亿</t>
    </r>
  </si>
  <si>
    <r>
      <rPr>
        <sz val="9"/>
        <color rgb="FF000000"/>
        <rFont val="Arial"/>
        <charset val="134"/>
      </rPr>
      <t>3250</t>
    </r>
    <r>
      <rPr>
        <sz val="9"/>
        <color rgb="FF000000"/>
        <rFont val="楷体"/>
        <charset val="134"/>
      </rPr>
      <t>亿元</t>
    </r>
  </si>
  <si>
    <r>
      <rPr>
        <sz val="9"/>
        <color rgb="FF000000"/>
        <rFont val="楷体"/>
        <charset val="134"/>
      </rPr>
      <t>王兴</t>
    </r>
    <r>
      <rPr>
        <sz val="9"/>
        <color rgb="FF000000"/>
        <rFont val="Arial"/>
        <charset val="134"/>
      </rPr>
      <t>:CEO,</t>
    </r>
    <r>
      <rPr>
        <sz val="9"/>
        <color rgb="FF000000"/>
        <rFont val="楷体"/>
        <charset val="134"/>
      </rPr>
      <t>王慧文</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罗道锋</t>
    </r>
    <r>
      <rPr>
        <sz val="9"/>
        <color rgb="FF000000"/>
        <rFont val="Arial"/>
        <charset val="134"/>
      </rPr>
      <t>:CTO,</t>
    </r>
    <r>
      <rPr>
        <sz val="9"/>
        <color rgb="FF000000"/>
        <rFont val="楷体"/>
        <charset val="134"/>
      </rPr>
      <t>李树斌</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干嘉伟</t>
    </r>
    <r>
      <rPr>
        <sz val="9"/>
        <color rgb="FF000000"/>
        <rFont val="Arial"/>
        <charset val="134"/>
      </rPr>
      <t>:COO</t>
    </r>
  </si>
  <si>
    <r>
      <rPr>
        <sz val="9"/>
        <color rgb="FF000000"/>
        <rFont val="楷体"/>
        <charset val="134"/>
      </rPr>
      <t>北京市朝阳区望京东路</t>
    </r>
    <r>
      <rPr>
        <sz val="9"/>
        <color rgb="FF000000"/>
        <rFont val="Arial"/>
        <charset val="134"/>
      </rPr>
      <t>4</t>
    </r>
    <r>
      <rPr>
        <sz val="9"/>
        <color rgb="FF000000"/>
        <rFont val="楷体"/>
        <charset val="134"/>
      </rPr>
      <t>号恒电大厦</t>
    </r>
    <r>
      <rPr>
        <sz val="9"/>
        <color rgb="FF000000"/>
        <rFont val="Arial"/>
        <charset val="134"/>
      </rPr>
      <t>BC</t>
    </r>
    <r>
      <rPr>
        <sz val="9"/>
        <color rgb="FF000000"/>
        <rFont val="楷体"/>
        <charset val="134"/>
      </rPr>
      <t>座</t>
    </r>
  </si>
  <si>
    <t>010-1010-5557</t>
  </si>
  <si>
    <r>
      <rPr>
        <sz val="9"/>
        <color rgb="FF000000"/>
        <rFont val="Arial"/>
        <charset val="134"/>
      </rPr>
      <t>42</t>
    </r>
    <r>
      <rPr>
        <sz val="9"/>
        <color rgb="FF000000"/>
        <rFont val="楷体"/>
        <charset val="134"/>
      </rPr>
      <t>亿美元</t>
    </r>
  </si>
  <si>
    <r>
      <rPr>
        <sz val="9"/>
        <color rgb="FF000000"/>
        <rFont val="Arial"/>
        <charset val="134"/>
      </rPr>
      <t>15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</si>
  <si>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中国诚通</t>
    </r>
    <r>
      <rPr>
        <sz val="9"/>
        <color rgb="FF000000"/>
        <rFont val="Arial"/>
        <charset val="134"/>
      </rPr>
      <t>,</t>
    </r>
    <r>
      <rPr>
        <sz val="9"/>
        <color rgb="FF000000"/>
        <rFont val="楷体"/>
        <charset val="134"/>
      </rPr>
      <t>天际资本</t>
    </r>
    <r>
      <rPr>
        <sz val="9"/>
        <color rgb="FF000000"/>
        <rFont val="Arial"/>
        <charset val="134"/>
      </rPr>
      <t>FutureX Capital,Oppenheimer,Dasarna,Landsdowne</t>
    </r>
  </si>
  <si>
    <r>
      <rPr>
        <sz val="9"/>
        <color rgb="FF000000"/>
        <rFont val="楷体"/>
        <charset val="134"/>
      </rPr>
      <t>红杉资本中国</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,Coatue Management,H Capital,GIC</t>
    </r>
    <r>
      <rPr>
        <sz val="9"/>
        <color rgb="FF000000"/>
        <rFont val="楷体"/>
        <charset val="134"/>
      </rPr>
      <t>新加坡政府投资公司</t>
    </r>
    <r>
      <rPr>
        <sz val="9"/>
        <color rgb="FF000000"/>
        <rFont val="Arial"/>
        <charset val="134"/>
      </rPr>
      <t>,</t>
    </r>
    <r>
      <rPr>
        <sz val="9"/>
        <color rgb="FF000000"/>
        <rFont val="楷体"/>
        <charset val="134"/>
      </rPr>
      <t>方源资本</t>
    </r>
    <r>
      <rPr>
        <sz val="9"/>
        <color rgb="FF000000"/>
        <rFont val="Arial"/>
        <charset val="134"/>
      </rPr>
      <t>,</t>
    </r>
    <r>
      <rPr>
        <sz val="9"/>
        <color rgb="FF000000"/>
        <rFont val="楷体"/>
        <charset val="134"/>
      </rPr>
      <t>加拿大养老基金</t>
    </r>
    <r>
      <rPr>
        <sz val="9"/>
        <color rgb="FF000000"/>
        <rFont val="Arial"/>
        <charset val="134"/>
      </rPr>
      <t>(CPPIB),</t>
    </r>
    <r>
      <rPr>
        <sz val="9"/>
        <color rgb="FF000000"/>
        <rFont val="楷体"/>
        <charset val="134"/>
      </rPr>
      <t>弘卓资本</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阿联酋投资合作基金</t>
    </r>
    <r>
      <rPr>
        <sz val="9"/>
        <color rgb="FF000000"/>
        <rFont val="Arial"/>
        <charset val="134"/>
      </rPr>
      <t>,The Priceline Group</t>
    </r>
  </si>
  <si>
    <t>华润创业联和基金</t>
  </si>
  <si>
    <r>
      <rPr>
        <sz val="9"/>
        <color rgb="FF000000"/>
        <rFont val="Arial"/>
        <charset val="134"/>
      </rPr>
      <t>33</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</si>
  <si>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,DST Global,</t>
    </r>
    <r>
      <rPr>
        <sz val="9"/>
        <color rgb="FF000000"/>
        <rFont val="楷体"/>
        <charset val="134"/>
      </rPr>
      <t>淡马锡</t>
    </r>
    <r>
      <rPr>
        <sz val="9"/>
        <color rgb="FF000000"/>
        <rFont val="Arial"/>
        <charset val="134"/>
      </rPr>
      <t>Temasek,</t>
    </r>
    <r>
      <rPr>
        <sz val="9"/>
        <color rgb="FF000000"/>
        <rFont val="楷体"/>
        <charset val="134"/>
      </rPr>
      <t>高瓴投资</t>
    </r>
    <r>
      <rPr>
        <sz val="9"/>
        <color rgb="FF000000"/>
        <rFont val="Arial"/>
        <charset val="134"/>
      </rPr>
      <t>,</t>
    </r>
    <r>
      <rPr>
        <sz val="9"/>
        <color rgb="FF000000"/>
        <rFont val="楷体"/>
        <charset val="134"/>
      </rPr>
      <t>中金公司</t>
    </r>
    <r>
      <rPr>
        <sz val="9"/>
        <color rgb="FF000000"/>
        <rFont val="Arial"/>
        <charset val="134"/>
      </rPr>
      <t>,Baillie Gifford,</t>
    </r>
    <r>
      <rPr>
        <sz val="9"/>
        <color rgb="FF000000"/>
        <rFont val="楷体"/>
        <charset val="134"/>
      </rPr>
      <t>鼎和高达</t>
    </r>
    <r>
      <rPr>
        <sz val="9"/>
        <color rgb="FF000000"/>
        <rFont val="Arial"/>
        <charset val="134"/>
      </rPr>
      <t>,</t>
    </r>
    <r>
      <rPr>
        <sz val="9"/>
        <color rgb="FF000000"/>
        <rFont val="楷体"/>
        <charset val="134"/>
      </rPr>
      <t>方正和生投资</t>
    </r>
    <r>
      <rPr>
        <sz val="9"/>
        <color rgb="FF000000"/>
        <rFont val="Arial"/>
        <charset val="134"/>
      </rPr>
      <t>,</t>
    </r>
    <r>
      <rPr>
        <sz val="9"/>
        <color rgb="FF000000"/>
        <rFont val="楷体"/>
        <charset val="134"/>
      </rPr>
      <t>卡氏中国基金</t>
    </r>
    <r>
      <rPr>
        <sz val="9"/>
        <color rgb="FF000000"/>
        <rFont val="Arial"/>
        <charset val="134"/>
      </rPr>
      <t>,</t>
    </r>
    <r>
      <rPr>
        <sz val="9"/>
        <color rgb="FF000000"/>
        <rFont val="楷体"/>
        <charset val="134"/>
      </rPr>
      <t>加拿大养老基金</t>
    </r>
    <r>
      <rPr>
        <sz val="9"/>
        <color rgb="FF000000"/>
        <rFont val="Arial"/>
        <charset val="134"/>
      </rPr>
      <t>(CPPIB)</t>
    </r>
  </si>
  <si>
    <t>华夏基金</t>
  </si>
  <si>
    <r>
      <rPr>
        <sz val="9"/>
        <color rgb="FF000000"/>
        <rFont val="楷体"/>
        <charset val="134"/>
      </rPr>
      <t>红杉资本中国</t>
    </r>
    <r>
      <rPr>
        <sz val="9"/>
        <color rgb="FF000000"/>
        <rFont val="Arial"/>
        <charset val="134"/>
      </rPr>
      <t>,</t>
    </r>
    <r>
      <rPr>
        <sz val="9"/>
        <color rgb="FF000000"/>
        <rFont val="楷体"/>
        <charset val="134"/>
      </rPr>
      <t>阿里巴巴</t>
    </r>
    <r>
      <rPr>
        <sz val="9"/>
        <color rgb="FF000000"/>
        <rFont val="Arial"/>
        <charset val="134"/>
      </rPr>
      <t>,General Atlantic</t>
    </r>
    <r>
      <rPr>
        <sz val="9"/>
        <color rgb="FF000000"/>
        <rFont val="楷体"/>
        <charset val="134"/>
      </rPr>
      <t>泛大西洋投资</t>
    </r>
  </si>
  <si>
    <r>
      <rPr>
        <sz val="9"/>
        <color rgb="FF000000"/>
        <rFont val="Arial"/>
        <charset val="134"/>
      </rPr>
      <t>5000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</si>
  <si>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华登国际</t>
    </r>
  </si>
  <si>
    <t>2021-11-08</t>
  </si>
  <si>
    <t>小红书</t>
  </si>
  <si>
    <r>
      <rPr>
        <sz val="9"/>
        <color rgb="FF000000"/>
        <rFont val="楷体"/>
        <charset val="134"/>
      </rPr>
      <t>小红书</t>
    </r>
  </si>
  <si>
    <r>
      <rPr>
        <sz val="9"/>
        <color rgb="FF000000"/>
        <rFont val="楷体"/>
        <charset val="134"/>
      </rPr>
      <t>小红书是年轻人的生活方式平台，以</t>
    </r>
    <r>
      <rPr>
        <sz val="9"/>
        <color rgb="FF000000"/>
        <rFont val="Arial"/>
        <charset val="134"/>
      </rPr>
      <t xml:space="preserve">“Inspire Lives </t>
    </r>
    <r>
      <rPr>
        <sz val="9"/>
        <color rgb="FF000000"/>
        <rFont val="楷体"/>
        <charset val="134"/>
      </rPr>
      <t>分享和发现世界的精彩</t>
    </r>
    <r>
      <rPr>
        <sz val="9"/>
        <color rgb="FF000000"/>
        <rFont val="Arial"/>
        <charset val="134"/>
      </rPr>
      <t>”</t>
    </r>
    <r>
      <rPr>
        <sz val="9"/>
        <color rgb="FF000000"/>
        <rFont val="楷体"/>
        <charset val="134"/>
      </rPr>
      <t>为使命，用户可以通过短视频、图文等形式记录生活点滴，分享生活方式，并基于兴趣形成互动。截至到</t>
    </r>
    <r>
      <rPr>
        <sz val="9"/>
        <color rgb="FF000000"/>
        <rFont val="Arial"/>
        <charset val="134"/>
      </rPr>
      <t>2019</t>
    </r>
    <r>
      <rPr>
        <sz val="9"/>
        <color rgb="FF000000"/>
        <rFont val="楷体"/>
        <charset val="134"/>
      </rPr>
      <t>年</t>
    </r>
    <r>
      <rPr>
        <sz val="9"/>
        <color rgb="FF000000"/>
        <rFont val="Arial"/>
        <charset val="134"/>
      </rPr>
      <t>10</t>
    </r>
    <r>
      <rPr>
        <sz val="9"/>
        <color rgb="FF000000"/>
        <rFont val="楷体"/>
        <charset val="134"/>
      </rPr>
      <t>月，小红书月活跃用户数已经过亿，其中</t>
    </r>
    <r>
      <rPr>
        <sz val="9"/>
        <color rgb="FF000000"/>
        <rFont val="Arial"/>
        <charset val="134"/>
      </rPr>
      <t>70%</t>
    </r>
    <r>
      <rPr>
        <sz val="9"/>
        <color rgb="FF000000"/>
        <rFont val="楷体"/>
        <charset val="134"/>
      </rPr>
      <t>用户是</t>
    </r>
    <r>
      <rPr>
        <sz val="9"/>
        <color rgb="FF000000"/>
        <rFont val="Arial"/>
        <charset val="134"/>
      </rPr>
      <t>90</t>
    </r>
    <r>
      <rPr>
        <sz val="9"/>
        <color rgb="FF000000"/>
        <rFont val="楷体"/>
        <charset val="134"/>
      </rPr>
      <t>后，并持续快速增长。</t>
    </r>
  </si>
  <si>
    <t>行吟信息科技（上海）有限公司</t>
  </si>
  <si>
    <t>http://www.xiaohongshu.com</t>
  </si>
  <si>
    <t>2013-08</t>
  </si>
  <si>
    <r>
      <rPr>
        <sz val="9"/>
        <color rgb="FF000000"/>
        <rFont val="楷体"/>
        <charset val="134"/>
      </rPr>
      <t>上海</t>
    </r>
    <r>
      <rPr>
        <sz val="9"/>
        <color rgb="FF000000"/>
        <rFont val="Arial"/>
        <charset val="134"/>
      </rPr>
      <t>-</t>
    </r>
    <r>
      <rPr>
        <sz val="9"/>
        <color rgb="FF000000"/>
        <rFont val="楷体"/>
        <charset val="134"/>
      </rPr>
      <t>黄浦区</t>
    </r>
  </si>
  <si>
    <r>
      <rPr>
        <sz val="9"/>
        <color rgb="FF000000"/>
        <rFont val="楷体"/>
        <charset val="134"/>
      </rPr>
      <t>运营中</t>
    </r>
  </si>
  <si>
    <r>
      <rPr>
        <sz val="9"/>
        <color rgb="FF000000"/>
        <rFont val="楷体"/>
        <charset val="134"/>
      </rPr>
      <t>本地生活</t>
    </r>
  </si>
  <si>
    <r>
      <rPr>
        <sz val="9"/>
        <color rgb="FF000000"/>
        <rFont val="楷体"/>
        <charset val="134"/>
      </rPr>
      <t>休闲娱乐</t>
    </r>
  </si>
  <si>
    <r>
      <rPr>
        <sz val="9"/>
        <color rgb="FF000000"/>
        <rFont val="楷体"/>
        <charset val="134"/>
      </rPr>
      <t>战略投资</t>
    </r>
  </si>
  <si>
    <r>
      <t>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</si>
  <si>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元生资本</t>
    </r>
  </si>
  <si>
    <r>
      <t>60.68</t>
    </r>
    <r>
      <rPr>
        <sz val="9"/>
        <color rgb="FF000000"/>
        <rFont val="楷体"/>
        <charset val="134"/>
      </rPr>
      <t>亿</t>
    </r>
  </si>
  <si>
    <r>
      <t>1300</t>
    </r>
    <r>
      <rPr>
        <sz val="9"/>
        <color rgb="FF000000"/>
        <rFont val="楷体"/>
        <charset val="134"/>
      </rPr>
      <t>亿元</t>
    </r>
  </si>
  <si>
    <r>
      <rPr>
        <sz val="9"/>
        <color rgb="FF000000"/>
        <rFont val="楷体"/>
        <charset val="134"/>
      </rPr>
      <t>毛文超</t>
    </r>
    <r>
      <rPr>
        <sz val="9"/>
        <color rgb="FF000000"/>
        <rFont val="Arial"/>
        <charset val="134"/>
      </rPr>
      <t>:CEO,</t>
    </r>
    <r>
      <rPr>
        <sz val="9"/>
        <color rgb="FF000000"/>
        <rFont val="楷体"/>
        <charset val="134"/>
      </rPr>
      <t>瞿芳</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曾秀莲</t>
    </r>
    <r>
      <rPr>
        <sz val="9"/>
        <color rgb="FF000000"/>
        <rFont val="Arial"/>
        <charset val="134"/>
      </rPr>
      <t>:</t>
    </r>
    <r>
      <rPr>
        <sz val="9"/>
        <color rgb="FF000000"/>
        <rFont val="楷体"/>
        <charset val="134"/>
      </rPr>
      <t>联合创始人</t>
    </r>
  </si>
  <si>
    <r>
      <rPr>
        <sz val="9"/>
        <color rgb="FF000000"/>
        <rFont val="楷体"/>
        <charset val="134"/>
      </rPr>
      <t>上海市黄浦区马当路</t>
    </r>
    <r>
      <rPr>
        <sz val="9"/>
        <color rgb="FF000000"/>
        <rFont val="Arial"/>
        <charset val="134"/>
      </rPr>
      <t>388</t>
    </r>
    <r>
      <rPr>
        <sz val="9"/>
        <color rgb="FF000000"/>
        <rFont val="楷体"/>
        <charset val="134"/>
      </rPr>
      <t>号</t>
    </r>
    <r>
      <rPr>
        <sz val="9"/>
        <color rgb="FF000000"/>
        <rFont val="Arial"/>
        <charset val="134"/>
      </rPr>
      <t xml:space="preserve"> SOHO</t>
    </r>
    <r>
      <rPr>
        <sz val="9"/>
        <color rgb="FF000000"/>
        <rFont val="楷体"/>
        <charset val="134"/>
      </rPr>
      <t>复兴广场</t>
    </r>
    <r>
      <rPr>
        <sz val="9"/>
        <color rgb="FF000000"/>
        <rFont val="Arial"/>
        <charset val="134"/>
      </rPr>
      <t>C</t>
    </r>
    <r>
      <rPr>
        <sz val="9"/>
        <color rgb="FF000000"/>
        <rFont val="楷体"/>
        <charset val="134"/>
      </rPr>
      <t>座</t>
    </r>
  </si>
  <si>
    <t>021-6422-4530</t>
  </si>
  <si>
    <t>red.ad@xiaohongshu.com</t>
  </si>
  <si>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元生资本</t>
    </r>
    <r>
      <rPr>
        <sz val="9"/>
        <color rgb="FF000000"/>
        <rFont val="Arial"/>
        <charset val="134"/>
      </rPr>
      <t>,K11,</t>
    </r>
    <r>
      <rPr>
        <sz val="9"/>
        <color rgb="FF000000"/>
        <rFont val="楷体"/>
        <charset val="134"/>
      </rPr>
      <t>郑志刚</t>
    </r>
  </si>
  <si>
    <r>
      <rPr>
        <sz val="9"/>
        <color rgb="FF000000"/>
        <rFont val="楷体"/>
        <charset val="134"/>
      </rPr>
      <t>腾讯投资</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元生资本</t>
    </r>
  </si>
  <si>
    <r>
      <rPr>
        <sz val="9"/>
        <color rgb="FF000000"/>
        <rFont val="楷体"/>
        <charset val="134"/>
      </rPr>
      <t>金沙江创投</t>
    </r>
    <r>
      <rPr>
        <sz val="9"/>
        <color rgb="FF000000"/>
        <rFont val="Arial"/>
        <charset val="134"/>
      </rPr>
      <t>,GGV</t>
    </r>
    <r>
      <rPr>
        <sz val="9"/>
        <color rgb="FF000000"/>
        <rFont val="楷体"/>
        <charset val="134"/>
      </rPr>
      <t>纪源资本</t>
    </r>
  </si>
  <si>
    <r>
      <rPr>
        <sz val="9"/>
        <color rgb="FF000000"/>
        <rFont val="楷体"/>
        <charset val="134"/>
      </rPr>
      <t>真格基金</t>
    </r>
    <r>
      <rPr>
        <sz val="9"/>
        <color rgb="FF000000"/>
        <rFont val="Arial"/>
        <charset val="134"/>
      </rPr>
      <t>,</t>
    </r>
    <r>
      <rPr>
        <sz val="9"/>
        <color rgb="FF000000"/>
        <rFont val="楷体"/>
        <charset val="134"/>
      </rPr>
      <t>金沙江创投</t>
    </r>
  </si>
  <si>
    <t>2018-05-14</t>
  </si>
  <si>
    <t>云纵</t>
  </si>
  <si>
    <r>
      <rPr>
        <sz val="9"/>
        <color rgb="FF000000"/>
        <rFont val="楷体"/>
        <charset val="134"/>
      </rPr>
      <t>云纵是一家于</t>
    </r>
    <r>
      <rPr>
        <sz val="9"/>
        <color rgb="FF000000"/>
        <rFont val="Arial"/>
        <charset val="134"/>
      </rPr>
      <t>“</t>
    </r>
    <r>
      <rPr>
        <sz val="9"/>
        <color rgb="FF000000"/>
        <rFont val="楷体"/>
        <charset val="134"/>
      </rPr>
      <t>一站式</t>
    </r>
    <r>
      <rPr>
        <sz val="9"/>
        <color rgb="FF000000"/>
        <rFont val="Arial"/>
        <charset val="134"/>
      </rPr>
      <t>O2O</t>
    </r>
    <r>
      <rPr>
        <sz val="9"/>
        <color rgb="FF000000"/>
        <rFont val="楷体"/>
        <charset val="134"/>
      </rPr>
      <t>解决方案</t>
    </r>
    <r>
      <rPr>
        <sz val="9"/>
        <color rgb="FF000000"/>
        <rFont val="Arial"/>
        <charset val="134"/>
      </rPr>
      <t>”</t>
    </r>
    <r>
      <rPr>
        <sz val="9"/>
        <color rgb="FF000000"/>
        <rFont val="楷体"/>
        <charset val="134"/>
      </rPr>
      <t>，致力于帮助本地生活服务商家，进行运营管理、建立线上数字化资产，同时提供内容管理、营销策划等增值服务。</t>
    </r>
  </si>
  <si>
    <t>北京云纵信息技术有限公司</t>
  </si>
  <si>
    <t>http://www.yunzongnet.com/</t>
  </si>
  <si>
    <r>
      <rPr>
        <sz val="9"/>
        <color rgb="FF000000"/>
        <rFont val="Arial"/>
        <charset val="134"/>
      </rPr>
      <t>2.5</t>
    </r>
    <r>
      <rPr>
        <sz val="9"/>
        <color rgb="FF000000"/>
        <rFont val="楷体"/>
        <charset val="134"/>
      </rPr>
      <t>亿人民币</t>
    </r>
  </si>
  <si>
    <r>
      <rPr>
        <sz val="9"/>
        <color rgb="FF000000"/>
        <rFont val="楷体"/>
        <charset val="134"/>
      </rPr>
      <t>宏兆集团</t>
    </r>
    <r>
      <rPr>
        <sz val="9"/>
        <color rgb="FF000000"/>
        <rFont val="Arial"/>
        <charset val="134"/>
      </rPr>
      <t>-</t>
    </r>
    <r>
      <rPr>
        <sz val="9"/>
        <color rgb="FF000000"/>
        <rFont val="楷体"/>
        <charset val="134"/>
      </rPr>
      <t>宏兆基金</t>
    </r>
    <r>
      <rPr>
        <sz val="9"/>
        <color rgb="FF000000"/>
        <rFont val="Arial"/>
        <charset val="134"/>
      </rPr>
      <t>,</t>
    </r>
    <r>
      <rPr>
        <sz val="9"/>
        <color rgb="FF000000"/>
        <rFont val="楷体"/>
        <charset val="134"/>
      </rPr>
      <t>禧云国际</t>
    </r>
  </si>
  <si>
    <r>
      <rPr>
        <sz val="9"/>
        <color rgb="FF000000"/>
        <rFont val="Arial"/>
        <charset val="134"/>
      </rPr>
      <t>12.5</t>
    </r>
    <r>
      <rPr>
        <sz val="9"/>
        <color rgb="FF000000"/>
        <rFont val="楷体"/>
        <charset val="134"/>
      </rPr>
      <t>亿元</t>
    </r>
  </si>
  <si>
    <t>400-109-9960</t>
  </si>
  <si>
    <t>market@yunzongnet.com</t>
  </si>
  <si>
    <t>中科招商</t>
  </si>
  <si>
    <r>
      <rPr>
        <sz val="9"/>
        <color rgb="FF000000"/>
        <rFont val="楷体"/>
        <charset val="134"/>
      </rPr>
      <t>阿里巴巴</t>
    </r>
    <r>
      <rPr>
        <sz val="9"/>
        <color rgb="FF000000"/>
        <rFont val="Arial"/>
        <charset val="134"/>
      </rPr>
      <t>,</t>
    </r>
    <r>
      <rPr>
        <sz val="9"/>
        <color rgb="FF000000"/>
        <rFont val="楷体"/>
        <charset val="134"/>
      </rPr>
      <t>星河互联</t>
    </r>
  </si>
  <si>
    <r>
      <rPr>
        <sz val="9"/>
        <color rgb="FF000000"/>
        <rFont val="楷体"/>
        <charset val="134"/>
      </rPr>
      <t>星河互联</t>
    </r>
    <r>
      <rPr>
        <sz val="9"/>
        <color rgb="FF000000"/>
        <rFont val="Arial"/>
        <charset val="134"/>
      </rPr>
      <t>,</t>
    </r>
    <r>
      <rPr>
        <sz val="9"/>
        <color rgb="FF000000"/>
        <rFont val="楷体"/>
        <charset val="134"/>
      </rPr>
      <t>口碑</t>
    </r>
  </si>
  <si>
    <t>2014-08-01</t>
  </si>
  <si>
    <t>芭乐</t>
  </si>
  <si>
    <t>芭乐传媒是一家原创影视发行、运营平台及影视植入式营销平台。芭乐互动（北京）文化传媒有限公司旗下。</t>
  </si>
  <si>
    <t>芭乐互动（北京）文化传媒有限公司</t>
  </si>
  <si>
    <t>http://www.bale.cn/</t>
  </si>
  <si>
    <r>
      <rPr>
        <sz val="9"/>
        <color rgb="FF000000"/>
        <rFont val="楷体"/>
        <charset val="134"/>
      </rPr>
      <t>阿里巴巴</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乐视网</t>
    </r>
    <r>
      <rPr>
        <sz val="9"/>
        <color rgb="FF000000"/>
        <rFont val="Arial"/>
        <charset val="134"/>
      </rPr>
      <t>,</t>
    </r>
    <r>
      <rPr>
        <sz val="9"/>
        <color rgb="FF000000"/>
        <rFont val="楷体"/>
        <charset val="134"/>
      </rPr>
      <t>和辉信达</t>
    </r>
  </si>
  <si>
    <r>
      <rPr>
        <sz val="9"/>
        <color rgb="FF000000"/>
        <rFont val="Arial"/>
        <charset val="134"/>
      </rPr>
      <t>1.4</t>
    </r>
    <r>
      <rPr>
        <sz val="9"/>
        <color rgb="FF000000"/>
        <rFont val="楷体"/>
        <charset val="134"/>
      </rPr>
      <t>亿</t>
    </r>
  </si>
  <si>
    <r>
      <rPr>
        <sz val="9"/>
        <color rgb="FF000000"/>
        <rFont val="Arial"/>
        <charset val="134"/>
      </rPr>
      <t>5</t>
    </r>
    <r>
      <rPr>
        <sz val="9"/>
        <color rgb="FF000000"/>
        <rFont val="楷体"/>
        <charset val="134"/>
      </rPr>
      <t>亿元</t>
    </r>
  </si>
  <si>
    <r>
      <rPr>
        <sz val="9"/>
        <color rgb="FF000000"/>
        <rFont val="楷体"/>
        <charset val="134"/>
      </rPr>
      <t>姚建疆</t>
    </r>
    <r>
      <rPr>
        <sz val="9"/>
        <color rgb="FF000000"/>
        <rFont val="Arial"/>
        <charset val="134"/>
      </rPr>
      <t>:CEO</t>
    </r>
  </si>
  <si>
    <r>
      <rPr>
        <sz val="9"/>
        <color rgb="FF000000"/>
        <rFont val="楷体"/>
        <charset val="134"/>
      </rPr>
      <t>北京市石景山区实兴大街</t>
    </r>
    <r>
      <rPr>
        <sz val="9"/>
        <color rgb="FF000000"/>
        <rFont val="Arial"/>
        <charset val="134"/>
      </rPr>
      <t>30</t>
    </r>
    <r>
      <rPr>
        <sz val="9"/>
        <color rgb="FF000000"/>
        <rFont val="楷体"/>
        <charset val="134"/>
      </rPr>
      <t>号院</t>
    </r>
    <r>
      <rPr>
        <sz val="9"/>
        <color rgb="FF000000"/>
        <rFont val="Arial"/>
        <charset val="134"/>
      </rPr>
      <t>3</t>
    </r>
    <r>
      <rPr>
        <sz val="9"/>
        <color rgb="FF000000"/>
        <rFont val="楷体"/>
        <charset val="134"/>
      </rPr>
      <t>号楼</t>
    </r>
    <r>
      <rPr>
        <sz val="9"/>
        <color rgb="FF000000"/>
        <rFont val="Arial"/>
        <charset val="134"/>
      </rPr>
      <t>2</t>
    </r>
    <r>
      <rPr>
        <sz val="9"/>
        <color rgb="FF000000"/>
        <rFont val="楷体"/>
        <charset val="134"/>
      </rPr>
      <t>层</t>
    </r>
    <r>
      <rPr>
        <sz val="9"/>
        <color rgb="FF000000"/>
        <rFont val="Arial"/>
        <charset val="134"/>
      </rPr>
      <t>B-0171</t>
    </r>
    <r>
      <rPr>
        <sz val="9"/>
        <color rgb="FF000000"/>
        <rFont val="楷体"/>
        <charset val="134"/>
      </rPr>
      <t>房间</t>
    </r>
  </si>
  <si>
    <t>010-57612612</t>
  </si>
  <si>
    <t>xianlu@bale.cn</t>
  </si>
  <si>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创动投资</t>
    </r>
  </si>
  <si>
    <t>2021-07-12</t>
  </si>
  <si>
    <t>启博</t>
  </si>
  <si>
    <r>
      <rPr>
        <sz val="9"/>
        <color rgb="FF000000"/>
        <rFont val="楷体"/>
        <charset val="134"/>
      </rPr>
      <t>启博成立于</t>
    </r>
    <r>
      <rPr>
        <sz val="9"/>
        <color rgb="FF000000"/>
        <rFont val="Arial"/>
        <charset val="134"/>
      </rPr>
      <t>2008</t>
    </r>
    <r>
      <rPr>
        <sz val="9"/>
        <color rgb="FF000000"/>
        <rFont val="楷体"/>
        <charset val="134"/>
      </rPr>
      <t>年，启博</t>
    </r>
    <r>
      <rPr>
        <sz val="9"/>
        <color rgb="FF000000"/>
        <rFont val="Arial"/>
        <charset val="134"/>
      </rPr>
      <t>BIP</t>
    </r>
    <r>
      <rPr>
        <sz val="9"/>
        <color rgb="FF000000"/>
        <rFont val="楷体"/>
        <charset val="134"/>
      </rPr>
      <t>以</t>
    </r>
    <r>
      <rPr>
        <sz val="9"/>
        <color rgb="FF000000"/>
        <rFont val="Arial"/>
        <charset val="134"/>
      </rPr>
      <t>All-In-One</t>
    </r>
    <r>
      <rPr>
        <sz val="9"/>
        <color rgb="FF000000"/>
        <rFont val="楷体"/>
        <charset val="134"/>
      </rPr>
      <t>的架构理念，致力于解决解决国内</t>
    </r>
    <r>
      <rPr>
        <sz val="9"/>
        <color rgb="FF000000"/>
        <rFont val="Arial"/>
        <charset val="134"/>
      </rPr>
      <t>Saas</t>
    </r>
    <r>
      <rPr>
        <sz val="9"/>
        <color rgb="FF000000"/>
        <rFont val="楷体"/>
        <charset val="134"/>
      </rPr>
      <t>行业的痛点，从单体的垂直</t>
    </r>
    <r>
      <rPr>
        <sz val="9"/>
        <color rgb="FF000000"/>
        <rFont val="Arial"/>
        <charset val="134"/>
      </rPr>
      <t xml:space="preserve">Saas </t>
    </r>
    <r>
      <rPr>
        <sz val="9"/>
        <color rgb="FF000000"/>
        <rFont val="楷体"/>
        <charset val="134"/>
      </rPr>
      <t>演变成</t>
    </r>
    <r>
      <rPr>
        <sz val="9"/>
        <color rgb="FF000000"/>
        <rFont val="Arial"/>
        <charset val="134"/>
      </rPr>
      <t xml:space="preserve"> </t>
    </r>
    <r>
      <rPr>
        <sz val="9"/>
        <color rgb="FF000000"/>
        <rFont val="楷体"/>
        <charset val="134"/>
      </rPr>
      <t>一体化企业服务平台，解决企业信息孤岛问题，解决企业费用及使用成本问题，解决客群获客问题，解决研发成本问题。我们的使命是：让中国企业都用得起智能中台，做出中国特色的类</t>
    </r>
    <r>
      <rPr>
        <sz val="9"/>
        <color rgb="FF000000"/>
        <rFont val="Arial"/>
        <charset val="134"/>
      </rPr>
      <t>salesforce</t>
    </r>
    <r>
      <rPr>
        <sz val="9"/>
        <color rgb="FF000000"/>
        <rFont val="楷体"/>
        <charset val="134"/>
      </rPr>
      <t>生态。</t>
    </r>
  </si>
  <si>
    <t>杭州启博海纳数字科技有限公司</t>
  </si>
  <si>
    <t>http://www.qibo.com</t>
  </si>
  <si>
    <t>2008-03</t>
  </si>
  <si>
    <t>电商解决方案</t>
  </si>
  <si>
    <t>老高电商</t>
  </si>
  <si>
    <r>
      <rPr>
        <sz val="9"/>
        <color rgb="FF000000"/>
        <rFont val="Arial"/>
        <charset val="134"/>
      </rPr>
      <t>1.6</t>
    </r>
    <r>
      <rPr>
        <sz val="9"/>
        <color rgb="FF000000"/>
        <rFont val="楷体"/>
        <charset val="134"/>
      </rPr>
      <t>亿</t>
    </r>
  </si>
  <si>
    <r>
      <rPr>
        <sz val="9"/>
        <color rgb="FF000000"/>
        <rFont val="楷体"/>
        <charset val="134"/>
      </rPr>
      <t>胡建军</t>
    </r>
    <r>
      <rPr>
        <sz val="9"/>
        <color rgb="FF000000"/>
        <rFont val="Arial"/>
        <charset val="134"/>
      </rPr>
      <t>:CEO</t>
    </r>
  </si>
  <si>
    <t>暾澜投资</t>
  </si>
  <si>
    <t>2019-11-15</t>
  </si>
  <si>
    <t>美年健康</t>
  </si>
  <si>
    <r>
      <rPr>
        <sz val="9"/>
        <color rgb="FF000000"/>
        <rFont val="楷体"/>
        <charset val="134"/>
      </rPr>
      <t>美年大健康产业控股股份有限公司始创于</t>
    </r>
    <r>
      <rPr>
        <sz val="9"/>
        <color rgb="FF000000"/>
        <rFont val="Arial"/>
        <charset val="134"/>
      </rPr>
      <t>2004</t>
    </r>
    <r>
      <rPr>
        <sz val="9"/>
        <color rgb="FF000000"/>
        <rFont val="楷体"/>
        <charset val="134"/>
      </rPr>
      <t>年，是中国专业健康体检和医疗服务集团，总部位于上海，于</t>
    </r>
    <r>
      <rPr>
        <sz val="9"/>
        <color rgb="FF000000"/>
        <rFont val="Arial"/>
        <charset val="134"/>
      </rPr>
      <t>2018</t>
    </r>
    <r>
      <rPr>
        <sz val="9"/>
        <color rgb="FF000000"/>
        <rFont val="楷体"/>
        <charset val="134"/>
      </rPr>
      <t>年正式完成中国版图的全覆盖（除港、澳、台地区），实现布局全国</t>
    </r>
    <r>
      <rPr>
        <sz val="9"/>
        <color rgb="FF000000"/>
        <rFont val="Arial"/>
        <charset val="134"/>
      </rPr>
      <t>600</t>
    </r>
    <r>
      <rPr>
        <sz val="9"/>
        <color rgb="FF000000"/>
        <rFont val="楷体"/>
        <charset val="134"/>
      </rPr>
      <t>余家专业体检中心，全集团拥有专家团队、医护及管理人员共计</t>
    </r>
    <r>
      <rPr>
        <sz val="9"/>
        <color rgb="FF000000"/>
        <rFont val="Arial"/>
        <charset val="134"/>
      </rPr>
      <t>70000</t>
    </r>
    <r>
      <rPr>
        <sz val="9"/>
        <color rgb="FF000000"/>
        <rFont val="楷体"/>
        <charset val="134"/>
      </rPr>
      <t>余名员工。</t>
    </r>
    <r>
      <rPr>
        <sz val="9"/>
        <color rgb="FF000000"/>
        <rFont val="Arial"/>
        <charset val="134"/>
      </rPr>
      <t>2018</t>
    </r>
    <r>
      <rPr>
        <sz val="9"/>
        <color rgb="FF000000"/>
        <rFont val="楷体"/>
        <charset val="134"/>
      </rPr>
      <t>年为近</t>
    </r>
    <r>
      <rPr>
        <sz val="9"/>
        <color rgb="FF000000"/>
        <rFont val="Arial"/>
        <charset val="134"/>
      </rPr>
      <t>3000</t>
    </r>
    <r>
      <rPr>
        <sz val="9"/>
        <color rgb="FF000000"/>
        <rFont val="楷体"/>
        <charset val="134"/>
      </rPr>
      <t>万人次提供专业健康服务，预计</t>
    </r>
    <r>
      <rPr>
        <sz val="9"/>
        <color rgb="FF000000"/>
        <rFont val="Arial"/>
        <charset val="134"/>
      </rPr>
      <t>2021</t>
    </r>
    <r>
      <rPr>
        <sz val="9"/>
        <color rgb="FF000000"/>
        <rFont val="楷体"/>
        <charset val="134"/>
      </rPr>
      <t>年将超过</t>
    </r>
    <r>
      <rPr>
        <sz val="9"/>
        <color rgb="FF000000"/>
        <rFont val="Arial"/>
        <charset val="134"/>
      </rPr>
      <t>1</t>
    </r>
    <r>
      <rPr>
        <sz val="9"/>
        <color rgb="FF000000"/>
        <rFont val="楷体"/>
        <charset val="134"/>
      </rPr>
      <t>亿人次</t>
    </r>
  </si>
  <si>
    <t>美年大健康产业控股股份有限公司</t>
  </si>
  <si>
    <t>http://www.health-100.cn</t>
  </si>
  <si>
    <t>2004-01</t>
  </si>
  <si>
    <t>医疗健康</t>
  </si>
  <si>
    <t>医疗机构</t>
  </si>
  <si>
    <r>
      <rPr>
        <sz val="9"/>
        <color rgb="FF000000"/>
        <rFont val="Arial"/>
        <charset val="134"/>
      </rPr>
      <t>20.45</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</si>
  <si>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博时基金</t>
    </r>
  </si>
  <si>
    <r>
      <rPr>
        <sz val="9"/>
        <color rgb="FF000000"/>
        <rFont val="Arial"/>
        <charset val="134"/>
      </rPr>
      <t>84.36</t>
    </r>
    <r>
      <rPr>
        <sz val="9"/>
        <color rgb="FF000000"/>
        <rFont val="楷体"/>
        <charset val="134"/>
      </rPr>
      <t>亿</t>
    </r>
  </si>
  <si>
    <r>
      <rPr>
        <sz val="9"/>
        <color rgb="FF000000"/>
        <rFont val="Arial"/>
        <charset val="134"/>
      </rPr>
      <t>102.25</t>
    </r>
    <r>
      <rPr>
        <sz val="9"/>
        <color rgb="FF000000"/>
        <rFont val="楷体"/>
        <charset val="134"/>
      </rPr>
      <t>亿元</t>
    </r>
  </si>
  <si>
    <r>
      <rPr>
        <sz val="9"/>
        <color rgb="FF000000"/>
        <rFont val="楷体"/>
        <charset val="134"/>
      </rPr>
      <t>俞熔</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谢秀鹏</t>
    </r>
    <r>
      <rPr>
        <sz val="9"/>
        <color rgb="FF000000"/>
        <rFont val="Arial"/>
        <charset val="134"/>
      </rPr>
      <t>:CTO</t>
    </r>
  </si>
  <si>
    <r>
      <rPr>
        <sz val="9"/>
        <color rgb="FF000000"/>
        <rFont val="楷体"/>
        <charset val="134"/>
      </rPr>
      <t>上海市静安区灵石路</t>
    </r>
    <r>
      <rPr>
        <sz val="9"/>
        <color rgb="FF000000"/>
        <rFont val="Arial"/>
        <charset val="134"/>
      </rPr>
      <t>697</t>
    </r>
    <r>
      <rPr>
        <sz val="9"/>
        <color rgb="FF000000"/>
        <rFont val="楷体"/>
        <charset val="134"/>
      </rPr>
      <t>号健康智谷</t>
    </r>
    <r>
      <rPr>
        <sz val="9"/>
        <color rgb="FF000000"/>
        <rFont val="Arial"/>
        <charset val="134"/>
      </rPr>
      <t>10</t>
    </r>
    <r>
      <rPr>
        <sz val="9"/>
        <color rgb="FF000000"/>
        <rFont val="楷体"/>
        <charset val="134"/>
      </rPr>
      <t>号楼</t>
    </r>
    <r>
      <rPr>
        <sz val="9"/>
        <color rgb="FF000000"/>
        <rFont val="Arial"/>
        <charset val="134"/>
      </rPr>
      <t>1</t>
    </r>
    <r>
      <rPr>
        <sz val="9"/>
        <color rgb="FF000000"/>
        <rFont val="楷体"/>
        <charset val="134"/>
      </rPr>
      <t>单元</t>
    </r>
    <r>
      <rPr>
        <sz val="9"/>
        <color rgb="FF000000"/>
        <rFont val="Arial"/>
        <charset val="134"/>
      </rPr>
      <t>3</t>
    </r>
    <r>
      <rPr>
        <sz val="9"/>
        <color rgb="FF000000"/>
        <rFont val="楷体"/>
        <charset val="134"/>
      </rPr>
      <t>楼</t>
    </r>
  </si>
  <si>
    <t>400-098-8855</t>
  </si>
  <si>
    <r>
      <rPr>
        <sz val="9"/>
        <color rgb="FF000000"/>
        <rFont val="楷体"/>
        <charset val="134"/>
      </rPr>
      <t>海通开元</t>
    </r>
    <r>
      <rPr>
        <sz val="9"/>
        <color rgb="FF000000"/>
        <rFont val="Arial"/>
        <charset val="134"/>
      </rPr>
      <t>,</t>
    </r>
    <r>
      <rPr>
        <sz val="9"/>
        <color rgb="FF000000"/>
        <rFont val="楷体"/>
        <charset val="134"/>
      </rPr>
      <t>海通证券</t>
    </r>
  </si>
  <si>
    <r>
      <rPr>
        <sz val="9"/>
        <color rgb="FF000000"/>
        <rFont val="Arial"/>
        <charset val="134"/>
      </rPr>
      <t>1.6</t>
    </r>
    <r>
      <rPr>
        <sz val="9"/>
        <color rgb="FF000000"/>
        <rFont val="楷体"/>
        <charset val="134"/>
      </rPr>
      <t>亿人民币</t>
    </r>
  </si>
  <si>
    <r>
      <rPr>
        <sz val="9"/>
        <color rgb="FF000000"/>
        <rFont val="Arial"/>
        <charset val="134"/>
      </rPr>
      <t>55</t>
    </r>
    <r>
      <rPr>
        <sz val="9"/>
        <color rgb="FF000000"/>
        <rFont val="楷体"/>
        <charset val="134"/>
      </rPr>
      <t>亿人民币</t>
    </r>
  </si>
  <si>
    <t>江苏三友</t>
  </si>
  <si>
    <t>分享投资</t>
  </si>
  <si>
    <r>
      <rPr>
        <sz val="9"/>
        <color rgb="FF000000"/>
        <rFont val="Arial"/>
        <charset val="134"/>
      </rPr>
      <t>3</t>
    </r>
    <r>
      <rPr>
        <sz val="9"/>
        <color rgb="FF000000"/>
        <rFont val="楷体"/>
        <charset val="134"/>
      </rPr>
      <t>亿人民币</t>
    </r>
  </si>
  <si>
    <r>
      <rPr>
        <sz val="9"/>
        <color rgb="FF000000"/>
        <rFont val="楷体"/>
        <charset val="134"/>
      </rPr>
      <t>平安创新投资基金</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凯雷投资</t>
    </r>
  </si>
  <si>
    <t>凯雷投资</t>
  </si>
  <si>
    <r>
      <rPr>
        <sz val="9"/>
        <color rgb="FF000000"/>
        <rFont val="楷体"/>
        <charset val="134"/>
      </rPr>
      <t>凯辉基金</t>
    </r>
    <r>
      <rPr>
        <sz val="9"/>
        <color rgb="FF000000"/>
        <rFont val="Arial"/>
        <charset val="134"/>
      </rPr>
      <t>,</t>
    </r>
    <r>
      <rPr>
        <sz val="9"/>
        <color rgb="FF000000"/>
        <rFont val="楷体"/>
        <charset val="134"/>
      </rPr>
      <t>平安资产</t>
    </r>
  </si>
  <si>
    <t>2016-01-14</t>
  </si>
  <si>
    <t>7881游戏交易</t>
  </si>
  <si>
    <r>
      <rPr>
        <sz val="9"/>
        <color rgb="FF000000"/>
        <rFont val="Arial"/>
        <charset val="134"/>
      </rPr>
      <t>7881</t>
    </r>
    <r>
      <rPr>
        <sz val="9"/>
        <color rgb="FF000000"/>
        <rFont val="楷体"/>
        <charset val="134"/>
      </rPr>
      <t>游戏交易</t>
    </r>
  </si>
  <si>
    <r>
      <rPr>
        <sz val="9"/>
        <color rgb="FF000000"/>
        <rFont val="Arial"/>
        <charset val="134"/>
      </rPr>
      <t>7881</t>
    </r>
    <r>
      <rPr>
        <sz val="9"/>
        <color rgb="FF000000"/>
        <rFont val="楷体"/>
        <charset val="134"/>
      </rPr>
      <t>隶属于江苏猎宝网络科技有限公司，是一个网络游戏及数字产品交易的电子商务交易平台。</t>
    </r>
  </si>
  <si>
    <t>江苏猎宝网络科技股份有限公司</t>
  </si>
  <si>
    <t>http://www.7881.com/</t>
  </si>
  <si>
    <t>2009-03</t>
  </si>
  <si>
    <r>
      <rPr>
        <sz val="9"/>
        <color rgb="FF000000"/>
        <rFont val="楷体"/>
        <charset val="134"/>
      </rPr>
      <t>江苏</t>
    </r>
    <r>
      <rPr>
        <sz val="9"/>
        <color rgb="FF000000"/>
        <rFont val="Arial"/>
        <charset val="134"/>
      </rPr>
      <t>-</t>
    </r>
    <r>
      <rPr>
        <sz val="9"/>
        <color rgb="FF000000"/>
        <rFont val="楷体"/>
        <charset val="134"/>
      </rPr>
      <t>南京</t>
    </r>
  </si>
  <si>
    <t>虚拟商品</t>
  </si>
  <si>
    <t>融玺创投</t>
  </si>
  <si>
    <r>
      <rPr>
        <sz val="9"/>
        <color rgb="FF000000"/>
        <rFont val="Arial"/>
        <charset val="134"/>
      </rPr>
      <t>5000</t>
    </r>
    <r>
      <rPr>
        <sz val="9"/>
        <color rgb="FF000000"/>
        <rFont val="楷体"/>
        <charset val="134"/>
      </rPr>
      <t>万</t>
    </r>
  </si>
  <si>
    <r>
      <rPr>
        <sz val="9"/>
        <color rgb="FF000000"/>
        <rFont val="楷体"/>
        <charset val="134"/>
      </rPr>
      <t>薛利</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石正川</t>
    </r>
    <r>
      <rPr>
        <sz val="9"/>
        <color rgb="FF000000"/>
        <rFont val="Arial"/>
        <charset val="134"/>
      </rPr>
      <t>:CEO</t>
    </r>
  </si>
  <si>
    <r>
      <rPr>
        <sz val="9"/>
        <color rgb="FF000000"/>
        <rFont val="楷体"/>
        <charset val="134"/>
      </rPr>
      <t>江苏省南京市玄武区玄武大道</t>
    </r>
    <r>
      <rPr>
        <sz val="9"/>
        <color rgb="FF000000"/>
        <rFont val="Arial"/>
        <charset val="134"/>
      </rPr>
      <t>699-8</t>
    </r>
    <r>
      <rPr>
        <sz val="9"/>
        <color rgb="FF000000"/>
        <rFont val="楷体"/>
        <charset val="134"/>
      </rPr>
      <t>号徐庄软件园研发一区</t>
    </r>
    <r>
      <rPr>
        <sz val="9"/>
        <color rgb="FF000000"/>
        <rFont val="Arial"/>
        <charset val="134"/>
      </rPr>
      <t>2</t>
    </r>
    <r>
      <rPr>
        <sz val="9"/>
        <color rgb="FF000000"/>
        <rFont val="楷体"/>
        <charset val="134"/>
      </rPr>
      <t>栋</t>
    </r>
    <r>
      <rPr>
        <sz val="9"/>
        <color rgb="FF000000"/>
        <rFont val="Arial"/>
        <charset val="134"/>
      </rPr>
      <t>2</t>
    </r>
    <r>
      <rPr>
        <sz val="9"/>
        <color rgb="FF000000"/>
        <rFont val="楷体"/>
        <charset val="134"/>
      </rPr>
      <t>层</t>
    </r>
  </si>
  <si>
    <t>025-6820-1771</t>
  </si>
  <si>
    <t>wuwei@17of.com</t>
  </si>
  <si>
    <t>2013-12-01</t>
  </si>
  <si>
    <t>天天动听</t>
  </si>
  <si>
    <r>
      <rPr>
        <sz val="9"/>
        <color rgb="FF000000"/>
        <rFont val="楷体"/>
        <charset val="134"/>
      </rPr>
      <t>天天动听是一款手机音乐播放器，是一家正版数字音乐服务提供商，上海水渡石信息技术有限公司旗下产品。被阿里巴巴收购后于</t>
    </r>
    <r>
      <rPr>
        <sz val="9"/>
        <color rgb="FF000000"/>
        <rFont val="Arial"/>
        <charset val="134"/>
      </rPr>
      <t>2016</t>
    </r>
    <r>
      <rPr>
        <sz val="9"/>
        <color rgb="FF000000"/>
        <rFont val="楷体"/>
        <charset val="134"/>
      </rPr>
      <t>年</t>
    </r>
    <r>
      <rPr>
        <sz val="9"/>
        <color rgb="FF000000"/>
        <rFont val="Arial"/>
        <charset val="134"/>
      </rPr>
      <t>4</t>
    </r>
    <r>
      <rPr>
        <sz val="9"/>
        <color rgb="FF000000"/>
        <rFont val="楷体"/>
        <charset val="134"/>
      </rPr>
      <t>月更名为</t>
    </r>
    <r>
      <rPr>
        <sz val="9"/>
        <color rgb="FF000000"/>
        <rFont val="Arial"/>
        <charset val="134"/>
      </rPr>
      <t>“</t>
    </r>
    <r>
      <rPr>
        <sz val="9"/>
        <color rgb="FF000000"/>
        <rFont val="楷体"/>
        <charset val="134"/>
      </rPr>
      <t>阿里星球</t>
    </r>
    <r>
      <rPr>
        <sz val="9"/>
        <color rgb="FF000000"/>
        <rFont val="Arial"/>
        <charset val="134"/>
      </rPr>
      <t>”</t>
    </r>
    <r>
      <rPr>
        <sz val="9"/>
        <color rgb="FF000000"/>
        <rFont val="楷体"/>
        <charset val="134"/>
      </rPr>
      <t>。</t>
    </r>
  </si>
  <si>
    <t>上海水渡石信息技术有限公司</t>
  </si>
  <si>
    <t>http://www.ttpod.com/</t>
  </si>
  <si>
    <t>2008-05</t>
  </si>
  <si>
    <t>音乐</t>
  </si>
  <si>
    <r>
      <rPr>
        <sz val="9"/>
        <color rgb="FF000000"/>
        <rFont val="Arial"/>
        <charset val="134"/>
      </rPr>
      <t>5250</t>
    </r>
    <r>
      <rPr>
        <sz val="9"/>
        <color rgb="FF000000"/>
        <rFont val="楷体"/>
        <charset val="134"/>
      </rPr>
      <t>万</t>
    </r>
  </si>
  <si>
    <r>
      <rPr>
        <sz val="9"/>
        <color rgb="FF000000"/>
        <rFont val="楷体"/>
        <charset val="134"/>
      </rPr>
      <t>黄晓杰</t>
    </r>
    <r>
      <rPr>
        <sz val="9"/>
        <color rgb="FF000000"/>
        <rFont val="Arial"/>
        <charset val="134"/>
      </rPr>
      <t>:CEO</t>
    </r>
  </si>
  <si>
    <t>五源资本</t>
  </si>
  <si>
    <r>
      <rPr>
        <sz val="9"/>
        <color rgb="FF000000"/>
        <rFont val="Arial"/>
        <charset val="134"/>
      </rPr>
      <t>UCWEB</t>
    </r>
    <r>
      <rPr>
        <sz val="9"/>
        <color rgb="FF000000"/>
        <rFont val="楷体"/>
        <charset val="134"/>
      </rPr>
      <t>优视科技</t>
    </r>
  </si>
  <si>
    <t>2015-01-12</t>
  </si>
  <si>
    <t>易传媒AdChina</t>
  </si>
  <si>
    <r>
      <rPr>
        <sz val="9"/>
        <color rgb="FF000000"/>
        <rFont val="楷体"/>
        <charset val="134"/>
      </rPr>
      <t>易传媒</t>
    </r>
    <r>
      <rPr>
        <sz val="9"/>
        <color rgb="FF000000"/>
        <rFont val="Arial"/>
        <charset val="134"/>
      </rPr>
      <t>AdChina</t>
    </r>
  </si>
  <si>
    <r>
      <rPr>
        <sz val="9"/>
        <color rgb="FF000000"/>
        <rFont val="楷体"/>
        <charset val="134"/>
      </rPr>
      <t>易传媒</t>
    </r>
    <r>
      <rPr>
        <sz val="9"/>
        <color rgb="FF000000"/>
        <rFont val="Arial"/>
        <charset val="134"/>
      </rPr>
      <t>AdChina</t>
    </r>
    <r>
      <rPr>
        <sz val="9"/>
        <color rgb="FF000000"/>
        <rFont val="楷体"/>
        <charset val="134"/>
      </rPr>
      <t>是一家数字营销整合服务平台，旗下有</t>
    </r>
    <r>
      <rPr>
        <sz val="9"/>
        <color rgb="FF000000"/>
        <rFont val="Arial"/>
        <charset val="134"/>
      </rPr>
      <t>AdManager</t>
    </r>
    <r>
      <rPr>
        <sz val="9"/>
        <color rgb="FF000000"/>
        <rFont val="楷体"/>
        <charset val="134"/>
      </rPr>
      <t>广告操作系统、需求端平台</t>
    </r>
    <r>
      <rPr>
        <sz val="9"/>
        <color rgb="FF000000"/>
        <rFont val="Arial"/>
        <charset val="134"/>
      </rPr>
      <t>ADP</t>
    </r>
    <r>
      <rPr>
        <sz val="9"/>
        <color rgb="FF000000"/>
        <rFont val="楷体"/>
        <charset val="134"/>
      </rPr>
      <t>和供应端平台</t>
    </r>
    <r>
      <rPr>
        <sz val="9"/>
        <color rgb="FF000000"/>
        <rFont val="Arial"/>
        <charset val="134"/>
      </rPr>
      <t>ASP</t>
    </r>
    <r>
      <rPr>
        <sz val="9"/>
        <color rgb="FF000000"/>
        <rFont val="楷体"/>
        <charset val="134"/>
      </rPr>
      <t>等，隶属于上海新易传媒广告有限公司。</t>
    </r>
  </si>
  <si>
    <t>上海新易传媒广告有限公司</t>
  </si>
  <si>
    <t>2007-08</t>
  </si>
  <si>
    <r>
      <rPr>
        <sz val="9"/>
        <color rgb="FF000000"/>
        <rFont val="Arial"/>
        <charset val="134"/>
      </rPr>
      <t>5.2</t>
    </r>
    <r>
      <rPr>
        <sz val="9"/>
        <color rgb="FF000000"/>
        <rFont val="楷体"/>
        <charset val="134"/>
      </rPr>
      <t>亿</t>
    </r>
  </si>
  <si>
    <r>
      <rPr>
        <sz val="9"/>
        <color rgb="FF000000"/>
        <rFont val="楷体"/>
        <charset val="134"/>
      </rPr>
      <t>闫方军</t>
    </r>
    <r>
      <rPr>
        <sz val="9"/>
        <color rgb="FF000000"/>
        <rFont val="Arial"/>
        <charset val="134"/>
      </rPr>
      <t>:</t>
    </r>
    <r>
      <rPr>
        <sz val="9"/>
        <color rgb="FF000000"/>
        <rFont val="楷体"/>
        <charset val="134"/>
      </rPr>
      <t>创始人</t>
    </r>
    <r>
      <rPr>
        <sz val="9"/>
        <color rgb="FF000000"/>
        <rFont val="Arial"/>
        <charset val="134"/>
      </rPr>
      <t>CEO,</t>
    </r>
    <r>
      <rPr>
        <sz val="9"/>
        <color rgb="FF000000"/>
        <rFont val="楷体"/>
        <charset val="134"/>
      </rPr>
      <t>程华奕</t>
    </r>
    <r>
      <rPr>
        <sz val="9"/>
        <color rgb="FF000000"/>
        <rFont val="Arial"/>
        <charset val="134"/>
      </rPr>
      <t>:</t>
    </r>
    <r>
      <rPr>
        <sz val="9"/>
        <color rgb="FF000000"/>
        <rFont val="楷体"/>
        <charset val="134"/>
      </rPr>
      <t>总裁及</t>
    </r>
    <r>
      <rPr>
        <sz val="9"/>
        <color rgb="FF000000"/>
        <rFont val="Arial"/>
        <charset val="134"/>
      </rPr>
      <t>CTO</t>
    </r>
  </si>
  <si>
    <t>2017-04-01</t>
  </si>
  <si>
    <t>生活半径</t>
  </si>
  <si>
    <r>
      <rPr>
        <sz val="9"/>
        <color rgb="FF000000"/>
        <rFont val="楷体"/>
        <charset val="134"/>
      </rPr>
      <t>生活半径是一家为商户提供同城</t>
    </r>
    <r>
      <rPr>
        <sz val="9"/>
        <color rgb="FF000000"/>
        <rFont val="Arial"/>
        <charset val="134"/>
      </rPr>
      <t>O2O</t>
    </r>
    <r>
      <rPr>
        <sz val="9"/>
        <color rgb="FF000000"/>
        <rFont val="楷体"/>
        <charset val="134"/>
      </rPr>
      <t>配送服务的公司，致力于打造短距离即时配送服务领域的顺丰。</t>
    </r>
  </si>
  <si>
    <t>径圆（上海）信息技术有限公司</t>
  </si>
  <si>
    <t>http://www.shbj.com/</t>
  </si>
  <si>
    <t>2010-09</t>
  </si>
  <si>
    <r>
      <rPr>
        <sz val="9"/>
        <color rgb="FF000000"/>
        <rFont val="Arial"/>
        <charset val="134"/>
      </rPr>
      <t>7.83</t>
    </r>
    <r>
      <rPr>
        <sz val="9"/>
        <color rgb="FF000000"/>
        <rFont val="楷体"/>
        <charset val="134"/>
      </rPr>
      <t>亿</t>
    </r>
  </si>
  <si>
    <r>
      <rPr>
        <sz val="9"/>
        <color rgb="FF000000"/>
        <rFont val="楷体"/>
        <charset val="134"/>
      </rPr>
      <t>徐伟昊</t>
    </r>
    <r>
      <rPr>
        <sz val="9"/>
        <color rgb="FF000000"/>
        <rFont val="Arial"/>
        <charset val="134"/>
      </rPr>
      <t>:CEO,</t>
    </r>
    <r>
      <rPr>
        <sz val="9"/>
        <color rgb="FF000000"/>
        <rFont val="楷体"/>
        <charset val="134"/>
      </rPr>
      <t>冯跃忠</t>
    </r>
    <r>
      <rPr>
        <sz val="9"/>
        <color rgb="FF000000"/>
        <rFont val="Arial"/>
        <charset val="134"/>
      </rPr>
      <t>:</t>
    </r>
    <r>
      <rPr>
        <sz val="9"/>
        <color rgb="FF000000"/>
        <rFont val="楷体"/>
        <charset val="134"/>
      </rPr>
      <t>联合创始人</t>
    </r>
  </si>
  <si>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自由贸易试验区创新西路</t>
    </r>
    <r>
      <rPr>
        <sz val="9"/>
        <color rgb="FF000000"/>
        <rFont val="Arial"/>
        <charset val="134"/>
      </rPr>
      <t>778</t>
    </r>
    <r>
      <rPr>
        <sz val="9"/>
        <color rgb="FF000000"/>
        <rFont val="楷体"/>
        <charset val="134"/>
      </rPr>
      <t>号</t>
    </r>
    <r>
      <rPr>
        <sz val="9"/>
        <color rgb="FF000000"/>
        <rFont val="Arial"/>
        <charset val="134"/>
      </rPr>
      <t>;</t>
    </r>
    <r>
      <rPr>
        <sz val="9"/>
        <color rgb="FF000000"/>
        <rFont val="楷体"/>
        <charset val="134"/>
      </rPr>
      <t>北京市朝阳区望京</t>
    </r>
    <r>
      <rPr>
        <sz val="9"/>
        <color rgb="FF000000"/>
        <rFont val="Arial"/>
        <charset val="134"/>
      </rPr>
      <t>SOHO-T3-B</t>
    </r>
    <r>
      <rPr>
        <sz val="9"/>
        <color rgb="FF000000"/>
        <rFont val="楷体"/>
        <charset val="134"/>
      </rPr>
      <t>座</t>
    </r>
    <r>
      <rPr>
        <sz val="9"/>
        <color rgb="FF000000"/>
        <rFont val="Arial"/>
        <charset val="134"/>
      </rPr>
      <t>-1908</t>
    </r>
  </si>
  <si>
    <t>010-5810-3600</t>
  </si>
  <si>
    <t>contact@shbj.com</t>
  </si>
  <si>
    <r>
      <rPr>
        <sz val="9"/>
        <color rgb="FF000000"/>
        <rFont val="Arial"/>
        <charset val="134"/>
      </rPr>
      <t>5000</t>
    </r>
    <r>
      <rPr>
        <sz val="9"/>
        <color rgb="FF000000"/>
        <rFont val="楷体"/>
        <charset val="134"/>
      </rPr>
      <t>万人民币</t>
    </r>
  </si>
  <si>
    <t>广东弘图广电</t>
  </si>
  <si>
    <t>2015-06-11</t>
  </si>
  <si>
    <t>南京翰海源</t>
  </si>
  <si>
    <r>
      <rPr>
        <sz val="9"/>
        <color rgb="FF000000"/>
        <rFont val="楷体"/>
        <charset val="134"/>
      </rPr>
      <t>南京翰海源信息技术有限公司是一家企业级安全服务商，专注于软硬件安全测试、提供自动化安全测试产品，是未知威胁检测</t>
    </r>
    <r>
      <rPr>
        <sz val="9"/>
        <color rgb="FF000000"/>
        <rFont val="Arial"/>
        <charset val="134"/>
      </rPr>
      <t>/</t>
    </r>
    <r>
      <rPr>
        <sz val="9"/>
        <color rgb="FF000000"/>
        <rFont val="楷体"/>
        <charset val="134"/>
      </rPr>
      <t>防御提供商。</t>
    </r>
  </si>
  <si>
    <t>杭州蓝伞信息技术有限公司</t>
  </si>
  <si>
    <t>企业安全</t>
  </si>
  <si>
    <r>
      <rPr>
        <sz val="9"/>
        <color rgb="FF000000"/>
        <rFont val="楷体"/>
        <charset val="134"/>
      </rPr>
      <t>方兴</t>
    </r>
    <r>
      <rPr>
        <sz val="9"/>
        <color rgb="FF000000"/>
        <rFont val="Arial"/>
        <charset val="134"/>
      </rPr>
      <t>:CEO</t>
    </r>
  </si>
  <si>
    <t>2020-04-29</t>
  </si>
  <si>
    <t>光云科技</t>
  </si>
  <si>
    <t>杭州光云科技股份有限公司是一家电商软件及服务的科技公司，通过产品和服务，帮助全球电商商家更简单、更高效做生意。致力于成为电商领域里值得信任和依赖的合作伙伴，帮助商家获得更大的成功。</t>
  </si>
  <si>
    <t>杭州光云科技股份有限公司</t>
  </si>
  <si>
    <t>http://www.raycloud.com/</t>
  </si>
  <si>
    <r>
      <rPr>
        <sz val="9"/>
        <color rgb="FF000000"/>
        <rFont val="Arial"/>
        <charset val="134"/>
      </rPr>
      <t>4.33</t>
    </r>
    <r>
      <rPr>
        <sz val="9"/>
        <color rgb="FF000000"/>
        <rFont val="楷体"/>
        <charset val="134"/>
      </rPr>
      <t>亿人民币</t>
    </r>
  </si>
  <si>
    <r>
      <rPr>
        <sz val="9"/>
        <color rgb="FF000000"/>
        <rFont val="Arial"/>
        <charset val="134"/>
      </rPr>
      <t>5.34</t>
    </r>
    <r>
      <rPr>
        <sz val="9"/>
        <color rgb="FF000000"/>
        <rFont val="楷体"/>
        <charset val="134"/>
      </rPr>
      <t>亿</t>
    </r>
  </si>
  <si>
    <r>
      <rPr>
        <sz val="9"/>
        <color rgb="FF000000"/>
        <rFont val="Arial"/>
        <charset val="134"/>
      </rPr>
      <t>115.02</t>
    </r>
    <r>
      <rPr>
        <sz val="9"/>
        <color rgb="FF000000"/>
        <rFont val="楷体"/>
        <charset val="134"/>
      </rPr>
      <t>亿元</t>
    </r>
  </si>
  <si>
    <r>
      <rPr>
        <sz val="9"/>
        <color rgb="FF000000"/>
        <rFont val="楷体"/>
        <charset val="134"/>
      </rPr>
      <t>谭光华</t>
    </r>
    <r>
      <rPr>
        <sz val="9"/>
        <color rgb="FF000000"/>
        <rFont val="Arial"/>
        <charset val="134"/>
      </rPr>
      <t>:</t>
    </r>
    <r>
      <rPr>
        <sz val="9"/>
        <color rgb="FF000000"/>
        <rFont val="楷体"/>
        <charset val="134"/>
      </rPr>
      <t>创始人</t>
    </r>
  </si>
  <si>
    <r>
      <rPr>
        <sz val="9"/>
        <color rgb="FF000000"/>
        <rFont val="楷体"/>
        <charset val="134"/>
      </rPr>
      <t>杭州市滨江区江南大道</t>
    </r>
    <r>
      <rPr>
        <sz val="9"/>
        <color rgb="FF000000"/>
        <rFont val="Arial"/>
        <charset val="134"/>
      </rPr>
      <t>588</t>
    </r>
    <r>
      <rPr>
        <sz val="9"/>
        <color rgb="FF000000"/>
        <rFont val="楷体"/>
        <charset val="134"/>
      </rPr>
      <t>号恒鑫大厦</t>
    </r>
    <r>
      <rPr>
        <sz val="9"/>
        <color rgb="FF000000"/>
        <rFont val="Arial"/>
        <charset val="134"/>
      </rPr>
      <t>11F</t>
    </r>
  </si>
  <si>
    <t>0571-8899-5530</t>
  </si>
  <si>
    <t>guangyunkeji@raycloud.com</t>
  </si>
  <si>
    <r>
      <rPr>
        <sz val="9"/>
        <color rgb="FF000000"/>
        <rFont val="楷体"/>
        <charset val="134"/>
      </rPr>
      <t>阿里巴巴</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云锋基金</t>
    </r>
  </si>
  <si>
    <t>中金公司</t>
  </si>
  <si>
    <t>同创伟业</t>
  </si>
  <si>
    <t>2022-03-15</t>
  </si>
  <si>
    <t>坚果投影</t>
  </si>
  <si>
    <r>
      <rPr>
        <sz val="9"/>
        <color rgb="FF000000"/>
        <rFont val="楷体"/>
        <charset val="134"/>
      </rPr>
      <t>坚果投影是一家智能投影设备研发商。在同个局域网下用坚果控可以进行配对，用手机控制坚果智能投影和激光电视，实现方向</t>
    </r>
    <r>
      <rPr>
        <sz val="9"/>
        <color rgb="FF000000"/>
        <rFont val="Arial"/>
        <charset val="134"/>
      </rPr>
      <t>+</t>
    </r>
    <r>
      <rPr>
        <sz val="9"/>
        <color rgb="FF000000"/>
        <rFont val="楷体"/>
        <charset val="134"/>
      </rPr>
      <t>确认、遥控对焦、音量调节、一键切换</t>
    </r>
    <r>
      <rPr>
        <sz val="9"/>
        <color rgb="FF000000"/>
        <rFont val="Arial"/>
        <charset val="134"/>
      </rPr>
      <t>3D</t>
    </r>
    <r>
      <rPr>
        <sz val="9"/>
        <color rgb="FF000000"/>
        <rFont val="楷体"/>
        <charset val="134"/>
      </rPr>
      <t>等功能。</t>
    </r>
  </si>
  <si>
    <t>深圳市火乐科技发展有限公司</t>
  </si>
  <si>
    <t>http://www.jmgo.com/</t>
  </si>
  <si>
    <r>
      <rPr>
        <sz val="9"/>
        <color rgb="FF000000"/>
        <rFont val="楷体"/>
        <charset val="134"/>
      </rPr>
      <t>广东</t>
    </r>
    <r>
      <rPr>
        <sz val="9"/>
        <color rgb="FF000000"/>
        <rFont val="Arial"/>
        <charset val="134"/>
      </rPr>
      <t>-</t>
    </r>
    <r>
      <rPr>
        <sz val="9"/>
        <color rgb="FF000000"/>
        <rFont val="楷体"/>
        <charset val="134"/>
      </rPr>
      <t>深圳</t>
    </r>
  </si>
  <si>
    <t>智能装备</t>
  </si>
  <si>
    <r>
      <rPr>
        <sz val="9"/>
        <color rgb="FF000000"/>
        <rFont val="Arial"/>
        <charset val="134"/>
      </rPr>
      <t>10</t>
    </r>
    <r>
      <rPr>
        <sz val="9"/>
        <color rgb="FF000000"/>
        <rFont val="楷体"/>
        <charset val="134"/>
      </rPr>
      <t>亿人民币</t>
    </r>
  </si>
  <si>
    <r>
      <rPr>
        <sz val="9"/>
        <color rgb="FF000000"/>
        <rFont val="Arial"/>
        <charset val="134"/>
      </rPr>
      <t>IDG</t>
    </r>
    <r>
      <rPr>
        <sz val="9"/>
        <color rgb="FF000000"/>
        <rFont val="楷体"/>
        <charset val="134"/>
      </rPr>
      <t>资本</t>
    </r>
    <r>
      <rPr>
        <sz val="9"/>
        <color rgb="FF000000"/>
        <rFont val="Arial"/>
        <charset val="134"/>
      </rPr>
      <t>,OPPO,</t>
    </r>
    <r>
      <rPr>
        <sz val="9"/>
        <color rgb="FF000000"/>
        <rFont val="楷体"/>
        <charset val="134"/>
      </rPr>
      <t>乐讯天成</t>
    </r>
  </si>
  <si>
    <r>
      <rPr>
        <sz val="9"/>
        <color rgb="FF000000"/>
        <rFont val="Arial"/>
        <charset val="134"/>
      </rPr>
      <t>27.93</t>
    </r>
    <r>
      <rPr>
        <sz val="9"/>
        <color rgb="FF000000"/>
        <rFont val="楷体"/>
        <charset val="134"/>
      </rPr>
      <t>亿</t>
    </r>
  </si>
  <si>
    <r>
      <rPr>
        <sz val="9"/>
        <color rgb="FF000000"/>
        <rFont val="楷体"/>
        <charset val="134"/>
      </rPr>
      <t>胡震宇</t>
    </r>
    <r>
      <rPr>
        <sz val="9"/>
        <color rgb="FF000000"/>
        <rFont val="Arial"/>
        <charset val="134"/>
      </rPr>
      <t>:CEO</t>
    </r>
  </si>
  <si>
    <r>
      <rPr>
        <sz val="9"/>
        <color rgb="FF000000"/>
        <rFont val="楷体"/>
        <charset val="134"/>
      </rPr>
      <t>深圳市南山区科苑路</t>
    </r>
    <r>
      <rPr>
        <sz val="9"/>
        <color rgb="FF000000"/>
        <rFont val="Arial"/>
        <charset val="134"/>
      </rPr>
      <t>15</t>
    </r>
    <r>
      <rPr>
        <sz val="9"/>
        <color rgb="FF000000"/>
        <rFont val="楷体"/>
        <charset val="134"/>
      </rPr>
      <t>号科兴科学园</t>
    </r>
    <r>
      <rPr>
        <sz val="9"/>
        <color rgb="FF000000"/>
        <rFont val="Arial"/>
        <charset val="134"/>
      </rPr>
      <t>B</t>
    </r>
    <r>
      <rPr>
        <sz val="9"/>
        <color rgb="FF000000"/>
        <rFont val="楷体"/>
        <charset val="134"/>
      </rPr>
      <t>栋四单元</t>
    </r>
    <r>
      <rPr>
        <sz val="9"/>
        <color rgb="FF000000"/>
        <rFont val="Arial"/>
        <charset val="134"/>
      </rPr>
      <t>803</t>
    </r>
    <r>
      <rPr>
        <sz val="9"/>
        <color rgb="FF000000"/>
        <rFont val="楷体"/>
        <charset val="134"/>
      </rPr>
      <t>号</t>
    </r>
  </si>
  <si>
    <t>0755-2291-3831</t>
  </si>
  <si>
    <t>hola@holatek.cn</t>
  </si>
  <si>
    <t>远大创投</t>
  </si>
  <si>
    <r>
      <rPr>
        <sz val="9"/>
        <color rgb="FF000000"/>
        <rFont val="Arial"/>
        <charset val="134"/>
      </rPr>
      <t>6</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</si>
  <si>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磐石资本</t>
    </r>
    <r>
      <rPr>
        <sz val="9"/>
        <color rgb="FF000000"/>
        <rFont val="Arial"/>
        <charset val="134"/>
      </rPr>
      <t>,</t>
    </r>
    <r>
      <rPr>
        <sz val="9"/>
        <color rgb="FF000000"/>
        <rFont val="楷体"/>
        <charset val="134"/>
      </rPr>
      <t>君盛投资</t>
    </r>
    <r>
      <rPr>
        <sz val="9"/>
        <color rgb="FF000000"/>
        <rFont val="Arial"/>
        <charset val="134"/>
      </rPr>
      <t>,</t>
    </r>
    <r>
      <rPr>
        <sz val="9"/>
        <color rgb="FF000000"/>
        <rFont val="楷体"/>
        <charset val="134"/>
      </rPr>
      <t>东资基金</t>
    </r>
    <r>
      <rPr>
        <sz val="9"/>
        <color rgb="FF000000"/>
        <rFont val="Arial"/>
        <charset val="134"/>
      </rPr>
      <t>,</t>
    </r>
    <r>
      <rPr>
        <sz val="9"/>
        <color rgb="FF000000"/>
        <rFont val="楷体"/>
        <charset val="134"/>
      </rPr>
      <t>三泽创投</t>
    </r>
    <r>
      <rPr>
        <sz val="9"/>
        <color rgb="FF000000"/>
        <rFont val="Arial"/>
        <charset val="134"/>
      </rPr>
      <t>,36</t>
    </r>
    <r>
      <rPr>
        <sz val="9"/>
        <color rgb="FF000000"/>
        <rFont val="楷体"/>
        <charset val="134"/>
      </rPr>
      <t>氪</t>
    </r>
  </si>
  <si>
    <r>
      <rPr>
        <sz val="9"/>
        <color rgb="FF000000"/>
        <rFont val="楷体"/>
        <charset val="134"/>
      </rPr>
      <t>中金前海发展基金</t>
    </r>
    <r>
      <rPr>
        <sz val="9"/>
        <color rgb="FF000000"/>
        <rFont val="Arial"/>
        <charset val="134"/>
      </rPr>
      <t>,</t>
    </r>
    <r>
      <rPr>
        <sz val="9"/>
        <color rgb="FF000000"/>
        <rFont val="楷体"/>
        <charset val="134"/>
      </rPr>
      <t>金砖资本</t>
    </r>
  </si>
  <si>
    <r>
      <rPr>
        <sz val="9"/>
        <color rgb="FF000000"/>
        <rFont val="楷体"/>
        <charset val="134"/>
      </rPr>
      <t>松禾资本</t>
    </r>
    <r>
      <rPr>
        <sz val="9"/>
        <color rgb="FF000000"/>
        <rFont val="Arial"/>
        <charset val="134"/>
      </rPr>
      <t>,</t>
    </r>
    <r>
      <rPr>
        <sz val="9"/>
        <color rgb="FF000000"/>
        <rFont val="楷体"/>
        <charset val="134"/>
      </rPr>
      <t>天奇创投</t>
    </r>
    <r>
      <rPr>
        <sz val="9"/>
        <color rgb="FF000000"/>
        <rFont val="Arial"/>
        <charset val="134"/>
      </rPr>
      <t>,Star VC,</t>
    </r>
    <r>
      <rPr>
        <sz val="9"/>
        <color rgb="FF000000"/>
        <rFont val="楷体"/>
        <charset val="134"/>
      </rPr>
      <t>时代伯乐</t>
    </r>
    <r>
      <rPr>
        <sz val="9"/>
        <color rgb="FF000000"/>
        <rFont val="Arial"/>
        <charset val="134"/>
      </rPr>
      <t>,</t>
    </r>
    <r>
      <rPr>
        <sz val="9"/>
        <color rgb="FF000000"/>
        <rFont val="楷体"/>
        <charset val="134"/>
      </rPr>
      <t>明嘉资本</t>
    </r>
    <r>
      <rPr>
        <sz val="9"/>
        <color rgb="FF000000"/>
        <rFont val="Arial"/>
        <charset val="134"/>
      </rPr>
      <t>,</t>
    </r>
    <r>
      <rPr>
        <sz val="9"/>
        <color rgb="FF000000"/>
        <rFont val="楷体"/>
        <charset val="134"/>
      </rPr>
      <t>山鹰投资</t>
    </r>
  </si>
  <si>
    <r>
      <rPr>
        <sz val="9"/>
        <color rgb="FF000000"/>
        <rFont val="Arial"/>
        <charset val="134"/>
      </rPr>
      <t>6000</t>
    </r>
    <r>
      <rPr>
        <sz val="9"/>
        <color rgb="FF000000"/>
        <rFont val="楷体"/>
        <charset val="134"/>
      </rPr>
      <t>万人民币</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</si>
  <si>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达晨财智</t>
    </r>
    <r>
      <rPr>
        <sz val="9"/>
        <color rgb="FF000000"/>
        <rFont val="Arial"/>
        <charset val="134"/>
      </rPr>
      <t>,Star VC</t>
    </r>
  </si>
  <si>
    <t>浩方创投</t>
  </si>
  <si>
    <t>2021-04-01</t>
  </si>
  <si>
    <t>心动游戏</t>
  </si>
  <si>
    <t>心动网络是一家互动娱乐及游戏平台，主要运营有《天地英雄》、《盛世三国》、《神仙道》等自主研发或代理的多款业内领先的互联网游戏产品，主打网页游戏及手机游戏服务。</t>
  </si>
  <si>
    <t>心动网络股份有限公司</t>
  </si>
  <si>
    <t>http://www.xd.com/</t>
  </si>
  <si>
    <t>2011-07</t>
  </si>
  <si>
    <r>
      <rPr>
        <sz val="9"/>
        <color rgb="FF000000"/>
        <rFont val="楷体"/>
        <charset val="134"/>
      </rPr>
      <t>上海</t>
    </r>
    <r>
      <rPr>
        <sz val="9"/>
        <color rgb="FF000000"/>
        <rFont val="Arial"/>
        <charset val="134"/>
      </rPr>
      <t>-</t>
    </r>
    <r>
      <rPr>
        <sz val="9"/>
        <color rgb="FF000000"/>
        <rFont val="楷体"/>
        <charset val="134"/>
      </rPr>
      <t>静安区</t>
    </r>
  </si>
  <si>
    <r>
      <rPr>
        <sz val="9"/>
        <color rgb="FF000000"/>
        <rFont val="Arial"/>
        <charset val="134"/>
      </rPr>
      <t>4.2</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</si>
  <si>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</si>
  <si>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Arial"/>
        <charset val="134"/>
      </rPr>
      <t>40.43</t>
    </r>
    <r>
      <rPr>
        <sz val="9"/>
        <color rgb="FF000000"/>
        <rFont val="楷体"/>
        <charset val="134"/>
      </rPr>
      <t>亿</t>
    </r>
  </si>
  <si>
    <r>
      <rPr>
        <sz val="9"/>
        <color rgb="FF000000"/>
        <rFont val="Arial"/>
        <charset val="134"/>
      </rPr>
      <t>136.5</t>
    </r>
    <r>
      <rPr>
        <sz val="9"/>
        <color rgb="FF000000"/>
        <rFont val="楷体"/>
        <charset val="134"/>
      </rPr>
      <t>亿元</t>
    </r>
  </si>
  <si>
    <r>
      <rPr>
        <sz val="9"/>
        <color rgb="FF000000"/>
        <rFont val="楷体"/>
        <charset val="134"/>
      </rPr>
      <t>黄一孟</t>
    </r>
    <r>
      <rPr>
        <sz val="9"/>
        <color rgb="FF000000"/>
        <rFont val="Arial"/>
        <charset val="134"/>
      </rPr>
      <t>:CEO,</t>
    </r>
    <r>
      <rPr>
        <sz val="9"/>
        <color rgb="FF000000"/>
        <rFont val="楷体"/>
        <charset val="134"/>
      </rPr>
      <t>赵宇尧</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戴云杰</t>
    </r>
    <r>
      <rPr>
        <sz val="9"/>
        <color rgb="FF000000"/>
        <rFont val="Arial"/>
        <charset val="134"/>
      </rPr>
      <t>:CTO</t>
    </r>
  </si>
  <si>
    <r>
      <rPr>
        <sz val="9"/>
        <color rgb="FF000000"/>
        <rFont val="楷体"/>
        <charset val="134"/>
      </rPr>
      <t>上海市静安区万荣路</t>
    </r>
    <r>
      <rPr>
        <sz val="9"/>
        <color rgb="FF000000"/>
        <rFont val="Arial"/>
        <charset val="134"/>
      </rPr>
      <t>700</t>
    </r>
    <r>
      <rPr>
        <sz val="9"/>
        <color rgb="FF000000"/>
        <rFont val="楷体"/>
        <charset val="134"/>
      </rPr>
      <t>号</t>
    </r>
    <r>
      <rPr>
        <sz val="9"/>
        <color rgb="FF000000"/>
        <rFont val="Arial"/>
        <charset val="134"/>
      </rPr>
      <t>A1</t>
    </r>
  </si>
  <si>
    <t>021-6072-7073</t>
  </si>
  <si>
    <t>cooperation@xindong.com</t>
  </si>
  <si>
    <r>
      <rPr>
        <sz val="9"/>
        <color rgb="FF000000"/>
        <rFont val="Arial"/>
        <charset val="134"/>
      </rPr>
      <t>6.29</t>
    </r>
    <r>
      <rPr>
        <sz val="9"/>
        <color rgb="FF000000"/>
        <rFont val="楷体"/>
        <charset val="134"/>
      </rPr>
      <t>亿港元</t>
    </r>
  </si>
  <si>
    <r>
      <rPr>
        <sz val="9"/>
        <color rgb="FF000000"/>
        <rFont val="Arial"/>
        <charset val="134"/>
      </rPr>
      <t>2300</t>
    </r>
    <r>
      <rPr>
        <sz val="9"/>
        <color rgb="FF000000"/>
        <rFont val="楷体"/>
        <charset val="134"/>
      </rPr>
      <t>万美元</t>
    </r>
  </si>
  <si>
    <r>
      <rPr>
        <sz val="9"/>
        <color rgb="FF000000"/>
        <rFont val="楷体"/>
        <charset val="134"/>
      </rPr>
      <t>字节跳动</t>
    </r>
    <r>
      <rPr>
        <sz val="9"/>
        <color rgb="FF000000"/>
        <rFont val="Arial"/>
        <charset val="134"/>
      </rPr>
      <t>,</t>
    </r>
    <r>
      <rPr>
        <sz val="9"/>
        <color rgb="FF000000"/>
        <rFont val="楷体"/>
        <charset val="134"/>
      </rPr>
      <t>莉莉丝游戏</t>
    </r>
    <r>
      <rPr>
        <sz val="9"/>
        <color rgb="FF000000"/>
        <rFont val="Arial"/>
        <charset val="134"/>
      </rPr>
      <t>,</t>
    </r>
    <r>
      <rPr>
        <sz val="9"/>
        <color rgb="FF000000"/>
        <rFont val="楷体"/>
        <charset val="134"/>
      </rPr>
      <t>米哈游</t>
    </r>
    <r>
      <rPr>
        <sz val="9"/>
        <color rgb="FF000000"/>
        <rFont val="Arial"/>
        <charset val="134"/>
      </rPr>
      <t>,</t>
    </r>
    <r>
      <rPr>
        <sz val="9"/>
        <color rgb="FF000000"/>
        <rFont val="楷体"/>
        <charset val="134"/>
      </rPr>
      <t>闪耀暖暖</t>
    </r>
  </si>
  <si>
    <r>
      <rPr>
        <sz val="9"/>
        <color rgb="FF000000"/>
        <rFont val="楷体"/>
        <charset val="134"/>
      </rPr>
      <t>三七互娱</t>
    </r>
    <r>
      <rPr>
        <sz val="9"/>
        <color rgb="FF000000"/>
        <rFont val="Arial"/>
        <charset val="134"/>
      </rPr>
      <t>,</t>
    </r>
    <r>
      <rPr>
        <sz val="9"/>
        <color rgb="FF000000"/>
        <rFont val="楷体"/>
        <charset val="134"/>
      </rPr>
      <t>游素资本（游族网络）</t>
    </r>
  </si>
  <si>
    <r>
      <rPr>
        <sz val="9"/>
        <color rgb="FF000000"/>
        <rFont val="楷体"/>
        <charset val="134"/>
      </rPr>
      <t>中国文化产业投资基金</t>
    </r>
    <r>
      <rPr>
        <sz val="9"/>
        <color rgb="FF000000"/>
        <rFont val="Arial"/>
        <charset val="134"/>
      </rPr>
      <t>,</t>
    </r>
    <r>
      <rPr>
        <sz val="9"/>
        <color rgb="FF000000"/>
        <rFont val="楷体"/>
        <charset val="134"/>
      </rPr>
      <t>东方证券</t>
    </r>
    <r>
      <rPr>
        <sz val="9"/>
        <color rgb="FF000000"/>
        <rFont val="Arial"/>
        <charset val="134"/>
      </rPr>
      <t>(</t>
    </r>
    <r>
      <rPr>
        <sz val="9"/>
        <color rgb="FF000000"/>
        <rFont val="楷体"/>
        <charset val="134"/>
      </rPr>
      <t>东方星晖</t>
    </r>
    <r>
      <rPr>
        <sz val="9"/>
        <color rgb="FF000000"/>
        <rFont val="Arial"/>
        <charset val="134"/>
      </rPr>
      <t>),</t>
    </r>
    <r>
      <rPr>
        <sz val="9"/>
        <color rgb="FF000000"/>
        <rFont val="楷体"/>
        <charset val="134"/>
      </rPr>
      <t>广发乾和</t>
    </r>
  </si>
  <si>
    <r>
      <rPr>
        <sz val="9"/>
        <color rgb="FF000000"/>
        <rFont val="楷体"/>
        <charset val="134"/>
      </rPr>
      <t>梧桐树资本</t>
    </r>
    <r>
      <rPr>
        <sz val="9"/>
        <color rgb="FF000000"/>
        <rFont val="Arial"/>
        <charset val="134"/>
      </rPr>
      <t>,</t>
    </r>
    <r>
      <rPr>
        <sz val="9"/>
        <color rgb="FF000000"/>
        <rFont val="楷体"/>
        <charset val="134"/>
      </rPr>
      <t>木辛尹习投资</t>
    </r>
  </si>
  <si>
    <t>2018-10-18</t>
  </si>
  <si>
    <t>1919酒类直供</t>
  </si>
  <si>
    <r>
      <rPr>
        <sz val="9"/>
        <color rgb="FF000000"/>
        <rFont val="Arial"/>
        <charset val="134"/>
      </rPr>
      <t>1919</t>
    </r>
    <r>
      <rPr>
        <sz val="9"/>
        <color rgb="FF000000"/>
        <rFont val="楷体"/>
        <charset val="134"/>
      </rPr>
      <t>酒类直供</t>
    </r>
  </si>
  <si>
    <r>
      <rPr>
        <sz val="9"/>
        <color rgb="FF000000"/>
        <rFont val="Arial"/>
        <charset val="134"/>
      </rPr>
      <t>1919</t>
    </r>
    <r>
      <rPr>
        <sz val="9"/>
        <color rgb="FF000000"/>
        <rFont val="楷体"/>
        <charset val="134"/>
      </rPr>
      <t>酒类直供是一家拥有酒类网上商城、线下多家酒类连锁超市的综合酒类服务商，隶属于四川壹玖壹玖酒类供应链管理股份有限公司。</t>
    </r>
  </si>
  <si>
    <t>壹玖壹玖酒类平台科技股份有限公司</t>
  </si>
  <si>
    <t>https://www.1919.cn/</t>
  </si>
  <si>
    <t>1998-01</t>
  </si>
  <si>
    <r>
      <rPr>
        <sz val="9"/>
        <color rgb="FF000000"/>
        <rFont val="楷体"/>
        <charset val="134"/>
      </rPr>
      <t>四川</t>
    </r>
    <r>
      <rPr>
        <sz val="9"/>
        <color rgb="FF000000"/>
        <rFont val="Arial"/>
        <charset val="134"/>
      </rPr>
      <t>-</t>
    </r>
    <r>
      <rPr>
        <sz val="9"/>
        <color rgb="FF000000"/>
        <rFont val="楷体"/>
        <charset val="134"/>
      </rPr>
      <t>成都</t>
    </r>
  </si>
  <si>
    <t>百货零售</t>
  </si>
  <si>
    <r>
      <rPr>
        <sz val="9"/>
        <color rgb="FF000000"/>
        <rFont val="Arial"/>
        <charset val="134"/>
      </rPr>
      <t>20</t>
    </r>
    <r>
      <rPr>
        <sz val="9"/>
        <color rgb="FF000000"/>
        <rFont val="楷体"/>
        <charset val="134"/>
      </rPr>
      <t>亿人民币</t>
    </r>
  </si>
  <si>
    <r>
      <rPr>
        <sz val="9"/>
        <color rgb="FF000000"/>
        <rFont val="Arial"/>
        <charset val="134"/>
      </rPr>
      <t>24.25</t>
    </r>
    <r>
      <rPr>
        <sz val="9"/>
        <color rgb="FF000000"/>
        <rFont val="楷体"/>
        <charset val="134"/>
      </rPr>
      <t>亿</t>
    </r>
  </si>
  <si>
    <r>
      <rPr>
        <sz val="9"/>
        <color rgb="FF000000"/>
        <rFont val="Arial"/>
        <charset val="134"/>
      </rPr>
      <t>70</t>
    </r>
    <r>
      <rPr>
        <sz val="9"/>
        <color rgb="FF000000"/>
        <rFont val="楷体"/>
        <charset val="134"/>
      </rPr>
      <t>亿元</t>
    </r>
  </si>
  <si>
    <r>
      <rPr>
        <sz val="9"/>
        <color rgb="FF000000"/>
        <rFont val="楷体"/>
        <charset val="134"/>
      </rPr>
      <t>杨陵江</t>
    </r>
    <r>
      <rPr>
        <sz val="9"/>
        <color rgb="FF000000"/>
        <rFont val="Arial"/>
        <charset val="134"/>
      </rPr>
      <t>:</t>
    </r>
    <r>
      <rPr>
        <sz val="9"/>
        <color rgb="FF000000"/>
        <rFont val="楷体"/>
        <charset val="134"/>
      </rPr>
      <t>创始人及董事长</t>
    </r>
  </si>
  <si>
    <r>
      <rPr>
        <sz val="9"/>
        <color rgb="FF000000"/>
        <rFont val="楷体"/>
        <charset val="134"/>
      </rPr>
      <t>高新区天府大道北段</t>
    </r>
    <r>
      <rPr>
        <sz val="9"/>
        <color rgb="FF000000"/>
        <rFont val="Arial"/>
        <charset val="134"/>
      </rPr>
      <t>1700</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2</t>
    </r>
    <r>
      <rPr>
        <sz val="9"/>
        <color rgb="FF000000"/>
        <rFont val="楷体"/>
        <charset val="134"/>
      </rPr>
      <t>单元</t>
    </r>
    <r>
      <rPr>
        <sz val="9"/>
        <color rgb="FF000000"/>
        <rFont val="Arial"/>
        <charset val="134"/>
      </rPr>
      <t>18</t>
    </r>
    <r>
      <rPr>
        <sz val="9"/>
        <color rgb="FF000000"/>
        <rFont val="楷体"/>
        <charset val="134"/>
      </rPr>
      <t>层</t>
    </r>
    <r>
      <rPr>
        <sz val="9"/>
        <color rgb="FF000000"/>
        <rFont val="Arial"/>
        <charset val="134"/>
      </rPr>
      <t>1801</t>
    </r>
    <r>
      <rPr>
        <sz val="9"/>
        <color rgb="FF000000"/>
        <rFont val="楷体"/>
        <charset val="134"/>
      </rPr>
      <t>号</t>
    </r>
  </si>
  <si>
    <t>四川中小企业投资</t>
  </si>
  <si>
    <r>
      <rPr>
        <sz val="9"/>
        <color rgb="FF000000"/>
        <rFont val="Arial"/>
        <charset val="134"/>
      </rPr>
      <t>1.15</t>
    </r>
    <r>
      <rPr>
        <sz val="9"/>
        <color rgb="FF000000"/>
        <rFont val="楷体"/>
        <charset val="134"/>
      </rPr>
      <t>亿人民币</t>
    </r>
  </si>
  <si>
    <r>
      <rPr>
        <sz val="9"/>
        <color rgb="FF000000"/>
        <rFont val="楷体"/>
        <charset val="134"/>
      </rPr>
      <t>中信证券</t>
    </r>
    <r>
      <rPr>
        <sz val="9"/>
        <color rgb="FF000000"/>
        <rFont val="Arial"/>
        <charset val="134"/>
      </rPr>
      <t>,</t>
    </r>
    <r>
      <rPr>
        <sz val="9"/>
        <color rgb="FF000000"/>
        <rFont val="楷体"/>
        <charset val="134"/>
      </rPr>
      <t>招商财富</t>
    </r>
    <r>
      <rPr>
        <sz val="9"/>
        <color rgb="FF000000"/>
        <rFont val="Arial"/>
        <charset val="134"/>
      </rPr>
      <t>,</t>
    </r>
    <r>
      <rPr>
        <sz val="9"/>
        <color rgb="FF000000"/>
        <rFont val="楷体"/>
        <charset val="134"/>
      </rPr>
      <t>明曜投资</t>
    </r>
  </si>
  <si>
    <t>2022-02-18</t>
  </si>
  <si>
    <t>汇通达</t>
  </si>
  <si>
    <r>
      <rPr>
        <sz val="9"/>
        <color rgb="FF000000"/>
        <rFont val="楷体"/>
        <charset val="134"/>
      </rPr>
      <t>汇通达是服务中国零售行业企业客户的交易及服务平台，为客户提供交易业务及服务业务。此外，还凭借数字化能力，向产业价值链上的零售门店及渠道合作客户提供门店</t>
    </r>
    <r>
      <rPr>
        <sz val="9"/>
        <color rgb="FF000000"/>
        <rFont val="Arial"/>
        <charset val="134"/>
      </rPr>
      <t>SaaS+</t>
    </r>
    <r>
      <rPr>
        <sz val="9"/>
        <color rgb="FF000000"/>
        <rFont val="楷体"/>
        <charset val="134"/>
      </rPr>
      <t>及商家解决方案，并向会员零售门店提供稳定的一站式供应链，其中包括于平台上提供丰富的商品以及灵活的配送服务选项，满足多样化需求。</t>
    </r>
  </si>
  <si>
    <t>汇通达网络股份有限公司</t>
  </si>
  <si>
    <t>http://www.htd.cn</t>
  </si>
  <si>
    <t>2010-12</t>
  </si>
  <si>
    <t>农业</t>
  </si>
  <si>
    <t>农业服务</t>
  </si>
  <si>
    <r>
      <rPr>
        <sz val="9"/>
        <color rgb="FF000000"/>
        <rFont val="Arial"/>
        <charset val="134"/>
      </rPr>
      <t>22.2</t>
    </r>
    <r>
      <rPr>
        <sz val="9"/>
        <color rgb="FF000000"/>
        <rFont val="楷体"/>
        <charset val="134"/>
      </rPr>
      <t>亿港元</t>
    </r>
  </si>
  <si>
    <r>
      <rPr>
        <sz val="9"/>
        <color rgb="FF000000"/>
        <rFont val="Arial"/>
        <charset val="134"/>
      </rPr>
      <t>91.81</t>
    </r>
    <r>
      <rPr>
        <sz val="9"/>
        <color rgb="FF000000"/>
        <rFont val="楷体"/>
        <charset val="134"/>
      </rPr>
      <t>亿</t>
    </r>
  </si>
  <si>
    <r>
      <rPr>
        <sz val="9"/>
        <color rgb="FF000000"/>
        <rFont val="Arial"/>
        <charset val="134"/>
      </rPr>
      <t>193.6</t>
    </r>
    <r>
      <rPr>
        <sz val="9"/>
        <color rgb="FF000000"/>
        <rFont val="楷体"/>
        <charset val="134"/>
      </rPr>
      <t>亿元</t>
    </r>
  </si>
  <si>
    <r>
      <rPr>
        <sz val="9"/>
        <color rgb="FF000000"/>
        <rFont val="楷体"/>
        <charset val="134"/>
      </rPr>
      <t>徐秀贤</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汪建国</t>
    </r>
    <r>
      <rPr>
        <sz val="9"/>
        <color rgb="FF000000"/>
        <rFont val="Arial"/>
        <charset val="134"/>
      </rPr>
      <t>:</t>
    </r>
    <r>
      <rPr>
        <sz val="9"/>
        <color rgb="FF000000"/>
        <rFont val="楷体"/>
        <charset val="134"/>
      </rPr>
      <t>董事长</t>
    </r>
  </si>
  <si>
    <r>
      <rPr>
        <sz val="9"/>
        <color rgb="FF000000"/>
        <rFont val="楷体"/>
        <charset val="134"/>
      </rPr>
      <t>江苏省南京市钟灵街</t>
    </r>
    <r>
      <rPr>
        <sz val="9"/>
        <color rgb="FF000000"/>
        <rFont val="Arial"/>
        <charset val="134"/>
      </rPr>
      <t>50</t>
    </r>
    <r>
      <rPr>
        <sz val="9"/>
        <color rgb="FF000000"/>
        <rFont val="楷体"/>
        <charset val="134"/>
      </rPr>
      <t>号汇通达大厦</t>
    </r>
  </si>
  <si>
    <t>400-639-9988</t>
  </si>
  <si>
    <t>hr.zhaopin@htd.cn</t>
  </si>
  <si>
    <r>
      <rPr>
        <sz val="9"/>
        <color rgb="FF000000"/>
        <rFont val="楷体"/>
        <charset val="134"/>
      </rPr>
      <t>景林投资</t>
    </r>
    <r>
      <rPr>
        <sz val="9"/>
        <color rgb="FF000000"/>
        <rFont val="Arial"/>
        <charset val="134"/>
      </rPr>
      <t>,</t>
    </r>
    <r>
      <rPr>
        <sz val="9"/>
        <color rgb="FF000000"/>
        <rFont val="楷体"/>
        <charset val="134"/>
      </rPr>
      <t>创维集团</t>
    </r>
    <r>
      <rPr>
        <sz val="9"/>
        <color rgb="FF000000"/>
        <rFont val="Arial"/>
        <charset val="134"/>
      </rPr>
      <t>,</t>
    </r>
    <r>
      <rPr>
        <sz val="9"/>
        <color rgb="FF000000"/>
        <rFont val="楷体"/>
        <charset val="134"/>
      </rPr>
      <t>金螳螂</t>
    </r>
    <r>
      <rPr>
        <sz val="9"/>
        <color rgb="FF000000"/>
        <rFont val="Arial"/>
        <charset val="134"/>
      </rPr>
      <t>,</t>
    </r>
    <r>
      <rPr>
        <sz val="9"/>
        <color rgb="FF000000"/>
        <rFont val="楷体"/>
        <charset val="134"/>
      </rPr>
      <t>海澜之家</t>
    </r>
    <r>
      <rPr>
        <sz val="9"/>
        <color rgb="FF000000"/>
        <rFont val="Arial"/>
        <charset val="134"/>
      </rPr>
      <t>,Windfall T&amp;L SPC,SensePower Management</t>
    </r>
  </si>
  <si>
    <t>国投创益</t>
  </si>
  <si>
    <r>
      <rPr>
        <sz val="9"/>
        <color rgb="FF000000"/>
        <rFont val="楷体"/>
        <charset val="134"/>
      </rPr>
      <t>国调基金</t>
    </r>
    <r>
      <rPr>
        <sz val="9"/>
        <color rgb="FF000000"/>
        <rFont val="Arial"/>
        <charset val="134"/>
      </rPr>
      <t>,</t>
    </r>
    <r>
      <rPr>
        <sz val="9"/>
        <color rgb="FF000000"/>
        <rFont val="楷体"/>
        <charset val="134"/>
      </rPr>
      <t>国投创益</t>
    </r>
  </si>
  <si>
    <r>
      <rPr>
        <sz val="9"/>
        <color rgb="FF000000"/>
        <rFont val="Arial"/>
        <charset val="134"/>
      </rPr>
      <t>45</t>
    </r>
    <r>
      <rPr>
        <sz val="9"/>
        <color rgb="FF000000"/>
        <rFont val="楷体"/>
        <charset val="134"/>
      </rPr>
      <t>亿人民币</t>
    </r>
  </si>
  <si>
    <r>
      <rPr>
        <sz val="9"/>
        <color rgb="FF000000"/>
        <rFont val="楷体"/>
        <charset val="134"/>
      </rPr>
      <t>绿动资本</t>
    </r>
    <r>
      <rPr>
        <sz val="9"/>
        <color rgb="FF000000"/>
        <rFont val="Arial"/>
        <charset val="134"/>
      </rPr>
      <t>—</t>
    </r>
    <r>
      <rPr>
        <sz val="9"/>
        <color rgb="FF000000"/>
        <rFont val="楷体"/>
        <charset val="134"/>
      </rPr>
      <t>中美绿色基金</t>
    </r>
  </si>
  <si>
    <t>招商银行</t>
  </si>
  <si>
    <r>
      <rPr>
        <sz val="9"/>
        <color rgb="FF000000"/>
        <rFont val="楷体"/>
        <charset val="134"/>
      </rPr>
      <t>顺为资本</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毅达资本</t>
    </r>
    <r>
      <rPr>
        <sz val="9"/>
        <color rgb="FF000000"/>
        <rFont val="Arial"/>
        <charset val="134"/>
      </rPr>
      <t>,</t>
    </r>
    <r>
      <rPr>
        <sz val="9"/>
        <color rgb="FF000000"/>
        <rFont val="楷体"/>
        <charset val="134"/>
      </rPr>
      <t>华泰紫金</t>
    </r>
    <r>
      <rPr>
        <sz val="9"/>
        <color rgb="FF000000"/>
        <rFont val="Arial"/>
        <charset val="134"/>
      </rPr>
      <t>,</t>
    </r>
    <r>
      <rPr>
        <sz val="9"/>
        <color rgb="FF000000"/>
        <rFont val="楷体"/>
        <charset val="134"/>
      </rPr>
      <t>远景万方</t>
    </r>
    <r>
      <rPr>
        <sz val="9"/>
        <color rgb="FF000000"/>
        <rFont val="Arial"/>
        <charset val="134"/>
      </rPr>
      <t>,</t>
    </r>
    <r>
      <rPr>
        <sz val="9"/>
        <color rgb="FF000000"/>
        <rFont val="楷体"/>
        <charset val="134"/>
      </rPr>
      <t>华泰瑞通投资</t>
    </r>
    <r>
      <rPr>
        <sz val="9"/>
        <color rgb="FF000000"/>
        <rFont val="Arial"/>
        <charset val="134"/>
      </rPr>
      <t>,</t>
    </r>
    <r>
      <rPr>
        <sz val="9"/>
        <color rgb="FF000000"/>
        <rFont val="楷体"/>
        <charset val="134"/>
      </rPr>
      <t>沿海资本</t>
    </r>
  </si>
  <si>
    <t>景林投资</t>
  </si>
  <si>
    <t>2015-03-10</t>
  </si>
  <si>
    <t>优谈网</t>
  </si>
  <si>
    <r>
      <rPr>
        <sz val="9"/>
        <color rgb="FF000000"/>
        <rFont val="楷体"/>
        <charset val="134"/>
      </rPr>
      <t>优谈是一个基于</t>
    </r>
    <r>
      <rPr>
        <sz val="9"/>
        <color rgb="FF000000"/>
        <rFont val="Arial"/>
        <charset val="134"/>
      </rPr>
      <t>“</t>
    </r>
    <r>
      <rPr>
        <sz val="9"/>
        <color rgb="FF000000"/>
        <rFont val="楷体"/>
        <charset val="134"/>
      </rPr>
      <t>健康幸福</t>
    </r>
    <r>
      <rPr>
        <sz val="9"/>
        <color rgb="FF000000"/>
        <rFont val="Arial"/>
        <charset val="134"/>
      </rPr>
      <t>”</t>
    </r>
    <r>
      <rPr>
        <sz val="9"/>
        <color rgb="FF000000"/>
        <rFont val="楷体"/>
        <charset val="134"/>
      </rPr>
      <t>导向的网络互动社区，创始人李瑜女士提出</t>
    </r>
    <r>
      <rPr>
        <sz val="9"/>
        <color rgb="FF000000"/>
        <rFont val="Arial"/>
        <charset val="134"/>
      </rPr>
      <t>“</t>
    </r>
    <r>
      <rPr>
        <sz val="9"/>
        <color rgb="FF000000"/>
        <rFont val="楷体"/>
        <charset val="134"/>
      </rPr>
      <t>轻女</t>
    </r>
    <r>
      <rPr>
        <sz val="9"/>
        <color rgb="FF000000"/>
        <rFont val="Arial"/>
        <charset val="134"/>
      </rPr>
      <t>”</t>
    </r>
    <r>
      <rPr>
        <sz val="9"/>
        <color rgb="FF000000"/>
        <rFont val="楷体"/>
        <charset val="134"/>
      </rPr>
      <t>精神，致力于成为</t>
    </r>
    <r>
      <rPr>
        <sz val="9"/>
        <color rgb="FF000000"/>
        <rFont val="Arial"/>
        <charset val="134"/>
      </rPr>
      <t>“</t>
    </r>
    <r>
      <rPr>
        <sz val="9"/>
        <color rgb="FF000000"/>
        <rFont val="楷体"/>
        <charset val="134"/>
      </rPr>
      <t>轻女幸福一生的闺蜜</t>
    </r>
    <r>
      <rPr>
        <sz val="9"/>
        <color rgb="FF000000"/>
        <rFont val="Arial"/>
        <charset val="134"/>
      </rPr>
      <t>”</t>
    </r>
    <r>
      <rPr>
        <sz val="9"/>
        <color rgb="FF000000"/>
        <rFont val="楷体"/>
        <charset val="134"/>
      </rPr>
      <t>，倡导身轻、心轻、年轻的生活方式。公司旗下五个</t>
    </r>
    <r>
      <rPr>
        <sz val="9"/>
        <color rgb="FF000000"/>
        <rFont val="Arial"/>
        <charset val="134"/>
      </rPr>
      <t>APP</t>
    </r>
    <r>
      <rPr>
        <sz val="9"/>
        <color rgb="FF000000"/>
        <rFont val="楷体"/>
        <charset val="134"/>
      </rPr>
      <t>产品构成三驾马车</t>
    </r>
    <r>
      <rPr>
        <sz val="9"/>
        <color rgb="FF000000"/>
        <rFont val="Arial"/>
        <charset val="134"/>
      </rPr>
      <t>+</t>
    </r>
    <r>
      <rPr>
        <sz val="9"/>
        <color rgb="FF000000"/>
        <rFont val="楷体"/>
        <charset val="134"/>
      </rPr>
      <t>两个引擎的矩阵模式。三驾马车：优谈大姨妈、优谈宝宝、优谈心理，对应服务闺蜜们成长、成家、成熟三个生命转折关键期；两个引擎：人鱼线瘦身、闺蜜联盟，在女性与母婴垂直行业处于领先地位。通过矩阵式的布局，形成了坚实的用户、市场、渠道、资本平台壁垒。</t>
    </r>
  </si>
  <si>
    <t>上海禹容网络科技有限公司</t>
  </si>
  <si>
    <t>http://www.utan.com</t>
  </si>
  <si>
    <t>2010-02</t>
  </si>
  <si>
    <r>
      <rPr>
        <sz val="9"/>
        <color rgb="FF000000"/>
        <rFont val="Arial"/>
        <charset val="134"/>
      </rPr>
      <t>KTB</t>
    </r>
    <r>
      <rPr>
        <sz val="9"/>
        <color rgb="FF000000"/>
        <rFont val="楷体"/>
        <charset val="134"/>
      </rPr>
      <t>投资集团</t>
    </r>
  </si>
  <si>
    <r>
      <rPr>
        <sz val="9"/>
        <color rgb="FF000000"/>
        <rFont val="Arial"/>
        <charset val="134"/>
      </rPr>
      <t>2.55</t>
    </r>
    <r>
      <rPr>
        <sz val="9"/>
        <color rgb="FF000000"/>
        <rFont val="楷体"/>
        <charset val="134"/>
      </rPr>
      <t>亿</t>
    </r>
  </si>
  <si>
    <r>
      <rPr>
        <sz val="9"/>
        <color rgb="FF000000"/>
        <rFont val="楷体"/>
        <charset val="134"/>
      </rPr>
      <t>李瑜</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陈曜</t>
    </r>
    <r>
      <rPr>
        <sz val="9"/>
        <color rgb="FF000000"/>
        <rFont val="Arial"/>
        <charset val="134"/>
      </rPr>
      <t>:</t>
    </r>
    <r>
      <rPr>
        <sz val="9"/>
        <color rgb="FF000000"/>
        <rFont val="楷体"/>
        <charset val="134"/>
      </rPr>
      <t>联合创始人</t>
    </r>
  </si>
  <si>
    <t>0215-080-8522</t>
  </si>
  <si>
    <t>Overseas#utan.com</t>
  </si>
  <si>
    <t>蓝驰创投</t>
  </si>
  <si>
    <t>2019-10-11</t>
  </si>
  <si>
    <t>车来了</t>
  </si>
  <si>
    <t>车来了是一款可以查询公交到站的手机应用，隶属于武汉元光科技有限公司。</t>
  </si>
  <si>
    <t>武汉元光科技有限公司</t>
  </si>
  <si>
    <t>http://www.chelaile.net.cn/</t>
  </si>
  <si>
    <t>活水资本</t>
  </si>
  <si>
    <r>
      <rPr>
        <sz val="9"/>
        <color rgb="FF000000"/>
        <rFont val="Arial"/>
        <charset val="134"/>
      </rPr>
      <t>5.23</t>
    </r>
    <r>
      <rPr>
        <sz val="9"/>
        <color rgb="FF000000"/>
        <rFont val="楷体"/>
        <charset val="134"/>
      </rPr>
      <t>亿</t>
    </r>
  </si>
  <si>
    <r>
      <rPr>
        <sz val="9"/>
        <color rgb="FF000000"/>
        <rFont val="楷体"/>
        <charset val="134"/>
      </rPr>
      <t>邵凌霜</t>
    </r>
    <r>
      <rPr>
        <sz val="9"/>
        <color rgb="FF000000"/>
        <rFont val="Arial"/>
        <charset val="134"/>
      </rPr>
      <t>:</t>
    </r>
    <r>
      <rPr>
        <sz val="9"/>
        <color rgb="FF000000"/>
        <rFont val="楷体"/>
        <charset val="134"/>
      </rPr>
      <t>创始人</t>
    </r>
    <r>
      <rPr>
        <sz val="9"/>
        <color rgb="FF000000"/>
        <rFont val="Arial"/>
        <charset val="134"/>
      </rPr>
      <t>,Simon:</t>
    </r>
    <r>
      <rPr>
        <sz val="9"/>
        <color rgb="FF000000"/>
        <rFont val="楷体"/>
        <charset val="134"/>
      </rPr>
      <t>联合创始人</t>
    </r>
  </si>
  <si>
    <r>
      <rPr>
        <sz val="9"/>
        <color rgb="FF000000"/>
        <rFont val="楷体"/>
        <charset val="134"/>
      </rPr>
      <t>武汉市洪山区光谷软件园</t>
    </r>
    <r>
      <rPr>
        <sz val="9"/>
        <color rgb="FF000000"/>
        <rFont val="Arial"/>
        <charset val="134"/>
      </rPr>
      <t>F1</t>
    </r>
    <r>
      <rPr>
        <sz val="9"/>
        <color rgb="FF000000"/>
        <rFont val="楷体"/>
        <charset val="134"/>
      </rPr>
      <t>栋</t>
    </r>
    <r>
      <rPr>
        <sz val="9"/>
        <color rgb="FF000000"/>
        <rFont val="Arial"/>
        <charset val="134"/>
      </rPr>
      <t>18</t>
    </r>
    <r>
      <rPr>
        <sz val="9"/>
        <color rgb="FF000000"/>
        <rFont val="楷体"/>
        <charset val="134"/>
      </rPr>
      <t>楼</t>
    </r>
  </si>
  <si>
    <t>弘道资本</t>
  </si>
  <si>
    <r>
      <rPr>
        <sz val="9"/>
        <color rgb="FF000000"/>
        <rFont val="楷体"/>
        <charset val="134"/>
      </rPr>
      <t>宽带资本</t>
    </r>
    <r>
      <rPr>
        <sz val="9"/>
        <color rgb="FF000000"/>
        <rFont val="Arial"/>
        <charset val="134"/>
      </rPr>
      <t>CBC,</t>
    </r>
    <r>
      <rPr>
        <sz val="9"/>
        <color rgb="FF000000"/>
        <rFont val="楷体"/>
        <charset val="134"/>
      </rPr>
      <t>阿里巴巴</t>
    </r>
  </si>
  <si>
    <r>
      <rPr>
        <sz val="9"/>
        <color rgb="FF000000"/>
        <rFont val="楷体"/>
        <charset val="134"/>
      </rPr>
      <t>阿里巴巴</t>
    </r>
    <r>
      <rPr>
        <sz val="9"/>
        <color rgb="FF000000"/>
        <rFont val="Arial"/>
        <charset val="134"/>
      </rPr>
      <t>,</t>
    </r>
    <r>
      <rPr>
        <sz val="9"/>
        <color rgb="FF000000"/>
        <rFont val="楷体"/>
        <charset val="134"/>
      </rPr>
      <t>飞马基金</t>
    </r>
    <r>
      <rPr>
        <sz val="9"/>
        <color rgb="FF000000"/>
        <rFont val="Arial"/>
        <charset val="134"/>
      </rPr>
      <t>-</t>
    </r>
    <r>
      <rPr>
        <sz val="9"/>
        <color rgb="FF000000"/>
        <rFont val="楷体"/>
        <charset val="134"/>
      </rPr>
      <t>飞马旅</t>
    </r>
  </si>
  <si>
    <r>
      <rPr>
        <sz val="9"/>
        <color rgb="FF000000"/>
        <rFont val="楷体"/>
        <charset val="134"/>
      </rPr>
      <t>真格基金</t>
    </r>
    <r>
      <rPr>
        <sz val="9"/>
        <color rgb="FF000000"/>
        <rFont val="Arial"/>
        <charset val="134"/>
      </rPr>
      <t>,</t>
    </r>
    <r>
      <rPr>
        <sz val="9"/>
        <color rgb="FF000000"/>
        <rFont val="楷体"/>
        <charset val="134"/>
      </rPr>
      <t>雷军</t>
    </r>
    <r>
      <rPr>
        <sz val="9"/>
        <color rgb="FF000000"/>
        <rFont val="Arial"/>
        <charset val="134"/>
      </rPr>
      <t>-</t>
    </r>
    <r>
      <rPr>
        <sz val="9"/>
        <color rgb="FF000000"/>
        <rFont val="楷体"/>
        <charset val="134"/>
      </rPr>
      <t>顺为创业</t>
    </r>
  </si>
  <si>
    <t>2016-05-23</t>
  </si>
  <si>
    <t>墨迹天气</t>
  </si>
  <si>
    <r>
      <rPr>
        <sz val="9"/>
        <color rgb="FF000000"/>
        <rFont val="楷体"/>
        <charset val="134"/>
      </rPr>
      <t>墨迹天气是一款天气信息查询软件，支持</t>
    </r>
    <r>
      <rPr>
        <sz val="9"/>
        <color rgb="FF000000"/>
        <rFont val="Arial"/>
        <charset val="134"/>
      </rPr>
      <t>196</t>
    </r>
    <r>
      <rPr>
        <sz val="9"/>
        <color rgb="FF000000"/>
        <rFont val="楷体"/>
        <charset val="134"/>
      </rPr>
      <t>个国家</t>
    </r>
    <r>
      <rPr>
        <sz val="9"/>
        <color rgb="FF000000"/>
        <rFont val="Arial"/>
        <charset val="134"/>
      </rPr>
      <t>70</t>
    </r>
    <r>
      <rPr>
        <sz val="9"/>
        <color rgb="FF000000"/>
        <rFont val="楷体"/>
        <charset val="134"/>
      </rPr>
      <t>多万个城市及地区的天气查询，精准定位及时推送，分钟级、公里级天气预报，实时监测阴晴雨雪。提供</t>
    </r>
    <r>
      <rPr>
        <sz val="9"/>
        <color rgb="FF000000"/>
        <rFont val="Arial"/>
        <charset val="134"/>
      </rPr>
      <t>15</t>
    </r>
    <r>
      <rPr>
        <sz val="9"/>
        <color rgb="FF000000"/>
        <rFont val="楷体"/>
        <charset val="134"/>
      </rPr>
      <t>天天气预报，</t>
    </r>
    <r>
      <rPr>
        <sz val="9"/>
        <color rgb="FF000000"/>
        <rFont val="Arial"/>
        <charset val="134"/>
      </rPr>
      <t>5</t>
    </r>
    <r>
      <rPr>
        <sz val="9"/>
        <color rgb="FF000000"/>
        <rFont val="楷体"/>
        <charset val="134"/>
      </rPr>
      <t>天空气质量预报，实时空气质量及空气质量等级预报。特殊天气提前发送预警信息，帮助用户更好做出生活决策，从容应对各类天气状况。</t>
    </r>
  </si>
  <si>
    <t>北京墨迹风云科技股份有限公司</t>
  </si>
  <si>
    <t>http://moji.com</t>
  </si>
  <si>
    <t>实用生活服务</t>
  </si>
  <si>
    <r>
      <rPr>
        <sz val="9"/>
        <color rgb="FF000000"/>
        <rFont val="楷体"/>
        <charset val="134"/>
      </rPr>
      <t>险峰</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新浪</t>
    </r>
  </si>
  <si>
    <r>
      <rPr>
        <sz val="9"/>
        <color rgb="FF000000"/>
        <rFont val="Arial"/>
        <charset val="134"/>
      </rPr>
      <t>3.96</t>
    </r>
    <r>
      <rPr>
        <sz val="9"/>
        <color rgb="FF000000"/>
        <rFont val="楷体"/>
        <charset val="134"/>
      </rPr>
      <t>亿</t>
    </r>
  </si>
  <si>
    <r>
      <rPr>
        <sz val="9"/>
        <color rgb="FF000000"/>
        <rFont val="Arial"/>
        <charset val="134"/>
      </rPr>
      <t>13.5</t>
    </r>
    <r>
      <rPr>
        <sz val="9"/>
        <color rgb="FF000000"/>
        <rFont val="楷体"/>
        <charset val="134"/>
      </rPr>
      <t>亿元</t>
    </r>
  </si>
  <si>
    <r>
      <rPr>
        <sz val="9"/>
        <color rgb="FF000000"/>
        <rFont val="楷体"/>
        <charset val="134"/>
      </rPr>
      <t>金犁</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赵东</t>
    </r>
    <r>
      <rPr>
        <sz val="9"/>
        <color rgb="FF000000"/>
        <rFont val="Arial"/>
        <charset val="134"/>
      </rPr>
      <t>:CTO</t>
    </r>
  </si>
  <si>
    <r>
      <rPr>
        <sz val="9"/>
        <color rgb="FF000000"/>
        <rFont val="楷体"/>
        <charset val="134"/>
      </rPr>
      <t>北京市朝阳区酒仙桥路</t>
    </r>
    <r>
      <rPr>
        <sz val="9"/>
        <color rgb="FF000000"/>
        <rFont val="Arial"/>
        <charset val="134"/>
      </rPr>
      <t>14</t>
    </r>
    <r>
      <rPr>
        <sz val="9"/>
        <color rgb="FF000000"/>
        <rFont val="楷体"/>
        <charset val="134"/>
      </rPr>
      <t>号兆维华灯大厦</t>
    </r>
    <r>
      <rPr>
        <sz val="9"/>
        <color rgb="FF000000"/>
        <rFont val="Arial"/>
        <charset val="134"/>
      </rPr>
      <t>A1</t>
    </r>
    <r>
      <rPr>
        <sz val="9"/>
        <color rgb="FF000000"/>
        <rFont val="楷体"/>
        <charset val="134"/>
      </rPr>
      <t>区</t>
    </r>
    <r>
      <rPr>
        <sz val="9"/>
        <color rgb="FF000000"/>
        <rFont val="Arial"/>
        <charset val="134"/>
      </rPr>
      <t>3</t>
    </r>
    <r>
      <rPr>
        <sz val="9"/>
        <color rgb="FF000000"/>
        <rFont val="楷体"/>
        <charset val="134"/>
      </rPr>
      <t>门</t>
    </r>
    <r>
      <rPr>
        <sz val="9"/>
        <color rgb="FF000000"/>
        <rFont val="Arial"/>
        <charset val="134"/>
      </rPr>
      <t>A216</t>
    </r>
  </si>
  <si>
    <t>400-880-0599</t>
  </si>
  <si>
    <t>合力投资</t>
  </si>
  <si>
    <t>险峰</t>
  </si>
  <si>
    <t>2011-09-01</t>
  </si>
  <si>
    <t>购物助手</t>
  </si>
  <si>
    <r>
      <rPr>
        <sz val="9"/>
        <color rgb="FF000000"/>
        <rFont val="楷体"/>
        <charset val="134"/>
      </rPr>
      <t>彬祺软件专门从事购物搜索、比价、同款和推荐等方面的产品设计和开发，主要产品为购物助手系列（浏览器插件、</t>
    </r>
    <r>
      <rPr>
        <sz val="9"/>
        <color rgb="FF000000"/>
        <rFont val="Arial"/>
        <charset val="134"/>
      </rPr>
      <t>Android</t>
    </r>
    <r>
      <rPr>
        <sz val="9"/>
        <color rgb="FF000000"/>
        <rFont val="楷体"/>
        <charset val="134"/>
      </rPr>
      <t>应用等），是国内最知名的购物类浏览器应用。购物助手于</t>
    </r>
    <r>
      <rPr>
        <sz val="9"/>
        <color rgb="FF000000"/>
        <rFont val="Arial"/>
        <charset val="134"/>
      </rPr>
      <t>2011</t>
    </r>
    <r>
      <rPr>
        <sz val="9"/>
        <color rgb="FF000000"/>
        <rFont val="楷体"/>
        <charset val="134"/>
      </rPr>
      <t>年被淘宝收购，更名为</t>
    </r>
    <r>
      <rPr>
        <sz val="9"/>
        <color rgb="FF000000"/>
        <rFont val="Arial"/>
        <charset val="134"/>
      </rPr>
      <t>“</t>
    </r>
    <r>
      <rPr>
        <sz val="9"/>
        <color rgb="FF000000"/>
        <rFont val="楷体"/>
        <charset val="134"/>
      </rPr>
      <t>如意淘</t>
    </r>
    <r>
      <rPr>
        <sz val="9"/>
        <color rgb="FF000000"/>
        <rFont val="Arial"/>
        <charset val="134"/>
      </rPr>
      <t>”</t>
    </r>
    <r>
      <rPr>
        <sz val="9"/>
        <color rgb="FF000000"/>
        <rFont val="楷体"/>
        <charset val="134"/>
      </rPr>
      <t>。</t>
    </r>
  </si>
  <si>
    <t>北京彬祺软件技术有限责任公司</t>
  </si>
  <si>
    <t>2011-02</t>
  </si>
  <si>
    <r>
      <rPr>
        <sz val="9"/>
        <color rgb="FF000000"/>
        <rFont val="楷体"/>
        <charset val="134"/>
      </rPr>
      <t>王杰祺</t>
    </r>
    <r>
      <rPr>
        <sz val="9"/>
        <color rgb="FF000000"/>
        <rFont val="Arial"/>
        <charset val="134"/>
      </rPr>
      <t>:CEO,</t>
    </r>
    <r>
      <rPr>
        <sz val="9"/>
        <color rgb="FF000000"/>
        <rFont val="楷体"/>
        <charset val="134"/>
      </rPr>
      <t>叶文彬</t>
    </r>
    <r>
      <rPr>
        <sz val="9"/>
        <color rgb="FF000000"/>
        <rFont val="Arial"/>
        <charset val="134"/>
      </rPr>
      <t>:</t>
    </r>
    <r>
      <rPr>
        <sz val="9"/>
        <color rgb="FF000000"/>
        <rFont val="楷体"/>
        <charset val="134"/>
      </rPr>
      <t>联合创始人</t>
    </r>
  </si>
  <si>
    <t>2019-06-28</t>
  </si>
  <si>
    <t>百程旅行</t>
  </si>
  <si>
    <r>
      <rPr>
        <sz val="9"/>
        <color rgb="FF000000"/>
        <rFont val="楷体"/>
        <charset val="134"/>
      </rPr>
      <t>百程旅行（此前叫</t>
    </r>
    <r>
      <rPr>
        <sz val="9"/>
        <color rgb="FF000000"/>
        <rFont val="Arial"/>
        <charset val="134"/>
      </rPr>
      <t xml:space="preserve"> </t>
    </r>
    <r>
      <rPr>
        <sz val="9"/>
        <color rgb="FF000000"/>
        <rFont val="楷体"/>
        <charset val="134"/>
      </rPr>
      <t>佰程旅行网）是一个主打</t>
    </r>
    <r>
      <rPr>
        <sz val="9"/>
        <color rgb="FF000000"/>
        <rFont val="Arial"/>
        <charset val="134"/>
      </rPr>
      <t>O2O</t>
    </r>
    <r>
      <rPr>
        <sz val="9"/>
        <color rgb="FF000000"/>
        <rFont val="楷体"/>
        <charset val="134"/>
      </rPr>
      <t>的出境游服务商，提供签证代理、专属定制、自由行、主题团组、境外酒店、国际机票、国际单项、企业国际商旅服务等，隶属于北京百程国际旅游股份有限公司。</t>
    </r>
  </si>
  <si>
    <t>北京百程国际旅游股份有限公司</t>
  </si>
  <si>
    <t>http://www.baicheng.com/</t>
  </si>
  <si>
    <t>2000-08</t>
  </si>
  <si>
    <r>
      <rPr>
        <sz val="9"/>
        <color rgb="FF000000"/>
        <rFont val="Arial"/>
        <charset val="134"/>
      </rPr>
      <t>5.98</t>
    </r>
    <r>
      <rPr>
        <sz val="9"/>
        <color rgb="FF000000"/>
        <rFont val="楷体"/>
        <charset val="134"/>
      </rPr>
      <t>亿</t>
    </r>
  </si>
  <si>
    <r>
      <rPr>
        <sz val="9"/>
        <color rgb="FF000000"/>
        <rFont val="楷体"/>
        <charset val="134"/>
      </rPr>
      <t>曾松</t>
    </r>
    <r>
      <rPr>
        <sz val="9"/>
        <color rgb="FF000000"/>
        <rFont val="Arial"/>
        <charset val="134"/>
      </rPr>
      <t>:CEO,</t>
    </r>
    <r>
      <rPr>
        <sz val="9"/>
        <color rgb="FF000000"/>
        <rFont val="楷体"/>
        <charset val="134"/>
      </rPr>
      <t>段冬东</t>
    </r>
    <r>
      <rPr>
        <sz val="9"/>
        <color rgb="FF000000"/>
        <rFont val="Arial"/>
        <charset val="134"/>
      </rPr>
      <t>:COO,</t>
    </r>
    <r>
      <rPr>
        <sz val="9"/>
        <color rgb="FF000000"/>
        <rFont val="楷体"/>
        <charset val="134"/>
      </rPr>
      <t>王卿耀</t>
    </r>
    <r>
      <rPr>
        <sz val="9"/>
        <color rgb="FF000000"/>
        <rFont val="Arial"/>
        <charset val="134"/>
      </rPr>
      <t>:CIO</t>
    </r>
  </si>
  <si>
    <r>
      <rPr>
        <sz val="9"/>
        <color rgb="FF000000"/>
        <rFont val="楷体"/>
        <charset val="134"/>
      </rPr>
      <t>和光资本</t>
    </r>
    <r>
      <rPr>
        <sz val="9"/>
        <color rgb="FF000000"/>
        <rFont val="Arial"/>
        <charset val="134"/>
      </rPr>
      <t>,</t>
    </r>
    <r>
      <rPr>
        <sz val="9"/>
        <color rgb="FF000000"/>
        <rFont val="楷体"/>
        <charset val="134"/>
      </rPr>
      <t>千合资本</t>
    </r>
    <r>
      <rPr>
        <sz val="9"/>
        <color rgb="FF000000"/>
        <rFont val="Arial"/>
        <charset val="134"/>
      </rPr>
      <t>,</t>
    </r>
    <r>
      <rPr>
        <sz val="9"/>
        <color rgb="FF000000"/>
        <rFont val="楷体"/>
        <charset val="134"/>
      </rPr>
      <t>点睛战略基金</t>
    </r>
    <r>
      <rPr>
        <sz val="9"/>
        <color rgb="FF000000"/>
        <rFont val="Arial"/>
        <charset val="134"/>
      </rPr>
      <t>,</t>
    </r>
    <r>
      <rPr>
        <sz val="9"/>
        <color rgb="FF000000"/>
        <rFont val="楷体"/>
        <charset val="134"/>
      </rPr>
      <t>博雅资本</t>
    </r>
    <r>
      <rPr>
        <sz val="9"/>
        <color rgb="FF000000"/>
        <rFont val="Arial"/>
        <charset val="134"/>
      </rPr>
      <t>,</t>
    </r>
    <r>
      <rPr>
        <sz val="9"/>
        <color rgb="FF000000"/>
        <rFont val="楷体"/>
        <charset val="134"/>
      </rPr>
      <t>飞猪资本</t>
    </r>
  </si>
  <si>
    <t>泰山天使</t>
  </si>
  <si>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银瑞达</t>
    </r>
    <r>
      <rPr>
        <sz val="9"/>
        <color rgb="FF000000"/>
        <rFont val="Arial"/>
        <charset val="134"/>
      </rPr>
      <t>Investor AB</t>
    </r>
  </si>
  <si>
    <t>2017-01-23</t>
  </si>
  <si>
    <t>魅力惠</t>
  </si>
  <si>
    <r>
      <rPr>
        <sz val="9"/>
        <color rgb="FF000000"/>
        <rFont val="楷体"/>
        <charset val="134"/>
      </rPr>
      <t>魅力惠是一个会员邀请制的在线购物社区，每天都会推出一个或多个以某品牌为主题，乐趣横生的限时抢购活动。活动中销售的商品价格仅为其市场价格的</t>
    </r>
    <r>
      <rPr>
        <sz val="9"/>
        <color rgb="FF000000"/>
        <rFont val="Arial"/>
        <charset val="134"/>
      </rPr>
      <t>3</t>
    </r>
    <r>
      <rPr>
        <sz val="9"/>
        <color rgb="FF000000"/>
        <rFont val="楷体"/>
        <charset val="134"/>
      </rPr>
      <t>至</t>
    </r>
    <r>
      <rPr>
        <sz val="9"/>
        <color rgb="FF000000"/>
        <rFont val="Arial"/>
        <charset val="134"/>
      </rPr>
      <t>7</t>
    </r>
    <r>
      <rPr>
        <sz val="9"/>
        <color rgb="FF000000"/>
        <rFont val="楷体"/>
        <charset val="134"/>
      </rPr>
      <t>折。魅惠所贸易（上海）有限公司旗下网站。</t>
    </r>
  </si>
  <si>
    <t>杭州魅俪信息技术有限公司</t>
  </si>
  <si>
    <t>http://www.mei.com/</t>
  </si>
  <si>
    <t>奢侈品</t>
  </si>
  <si>
    <r>
      <rPr>
        <sz val="9"/>
        <color rgb="FF000000"/>
        <rFont val="Arial"/>
        <charset val="134"/>
      </rPr>
      <t>10.27</t>
    </r>
    <r>
      <rPr>
        <sz val="9"/>
        <color rgb="FF000000"/>
        <rFont val="楷体"/>
        <charset val="134"/>
      </rPr>
      <t>亿</t>
    </r>
  </si>
  <si>
    <r>
      <rPr>
        <sz val="9"/>
        <color rgb="FF000000"/>
        <rFont val="楷体"/>
        <charset val="134"/>
      </rPr>
      <t>韦奕博</t>
    </r>
    <r>
      <rPr>
        <sz val="9"/>
        <color rgb="FF000000"/>
        <rFont val="Arial"/>
        <charset val="134"/>
      </rPr>
      <t>:CEO,</t>
    </r>
    <r>
      <rPr>
        <sz val="9"/>
        <color rgb="FF000000"/>
        <rFont val="楷体"/>
        <charset val="134"/>
      </rPr>
      <t>史习羽</t>
    </r>
    <r>
      <rPr>
        <sz val="9"/>
        <color rgb="FF000000"/>
        <rFont val="Arial"/>
        <charset val="134"/>
      </rPr>
      <t>:</t>
    </r>
    <r>
      <rPr>
        <sz val="9"/>
        <color rgb="FF000000"/>
        <rFont val="楷体"/>
        <charset val="134"/>
      </rPr>
      <t>总裁</t>
    </r>
  </si>
  <si>
    <r>
      <rPr>
        <sz val="9"/>
        <color rgb="FF000000"/>
        <rFont val="楷体"/>
        <charset val="134"/>
      </rPr>
      <t>滨江区网商路</t>
    </r>
    <r>
      <rPr>
        <sz val="9"/>
        <color rgb="FF000000"/>
        <rFont val="Arial"/>
        <charset val="134"/>
      </rPr>
      <t>699</t>
    </r>
    <r>
      <rPr>
        <sz val="9"/>
        <color rgb="FF000000"/>
        <rFont val="楷体"/>
        <charset val="134"/>
      </rPr>
      <t>号</t>
    </r>
    <r>
      <rPr>
        <sz val="9"/>
        <color rgb="FF000000"/>
        <rFont val="Arial"/>
        <charset val="134"/>
      </rPr>
      <t>6</t>
    </r>
    <r>
      <rPr>
        <sz val="9"/>
        <color rgb="FF000000"/>
        <rFont val="楷体"/>
        <charset val="134"/>
      </rPr>
      <t>号楼</t>
    </r>
    <r>
      <rPr>
        <sz val="9"/>
        <color rgb="FF000000"/>
        <rFont val="Arial"/>
        <charset val="134"/>
      </rPr>
      <t>4</t>
    </r>
    <r>
      <rPr>
        <sz val="9"/>
        <color rgb="FF000000"/>
        <rFont val="楷体"/>
        <charset val="134"/>
      </rPr>
      <t>楼</t>
    </r>
  </si>
  <si>
    <t xml:space="preserve">0571-85022088 </t>
  </si>
  <si>
    <t>sophy.ly@alibaba-inc.com</t>
  </si>
  <si>
    <r>
      <rPr>
        <sz val="9"/>
        <color rgb="FF000000"/>
        <rFont val="Arial"/>
        <charset val="134"/>
      </rPr>
      <t>2800</t>
    </r>
    <r>
      <rPr>
        <sz val="9"/>
        <color rgb="FF000000"/>
        <rFont val="楷体"/>
        <charset val="134"/>
      </rPr>
      <t>万美元</t>
    </r>
  </si>
  <si>
    <r>
      <rPr>
        <sz val="9"/>
        <color rgb="FF000000"/>
        <rFont val="楷体"/>
        <charset val="134"/>
      </rPr>
      <t>嘉御资本</t>
    </r>
    <r>
      <rPr>
        <sz val="9"/>
        <color rgb="FF000000"/>
        <rFont val="Arial"/>
        <charset val="134"/>
      </rPr>
      <t>,</t>
    </r>
    <r>
      <rPr>
        <sz val="9"/>
        <color rgb="FF000000"/>
        <rFont val="楷体"/>
        <charset val="134"/>
      </rPr>
      <t>尼曼玛戈集团</t>
    </r>
  </si>
  <si>
    <t>三井物产环球投资</t>
  </si>
  <si>
    <t>2013-01-01</t>
  </si>
  <si>
    <t>虾米音乐</t>
  </si>
  <si>
    <r>
      <rPr>
        <sz val="9"/>
        <color rgb="FF000000"/>
        <rFont val="楷体"/>
        <charset val="134"/>
      </rPr>
      <t>虾米音乐是一款提供各类音乐的音频资源聚合平台，用户可以在平台上查找、收听自己喜欢的音乐内容，对于自己喜欢的音乐，也可以进行转载。此外，平台还提供将音乐设置成手机铃声、音乐电台收听等服务。</t>
    </r>
    <r>
      <rPr>
        <sz val="9"/>
        <color rgb="FF000000"/>
        <rFont val="Arial"/>
        <charset val="134"/>
      </rPr>
      <t>2013</t>
    </r>
    <r>
      <rPr>
        <sz val="9"/>
        <color rgb="FF000000"/>
        <rFont val="楷体"/>
        <charset val="134"/>
      </rPr>
      <t>年被阿里巴巴收购。</t>
    </r>
  </si>
  <si>
    <t>阿里巴巴（杭州）文化创意有限公司</t>
  </si>
  <si>
    <t>http://www.xiami.com</t>
  </si>
  <si>
    <r>
      <rPr>
        <sz val="9"/>
        <color rgb="FF000000"/>
        <rFont val="Arial"/>
        <charset val="134"/>
      </rPr>
      <t>8000</t>
    </r>
    <r>
      <rPr>
        <sz val="9"/>
        <color rgb="FF000000"/>
        <rFont val="楷体"/>
        <charset val="134"/>
      </rPr>
      <t>万人民币</t>
    </r>
  </si>
  <si>
    <r>
      <rPr>
        <sz val="9"/>
        <color rgb="FF000000"/>
        <rFont val="Arial"/>
        <charset val="134"/>
      </rPr>
      <t>1.16</t>
    </r>
    <r>
      <rPr>
        <sz val="9"/>
        <color rgb="FF000000"/>
        <rFont val="楷体"/>
        <charset val="134"/>
      </rPr>
      <t>亿</t>
    </r>
  </si>
  <si>
    <r>
      <rPr>
        <sz val="9"/>
        <color rgb="FF000000"/>
        <rFont val="Arial"/>
        <charset val="134"/>
      </rPr>
      <t>4</t>
    </r>
    <r>
      <rPr>
        <sz val="9"/>
        <color rgb="FF000000"/>
        <rFont val="楷体"/>
        <charset val="134"/>
      </rPr>
      <t>亿元</t>
    </r>
  </si>
  <si>
    <r>
      <rPr>
        <sz val="9"/>
        <color rgb="FF000000"/>
        <rFont val="楷体"/>
        <charset val="134"/>
      </rPr>
      <t>王皓</t>
    </r>
    <r>
      <rPr>
        <sz val="9"/>
        <color rgb="FF000000"/>
        <rFont val="Arial"/>
        <charset val="134"/>
      </rPr>
      <t>:</t>
    </r>
    <r>
      <rPr>
        <sz val="9"/>
        <color rgb="FF000000"/>
        <rFont val="楷体"/>
        <charset val="134"/>
      </rPr>
      <t>创始人</t>
    </r>
  </si>
  <si>
    <r>
      <rPr>
        <sz val="9"/>
        <color rgb="FF000000"/>
        <rFont val="楷体"/>
        <charset val="134"/>
      </rPr>
      <t>杭州市余杭区五常街道文一西路</t>
    </r>
    <r>
      <rPr>
        <sz val="9"/>
        <color rgb="FF000000"/>
        <rFont val="Arial"/>
        <charset val="134"/>
      </rPr>
      <t>969</t>
    </r>
    <r>
      <rPr>
        <sz val="9"/>
        <color rgb="FF000000"/>
        <rFont val="楷体"/>
        <charset val="134"/>
      </rPr>
      <t>号</t>
    </r>
  </si>
  <si>
    <t>xiamimusic_marketing@service.alibaba.com</t>
  </si>
  <si>
    <t>深创投</t>
  </si>
  <si>
    <t>2021-06-15</t>
  </si>
  <si>
    <t>众信旅游</t>
  </si>
  <si>
    <t>众信旅游是一个出境旅游综合服务平台，以出境旅游产品的批发、零售以及商务会奖旅游为主要业务，并且还为旅游者提供团队游、自由行、酒店预订、签证服务、会员服务等一站式的旅游服务，业务覆盖欧洲、日本、东南亚、美洲、中东等地区。</t>
  </si>
  <si>
    <t>众信旅游集团股份有限公司</t>
  </si>
  <si>
    <t>1992-08</t>
  </si>
  <si>
    <t>旅游综合服务</t>
  </si>
  <si>
    <r>
      <rPr>
        <sz val="9"/>
        <color rgb="FF000000"/>
        <rFont val="Arial"/>
        <charset val="134"/>
      </rPr>
      <t>62.44</t>
    </r>
    <r>
      <rPr>
        <sz val="9"/>
        <color rgb="FF000000"/>
        <rFont val="楷体"/>
        <charset val="134"/>
      </rPr>
      <t>亿人民币</t>
    </r>
  </si>
  <si>
    <t>凯撒旅游</t>
  </si>
  <si>
    <r>
      <rPr>
        <sz val="9"/>
        <color rgb="FF000000"/>
        <rFont val="Arial"/>
        <charset val="134"/>
      </rPr>
      <t>73.64</t>
    </r>
    <r>
      <rPr>
        <sz val="9"/>
        <color rgb="FF000000"/>
        <rFont val="楷体"/>
        <charset val="134"/>
      </rPr>
      <t>亿</t>
    </r>
  </si>
  <si>
    <r>
      <rPr>
        <sz val="9"/>
        <color rgb="FF000000"/>
        <rFont val="Arial"/>
        <charset val="134"/>
      </rPr>
      <t>312.2</t>
    </r>
    <r>
      <rPr>
        <sz val="9"/>
        <color rgb="FF000000"/>
        <rFont val="楷体"/>
        <charset val="134"/>
      </rPr>
      <t>亿元</t>
    </r>
  </si>
  <si>
    <r>
      <rPr>
        <sz val="9"/>
        <color rgb="FF000000"/>
        <rFont val="楷体"/>
        <charset val="134"/>
      </rPr>
      <t>冯彬</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冯滨</t>
    </r>
    <r>
      <rPr>
        <sz val="9"/>
        <color rgb="FF000000"/>
        <rFont val="Arial"/>
        <charset val="134"/>
      </rPr>
      <t>:</t>
    </r>
    <r>
      <rPr>
        <sz val="9"/>
        <color rgb="FF000000"/>
        <rFont val="楷体"/>
        <charset val="134"/>
      </rPr>
      <t>董事长</t>
    </r>
  </si>
  <si>
    <r>
      <rPr>
        <sz val="9"/>
        <color rgb="FF000000"/>
        <rFont val="楷体"/>
        <charset val="134"/>
      </rPr>
      <t>北京市朝阳区朝阳公园路</t>
    </r>
    <r>
      <rPr>
        <sz val="9"/>
        <color rgb="FF000000"/>
        <rFont val="Arial"/>
        <charset val="134"/>
      </rPr>
      <t>8</t>
    </r>
    <r>
      <rPr>
        <sz val="9"/>
        <color rgb="FF000000"/>
        <rFont val="楷体"/>
        <charset val="134"/>
      </rPr>
      <t>号西</t>
    </r>
    <r>
      <rPr>
        <sz val="9"/>
        <color rgb="FF000000"/>
        <rFont val="Arial"/>
        <charset val="134"/>
      </rPr>
      <t>2</t>
    </r>
    <r>
      <rPr>
        <sz val="9"/>
        <color rgb="FF000000"/>
        <rFont val="楷体"/>
        <charset val="134"/>
      </rPr>
      <t>门</t>
    </r>
    <r>
      <rPr>
        <sz val="9"/>
        <color rgb="FF000000"/>
        <rFont val="Arial"/>
        <charset val="134"/>
      </rPr>
      <t>01</t>
    </r>
    <r>
      <rPr>
        <sz val="9"/>
        <color rgb="FF000000"/>
        <rFont val="楷体"/>
        <charset val="134"/>
      </rPr>
      <t>号</t>
    </r>
  </si>
  <si>
    <t>010-6448-9904</t>
  </si>
  <si>
    <t>luna@utourworld.com</t>
  </si>
  <si>
    <r>
      <rPr>
        <sz val="9"/>
        <color rgb="FF000000"/>
        <rFont val="Arial"/>
        <charset val="134"/>
      </rPr>
      <t>3.85</t>
    </r>
    <r>
      <rPr>
        <sz val="9"/>
        <color rgb="FF000000"/>
        <rFont val="楷体"/>
        <charset val="134"/>
      </rPr>
      <t>亿人民币</t>
    </r>
  </si>
  <si>
    <r>
      <rPr>
        <sz val="9"/>
        <color rgb="FF000000"/>
        <rFont val="Arial"/>
        <charset val="134"/>
      </rPr>
      <t>3.58</t>
    </r>
    <r>
      <rPr>
        <sz val="9"/>
        <color rgb="FF000000"/>
        <rFont val="楷体"/>
        <charset val="134"/>
      </rPr>
      <t>亿人民币</t>
    </r>
  </si>
  <si>
    <r>
      <rPr>
        <sz val="9"/>
        <color rgb="FF000000"/>
        <rFont val="楷体"/>
        <charset val="134"/>
      </rPr>
      <t>紫光集团有限公司</t>
    </r>
    <r>
      <rPr>
        <sz val="9"/>
        <color rgb="FF000000"/>
        <rFont val="Arial"/>
        <charset val="134"/>
      </rPr>
      <t>,</t>
    </r>
    <r>
      <rPr>
        <sz val="9"/>
        <color rgb="FF000000"/>
        <rFont val="楷体"/>
        <charset val="134"/>
      </rPr>
      <t>涌铧投资</t>
    </r>
  </si>
  <si>
    <t>九鼎投资</t>
  </si>
  <si>
    <r>
      <rPr>
        <sz val="9"/>
        <color rgb="FF000000"/>
        <rFont val="Arial"/>
        <charset val="134"/>
      </rPr>
      <t>1650</t>
    </r>
    <r>
      <rPr>
        <sz val="9"/>
        <color rgb="FF000000"/>
        <rFont val="楷体"/>
        <charset val="134"/>
      </rPr>
      <t>万人民币</t>
    </r>
  </si>
  <si>
    <r>
      <rPr>
        <sz val="9"/>
        <color rgb="FF000000"/>
        <rFont val="楷体"/>
        <charset val="134"/>
      </rPr>
      <t>唐古拉投资</t>
    </r>
    <r>
      <rPr>
        <sz val="9"/>
        <color rgb="FF000000"/>
        <rFont val="Arial"/>
        <charset val="134"/>
      </rPr>
      <t>,</t>
    </r>
    <r>
      <rPr>
        <sz val="9"/>
        <color rgb="FF000000"/>
        <rFont val="楷体"/>
        <charset val="134"/>
      </rPr>
      <t>通光集团</t>
    </r>
    <r>
      <rPr>
        <sz val="9"/>
        <color rgb="FF000000"/>
        <rFont val="Arial"/>
        <charset val="134"/>
      </rPr>
      <t>,</t>
    </r>
    <r>
      <rPr>
        <sz val="9"/>
        <color rgb="FF000000"/>
        <rFont val="楷体"/>
        <charset val="134"/>
      </rPr>
      <t>上海智丰</t>
    </r>
  </si>
  <si>
    <t>2015-03-11</t>
  </si>
  <si>
    <t>茵曼INMAN</t>
  </si>
  <si>
    <r>
      <rPr>
        <sz val="9"/>
        <color rgb="FF000000"/>
        <rFont val="楷体"/>
        <charset val="134"/>
      </rPr>
      <t>茵曼</t>
    </r>
    <r>
      <rPr>
        <sz val="9"/>
        <color rgb="FF000000"/>
        <rFont val="Arial"/>
        <charset val="134"/>
      </rPr>
      <t>INMAN</t>
    </r>
  </si>
  <si>
    <r>
      <rPr>
        <sz val="9"/>
        <color rgb="FF000000"/>
        <rFont val="楷体"/>
        <charset val="134"/>
      </rPr>
      <t>茵曼</t>
    </r>
    <r>
      <rPr>
        <sz val="9"/>
        <color rgb="FF000000"/>
        <rFont val="Arial"/>
        <charset val="134"/>
      </rPr>
      <t>INMAN</t>
    </r>
    <r>
      <rPr>
        <sz val="9"/>
        <color rgb="FF000000"/>
        <rFont val="楷体"/>
        <charset val="134"/>
      </rPr>
      <t>是一个主打棉麻生活用品的网络服饰零售品牌，定位为</t>
    </r>
    <r>
      <rPr>
        <sz val="9"/>
        <color rgb="FF000000"/>
        <rFont val="Arial"/>
        <charset val="134"/>
      </rPr>
      <t>“</t>
    </r>
    <r>
      <rPr>
        <sz val="9"/>
        <color rgb="FF000000"/>
        <rFont val="楷体"/>
        <charset val="134"/>
      </rPr>
      <t>棉麻艺术家</t>
    </r>
    <r>
      <rPr>
        <sz val="9"/>
        <color rgb="FF000000"/>
        <rFont val="Arial"/>
        <charset val="134"/>
      </rPr>
      <t>”</t>
    </r>
    <r>
      <rPr>
        <sz val="9"/>
        <color rgb="FF000000"/>
        <rFont val="楷体"/>
        <charset val="134"/>
      </rPr>
      <t>，隶属于广州市汇美时尚集团股份有限公司。</t>
    </r>
  </si>
  <si>
    <t>广州市汇美时尚集团股份有限公司</t>
  </si>
  <si>
    <t>http://www.inman.com.cn/</t>
  </si>
  <si>
    <t>2007-07</t>
  </si>
  <si>
    <t>服装服饰</t>
  </si>
  <si>
    <r>
      <rPr>
        <sz val="9"/>
        <color rgb="FF000000"/>
        <rFont val="Arial"/>
        <charset val="134"/>
      </rPr>
      <t>3.24</t>
    </r>
    <r>
      <rPr>
        <sz val="9"/>
        <color rgb="FF000000"/>
        <rFont val="楷体"/>
        <charset val="134"/>
      </rPr>
      <t>亿人民币</t>
    </r>
  </si>
  <si>
    <t>搜于特服装</t>
  </si>
  <si>
    <r>
      <rPr>
        <sz val="9"/>
        <color rgb="FF000000"/>
        <rFont val="Arial"/>
        <charset val="134"/>
      </rPr>
      <t>5.19</t>
    </r>
    <r>
      <rPr>
        <sz val="9"/>
        <color rgb="FF000000"/>
        <rFont val="楷体"/>
        <charset val="134"/>
      </rPr>
      <t>亿</t>
    </r>
  </si>
  <si>
    <r>
      <rPr>
        <sz val="9"/>
        <color rgb="FF000000"/>
        <rFont val="Arial"/>
        <charset val="134"/>
      </rPr>
      <t>16.2</t>
    </r>
    <r>
      <rPr>
        <sz val="9"/>
        <color rgb="FF000000"/>
        <rFont val="楷体"/>
        <charset val="134"/>
      </rPr>
      <t>亿元</t>
    </r>
  </si>
  <si>
    <r>
      <rPr>
        <sz val="9"/>
        <color rgb="FF000000"/>
        <rFont val="楷体"/>
        <charset val="134"/>
      </rPr>
      <t>方建华</t>
    </r>
    <r>
      <rPr>
        <sz val="9"/>
        <color rgb="FF000000"/>
        <rFont val="Arial"/>
        <charset val="134"/>
      </rPr>
      <t>:</t>
    </r>
    <r>
      <rPr>
        <sz val="9"/>
        <color rgb="FF000000"/>
        <rFont val="楷体"/>
        <charset val="134"/>
      </rPr>
      <t>创始人</t>
    </r>
  </si>
  <si>
    <r>
      <rPr>
        <sz val="9"/>
        <color rgb="FF000000"/>
        <rFont val="楷体"/>
        <charset val="134"/>
      </rPr>
      <t>广州市海珠区工业大道南大干围路</t>
    </r>
    <r>
      <rPr>
        <sz val="9"/>
        <color rgb="FF000000"/>
        <rFont val="Arial"/>
        <charset val="134"/>
      </rPr>
      <t>38</t>
    </r>
    <r>
      <rPr>
        <sz val="9"/>
        <color rgb="FF000000"/>
        <rFont val="楷体"/>
        <charset val="134"/>
      </rPr>
      <t>号南华西第五工业区</t>
    </r>
    <r>
      <rPr>
        <sz val="9"/>
        <color rgb="FF000000"/>
        <rFont val="Arial"/>
        <charset val="134"/>
      </rPr>
      <t>13</t>
    </r>
    <r>
      <rPr>
        <sz val="9"/>
        <color rgb="FF000000"/>
        <rFont val="楷体"/>
        <charset val="134"/>
      </rPr>
      <t>号楼第三层</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</si>
  <si>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阿里巴巴</t>
    </r>
  </si>
  <si>
    <t>2014-04-14</t>
  </si>
  <si>
    <t>高德地图</t>
  </si>
  <si>
    <r>
      <rPr>
        <sz val="9"/>
        <color rgb="FF000000"/>
        <rFont val="楷体"/>
        <charset val="134"/>
      </rPr>
      <t>高德是一家数字地图内容、导航和位置服务解决方案提供商，拥有导航电子地图甲级测绘资质、测绘航空摄影甲级资质和互联网地图服务甲级测绘资质</t>
    </r>
    <r>
      <rPr>
        <sz val="9"/>
        <color rgb="FF000000"/>
        <rFont val="Arial"/>
        <charset val="134"/>
      </rPr>
      <t>“</t>
    </r>
    <r>
      <rPr>
        <sz val="9"/>
        <color rgb="FF000000"/>
        <rFont val="楷体"/>
        <charset val="134"/>
      </rPr>
      <t>三甲</t>
    </r>
    <r>
      <rPr>
        <sz val="9"/>
        <color rgb="FF000000"/>
        <rFont val="Arial"/>
        <charset val="134"/>
      </rPr>
      <t>”</t>
    </r>
    <r>
      <rPr>
        <sz val="9"/>
        <color rgb="FF000000"/>
        <rFont val="楷体"/>
        <charset val="134"/>
      </rPr>
      <t>资质，</t>
    </r>
    <r>
      <rPr>
        <sz val="9"/>
        <color rgb="FF000000"/>
        <rFont val="Arial"/>
        <charset val="134"/>
      </rPr>
      <t>2010</t>
    </r>
    <r>
      <rPr>
        <sz val="9"/>
        <color rgb="FF000000"/>
        <rFont val="楷体"/>
        <charset val="134"/>
      </rPr>
      <t>年纳斯达克上市，</t>
    </r>
    <r>
      <rPr>
        <sz val="9"/>
        <color rgb="FF000000"/>
        <rFont val="Arial"/>
        <charset val="134"/>
      </rPr>
      <t>2014</t>
    </r>
    <r>
      <rPr>
        <sz val="9"/>
        <color rgb="FF000000"/>
        <rFont val="楷体"/>
        <charset val="134"/>
      </rPr>
      <t>年</t>
    </r>
    <r>
      <rPr>
        <sz val="9"/>
        <color rgb="FF000000"/>
        <rFont val="Arial"/>
        <charset val="134"/>
      </rPr>
      <t>2</t>
    </r>
    <r>
      <rPr>
        <sz val="9"/>
        <color rgb="FF000000"/>
        <rFont val="楷体"/>
        <charset val="134"/>
      </rPr>
      <t>月被阿里巴巴收购。</t>
    </r>
  </si>
  <si>
    <t>高德软件有限公司</t>
  </si>
  <si>
    <t>http://www.autonavi.com</t>
  </si>
  <si>
    <t>2002-08</t>
  </si>
  <si>
    <t>位置定位</t>
  </si>
  <si>
    <r>
      <rPr>
        <sz val="9"/>
        <color rgb="FF000000"/>
        <rFont val="Arial"/>
        <charset val="134"/>
      </rPr>
      <t>10.45</t>
    </r>
    <r>
      <rPr>
        <sz val="9"/>
        <color rgb="FF000000"/>
        <rFont val="楷体"/>
        <charset val="134"/>
      </rPr>
      <t>亿美元</t>
    </r>
  </si>
  <si>
    <r>
      <rPr>
        <sz val="9"/>
        <color rgb="FF000000"/>
        <rFont val="Arial"/>
        <charset val="134"/>
      </rPr>
      <t>109.14</t>
    </r>
    <r>
      <rPr>
        <sz val="9"/>
        <color rgb="FF000000"/>
        <rFont val="楷体"/>
        <charset val="134"/>
      </rPr>
      <t>亿</t>
    </r>
  </si>
  <si>
    <r>
      <rPr>
        <sz val="9"/>
        <color rgb="FF000000"/>
        <rFont val="Arial"/>
        <charset val="134"/>
      </rPr>
      <t>339.625</t>
    </r>
    <r>
      <rPr>
        <sz val="9"/>
        <color rgb="FF000000"/>
        <rFont val="楷体"/>
        <charset val="134"/>
      </rPr>
      <t>亿元</t>
    </r>
  </si>
  <si>
    <r>
      <rPr>
        <sz val="9"/>
        <color rgb="FF000000"/>
        <rFont val="楷体"/>
        <charset val="134"/>
      </rPr>
      <t>成从武</t>
    </r>
    <r>
      <rPr>
        <sz val="9"/>
        <color rgb="FF000000"/>
        <rFont val="Arial"/>
        <charset val="134"/>
      </rPr>
      <t>:</t>
    </r>
    <r>
      <rPr>
        <sz val="9"/>
        <color rgb="FF000000"/>
        <rFont val="楷体"/>
        <charset val="134"/>
      </rPr>
      <t>创始人及</t>
    </r>
    <r>
      <rPr>
        <sz val="9"/>
        <color rgb="FF000000"/>
        <rFont val="Arial"/>
        <charset val="134"/>
      </rPr>
      <t>CEO,</t>
    </r>
    <r>
      <rPr>
        <sz val="9"/>
        <color rgb="FF000000"/>
        <rFont val="楷体"/>
        <charset val="134"/>
      </rPr>
      <t>刘振飞</t>
    </r>
    <r>
      <rPr>
        <sz val="9"/>
        <color rgb="FF000000"/>
        <rFont val="Arial"/>
        <charset val="134"/>
      </rPr>
      <t>:</t>
    </r>
    <r>
      <rPr>
        <sz val="9"/>
        <color rgb="FF000000"/>
        <rFont val="楷体"/>
        <charset val="134"/>
      </rPr>
      <t>总裁</t>
    </r>
  </si>
  <si>
    <r>
      <rPr>
        <sz val="9"/>
        <color rgb="FF000000"/>
        <rFont val="楷体"/>
        <charset val="134"/>
      </rPr>
      <t>北京市朝阳区阜荣街</t>
    </r>
    <r>
      <rPr>
        <sz val="9"/>
        <color rgb="FF000000"/>
        <rFont val="Arial"/>
        <charset val="134"/>
      </rPr>
      <t>10</t>
    </r>
    <r>
      <rPr>
        <sz val="9"/>
        <color rgb="FF000000"/>
        <rFont val="楷体"/>
        <charset val="134"/>
      </rPr>
      <t>号首开广场</t>
    </r>
    <r>
      <rPr>
        <sz val="9"/>
        <color rgb="FF000000"/>
        <rFont val="Arial"/>
        <charset val="134"/>
      </rPr>
      <t>467</t>
    </r>
    <r>
      <rPr>
        <sz val="9"/>
        <color rgb="FF000000"/>
        <rFont val="楷体"/>
        <charset val="134"/>
      </rPr>
      <t>室</t>
    </r>
  </si>
  <si>
    <r>
      <rPr>
        <sz val="9"/>
        <color rgb="FF000000"/>
        <rFont val="Arial"/>
        <charset val="134"/>
      </rPr>
      <t>2.94</t>
    </r>
    <r>
      <rPr>
        <sz val="9"/>
        <color rgb="FF000000"/>
        <rFont val="楷体"/>
        <charset val="134"/>
      </rPr>
      <t>亿美元</t>
    </r>
  </si>
  <si>
    <r>
      <rPr>
        <sz val="9"/>
        <color rgb="FF000000"/>
        <rFont val="楷体"/>
        <charset val="134"/>
      </rPr>
      <t>红杉资本中国</t>
    </r>
    <r>
      <rPr>
        <sz val="9"/>
        <color rgb="FF000000"/>
        <rFont val="Arial"/>
        <charset val="134"/>
      </rPr>
      <t>,KPCB</t>
    </r>
    <r>
      <rPr>
        <sz val="9"/>
        <color rgb="FF000000"/>
        <rFont val="楷体"/>
        <charset val="134"/>
      </rPr>
      <t>凯鹏华盈中国</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华登国际</t>
    </r>
    <r>
      <rPr>
        <sz val="9"/>
        <color rgb="FF000000"/>
        <rFont val="Arial"/>
        <charset val="134"/>
      </rPr>
      <t>,</t>
    </r>
    <r>
      <rPr>
        <sz val="9"/>
        <color rgb="FF000000"/>
        <rFont val="楷体"/>
        <charset val="134"/>
      </rPr>
      <t>奥迈资本</t>
    </r>
  </si>
  <si>
    <t>2020-09-29</t>
  </si>
  <si>
    <t>宝尊电商</t>
  </si>
  <si>
    <r>
      <rPr>
        <sz val="9"/>
        <color rgb="FF000000"/>
        <rFont val="楷体"/>
        <charset val="134"/>
      </rPr>
      <t>宝尊电商专注提供以品牌电子商务为核心的一站式商业解决方案，涉及店铺运营、数字营销、</t>
    </r>
    <r>
      <rPr>
        <sz val="9"/>
        <color rgb="FF000000"/>
        <rFont val="Arial"/>
        <charset val="134"/>
      </rPr>
      <t>IT</t>
    </r>
    <r>
      <rPr>
        <sz val="9"/>
        <color rgb="FF000000"/>
        <rFont val="楷体"/>
        <charset val="134"/>
      </rPr>
      <t>解决方案、仓储配送、客户服务等</t>
    </r>
    <r>
      <rPr>
        <sz val="9"/>
        <color rgb="FF000000"/>
        <rFont val="Arial"/>
        <charset val="134"/>
      </rPr>
      <t>5</t>
    </r>
    <r>
      <rPr>
        <sz val="9"/>
        <color rgb="FF000000"/>
        <rFont val="楷体"/>
        <charset val="134"/>
      </rPr>
      <t>大内容。我们的业务覆盖从品牌官方商城，到中国最大的线上购物平台天猫与京东，及社交移动商城，线下智能门店等全渠道的构建。植根于数字世界的商业模式演变，并在供应链各领域深耕细作，为品牌提供定制化解决方案，为消费者打造完美购物体验，构架起品牌与消费者之间的互通桥梁。</t>
    </r>
  </si>
  <si>
    <t>上海宝尊电子商务有限公司</t>
  </si>
  <si>
    <t>http://www.baozun.com</t>
  </si>
  <si>
    <t>2003-11</t>
  </si>
  <si>
    <r>
      <rPr>
        <sz val="9"/>
        <color rgb="FF000000"/>
        <rFont val="Arial"/>
        <charset val="134"/>
      </rPr>
      <t>32.02</t>
    </r>
    <r>
      <rPr>
        <sz val="9"/>
        <color rgb="FF000000"/>
        <rFont val="楷体"/>
        <charset val="134"/>
      </rPr>
      <t>亿港元</t>
    </r>
  </si>
  <si>
    <r>
      <rPr>
        <sz val="9"/>
        <color rgb="FF000000"/>
        <rFont val="Arial"/>
        <charset val="134"/>
      </rPr>
      <t>49.21</t>
    </r>
    <r>
      <rPr>
        <sz val="9"/>
        <color rgb="FF000000"/>
        <rFont val="楷体"/>
        <charset val="134"/>
      </rPr>
      <t>亿</t>
    </r>
  </si>
  <si>
    <r>
      <rPr>
        <sz val="9"/>
        <color rgb="FF000000"/>
        <rFont val="Arial"/>
        <charset val="134"/>
      </rPr>
      <t>160.8</t>
    </r>
    <r>
      <rPr>
        <sz val="9"/>
        <color rgb="FF000000"/>
        <rFont val="楷体"/>
        <charset val="134"/>
      </rPr>
      <t>亿元</t>
    </r>
  </si>
  <si>
    <r>
      <rPr>
        <sz val="9"/>
        <color rgb="FF000000"/>
        <rFont val="楷体"/>
        <charset val="134"/>
      </rPr>
      <t>仇文彬</t>
    </r>
    <r>
      <rPr>
        <sz val="9"/>
        <color rgb="FF000000"/>
        <rFont val="Arial"/>
        <charset val="134"/>
      </rPr>
      <t>:CEO</t>
    </r>
  </si>
  <si>
    <r>
      <rPr>
        <sz val="9"/>
        <color rgb="FF000000"/>
        <rFont val="楷体"/>
        <charset val="134"/>
      </rPr>
      <t>上海市闸北区万荣路</t>
    </r>
    <r>
      <rPr>
        <sz val="9"/>
        <color rgb="FF000000"/>
        <rFont val="Arial"/>
        <charset val="134"/>
      </rPr>
      <t>1188</t>
    </r>
    <r>
      <rPr>
        <sz val="9"/>
        <color rgb="FF000000"/>
        <rFont val="楷体"/>
        <charset val="134"/>
      </rPr>
      <t>弄</t>
    </r>
  </si>
  <si>
    <t>400-666-1000</t>
  </si>
  <si>
    <t>bd@baozun.com</t>
  </si>
  <si>
    <r>
      <rPr>
        <sz val="9"/>
        <color rgb="FF000000"/>
        <rFont val="楷体"/>
        <charset val="134"/>
      </rPr>
      <t>英飞尼迪</t>
    </r>
    <r>
      <rPr>
        <sz val="9"/>
        <color rgb="FF000000"/>
        <rFont val="Arial"/>
        <charset val="134"/>
      </rPr>
      <t>Infinity,</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</si>
  <si>
    <r>
      <rPr>
        <sz val="9"/>
        <color rgb="FF000000"/>
        <rFont val="楷体"/>
        <charset val="134"/>
      </rPr>
      <t>阿里巴巴</t>
    </r>
    <r>
      <rPr>
        <sz val="9"/>
        <color rgb="FF000000"/>
        <rFont val="Arial"/>
        <charset val="134"/>
      </rPr>
      <t>,</t>
    </r>
    <r>
      <rPr>
        <sz val="9"/>
        <color rgb="FF000000"/>
        <rFont val="楷体"/>
        <charset val="134"/>
      </rPr>
      <t>汉理资本</t>
    </r>
    <r>
      <rPr>
        <sz val="9"/>
        <color rgb="FF000000"/>
        <rFont val="Arial"/>
        <charset val="134"/>
      </rPr>
      <t>,</t>
    </r>
    <r>
      <rPr>
        <sz val="9"/>
        <color rgb="FF000000"/>
        <rFont val="楷体"/>
        <charset val="134"/>
      </rPr>
      <t>凯欣亚洲投资</t>
    </r>
    <r>
      <rPr>
        <sz val="9"/>
        <color rgb="FF000000"/>
        <rFont val="Arial"/>
        <charset val="134"/>
      </rPr>
      <t>Crescent Point</t>
    </r>
  </si>
  <si>
    <t>2017-11-14</t>
  </si>
  <si>
    <t>上海庆科MXCHIP</t>
  </si>
  <si>
    <r>
      <rPr>
        <sz val="9"/>
        <color rgb="FF000000"/>
        <rFont val="楷体"/>
        <charset val="134"/>
      </rPr>
      <t>上海庆科</t>
    </r>
    <r>
      <rPr>
        <sz val="9"/>
        <color rgb="FF000000"/>
        <rFont val="Arial"/>
        <charset val="134"/>
      </rPr>
      <t>MXCHIP</t>
    </r>
  </si>
  <si>
    <r>
      <rPr>
        <sz val="9"/>
        <color rgb="FF000000"/>
        <rFont val="楷体"/>
        <charset val="134"/>
      </rPr>
      <t>上海庆科（</t>
    </r>
    <r>
      <rPr>
        <sz val="9"/>
        <color rgb="FF000000"/>
        <rFont val="Arial"/>
        <charset val="134"/>
      </rPr>
      <t>MXCHIP</t>
    </r>
    <r>
      <rPr>
        <sz val="9"/>
        <color rgb="FF000000"/>
        <rFont val="楷体"/>
        <charset val="134"/>
      </rPr>
      <t>）是一家专注于嵌入式无线模块和产品的供应商，推出了一系列嵌入式</t>
    </r>
    <r>
      <rPr>
        <sz val="9"/>
        <color rgb="FF000000"/>
        <rFont val="Arial"/>
        <charset val="134"/>
      </rPr>
      <t>Wi-Fi</t>
    </r>
    <r>
      <rPr>
        <sz val="9"/>
        <color rgb="FF000000"/>
        <rFont val="楷体"/>
        <charset val="134"/>
      </rPr>
      <t>、</t>
    </r>
    <r>
      <rPr>
        <sz val="9"/>
        <color rgb="FF000000"/>
        <rFont val="Arial"/>
        <charset val="134"/>
      </rPr>
      <t>ZigBee</t>
    </r>
    <r>
      <rPr>
        <sz val="9"/>
        <color rgb="FF000000"/>
        <rFont val="楷体"/>
        <charset val="134"/>
      </rPr>
      <t>、</t>
    </r>
    <r>
      <rPr>
        <sz val="9"/>
        <color rgb="FF000000"/>
        <rFont val="Arial"/>
        <charset val="134"/>
      </rPr>
      <t>BLE</t>
    </r>
    <r>
      <rPr>
        <sz val="9"/>
        <color rgb="FF000000"/>
        <rFont val="楷体"/>
        <charset val="134"/>
      </rPr>
      <t>、</t>
    </r>
    <r>
      <rPr>
        <sz val="9"/>
        <color rgb="FF000000"/>
        <rFont val="Arial"/>
        <charset val="134"/>
      </rPr>
      <t>NFC</t>
    </r>
    <r>
      <rPr>
        <sz val="9"/>
        <color rgb="FF000000"/>
        <rFont val="楷体"/>
        <charset val="134"/>
      </rPr>
      <t>等模块产品，为物联网应用提供完备的短距离标准无线网络接入解决方案，目前产品已经批量应用于白色家电、远程医疗、智能电网、智能交通等领域。</t>
    </r>
  </si>
  <si>
    <t>上海庆科信息技术有限公司</t>
  </si>
  <si>
    <t>http://www.mxchip.com</t>
  </si>
  <si>
    <t>2004-10</t>
  </si>
  <si>
    <t>集成电路</t>
  </si>
  <si>
    <r>
      <rPr>
        <sz val="9"/>
        <color rgb="FF000000"/>
        <rFont val="楷体"/>
        <charset val="134"/>
      </rPr>
      <t>老板电器</t>
    </r>
    <r>
      <rPr>
        <sz val="9"/>
        <color rgb="FF000000"/>
        <rFont val="Arial"/>
        <charset val="134"/>
      </rPr>
      <t>,</t>
    </r>
    <r>
      <rPr>
        <sz val="9"/>
        <color rgb="FF000000"/>
        <rFont val="楷体"/>
        <charset val="134"/>
      </rPr>
      <t>景铧投资</t>
    </r>
  </si>
  <si>
    <r>
      <rPr>
        <sz val="9"/>
        <color rgb="FF000000"/>
        <rFont val="Arial"/>
        <charset val="134"/>
      </rPr>
      <t>1.61</t>
    </r>
    <r>
      <rPr>
        <sz val="9"/>
        <color rgb="FF000000"/>
        <rFont val="楷体"/>
        <charset val="134"/>
      </rPr>
      <t>亿</t>
    </r>
  </si>
  <si>
    <r>
      <rPr>
        <sz val="9"/>
        <color rgb="FF000000"/>
        <rFont val="楷体"/>
        <charset val="134"/>
      </rPr>
      <t>王永虹</t>
    </r>
    <r>
      <rPr>
        <sz val="9"/>
        <color rgb="FF000000"/>
        <rFont val="Arial"/>
        <charset val="134"/>
      </rPr>
      <t>:CEO</t>
    </r>
  </si>
  <si>
    <r>
      <rPr>
        <sz val="9"/>
        <color rgb="FF000000"/>
        <rFont val="楷体"/>
        <charset val="134"/>
      </rPr>
      <t>上海市金沙江路</t>
    </r>
    <r>
      <rPr>
        <sz val="9"/>
        <color rgb="FF000000"/>
        <rFont val="Arial"/>
        <charset val="134"/>
      </rPr>
      <t>2145</t>
    </r>
    <r>
      <rPr>
        <sz val="9"/>
        <color rgb="FF000000"/>
        <rFont val="楷体"/>
        <charset val="134"/>
      </rPr>
      <t>号</t>
    </r>
    <r>
      <rPr>
        <sz val="9"/>
        <color rgb="FF000000"/>
        <rFont val="Arial"/>
        <charset val="134"/>
      </rPr>
      <t>5</t>
    </r>
    <r>
      <rPr>
        <sz val="9"/>
        <color rgb="FF000000"/>
        <rFont val="楷体"/>
        <charset val="134"/>
      </rPr>
      <t>号楼</t>
    </r>
    <r>
      <rPr>
        <sz val="9"/>
        <color rgb="FF000000"/>
        <rFont val="Arial"/>
        <charset val="134"/>
      </rPr>
      <t>9</t>
    </r>
    <r>
      <rPr>
        <sz val="9"/>
        <color rgb="FF000000"/>
        <rFont val="楷体"/>
        <charset val="134"/>
      </rPr>
      <t>楼</t>
    </r>
  </si>
  <si>
    <t>021-52655026</t>
  </si>
  <si>
    <t>sales@mxchip.com</t>
  </si>
  <si>
    <r>
      <rPr>
        <sz val="9"/>
        <color rgb="FF000000"/>
        <rFont val="楷体"/>
        <charset val="134"/>
      </rPr>
      <t>阿里巴巴</t>
    </r>
    <r>
      <rPr>
        <sz val="9"/>
        <color rgb="FF000000"/>
        <rFont val="Arial"/>
        <charset val="134"/>
      </rPr>
      <t>,</t>
    </r>
    <r>
      <rPr>
        <sz val="9"/>
        <color rgb="FF000000"/>
        <rFont val="楷体"/>
        <charset val="134"/>
      </rPr>
      <t>明道投资</t>
    </r>
  </si>
  <si>
    <t>鼎锋资产</t>
  </si>
  <si>
    <t>海捷投资</t>
  </si>
  <si>
    <t>2011-02-05</t>
  </si>
  <si>
    <t>杭州淘巧科技</t>
  </si>
  <si>
    <t>杭州淘巧信息技术有限公司是一家电子商务软件技术开发商。</t>
  </si>
  <si>
    <t>杭州淘巧信息技术有限公司</t>
  </si>
  <si>
    <t>2010-10</t>
  </si>
  <si>
    <r>
      <rPr>
        <sz val="9"/>
        <color rgb="FF000000"/>
        <rFont val="Arial"/>
        <charset val="134"/>
      </rPr>
      <t>1000</t>
    </r>
    <r>
      <rPr>
        <sz val="9"/>
        <color rgb="FF000000"/>
        <rFont val="楷体"/>
        <charset val="134"/>
      </rPr>
      <t>万</t>
    </r>
  </si>
  <si>
    <r>
      <rPr>
        <sz val="9"/>
        <color rgb="FF000000"/>
        <rFont val="楷体"/>
        <charset val="134"/>
      </rPr>
      <t>赖晓峰</t>
    </r>
    <r>
      <rPr>
        <sz val="9"/>
        <color rgb="FF000000"/>
        <rFont val="Arial"/>
        <charset val="134"/>
      </rPr>
      <t>:CEO</t>
    </r>
  </si>
  <si>
    <r>
      <rPr>
        <sz val="9"/>
        <color rgb="FF000000"/>
        <rFont val="楷体"/>
        <charset val="134"/>
      </rPr>
      <t>杭州市西湖区益乐路</t>
    </r>
    <r>
      <rPr>
        <sz val="9"/>
        <color rgb="FF000000"/>
        <rFont val="Arial"/>
        <charset val="134"/>
      </rPr>
      <t>39</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8A06</t>
    </r>
    <r>
      <rPr>
        <sz val="9"/>
        <color rgb="FF000000"/>
        <rFont val="楷体"/>
        <charset val="134"/>
      </rPr>
      <t>室</t>
    </r>
  </si>
  <si>
    <t>2019-03-11</t>
  </si>
  <si>
    <t>爱康国宾</t>
  </si>
  <si>
    <t>爱康国宾是一家主打体检的健康管理公司，为个人及团体提供从体检、检测、医疗、家庭医生、慢病管理、健康保险等全方位个性化服务，由爱康网和上海国宾健检联合组建。</t>
  </si>
  <si>
    <t>常州爱康卓悦医疗门诊部有限公司</t>
  </si>
  <si>
    <t>http://www.ikang.com</t>
  </si>
  <si>
    <t>2004-02</t>
  </si>
  <si>
    <t>健康保健</t>
  </si>
  <si>
    <r>
      <rPr>
        <sz val="9"/>
        <color rgb="FF000000"/>
        <rFont val="楷体"/>
        <charset val="134"/>
      </rPr>
      <t>云锋基金</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苏宁</t>
    </r>
  </si>
  <si>
    <r>
      <rPr>
        <sz val="9"/>
        <color rgb="FF000000"/>
        <rFont val="Arial"/>
        <charset val="134"/>
      </rPr>
      <t>128.44</t>
    </r>
    <r>
      <rPr>
        <sz val="9"/>
        <color rgb="FF000000"/>
        <rFont val="楷体"/>
        <charset val="134"/>
      </rPr>
      <t>亿</t>
    </r>
  </si>
  <si>
    <r>
      <rPr>
        <sz val="9"/>
        <color rgb="FF000000"/>
        <rFont val="楷体"/>
        <charset val="134"/>
      </rPr>
      <t>张黎刚</t>
    </r>
    <r>
      <rPr>
        <sz val="9"/>
        <color rgb="FF000000"/>
        <rFont val="Arial"/>
        <charset val="134"/>
      </rPr>
      <t>:</t>
    </r>
    <r>
      <rPr>
        <sz val="9"/>
        <color rgb="FF000000"/>
        <rFont val="楷体"/>
        <charset val="134"/>
      </rPr>
      <t>董事长兼</t>
    </r>
    <r>
      <rPr>
        <sz val="9"/>
        <color rgb="FF000000"/>
        <rFont val="Arial"/>
        <charset val="134"/>
      </rPr>
      <t>CEO</t>
    </r>
  </si>
  <si>
    <t>4008-100-120</t>
  </si>
  <si>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张黎刚</t>
    </r>
    <r>
      <rPr>
        <sz val="9"/>
        <color rgb="FF000000"/>
        <rFont val="Arial"/>
        <charset val="134"/>
      </rPr>
      <t>,</t>
    </r>
    <r>
      <rPr>
        <sz val="9"/>
        <color rgb="FF000000"/>
        <rFont val="楷体"/>
        <charset val="134"/>
      </rPr>
      <t>何伯权</t>
    </r>
  </si>
  <si>
    <t>中投公司</t>
  </si>
  <si>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),GIC</t>
    </r>
    <r>
      <rPr>
        <sz val="9"/>
        <color rgb="FF000000"/>
        <rFont val="楷体"/>
        <charset val="134"/>
      </rPr>
      <t>新加坡政府投资公司</t>
    </r>
  </si>
  <si>
    <r>
      <rPr>
        <sz val="9"/>
        <color rgb="FF000000"/>
        <rFont val="楷体"/>
        <charset val="134"/>
      </rPr>
      <t>经纬创投</t>
    </r>
    <r>
      <rPr>
        <sz val="9"/>
        <color rgb="FF000000"/>
        <rFont val="Arial"/>
        <charset val="134"/>
      </rPr>
      <t>,</t>
    </r>
    <r>
      <rPr>
        <sz val="9"/>
        <color rgb="FF000000"/>
        <rFont val="楷体"/>
        <charset val="134"/>
      </rPr>
      <t>清科创投</t>
    </r>
    <r>
      <rPr>
        <sz val="9"/>
        <color rgb="FF000000"/>
        <rFont val="Arial"/>
        <charset val="134"/>
      </rPr>
      <t>,</t>
    </r>
    <r>
      <rPr>
        <sz val="9"/>
        <color rgb="FF000000"/>
        <rFont val="楷体"/>
        <charset val="134"/>
      </rPr>
      <t>美国中经合集团</t>
    </r>
    <r>
      <rPr>
        <sz val="9"/>
        <color rgb="FF000000"/>
        <rFont val="Arial"/>
        <charset val="134"/>
      </rPr>
      <t>,</t>
    </r>
    <r>
      <rPr>
        <sz val="9"/>
        <color rgb="FF000000"/>
        <rFont val="楷体"/>
        <charset val="134"/>
      </rPr>
      <t>华登国际</t>
    </r>
    <r>
      <rPr>
        <sz val="9"/>
        <color rgb="FF000000"/>
        <rFont val="Arial"/>
        <charset val="134"/>
      </rPr>
      <t>,</t>
    </r>
    <r>
      <rPr>
        <sz val="9"/>
        <color rgb="FF000000"/>
        <rFont val="楷体"/>
        <charset val="134"/>
      </rPr>
      <t>上海科创投集团</t>
    </r>
    <r>
      <rPr>
        <sz val="9"/>
        <color rgb="FF000000"/>
        <rFont val="Arial"/>
        <charset val="134"/>
      </rPr>
      <t>(</t>
    </r>
    <r>
      <rPr>
        <sz val="9"/>
        <color rgb="FF000000"/>
        <rFont val="楷体"/>
        <charset val="134"/>
      </rPr>
      <t>上海科创</t>
    </r>
    <r>
      <rPr>
        <sz val="9"/>
        <color rgb="FF000000"/>
        <rFont val="Arial"/>
        <charset val="134"/>
      </rPr>
      <t>),ePlanet Capital,</t>
    </r>
    <r>
      <rPr>
        <sz val="9"/>
        <color rgb="FF000000"/>
        <rFont val="楷体"/>
        <charset val="134"/>
      </rPr>
      <t>美林证券</t>
    </r>
    <r>
      <rPr>
        <sz val="9"/>
        <color rgb="FF000000"/>
        <rFont val="Arial"/>
        <charset val="134"/>
      </rPr>
      <t>Merrill Lynch</t>
    </r>
  </si>
  <si>
    <t>美国中经合集团</t>
  </si>
  <si>
    <t>2014-09-24</t>
  </si>
  <si>
    <t>浙江网上技术市场</t>
  </si>
  <si>
    <r>
      <rPr>
        <sz val="9"/>
        <color rgb="FF000000"/>
        <rFont val="楷体"/>
        <charset val="134"/>
      </rPr>
      <t>浙江网上技术市场是在线技术成果、技术需求的</t>
    </r>
    <r>
      <rPr>
        <sz val="9"/>
        <color rgb="FF000000"/>
        <rFont val="Arial"/>
        <charset val="134"/>
      </rPr>
      <t>B2B</t>
    </r>
    <r>
      <rPr>
        <sz val="9"/>
        <color rgb="FF000000"/>
        <rFont val="楷体"/>
        <charset val="134"/>
      </rPr>
      <t>交易服务平台，由科技部、国家知识产权局和浙江省主办，形成了由省级中心、</t>
    </r>
    <r>
      <rPr>
        <sz val="9"/>
        <color rgb="FF000000"/>
        <rFont val="Arial"/>
        <charset val="134"/>
      </rPr>
      <t>11</t>
    </r>
    <r>
      <rPr>
        <sz val="9"/>
        <color rgb="FF000000"/>
        <rFont val="楷体"/>
        <charset val="134"/>
      </rPr>
      <t>个市级市场、</t>
    </r>
    <r>
      <rPr>
        <sz val="9"/>
        <color rgb="FF000000"/>
        <rFont val="Arial"/>
        <charset val="134"/>
      </rPr>
      <t>94</t>
    </r>
    <r>
      <rPr>
        <sz val="9"/>
        <color rgb="FF000000"/>
        <rFont val="楷体"/>
        <charset val="134"/>
      </rPr>
      <t>个县分市场和</t>
    </r>
    <r>
      <rPr>
        <sz val="9"/>
        <color rgb="FF000000"/>
        <rFont val="Arial"/>
        <charset val="134"/>
      </rPr>
      <t>29</t>
    </r>
    <r>
      <rPr>
        <sz val="9"/>
        <color rgb="FF000000"/>
        <rFont val="楷体"/>
        <charset val="134"/>
      </rPr>
      <t>个专业市场构成的体系架构，共选引了</t>
    </r>
    <r>
      <rPr>
        <sz val="9"/>
        <color rgb="FF000000"/>
        <rFont val="Arial"/>
        <charset val="134"/>
      </rPr>
      <t>43</t>
    </r>
    <r>
      <rPr>
        <sz val="9"/>
        <color rgb="FF000000"/>
        <rFont val="楷体"/>
        <charset val="134"/>
      </rPr>
      <t>家从事技术转移、咨询评估、投资融资、知识产权等方面的科技中介机构入驻，形成一站式的创新服务链，初步实现了实体技术市场与网上技术市场功能的互补。</t>
    </r>
  </si>
  <si>
    <t>浙江伍一技术股份有限公司</t>
  </si>
  <si>
    <t>http://www.51jishu.com</t>
  </si>
  <si>
    <t>2014-06</t>
  </si>
  <si>
    <r>
      <rPr>
        <sz val="9"/>
        <color rgb="FF000000"/>
        <rFont val="楷体"/>
        <charset val="134"/>
      </rPr>
      <t>阿里巴巴</t>
    </r>
    <r>
      <rPr>
        <sz val="9"/>
        <color rgb="FF000000"/>
        <rFont val="Arial"/>
        <charset val="134"/>
      </rPr>
      <t>,</t>
    </r>
    <r>
      <rPr>
        <sz val="9"/>
        <color rgb="FF000000"/>
        <rFont val="楷体"/>
        <charset val="134"/>
      </rPr>
      <t>华数传媒</t>
    </r>
  </si>
  <si>
    <r>
      <rPr>
        <sz val="9"/>
        <color rgb="FF000000"/>
        <rFont val="楷体"/>
        <charset val="134"/>
      </rPr>
      <t>浙江省杭州市西湖区文二路</t>
    </r>
    <r>
      <rPr>
        <sz val="9"/>
        <color rgb="FF000000"/>
        <rFont val="Arial"/>
        <charset val="134"/>
      </rPr>
      <t>212</t>
    </r>
    <r>
      <rPr>
        <sz val="9"/>
        <color rgb="FF000000"/>
        <rFont val="楷体"/>
        <charset val="134"/>
      </rPr>
      <t>号第三层</t>
    </r>
  </si>
  <si>
    <t>support@zjinfo.gov.cn</t>
  </si>
  <si>
    <t>2012-04-24</t>
  </si>
  <si>
    <t>又一城</t>
  </si>
  <si>
    <r>
      <rPr>
        <sz val="9"/>
        <color rgb="FF000000"/>
        <rFont val="楷体"/>
        <charset val="134"/>
      </rPr>
      <t>又一城是一家电商</t>
    </r>
    <r>
      <rPr>
        <sz val="9"/>
        <color rgb="FF000000"/>
        <rFont val="Arial"/>
        <charset val="134"/>
      </rPr>
      <t>O2O</t>
    </r>
    <r>
      <rPr>
        <sz val="9"/>
        <color rgb="FF000000"/>
        <rFont val="楷体"/>
        <charset val="134"/>
      </rPr>
      <t>解决方案及全渠道零售终端服务商，为企业提供零售</t>
    </r>
    <r>
      <rPr>
        <sz val="9"/>
        <color rgb="FF000000"/>
        <rFont val="Arial"/>
        <charset val="134"/>
      </rPr>
      <t>IT</t>
    </r>
    <r>
      <rPr>
        <sz val="9"/>
        <color rgb="FF000000"/>
        <rFont val="楷体"/>
        <charset val="134"/>
      </rPr>
      <t>系统，搭建供销平台，组建供销联盟。旗下有网渠宝、开源宝、蜂小店等。</t>
    </r>
  </si>
  <si>
    <t>厦门又一城网络科技有限公司</t>
  </si>
  <si>
    <t>http://www.monecity.cn/</t>
  </si>
  <si>
    <t>2010-05</t>
  </si>
  <si>
    <r>
      <rPr>
        <sz val="9"/>
        <color rgb="FF000000"/>
        <rFont val="楷体"/>
        <charset val="134"/>
      </rPr>
      <t>福建</t>
    </r>
    <r>
      <rPr>
        <sz val="9"/>
        <color rgb="FF000000"/>
        <rFont val="Arial"/>
        <charset val="134"/>
      </rPr>
      <t>-</t>
    </r>
    <r>
      <rPr>
        <sz val="9"/>
        <color rgb="FF000000"/>
        <rFont val="楷体"/>
        <charset val="134"/>
      </rPr>
      <t>厦门</t>
    </r>
  </si>
  <si>
    <r>
      <rPr>
        <sz val="9"/>
        <color rgb="FF000000"/>
        <rFont val="楷体"/>
        <charset val="134"/>
      </rPr>
      <t>蔡锦发</t>
    </r>
    <r>
      <rPr>
        <sz val="9"/>
        <color rgb="FF000000"/>
        <rFont val="Arial"/>
        <charset val="134"/>
      </rPr>
      <t>:CEO</t>
    </r>
  </si>
  <si>
    <r>
      <rPr>
        <sz val="9"/>
        <color rgb="FF000000"/>
        <rFont val="楷体"/>
        <charset val="134"/>
      </rPr>
      <t>厦门市思明区软件园望海路</t>
    </r>
    <r>
      <rPr>
        <sz val="9"/>
        <color rgb="FF000000"/>
        <rFont val="Arial"/>
        <charset val="134"/>
      </rPr>
      <t>61</t>
    </r>
    <r>
      <rPr>
        <sz val="9"/>
        <color rgb="FF000000"/>
        <rFont val="楷体"/>
        <charset val="134"/>
      </rPr>
      <t>号</t>
    </r>
    <r>
      <rPr>
        <sz val="9"/>
        <color rgb="FF000000"/>
        <rFont val="Arial"/>
        <charset val="134"/>
      </rPr>
      <t>302</t>
    </r>
    <r>
      <rPr>
        <sz val="9"/>
        <color rgb="FF000000"/>
        <rFont val="楷体"/>
        <charset val="134"/>
      </rPr>
      <t>单元</t>
    </r>
  </si>
  <si>
    <t xml:space="preserve">400-686-5530 </t>
  </si>
  <si>
    <t>chenyh1@u1city.net</t>
  </si>
  <si>
    <t>2013-05-24</t>
  </si>
  <si>
    <t>晟邦物流</t>
  </si>
  <si>
    <r>
      <rPr>
        <sz val="9"/>
        <color rgb="FF000000"/>
        <rFont val="楷体"/>
        <charset val="134"/>
      </rPr>
      <t>晟邦物流是一家专营电商物流后期配送和代收货款（</t>
    </r>
    <r>
      <rPr>
        <sz val="9"/>
        <color rgb="FF000000"/>
        <rFont val="Arial"/>
        <charset val="134"/>
      </rPr>
      <t>COD</t>
    </r>
    <r>
      <rPr>
        <sz val="9"/>
        <color rgb="FF000000"/>
        <rFont val="楷体"/>
        <charset val="134"/>
      </rPr>
      <t>）业务，是江、浙、沪、皖、三省一市代收货款和配送网络全境覆盖无盲区的专业配送公司。天猫商超、当当网、</t>
    </r>
    <r>
      <rPr>
        <sz val="9"/>
        <color rgb="FF000000"/>
        <rFont val="Arial"/>
        <charset val="134"/>
      </rPr>
      <t>1</t>
    </r>
    <r>
      <rPr>
        <sz val="9"/>
        <color rgb="FF000000"/>
        <rFont val="楷体"/>
        <charset val="134"/>
      </rPr>
      <t>号店、酒仙网、好享购物、聚美优品、阳光保险、中粮我买网、飞牛网、拼好货商城、易果网、饿了么等电商在江、浙、沪、皖四地的主要配送代理商。</t>
    </r>
  </si>
  <si>
    <t>南京晟邦物流有限公司</t>
  </si>
  <si>
    <t>http://www.3856.cc/</t>
  </si>
  <si>
    <t>2009-07</t>
  </si>
  <si>
    <t>快递服务</t>
  </si>
  <si>
    <r>
      <rPr>
        <sz val="9"/>
        <color rgb="FF000000"/>
        <rFont val="Arial"/>
        <charset val="134"/>
      </rPr>
      <t>3</t>
    </r>
    <r>
      <rPr>
        <sz val="9"/>
        <color rgb="FF000000"/>
        <rFont val="楷体"/>
        <charset val="134"/>
      </rPr>
      <t>亿</t>
    </r>
  </si>
  <si>
    <r>
      <rPr>
        <sz val="9"/>
        <color rgb="FF000000"/>
        <rFont val="楷体"/>
        <charset val="134"/>
      </rPr>
      <t>南京市长江路</t>
    </r>
    <r>
      <rPr>
        <sz val="9"/>
        <color rgb="FF000000"/>
        <rFont val="Arial"/>
        <charset val="134"/>
      </rPr>
      <t>99</t>
    </r>
    <r>
      <rPr>
        <sz val="9"/>
        <color rgb="FF000000"/>
        <rFont val="楷体"/>
        <charset val="134"/>
      </rPr>
      <t>号长江贸易大厦</t>
    </r>
    <r>
      <rPr>
        <sz val="9"/>
        <color rgb="FF000000"/>
        <rFont val="Arial"/>
        <charset val="134"/>
      </rPr>
      <t>17</t>
    </r>
    <r>
      <rPr>
        <sz val="9"/>
        <color rgb="FF000000"/>
        <rFont val="楷体"/>
        <charset val="134"/>
      </rPr>
      <t>楼</t>
    </r>
  </si>
  <si>
    <t>400-666-6066</t>
  </si>
  <si>
    <t>frank@51book.com</t>
  </si>
  <si>
    <t>2014-04-25</t>
  </si>
  <si>
    <t>商业评论</t>
  </si>
  <si>
    <r>
      <rPr>
        <sz val="9"/>
        <color rgb="FF000000"/>
        <rFont val="楷体"/>
        <charset val="134"/>
      </rPr>
      <t>《商业评论》杂志创刊于</t>
    </r>
    <r>
      <rPr>
        <sz val="9"/>
        <color rgb="FF000000"/>
        <rFont val="Arial"/>
        <charset val="134"/>
      </rPr>
      <t>2002</t>
    </r>
    <r>
      <rPr>
        <sz val="9"/>
        <color rgb="FF000000"/>
        <rFont val="楷体"/>
        <charset val="134"/>
      </rPr>
      <t>年，是一本商业评论杂志，致力于提供中国商业环境下有效的管理思想、方法和案例，帮助中国企业解决管理问题。上海智篆文化传播有限公司旗下产品。</t>
    </r>
  </si>
  <si>
    <t>上海智篆文化传播有限公司</t>
  </si>
  <si>
    <t>http://www.ebusinessreview.cn/</t>
  </si>
  <si>
    <t>2002-01</t>
  </si>
  <si>
    <r>
      <rPr>
        <sz val="9"/>
        <color rgb="FF000000"/>
        <rFont val="楷体"/>
        <charset val="134"/>
      </rPr>
      <t>上海市长宁区长宁路</t>
    </r>
    <r>
      <rPr>
        <sz val="9"/>
        <color rgb="FF000000"/>
        <rFont val="Arial"/>
        <charset val="134"/>
      </rPr>
      <t>546</t>
    </r>
    <r>
      <rPr>
        <sz val="9"/>
        <color rgb="FF000000"/>
        <rFont val="楷体"/>
        <charset val="134"/>
      </rPr>
      <t>号</t>
    </r>
    <r>
      <rPr>
        <sz val="9"/>
        <color rgb="FF000000"/>
        <rFont val="Arial"/>
        <charset val="134"/>
      </rPr>
      <t>2</t>
    </r>
    <r>
      <rPr>
        <sz val="9"/>
        <color rgb="FF000000"/>
        <rFont val="楷体"/>
        <charset val="134"/>
      </rPr>
      <t>号楼</t>
    </r>
  </si>
  <si>
    <t>86-21-61197901</t>
  </si>
  <si>
    <t>Dandan.Liu@ebusinessreview.cn</t>
  </si>
  <si>
    <t>2019-05-23</t>
  </si>
  <si>
    <t>阿里健康</t>
  </si>
  <si>
    <r>
      <rPr>
        <sz val="9"/>
        <color rgb="FF000000"/>
        <rFont val="楷体"/>
        <charset val="134"/>
      </rPr>
      <t>阿里健康前身是阿里巴巴集团所收购的香港上市公司中信</t>
    </r>
    <r>
      <rPr>
        <sz val="9"/>
        <color rgb="FF000000"/>
        <rFont val="Arial"/>
        <charset val="134"/>
      </rPr>
      <t>21</t>
    </r>
    <r>
      <rPr>
        <sz val="9"/>
        <color rgb="FF000000"/>
        <rFont val="楷体"/>
        <charset val="134"/>
      </rPr>
      <t>世纪，旗下有第三方网上药品交易平台</t>
    </r>
    <r>
      <rPr>
        <sz val="9"/>
        <color rgb="FF000000"/>
        <rFont val="Arial"/>
        <charset val="134"/>
      </rPr>
      <t>95095</t>
    </r>
    <r>
      <rPr>
        <sz val="9"/>
        <color rgb="FF000000"/>
        <rFont val="楷体"/>
        <charset val="134"/>
      </rPr>
      <t>网站，此后阿里健康旗下包括阿里健康</t>
    </r>
    <r>
      <rPr>
        <sz val="9"/>
        <color rgb="FF000000"/>
        <rFont val="Arial"/>
        <charset val="134"/>
      </rPr>
      <t>App</t>
    </r>
    <r>
      <rPr>
        <sz val="9"/>
        <color rgb="FF000000"/>
        <rFont val="楷体"/>
        <charset val="134"/>
      </rPr>
      <t>、数来宝服务平台等。</t>
    </r>
  </si>
  <si>
    <t>阿里健康科技（中国）有限公司</t>
  </si>
  <si>
    <t>http://www.alijk.com/</t>
  </si>
  <si>
    <r>
      <rPr>
        <sz val="9"/>
        <color rgb="FF000000"/>
        <rFont val="楷体"/>
        <charset val="134"/>
      </rPr>
      <t>香港</t>
    </r>
    <r>
      <rPr>
        <sz val="9"/>
        <color rgb="FF000000"/>
        <rFont val="Arial"/>
        <charset val="134"/>
      </rPr>
      <t>-</t>
    </r>
    <r>
      <rPr>
        <sz val="9"/>
        <color rgb="FF000000"/>
        <rFont val="楷体"/>
        <charset val="134"/>
      </rPr>
      <t>中西区</t>
    </r>
  </si>
  <si>
    <t>医疗综合服务</t>
  </si>
  <si>
    <r>
      <rPr>
        <sz val="9"/>
        <color rgb="FF000000"/>
        <rFont val="Arial"/>
        <charset val="134"/>
      </rPr>
      <t>22.7</t>
    </r>
    <r>
      <rPr>
        <sz val="9"/>
        <color rgb="FF000000"/>
        <rFont val="楷体"/>
        <charset val="134"/>
      </rPr>
      <t>亿港元</t>
    </r>
  </si>
  <si>
    <r>
      <rPr>
        <sz val="9"/>
        <color rgb="FF000000"/>
        <rFont val="Arial"/>
        <charset val="134"/>
      </rPr>
      <t>30.21</t>
    </r>
    <r>
      <rPr>
        <sz val="9"/>
        <color rgb="FF000000"/>
        <rFont val="楷体"/>
        <charset val="134"/>
      </rPr>
      <t>亿</t>
    </r>
  </si>
  <si>
    <r>
      <rPr>
        <sz val="9"/>
        <color rgb="FF000000"/>
        <rFont val="Arial"/>
        <charset val="134"/>
      </rPr>
      <t>90.8</t>
    </r>
    <r>
      <rPr>
        <sz val="9"/>
        <color rgb="FF000000"/>
        <rFont val="楷体"/>
        <charset val="134"/>
      </rPr>
      <t>亿元</t>
    </r>
  </si>
  <si>
    <r>
      <rPr>
        <sz val="9"/>
        <color rgb="FF000000"/>
        <rFont val="楷体"/>
        <charset val="134"/>
      </rPr>
      <t>朱顺炎</t>
    </r>
    <r>
      <rPr>
        <sz val="9"/>
        <color rgb="FF000000"/>
        <rFont val="Arial"/>
        <charset val="134"/>
      </rPr>
      <t>:CEO</t>
    </r>
  </si>
  <si>
    <r>
      <rPr>
        <sz val="9"/>
        <color rgb="FF000000"/>
        <rFont val="Arial"/>
        <charset val="134"/>
      </rPr>
      <t>1.7</t>
    </r>
    <r>
      <rPr>
        <sz val="9"/>
        <color rgb="FF000000"/>
        <rFont val="楷体"/>
        <charset val="134"/>
      </rPr>
      <t>亿美元</t>
    </r>
  </si>
  <si>
    <t>2015-11-05</t>
  </si>
  <si>
    <t>缔元信Dratio</t>
  </si>
  <si>
    <r>
      <rPr>
        <sz val="9"/>
        <color rgb="FF000000"/>
        <rFont val="楷体"/>
        <charset val="134"/>
      </rPr>
      <t>缔元信</t>
    </r>
    <r>
      <rPr>
        <sz val="9"/>
        <color rgb="FF000000"/>
        <rFont val="Arial"/>
        <charset val="134"/>
      </rPr>
      <t>Dratio</t>
    </r>
  </si>
  <si>
    <r>
      <rPr>
        <sz val="9"/>
        <color rgb="FF000000"/>
        <rFont val="楷体"/>
        <charset val="134"/>
      </rPr>
      <t>缔元信</t>
    </r>
    <r>
      <rPr>
        <sz val="9"/>
        <color rgb="FF000000"/>
        <rFont val="Arial"/>
        <charset val="134"/>
      </rPr>
      <t>Dratio</t>
    </r>
    <r>
      <rPr>
        <sz val="9"/>
        <color rgb="FF000000"/>
        <rFont val="楷体"/>
        <charset val="134"/>
      </rPr>
      <t>是一家第三方互联网数据服务机构，一方面为企业提供数据产品、数据输出及翔实专业的数据分析及咨询服务；另一方面为企业开发建设数据管理系统（</t>
    </r>
    <r>
      <rPr>
        <sz val="9"/>
        <color rgb="FF000000"/>
        <rFont val="Arial"/>
        <charset val="134"/>
      </rPr>
      <t>DMS</t>
    </r>
    <r>
      <rPr>
        <sz val="9"/>
        <color rgb="FF000000"/>
        <rFont val="楷体"/>
        <charset val="134"/>
      </rPr>
      <t>）。</t>
    </r>
  </si>
  <si>
    <t>北京缔元信互联网数据技术有限公司</t>
  </si>
  <si>
    <t>http://www.dratio.com/</t>
  </si>
  <si>
    <r>
      <rPr>
        <sz val="9"/>
        <color rgb="FF000000"/>
        <rFont val="楷体"/>
        <charset val="134"/>
      </rPr>
      <t>秦雯</t>
    </r>
    <r>
      <rPr>
        <sz val="9"/>
        <color rgb="FF000000"/>
        <rFont val="Arial"/>
        <charset val="134"/>
      </rPr>
      <t>:CEO</t>
    </r>
  </si>
  <si>
    <r>
      <rPr>
        <sz val="9"/>
        <color rgb="FF000000"/>
        <rFont val="楷体"/>
        <charset val="134"/>
      </rPr>
      <t>北京市东城区朝阳门北大街</t>
    </r>
    <r>
      <rPr>
        <sz val="9"/>
        <color rgb="FF000000"/>
        <rFont val="Arial"/>
        <charset val="134"/>
      </rPr>
      <t>8</t>
    </r>
    <r>
      <rPr>
        <sz val="9"/>
        <color rgb="FF000000"/>
        <rFont val="楷体"/>
        <charset val="134"/>
      </rPr>
      <t>号</t>
    </r>
    <r>
      <rPr>
        <sz val="9"/>
        <color rgb="FF000000"/>
        <rFont val="Arial"/>
        <charset val="134"/>
      </rPr>
      <t xml:space="preserve"> </t>
    </r>
    <r>
      <rPr>
        <sz val="9"/>
        <color rgb="FF000000"/>
        <rFont val="楷体"/>
        <charset val="134"/>
      </rPr>
      <t>富华大厦</t>
    </r>
    <r>
      <rPr>
        <sz val="9"/>
        <color rgb="FF000000"/>
        <rFont val="Arial"/>
        <charset val="134"/>
      </rPr>
      <t>F</t>
    </r>
    <r>
      <rPr>
        <sz val="9"/>
        <color rgb="FF000000"/>
        <rFont val="楷体"/>
        <charset val="134"/>
      </rPr>
      <t>座</t>
    </r>
    <r>
      <rPr>
        <sz val="9"/>
        <color rgb="FF000000"/>
        <rFont val="Arial"/>
        <charset val="134"/>
      </rPr>
      <t>16A</t>
    </r>
    <r>
      <rPr>
        <sz val="9"/>
        <color rgb="FF000000"/>
        <rFont val="楷体"/>
        <charset val="134"/>
      </rPr>
      <t>室</t>
    </r>
    <r>
      <rPr>
        <sz val="9"/>
        <color rgb="FF000000"/>
        <rFont val="Arial"/>
        <charset val="134"/>
      </rPr>
      <t xml:space="preserve">; </t>
    </r>
    <r>
      <rPr>
        <sz val="9"/>
        <color rgb="FF000000"/>
        <rFont val="楷体"/>
        <charset val="134"/>
      </rPr>
      <t>北京市东城区朝阳门北大街</t>
    </r>
    <r>
      <rPr>
        <sz val="9"/>
        <color rgb="FF000000"/>
        <rFont val="Arial"/>
        <charset val="134"/>
      </rPr>
      <t>8</t>
    </r>
    <r>
      <rPr>
        <sz val="9"/>
        <color rgb="FF000000"/>
        <rFont val="楷体"/>
        <charset val="134"/>
      </rPr>
      <t>号</t>
    </r>
    <r>
      <rPr>
        <sz val="9"/>
        <color rgb="FF000000"/>
        <rFont val="Arial"/>
        <charset val="134"/>
      </rPr>
      <t xml:space="preserve"> </t>
    </r>
    <r>
      <rPr>
        <sz val="9"/>
        <color rgb="FF000000"/>
        <rFont val="楷体"/>
        <charset val="134"/>
      </rPr>
      <t>富华大厦</t>
    </r>
    <r>
      <rPr>
        <sz val="9"/>
        <color rgb="FF000000"/>
        <rFont val="Arial"/>
        <charset val="134"/>
      </rPr>
      <t>F</t>
    </r>
    <r>
      <rPr>
        <sz val="9"/>
        <color rgb="FF000000"/>
        <rFont val="楷体"/>
        <charset val="134"/>
      </rPr>
      <t>座</t>
    </r>
    <r>
      <rPr>
        <sz val="9"/>
        <color rgb="FF000000"/>
        <rFont val="Arial"/>
        <charset val="134"/>
      </rPr>
      <t>16A</t>
    </r>
    <r>
      <rPr>
        <sz val="9"/>
        <color rgb="FF000000"/>
        <rFont val="楷体"/>
        <charset val="134"/>
      </rPr>
      <t>室</t>
    </r>
  </si>
  <si>
    <t>010-65546305</t>
  </si>
  <si>
    <t>service@dratio.com</t>
  </si>
  <si>
    <t>2011-05-04</t>
  </si>
  <si>
    <t>CNZZ数据</t>
  </si>
  <si>
    <r>
      <rPr>
        <sz val="9"/>
        <color rgb="FF000000"/>
        <rFont val="Arial"/>
        <charset val="134"/>
      </rPr>
      <t>CNZZ</t>
    </r>
    <r>
      <rPr>
        <sz val="9"/>
        <color rgb="FF000000"/>
        <rFont val="楷体"/>
        <charset val="134"/>
      </rPr>
      <t>数据</t>
    </r>
  </si>
  <si>
    <r>
      <rPr>
        <sz val="9"/>
        <color rgb="FF000000"/>
        <rFont val="Arial"/>
        <charset val="134"/>
      </rPr>
      <t>CNZZ</t>
    </r>
    <r>
      <rPr>
        <sz val="9"/>
        <color rgb="FF000000"/>
        <rFont val="楷体"/>
        <charset val="134"/>
      </rPr>
      <t>数据是一家中文网站统计分析服务商，</t>
    </r>
    <r>
      <rPr>
        <sz val="9"/>
        <color rgb="FF000000"/>
        <rFont val="Arial"/>
        <charset val="134"/>
      </rPr>
      <t>CNZZ</t>
    </r>
    <r>
      <rPr>
        <sz val="9"/>
        <color rgb="FF000000"/>
        <rFont val="楷体"/>
        <charset val="134"/>
      </rPr>
      <t>目前旗下有七大产品，分别为：站长统计、全景统计、手机客户端、云推荐、广告管家、广告效果分析和数据中心。</t>
    </r>
  </si>
  <si>
    <t>浙江阿里巴巴云计算有限公司</t>
  </si>
  <si>
    <t>http://www.cnzz.com/</t>
  </si>
  <si>
    <r>
      <rPr>
        <sz val="9"/>
        <color rgb="FF000000"/>
        <rFont val="Arial"/>
        <charset val="134"/>
      </rPr>
      <t>1.17</t>
    </r>
    <r>
      <rPr>
        <sz val="9"/>
        <color rgb="FF000000"/>
        <rFont val="楷体"/>
        <charset val="134"/>
      </rPr>
      <t>亿</t>
    </r>
  </si>
  <si>
    <r>
      <rPr>
        <sz val="9"/>
        <color rgb="FF000000"/>
        <rFont val="Arial"/>
        <charset val="134"/>
      </rPr>
      <t>4.875</t>
    </r>
    <r>
      <rPr>
        <sz val="9"/>
        <color rgb="FF000000"/>
        <rFont val="楷体"/>
        <charset val="134"/>
      </rPr>
      <t>亿元</t>
    </r>
  </si>
  <si>
    <r>
      <rPr>
        <sz val="9"/>
        <color rgb="FF000000"/>
        <rFont val="楷体"/>
        <charset val="134"/>
      </rPr>
      <t>北京市朝阳区西大望路甲</t>
    </r>
    <r>
      <rPr>
        <sz val="9"/>
        <color rgb="FF000000"/>
        <rFont val="Arial"/>
        <charset val="134"/>
      </rPr>
      <t>12</t>
    </r>
    <r>
      <rPr>
        <sz val="9"/>
        <color rgb="FF000000"/>
        <rFont val="楷体"/>
        <charset val="134"/>
      </rPr>
      <t>号国家广告产业园</t>
    </r>
    <r>
      <rPr>
        <sz val="9"/>
        <color rgb="FF000000"/>
        <rFont val="Arial"/>
        <charset val="134"/>
      </rPr>
      <t>A</t>
    </r>
    <r>
      <rPr>
        <sz val="9"/>
        <color rgb="FF000000"/>
        <rFont val="楷体"/>
        <charset val="134"/>
      </rPr>
      <t>座</t>
    </r>
    <r>
      <rPr>
        <sz val="9"/>
        <color rgb="FF000000"/>
        <rFont val="Arial"/>
        <charset val="134"/>
      </rPr>
      <t>3</t>
    </r>
    <r>
      <rPr>
        <sz val="9"/>
        <color rgb="FF000000"/>
        <rFont val="楷体"/>
        <charset val="134"/>
      </rPr>
      <t>层</t>
    </r>
  </si>
  <si>
    <t>010-65985606</t>
  </si>
  <si>
    <t>bd@cnzz.com</t>
  </si>
  <si>
    <t>2015-06-23</t>
  </si>
  <si>
    <t>博雅天下</t>
  </si>
  <si>
    <t>博雅天下是一家文化传媒机构，旗下有《博客天下》、《财经天下》和《人物》三本杂志，以及咋整科技、格林艾格、珠影雅年、博雅艺术基金等分支机构。</t>
  </si>
  <si>
    <t>北京博雅天下传媒文化发展有限公司</t>
  </si>
  <si>
    <t>http://weibo.com/by474400591</t>
  </si>
  <si>
    <t>其他文娱服务</t>
  </si>
  <si>
    <r>
      <rPr>
        <sz val="9"/>
        <color rgb="FF000000"/>
        <rFont val="楷体"/>
        <charset val="134"/>
      </rPr>
      <t>荣波</t>
    </r>
    <r>
      <rPr>
        <sz val="9"/>
        <color rgb="FF000000"/>
        <rFont val="Arial"/>
        <charset val="134"/>
      </rPr>
      <t>:CEO</t>
    </r>
  </si>
  <si>
    <t>thecarevoice@gmail.com</t>
  </si>
  <si>
    <t>2021-10-20</t>
  </si>
  <si>
    <t>安恒信息</t>
  </si>
  <si>
    <r>
      <rPr>
        <sz val="9"/>
        <color rgb="FF000000"/>
        <rFont val="楷体"/>
        <charset val="134"/>
      </rPr>
      <t>安恒信息于</t>
    </r>
    <r>
      <rPr>
        <sz val="9"/>
        <color rgb="FF000000"/>
        <rFont val="Arial"/>
        <charset val="134"/>
      </rPr>
      <t>2007</t>
    </r>
    <r>
      <rPr>
        <sz val="9"/>
        <color rgb="FF000000"/>
        <rFont val="楷体"/>
        <charset val="134"/>
      </rPr>
      <t>年成立，一直专注于网络信息安全领域，公司主营业务为网络信息安全产品的研发、生产及销售，并为客户提供专业的网络信息安全服务。公司的产品及服务涉及应用安全、大数据安全、云安全、物联网安全、工业控制安全及工业互联网安全等领域。</t>
    </r>
  </si>
  <si>
    <t>杭州安恒信息技术股份有限公司</t>
  </si>
  <si>
    <t>http://www.dbappsecurity.com.cn</t>
  </si>
  <si>
    <t>2006-01</t>
  </si>
  <si>
    <r>
      <rPr>
        <sz val="9"/>
        <color rgb="FF000000"/>
        <rFont val="Arial"/>
        <charset val="134"/>
      </rPr>
      <t>13.33</t>
    </r>
    <r>
      <rPr>
        <sz val="9"/>
        <color rgb="FF000000"/>
        <rFont val="楷体"/>
        <charset val="134"/>
      </rPr>
      <t>亿人民币</t>
    </r>
  </si>
  <si>
    <r>
      <rPr>
        <sz val="9"/>
        <color rgb="FF000000"/>
        <rFont val="Arial"/>
        <charset val="134"/>
      </rPr>
      <t>JPMorgan</t>
    </r>
    <r>
      <rPr>
        <sz val="9"/>
        <color rgb="FF000000"/>
        <rFont val="楷体"/>
        <charset val="134"/>
      </rPr>
      <t>摩根大通</t>
    </r>
    <r>
      <rPr>
        <sz val="9"/>
        <color rgb="FF000000"/>
        <rFont val="Arial"/>
        <charset val="134"/>
      </rPr>
      <t>,</t>
    </r>
    <r>
      <rPr>
        <sz val="9"/>
        <color rgb="FF000000"/>
        <rFont val="楷体"/>
        <charset val="134"/>
      </rPr>
      <t>中信建投资本</t>
    </r>
    <r>
      <rPr>
        <sz val="9"/>
        <color rgb="FF000000"/>
        <rFont val="Arial"/>
        <charset val="134"/>
      </rPr>
      <t>,Janchor Partners</t>
    </r>
    <r>
      <rPr>
        <sz val="9"/>
        <color rgb="FF000000"/>
        <rFont val="楷体"/>
        <charset val="134"/>
      </rPr>
      <t>建峖</t>
    </r>
    <r>
      <rPr>
        <sz val="9"/>
        <color rgb="FF000000"/>
        <rFont val="Arial"/>
        <charset val="134"/>
      </rPr>
      <t>,</t>
    </r>
    <r>
      <rPr>
        <sz val="9"/>
        <color rgb="FF000000"/>
        <rFont val="楷体"/>
        <charset val="134"/>
      </rPr>
      <t>中国电信</t>
    </r>
    <r>
      <rPr>
        <sz val="9"/>
        <color rgb="FF000000"/>
        <rFont val="Arial"/>
        <charset val="134"/>
      </rPr>
      <t>,</t>
    </r>
    <r>
      <rPr>
        <sz val="9"/>
        <color rgb="FF000000"/>
        <rFont val="楷体"/>
        <charset val="134"/>
      </rPr>
      <t>葛卫东</t>
    </r>
  </si>
  <si>
    <r>
      <rPr>
        <sz val="9"/>
        <color rgb="FF000000"/>
        <rFont val="Arial"/>
        <charset val="134"/>
      </rPr>
      <t>28.78</t>
    </r>
    <r>
      <rPr>
        <sz val="9"/>
        <color rgb="FF000000"/>
        <rFont val="楷体"/>
        <charset val="134"/>
      </rPr>
      <t>亿</t>
    </r>
  </si>
  <si>
    <r>
      <rPr>
        <sz val="9"/>
        <color rgb="FF000000"/>
        <rFont val="Arial"/>
        <charset val="134"/>
      </rPr>
      <t>66.65</t>
    </r>
    <r>
      <rPr>
        <sz val="9"/>
        <color rgb="FF000000"/>
        <rFont val="楷体"/>
        <charset val="134"/>
      </rPr>
      <t>亿元</t>
    </r>
  </si>
  <si>
    <r>
      <rPr>
        <sz val="9"/>
        <color rgb="FF000000"/>
        <rFont val="楷体"/>
        <charset val="134"/>
      </rPr>
      <t>范渊</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吴卓群</t>
    </r>
    <r>
      <rPr>
        <sz val="9"/>
        <color rgb="FF000000"/>
        <rFont val="Arial"/>
        <charset val="134"/>
      </rPr>
      <t>:</t>
    </r>
    <r>
      <rPr>
        <sz val="9"/>
        <color rgb="FF000000"/>
        <rFont val="楷体"/>
        <charset val="134"/>
      </rPr>
      <t>董事</t>
    </r>
  </si>
  <si>
    <r>
      <rPr>
        <sz val="9"/>
        <color rgb="FF000000"/>
        <rFont val="楷体"/>
        <charset val="134"/>
      </rPr>
      <t>浙江省杭州市滨江区西兴街道联慧街</t>
    </r>
    <r>
      <rPr>
        <sz val="9"/>
        <color rgb="FF000000"/>
        <rFont val="Arial"/>
        <charset val="134"/>
      </rPr>
      <t>188</t>
    </r>
    <r>
      <rPr>
        <sz val="9"/>
        <color rgb="FF000000"/>
        <rFont val="楷体"/>
        <charset val="134"/>
      </rPr>
      <t>号</t>
    </r>
  </si>
  <si>
    <t>0571-2886-0999</t>
  </si>
  <si>
    <t>info@dbappsecurity.com.c</t>
  </si>
  <si>
    <r>
      <rPr>
        <sz val="9"/>
        <color rgb="FF000000"/>
        <rFont val="Arial"/>
        <charset val="134"/>
      </rPr>
      <t>10.5</t>
    </r>
    <r>
      <rPr>
        <sz val="9"/>
        <color rgb="FF000000"/>
        <rFont val="楷体"/>
        <charset val="134"/>
      </rPr>
      <t>亿人民币</t>
    </r>
  </si>
  <si>
    <r>
      <rPr>
        <sz val="9"/>
        <color rgb="FF000000"/>
        <rFont val="楷体"/>
        <charset val="134"/>
      </rPr>
      <t>浙商创投</t>
    </r>
    <r>
      <rPr>
        <sz val="9"/>
        <color rgb="FF000000"/>
        <rFont val="Arial"/>
        <charset val="134"/>
      </rPr>
      <t>,</t>
    </r>
    <r>
      <rPr>
        <sz val="9"/>
        <color rgb="FF000000"/>
        <rFont val="楷体"/>
        <charset val="134"/>
      </rPr>
      <t>朗玛峰创投</t>
    </r>
    <r>
      <rPr>
        <sz val="9"/>
        <color rgb="FF000000"/>
        <rFont val="Arial"/>
        <charset val="134"/>
      </rPr>
      <t>,</t>
    </r>
    <r>
      <rPr>
        <sz val="9"/>
        <color rgb="FF000000"/>
        <rFont val="楷体"/>
        <charset val="134"/>
      </rPr>
      <t>碧鸿资本</t>
    </r>
  </si>
  <si>
    <r>
      <rPr>
        <sz val="9"/>
        <color rgb="FF000000"/>
        <rFont val="楷体"/>
        <charset val="134"/>
      </rPr>
      <t>东方富海</t>
    </r>
    <r>
      <rPr>
        <sz val="9"/>
        <color rgb="FF000000"/>
        <rFont val="Arial"/>
        <charset val="134"/>
      </rPr>
      <t>,</t>
    </r>
    <r>
      <rPr>
        <sz val="9"/>
        <color rgb="FF000000"/>
        <rFont val="楷体"/>
        <charset val="134"/>
      </rPr>
      <t>浙江九仁资本</t>
    </r>
    <r>
      <rPr>
        <sz val="9"/>
        <color rgb="FF000000"/>
        <rFont val="Arial"/>
        <charset val="134"/>
      </rPr>
      <t>,</t>
    </r>
    <r>
      <rPr>
        <sz val="9"/>
        <color rgb="FF000000"/>
        <rFont val="楷体"/>
        <charset val="134"/>
      </rPr>
      <t>海邦投资</t>
    </r>
    <r>
      <rPr>
        <sz val="9"/>
        <color rgb="FF000000"/>
        <rFont val="Arial"/>
        <charset val="134"/>
      </rPr>
      <t>,</t>
    </r>
    <r>
      <rPr>
        <sz val="9"/>
        <color rgb="FF000000"/>
        <rFont val="楷体"/>
        <charset val="134"/>
      </rPr>
      <t>昊翔资本</t>
    </r>
    <r>
      <rPr>
        <sz val="9"/>
        <color rgb="FF000000"/>
        <rFont val="Arial"/>
        <charset val="134"/>
      </rPr>
      <t>,</t>
    </r>
    <r>
      <rPr>
        <sz val="9"/>
        <color rgb="FF000000"/>
        <rFont val="楷体"/>
        <charset val="134"/>
      </rPr>
      <t>广州淡水泉</t>
    </r>
  </si>
  <si>
    <r>
      <rPr>
        <sz val="9"/>
        <color rgb="FF000000"/>
        <rFont val="Arial"/>
        <charset val="134"/>
      </rPr>
      <t>4500</t>
    </r>
    <r>
      <rPr>
        <sz val="9"/>
        <color rgb="FF000000"/>
        <rFont val="楷体"/>
        <charset val="134"/>
      </rPr>
      <t>万人民币</t>
    </r>
  </si>
  <si>
    <t>毅达资本</t>
  </si>
  <si>
    <r>
      <rPr>
        <sz val="9"/>
        <color rgb="FF000000"/>
        <rFont val="楷体"/>
        <charset val="134"/>
      </rPr>
      <t>浙报传媒</t>
    </r>
    <r>
      <rPr>
        <sz val="9"/>
        <color rgb="FF000000"/>
        <rFont val="Arial"/>
        <charset val="134"/>
      </rPr>
      <t>(</t>
    </r>
    <r>
      <rPr>
        <sz val="9"/>
        <color rgb="FF000000"/>
        <rFont val="楷体"/>
        <charset val="134"/>
      </rPr>
      <t>东方星空</t>
    </r>
    <r>
      <rPr>
        <sz val="9"/>
        <color rgb="FF000000"/>
        <rFont val="Arial"/>
        <charset val="134"/>
      </rPr>
      <t>),</t>
    </r>
    <r>
      <rPr>
        <sz val="9"/>
        <color rgb="FF000000"/>
        <rFont val="楷体"/>
        <charset val="134"/>
      </rPr>
      <t>长安私人资本</t>
    </r>
  </si>
  <si>
    <t>天堂硅谷</t>
  </si>
  <si>
    <t>2019-03-30</t>
  </si>
  <si>
    <t>Lyft</t>
  </si>
  <si>
    <r>
      <rPr>
        <sz val="9"/>
        <color rgb="FF000000"/>
        <rFont val="Arial"/>
        <charset val="134"/>
      </rPr>
      <t>Lyft</t>
    </r>
    <r>
      <rPr>
        <sz val="9"/>
        <color rgb="FF000000"/>
        <rFont val="楷体"/>
        <charset val="134"/>
      </rPr>
      <t>成立于</t>
    </r>
    <r>
      <rPr>
        <sz val="9"/>
        <color rgb="FF000000"/>
        <rFont val="Arial"/>
        <charset val="134"/>
      </rPr>
      <t>2007</t>
    </r>
    <r>
      <rPr>
        <sz val="9"/>
        <color rgb="FF000000"/>
        <rFont val="楷体"/>
        <charset val="134"/>
      </rPr>
      <t>年，是一家美国打车服务平台，并提供打车中的拼车服务模式，用户打开手机</t>
    </r>
    <r>
      <rPr>
        <sz val="9"/>
        <color rgb="FF000000"/>
        <rFont val="Arial"/>
        <charset val="134"/>
      </rPr>
      <t>APP</t>
    </r>
    <r>
      <rPr>
        <sz val="9"/>
        <color rgb="FF000000"/>
        <rFont val="楷体"/>
        <charset val="134"/>
      </rPr>
      <t>，即可打车；车主注册成为该公司的司机后，即可打开手机</t>
    </r>
    <r>
      <rPr>
        <sz val="9"/>
        <color rgb="FF000000"/>
        <rFont val="Arial"/>
        <charset val="134"/>
      </rPr>
      <t>APP</t>
    </r>
    <r>
      <rPr>
        <sz val="9"/>
        <color rgb="FF000000"/>
        <rFont val="楷体"/>
        <charset val="134"/>
      </rPr>
      <t>端乘载用户，平台从司机赚取的费用中抽取佣金。同时公司还为汽车制造商开发自动驾驶系统。</t>
    </r>
  </si>
  <si>
    <t>https://www.lyft.com/</t>
  </si>
  <si>
    <t>2007-01</t>
  </si>
  <si>
    <r>
      <rPr>
        <sz val="9"/>
        <color rgb="FF000000"/>
        <rFont val="楷体"/>
        <charset val="134"/>
      </rPr>
      <t>北美洲</t>
    </r>
    <r>
      <rPr>
        <sz val="9"/>
        <color rgb="FF000000"/>
        <rFont val="Arial"/>
        <charset val="134"/>
      </rPr>
      <t>-</t>
    </r>
    <r>
      <rPr>
        <sz val="9"/>
        <color rgb="FF000000"/>
        <rFont val="楷体"/>
        <charset val="134"/>
      </rPr>
      <t>美国</t>
    </r>
  </si>
  <si>
    <r>
      <rPr>
        <sz val="9"/>
        <color rgb="FF000000"/>
        <rFont val="Arial"/>
        <charset val="134"/>
      </rPr>
      <t>23</t>
    </r>
    <r>
      <rPr>
        <sz val="9"/>
        <color rgb="FF000000"/>
        <rFont val="楷体"/>
        <charset val="134"/>
      </rPr>
      <t>亿美元</t>
    </r>
  </si>
  <si>
    <r>
      <rPr>
        <sz val="9"/>
        <color rgb="FF000000"/>
        <rFont val="Arial"/>
        <charset val="134"/>
      </rPr>
      <t>451.83</t>
    </r>
    <r>
      <rPr>
        <sz val="9"/>
        <color rgb="FF000000"/>
        <rFont val="楷体"/>
        <charset val="134"/>
      </rPr>
      <t>亿</t>
    </r>
  </si>
  <si>
    <r>
      <rPr>
        <sz val="9"/>
        <color rgb="FF000000"/>
        <rFont val="Arial"/>
        <charset val="134"/>
      </rPr>
      <t>1787.5</t>
    </r>
    <r>
      <rPr>
        <sz val="9"/>
        <color rgb="FF000000"/>
        <rFont val="楷体"/>
        <charset val="134"/>
      </rPr>
      <t>亿元</t>
    </r>
  </si>
  <si>
    <t>Aditya Pratap Singh:Software Engineer,Alex Ogorek:Senior Software Engineer (T5),Alexey Zakharov:Lead Android Engineer,Alvaro Burgos:Engineering Manager,Amit Patel:Director, Emerging Business Development,Anita Avram:Senior Payments Partnerships Manager,Anne Kauth:Head of Strategy and Operations, Group Manager,Anthony Foxx:Chief Policy Officer &amp; Senior Advisor to the President &amp; CEO,Antonio Bojorges:Technical Program Manager,Anuj Jhunjhunwala:Product Manager,Arup Malakar:Software Engineer,Bill Graham:Data Systems Engineer,Bobby Sudekum:Senior iOS Engineer,Brendan Lim:Product Manager,Cal Lankton:VP, Fleet and Global Operations,Caroline Samponaro:Head of Micromobility Policy,Chaia Raibon:Senior Social Strategist, Culture &amp; Creative Strategy Lead,Chaim Sanders:Staff Individual Contributor and Manager,Chris Lambert:CTO,Chris Martin:Data, Science &amp; ML,Cody Raduha:Staff Design Program Manager,Curtis Scott:Vice President, Customer Platform,Dan Katz:Senior Director, Public Policy,Dan Reif:Engineering Manager, RSWE,Daniel Hochman:Platform Engineer,Daniel Meacham:Product Director,Daniel Spangenberg:Staff Cloud Security Engineer,Devendra Tagare:Director, Marketplace Engineering,Diego Pontoriero:Senior Staff Software Engineer,Eahab El Naga:Hardware Program Lead - Vehicles,Elaine Paul:Chief Financial Officer,Elana Krieger:Director, People Lead, Bikes and Scooters,Elin Mulron:Senior Director, Outreach Innovation &amp; Driver Enablement,Fahrettin Tasdelen:Product Designer,Faizan Bhatty:Head of Revenue,Frank Hebbert:Product Manager, Transit Bikes and Scooters,Ganesh Prabhu:Software Data Engineer,Gastón Kleiman:Staff Software Engineer,Han Wang:Staff Engineer Machine Learning,Hao Yi Ong:Staff Data Scientist,Heather Torres:Head of People Analytics &amp; Strategy,Howard Grimberg:Senior Software Engineer,Howe Wang:Group Analytics Manager/Machine Learning Resident/Data Product Manager,Ian Finlay:Staff Engineer &amp; Manager,James DeAngelis:Product Designer,James Taylor:Software Engineer,Jen Hensley:VP, Head of Government Relations,Jens Windau:Hardware Data Scientist, Bikes &amp; Scooters,Jesse McMillin:VP Creative Director,Jin Hyuk Chang:Software Engineering Manager,Jody Kelman:Head of Lyft Autonomous,John Egan:Sr Director of Engineering - Rider App,John Maddox:Senior Director, Autonomous Safety and Compliance,John Zimmer:Co-Founder and President,Jon Walker:Environmental Sustainability Manager,Jordan Glassberg:Senior Director Strategic Business Development,Jose Nino:Staff Software Engineer,Julia Briggs Parsons:Senior Director, Partnership Marketing,Justin Moore:VP, Engineering,Kaan Meralan:Director Of Engineering, Head of Lyft Business,Karolis Malcevičius:Sr. Product Designer,Karthik Subramaniam:Director, Engineering,Kenan Saleh:General Manager,Kristin Sverchek:General Counsel,Logan Green:Co-Founder and CEO,Lukas Platinsky:Staff Software Engineer,Manu Kumar:Investor,Marcos Iglesias:Staff Engineer - Data Tools,Mark Roberts:Head of Business Strategy; Transit, Bikes and Scooters,Martin Conte Mac Donell:Senior Director Of Engineering,Matt Klein:Plumber,Matt Van Horn:Co-Founder &amp; Advisor,Matthew Piccolella:Product Manager,Matthew Smith:Angel Investor,Max Loosen:Regional Director,Michael Frumin:Director of Product and Data Science for Transit, Bikes, and Scooters (Hiring!),Michael Hudes:Head of Growth, Lyft Media,Michael Rebello:Staff (iOS) Engineer,Michelle Gonzalez:Lyft Driver,Mike DiCarlo:Senior Director,Nicholas DiPastena:Sr. Manager, Strategic Partnerships (Electric Vehicles and Driver),Nico Waisman:Head of Security and Privacy,Pablo Alejandro Pérez Martínez:Software Engineer,Paige Craig:Investor,Peter Morelli:Vice President, Engineering,Petr Odehnal:Software Developer,Pierre-Guillaume Herveou:Senior Software Engineer,Rajiv Bhatia:VP of Product | Head of Driver and Rider Product + Growth,Richard Wimmer:Head of Electrical Engineering,Ryan Cox:Senior Engineering Manager,Sacha Arnoud:Level 5 - Senior Director of Engineering,Sam de Freyssinet:Engineering Manager, Compute,Sammy Sidhu:Senior Staff Software Engineer,Sarah Fazal:Global Program Manager, Delivery,Scott Borowski:Driver,Shashi Kant Sharma:Group Product Manager, Driver Earnings,Shawn Shaligram:ICM,Siddharth Patil:Sr Director, Data Science for Rideshare,Susan Kennedy:Vice President of Communications,Taggart Matthiesen:VP Product, Autonomous,Timothy Miko:Software Engineer,Vera Korshunova:Director, People PMO,Yann Ramin:Senior Staff Software Engineer,Zachary Greenberger:Head of Strategic Business Development &amp; Central Supply Chain,Shervin Pishevar:Investor,Darren Maclean:Executive Director of IT and Systems,David Risher:Chief Executive Officer,Greg Kuwaye:Software Engineer,Matthew Davis:Staff iOS Engineer</t>
  </si>
  <si>
    <t>Fidelity Management and Research Company</t>
  </si>
  <si>
    <t>Magna International Inc</t>
  </si>
  <si>
    <r>
      <rPr>
        <sz val="9"/>
        <color rgb="FF000000"/>
        <rFont val="Arial"/>
        <charset val="134"/>
      </rPr>
      <t>CapitalG</t>
    </r>
    <r>
      <rPr>
        <sz val="9"/>
        <color rgb="FF000000"/>
        <rFont val="楷体"/>
        <charset val="134"/>
      </rPr>
      <t>谷歌资本</t>
    </r>
  </si>
  <si>
    <t>捷豹路虎</t>
  </si>
  <si>
    <t>KKR</t>
  </si>
  <si>
    <r>
      <rPr>
        <sz val="9"/>
        <color rgb="FF000000"/>
        <rFont val="楷体"/>
        <charset val="134"/>
      </rPr>
      <t>阿里巴巴</t>
    </r>
    <r>
      <rPr>
        <sz val="9"/>
        <color rgb="FF000000"/>
        <rFont val="Arial"/>
        <charset val="134"/>
      </rPr>
      <t>,</t>
    </r>
    <r>
      <rPr>
        <sz val="9"/>
        <color rgb="FF000000"/>
        <rFont val="楷体"/>
        <charset val="134"/>
      </rPr>
      <t>日本乐天</t>
    </r>
    <r>
      <rPr>
        <sz val="9"/>
        <color rgb="FF000000"/>
        <rFont val="Arial"/>
        <charset val="134"/>
      </rPr>
      <t>Rakuten,</t>
    </r>
    <r>
      <rPr>
        <sz val="9"/>
        <color rgb="FF000000"/>
        <rFont val="楷体"/>
        <charset val="134"/>
      </rPr>
      <t>滴滴出行</t>
    </r>
    <r>
      <rPr>
        <sz val="9"/>
        <color rgb="FF000000"/>
        <rFont val="Arial"/>
        <charset val="134"/>
      </rPr>
      <t>,</t>
    </r>
    <r>
      <rPr>
        <sz val="9"/>
        <color rgb="FF000000"/>
        <rFont val="楷体"/>
        <charset val="134"/>
      </rPr>
      <t>通用汽车</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</si>
  <si>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滴滴出行</t>
    </r>
  </si>
  <si>
    <t>Rakuten Ventures</t>
  </si>
  <si>
    <r>
      <rPr>
        <sz val="9"/>
        <color rgb="FF000000"/>
        <rFont val="楷体"/>
        <charset val="134"/>
      </rPr>
      <t>阿里巴巴</t>
    </r>
    <r>
      <rPr>
        <sz val="9"/>
        <color rgb="FF000000"/>
        <rFont val="Arial"/>
        <charset val="134"/>
      </rPr>
      <t>,Third Point Ventures,Andreessen Horowitz-a16z,Founders Fund,Mayfield Fund,Coatue Management</t>
    </r>
  </si>
  <si>
    <t>Andreessen Horowitz-a16z</t>
  </si>
  <si>
    <t>Founders Fund</t>
  </si>
  <si>
    <r>
      <rPr>
        <sz val="9"/>
        <color rgb="FF000000"/>
        <rFont val="Arial"/>
        <charset val="134"/>
      </rPr>
      <t>600</t>
    </r>
    <r>
      <rPr>
        <sz val="9"/>
        <color rgb="FF000000"/>
        <rFont val="楷体"/>
        <charset val="134"/>
      </rPr>
      <t>万美元</t>
    </r>
  </si>
  <si>
    <t>Mayfield Fund</t>
  </si>
  <si>
    <r>
      <rPr>
        <sz val="9"/>
        <color rgb="FF000000"/>
        <rFont val="Arial"/>
        <charset val="134"/>
      </rPr>
      <t>30</t>
    </r>
    <r>
      <rPr>
        <sz val="9"/>
        <color rgb="FF000000"/>
        <rFont val="楷体"/>
        <charset val="134"/>
      </rPr>
      <t>万美元</t>
    </r>
  </si>
  <si>
    <t>fbFund</t>
  </si>
  <si>
    <t>2014-03-19</t>
  </si>
  <si>
    <t>Tango</t>
  </si>
  <si>
    <r>
      <rPr>
        <sz val="9"/>
        <color rgb="FF000000"/>
        <rFont val="Arial"/>
        <charset val="134"/>
      </rPr>
      <t>Tango</t>
    </r>
    <r>
      <rPr>
        <sz val="9"/>
        <color rgb="FF000000"/>
        <rFont val="楷体"/>
        <charset val="134"/>
      </rPr>
      <t>成立于</t>
    </r>
    <r>
      <rPr>
        <sz val="9"/>
        <color rgb="FF000000"/>
        <rFont val="Arial"/>
        <charset val="134"/>
      </rPr>
      <t>2009</t>
    </r>
    <r>
      <rPr>
        <sz val="9"/>
        <color rgb="FF000000"/>
        <rFont val="楷体"/>
        <charset val="134"/>
      </rPr>
      <t>年，是一个手机上的移动社交应用，主打美国、西欧、中东和东南亚部分地区，全球注册用户超过</t>
    </r>
    <r>
      <rPr>
        <sz val="9"/>
        <color rgb="FF000000"/>
        <rFont val="Arial"/>
        <charset val="134"/>
      </rPr>
      <t>2</t>
    </r>
    <r>
      <rPr>
        <sz val="9"/>
        <color rgb="FF000000"/>
        <rFont val="楷体"/>
        <charset val="134"/>
      </rPr>
      <t>亿人，月活跃用户</t>
    </r>
    <r>
      <rPr>
        <sz val="9"/>
        <color rgb="FF000000"/>
        <rFont val="Arial"/>
        <charset val="134"/>
      </rPr>
      <t>7000</t>
    </r>
    <r>
      <rPr>
        <sz val="9"/>
        <color rgb="FF000000"/>
        <rFont val="楷体"/>
        <charset val="134"/>
      </rPr>
      <t>万。</t>
    </r>
  </si>
  <si>
    <t>http://www.tango.me/</t>
  </si>
  <si>
    <t>2009-09</t>
  </si>
  <si>
    <t>综合社交</t>
  </si>
  <si>
    <r>
      <rPr>
        <sz val="9"/>
        <color rgb="FF000000"/>
        <rFont val="Arial"/>
        <charset val="134"/>
      </rPr>
      <t>2.8</t>
    </r>
    <r>
      <rPr>
        <sz val="9"/>
        <color rgb="FF000000"/>
        <rFont val="楷体"/>
        <charset val="134"/>
      </rPr>
      <t>亿美元</t>
    </r>
  </si>
  <si>
    <r>
      <rPr>
        <sz val="9"/>
        <color rgb="FF000000"/>
        <rFont val="楷体"/>
        <charset val="134"/>
      </rPr>
      <t>高通</t>
    </r>
    <r>
      <rPr>
        <sz val="9"/>
        <color rgb="FF000000"/>
        <rFont val="Arial"/>
        <charset val="134"/>
      </rPr>
      <t>Qualcomm Ventures,</t>
    </r>
    <r>
      <rPr>
        <sz val="9"/>
        <color rgb="FF000000"/>
        <rFont val="楷体"/>
        <charset val="134"/>
      </rPr>
      <t>阿里巴巴</t>
    </r>
    <r>
      <rPr>
        <sz val="9"/>
        <color rgb="FF000000"/>
        <rFont val="Arial"/>
        <charset val="134"/>
      </rPr>
      <t>,DFJ</t>
    </r>
    <r>
      <rPr>
        <sz val="9"/>
        <color rgb="FF000000"/>
        <rFont val="楷体"/>
        <charset val="134"/>
      </rPr>
      <t>德丰杰</t>
    </r>
    <r>
      <rPr>
        <sz val="9"/>
        <color rgb="FF000000"/>
        <rFont val="Arial"/>
        <charset val="134"/>
      </rPr>
      <t>(</t>
    </r>
    <r>
      <rPr>
        <sz val="9"/>
        <color rgb="FF000000"/>
        <rFont val="楷体"/>
        <charset val="134"/>
      </rPr>
      <t>全球</t>
    </r>
    <r>
      <rPr>
        <sz val="9"/>
        <color rgb="FF000000"/>
        <rFont val="Arial"/>
        <charset val="134"/>
      </rPr>
      <t>)</t>
    </r>
  </si>
  <si>
    <r>
      <rPr>
        <sz val="9"/>
        <color rgb="FF000000"/>
        <rFont val="Arial"/>
        <charset val="134"/>
      </rPr>
      <t>23.54</t>
    </r>
    <r>
      <rPr>
        <sz val="9"/>
        <color rgb="FF000000"/>
        <rFont val="楷体"/>
        <charset val="134"/>
      </rPr>
      <t>亿</t>
    </r>
  </si>
  <si>
    <r>
      <rPr>
        <sz val="9"/>
        <color rgb="FF000000"/>
        <rFont val="Arial"/>
        <charset val="134"/>
      </rPr>
      <t>71.5</t>
    </r>
    <r>
      <rPr>
        <sz val="9"/>
        <color rgb="FF000000"/>
        <rFont val="楷体"/>
        <charset val="134"/>
      </rPr>
      <t>亿元</t>
    </r>
  </si>
  <si>
    <t>Dee Conway:Content Moderator,Eric Setton:Consulting Executive &amp; board member,Garrett Clyde:Engineering Manager,Maxime Heckel:Senior Frontend Engineer,Tong Wang:Director Of Engineering, joined as Sr. Software Engineer,Uri Raz:Founder &amp; Executive Chairman,Bernardo Pericacho:Engineering Manager</t>
  </si>
  <si>
    <r>
      <rPr>
        <sz val="9"/>
        <color rgb="FF000000"/>
        <rFont val="楷体"/>
        <charset val="134"/>
      </rPr>
      <t>高通</t>
    </r>
    <r>
      <rPr>
        <sz val="9"/>
        <color rgb="FF000000"/>
        <rFont val="Arial"/>
        <charset val="134"/>
      </rPr>
      <t>Qualcomm Ventures,Access BridgeGap Ventures</t>
    </r>
  </si>
  <si>
    <r>
      <rPr>
        <sz val="9"/>
        <color rgb="FF000000"/>
        <rFont val="Arial"/>
        <charset val="134"/>
      </rPr>
      <t>4200</t>
    </r>
    <r>
      <rPr>
        <sz val="9"/>
        <color rgb="FF000000"/>
        <rFont val="楷体"/>
        <charset val="134"/>
      </rPr>
      <t>万美元</t>
    </r>
  </si>
  <si>
    <t>Translink Capital,14W,IT-Farm,Draper Fisher Jurvetson,Len Blavatnik</t>
  </si>
  <si>
    <r>
      <rPr>
        <sz val="9"/>
        <color rgb="FF000000"/>
        <rFont val="Arial"/>
        <charset val="134"/>
      </rPr>
      <t>50</t>
    </r>
    <r>
      <rPr>
        <sz val="9"/>
        <color rgb="FF000000"/>
        <rFont val="楷体"/>
        <charset val="134"/>
      </rPr>
      <t>万人民币</t>
    </r>
  </si>
  <si>
    <t>Bill Tai,WR Hambrecht</t>
  </si>
  <si>
    <t>2014-12-12</t>
  </si>
  <si>
    <t>KTplay盟游网络科技</t>
  </si>
  <si>
    <r>
      <rPr>
        <sz val="9"/>
        <color rgb="FF000000"/>
        <rFont val="Arial"/>
        <charset val="134"/>
      </rPr>
      <t>KTplay</t>
    </r>
    <r>
      <rPr>
        <sz val="9"/>
        <color rgb="FF000000"/>
        <rFont val="楷体"/>
        <charset val="134"/>
      </rPr>
      <t>盟游网络科技</t>
    </r>
  </si>
  <si>
    <r>
      <rPr>
        <sz val="9"/>
        <color rgb="FF000000"/>
        <rFont val="Arial"/>
        <charset val="134"/>
      </rPr>
      <t>KTplay</t>
    </r>
    <r>
      <rPr>
        <sz val="9"/>
        <color rgb="FF000000"/>
        <rFont val="楷体"/>
        <charset val="134"/>
      </rPr>
      <t>是一个游戏社交引擎，能让你的游戏迅速变身为一款社交化游戏，让你实时在线地管理游戏、与用户互动，并且帮你增加营收。北京盟游网络科技有限公司旗下产品。</t>
    </r>
  </si>
  <si>
    <t>北京盟游网络科技有限公司</t>
  </si>
  <si>
    <t>http://cn.ktplay.com/</t>
  </si>
  <si>
    <t>2014-03</t>
  </si>
  <si>
    <t>其他游戏服务</t>
  </si>
  <si>
    <r>
      <rPr>
        <sz val="9"/>
        <color rgb="FF000000"/>
        <rFont val="Arial"/>
        <charset val="134"/>
      </rPr>
      <t>300</t>
    </r>
    <r>
      <rPr>
        <sz val="9"/>
        <color rgb="FF000000"/>
        <rFont val="楷体"/>
        <charset val="134"/>
      </rPr>
      <t>万</t>
    </r>
  </si>
  <si>
    <r>
      <rPr>
        <sz val="9"/>
        <color rgb="FF000000"/>
        <rFont val="Arial"/>
        <charset val="134"/>
      </rPr>
      <t>1500</t>
    </r>
    <r>
      <rPr>
        <sz val="9"/>
        <color rgb="FF000000"/>
        <rFont val="楷体"/>
        <charset val="134"/>
      </rPr>
      <t>万元</t>
    </r>
  </si>
  <si>
    <r>
      <rPr>
        <sz val="9"/>
        <color rgb="FF000000"/>
        <rFont val="楷体"/>
        <charset val="134"/>
      </rPr>
      <t>刘继文</t>
    </r>
    <r>
      <rPr>
        <sz val="9"/>
        <color rgb="FF000000"/>
        <rFont val="Arial"/>
        <charset val="134"/>
      </rPr>
      <t>:</t>
    </r>
    <r>
      <rPr>
        <sz val="9"/>
        <color rgb="FF000000"/>
        <rFont val="楷体"/>
        <charset val="134"/>
      </rPr>
      <t>首席产品官</t>
    </r>
  </si>
  <si>
    <t>2014-06-01</t>
  </si>
  <si>
    <t>UC优视科技</t>
  </si>
  <si>
    <r>
      <rPr>
        <sz val="9"/>
        <color rgb="FF000000"/>
        <rFont val="Arial"/>
        <charset val="134"/>
      </rPr>
      <t>UC</t>
    </r>
    <r>
      <rPr>
        <sz val="9"/>
        <color rgb="FF000000"/>
        <rFont val="楷体"/>
        <charset val="134"/>
      </rPr>
      <t>优视科技</t>
    </r>
  </si>
  <si>
    <r>
      <rPr>
        <sz val="9"/>
        <color rgb="FF000000"/>
        <rFont val="Arial"/>
        <charset val="134"/>
      </rPr>
      <t>UC</t>
    </r>
    <r>
      <rPr>
        <sz val="9"/>
        <color rgb="FF000000"/>
        <rFont val="楷体"/>
        <charset val="134"/>
      </rPr>
      <t>优视是一家移动互联网公司，旗下有</t>
    </r>
    <r>
      <rPr>
        <sz val="9"/>
        <color rgb="FF000000"/>
        <rFont val="Arial"/>
        <charset val="134"/>
      </rPr>
      <t>UC</t>
    </r>
    <r>
      <rPr>
        <sz val="9"/>
        <color rgb="FF000000"/>
        <rFont val="楷体"/>
        <charset val="134"/>
      </rPr>
      <t>浏览器、九游、</t>
    </r>
    <r>
      <rPr>
        <sz val="9"/>
        <color rgb="FF000000"/>
        <rFont val="Arial"/>
        <charset val="134"/>
      </rPr>
      <t>UC</t>
    </r>
    <r>
      <rPr>
        <sz val="9"/>
        <color rgb="FF000000"/>
        <rFont val="楷体"/>
        <charset val="134"/>
      </rPr>
      <t>云等产品，隶属于广州市动景计算机科技有限公司。</t>
    </r>
  </si>
  <si>
    <t>广州市动景计算机科技有限公司</t>
  </si>
  <si>
    <t>http://www.uc.cn</t>
  </si>
  <si>
    <t>2004-04</t>
  </si>
  <si>
    <t>综合工具服务</t>
  </si>
  <si>
    <r>
      <rPr>
        <sz val="9"/>
        <color rgb="FF000000"/>
        <rFont val="Arial"/>
        <charset val="134"/>
      </rPr>
      <t>50.67</t>
    </r>
    <r>
      <rPr>
        <sz val="9"/>
        <color rgb="FF000000"/>
        <rFont val="楷体"/>
        <charset val="134"/>
      </rPr>
      <t>亿</t>
    </r>
  </si>
  <si>
    <r>
      <rPr>
        <sz val="9"/>
        <color rgb="FF000000"/>
        <rFont val="楷体"/>
        <charset val="134"/>
      </rPr>
      <t>俞永福</t>
    </r>
    <r>
      <rPr>
        <sz val="9"/>
        <color rgb="FF000000"/>
        <rFont val="Arial"/>
        <charset val="134"/>
      </rPr>
      <t>:CEO,</t>
    </r>
    <r>
      <rPr>
        <sz val="9"/>
        <color rgb="FF000000"/>
        <rFont val="楷体"/>
        <charset val="134"/>
      </rPr>
      <t>梁捷</t>
    </r>
    <r>
      <rPr>
        <sz val="9"/>
        <color rgb="FF000000"/>
        <rFont val="Arial"/>
        <charset val="134"/>
      </rPr>
      <t>:CTO,</t>
    </r>
    <r>
      <rPr>
        <sz val="9"/>
        <color rgb="FF000000"/>
        <rFont val="楷体"/>
        <charset val="134"/>
      </rPr>
      <t>何小鹏</t>
    </r>
    <r>
      <rPr>
        <sz val="9"/>
        <color rgb="FF000000"/>
        <rFont val="Arial"/>
        <charset val="134"/>
      </rPr>
      <t>:</t>
    </r>
    <r>
      <rPr>
        <sz val="9"/>
        <color rgb="FF000000"/>
        <rFont val="楷体"/>
        <charset val="134"/>
      </rPr>
      <t>产品总裁</t>
    </r>
  </si>
  <si>
    <r>
      <rPr>
        <sz val="9"/>
        <color rgb="FF000000"/>
        <rFont val="Arial"/>
        <charset val="134"/>
      </rPr>
      <t>5.06</t>
    </r>
    <r>
      <rPr>
        <sz val="9"/>
        <color rgb="FF000000"/>
        <rFont val="楷体"/>
        <charset val="134"/>
      </rPr>
      <t>亿美元</t>
    </r>
  </si>
  <si>
    <r>
      <rPr>
        <sz val="9"/>
        <color rgb="FF000000"/>
        <rFont val="Arial"/>
        <charset val="134"/>
      </rPr>
      <t>GGV</t>
    </r>
    <r>
      <rPr>
        <sz val="9"/>
        <color rgb="FF000000"/>
        <rFont val="楷体"/>
        <charset val="134"/>
      </rPr>
      <t>纪源资本</t>
    </r>
  </si>
  <si>
    <t>诺基亚成长基金</t>
  </si>
  <si>
    <r>
      <rPr>
        <sz val="9"/>
        <color rgb="FF000000"/>
        <rFont val="楷体"/>
        <charset val="134"/>
      </rPr>
      <t>五源资本</t>
    </r>
    <r>
      <rPr>
        <sz val="9"/>
        <color rgb="FF000000"/>
        <rFont val="Arial"/>
        <charset val="134"/>
      </rPr>
      <t>,</t>
    </r>
    <r>
      <rPr>
        <sz val="9"/>
        <color rgb="FF000000"/>
        <rFont val="楷体"/>
        <charset val="134"/>
      </rPr>
      <t>策源创投</t>
    </r>
    <r>
      <rPr>
        <sz val="9"/>
        <color rgb="FF000000"/>
        <rFont val="Arial"/>
        <charset val="134"/>
      </rPr>
      <t>,</t>
    </r>
    <r>
      <rPr>
        <sz val="9"/>
        <color rgb="FF000000"/>
        <rFont val="楷体"/>
        <charset val="134"/>
      </rPr>
      <t>阿里巴巴</t>
    </r>
  </si>
  <si>
    <r>
      <rPr>
        <sz val="9"/>
        <color rgb="FF000000"/>
        <rFont val="楷体"/>
        <charset val="134"/>
      </rPr>
      <t>五源资本</t>
    </r>
    <r>
      <rPr>
        <sz val="9"/>
        <color rgb="FF000000"/>
        <rFont val="Arial"/>
        <charset val="134"/>
      </rPr>
      <t>,</t>
    </r>
    <r>
      <rPr>
        <sz val="9"/>
        <color rgb="FF000000"/>
        <rFont val="楷体"/>
        <charset val="134"/>
      </rPr>
      <t>策源创投</t>
    </r>
  </si>
  <si>
    <r>
      <rPr>
        <sz val="9"/>
        <color rgb="FF000000"/>
        <rFont val="楷体"/>
        <charset val="134"/>
      </rPr>
      <t>雷军</t>
    </r>
    <r>
      <rPr>
        <sz val="9"/>
        <color rgb="FF000000"/>
        <rFont val="Arial"/>
        <charset val="134"/>
      </rPr>
      <t>-</t>
    </r>
    <r>
      <rPr>
        <sz val="9"/>
        <color rgb="FF000000"/>
        <rFont val="楷体"/>
        <charset val="134"/>
      </rPr>
      <t>顺为创业</t>
    </r>
    <r>
      <rPr>
        <sz val="9"/>
        <color rgb="FF000000"/>
        <rFont val="Arial"/>
        <charset val="134"/>
      </rPr>
      <t>,</t>
    </r>
    <r>
      <rPr>
        <sz val="9"/>
        <color rgb="FF000000"/>
        <rFont val="楷体"/>
        <charset val="134"/>
      </rPr>
      <t>雷军</t>
    </r>
  </si>
  <si>
    <t>2015-11-06</t>
  </si>
  <si>
    <t>优酷</t>
  </si>
  <si>
    <r>
      <rPr>
        <sz val="9"/>
        <color rgb="FF000000"/>
        <rFont val="楷体"/>
        <charset val="134"/>
      </rPr>
      <t>合一集团（原优酷土豆集团）是一个综合视频服务商，提供视频发布、搜索、分享、播放服务，</t>
    </r>
    <r>
      <rPr>
        <sz val="9"/>
        <color rgb="FF000000"/>
        <rFont val="Arial"/>
        <charset val="134"/>
      </rPr>
      <t>2012</t>
    </r>
    <r>
      <rPr>
        <sz val="9"/>
        <color rgb="FF000000"/>
        <rFont val="楷体"/>
        <charset val="134"/>
      </rPr>
      <t>年由优酷和土豆合并而成。</t>
    </r>
  </si>
  <si>
    <t>优酷信息技术（北京）有限公司</t>
  </si>
  <si>
    <t>http://www.youku.com/</t>
  </si>
  <si>
    <t>2006-02</t>
  </si>
  <si>
    <r>
      <rPr>
        <sz val="9"/>
        <color rgb="FF000000"/>
        <rFont val="Arial"/>
        <charset val="134"/>
      </rPr>
      <t>46.7</t>
    </r>
    <r>
      <rPr>
        <sz val="9"/>
        <color rgb="FF000000"/>
        <rFont val="楷体"/>
        <charset val="134"/>
      </rPr>
      <t>亿美元</t>
    </r>
  </si>
  <si>
    <r>
      <rPr>
        <sz val="9"/>
        <color rgb="FF000000"/>
        <rFont val="Arial"/>
        <charset val="134"/>
      </rPr>
      <t>411.45</t>
    </r>
    <r>
      <rPr>
        <sz val="9"/>
        <color rgb="FF000000"/>
        <rFont val="楷体"/>
        <charset val="134"/>
      </rPr>
      <t>亿</t>
    </r>
  </si>
  <si>
    <r>
      <rPr>
        <sz val="9"/>
        <color rgb="FF000000"/>
        <rFont val="Arial"/>
        <charset val="134"/>
      </rPr>
      <t>1517.75</t>
    </r>
    <r>
      <rPr>
        <sz val="9"/>
        <color rgb="FF000000"/>
        <rFont val="楷体"/>
        <charset val="134"/>
      </rPr>
      <t>亿元</t>
    </r>
  </si>
  <si>
    <r>
      <rPr>
        <sz val="9"/>
        <color rgb="FF000000"/>
        <rFont val="楷体"/>
        <charset val="134"/>
      </rPr>
      <t>古永锵</t>
    </r>
    <r>
      <rPr>
        <sz val="9"/>
        <color rgb="FF000000"/>
        <rFont val="Arial"/>
        <charset val="134"/>
      </rPr>
      <t>:CEO</t>
    </r>
  </si>
  <si>
    <r>
      <rPr>
        <sz val="9"/>
        <color rgb="FF000000"/>
        <rFont val="楷体"/>
        <charset val="134"/>
      </rPr>
      <t>北京市朝阳区望京东园四区</t>
    </r>
    <r>
      <rPr>
        <sz val="9"/>
        <color rgb="FF000000"/>
        <rFont val="Arial"/>
        <charset val="134"/>
      </rPr>
      <t>4</t>
    </r>
    <r>
      <rPr>
        <sz val="9"/>
        <color rgb="FF000000"/>
        <rFont val="楷体"/>
        <charset val="134"/>
      </rPr>
      <t>号楼</t>
    </r>
  </si>
  <si>
    <t>010-5885-1881</t>
  </si>
  <si>
    <t>bd-team@alibabacloud.com;song.zhang@woxiu.com</t>
  </si>
  <si>
    <r>
      <rPr>
        <sz val="9"/>
        <color rgb="FF000000"/>
        <rFont val="Arial"/>
        <charset val="134"/>
      </rPr>
      <t>12.2</t>
    </r>
    <r>
      <rPr>
        <sz val="9"/>
        <color rgb="FF000000"/>
        <rFont val="楷体"/>
        <charset val="134"/>
      </rPr>
      <t>亿美元</t>
    </r>
  </si>
  <si>
    <t>土豆网</t>
  </si>
  <si>
    <r>
      <rPr>
        <sz val="9"/>
        <color rgb="FF000000"/>
        <rFont val="楷体"/>
        <charset val="134"/>
      </rPr>
      <t>成为资本</t>
    </r>
    <r>
      <rPr>
        <sz val="9"/>
        <color rgb="FF000000"/>
        <rFont val="Arial"/>
        <charset val="134"/>
      </rPr>
      <t>,</t>
    </r>
    <r>
      <rPr>
        <sz val="9"/>
        <color rgb="FF000000"/>
        <rFont val="楷体"/>
        <charset val="134"/>
      </rPr>
      <t>新天域资本</t>
    </r>
    <r>
      <rPr>
        <sz val="9"/>
        <color rgb="FF000000"/>
        <rFont val="Arial"/>
        <charset val="134"/>
      </rPr>
      <t>,Farallon Capital</t>
    </r>
    <r>
      <rPr>
        <sz val="9"/>
        <color rgb="FF000000"/>
        <rFont val="楷体"/>
        <charset val="134"/>
      </rPr>
      <t>法拉龙资本</t>
    </r>
    <r>
      <rPr>
        <sz val="9"/>
        <color rgb="FF000000"/>
        <rFont val="Arial"/>
        <charset val="134"/>
      </rPr>
      <t>,MaverickCapital,T. Rowe Price,BrooksideCapital</t>
    </r>
  </si>
  <si>
    <r>
      <rPr>
        <sz val="9"/>
        <color rgb="FF000000"/>
        <rFont val="楷体"/>
        <charset val="134"/>
      </rPr>
      <t>成为资本</t>
    </r>
    <r>
      <rPr>
        <sz val="9"/>
        <color rgb="FF000000"/>
        <rFont val="Arial"/>
        <charset val="134"/>
      </rPr>
      <t>,</t>
    </r>
    <r>
      <rPr>
        <sz val="9"/>
        <color rgb="FF000000"/>
        <rFont val="楷体"/>
        <charset val="134"/>
      </rPr>
      <t>贝恩资本</t>
    </r>
    <r>
      <rPr>
        <sz val="9"/>
        <color rgb="FF000000"/>
        <rFont val="Arial"/>
        <charset val="134"/>
      </rPr>
      <t>BainCapital,Sutter Hill Ventures,Farallon Capital</t>
    </r>
    <r>
      <rPr>
        <sz val="9"/>
        <color rgb="FF000000"/>
        <rFont val="楷体"/>
        <charset val="134"/>
      </rPr>
      <t>法拉龙资本</t>
    </r>
    <r>
      <rPr>
        <sz val="9"/>
        <color rgb="FF000000"/>
        <rFont val="Arial"/>
        <charset val="134"/>
      </rPr>
      <t>,MaverickCapital</t>
    </r>
  </si>
  <si>
    <r>
      <rPr>
        <sz val="9"/>
        <color rgb="FF000000"/>
        <rFont val="楷体"/>
        <charset val="134"/>
      </rPr>
      <t>成为资本</t>
    </r>
    <r>
      <rPr>
        <sz val="9"/>
        <color rgb="FF000000"/>
        <rFont val="Arial"/>
        <charset val="134"/>
      </rPr>
      <t>,</t>
    </r>
    <r>
      <rPr>
        <sz val="9"/>
        <color rgb="FF000000"/>
        <rFont val="楷体"/>
        <charset val="134"/>
      </rPr>
      <t>贝恩资本</t>
    </r>
    <r>
      <rPr>
        <sz val="9"/>
        <color rgb="FF000000"/>
        <rFont val="Arial"/>
        <charset val="134"/>
      </rPr>
      <t>BainCapital,Sutter Hill Ventures,Farallon Capital</t>
    </r>
    <r>
      <rPr>
        <sz val="9"/>
        <color rgb="FF000000"/>
        <rFont val="楷体"/>
        <charset val="134"/>
      </rPr>
      <t>法拉龙资本</t>
    </r>
  </si>
  <si>
    <r>
      <rPr>
        <sz val="9"/>
        <color rgb="FF000000"/>
        <rFont val="楷体"/>
        <charset val="134"/>
      </rPr>
      <t>成为资本</t>
    </r>
    <r>
      <rPr>
        <sz val="9"/>
        <color rgb="FF000000"/>
        <rFont val="Arial"/>
        <charset val="134"/>
      </rPr>
      <t>,Sutter Hill Ventures,Farallon Capital</t>
    </r>
    <r>
      <rPr>
        <sz val="9"/>
        <color rgb="FF000000"/>
        <rFont val="楷体"/>
        <charset val="134"/>
      </rPr>
      <t>法拉龙资本</t>
    </r>
  </si>
  <si>
    <t>2020-11-06</t>
  </si>
  <si>
    <t>Farfetch</t>
  </si>
  <si>
    <r>
      <rPr>
        <sz val="9"/>
        <color rgb="FF000000"/>
        <rFont val="Arial"/>
        <charset val="134"/>
      </rPr>
      <t>Farfetch</t>
    </r>
    <r>
      <rPr>
        <sz val="9"/>
        <color rgb="FF000000"/>
        <rFont val="楷体"/>
        <charset val="134"/>
      </rPr>
      <t>是一家英国奢侈品电商平台，消费者可以在</t>
    </r>
    <r>
      <rPr>
        <sz val="9"/>
        <color rgb="FF000000"/>
        <rFont val="Arial"/>
        <charset val="134"/>
      </rPr>
      <t>Farfetch</t>
    </r>
    <r>
      <rPr>
        <sz val="9"/>
        <color rgb="FF000000"/>
        <rFont val="楷体"/>
        <charset val="134"/>
      </rPr>
      <t>的手机</t>
    </r>
    <r>
      <rPr>
        <sz val="9"/>
        <color rgb="FF000000"/>
        <rFont val="Arial"/>
        <charset val="134"/>
      </rPr>
      <t>App</t>
    </r>
    <r>
      <rPr>
        <sz val="9"/>
        <color rgb="FF000000"/>
        <rFont val="楷体"/>
        <charset val="134"/>
      </rPr>
      <t>以及网站购买到</t>
    </r>
    <r>
      <rPr>
        <sz val="9"/>
        <color rgb="FF000000"/>
        <rFont val="Arial"/>
        <charset val="134"/>
      </rPr>
      <t>Gucci</t>
    </r>
    <r>
      <rPr>
        <sz val="9"/>
        <color rgb="FF000000"/>
        <rFont val="楷体"/>
        <charset val="134"/>
      </rPr>
      <t>的精选产品，一旦下单成功，</t>
    </r>
    <r>
      <rPr>
        <sz val="9"/>
        <color rgb="FF000000"/>
        <rFont val="Arial"/>
        <charset val="134"/>
      </rPr>
      <t>Farfetch</t>
    </r>
    <r>
      <rPr>
        <sz val="9"/>
        <color rgb="FF000000"/>
        <rFont val="楷体"/>
        <charset val="134"/>
      </rPr>
      <t>会从伦敦、纽约、迪拜、洛杉矶、马德里等的实体店调货，并在</t>
    </r>
    <r>
      <rPr>
        <sz val="9"/>
        <color rgb="FF000000"/>
        <rFont val="Arial"/>
        <charset val="134"/>
      </rPr>
      <t>90</t>
    </r>
    <r>
      <rPr>
        <sz val="9"/>
        <color rgb="FF000000"/>
        <rFont val="楷体"/>
        <charset val="134"/>
      </rPr>
      <t>分钟内送到家门口。</t>
    </r>
  </si>
  <si>
    <t>http://www.farfetch.com/</t>
  </si>
  <si>
    <r>
      <rPr>
        <sz val="9"/>
        <color rgb="FF000000"/>
        <rFont val="楷体"/>
        <charset val="134"/>
      </rPr>
      <t>欧洲</t>
    </r>
    <r>
      <rPr>
        <sz val="9"/>
        <color rgb="FF000000"/>
        <rFont val="Arial"/>
        <charset val="134"/>
      </rPr>
      <t>-</t>
    </r>
    <r>
      <rPr>
        <sz val="9"/>
        <color rgb="FF000000"/>
        <rFont val="楷体"/>
        <charset val="134"/>
      </rPr>
      <t>英国</t>
    </r>
  </si>
  <si>
    <r>
      <rPr>
        <sz val="9"/>
        <color rgb="FF000000"/>
        <rFont val="Arial"/>
        <charset val="134"/>
      </rPr>
      <t>6.5</t>
    </r>
    <r>
      <rPr>
        <sz val="9"/>
        <color rgb="FF000000"/>
        <rFont val="楷体"/>
        <charset val="134"/>
      </rPr>
      <t>亿美元</t>
    </r>
  </si>
  <si>
    <r>
      <rPr>
        <sz val="9"/>
        <color rgb="FF000000"/>
        <rFont val="楷体"/>
        <charset val="134"/>
      </rPr>
      <t>阿里巴巴</t>
    </r>
    <r>
      <rPr>
        <sz val="9"/>
        <color rgb="FF000000"/>
        <rFont val="Arial"/>
        <charset val="134"/>
      </rPr>
      <t>,Richemont,Kering</t>
    </r>
  </si>
  <si>
    <r>
      <rPr>
        <sz val="9"/>
        <color rgb="FF000000"/>
        <rFont val="Arial"/>
        <charset val="134"/>
      </rPr>
      <t>170.42</t>
    </r>
    <r>
      <rPr>
        <sz val="9"/>
        <color rgb="FF000000"/>
        <rFont val="楷体"/>
        <charset val="134"/>
      </rPr>
      <t>亿</t>
    </r>
  </si>
  <si>
    <r>
      <rPr>
        <sz val="9"/>
        <color rgb="FF000000"/>
        <rFont val="Arial"/>
        <charset val="134"/>
      </rPr>
      <t>211.25</t>
    </r>
    <r>
      <rPr>
        <sz val="9"/>
        <color rgb="FF000000"/>
        <rFont val="楷体"/>
        <charset val="134"/>
      </rPr>
      <t>亿元</t>
    </r>
  </si>
  <si>
    <t>Alexis Bonhomme:Vice President Greater China &amp; Asia Pacific,Anabela Rodrigues:Software Engineer,Andrew Robb:Chief Operating Officer,Bernardo Vaz:Senior Product Owner - Store Of the Future,Boutros Noujaim:Investor,Bruno Chagas:Technical Lead Developer,Bruno Marques:Senior Procurement Specialist,Cipriano Sousa:Chief Technology Officer,Dave Murray:SVP, Finance,David Sobrinho:Senior Partner Success - Marketplace,Elliot Jordan:Chief Financial Officer,Elliot Sochall:Principal Product Manager,Eve Brill:Director of Product Marketing,Filipa Neto:Senior Innovation Principal,George Livingston:Director of Data Infrastructure,Giorgio Belloli:Chief Commercial and Sustainability Officer,Greg Sherwin:Senior Principal Engineer,Hélder Dias:EVP Product Development,James Maynard:General Counsel &amp; SVP Group Legal,Joey Bian:VP, Growth Marketing,John Veichmanis:Chief Marketing Officer,José Neves:Founder, CEO and Chairman,Juliana Vail:Head of International Production,Kelly Kowal:Executive Vice President, Farfetch Platform Solutions (FPS),Kshitij Kumar:Chief Data Officer,Lino Silva:Engineering Lead,Luis Carvalho:VP, Architecture and Tech,Luis Parada:Senior Engineering Manager,Luis Teixeira:COO,Luis Vieira:Frontend Architect,Maria Demushkina:Digital Director,Mark Hobbs:Head of Payments,Martin Avetisyan:Chief Growth Officer, Executive Board member (NYSE: FTCH),Michael Mitterlehner:Investor,Oleg Tscheltzoff:Investor,Ricardo Silva:Software Engineer,Rui Silva:VP of Creative Operations,Sam Bruggen:Product Manager,Sandrine Deveaux:Executive Vice President, Store of the Future,Sian Keane:Chief People Officer,Stanislav Tepikin:Head of Performance Marketing, Russia and CIS,Stephanie Phair:CCO,Susannah Clark:VP Communications, Global,Vakhtang Akirtava:Managing Director, EMEA,Christian Leybold:Investor,Jason Tezgerevski:Private Client Stylist,Tom Berry:Global Director of Sustainable Business,Verónica Fradique:Junior Data Engineer</t>
  </si>
  <si>
    <r>
      <rPr>
        <sz val="9"/>
        <color rgb="FF000000"/>
        <rFont val="楷体"/>
        <charset val="134"/>
      </rPr>
      <t>腾讯投资</t>
    </r>
    <r>
      <rPr>
        <sz val="9"/>
        <color rgb="FF000000"/>
        <rFont val="Arial"/>
        <charset val="134"/>
      </rPr>
      <t>,Dragoneer Investment Group</t>
    </r>
  </si>
  <si>
    <r>
      <rPr>
        <sz val="9"/>
        <color rgb="FF000000"/>
        <rFont val="Arial"/>
        <charset val="134"/>
      </rPr>
      <t>8.85</t>
    </r>
    <r>
      <rPr>
        <sz val="9"/>
        <color rgb="FF000000"/>
        <rFont val="楷体"/>
        <charset val="134"/>
      </rPr>
      <t>亿美元</t>
    </r>
  </si>
  <si>
    <t>未透露英镑</t>
  </si>
  <si>
    <t>CHANEL</t>
  </si>
  <si>
    <r>
      <rPr>
        <sz val="9"/>
        <color rgb="FF000000"/>
        <rFont val="Arial"/>
        <charset val="134"/>
      </rPr>
      <t>3.97</t>
    </r>
    <r>
      <rPr>
        <sz val="9"/>
        <color rgb="FF000000"/>
        <rFont val="楷体"/>
        <charset val="134"/>
      </rPr>
      <t>亿美元</t>
    </r>
  </si>
  <si>
    <t>京东</t>
  </si>
  <si>
    <r>
      <rPr>
        <sz val="9"/>
        <color rgb="FF000000"/>
        <rFont val="Arial"/>
        <charset val="134"/>
      </rPr>
      <t>1.1</t>
    </r>
    <r>
      <rPr>
        <sz val="9"/>
        <color rgb="FF000000"/>
        <rFont val="楷体"/>
        <charset val="134"/>
      </rPr>
      <t>亿美元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</si>
  <si>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黄浦江资本</t>
    </r>
    <r>
      <rPr>
        <sz val="9"/>
        <color rgb="FF000000"/>
        <rFont val="Arial"/>
        <charset val="134"/>
      </rPr>
      <t>,Eurazeo,Vitruvian Partners</t>
    </r>
    <r>
      <rPr>
        <sz val="9"/>
        <color rgb="FF000000"/>
        <rFont val="楷体"/>
        <charset val="134"/>
      </rPr>
      <t>维恩资本</t>
    </r>
  </si>
  <si>
    <r>
      <rPr>
        <sz val="9"/>
        <color rgb="FF000000"/>
        <rFont val="Arial"/>
        <charset val="134"/>
      </rPr>
      <t>8600</t>
    </r>
    <r>
      <rPr>
        <sz val="9"/>
        <color rgb="FF000000"/>
        <rFont val="楷体"/>
        <charset val="134"/>
      </rPr>
      <t>万美元</t>
    </r>
  </si>
  <si>
    <t>DST Global,Condé Nast</t>
  </si>
  <si>
    <r>
      <rPr>
        <sz val="9"/>
        <color rgb="FF000000"/>
        <rFont val="Arial"/>
        <charset val="134"/>
      </rPr>
      <t>6600</t>
    </r>
    <r>
      <rPr>
        <sz val="9"/>
        <color rgb="FF000000"/>
        <rFont val="楷体"/>
        <charset val="134"/>
      </rPr>
      <t>万美元</t>
    </r>
  </si>
  <si>
    <r>
      <rPr>
        <sz val="9"/>
        <color rgb="FF000000"/>
        <rFont val="Arial"/>
        <charset val="134"/>
      </rPr>
      <t>Vitruvian Partners</t>
    </r>
    <r>
      <rPr>
        <sz val="9"/>
        <color rgb="FF000000"/>
        <rFont val="楷体"/>
        <charset val="134"/>
      </rPr>
      <t>维恩资本</t>
    </r>
  </si>
  <si>
    <t>Condé Nast</t>
  </si>
  <si>
    <r>
      <rPr>
        <sz val="9"/>
        <color rgb="FF000000"/>
        <rFont val="Arial"/>
        <charset val="134"/>
      </rPr>
      <t>1800</t>
    </r>
    <r>
      <rPr>
        <sz val="9"/>
        <color rgb="FF000000"/>
        <rFont val="楷体"/>
        <charset val="134"/>
      </rPr>
      <t>万美元</t>
    </r>
  </si>
  <si>
    <t>Index Ventures</t>
  </si>
  <si>
    <t>安宏资本</t>
  </si>
  <si>
    <t>2014-05-01</t>
  </si>
  <si>
    <t>酷飞在线</t>
  </si>
  <si>
    <r>
      <rPr>
        <sz val="9"/>
        <color rgb="FF000000"/>
        <rFont val="楷体"/>
        <charset val="134"/>
      </rPr>
      <t>酷飞在线是一家全球机票查询、预订、售后服务网站，酷飞在线信息科技（南京）有限公司旗下网站，是</t>
    </r>
    <r>
      <rPr>
        <sz val="9"/>
        <color rgb="FF000000"/>
        <rFont val="Arial"/>
        <charset val="134"/>
      </rPr>
      <t>ASLAN</t>
    </r>
    <r>
      <rPr>
        <sz val="9"/>
        <color rgb="FF000000"/>
        <rFont val="楷体"/>
        <charset val="134"/>
      </rPr>
      <t>（阿斯兰）全资子公司。</t>
    </r>
  </si>
  <si>
    <t>酷飞在线信息科技南京有限公司</t>
  </si>
  <si>
    <t>http://flycool.pkpiao.com/</t>
  </si>
  <si>
    <t>交通食宿</t>
  </si>
  <si>
    <t>ASLAN阿斯兰</t>
  </si>
  <si>
    <r>
      <rPr>
        <sz val="9"/>
        <color rgb="FF000000"/>
        <rFont val="Arial"/>
        <charset val="134"/>
      </rPr>
      <t>ASLAN</t>
    </r>
    <r>
      <rPr>
        <sz val="9"/>
        <color rgb="FF000000"/>
        <rFont val="楷体"/>
        <charset val="134"/>
      </rPr>
      <t>阿斯兰</t>
    </r>
  </si>
  <si>
    <r>
      <rPr>
        <sz val="9"/>
        <color rgb="FF000000"/>
        <rFont val="Arial"/>
        <charset val="134"/>
      </rPr>
      <t>ASLAN</t>
    </r>
    <r>
      <rPr>
        <sz val="9"/>
        <color rgb="FF000000"/>
        <rFont val="楷体"/>
        <charset val="134"/>
      </rPr>
      <t>阿斯兰是一家全球机票</t>
    </r>
    <r>
      <rPr>
        <sz val="9"/>
        <color rgb="FF000000"/>
        <rFont val="Arial"/>
        <charset val="134"/>
      </rPr>
      <t>B2B</t>
    </r>
    <r>
      <rPr>
        <sz val="9"/>
        <color rgb="FF000000"/>
        <rFont val="楷体"/>
        <charset val="134"/>
      </rPr>
      <t>服务平台，主打国际机票在线查询和预订服务，隶属于上海阿斯兰商旅服务有限公司。</t>
    </r>
  </si>
  <si>
    <t>上海阿斯兰商旅服务有限公司</t>
  </si>
  <si>
    <t>http://aslan.com.cn/</t>
  </si>
  <si>
    <r>
      <rPr>
        <sz val="9"/>
        <color rgb="FF000000"/>
        <rFont val="Arial"/>
        <charset val="134"/>
      </rPr>
      <t>2000</t>
    </r>
    <r>
      <rPr>
        <sz val="9"/>
        <color rgb="FF000000"/>
        <rFont val="楷体"/>
        <charset val="134"/>
      </rPr>
      <t>万</t>
    </r>
  </si>
  <si>
    <r>
      <rPr>
        <sz val="9"/>
        <color rgb="FF000000"/>
        <rFont val="Arial"/>
        <charset val="134"/>
      </rPr>
      <t>2000</t>
    </r>
    <r>
      <rPr>
        <sz val="9"/>
        <color rgb="FF000000"/>
        <rFont val="楷体"/>
        <charset val="134"/>
      </rPr>
      <t>万人民币</t>
    </r>
  </si>
  <si>
    <t>2015-08-05</t>
  </si>
  <si>
    <t>金银岛</t>
  </si>
  <si>
    <r>
      <rPr>
        <sz val="9"/>
        <color rgb="FF000000"/>
        <rFont val="楷体"/>
        <charset val="134"/>
      </rPr>
      <t>金银岛煤炭网作为中国大宗产品电子商务平台的领导品牌，为大宗行业客户与市场提供现货交易、金融服务、内参资讯等全方位</t>
    </r>
    <r>
      <rPr>
        <sz val="9"/>
        <color rgb="FF000000"/>
        <rFont val="Arial"/>
        <charset val="134"/>
      </rPr>
      <t>O2O</t>
    </r>
    <r>
      <rPr>
        <sz val="9"/>
        <color rgb="FF000000"/>
        <rFont val="楷体"/>
        <charset val="134"/>
      </rPr>
      <t>煤炭电子商务解决方案</t>
    </r>
  </si>
  <si>
    <t>金银岛（宁夏）网络科技股份有限公司</t>
  </si>
  <si>
    <t>http://www.315.com.cn</t>
  </si>
  <si>
    <t>2004-03</t>
  </si>
  <si>
    <t>大宗商品</t>
  </si>
  <si>
    <r>
      <rPr>
        <sz val="9"/>
        <color rgb="FF000000"/>
        <rFont val="楷体"/>
        <charset val="134"/>
      </rPr>
      <t>鼎晖投资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赛领资本</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亦庄互联基金</t>
    </r>
  </si>
  <si>
    <r>
      <rPr>
        <sz val="9"/>
        <color rgb="FF000000"/>
        <rFont val="Arial"/>
        <charset val="134"/>
      </rPr>
      <t>9</t>
    </r>
    <r>
      <rPr>
        <sz val="9"/>
        <color rgb="FF000000"/>
        <rFont val="楷体"/>
        <charset val="134"/>
      </rPr>
      <t>亿</t>
    </r>
  </si>
  <si>
    <r>
      <rPr>
        <sz val="9"/>
        <color rgb="FF000000"/>
        <rFont val="Arial"/>
        <charset val="134"/>
      </rPr>
      <t>66.6</t>
    </r>
    <r>
      <rPr>
        <sz val="9"/>
        <color rgb="FF000000"/>
        <rFont val="楷体"/>
        <charset val="134"/>
      </rPr>
      <t>亿元</t>
    </r>
  </si>
  <si>
    <r>
      <rPr>
        <sz val="9"/>
        <color rgb="FF000000"/>
        <rFont val="楷体"/>
        <charset val="134"/>
      </rPr>
      <t>黄海新</t>
    </r>
    <r>
      <rPr>
        <sz val="9"/>
        <color rgb="FF000000"/>
        <rFont val="Arial"/>
        <charset val="134"/>
      </rPr>
      <t>:CEO</t>
    </r>
  </si>
  <si>
    <r>
      <rPr>
        <sz val="9"/>
        <color rgb="FF000000"/>
        <rFont val="楷体"/>
        <charset val="134"/>
      </rPr>
      <t>北京市海淀区青云里满庭芳园小区</t>
    </r>
    <r>
      <rPr>
        <sz val="9"/>
        <color rgb="FF000000"/>
        <rFont val="Arial"/>
        <charset val="134"/>
      </rPr>
      <t>9</t>
    </r>
    <r>
      <rPr>
        <sz val="9"/>
        <color rgb="FF000000"/>
        <rFont val="楷体"/>
        <charset val="134"/>
      </rPr>
      <t>号楼</t>
    </r>
  </si>
  <si>
    <t>010-8458-8529</t>
  </si>
  <si>
    <t>zhaojunjie@315.com.cn</t>
  </si>
  <si>
    <t>达晨财智</t>
  </si>
  <si>
    <t>2014-10-23</t>
  </si>
  <si>
    <t>妈妈值得买</t>
  </si>
  <si>
    <r>
      <rPr>
        <sz val="9"/>
        <color rgb="FF000000"/>
        <rFont val="楷体"/>
        <charset val="134"/>
      </rPr>
      <t>北京星宝时尚是一家专注于母婴、妈妈服务的网站，旗下产品有妈妈晒晒网站、移动类母婴导购应用</t>
    </r>
    <r>
      <rPr>
        <sz val="9"/>
        <color rgb="FF000000"/>
        <rFont val="Arial"/>
        <charset val="134"/>
      </rPr>
      <t>“</t>
    </r>
    <r>
      <rPr>
        <sz val="9"/>
        <color rgb="FF000000"/>
        <rFont val="楷体"/>
        <charset val="134"/>
      </rPr>
      <t>妈妈值得买</t>
    </r>
    <r>
      <rPr>
        <sz val="9"/>
        <color rgb="FF000000"/>
        <rFont val="Arial"/>
        <charset val="134"/>
      </rPr>
      <t>”</t>
    </r>
    <r>
      <rPr>
        <sz val="9"/>
        <color rgb="FF000000"/>
        <rFont val="楷体"/>
        <charset val="134"/>
      </rPr>
      <t>等。</t>
    </r>
  </si>
  <si>
    <t>北京星宝时尚科技有限公司</t>
  </si>
  <si>
    <t>母婴用品</t>
  </si>
  <si>
    <r>
      <rPr>
        <sz val="9"/>
        <color rgb="FF000000"/>
        <rFont val="Arial"/>
        <charset val="134"/>
      </rPr>
      <t>1300</t>
    </r>
    <r>
      <rPr>
        <sz val="9"/>
        <color rgb="FF000000"/>
        <rFont val="楷体"/>
        <charset val="134"/>
      </rPr>
      <t>万</t>
    </r>
  </si>
  <si>
    <r>
      <rPr>
        <sz val="9"/>
        <color rgb="FF000000"/>
        <rFont val="楷体"/>
        <charset val="134"/>
      </rPr>
      <t>张敬峰</t>
    </r>
    <r>
      <rPr>
        <sz val="9"/>
        <color rgb="FF000000"/>
        <rFont val="Arial"/>
        <charset val="134"/>
      </rPr>
      <t>:CEO</t>
    </r>
  </si>
  <si>
    <r>
      <rPr>
        <sz val="9"/>
        <color rgb="FF000000"/>
        <rFont val="楷体"/>
        <charset val="134"/>
      </rPr>
      <t>北京市朝阳区芍药居北里</t>
    </r>
    <r>
      <rPr>
        <sz val="9"/>
        <color rgb="FF000000"/>
        <rFont val="Arial"/>
        <charset val="134"/>
      </rPr>
      <t>101</t>
    </r>
    <r>
      <rPr>
        <sz val="9"/>
        <color rgb="FF000000"/>
        <rFont val="楷体"/>
        <charset val="134"/>
      </rPr>
      <t>号世奥国际中心</t>
    </r>
    <r>
      <rPr>
        <sz val="9"/>
        <color rgb="FF000000"/>
        <rFont val="Arial"/>
        <charset val="134"/>
      </rPr>
      <t>B</t>
    </r>
    <r>
      <rPr>
        <sz val="9"/>
        <color rgb="FF000000"/>
        <rFont val="楷体"/>
        <charset val="134"/>
      </rPr>
      <t>座</t>
    </r>
    <r>
      <rPr>
        <sz val="9"/>
        <color rgb="FF000000"/>
        <rFont val="Arial"/>
        <charset val="134"/>
      </rPr>
      <t>1520</t>
    </r>
  </si>
  <si>
    <t>010-84351058</t>
  </si>
  <si>
    <t>service@baby07.com</t>
  </si>
  <si>
    <t>2015-06-04</t>
  </si>
  <si>
    <t>第一财经</t>
  </si>
  <si>
    <r>
      <rPr>
        <sz val="9"/>
        <color rgb="FF000000"/>
        <rFont val="楷体"/>
        <charset val="134"/>
      </rPr>
      <t>第一财经是中国第二大媒体集团</t>
    </r>
    <r>
      <rPr>
        <sz val="9"/>
        <color rgb="FF000000"/>
        <rFont val="Arial"/>
        <charset val="134"/>
      </rPr>
      <t>-</t>
    </r>
    <r>
      <rPr>
        <sz val="9"/>
        <color rgb="FF000000"/>
        <rFont val="楷体"/>
        <charset val="134"/>
      </rPr>
      <t>上海广播电视台</t>
    </r>
    <r>
      <rPr>
        <sz val="9"/>
        <color rgb="FF000000"/>
        <rFont val="Arial"/>
        <charset val="134"/>
      </rPr>
      <t>/</t>
    </r>
    <r>
      <rPr>
        <sz val="9"/>
        <color rgb="FF000000"/>
        <rFont val="楷体"/>
        <charset val="134"/>
      </rPr>
      <t>上海文化广播影视集团有限公司（</t>
    </r>
    <r>
      <rPr>
        <sz val="9"/>
        <color rgb="FF000000"/>
        <rFont val="Arial"/>
        <charset val="134"/>
      </rPr>
      <t>SMG</t>
    </r>
    <r>
      <rPr>
        <sz val="9"/>
        <color rgb="FF000000"/>
        <rFont val="楷体"/>
        <charset val="134"/>
      </rPr>
      <t>）旗下的财经媒体。第一财经目前已经成为中国规模最大、品种最完整的财经媒体集团，业务模块覆盖全媒体与新兴信息服务形态，拥有第一财经电视、第一财经日报、第一财经周刊、第一财经网站、第一财经移动端、第一财经广播、第一财经研究院、第一财经新闻社及第一财经信息服务业务等业务模块。第一财经立志成为全球最具影响力和竞争力的新型数字化财经媒体与信息服务集团。</t>
    </r>
  </si>
  <si>
    <t>上海第一财经报业有限公司</t>
  </si>
  <si>
    <t>http://www.yicai.com/</t>
  </si>
  <si>
    <t>2003-07</t>
  </si>
  <si>
    <r>
      <rPr>
        <sz val="9"/>
        <color rgb="FF000000"/>
        <rFont val="Arial"/>
        <charset val="134"/>
      </rPr>
      <t>12</t>
    </r>
    <r>
      <rPr>
        <sz val="9"/>
        <color rgb="FF000000"/>
        <rFont val="楷体"/>
        <charset val="134"/>
      </rPr>
      <t>亿人民币</t>
    </r>
  </si>
  <si>
    <r>
      <rPr>
        <sz val="9"/>
        <color rgb="FF000000"/>
        <rFont val="Arial"/>
        <charset val="134"/>
      </rPr>
      <t>15</t>
    </r>
    <r>
      <rPr>
        <sz val="9"/>
        <color rgb="FF000000"/>
        <rFont val="楷体"/>
        <charset val="134"/>
      </rPr>
      <t>亿</t>
    </r>
  </si>
  <si>
    <r>
      <rPr>
        <sz val="9"/>
        <color rgb="FF000000"/>
        <rFont val="Arial"/>
        <charset val="134"/>
      </rPr>
      <t>60</t>
    </r>
    <r>
      <rPr>
        <sz val="9"/>
        <color rgb="FF000000"/>
        <rFont val="楷体"/>
        <charset val="134"/>
      </rPr>
      <t>亿元</t>
    </r>
  </si>
  <si>
    <t>yonghu@yicai.com</t>
  </si>
  <si>
    <r>
      <rPr>
        <sz val="9"/>
        <color rgb="FF000000"/>
        <rFont val="楷体"/>
        <charset val="134"/>
      </rPr>
      <t>宽带资本</t>
    </r>
    <r>
      <rPr>
        <sz val="9"/>
        <color rgb="FF000000"/>
        <rFont val="Arial"/>
        <charset val="134"/>
      </rPr>
      <t>CBC,</t>
    </r>
    <r>
      <rPr>
        <sz val="9"/>
        <color rgb="FF000000"/>
        <rFont val="楷体"/>
        <charset val="134"/>
      </rPr>
      <t>招商局资本</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大众资本</t>
    </r>
  </si>
  <si>
    <t>2019-07-26</t>
  </si>
  <si>
    <t>Snapdeal</t>
  </si>
  <si>
    <r>
      <rPr>
        <sz val="9"/>
        <color rgb="FF000000"/>
        <rFont val="Arial"/>
        <charset val="134"/>
      </rPr>
      <t xml:space="preserve">Snapdeal </t>
    </r>
    <r>
      <rPr>
        <sz val="9"/>
        <color rgb="FF000000"/>
        <rFont val="楷体"/>
        <charset val="134"/>
      </rPr>
      <t>成立于</t>
    </r>
    <r>
      <rPr>
        <sz val="9"/>
        <color rgb="FF000000"/>
        <rFont val="Arial"/>
        <charset val="134"/>
      </rPr>
      <t>2010</t>
    </r>
    <r>
      <rPr>
        <sz val="9"/>
        <color rgb="FF000000"/>
        <rFont val="楷体"/>
        <charset val="134"/>
      </rPr>
      <t>年，是一家来自印度的电子商务网站。</t>
    </r>
  </si>
  <si>
    <t>http://www.snapdeal.com/</t>
  </si>
  <si>
    <r>
      <rPr>
        <sz val="9"/>
        <color rgb="FF000000"/>
        <rFont val="楷体"/>
        <charset val="134"/>
      </rPr>
      <t>亚洲</t>
    </r>
    <r>
      <rPr>
        <sz val="9"/>
        <color rgb="FF000000"/>
        <rFont val="Arial"/>
        <charset val="134"/>
      </rPr>
      <t>-</t>
    </r>
    <r>
      <rPr>
        <sz val="9"/>
        <color rgb="FF000000"/>
        <rFont val="楷体"/>
        <charset val="134"/>
      </rPr>
      <t>印度</t>
    </r>
  </si>
  <si>
    <t>Anand Piramal</t>
  </si>
  <si>
    <r>
      <rPr>
        <sz val="9"/>
        <color rgb="FF000000"/>
        <rFont val="Arial"/>
        <charset val="134"/>
      </rPr>
      <t>117.05</t>
    </r>
    <r>
      <rPr>
        <sz val="9"/>
        <color rgb="FF000000"/>
        <rFont val="楷体"/>
        <charset val="134"/>
      </rPr>
      <t>亿</t>
    </r>
  </si>
  <si>
    <r>
      <rPr>
        <sz val="9"/>
        <color rgb="FF000000"/>
        <rFont val="Arial"/>
        <charset val="134"/>
      </rPr>
      <t>455</t>
    </r>
    <r>
      <rPr>
        <sz val="9"/>
        <color rgb="FF000000"/>
        <rFont val="楷体"/>
        <charset val="134"/>
      </rPr>
      <t>亿元</t>
    </r>
  </si>
  <si>
    <t>Anubhav Goyal:VP - Data Sciences,Noor Rao:Manager control tower,Priyaranjan Kumar:Vice President &amp; Business Head,Rajesh Rudraradhya:VP - Engineering,Kunal Bahl:Co-Founder &amp; CEO,Mayank Jain:VP, User Growth,Pravin Kutty:Head - HR,Rohit Bansal:Co-Founder,Sarvarth Kanchan:VP - SCM &amp; Customer Experience,Vikas Bhasin:Chief Financial Officer</t>
  </si>
  <si>
    <r>
      <rPr>
        <sz val="9"/>
        <color rgb="FF000000"/>
        <rFont val="Arial"/>
        <charset val="134"/>
      </rPr>
      <t>1700</t>
    </r>
    <r>
      <rPr>
        <sz val="9"/>
        <color rgb="FF000000"/>
        <rFont val="楷体"/>
        <charset val="134"/>
      </rPr>
      <t>万美元</t>
    </r>
  </si>
  <si>
    <t>Nexus Venture Partners,Kunal Bahl,Rohit Bansal</t>
  </si>
  <si>
    <r>
      <rPr>
        <sz val="9"/>
        <color rgb="FF000000"/>
        <rFont val="Arial"/>
        <charset val="134"/>
      </rPr>
      <t>2100</t>
    </r>
    <r>
      <rPr>
        <sz val="9"/>
        <color rgb="FF000000"/>
        <rFont val="楷体"/>
        <charset val="134"/>
      </rPr>
      <t>万美元</t>
    </r>
  </si>
  <si>
    <r>
      <rPr>
        <sz val="9"/>
        <color rgb="FF000000"/>
        <rFont val="楷体"/>
        <charset val="134"/>
      </rPr>
      <t>安大略省教师退休基金</t>
    </r>
    <r>
      <rPr>
        <sz val="9"/>
        <color rgb="FF000000"/>
        <rFont val="Arial"/>
        <charset val="134"/>
      </rPr>
      <t>Ontario Teachers</t>
    </r>
  </si>
  <si>
    <r>
      <rPr>
        <sz val="9"/>
        <color rgb="FF000000"/>
        <rFont val="楷体"/>
        <charset val="134"/>
      </rPr>
      <t>阿里巴巴</t>
    </r>
    <r>
      <rPr>
        <sz val="9"/>
        <color rgb="FF000000"/>
        <rFont val="Arial"/>
        <charset val="134"/>
      </rPr>
      <t>,</t>
    </r>
    <r>
      <rPr>
        <sz val="9"/>
        <color rgb="FF000000"/>
        <rFont val="楷体"/>
        <charset val="134"/>
      </rPr>
      <t>鸿海集团</t>
    </r>
    <r>
      <rPr>
        <sz val="9"/>
        <color rgb="FF000000"/>
        <rFont val="Arial"/>
        <charset val="134"/>
      </rPr>
      <t>Foxconn,SoftBank</t>
    </r>
  </si>
  <si>
    <r>
      <rPr>
        <sz val="9"/>
        <color rgb="FF000000"/>
        <rFont val="Arial"/>
        <charset val="134"/>
      </rPr>
      <t>6.27</t>
    </r>
    <r>
      <rPr>
        <sz val="9"/>
        <color rgb="FF000000"/>
        <rFont val="楷体"/>
        <charset val="134"/>
      </rPr>
      <t>亿美元</t>
    </r>
  </si>
  <si>
    <t>SoftBank</t>
  </si>
  <si>
    <r>
      <rPr>
        <sz val="9"/>
        <color rgb="FF000000"/>
        <rFont val="楷体"/>
        <charset val="134"/>
      </rPr>
      <t>淡马锡</t>
    </r>
    <r>
      <rPr>
        <sz val="9"/>
        <color rgb="FF000000"/>
        <rFont val="Arial"/>
        <charset val="134"/>
      </rPr>
      <t>Temasek,BlackRock</t>
    </r>
    <r>
      <rPr>
        <sz val="9"/>
        <color rgb="FF000000"/>
        <rFont val="楷体"/>
        <charset val="134"/>
      </rPr>
      <t>贝莱德</t>
    </r>
    <r>
      <rPr>
        <sz val="9"/>
        <color rgb="FF000000"/>
        <rFont val="Arial"/>
        <charset val="134"/>
      </rPr>
      <t>/</t>
    </r>
    <r>
      <rPr>
        <sz val="9"/>
        <color rgb="FF000000"/>
        <rFont val="楷体"/>
        <charset val="134"/>
      </rPr>
      <t>黑岩</t>
    </r>
  </si>
  <si>
    <r>
      <rPr>
        <sz val="9"/>
        <color rgb="FF000000"/>
        <rFont val="Arial"/>
        <charset val="134"/>
      </rPr>
      <t>1.34</t>
    </r>
    <r>
      <rPr>
        <sz val="9"/>
        <color rgb="FF000000"/>
        <rFont val="楷体"/>
        <charset val="134"/>
      </rPr>
      <t>亿美元</t>
    </r>
  </si>
  <si>
    <r>
      <rPr>
        <sz val="9"/>
        <color rgb="FF000000"/>
        <rFont val="楷体"/>
        <charset val="134"/>
      </rPr>
      <t>英特尔投资</t>
    </r>
    <r>
      <rPr>
        <sz val="9"/>
        <color rgb="FF000000"/>
        <rFont val="Arial"/>
        <charset val="134"/>
      </rPr>
      <t>Intel Capital,Bessemer Venture Partners,Kalaari Capital,Nexus Venture Partners,Saama Capital,eBay</t>
    </r>
  </si>
  <si>
    <r>
      <rPr>
        <sz val="9"/>
        <color rgb="FF000000"/>
        <rFont val="楷体"/>
        <charset val="134"/>
      </rPr>
      <t>英特尔投资</t>
    </r>
    <r>
      <rPr>
        <sz val="9"/>
        <color rgb="FF000000"/>
        <rFont val="Arial"/>
        <charset val="134"/>
      </rPr>
      <t>Intel Capital,Bessemer Venture Partners,Kalaari Capital,eBay,Recruit Holdings,Cambrian Ventures</t>
    </r>
  </si>
  <si>
    <t>Bessemer Venture Partners</t>
  </si>
  <si>
    <t>Kalaari Capital,Nexus Venture Partners</t>
  </si>
  <si>
    <t>2020-08-25</t>
  </si>
  <si>
    <t>河狸家</t>
  </si>
  <si>
    <r>
      <rPr>
        <sz val="9"/>
        <color rgb="FF000000"/>
        <rFont val="楷体"/>
        <charset val="134"/>
      </rPr>
      <t>河狸家</t>
    </r>
  </si>
  <si>
    <r>
      <rPr>
        <sz val="9"/>
        <color rgb="FF000000"/>
        <rFont val="楷体"/>
        <charset val="134"/>
      </rPr>
      <t>河狸家是由阿芙精油和雕爷牛腩创始人雕爷打造的，自</t>
    </r>
    <r>
      <rPr>
        <sz val="9"/>
        <color rgb="FF000000"/>
        <rFont val="Arial"/>
        <charset val="134"/>
      </rPr>
      <t>2014</t>
    </r>
    <r>
      <rPr>
        <sz val="9"/>
        <color rgb="FF000000"/>
        <rFont val="楷体"/>
        <charset val="134"/>
      </rPr>
      <t>年成立以来，以美甲为切入点不断横向挖掘和满足都市中产阶级女性的需求，目前河狸家业务已广泛涉足美甲、美容、美睫、手足护理、化妆造型、美发、医疗美容、健身、口语教学、绘画摄影、声乐器乐等开展泛美业业务。河狸家致力于解放天下手艺人，帮助他们打造值得一生守护的个人品牌，同时为消费者带来更高性价比、更便捷的服务。目前业务已拓展至北京、上海、深圳、杭州、成都、广州、南京、武汉、重庆、天津等国内一线城市。</t>
    </r>
  </si>
  <si>
    <t>北京河狸家信息技术有限公司</t>
  </si>
  <si>
    <t>http://www.helijia.com</t>
  </si>
  <si>
    <r>
      <rPr>
        <sz val="9"/>
        <color rgb="FF000000"/>
        <rFont val="楷体"/>
        <charset val="134"/>
      </rPr>
      <t>美业服务</t>
    </r>
  </si>
  <si>
    <r>
      <rPr>
        <sz val="9"/>
        <color rgb="FF000000"/>
        <rFont val="楷体"/>
        <charset val="134"/>
      </rPr>
      <t>数亿人民币</t>
    </r>
  </si>
  <si>
    <r>
      <rPr>
        <sz val="9"/>
        <color rgb="FF000000"/>
        <rFont val="楷体"/>
        <charset val="134"/>
      </rPr>
      <t>阿里巴巴</t>
    </r>
  </si>
  <si>
    <r>
      <t>11.53</t>
    </r>
    <r>
      <rPr>
        <sz val="9"/>
        <color rgb="FF000000"/>
        <rFont val="楷体"/>
        <charset val="134"/>
      </rPr>
      <t>亿</t>
    </r>
  </si>
  <si>
    <r>
      <t>50</t>
    </r>
    <r>
      <rPr>
        <sz val="9"/>
        <color rgb="FF000000"/>
        <rFont val="楷体"/>
        <charset val="134"/>
      </rPr>
      <t>亿元</t>
    </r>
  </si>
  <si>
    <r>
      <rPr>
        <sz val="9"/>
        <color rgb="FF000000"/>
        <rFont val="楷体"/>
        <charset val="134"/>
      </rPr>
      <t>仲萍</t>
    </r>
    <r>
      <rPr>
        <sz val="9"/>
        <color rgb="FF000000"/>
        <rFont val="Arial"/>
        <charset val="134"/>
      </rPr>
      <t>:CEO,</t>
    </r>
    <r>
      <rPr>
        <sz val="9"/>
        <color rgb="FF000000"/>
        <rFont val="楷体"/>
        <charset val="134"/>
      </rPr>
      <t>孟醒</t>
    </r>
    <r>
      <rPr>
        <sz val="9"/>
        <color rgb="FF000000"/>
        <rFont val="Arial"/>
        <charset val="134"/>
      </rPr>
      <t>:</t>
    </r>
    <r>
      <rPr>
        <sz val="9"/>
        <color rgb="FF000000"/>
        <rFont val="楷体"/>
        <charset val="134"/>
      </rPr>
      <t>联合创始人</t>
    </r>
  </si>
  <si>
    <r>
      <rPr>
        <sz val="9"/>
        <color rgb="FF000000"/>
        <rFont val="楷体"/>
        <charset val="134"/>
      </rPr>
      <t>北京市朝阳区曙光西里甲</t>
    </r>
    <r>
      <rPr>
        <sz val="9"/>
        <color rgb="FF000000"/>
        <rFont val="Arial"/>
        <charset val="134"/>
      </rPr>
      <t>6</t>
    </r>
    <r>
      <rPr>
        <sz val="9"/>
        <color rgb="FF000000"/>
        <rFont val="楷体"/>
        <charset val="134"/>
      </rPr>
      <t>号院</t>
    </r>
    <r>
      <rPr>
        <sz val="9"/>
        <color rgb="FF000000"/>
        <rFont val="Arial"/>
        <charset val="134"/>
      </rPr>
      <t>8</t>
    </r>
    <r>
      <rPr>
        <sz val="9"/>
        <color rgb="FF000000"/>
        <rFont val="楷体"/>
        <charset val="134"/>
      </rPr>
      <t>号楼南区</t>
    </r>
    <r>
      <rPr>
        <sz val="9"/>
        <color rgb="FF000000"/>
        <rFont val="Arial"/>
        <charset val="134"/>
      </rPr>
      <t>9</t>
    </r>
    <r>
      <rPr>
        <sz val="9"/>
        <color rgb="FF000000"/>
        <rFont val="楷体"/>
        <charset val="134"/>
      </rPr>
      <t>层</t>
    </r>
    <r>
      <rPr>
        <sz val="9"/>
        <color rgb="FF000000"/>
        <rFont val="Arial"/>
        <charset val="134"/>
      </rPr>
      <t>909</t>
    </r>
    <r>
      <rPr>
        <sz val="9"/>
        <color rgb="FF000000"/>
        <rFont val="楷体"/>
        <charset val="134"/>
      </rPr>
      <t>室</t>
    </r>
  </si>
  <si>
    <t>010-5336-2891</t>
  </si>
  <si>
    <t>meiti@helijia.com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</si>
  <si>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益鼎创投</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</si>
  <si>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宽带资本</t>
    </r>
    <r>
      <rPr>
        <sz val="9"/>
        <color rgb="FF000000"/>
        <rFont val="Arial"/>
        <charset val="134"/>
      </rPr>
      <t>CBC,</t>
    </r>
    <r>
      <rPr>
        <sz val="9"/>
        <color rgb="FF000000"/>
        <rFont val="楷体"/>
        <charset val="134"/>
      </rPr>
      <t>光信资本</t>
    </r>
    <r>
      <rPr>
        <sz val="9"/>
        <color rgb="FF000000"/>
        <rFont val="Arial"/>
        <charset val="134"/>
      </rPr>
      <t>,</t>
    </r>
    <r>
      <rPr>
        <sz val="9"/>
        <color rgb="FF000000"/>
        <rFont val="楷体"/>
        <charset val="134"/>
      </rPr>
      <t>麦星投资</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</si>
  <si>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宽带资本</t>
    </r>
    <r>
      <rPr>
        <sz val="9"/>
        <color rgb="FF000000"/>
        <rFont val="Arial"/>
        <charset val="134"/>
      </rPr>
      <t>CBC</t>
    </r>
  </si>
  <si>
    <t>2014-04-09</t>
  </si>
  <si>
    <t>华数传媒</t>
  </si>
  <si>
    <r>
      <rPr>
        <sz val="9"/>
        <color rgb="FF000000"/>
        <rFont val="楷体"/>
        <charset val="134"/>
      </rPr>
      <t>华数传媒控股股份有限公司</t>
    </r>
    <r>
      <rPr>
        <sz val="9"/>
        <color rgb="FF000000"/>
        <rFont val="Arial"/>
        <charset val="134"/>
      </rPr>
      <t xml:space="preserve"> </t>
    </r>
    <r>
      <rPr>
        <sz val="9"/>
        <color rgb="FF000000"/>
        <rFont val="楷体"/>
        <charset val="134"/>
      </rPr>
      <t>（深交所：</t>
    </r>
    <r>
      <rPr>
        <sz val="9"/>
        <color rgb="FF000000"/>
        <rFont val="Arial"/>
        <charset val="134"/>
      </rPr>
      <t>000156</t>
    </r>
    <r>
      <rPr>
        <sz val="9"/>
        <color rgb="FF000000"/>
        <rFont val="楷体"/>
        <charset val="134"/>
      </rPr>
      <t>）是中国深圳证券交易所的一家上市公司，成立于</t>
    </r>
    <r>
      <rPr>
        <sz val="9"/>
        <color rgb="FF000000"/>
        <rFont val="Arial"/>
        <charset val="134"/>
      </rPr>
      <t>1994</t>
    </r>
    <r>
      <rPr>
        <sz val="9"/>
        <color rgb="FF000000"/>
        <rFont val="楷体"/>
        <charset val="134"/>
      </rPr>
      <t>年</t>
    </r>
    <r>
      <rPr>
        <sz val="9"/>
        <color rgb="FF000000"/>
        <rFont val="Arial"/>
        <charset val="134"/>
      </rPr>
      <t>6</t>
    </r>
    <r>
      <rPr>
        <sz val="9"/>
        <color rgb="FF000000"/>
        <rFont val="楷体"/>
        <charset val="134"/>
      </rPr>
      <t>月</t>
    </r>
    <r>
      <rPr>
        <sz val="9"/>
        <color rgb="FF000000"/>
        <rFont val="Arial"/>
        <charset val="134"/>
      </rPr>
      <t>30</t>
    </r>
    <r>
      <rPr>
        <sz val="9"/>
        <color rgb="FF000000"/>
        <rFont val="楷体"/>
        <charset val="134"/>
      </rPr>
      <t>日，业务范围包括：有线电视、数字电视网络及产业投资、数字通信产业投资、互联网及电视传媒信息服务产业投资。</t>
    </r>
  </si>
  <si>
    <t>华数传媒控股股份有限公司</t>
  </si>
  <si>
    <t>http://www.wasu.com.cn/</t>
  </si>
  <si>
    <t>1994-06</t>
  </si>
  <si>
    <t>综合文娱</t>
  </si>
  <si>
    <r>
      <rPr>
        <sz val="9"/>
        <color rgb="FF000000"/>
        <rFont val="Arial"/>
        <charset val="134"/>
      </rPr>
      <t>65.36</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</si>
  <si>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云溪投资</t>
    </r>
  </si>
  <si>
    <r>
      <rPr>
        <sz val="9"/>
        <color rgb="FF000000"/>
        <rFont val="Arial"/>
        <charset val="134"/>
      </rPr>
      <t>68.59</t>
    </r>
    <r>
      <rPr>
        <sz val="9"/>
        <color rgb="FF000000"/>
        <rFont val="楷体"/>
        <charset val="134"/>
      </rPr>
      <t>亿</t>
    </r>
  </si>
  <si>
    <r>
      <rPr>
        <sz val="9"/>
        <color rgb="FF000000"/>
        <rFont val="Arial"/>
        <charset val="134"/>
      </rPr>
      <t>326.8</t>
    </r>
    <r>
      <rPr>
        <sz val="9"/>
        <color rgb="FF000000"/>
        <rFont val="楷体"/>
        <charset val="134"/>
      </rPr>
      <t>亿元</t>
    </r>
  </si>
  <si>
    <r>
      <rPr>
        <sz val="9"/>
        <color rgb="FF000000"/>
        <rFont val="楷体"/>
        <charset val="134"/>
      </rPr>
      <t>鲍林强</t>
    </r>
    <r>
      <rPr>
        <sz val="9"/>
        <color rgb="FF000000"/>
        <rFont val="Arial"/>
        <charset val="134"/>
      </rPr>
      <t>:</t>
    </r>
    <r>
      <rPr>
        <sz val="9"/>
        <color rgb="FF000000"/>
        <rFont val="楷体"/>
        <charset val="134"/>
      </rPr>
      <t>董事长</t>
    </r>
  </si>
  <si>
    <r>
      <rPr>
        <sz val="9"/>
        <color rgb="FF000000"/>
        <rFont val="Arial"/>
        <charset val="134"/>
      </rPr>
      <t>3.23</t>
    </r>
    <r>
      <rPr>
        <sz val="9"/>
        <color rgb="FF000000"/>
        <rFont val="楷体"/>
        <charset val="134"/>
      </rPr>
      <t>亿人民币</t>
    </r>
  </si>
  <si>
    <t>2015-07-08</t>
  </si>
  <si>
    <t>SingPost新加坡邮政</t>
  </si>
  <si>
    <r>
      <rPr>
        <sz val="9"/>
        <color rgb="FF000000"/>
        <rFont val="Arial"/>
        <charset val="134"/>
      </rPr>
      <t>SingPost</t>
    </r>
    <r>
      <rPr>
        <sz val="9"/>
        <color rgb="FF000000"/>
        <rFont val="楷体"/>
        <charset val="134"/>
      </rPr>
      <t>新加坡邮政</t>
    </r>
  </si>
  <si>
    <r>
      <rPr>
        <sz val="9"/>
        <color rgb="FF000000"/>
        <rFont val="Arial"/>
        <charset val="134"/>
      </rPr>
      <t>SingPost/</t>
    </r>
    <r>
      <rPr>
        <sz val="9"/>
        <color rgb="FF000000"/>
        <rFont val="楷体"/>
        <charset val="134"/>
      </rPr>
      <t>新加坡邮政是新加坡国家邮政服务供应商之一，</t>
    </r>
    <r>
      <rPr>
        <sz val="9"/>
        <color rgb="FF000000"/>
        <rFont val="Arial"/>
        <charset val="134"/>
      </rPr>
      <t xml:space="preserve"> </t>
    </r>
    <r>
      <rPr>
        <sz val="9"/>
        <color rgb="FF000000"/>
        <rFont val="楷体"/>
        <charset val="134"/>
      </rPr>
      <t>新加坡电信（英语：</t>
    </r>
    <r>
      <rPr>
        <sz val="9"/>
        <color rgb="FF000000"/>
        <rFont val="Arial"/>
        <charset val="134"/>
      </rPr>
      <t>SingTel</t>
    </r>
    <r>
      <rPr>
        <sz val="9"/>
        <color rgb="FF000000"/>
        <rFont val="楷体"/>
        <charset val="134"/>
      </rPr>
      <t>）公司旗下一个子公司。新加坡邮政公司不仅售卖邮票和提供递送邮件服务，也将提供金融相关的服务并开当铺，为公众提供典当服务。</t>
    </r>
  </si>
  <si>
    <t>http://www.singpost.com/</t>
  </si>
  <si>
    <t>1967-01</t>
  </si>
  <si>
    <r>
      <rPr>
        <sz val="9"/>
        <color rgb="FF000000"/>
        <rFont val="楷体"/>
        <charset val="134"/>
      </rPr>
      <t>亚洲</t>
    </r>
    <r>
      <rPr>
        <sz val="9"/>
        <color rgb="FF000000"/>
        <rFont val="Arial"/>
        <charset val="134"/>
      </rPr>
      <t>-</t>
    </r>
    <r>
      <rPr>
        <sz val="9"/>
        <color rgb="FF000000"/>
        <rFont val="楷体"/>
        <charset val="134"/>
      </rPr>
      <t>新加坡</t>
    </r>
  </si>
  <si>
    <t>综合物流</t>
  </si>
  <si>
    <r>
      <rPr>
        <sz val="9"/>
        <color rgb="FF000000"/>
        <rFont val="Arial"/>
        <charset val="134"/>
      </rPr>
      <t>1.38</t>
    </r>
    <r>
      <rPr>
        <sz val="9"/>
        <color rgb="FF000000"/>
        <rFont val="楷体"/>
        <charset val="134"/>
      </rPr>
      <t>亿美元</t>
    </r>
  </si>
  <si>
    <r>
      <rPr>
        <sz val="9"/>
        <color rgb="FF000000"/>
        <rFont val="Arial"/>
        <charset val="134"/>
      </rPr>
      <t>25.16</t>
    </r>
    <r>
      <rPr>
        <sz val="9"/>
        <color rgb="FF000000"/>
        <rFont val="楷体"/>
        <charset val="134"/>
      </rPr>
      <t>亿</t>
    </r>
  </si>
  <si>
    <r>
      <rPr>
        <sz val="9"/>
        <color rgb="FF000000"/>
        <rFont val="Arial"/>
        <charset val="134"/>
      </rPr>
      <t>44.85</t>
    </r>
    <r>
      <rPr>
        <sz val="9"/>
        <color rgb="FF000000"/>
        <rFont val="楷体"/>
        <charset val="134"/>
      </rPr>
      <t>亿元</t>
    </r>
  </si>
  <si>
    <r>
      <rPr>
        <sz val="9"/>
        <color rgb="FF000000"/>
        <rFont val="Arial"/>
        <charset val="134"/>
      </rPr>
      <t>2.49</t>
    </r>
    <r>
      <rPr>
        <sz val="9"/>
        <color rgb="FF000000"/>
        <rFont val="楷体"/>
        <charset val="134"/>
      </rPr>
      <t>亿美元</t>
    </r>
  </si>
  <si>
    <t>2014-03-01</t>
  </si>
  <si>
    <t>银泰商业集团</t>
  </si>
  <si>
    <r>
      <rPr>
        <sz val="9"/>
        <color rgb="FF000000"/>
        <rFont val="楷体"/>
        <charset val="134"/>
      </rPr>
      <t>银泰商业（集团）有限公司（简称</t>
    </r>
    <r>
      <rPr>
        <sz val="9"/>
        <color rgb="FF000000"/>
        <rFont val="Arial"/>
        <charset val="134"/>
      </rPr>
      <t>“</t>
    </r>
    <r>
      <rPr>
        <sz val="9"/>
        <color rgb="FF000000"/>
        <rFont val="楷体"/>
        <charset val="134"/>
      </rPr>
      <t>银泰商业</t>
    </r>
    <r>
      <rPr>
        <sz val="9"/>
        <color rgb="FF000000"/>
        <rFont val="Arial"/>
        <charset val="134"/>
      </rPr>
      <t>”</t>
    </r>
    <r>
      <rPr>
        <sz val="9"/>
        <color rgb="FF000000"/>
        <rFont val="楷体"/>
        <charset val="134"/>
      </rPr>
      <t>）成立于</t>
    </r>
    <r>
      <rPr>
        <sz val="9"/>
        <color rgb="FF000000"/>
        <rFont val="Arial"/>
        <charset val="134"/>
      </rPr>
      <t>1998</t>
    </r>
    <r>
      <rPr>
        <sz val="9"/>
        <color rgb="FF000000"/>
        <rFont val="楷体"/>
        <charset val="134"/>
      </rPr>
      <t>年，是一家以百货零售、购物中心、电子商务为主营业务的多元化大型商业连锁集团。</t>
    </r>
    <r>
      <rPr>
        <sz val="9"/>
        <color rgb="FF000000"/>
        <rFont val="Arial"/>
        <charset val="134"/>
      </rPr>
      <t xml:space="preserve"> 2007</t>
    </r>
    <r>
      <rPr>
        <sz val="9"/>
        <color rgb="FF000000"/>
        <rFont val="楷体"/>
        <charset val="134"/>
      </rPr>
      <t>年，银泰百货成功在香港联交所挂牌上市（</t>
    </r>
    <r>
      <rPr>
        <sz val="9"/>
        <color rgb="FF000000"/>
        <rFont val="Arial"/>
        <charset val="134"/>
      </rPr>
      <t>01833.HK</t>
    </r>
    <r>
      <rPr>
        <sz val="9"/>
        <color rgb="FF000000"/>
        <rFont val="楷体"/>
        <charset val="134"/>
      </rPr>
      <t>）。</t>
    </r>
  </si>
  <si>
    <t>银泰商业（集团）有限公司</t>
  </si>
  <si>
    <t>1998-11</t>
  </si>
  <si>
    <r>
      <rPr>
        <sz val="9"/>
        <color rgb="FF000000"/>
        <rFont val="Arial"/>
        <charset val="134"/>
      </rPr>
      <t>53.7</t>
    </r>
    <r>
      <rPr>
        <sz val="9"/>
        <color rgb="FF000000"/>
        <rFont val="楷体"/>
        <charset val="134"/>
      </rPr>
      <t>亿港元</t>
    </r>
  </si>
  <si>
    <r>
      <rPr>
        <sz val="9"/>
        <color rgb="FF000000"/>
        <rFont val="Arial"/>
        <charset val="134"/>
      </rPr>
      <t>42.96</t>
    </r>
    <r>
      <rPr>
        <sz val="9"/>
        <color rgb="FF000000"/>
        <rFont val="楷体"/>
        <charset val="134"/>
      </rPr>
      <t>亿</t>
    </r>
  </si>
  <si>
    <r>
      <rPr>
        <sz val="9"/>
        <color rgb="FF000000"/>
        <rFont val="Arial"/>
        <charset val="134"/>
      </rPr>
      <t>214.8</t>
    </r>
    <r>
      <rPr>
        <sz val="9"/>
        <color rgb="FF000000"/>
        <rFont val="楷体"/>
        <charset val="134"/>
      </rPr>
      <t>亿元</t>
    </r>
  </si>
  <si>
    <t>恒大足球俱乐部</t>
  </si>
  <si>
    <r>
      <rPr>
        <sz val="9"/>
        <color rgb="FF000000"/>
        <rFont val="楷体"/>
        <charset val="134"/>
      </rPr>
      <t>广州恒大是一所职业足球俱乐部，前身是成立于</t>
    </r>
    <r>
      <rPr>
        <sz val="9"/>
        <color rgb="FF000000"/>
        <rFont val="Arial"/>
        <charset val="134"/>
      </rPr>
      <t>1954</t>
    </r>
    <r>
      <rPr>
        <sz val="9"/>
        <color rgb="FF000000"/>
        <rFont val="楷体"/>
        <charset val="134"/>
      </rPr>
      <t>年的广州市足球队。截至</t>
    </r>
    <r>
      <rPr>
        <sz val="9"/>
        <color rgb="FF000000"/>
        <rFont val="Arial"/>
        <charset val="134"/>
      </rPr>
      <t>2017</t>
    </r>
    <r>
      <rPr>
        <sz val="9"/>
        <color rgb="FF000000"/>
        <rFont val="楷体"/>
        <charset val="134"/>
      </rPr>
      <t>年，广州恒大淘宝足球俱乐部已连续六次获得中超联赛冠军，也是中国联赛历史中夺冠次数第二多的球队；并获得三次中国足球超级杯冠军和两次中国足协杯冠军；两次亚冠联赛冠军。</t>
    </r>
  </si>
  <si>
    <t>广州足球俱乐部股份有限公司</t>
  </si>
  <si>
    <t>http://www.gzevergrandefc.com/</t>
  </si>
  <si>
    <t>体育运动</t>
  </si>
  <si>
    <t>综合体育</t>
  </si>
  <si>
    <r>
      <rPr>
        <sz val="9"/>
        <color rgb="FF000000"/>
        <rFont val="Arial"/>
        <charset val="134"/>
      </rPr>
      <t>12</t>
    </r>
    <r>
      <rPr>
        <sz val="9"/>
        <color rgb="FF000000"/>
        <rFont val="楷体"/>
        <charset val="134"/>
      </rPr>
      <t>亿</t>
    </r>
  </si>
  <si>
    <r>
      <rPr>
        <sz val="9"/>
        <color rgb="FF000000"/>
        <rFont val="Arial"/>
        <charset val="134"/>
      </rPr>
      <t>120</t>
    </r>
    <r>
      <rPr>
        <sz val="9"/>
        <color rgb="FF000000"/>
        <rFont val="楷体"/>
        <charset val="134"/>
      </rPr>
      <t>亿元</t>
    </r>
  </si>
  <si>
    <r>
      <rPr>
        <sz val="9"/>
        <color rgb="FF000000"/>
        <rFont val="楷体"/>
        <charset val="134"/>
      </rPr>
      <t>广州市越秀区东湖路</t>
    </r>
    <r>
      <rPr>
        <sz val="9"/>
        <color rgb="FF000000"/>
        <rFont val="Arial"/>
        <charset val="134"/>
      </rPr>
      <t>39</t>
    </r>
    <r>
      <rPr>
        <sz val="9"/>
        <color rgb="FF000000"/>
        <rFont val="楷体"/>
        <charset val="134"/>
      </rPr>
      <t>号</t>
    </r>
    <r>
      <rPr>
        <sz val="9"/>
        <color rgb="FF000000"/>
        <rFont val="Arial"/>
        <charset val="134"/>
      </rPr>
      <t>3</t>
    </r>
    <r>
      <rPr>
        <sz val="9"/>
        <color rgb="FF000000"/>
        <rFont val="楷体"/>
        <charset val="134"/>
      </rPr>
      <t>楼</t>
    </r>
    <r>
      <rPr>
        <sz val="9"/>
        <color rgb="FF000000"/>
        <rFont val="Arial"/>
        <charset val="134"/>
      </rPr>
      <t>301</t>
    </r>
    <r>
      <rPr>
        <sz val="9"/>
        <color rgb="FF000000"/>
        <rFont val="楷体"/>
        <charset val="134"/>
      </rPr>
      <t>房</t>
    </r>
  </si>
  <si>
    <t>2018-12-12</t>
  </si>
  <si>
    <t>阿里影业</t>
  </si>
  <si>
    <r>
      <rPr>
        <sz val="9"/>
        <color rgb="FF000000"/>
        <rFont val="楷体"/>
        <charset val="134"/>
      </rPr>
      <t>阿里影业是一家以创造快乐、成就梦想为使命的互联网影视公司，是以互联网为核心驱动，拥有粉丝运营、投融资、内容生产制作、宣传发行和院线服务平台的全产业链娱乐平台。其前身是文化中国传播集团，以报章媒体经营、移动新媒体运营与精品影视剧摄制等为主业的综合性文化产业集团，集团在香港联交所主板上市（代码为</t>
    </r>
    <r>
      <rPr>
        <sz val="9"/>
        <color rgb="FF000000"/>
        <rFont val="Arial"/>
        <charset val="134"/>
      </rPr>
      <t>01060HK</t>
    </r>
    <r>
      <rPr>
        <sz val="9"/>
        <color rgb="FF000000"/>
        <rFont val="楷体"/>
        <charset val="134"/>
      </rPr>
      <t>），</t>
    </r>
    <r>
      <rPr>
        <sz val="9"/>
        <color rgb="FF000000"/>
        <rFont val="Arial"/>
        <charset val="134"/>
      </rPr>
      <t>2014</t>
    </r>
    <r>
      <rPr>
        <sz val="9"/>
        <color rgb="FF000000"/>
        <rFont val="楷体"/>
        <charset val="134"/>
      </rPr>
      <t>年被阿里巴巴收购后更名为阿里影业。</t>
    </r>
  </si>
  <si>
    <t>阿里巴巴影业集团有限公司</t>
  </si>
  <si>
    <t>http://alibabapictures.com/simp/0-home.html</t>
  </si>
  <si>
    <t>1994-07</t>
  </si>
  <si>
    <r>
      <rPr>
        <sz val="9"/>
        <color rgb="FF000000"/>
        <rFont val="楷体"/>
        <charset val="134"/>
      </rPr>
      <t>香港</t>
    </r>
    <r>
      <rPr>
        <sz val="9"/>
        <color rgb="FF000000"/>
        <rFont val="Arial"/>
        <charset val="134"/>
      </rPr>
      <t>-</t>
    </r>
    <r>
      <rPr>
        <sz val="9"/>
        <color rgb="FF000000"/>
        <rFont val="楷体"/>
        <charset val="134"/>
      </rPr>
      <t>湾仔区</t>
    </r>
  </si>
  <si>
    <r>
      <rPr>
        <sz val="9"/>
        <color rgb="FF000000"/>
        <rFont val="Arial"/>
        <charset val="134"/>
      </rPr>
      <t>12.5</t>
    </r>
    <r>
      <rPr>
        <sz val="9"/>
        <color rgb="FF000000"/>
        <rFont val="楷体"/>
        <charset val="134"/>
      </rPr>
      <t>亿港元</t>
    </r>
  </si>
  <si>
    <r>
      <rPr>
        <sz val="9"/>
        <color rgb="FF000000"/>
        <rFont val="Arial"/>
        <charset val="134"/>
      </rPr>
      <t>74.26</t>
    </r>
    <r>
      <rPr>
        <sz val="9"/>
        <color rgb="FF000000"/>
        <rFont val="楷体"/>
        <charset val="134"/>
      </rPr>
      <t>亿</t>
    </r>
  </si>
  <si>
    <r>
      <rPr>
        <sz val="9"/>
        <color rgb="FF000000"/>
        <rFont val="Arial"/>
        <charset val="134"/>
      </rPr>
      <t>520.83336</t>
    </r>
    <r>
      <rPr>
        <sz val="9"/>
        <color rgb="FF000000"/>
        <rFont val="楷体"/>
        <charset val="134"/>
      </rPr>
      <t>亿元</t>
    </r>
  </si>
  <si>
    <r>
      <rPr>
        <sz val="9"/>
        <color rgb="FF000000"/>
        <rFont val="楷体"/>
        <charset val="134"/>
      </rPr>
      <t>樊路远</t>
    </r>
    <r>
      <rPr>
        <sz val="9"/>
        <color rgb="FF000000"/>
        <rFont val="Arial"/>
        <charset val="134"/>
      </rPr>
      <t>:</t>
    </r>
    <r>
      <rPr>
        <sz val="9"/>
        <color rgb="FF000000"/>
        <rFont val="楷体"/>
        <charset val="134"/>
      </rPr>
      <t>董事会主席</t>
    </r>
    <r>
      <rPr>
        <sz val="9"/>
        <color rgb="FF000000"/>
        <rFont val="Arial"/>
        <charset val="134"/>
      </rPr>
      <t>&amp;CEO</t>
    </r>
  </si>
  <si>
    <r>
      <rPr>
        <sz val="9"/>
        <color rgb="FF000000"/>
        <rFont val="楷体"/>
        <charset val="134"/>
      </rPr>
      <t>香港铜锣湾勿地臣街</t>
    </r>
    <r>
      <rPr>
        <sz val="9"/>
        <color rgb="FF000000"/>
        <rFont val="Arial"/>
        <charset val="134"/>
      </rPr>
      <t>1</t>
    </r>
    <r>
      <rPr>
        <sz val="9"/>
        <color rgb="FF000000"/>
        <rFont val="楷体"/>
        <charset val="134"/>
      </rPr>
      <t>号时代广场</t>
    </r>
    <r>
      <rPr>
        <sz val="9"/>
        <color rgb="FF000000"/>
        <rFont val="Arial"/>
        <charset val="134"/>
      </rPr>
      <t>1</t>
    </r>
    <r>
      <rPr>
        <sz val="9"/>
        <color rgb="FF000000"/>
        <rFont val="楷体"/>
        <charset val="134"/>
      </rPr>
      <t>座</t>
    </r>
    <r>
      <rPr>
        <sz val="9"/>
        <color rgb="FF000000"/>
        <rFont val="Arial"/>
        <charset val="134"/>
      </rPr>
      <t>26</t>
    </r>
    <r>
      <rPr>
        <sz val="9"/>
        <color rgb="FF000000"/>
        <rFont val="楷体"/>
        <charset val="134"/>
      </rPr>
      <t>楼</t>
    </r>
  </si>
  <si>
    <t>010-5911-5566</t>
  </si>
  <si>
    <t>ir-pics@alibabapictures.com</t>
  </si>
  <si>
    <r>
      <rPr>
        <sz val="9"/>
        <color rgb="FF000000"/>
        <rFont val="Arial"/>
        <charset val="134"/>
      </rPr>
      <t>2.27</t>
    </r>
    <r>
      <rPr>
        <sz val="9"/>
        <color rgb="FF000000"/>
        <rFont val="楷体"/>
        <charset val="134"/>
      </rPr>
      <t>亿港元</t>
    </r>
  </si>
  <si>
    <t>2020-08-26</t>
  </si>
  <si>
    <t>小满科技</t>
  </si>
  <si>
    <r>
      <rPr>
        <sz val="9"/>
        <color rgb="FF000000"/>
        <rFont val="楷体"/>
        <charset val="134"/>
      </rPr>
      <t>小满科技</t>
    </r>
  </si>
  <si>
    <r>
      <rPr>
        <sz val="9"/>
        <color rgb="FF000000"/>
        <rFont val="楷体"/>
        <charset val="134"/>
      </rPr>
      <t>小满科技是国际贸易解决方案供应商，大数据与人工智能公司，通过大数据与人工智能的产品、解决方案与服务，帮助中国企业拓展国际业务。通过小满</t>
    </r>
    <r>
      <rPr>
        <sz val="9"/>
        <color rgb="FF000000"/>
        <rFont val="Arial"/>
        <charset val="134"/>
      </rPr>
      <t>CRM</t>
    </r>
    <r>
      <rPr>
        <sz val="9"/>
        <color rgb="FF000000"/>
        <rFont val="楷体"/>
        <charset val="134"/>
      </rPr>
      <t>、小满营销、小满发现等产品，为企业提供高效、便捷的从发现客户、营销客户、管理客户、实现订单的全套产品与解决方案。</t>
    </r>
  </si>
  <si>
    <t>深圳市小满科技有限公司</t>
  </si>
  <si>
    <t>https://www.xiaoman.cn/</t>
  </si>
  <si>
    <t>2013-03</t>
  </si>
  <si>
    <r>
      <rPr>
        <sz val="9"/>
        <color rgb="FF000000"/>
        <rFont val="楷体"/>
        <charset val="134"/>
      </rPr>
      <t>企业服务</t>
    </r>
  </si>
  <si>
    <r>
      <rPr>
        <sz val="9"/>
        <color rgb="FF000000"/>
        <rFont val="楷体"/>
        <charset val="134"/>
      </rPr>
      <t>行业信息化及解决方案</t>
    </r>
  </si>
  <si>
    <r>
      <t>D</t>
    </r>
    <r>
      <rPr>
        <sz val="9"/>
        <color rgb="FF000000"/>
        <rFont val="楷体"/>
        <charset val="134"/>
      </rPr>
      <t>轮</t>
    </r>
  </si>
  <si>
    <r>
      <t>4.93</t>
    </r>
    <r>
      <rPr>
        <sz val="9"/>
        <color rgb="FF000000"/>
        <rFont val="楷体"/>
        <charset val="134"/>
      </rPr>
      <t>亿</t>
    </r>
  </si>
  <si>
    <r>
      <t>15</t>
    </r>
    <r>
      <rPr>
        <sz val="9"/>
        <color rgb="FF000000"/>
        <rFont val="楷体"/>
        <charset val="134"/>
      </rPr>
      <t>亿元</t>
    </r>
  </si>
  <si>
    <r>
      <rPr>
        <sz val="9"/>
        <color rgb="FF000000"/>
        <rFont val="楷体"/>
        <charset val="134"/>
      </rPr>
      <t>文博亮</t>
    </r>
    <r>
      <rPr>
        <sz val="9"/>
        <color rgb="FF000000"/>
        <rFont val="Arial"/>
        <charset val="134"/>
      </rPr>
      <t xml:space="preserve"> :CEO,</t>
    </r>
    <r>
      <rPr>
        <sz val="9"/>
        <color rgb="FF000000"/>
        <rFont val="楷体"/>
        <charset val="134"/>
      </rPr>
      <t>邱实</t>
    </r>
    <r>
      <rPr>
        <sz val="9"/>
        <color rgb="FF000000"/>
        <rFont val="Arial"/>
        <charset val="134"/>
      </rPr>
      <t>:</t>
    </r>
    <r>
      <rPr>
        <sz val="9"/>
        <color rgb="FF000000"/>
        <rFont val="楷体"/>
        <charset val="134"/>
      </rPr>
      <t>联合创始人兼</t>
    </r>
    <r>
      <rPr>
        <sz val="9"/>
        <color rgb="FF000000"/>
        <rFont val="Arial"/>
        <charset val="134"/>
      </rPr>
      <t>CMO</t>
    </r>
  </si>
  <si>
    <r>
      <rPr>
        <sz val="9"/>
        <color rgb="FF000000"/>
        <rFont val="楷体"/>
        <charset val="134"/>
      </rPr>
      <t>深圳市南山区深南大道</t>
    </r>
    <r>
      <rPr>
        <sz val="9"/>
        <color rgb="FF000000"/>
        <rFont val="Arial"/>
        <charset val="134"/>
      </rPr>
      <t>9678</t>
    </r>
    <r>
      <rPr>
        <sz val="9"/>
        <color rgb="FF000000"/>
        <rFont val="楷体"/>
        <charset val="134"/>
      </rPr>
      <t>号大冲商务中心</t>
    </r>
    <r>
      <rPr>
        <sz val="9"/>
        <color rgb="FF000000"/>
        <rFont val="Arial"/>
        <charset val="134"/>
      </rPr>
      <t>B</t>
    </r>
    <r>
      <rPr>
        <sz val="9"/>
        <color rgb="FF000000"/>
        <rFont val="楷体"/>
        <charset val="134"/>
      </rPr>
      <t>座</t>
    </r>
    <r>
      <rPr>
        <sz val="9"/>
        <color rgb="FF000000"/>
        <rFont val="Arial"/>
        <charset val="134"/>
      </rPr>
      <t>14</t>
    </r>
    <r>
      <rPr>
        <sz val="9"/>
        <color rgb="FF000000"/>
        <rFont val="楷体"/>
        <charset val="134"/>
      </rPr>
      <t>层</t>
    </r>
  </si>
  <si>
    <t>0755-8602-2226</t>
  </si>
  <si>
    <t>business@xiaoman.cn</t>
  </si>
  <si>
    <r>
      <rPr>
        <sz val="9"/>
        <color rgb="FF000000"/>
        <rFont val="Arial"/>
        <charset val="134"/>
      </rPr>
      <t>6500</t>
    </r>
    <r>
      <rPr>
        <sz val="9"/>
        <color rgb="FF000000"/>
        <rFont val="楷体"/>
        <charset val="134"/>
      </rPr>
      <t>万人民币</t>
    </r>
  </si>
  <si>
    <r>
      <rPr>
        <sz val="9"/>
        <color rgb="FF000000"/>
        <rFont val="楷体"/>
        <charset val="134"/>
      </rPr>
      <t>启明创投</t>
    </r>
    <r>
      <rPr>
        <sz val="9"/>
        <color rgb="FF000000"/>
        <rFont val="Arial"/>
        <charset val="134"/>
      </rPr>
      <t>,</t>
    </r>
    <r>
      <rPr>
        <sz val="9"/>
        <color rgb="FF000000"/>
        <rFont val="楷体"/>
        <charset val="134"/>
      </rPr>
      <t>华创资本</t>
    </r>
  </si>
  <si>
    <r>
      <rPr>
        <sz val="9"/>
        <color rgb="FF000000"/>
        <rFont val="Arial"/>
        <charset val="134"/>
      </rPr>
      <t>3500</t>
    </r>
    <r>
      <rPr>
        <sz val="9"/>
        <color rgb="FF000000"/>
        <rFont val="楷体"/>
        <charset val="134"/>
      </rPr>
      <t>万人民币</t>
    </r>
  </si>
  <si>
    <r>
      <rPr>
        <sz val="9"/>
        <color rgb="FF000000"/>
        <rFont val="楷体"/>
        <charset val="134"/>
      </rPr>
      <t>零一创投</t>
    </r>
    <r>
      <rPr>
        <sz val="9"/>
        <color rgb="FF000000"/>
        <rFont val="Arial"/>
        <charset val="134"/>
      </rPr>
      <t>,</t>
    </r>
    <r>
      <rPr>
        <sz val="9"/>
        <color rgb="FF000000"/>
        <rFont val="楷体"/>
        <charset val="134"/>
      </rPr>
      <t>吴宵光</t>
    </r>
  </si>
  <si>
    <t>必联网</t>
  </si>
  <si>
    <r>
      <rPr>
        <sz val="9"/>
        <color rgb="FF000000"/>
        <rFont val="楷体"/>
        <charset val="134"/>
      </rPr>
      <t>真格基金</t>
    </r>
    <r>
      <rPr>
        <sz val="9"/>
        <color rgb="FF000000"/>
        <rFont val="Arial"/>
        <charset val="134"/>
      </rPr>
      <t>,</t>
    </r>
    <r>
      <rPr>
        <sz val="9"/>
        <color rgb="FF000000"/>
        <rFont val="楷体"/>
        <charset val="134"/>
      </rPr>
      <t>云天使基金</t>
    </r>
  </si>
  <si>
    <t>2016-03-01</t>
  </si>
  <si>
    <t>二十一世纪传媒</t>
  </si>
  <si>
    <r>
      <rPr>
        <sz val="9"/>
        <color rgb="FF000000"/>
        <rFont val="楷体"/>
        <charset val="134"/>
      </rPr>
      <t>二十一世纪传媒</t>
    </r>
    <r>
      <rPr>
        <sz val="9"/>
        <color rgb="FF000000"/>
        <rFont val="Arial"/>
        <charset val="134"/>
      </rPr>
      <t>/21</t>
    </r>
    <r>
      <rPr>
        <sz val="9"/>
        <color rgb="FF000000"/>
        <rFont val="楷体"/>
        <charset val="134"/>
      </rPr>
      <t>世纪是一家财经媒体，由广东二十一世纪出版有限公司于</t>
    </r>
    <r>
      <rPr>
        <sz val="9"/>
        <color rgb="FF000000"/>
        <rFont val="Arial"/>
        <charset val="134"/>
      </rPr>
      <t>2010</t>
    </r>
    <r>
      <rPr>
        <sz val="9"/>
        <color rgb="FF000000"/>
        <rFont val="楷体"/>
        <charset val="134"/>
      </rPr>
      <t>年</t>
    </r>
    <r>
      <rPr>
        <sz val="9"/>
        <color rgb="FF000000"/>
        <rFont val="Arial"/>
        <charset val="134"/>
      </rPr>
      <t>9</t>
    </r>
    <r>
      <rPr>
        <sz val="9"/>
        <color rgb="FF000000"/>
        <rFont val="楷体"/>
        <charset val="134"/>
      </rPr>
      <t>月整体改制而来，控股股东为广东南方报业传媒集团有限公司。目前旗下拥有报纸</t>
    </r>
    <r>
      <rPr>
        <sz val="9"/>
        <color rgb="FF000000"/>
        <rFont val="Arial"/>
        <charset val="134"/>
      </rPr>
      <t>(21</t>
    </r>
    <r>
      <rPr>
        <sz val="9"/>
        <color rgb="FF000000"/>
        <rFont val="楷体"/>
        <charset val="134"/>
      </rPr>
      <t>世纪经济报道、理财周报</t>
    </r>
    <r>
      <rPr>
        <sz val="9"/>
        <color rgb="FF000000"/>
        <rFont val="Arial"/>
        <charset val="134"/>
      </rPr>
      <t>)</t>
    </r>
    <r>
      <rPr>
        <sz val="9"/>
        <color rgb="FF000000"/>
        <rFont val="楷体"/>
        <charset val="134"/>
      </rPr>
      <t>、杂志</t>
    </r>
    <r>
      <rPr>
        <sz val="9"/>
        <color rgb="FF000000"/>
        <rFont val="Arial"/>
        <charset val="134"/>
      </rPr>
      <t>(21</t>
    </r>
    <r>
      <rPr>
        <sz val="9"/>
        <color rgb="FF000000"/>
        <rFont val="楷体"/>
        <charset val="134"/>
      </rPr>
      <t>世纪商业评论、福布斯中国版</t>
    </r>
    <r>
      <rPr>
        <sz val="9"/>
        <color rgb="FF000000"/>
        <rFont val="Arial"/>
        <charset val="134"/>
      </rPr>
      <t>)</t>
    </r>
    <r>
      <rPr>
        <sz val="9"/>
        <color rgb="FF000000"/>
        <rFont val="楷体"/>
        <charset val="134"/>
      </rPr>
      <t>、网站</t>
    </r>
    <r>
      <rPr>
        <sz val="9"/>
        <color rgb="FF000000"/>
        <rFont val="Arial"/>
        <charset val="134"/>
      </rPr>
      <t>(21</t>
    </r>
    <r>
      <rPr>
        <sz val="9"/>
        <color rgb="FF000000"/>
        <rFont val="楷体"/>
        <charset val="134"/>
      </rPr>
      <t>世纪网</t>
    </r>
    <r>
      <rPr>
        <sz val="9"/>
        <color rgb="FF000000"/>
        <rFont val="Arial"/>
        <charset val="134"/>
      </rPr>
      <t>)</t>
    </r>
    <r>
      <rPr>
        <sz val="9"/>
        <color rgb="FF000000"/>
        <rFont val="楷体"/>
        <charset val="134"/>
      </rPr>
      <t>、商业项目为一体的全媒体。</t>
    </r>
  </si>
  <si>
    <t>广东二十一世纪传媒股份有限公司</t>
  </si>
  <si>
    <t>http://www.the21media.com/</t>
  </si>
  <si>
    <t>2001-06</t>
  </si>
  <si>
    <t>张江集团</t>
  </si>
  <si>
    <r>
      <rPr>
        <sz val="9"/>
        <color rgb="FF000000"/>
        <rFont val="Arial"/>
        <charset val="134"/>
      </rPr>
      <t>6.01</t>
    </r>
    <r>
      <rPr>
        <sz val="9"/>
        <color rgb="FF000000"/>
        <rFont val="楷体"/>
        <charset val="134"/>
      </rPr>
      <t>亿</t>
    </r>
  </si>
  <si>
    <r>
      <rPr>
        <sz val="9"/>
        <color rgb="FF000000"/>
        <rFont val="楷体"/>
        <charset val="134"/>
      </rPr>
      <t>王义军</t>
    </r>
    <r>
      <rPr>
        <sz val="9"/>
        <color rgb="FF000000"/>
        <rFont val="Arial"/>
        <charset val="134"/>
      </rPr>
      <t>:</t>
    </r>
    <r>
      <rPr>
        <sz val="9"/>
        <color rgb="FF000000"/>
        <rFont val="楷体"/>
        <charset val="134"/>
      </rPr>
      <t>董事长</t>
    </r>
  </si>
  <si>
    <r>
      <rPr>
        <sz val="9"/>
        <color rgb="FF000000"/>
        <rFont val="楷体"/>
        <charset val="134"/>
      </rPr>
      <t>广州市越秀区广州大道中</t>
    </r>
    <r>
      <rPr>
        <sz val="9"/>
        <color rgb="FF000000"/>
        <rFont val="Arial"/>
        <charset val="134"/>
      </rPr>
      <t>289</t>
    </r>
    <r>
      <rPr>
        <sz val="9"/>
        <color rgb="FF000000"/>
        <rFont val="楷体"/>
        <charset val="134"/>
      </rPr>
      <t>号</t>
    </r>
    <r>
      <rPr>
        <sz val="9"/>
        <color rgb="FF000000"/>
        <rFont val="Arial"/>
        <charset val="134"/>
      </rPr>
      <t>18</t>
    </r>
    <r>
      <rPr>
        <sz val="9"/>
        <color rgb="FF000000"/>
        <rFont val="楷体"/>
        <charset val="134"/>
      </rPr>
      <t>楼</t>
    </r>
  </si>
  <si>
    <t>020-8300-0456</t>
  </si>
  <si>
    <t>ljj@21jingji.com</t>
  </si>
  <si>
    <t>2013-10-01</t>
  </si>
  <si>
    <t>天弘基金余额宝</t>
  </si>
  <si>
    <r>
      <rPr>
        <sz val="9"/>
        <color rgb="FF000000"/>
        <rFont val="楷体"/>
        <charset val="134"/>
      </rPr>
      <t>天弘基金是全国性公募基金管理公司之一，</t>
    </r>
    <r>
      <rPr>
        <sz val="9"/>
        <color rgb="FF000000"/>
        <rFont val="Arial"/>
        <charset val="134"/>
      </rPr>
      <t>2013</t>
    </r>
    <r>
      <rPr>
        <sz val="9"/>
        <color rgb="FF000000"/>
        <rFont val="楷体"/>
        <charset val="134"/>
      </rPr>
      <t>年天弘基金与支付宝合作推出余额宝，是余额宝的基金管理人。目前业务范围涵盖二级市场股票投资、债券投资、现金管理、衍生品投资，以及股权、债权、其他财产权利投资等。</t>
    </r>
  </si>
  <si>
    <t>天弘基金管理有限公司</t>
  </si>
  <si>
    <t>http://www.thfund.com.cn/</t>
  </si>
  <si>
    <t>2004-11</t>
  </si>
  <si>
    <r>
      <rPr>
        <sz val="9"/>
        <color rgb="FF000000"/>
        <rFont val="楷体"/>
        <charset val="134"/>
      </rPr>
      <t>北京</t>
    </r>
    <r>
      <rPr>
        <sz val="9"/>
        <color rgb="FF000000"/>
        <rFont val="Arial"/>
        <charset val="134"/>
      </rPr>
      <t>-</t>
    </r>
    <r>
      <rPr>
        <sz val="9"/>
        <color rgb="FF000000"/>
        <rFont val="楷体"/>
        <charset val="134"/>
      </rPr>
      <t>西城区</t>
    </r>
  </si>
  <si>
    <t>金融</t>
  </si>
  <si>
    <t>理财</t>
  </si>
  <si>
    <r>
      <rPr>
        <sz val="9"/>
        <color rgb="FF000000"/>
        <rFont val="Arial"/>
        <charset val="134"/>
      </rPr>
      <t>11.8</t>
    </r>
    <r>
      <rPr>
        <sz val="9"/>
        <color rgb="FF000000"/>
        <rFont val="楷体"/>
        <charset val="134"/>
      </rPr>
      <t>亿人民币</t>
    </r>
  </si>
  <si>
    <r>
      <rPr>
        <sz val="9"/>
        <color rgb="FF000000"/>
        <rFont val="Arial"/>
        <charset val="134"/>
      </rPr>
      <t>11.8</t>
    </r>
    <r>
      <rPr>
        <sz val="9"/>
        <color rgb="FF000000"/>
        <rFont val="楷体"/>
        <charset val="134"/>
      </rPr>
      <t>亿</t>
    </r>
  </si>
  <si>
    <r>
      <rPr>
        <sz val="9"/>
        <color rgb="FF000000"/>
        <rFont val="Arial"/>
        <charset val="134"/>
      </rPr>
      <t>59</t>
    </r>
    <r>
      <rPr>
        <sz val="9"/>
        <color rgb="FF000000"/>
        <rFont val="楷体"/>
        <charset val="134"/>
      </rPr>
      <t>亿元</t>
    </r>
  </si>
  <si>
    <r>
      <rPr>
        <sz val="9"/>
        <color rgb="FF000000"/>
        <rFont val="楷体"/>
        <charset val="134"/>
      </rPr>
      <t>韩歆毅</t>
    </r>
    <r>
      <rPr>
        <sz val="9"/>
        <color rgb="FF000000"/>
        <rFont val="Arial"/>
        <charset val="134"/>
      </rPr>
      <t>:</t>
    </r>
    <r>
      <rPr>
        <sz val="9"/>
        <color rgb="FF000000"/>
        <rFont val="楷体"/>
        <charset val="134"/>
      </rPr>
      <t>董事长</t>
    </r>
  </si>
  <si>
    <r>
      <rPr>
        <sz val="9"/>
        <color rgb="FF000000"/>
        <rFont val="楷体"/>
        <charset val="134"/>
      </rPr>
      <t>月坛大厦</t>
    </r>
    <r>
      <rPr>
        <sz val="9"/>
        <color rgb="FF000000"/>
        <rFont val="Arial"/>
        <charset val="134"/>
      </rPr>
      <t>A</t>
    </r>
    <r>
      <rPr>
        <sz val="9"/>
        <color rgb="FF000000"/>
        <rFont val="楷体"/>
        <charset val="134"/>
      </rPr>
      <t>座</t>
    </r>
    <r>
      <rPr>
        <sz val="9"/>
        <color rgb="FF000000"/>
        <rFont val="Arial"/>
        <charset val="134"/>
      </rPr>
      <t>20</t>
    </r>
    <r>
      <rPr>
        <sz val="9"/>
        <color rgb="FF000000"/>
        <rFont val="楷体"/>
        <charset val="134"/>
      </rPr>
      <t>楼</t>
    </r>
  </si>
  <si>
    <t>2019-03-31</t>
  </si>
  <si>
    <t>1stdibs</t>
  </si>
  <si>
    <r>
      <rPr>
        <sz val="9"/>
        <color rgb="FF000000"/>
        <rFont val="Arial"/>
        <charset val="134"/>
      </rPr>
      <t xml:space="preserve">1stdibs </t>
    </r>
    <r>
      <rPr>
        <sz val="9"/>
        <color rgb="FF000000"/>
        <rFont val="楷体"/>
        <charset val="134"/>
      </rPr>
      <t>成立于</t>
    </r>
    <r>
      <rPr>
        <sz val="9"/>
        <color rgb="FF000000"/>
        <rFont val="Arial"/>
        <charset val="134"/>
      </rPr>
      <t>2001</t>
    </r>
    <r>
      <rPr>
        <sz val="9"/>
        <color rgb="FF000000"/>
        <rFont val="楷体"/>
        <charset val="134"/>
      </rPr>
      <t>年，是一家来自美国的高端奢侈品网站，主要销售珠宝、艺术品、奢侈品等。</t>
    </r>
  </si>
  <si>
    <t>http://www.1stdibs.com/</t>
  </si>
  <si>
    <t>2001-01</t>
  </si>
  <si>
    <r>
      <rPr>
        <sz val="9"/>
        <color rgb="FF000000"/>
        <rFont val="Arial"/>
        <charset val="134"/>
      </rPr>
      <t>7600</t>
    </r>
    <r>
      <rPr>
        <sz val="9"/>
        <color rgb="FF000000"/>
        <rFont val="楷体"/>
        <charset val="134"/>
      </rPr>
      <t>万美元</t>
    </r>
  </si>
  <si>
    <t>T. Rowe Price,Foxhaven Asset Management,Sofina Group</t>
  </si>
  <si>
    <r>
      <rPr>
        <sz val="9"/>
        <color rgb="FF000000"/>
        <rFont val="Arial"/>
        <charset val="134"/>
      </rPr>
      <t>12.55</t>
    </r>
    <r>
      <rPr>
        <sz val="9"/>
        <color rgb="FF000000"/>
        <rFont val="楷体"/>
        <charset val="134"/>
      </rPr>
      <t>亿</t>
    </r>
  </si>
  <si>
    <r>
      <rPr>
        <sz val="9"/>
        <color rgb="FF000000"/>
        <rFont val="Arial"/>
        <charset val="134"/>
      </rPr>
      <t>32.5</t>
    </r>
    <r>
      <rPr>
        <sz val="9"/>
        <color rgb="FF000000"/>
        <rFont val="楷体"/>
        <charset val="134"/>
      </rPr>
      <t>亿元</t>
    </r>
  </si>
  <si>
    <t>David Rosenblatt:CEO,Jennifer Miller:Communications Consultant,Kristin Thayer:Senior Director, Sales and Client Partnerships,Ross Paul:CTO,Xiaodi Zhang:Chief Product Officer</t>
  </si>
  <si>
    <t>Index Ventures,Benchmark Capital,Spark Capital</t>
  </si>
  <si>
    <t>Benchmark Capital</t>
  </si>
  <si>
    <t>2021-12-16</t>
  </si>
  <si>
    <t>青瓷游戏</t>
  </si>
  <si>
    <t>青瓷游戏是一家专业从事网络游戏研发、运营的科技公司，游戏有《最强蜗牛》、《提灯与地下城》、《不思议迷宫》、《阿瑞斯病毒》、《无尽大冒险》等。</t>
  </si>
  <si>
    <t>厦门青瓷数码技术有限公司</t>
  </si>
  <si>
    <t>http://www.qcplay.com</t>
  </si>
  <si>
    <r>
      <rPr>
        <sz val="9"/>
        <color rgb="FF000000"/>
        <rFont val="Arial"/>
        <charset val="134"/>
      </rPr>
      <t>8.63</t>
    </r>
    <r>
      <rPr>
        <sz val="9"/>
        <color rgb="FF000000"/>
        <rFont val="楷体"/>
        <charset val="134"/>
      </rPr>
      <t>亿港元</t>
    </r>
  </si>
  <si>
    <r>
      <rPr>
        <sz val="9"/>
        <color rgb="FF000000"/>
        <rFont val="Arial"/>
        <charset val="134"/>
      </rPr>
      <t>20.08</t>
    </r>
    <r>
      <rPr>
        <sz val="9"/>
        <color rgb="FF000000"/>
        <rFont val="楷体"/>
        <charset val="134"/>
      </rPr>
      <t>亿</t>
    </r>
  </si>
  <si>
    <r>
      <rPr>
        <sz val="9"/>
        <color rgb="FF000000"/>
        <rFont val="Arial"/>
        <charset val="134"/>
      </rPr>
      <t>56.48</t>
    </r>
    <r>
      <rPr>
        <sz val="9"/>
        <color rgb="FF000000"/>
        <rFont val="楷体"/>
        <charset val="134"/>
      </rPr>
      <t>亿元</t>
    </r>
  </si>
  <si>
    <r>
      <rPr>
        <sz val="9"/>
        <color rgb="FF000000"/>
        <rFont val="楷体"/>
        <charset val="134"/>
      </rPr>
      <t>杨煦</t>
    </r>
    <r>
      <rPr>
        <sz val="9"/>
        <color rgb="FF000000"/>
        <rFont val="Arial"/>
        <charset val="134"/>
      </rPr>
      <t>:</t>
    </r>
    <r>
      <rPr>
        <sz val="9"/>
        <color rgb="FF000000"/>
        <rFont val="楷体"/>
        <charset val="134"/>
      </rPr>
      <t>总经理</t>
    </r>
  </si>
  <si>
    <r>
      <rPr>
        <sz val="9"/>
        <color rgb="FF000000"/>
        <rFont val="楷体"/>
        <charset val="134"/>
      </rPr>
      <t>厦门软件园二期望海路</t>
    </r>
    <r>
      <rPr>
        <sz val="9"/>
        <color rgb="FF000000"/>
        <rFont val="Arial"/>
        <charset val="134"/>
      </rPr>
      <t>4</t>
    </r>
    <r>
      <rPr>
        <sz val="9"/>
        <color rgb="FF000000"/>
        <rFont val="楷体"/>
        <charset val="134"/>
      </rPr>
      <t>号吉比特大厦</t>
    </r>
  </si>
  <si>
    <t>0592-519-6568</t>
  </si>
  <si>
    <t>qcjs@qcplay.com</t>
  </si>
  <si>
    <r>
      <rPr>
        <sz val="9"/>
        <color rgb="FF000000"/>
        <rFont val="Arial"/>
        <charset val="134"/>
      </rPr>
      <t>7000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</si>
  <si>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广发证券</t>
    </r>
    <r>
      <rPr>
        <sz val="9"/>
        <color rgb="FF000000"/>
        <rFont val="Arial"/>
        <charset val="134"/>
      </rPr>
      <t>,</t>
    </r>
    <r>
      <rPr>
        <sz val="9"/>
        <color rgb="FF000000"/>
        <rFont val="楷体"/>
        <charset val="134"/>
      </rPr>
      <t>盈趣科技</t>
    </r>
    <r>
      <rPr>
        <sz val="9"/>
        <color rgb="FF000000"/>
        <rFont val="Arial"/>
        <charset val="134"/>
      </rPr>
      <t>,ABCI China Dynamic Growth SP</t>
    </r>
  </si>
  <si>
    <r>
      <rPr>
        <sz val="9"/>
        <color rgb="FF000000"/>
        <rFont val="Arial"/>
        <charset val="134"/>
      </rPr>
      <t>6261</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</si>
  <si>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</si>
  <si>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Arial"/>
        <charset val="134"/>
      </rPr>
      <t>3.03</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</si>
  <si>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</si>
  <si>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Arial"/>
        <charset val="134"/>
      </rPr>
      <t>1.2</t>
    </r>
    <r>
      <rPr>
        <sz val="9"/>
        <color rgb="FF000000"/>
        <rFont val="楷体"/>
        <charset val="134"/>
      </rPr>
      <t>亿人民币</t>
    </r>
  </si>
  <si>
    <t>吉比特</t>
  </si>
  <si>
    <r>
      <rPr>
        <sz val="9"/>
        <color rgb="FF000000"/>
        <rFont val="楷体"/>
        <charset val="134"/>
      </rPr>
      <t>坚果资本</t>
    </r>
    <r>
      <rPr>
        <sz val="9"/>
        <color rgb="FF000000"/>
        <rFont val="Arial"/>
        <charset val="134"/>
      </rPr>
      <t>,</t>
    </r>
    <r>
      <rPr>
        <sz val="9"/>
        <color rgb="FF000000"/>
        <rFont val="楷体"/>
        <charset val="134"/>
      </rPr>
      <t>吉比特</t>
    </r>
  </si>
  <si>
    <r>
      <rPr>
        <sz val="9"/>
        <color rgb="FF000000"/>
        <rFont val="楷体"/>
        <charset val="134"/>
      </rPr>
      <t>国海创新资本</t>
    </r>
    <r>
      <rPr>
        <sz val="9"/>
        <color rgb="FF000000"/>
        <rFont val="Arial"/>
        <charset val="134"/>
      </rPr>
      <t>,</t>
    </r>
    <r>
      <rPr>
        <sz val="9"/>
        <color rgb="FF000000"/>
        <rFont val="楷体"/>
        <charset val="134"/>
      </rPr>
      <t>诺惟投资</t>
    </r>
    <r>
      <rPr>
        <sz val="9"/>
        <color rgb="FF000000"/>
        <rFont val="Arial"/>
        <charset val="134"/>
      </rPr>
      <t>-</t>
    </r>
    <r>
      <rPr>
        <sz val="9"/>
        <color rgb="FF000000"/>
        <rFont val="楷体"/>
        <charset val="134"/>
      </rPr>
      <t>吉相资本</t>
    </r>
  </si>
  <si>
    <t>2022-06-13</t>
  </si>
  <si>
    <t>魅族</t>
  </si>
  <si>
    <r>
      <rPr>
        <sz val="9"/>
        <color rgb="FF000000"/>
        <rFont val="楷体"/>
        <charset val="134"/>
      </rPr>
      <t>魅族是一家智能手机研发商，专注于智能通讯终端设备的研发与设计，旗下产品主要分为</t>
    </r>
    <r>
      <rPr>
        <sz val="9"/>
        <color rgb="FF000000"/>
        <rFont val="Arial"/>
        <charset val="134"/>
      </rPr>
      <t>PRO</t>
    </r>
    <r>
      <rPr>
        <sz val="9"/>
        <color rgb="FF000000"/>
        <rFont val="楷体"/>
        <charset val="134"/>
      </rPr>
      <t>、</t>
    </r>
    <r>
      <rPr>
        <sz val="9"/>
        <color rgb="FF000000"/>
        <rFont val="Arial"/>
        <charset val="134"/>
      </rPr>
      <t>MX</t>
    </r>
    <r>
      <rPr>
        <sz val="9"/>
        <color rgb="FF000000"/>
        <rFont val="楷体"/>
        <charset val="134"/>
      </rPr>
      <t>、魅蓝三个系列和</t>
    </r>
    <r>
      <rPr>
        <sz val="9"/>
        <color rgb="FF000000"/>
        <rFont val="Arial"/>
        <charset val="134"/>
      </rPr>
      <t>Flyme</t>
    </r>
    <r>
      <rPr>
        <sz val="9"/>
        <color rgb="FF000000"/>
        <rFont val="楷体"/>
        <charset val="134"/>
      </rPr>
      <t>手机操作系统，此外，还提供手机膜、手机壳、数据线、智能手环、蓝牙耳机等产品。</t>
    </r>
  </si>
  <si>
    <t>珠海星纪魅族信息技术有限公司</t>
  </si>
  <si>
    <t>http://www.meizu.com</t>
  </si>
  <si>
    <t>2012-12</t>
  </si>
  <si>
    <r>
      <rPr>
        <sz val="9"/>
        <color rgb="FF000000"/>
        <rFont val="楷体"/>
        <charset val="134"/>
      </rPr>
      <t>广东</t>
    </r>
    <r>
      <rPr>
        <sz val="9"/>
        <color rgb="FF000000"/>
        <rFont val="Arial"/>
        <charset val="134"/>
      </rPr>
      <t>-</t>
    </r>
    <r>
      <rPr>
        <sz val="9"/>
        <color rgb="FF000000"/>
        <rFont val="楷体"/>
        <charset val="134"/>
      </rPr>
      <t>珠海</t>
    </r>
  </si>
  <si>
    <r>
      <rPr>
        <sz val="9"/>
        <color rgb="FF000000"/>
        <rFont val="Arial"/>
        <charset val="134"/>
      </rPr>
      <t>3C</t>
    </r>
    <r>
      <rPr>
        <sz val="9"/>
        <color rgb="FF000000"/>
        <rFont val="楷体"/>
        <charset val="134"/>
      </rPr>
      <t>电子</t>
    </r>
  </si>
  <si>
    <t>吉利控股</t>
  </si>
  <si>
    <r>
      <rPr>
        <sz val="9"/>
        <color rgb="FF000000"/>
        <rFont val="Arial"/>
        <charset val="134"/>
      </rPr>
      <t>47.25</t>
    </r>
    <r>
      <rPr>
        <sz val="9"/>
        <color rgb="FF000000"/>
        <rFont val="楷体"/>
        <charset val="134"/>
      </rPr>
      <t>亿</t>
    </r>
  </si>
  <si>
    <r>
      <rPr>
        <sz val="9"/>
        <color rgb="FF000000"/>
        <rFont val="楷体"/>
        <charset val="134"/>
      </rPr>
      <t>黄章</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李楠</t>
    </r>
    <r>
      <rPr>
        <sz val="9"/>
        <color rgb="FF000000"/>
        <rFont val="Arial"/>
        <charset val="134"/>
      </rPr>
      <t>:</t>
    </r>
    <r>
      <rPr>
        <sz val="9"/>
        <color rgb="FF000000"/>
        <rFont val="楷体"/>
        <charset val="134"/>
      </rPr>
      <t>高级副总裁</t>
    </r>
    <r>
      <rPr>
        <sz val="9"/>
        <color rgb="FF000000"/>
        <rFont val="Arial"/>
        <charset val="134"/>
      </rPr>
      <t>,</t>
    </r>
    <r>
      <rPr>
        <sz val="9"/>
        <color rgb="FF000000"/>
        <rFont val="楷体"/>
        <charset val="134"/>
      </rPr>
      <t>黄质潘</t>
    </r>
    <r>
      <rPr>
        <sz val="9"/>
        <color rgb="FF000000"/>
        <rFont val="Arial"/>
        <charset val="134"/>
      </rPr>
      <t>:CEO</t>
    </r>
  </si>
  <si>
    <t>珠海市唐家湾科技创新海岸魅族科技楼</t>
  </si>
  <si>
    <t>400-788-3333</t>
  </si>
  <si>
    <t>mz-marketing@meizu.com</t>
  </si>
  <si>
    <r>
      <rPr>
        <sz val="9"/>
        <color rgb="FF000000"/>
        <rFont val="楷体"/>
        <charset val="134"/>
      </rPr>
      <t>华金资本</t>
    </r>
    <r>
      <rPr>
        <sz val="9"/>
        <color rgb="FF000000"/>
        <rFont val="Arial"/>
        <charset val="134"/>
      </rPr>
      <t>(</t>
    </r>
    <r>
      <rPr>
        <sz val="9"/>
        <color rgb="FF000000"/>
        <rFont val="楷体"/>
        <charset val="134"/>
      </rPr>
      <t>力合股份</t>
    </r>
    <r>
      <rPr>
        <sz val="9"/>
        <color rgb="FF000000"/>
        <rFont val="Arial"/>
        <charset val="134"/>
      </rPr>
      <t>)</t>
    </r>
  </si>
  <si>
    <t>天音通信</t>
  </si>
  <si>
    <r>
      <rPr>
        <sz val="9"/>
        <color rgb="FF000000"/>
        <rFont val="楷体"/>
        <charset val="134"/>
      </rPr>
      <t>阿里巴巴</t>
    </r>
    <r>
      <rPr>
        <sz val="9"/>
        <color rgb="FF000000"/>
        <rFont val="Arial"/>
        <charset val="134"/>
      </rPr>
      <t>,</t>
    </r>
    <r>
      <rPr>
        <sz val="9"/>
        <color rgb="FF000000"/>
        <rFont val="楷体"/>
        <charset val="134"/>
      </rPr>
      <t>海通开元</t>
    </r>
  </si>
  <si>
    <t>2016-06-18</t>
  </si>
  <si>
    <t>少数派</t>
  </si>
  <si>
    <r>
      <rPr>
        <sz val="9"/>
        <color rgb="FF000000"/>
        <rFont val="楷体"/>
        <charset val="134"/>
      </rPr>
      <t>少数派</t>
    </r>
    <r>
      <rPr>
        <sz val="9"/>
        <color rgb="FF000000"/>
        <rFont val="Arial"/>
        <charset val="134"/>
      </rPr>
      <t>(sspai.com)</t>
    </r>
    <r>
      <rPr>
        <sz val="9"/>
        <color rgb="FF000000"/>
        <rFont val="楷体"/>
        <charset val="134"/>
      </rPr>
      <t>专注于数字消费内容的深度挖掘，通过专业玩家的</t>
    </r>
    <r>
      <rPr>
        <sz val="9"/>
        <color rgb="FF000000"/>
        <rFont val="Arial"/>
        <charset val="134"/>
      </rPr>
      <t xml:space="preserve"> PGC </t>
    </r>
    <r>
      <rPr>
        <sz val="9"/>
        <color rgb="FF000000"/>
        <rFont val="楷体"/>
        <charset val="134"/>
      </rPr>
      <t>内容生产模式，建立优质内容生产</t>
    </r>
    <r>
      <rPr>
        <sz val="9"/>
        <color rgb="FF000000"/>
        <rFont val="Arial"/>
        <charset val="134"/>
      </rPr>
      <t>-</t>
    </r>
    <r>
      <rPr>
        <sz val="9"/>
        <color rgb="FF000000"/>
        <rFont val="楷体"/>
        <charset val="134"/>
      </rPr>
      <t>传播</t>
    </r>
    <r>
      <rPr>
        <sz val="9"/>
        <color rgb="FF000000"/>
        <rFont val="Arial"/>
        <charset val="134"/>
      </rPr>
      <t>-</t>
    </r>
    <r>
      <rPr>
        <sz val="9"/>
        <color rgb="FF000000"/>
        <rFont val="楷体"/>
        <charset val="134"/>
      </rPr>
      <t>消费闭环，打造高品质的数字消费指南。在媒体品牌基础上，基于优质开发者社群运营，孵化和联运高质量数字产品矩阵，为追求品质和个性的</t>
    </r>
    <r>
      <rPr>
        <sz val="9"/>
        <color rgb="FF000000"/>
        <rFont val="Arial"/>
        <charset val="134"/>
      </rPr>
      <t xml:space="preserve"> 90 </t>
    </r>
    <r>
      <rPr>
        <sz val="9"/>
        <color rgb="FF000000"/>
        <rFont val="楷体"/>
        <charset val="134"/>
      </rPr>
      <t>后新兴数字消费用户提供导购，指南等综合性服务。</t>
    </r>
  </si>
  <si>
    <t>深圳市烧麦网络科技有限公司</t>
  </si>
  <si>
    <t>http://sspai.com</t>
  </si>
  <si>
    <t>2015-12</t>
  </si>
  <si>
    <r>
      <rPr>
        <sz val="9"/>
        <color rgb="FF000000"/>
        <rFont val="楷体"/>
        <charset val="134"/>
      </rPr>
      <t>阿里巴巴</t>
    </r>
    <r>
      <rPr>
        <sz val="9"/>
        <color rgb="FF000000"/>
        <rFont val="Arial"/>
        <charset val="134"/>
      </rPr>
      <t>,</t>
    </r>
    <r>
      <rPr>
        <sz val="9"/>
        <color rgb="FF000000"/>
        <rFont val="楷体"/>
        <charset val="134"/>
      </rPr>
      <t>豌豆荚</t>
    </r>
    <r>
      <rPr>
        <sz val="9"/>
        <color rgb="FF000000"/>
        <rFont val="Arial"/>
        <charset val="134"/>
      </rPr>
      <t>,</t>
    </r>
    <r>
      <rPr>
        <sz val="9"/>
        <color rgb="FF000000"/>
        <rFont val="楷体"/>
        <charset val="134"/>
      </rPr>
      <t>凯盈资本</t>
    </r>
  </si>
  <si>
    <r>
      <rPr>
        <sz val="9"/>
        <color rgb="FF000000"/>
        <rFont val="楷体"/>
        <charset val="134"/>
      </rPr>
      <t>张涛</t>
    </r>
    <r>
      <rPr>
        <sz val="9"/>
        <color rgb="FF000000"/>
        <rFont val="Arial"/>
        <charset val="134"/>
      </rPr>
      <t>:</t>
    </r>
    <r>
      <rPr>
        <sz val="9"/>
        <color rgb="FF000000"/>
        <rFont val="楷体"/>
        <charset val="134"/>
      </rPr>
      <t>创始人</t>
    </r>
  </si>
  <si>
    <r>
      <rPr>
        <sz val="9"/>
        <color rgb="FF000000"/>
        <rFont val="楷体"/>
        <charset val="134"/>
      </rPr>
      <t>深圳市宝安区众里创业社区</t>
    </r>
    <r>
      <rPr>
        <sz val="9"/>
        <color rgb="FF000000"/>
        <rFont val="Arial"/>
        <charset val="134"/>
      </rPr>
      <t>411</t>
    </r>
  </si>
  <si>
    <t>m@sspai.com</t>
  </si>
  <si>
    <t>2018-07-03</t>
  </si>
  <si>
    <t>ThetaRay</t>
  </si>
  <si>
    <r>
      <rPr>
        <sz val="9"/>
        <color rgb="FF000000"/>
        <rFont val="Arial"/>
        <charset val="134"/>
      </rPr>
      <t xml:space="preserve">ThetaRay </t>
    </r>
    <r>
      <rPr>
        <sz val="9"/>
        <color rgb="FF000000"/>
        <rFont val="楷体"/>
        <charset val="134"/>
      </rPr>
      <t>成立于</t>
    </r>
    <r>
      <rPr>
        <sz val="9"/>
        <color rgb="FF000000"/>
        <rFont val="Arial"/>
        <charset val="134"/>
      </rPr>
      <t>2013</t>
    </r>
    <r>
      <rPr>
        <sz val="9"/>
        <color rgb="FF000000"/>
        <rFont val="楷体"/>
        <charset val="134"/>
      </rPr>
      <t>年，是以色列一家提供大数据安全分析的技术提供商，其自主研发的监控平台能够不掺杂任何人为的及计算性的偏见，从而实现对各种威胁的实时分析和监测。</t>
    </r>
  </si>
  <si>
    <t>http://www.thetaray.com/</t>
  </si>
  <si>
    <r>
      <rPr>
        <sz val="9"/>
        <color rgb="FF000000"/>
        <rFont val="楷体"/>
        <charset val="134"/>
      </rPr>
      <t>亚洲</t>
    </r>
    <r>
      <rPr>
        <sz val="9"/>
        <color rgb="FF000000"/>
        <rFont val="Arial"/>
        <charset val="134"/>
      </rPr>
      <t>-</t>
    </r>
    <r>
      <rPr>
        <sz val="9"/>
        <color rgb="FF000000"/>
        <rFont val="楷体"/>
        <charset val="134"/>
      </rPr>
      <t>以色列</t>
    </r>
  </si>
  <si>
    <t>行业信息化及解决方案</t>
  </si>
  <si>
    <r>
      <rPr>
        <sz val="9"/>
        <color rgb="FF000000"/>
        <rFont val="楷体"/>
        <charset val="134"/>
      </rPr>
      <t>硅谷银行</t>
    </r>
    <r>
      <rPr>
        <sz val="9"/>
        <color rgb="FF000000"/>
        <rFont val="Arial"/>
        <charset val="134"/>
      </rPr>
      <t>Silicon Valley Bank,OurCrowd,Jerusalem Venture Partners(JVP),GE Ventures</t>
    </r>
    <r>
      <rPr>
        <sz val="9"/>
        <color rgb="FF000000"/>
        <rFont val="楷体"/>
        <charset val="134"/>
      </rPr>
      <t>通用电气</t>
    </r>
    <r>
      <rPr>
        <sz val="9"/>
        <color rgb="FF000000"/>
        <rFont val="Arial"/>
        <charset val="134"/>
      </rPr>
      <t>,Bank Hapoalim</t>
    </r>
  </si>
  <si>
    <r>
      <rPr>
        <sz val="9"/>
        <color rgb="FF000000"/>
        <rFont val="Arial"/>
        <charset val="134"/>
      </rPr>
      <t>3.87</t>
    </r>
    <r>
      <rPr>
        <sz val="9"/>
        <color rgb="FF000000"/>
        <rFont val="楷体"/>
        <charset val="134"/>
      </rPr>
      <t>亿</t>
    </r>
  </si>
  <si>
    <t>Amir Averbuch:Co-Founder &amp; CTO,Aron Rissman:Chief of Staff,Barak Klein:Chief Financial Officer,Dagan Osovlansky:Chief Product Officer,David Segev:Head of Algorithm Development,Idan Keret:Chief Customer Success Officer,Mark Gazit:CEO &amp; President,Moran Goldwein:SVP HR,Peter Reynolds:CRO,Shay Dovev:SVP, Strategic Accounts,Eran Fishov:Vice President of Customer Success, Enterprise</t>
  </si>
  <si>
    <r>
      <rPr>
        <sz val="9"/>
        <color rgb="FF000000"/>
        <rFont val="楷体"/>
        <charset val="134"/>
      </rPr>
      <t>阿里巴巴</t>
    </r>
    <r>
      <rPr>
        <sz val="9"/>
        <color rgb="FF000000"/>
        <rFont val="Arial"/>
        <charset val="134"/>
      </rPr>
      <t>,General Electric,Jerusalem Venture Partners(JVP)</t>
    </r>
  </si>
  <si>
    <t>General Electric,Jerusalem Venture Partners(JVP)</t>
  </si>
  <si>
    <r>
      <rPr>
        <sz val="9"/>
        <color rgb="FF000000"/>
        <rFont val="Arial"/>
        <charset val="134"/>
      </rPr>
      <t>350</t>
    </r>
    <r>
      <rPr>
        <sz val="9"/>
        <color rgb="FF000000"/>
        <rFont val="楷体"/>
        <charset val="134"/>
      </rPr>
      <t>万美元</t>
    </r>
  </si>
  <si>
    <r>
      <rPr>
        <sz val="9"/>
        <color rgb="FF000000"/>
        <rFont val="楷体"/>
        <charset val="134"/>
      </rPr>
      <t>创茵资本</t>
    </r>
    <r>
      <rPr>
        <sz val="9"/>
        <color rgb="FF000000"/>
        <rFont val="Arial"/>
        <charset val="134"/>
      </rPr>
      <t>Tryin Capital</t>
    </r>
  </si>
  <si>
    <t>2016-08-09</t>
  </si>
  <si>
    <t>Jet.com</t>
  </si>
  <si>
    <r>
      <rPr>
        <sz val="9"/>
        <color rgb="FF000000"/>
        <rFont val="Arial"/>
        <charset val="134"/>
      </rPr>
      <t xml:space="preserve">Jet.com </t>
    </r>
    <r>
      <rPr>
        <sz val="9"/>
        <color rgb="FF000000"/>
        <rFont val="楷体"/>
        <charset val="134"/>
      </rPr>
      <t>是会员制电商网站，基于用户购物车内商品的数量，</t>
    </r>
    <r>
      <rPr>
        <sz val="9"/>
        <color rgb="FF000000"/>
        <rFont val="Arial"/>
        <charset val="134"/>
      </rPr>
      <t>Jet</t>
    </r>
    <r>
      <rPr>
        <sz val="9"/>
        <color rgb="FF000000"/>
        <rFont val="楷体"/>
        <charset val="134"/>
      </rPr>
      <t>的工程师会不断地更新最高效、最省钱的销售商。</t>
    </r>
  </si>
  <si>
    <t>http://jet.com/</t>
  </si>
  <si>
    <t>2014-01</t>
  </si>
  <si>
    <r>
      <rPr>
        <sz val="9"/>
        <color rgb="FF000000"/>
        <rFont val="楷体"/>
        <charset val="134"/>
      </rPr>
      <t>沃尔玛</t>
    </r>
    <r>
      <rPr>
        <sz val="9"/>
        <color rgb="FF000000"/>
        <rFont val="Arial"/>
        <charset val="134"/>
      </rPr>
      <t>WalMart</t>
    </r>
  </si>
  <si>
    <r>
      <rPr>
        <sz val="9"/>
        <color rgb="FF000000"/>
        <rFont val="Arial"/>
        <charset val="134"/>
      </rPr>
      <t>252.79</t>
    </r>
    <r>
      <rPr>
        <sz val="9"/>
        <color rgb="FF000000"/>
        <rFont val="楷体"/>
        <charset val="134"/>
      </rPr>
      <t>亿</t>
    </r>
  </si>
  <si>
    <r>
      <rPr>
        <sz val="9"/>
        <color rgb="FF000000"/>
        <rFont val="Arial"/>
        <charset val="134"/>
      </rPr>
      <t>1072.5</t>
    </r>
    <r>
      <rPr>
        <sz val="9"/>
        <color rgb="FF000000"/>
        <rFont val="楷体"/>
        <charset val="134"/>
      </rPr>
      <t>亿元</t>
    </r>
  </si>
  <si>
    <r>
      <rPr>
        <sz val="9"/>
        <color rgb="FF000000"/>
        <rFont val="楷体"/>
        <charset val="134"/>
      </rPr>
      <t>富达投资</t>
    </r>
    <r>
      <rPr>
        <sz val="9"/>
        <color rgb="FF000000"/>
        <rFont val="Arial"/>
        <charset val="134"/>
      </rPr>
      <t>Fidelity Investments</t>
    </r>
  </si>
  <si>
    <r>
      <rPr>
        <sz val="9"/>
        <color rgb="FF000000"/>
        <rFont val="Arial"/>
        <charset val="134"/>
      </rPr>
      <t>1400</t>
    </r>
    <r>
      <rPr>
        <sz val="9"/>
        <color rgb="FF000000"/>
        <rFont val="楷体"/>
        <charset val="134"/>
      </rPr>
      <t>万美元</t>
    </r>
  </si>
  <si>
    <r>
      <rPr>
        <sz val="9"/>
        <color rgb="FF000000"/>
        <rFont val="楷体"/>
        <charset val="134"/>
      </rPr>
      <t>阿里巴巴</t>
    </r>
    <r>
      <rPr>
        <sz val="9"/>
        <color rgb="FF000000"/>
        <rFont val="Arial"/>
        <charset val="134"/>
      </rPr>
      <t>,Accel Partners,Bain Capital Ventures</t>
    </r>
  </si>
  <si>
    <t>Western Technology Investment</t>
  </si>
  <si>
    <r>
      <rPr>
        <sz val="9"/>
        <color rgb="FF000000"/>
        <rFont val="Arial"/>
        <charset val="134"/>
      </rPr>
      <t>NEA</t>
    </r>
    <r>
      <rPr>
        <sz val="9"/>
        <color rgb="FF000000"/>
        <rFont val="楷体"/>
        <charset val="134"/>
      </rPr>
      <t>恩颐投资</t>
    </r>
    <r>
      <rPr>
        <sz val="9"/>
        <color rgb="FF000000"/>
        <rFont val="Arial"/>
        <charset val="134"/>
      </rPr>
      <t>-New Enterprise Associates,Accel Partners,Bain Capital Ventures,MentorTech Ventures</t>
    </r>
  </si>
  <si>
    <t>2016-12-20</t>
  </si>
  <si>
    <t>Kabam</t>
  </si>
  <si>
    <r>
      <rPr>
        <sz val="9"/>
        <color rgb="FF000000"/>
        <rFont val="Arial"/>
        <charset val="134"/>
      </rPr>
      <t xml:space="preserve">Kabam </t>
    </r>
    <r>
      <rPr>
        <sz val="9"/>
        <color rgb="FF000000"/>
        <rFont val="楷体"/>
        <charset val="134"/>
      </rPr>
      <t>成立于</t>
    </r>
    <r>
      <rPr>
        <sz val="9"/>
        <color rgb="FF000000"/>
        <rFont val="Arial"/>
        <charset val="134"/>
      </rPr>
      <t>2006</t>
    </r>
    <r>
      <rPr>
        <sz val="9"/>
        <color rgb="FF000000"/>
        <rFont val="楷体"/>
        <charset val="134"/>
      </rPr>
      <t>年</t>
    </r>
    <r>
      <rPr>
        <sz val="9"/>
        <color rgb="FF000000"/>
        <rFont val="Arial"/>
        <charset val="134"/>
      </rPr>
      <t>11</t>
    </r>
    <r>
      <rPr>
        <sz val="9"/>
        <color rgb="FF000000"/>
        <rFont val="楷体"/>
        <charset val="134"/>
      </rPr>
      <t>月，是一家手游研发商和发行商，作品包括《霍比特人：中土王者》（</t>
    </r>
    <r>
      <rPr>
        <sz val="9"/>
        <color rgb="FF000000"/>
        <rFont val="Arial"/>
        <charset val="134"/>
      </rPr>
      <t>The Hobbit: Kingdoms of the Middle-earth</t>
    </r>
    <r>
      <rPr>
        <sz val="9"/>
        <color rgb="FF000000"/>
        <rFont val="楷体"/>
        <charset val="134"/>
      </rPr>
      <t>）、赛车游戏《速度与激情</t>
    </r>
    <r>
      <rPr>
        <sz val="9"/>
        <color rgb="FF000000"/>
        <rFont val="Arial"/>
        <charset val="134"/>
      </rPr>
      <t>6</t>
    </r>
    <r>
      <rPr>
        <sz val="9"/>
        <color rgb="FF000000"/>
        <rFont val="楷体"/>
        <charset val="134"/>
      </rPr>
      <t>：游戏》</t>
    </r>
    <r>
      <rPr>
        <sz val="9"/>
        <color rgb="FF000000"/>
        <rFont val="Arial"/>
        <charset val="134"/>
      </rPr>
      <t>(Fast &amp; Furious 6: The Game)</t>
    </r>
  </si>
  <si>
    <t>https://www.kabam.com/</t>
  </si>
  <si>
    <t>2006-11</t>
  </si>
  <si>
    <t>网石</t>
  </si>
  <si>
    <t>Andy Park:Director of Marketing - User Acquisition,Carey Lai:Investor,David Fairfield:Sound Design &amp; Implementation (via Lionshead Entertainment),Dillon Becker:Art Director, UA Creative,Jonathan Shroyer:Vice President Player Retention and Customer Services,Nebojsha Mitrikeski:Senior Game Economy Designer,Phil Wattenbarger:GM, Austin Studio,Seungwon Lee:CEO,Tyler Black:General Manager,Carman Chan:Investor</t>
  </si>
  <si>
    <t>2018-11-13</t>
  </si>
  <si>
    <t>神工007</t>
  </si>
  <si>
    <r>
      <rPr>
        <sz val="9"/>
        <color rgb="FF000000"/>
        <rFont val="楷体"/>
        <charset val="134"/>
      </rPr>
      <t>神工</t>
    </r>
    <r>
      <rPr>
        <sz val="9"/>
        <color rgb="FF000000"/>
        <rFont val="Arial"/>
        <charset val="134"/>
      </rPr>
      <t>007</t>
    </r>
  </si>
  <si>
    <r>
      <rPr>
        <sz val="9"/>
        <color rgb="FF000000"/>
        <rFont val="楷体"/>
        <charset val="134"/>
      </rPr>
      <t>神工</t>
    </r>
    <r>
      <rPr>
        <sz val="9"/>
        <color rgb="FF000000"/>
        <rFont val="Arial"/>
        <charset val="134"/>
      </rPr>
      <t>007</t>
    </r>
    <r>
      <rPr>
        <sz val="9"/>
        <color rgb="FF000000"/>
        <rFont val="楷体"/>
        <charset val="134"/>
      </rPr>
      <t>是一家家居建材移动服务平台，专注于建材家居安装、维修、维护及相关服务，通过和天猫、京东等电商平台合作的</t>
    </r>
    <r>
      <rPr>
        <sz val="9"/>
        <color rgb="FF000000"/>
        <rFont val="Arial"/>
        <charset val="134"/>
      </rPr>
      <t>2B</t>
    </r>
    <r>
      <rPr>
        <sz val="9"/>
        <color rgb="FF000000"/>
        <rFont val="楷体"/>
        <charset val="134"/>
      </rPr>
      <t>模式切入，为</t>
    </r>
    <r>
      <rPr>
        <sz val="9"/>
        <color rgb="FF000000"/>
        <rFont val="Arial"/>
        <charset val="134"/>
      </rPr>
      <t>C</t>
    </r>
    <r>
      <rPr>
        <sz val="9"/>
        <color rgb="FF000000"/>
        <rFont val="楷体"/>
        <charset val="134"/>
      </rPr>
      <t>端用户提供一站式居家服务，将天猫等电商平台接到的订单，就近派给工人。</t>
    </r>
  </si>
  <si>
    <t>神工众志（北京）科技有限公司</t>
  </si>
  <si>
    <t>http://www.0071515.com/</t>
  </si>
  <si>
    <t>房地产</t>
  </si>
  <si>
    <t>装修装饰</t>
  </si>
  <si>
    <r>
      <rPr>
        <sz val="9"/>
        <color rgb="FF000000"/>
        <rFont val="Arial"/>
        <charset val="134"/>
      </rPr>
      <t>3.93</t>
    </r>
    <r>
      <rPr>
        <sz val="9"/>
        <color rgb="FF000000"/>
        <rFont val="楷体"/>
        <charset val="134"/>
      </rPr>
      <t>亿</t>
    </r>
  </si>
  <si>
    <r>
      <rPr>
        <sz val="9"/>
        <color rgb="FF000000"/>
        <rFont val="Arial"/>
        <charset val="134"/>
      </rPr>
      <t>6.5</t>
    </r>
    <r>
      <rPr>
        <sz val="9"/>
        <color rgb="FF000000"/>
        <rFont val="楷体"/>
        <charset val="134"/>
      </rPr>
      <t>亿元</t>
    </r>
  </si>
  <si>
    <r>
      <rPr>
        <sz val="9"/>
        <color rgb="FF000000"/>
        <rFont val="楷体"/>
        <charset val="134"/>
      </rPr>
      <t>柯白华</t>
    </r>
    <r>
      <rPr>
        <sz val="9"/>
        <color rgb="FF000000"/>
        <rFont val="Arial"/>
        <charset val="134"/>
      </rPr>
      <t>:CEO,</t>
    </r>
    <r>
      <rPr>
        <sz val="9"/>
        <color rgb="FF000000"/>
        <rFont val="楷体"/>
        <charset val="134"/>
      </rPr>
      <t>陈志宇</t>
    </r>
    <r>
      <rPr>
        <sz val="9"/>
        <color rgb="FF000000"/>
        <rFont val="Arial"/>
        <charset val="134"/>
      </rPr>
      <t>:COO</t>
    </r>
  </si>
  <si>
    <r>
      <rPr>
        <sz val="9"/>
        <color rgb="FF000000"/>
        <rFont val="楷体"/>
        <charset val="134"/>
      </rPr>
      <t>北京市朝阳区酒仙桥路</t>
    </r>
    <r>
      <rPr>
        <sz val="9"/>
        <color rgb="FF000000"/>
        <rFont val="Arial"/>
        <charset val="134"/>
      </rPr>
      <t>10</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 xml:space="preserve"> </t>
    </r>
    <r>
      <rPr>
        <sz val="9"/>
        <color rgb="FF000000"/>
        <rFont val="楷体"/>
        <charset val="134"/>
      </rPr>
      <t>恒空间三楼</t>
    </r>
  </si>
  <si>
    <t>400-007-0505</t>
  </si>
  <si>
    <r>
      <rPr>
        <sz val="9"/>
        <color rgb="FF000000"/>
        <rFont val="楷体"/>
        <charset val="134"/>
      </rPr>
      <t>五源资本</t>
    </r>
    <r>
      <rPr>
        <sz val="9"/>
        <color rgb="FF000000"/>
        <rFont val="Arial"/>
        <charset val="134"/>
      </rPr>
      <t>,</t>
    </r>
    <r>
      <rPr>
        <sz val="9"/>
        <color rgb="FF000000"/>
        <rFont val="楷体"/>
        <charset val="134"/>
      </rPr>
      <t>顺为资本</t>
    </r>
  </si>
  <si>
    <t>远镜创投</t>
  </si>
  <si>
    <t>2010-08-17</t>
  </si>
  <si>
    <t>易图通科技</t>
  </si>
  <si>
    <t>易图通科技是一家制作导航电子地图的公司之一，业务包括车载导航应用等，具有十五年导航电子地图制作经验，拥有国家测绘局颁发的导航电子地图制作、地理信息系统工程和互联网地图服务甲级测绘资质。</t>
  </si>
  <si>
    <t>易图通科技（北京）有限公司</t>
  </si>
  <si>
    <t>http://www.emapgo.com.cn/</t>
  </si>
  <si>
    <r>
      <rPr>
        <sz val="9"/>
        <color rgb="FF000000"/>
        <rFont val="楷体"/>
        <charset val="134"/>
      </rPr>
      <t>北京</t>
    </r>
    <r>
      <rPr>
        <sz val="9"/>
        <color rgb="FF000000"/>
        <rFont val="Arial"/>
        <charset val="134"/>
      </rPr>
      <t>-</t>
    </r>
    <r>
      <rPr>
        <sz val="9"/>
        <color rgb="FF000000"/>
        <rFont val="楷体"/>
        <charset val="134"/>
      </rPr>
      <t>丰台区</t>
    </r>
  </si>
  <si>
    <r>
      <rPr>
        <sz val="9"/>
        <color rgb="FF000000"/>
        <rFont val="Arial"/>
        <charset val="134"/>
      </rPr>
      <t>6100</t>
    </r>
    <r>
      <rPr>
        <sz val="9"/>
        <color rgb="FF000000"/>
        <rFont val="楷体"/>
        <charset val="134"/>
      </rPr>
      <t>万</t>
    </r>
  </si>
  <si>
    <r>
      <rPr>
        <sz val="9"/>
        <color rgb="FF000000"/>
        <rFont val="Arial"/>
        <charset val="134"/>
      </rPr>
      <t>1.75</t>
    </r>
    <r>
      <rPr>
        <sz val="9"/>
        <color rgb="FF000000"/>
        <rFont val="楷体"/>
        <charset val="134"/>
      </rPr>
      <t>亿元</t>
    </r>
  </si>
  <si>
    <r>
      <rPr>
        <sz val="9"/>
        <color rgb="FF000000"/>
        <rFont val="楷体"/>
        <charset val="134"/>
      </rPr>
      <t>北京市丰台科学城海鹰路</t>
    </r>
    <r>
      <rPr>
        <sz val="9"/>
        <color rgb="FF000000"/>
        <rFont val="Arial"/>
        <charset val="134"/>
      </rPr>
      <t>8</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3</t>
    </r>
    <r>
      <rPr>
        <sz val="9"/>
        <color rgb="FF000000"/>
        <rFont val="楷体"/>
        <charset val="134"/>
      </rPr>
      <t>层</t>
    </r>
  </si>
  <si>
    <t>010-63711098</t>
  </si>
  <si>
    <t>wangzeng1005@163.com</t>
  </si>
  <si>
    <t>2020-04-10</t>
  </si>
  <si>
    <r>
      <t>Bigbasket</t>
    </r>
    <r>
      <rPr>
        <sz val="9"/>
        <color rgb="FF000000"/>
        <rFont val="楷体"/>
        <charset val="134"/>
      </rPr>
      <t>是印度一家生鲜食品与日用杂货电商平台，主要经营家用杂货、水果蔬菜、饮料麦片、清洁用品等。用户可通过</t>
    </r>
    <r>
      <rPr>
        <sz val="9"/>
        <color rgb="FF000000"/>
        <rFont val="Arial"/>
        <charset val="134"/>
      </rPr>
      <t>APP</t>
    </r>
    <r>
      <rPr>
        <sz val="9"/>
        <color rgb="FF000000"/>
        <rFont val="楷体"/>
        <charset val="134"/>
      </rPr>
      <t>或官网上挑选商品并完成下单，平台会安排商品配送服务。</t>
    </r>
  </si>
  <si>
    <t>http://bigbasket.com/</t>
  </si>
  <si>
    <t>2011-10</t>
  </si>
  <si>
    <r>
      <rPr>
        <sz val="9"/>
        <color rgb="FF000000"/>
        <rFont val="楷体"/>
        <charset val="134"/>
      </rPr>
      <t>综合生活服务</t>
    </r>
  </si>
  <si>
    <r>
      <t>6000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</si>
  <si>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韩国未来资产</t>
    </r>
    <r>
      <rPr>
        <sz val="9"/>
        <color rgb="FF000000"/>
        <rFont val="Arial"/>
        <charset val="134"/>
      </rPr>
      <t>Mirae Asset Venture Investment,BII</t>
    </r>
  </si>
  <si>
    <r>
      <t>74.89</t>
    </r>
    <r>
      <rPr>
        <sz val="9"/>
        <color rgb="FF000000"/>
        <rFont val="楷体"/>
        <charset val="134"/>
      </rPr>
      <t>亿</t>
    </r>
  </si>
  <si>
    <r>
      <t>78</t>
    </r>
    <r>
      <rPr>
        <sz val="9"/>
        <color rgb="FF000000"/>
        <rFont val="楷体"/>
        <charset val="134"/>
      </rPr>
      <t>亿元</t>
    </r>
  </si>
  <si>
    <t>Abhinay Choudhari:Founder,Amrit Koijam:Business Head,Balakumar TK:COO,Biswajyoti Barat:National Head,Hari Menon:Co-Founder &amp; CEO,Mani Subramanian:Head, Analytics,Pratap Behera:Marketing leader,Rakshit Daga:Chief Product And Technology Officer,Tanuja Tewari:VP, HR,Tejas Vyas:Vice President Of Product Management, Program and Design,VS Sudhakar:Founder,Vipul Parekh:Co-Founder,VS Ramesh:Co-Founder,Chirag Heda:Investor &amp; Board Member</t>
  </si>
  <si>
    <r>
      <rPr>
        <sz val="9"/>
        <color rgb="FF000000"/>
        <rFont val="Arial"/>
        <charset val="134"/>
      </rPr>
      <t>10</t>
    </r>
    <r>
      <rPr>
        <sz val="9"/>
        <color rgb="FF000000"/>
        <rFont val="楷体"/>
        <charset val="134"/>
      </rPr>
      <t>亿卢比</t>
    </r>
  </si>
  <si>
    <t>Trifecta Capital</t>
  </si>
  <si>
    <t>Paytm</t>
  </si>
  <si>
    <r>
      <rPr>
        <sz val="9"/>
        <color rgb="FF000000"/>
        <rFont val="楷体"/>
        <charset val="134"/>
      </rPr>
      <t>阿里巴巴</t>
    </r>
    <r>
      <rPr>
        <sz val="9"/>
        <color rgb="FF000000"/>
        <rFont val="Arial"/>
        <charset val="134"/>
      </rPr>
      <t>,Bessemer Venture Partners,Abraaj Group</t>
    </r>
  </si>
  <si>
    <r>
      <rPr>
        <sz val="9"/>
        <color rgb="FF000000"/>
        <rFont val="Arial"/>
        <charset val="134"/>
      </rPr>
      <t>800</t>
    </r>
    <r>
      <rPr>
        <sz val="9"/>
        <color rgb="FF000000"/>
        <rFont val="楷体"/>
        <charset val="134"/>
      </rPr>
      <t>万美元</t>
    </r>
  </si>
  <si>
    <t>Bessemer Venture Partners,Sands Capital Ventures,Abraaj Basket,ICP</t>
  </si>
  <si>
    <r>
      <rPr>
        <sz val="9"/>
        <color rgb="FF000000"/>
        <rFont val="楷体"/>
        <charset val="134"/>
      </rPr>
      <t>阿里巴巴</t>
    </r>
    <r>
      <rPr>
        <sz val="9"/>
        <color rgb="FF000000"/>
        <rFont val="Arial"/>
        <charset val="134"/>
      </rPr>
      <t>,Abraaj Group,Sands Capital Ventures,Paytm</t>
    </r>
  </si>
  <si>
    <t>Abraaj Group</t>
  </si>
  <si>
    <r>
      <rPr>
        <sz val="9"/>
        <color rgb="FF000000"/>
        <rFont val="Arial"/>
        <charset val="134"/>
      </rPr>
      <t>3280</t>
    </r>
    <r>
      <rPr>
        <sz val="9"/>
        <color rgb="FF000000"/>
        <rFont val="楷体"/>
        <charset val="134"/>
      </rPr>
      <t>万美元</t>
    </r>
  </si>
  <si>
    <t>2015-07-03</t>
  </si>
  <si>
    <t>贵州泛亚信通网络</t>
  </si>
  <si>
    <r>
      <rPr>
        <sz val="9"/>
        <color rgb="FF000000"/>
        <rFont val="楷体"/>
        <charset val="134"/>
      </rPr>
      <t>贵州泛亚信通网络是一家</t>
    </r>
    <r>
      <rPr>
        <sz val="9"/>
        <color rgb="FF000000"/>
        <rFont val="Arial"/>
        <charset val="134"/>
      </rPr>
      <t>WIFI</t>
    </r>
    <r>
      <rPr>
        <sz val="9"/>
        <color rgb="FF000000"/>
        <rFont val="楷体"/>
        <charset val="134"/>
      </rPr>
      <t>网络基础设施和数据中心建设服务商，公司承接项目包括贵阳全域公共免费</t>
    </r>
    <r>
      <rPr>
        <sz val="9"/>
        <color rgb="FF000000"/>
        <rFont val="Arial"/>
        <charset val="134"/>
      </rPr>
      <t>Wi-Fi</t>
    </r>
    <r>
      <rPr>
        <sz val="9"/>
        <color rgb="FF000000"/>
        <rFont val="楷体"/>
        <charset val="134"/>
      </rPr>
      <t>与大数据总线项目等。</t>
    </r>
  </si>
  <si>
    <t>贵州泛亚信通网络科技有限公司</t>
  </si>
  <si>
    <t>http://www.fyxtw.com/</t>
  </si>
  <si>
    <t>2014-07</t>
  </si>
  <si>
    <r>
      <rPr>
        <sz val="9"/>
        <color rgb="FF000000"/>
        <rFont val="楷体"/>
        <charset val="134"/>
      </rPr>
      <t>贵州</t>
    </r>
    <r>
      <rPr>
        <sz val="9"/>
        <color rgb="FF000000"/>
        <rFont val="Arial"/>
        <charset val="134"/>
      </rPr>
      <t>-</t>
    </r>
    <r>
      <rPr>
        <sz val="9"/>
        <color rgb="FF000000"/>
        <rFont val="楷体"/>
        <charset val="134"/>
      </rPr>
      <t>贵阳</t>
    </r>
  </si>
  <si>
    <r>
      <rPr>
        <sz val="9"/>
        <color rgb="FF000000"/>
        <rFont val="Arial"/>
        <charset val="134"/>
      </rPr>
      <t>1.2</t>
    </r>
    <r>
      <rPr>
        <sz val="9"/>
        <color rgb="FF000000"/>
        <rFont val="楷体"/>
        <charset val="134"/>
      </rPr>
      <t>亿元</t>
    </r>
  </si>
  <si>
    <r>
      <rPr>
        <sz val="9"/>
        <color rgb="FF000000"/>
        <rFont val="楷体"/>
        <charset val="134"/>
      </rPr>
      <t>贵州省贵阳市高新区阳关大道</t>
    </r>
    <r>
      <rPr>
        <sz val="9"/>
        <color rgb="FF000000"/>
        <rFont val="Arial"/>
        <charset val="134"/>
      </rPr>
      <t>28</t>
    </r>
    <r>
      <rPr>
        <sz val="9"/>
        <color rgb="FF000000"/>
        <rFont val="楷体"/>
        <charset val="134"/>
      </rPr>
      <t>号中澳科技城</t>
    </r>
    <r>
      <rPr>
        <sz val="9"/>
        <color rgb="FF000000"/>
        <rFont val="Arial"/>
        <charset val="134"/>
      </rPr>
      <t>3</t>
    </r>
    <r>
      <rPr>
        <sz val="9"/>
        <color rgb="FF000000"/>
        <rFont val="楷体"/>
        <charset val="134"/>
      </rPr>
      <t>号楼</t>
    </r>
    <r>
      <rPr>
        <sz val="9"/>
        <color rgb="FF000000"/>
        <rFont val="Arial"/>
        <charset val="134"/>
      </rPr>
      <t>7</t>
    </r>
    <r>
      <rPr>
        <sz val="9"/>
        <color rgb="FF000000"/>
        <rFont val="楷体"/>
        <charset val="134"/>
      </rPr>
      <t>楼</t>
    </r>
  </si>
  <si>
    <t>86-0851-84843747</t>
  </si>
  <si>
    <t>luyangwenpei@126.com</t>
  </si>
  <si>
    <t>2022-01-11</t>
  </si>
  <si>
    <t>驻云CloudCare</t>
  </si>
  <si>
    <r>
      <rPr>
        <sz val="9"/>
        <color rgb="FF000000"/>
        <rFont val="楷体"/>
        <charset val="134"/>
      </rPr>
      <t>驻云</t>
    </r>
    <r>
      <rPr>
        <sz val="9"/>
        <color rgb="FF000000"/>
        <rFont val="Arial"/>
        <charset val="134"/>
      </rPr>
      <t>CloudCare</t>
    </r>
  </si>
  <si>
    <r>
      <rPr>
        <sz val="9"/>
        <color rgb="FF000000"/>
        <rFont val="楷体"/>
        <charset val="134"/>
      </rPr>
      <t>驻云</t>
    </r>
    <r>
      <rPr>
        <sz val="9"/>
        <color rgb="FF000000"/>
        <rFont val="Arial"/>
        <charset val="134"/>
      </rPr>
      <t>CloudCare</t>
    </r>
    <r>
      <rPr>
        <sz val="9"/>
        <color rgb="FF000000"/>
        <rFont val="楷体"/>
        <charset val="134"/>
      </rPr>
      <t>是一个公有云架构技术及咨询服务提供商，致力于为企业级客户提供卓越的公有云架构及相关解决方案。上海驻云信息科技有限公司旗下产品。</t>
    </r>
  </si>
  <si>
    <t>上海观测未来信息技术有限公司</t>
  </si>
  <si>
    <t>https://www.cloudcare.cn/</t>
  </si>
  <si>
    <t>2013-07</t>
  </si>
  <si>
    <r>
      <rPr>
        <sz val="9"/>
        <color rgb="FF000000"/>
        <rFont val="楷体"/>
        <charset val="134"/>
      </rPr>
      <t>深创投</t>
    </r>
    <r>
      <rPr>
        <sz val="9"/>
        <color rgb="FF000000"/>
        <rFont val="Arial"/>
        <charset val="134"/>
      </rPr>
      <t>,</t>
    </r>
    <r>
      <rPr>
        <sz val="9"/>
        <color rgb="FF000000"/>
        <rFont val="楷体"/>
        <charset val="134"/>
      </rPr>
      <t>云九资本</t>
    </r>
    <r>
      <rPr>
        <sz val="9"/>
        <color rgb="FF000000"/>
        <rFont val="Arial"/>
        <charset val="134"/>
      </rPr>
      <t>,</t>
    </r>
    <r>
      <rPr>
        <sz val="9"/>
        <color rgb="FF000000"/>
        <rFont val="楷体"/>
        <charset val="134"/>
      </rPr>
      <t>华业天成</t>
    </r>
    <r>
      <rPr>
        <sz val="9"/>
        <color rgb="FF000000"/>
        <rFont val="Arial"/>
        <charset val="134"/>
      </rPr>
      <t>,</t>
    </r>
    <r>
      <rPr>
        <sz val="9"/>
        <color rgb="FF000000"/>
        <rFont val="楷体"/>
        <charset val="134"/>
      </rPr>
      <t>深涧资本</t>
    </r>
  </si>
  <si>
    <r>
      <rPr>
        <sz val="9"/>
        <color rgb="FF000000"/>
        <rFont val="Arial"/>
        <charset val="134"/>
      </rPr>
      <t>4.03</t>
    </r>
    <r>
      <rPr>
        <sz val="9"/>
        <color rgb="FF000000"/>
        <rFont val="楷体"/>
        <charset val="134"/>
      </rPr>
      <t>亿</t>
    </r>
  </si>
  <si>
    <r>
      <rPr>
        <sz val="9"/>
        <color rgb="FF000000"/>
        <rFont val="楷体"/>
        <charset val="134"/>
      </rPr>
      <t>吕黎星</t>
    </r>
    <r>
      <rPr>
        <sz val="9"/>
        <color rgb="FF000000"/>
        <rFont val="Arial"/>
        <charset val="134"/>
      </rPr>
      <t>:CEO,</t>
    </r>
    <r>
      <rPr>
        <sz val="9"/>
        <color rgb="FF000000"/>
        <rFont val="楷体"/>
        <charset val="134"/>
      </rPr>
      <t>肖凯</t>
    </r>
    <r>
      <rPr>
        <sz val="9"/>
        <color rgb="FF000000"/>
        <rFont val="Arial"/>
        <charset val="134"/>
      </rPr>
      <t>:COO,</t>
    </r>
    <r>
      <rPr>
        <sz val="9"/>
        <color rgb="FF000000"/>
        <rFont val="楷体"/>
        <charset val="134"/>
      </rPr>
      <t>蒋烁淼</t>
    </r>
    <r>
      <rPr>
        <sz val="9"/>
        <color rgb="FF000000"/>
        <rFont val="Arial"/>
        <charset val="134"/>
      </rPr>
      <t>:</t>
    </r>
    <r>
      <rPr>
        <sz val="9"/>
        <color rgb="FF000000"/>
        <rFont val="楷体"/>
        <charset val="134"/>
      </rPr>
      <t>联合创始人</t>
    </r>
  </si>
  <si>
    <r>
      <rPr>
        <sz val="9"/>
        <color rgb="FF000000"/>
        <rFont val="楷体"/>
        <charset val="134"/>
      </rPr>
      <t>上海市浦东新区科苑路</t>
    </r>
    <r>
      <rPr>
        <sz val="9"/>
        <color rgb="FF000000"/>
        <rFont val="Arial"/>
        <charset val="134"/>
      </rPr>
      <t>399</t>
    </r>
    <r>
      <rPr>
        <sz val="9"/>
        <color rgb="FF000000"/>
        <rFont val="楷体"/>
        <charset val="134"/>
      </rPr>
      <t>号张江创新园</t>
    </r>
    <r>
      <rPr>
        <sz val="9"/>
        <color rgb="FF000000"/>
        <rFont val="Arial"/>
        <charset val="134"/>
      </rPr>
      <t>7</t>
    </r>
    <r>
      <rPr>
        <sz val="9"/>
        <color rgb="FF000000"/>
        <rFont val="楷体"/>
        <charset val="134"/>
      </rPr>
      <t>号楼</t>
    </r>
  </si>
  <si>
    <t>400-882-3320</t>
  </si>
  <si>
    <t>marketing@jiagouyun.com</t>
  </si>
  <si>
    <r>
      <t>C+</t>
    </r>
    <r>
      <rPr>
        <sz val="9"/>
        <color rgb="FF000000"/>
        <rFont val="楷体"/>
        <charset val="134"/>
      </rPr>
      <t>轮</t>
    </r>
  </si>
  <si>
    <r>
      <rPr>
        <sz val="9"/>
        <color rgb="FF000000"/>
        <rFont val="楷体"/>
        <charset val="134"/>
      </rPr>
      <t>未透露人民币</t>
    </r>
  </si>
  <si>
    <r>
      <rPr>
        <sz val="9"/>
        <color rgb="FF000000"/>
        <rFont val="楷体"/>
        <charset val="134"/>
      </rPr>
      <t>阿里巴巴</t>
    </r>
    <r>
      <rPr>
        <sz val="9"/>
        <color rgb="FF000000"/>
        <rFont val="Arial"/>
        <charset val="134"/>
      </rPr>
      <t>,</t>
    </r>
    <r>
      <rPr>
        <sz val="9"/>
        <color rgb="FF000000"/>
        <rFont val="楷体"/>
        <charset val="134"/>
      </rPr>
      <t>张江集团</t>
    </r>
  </si>
  <si>
    <r>
      <rPr>
        <sz val="9"/>
        <color rgb="FF000000"/>
        <rFont val="楷体"/>
        <charset val="134"/>
      </rPr>
      <t>红杉资本中国</t>
    </r>
    <r>
      <rPr>
        <sz val="9"/>
        <color rgb="FF000000"/>
        <rFont val="Arial"/>
        <charset val="134"/>
      </rPr>
      <t>,</t>
    </r>
    <r>
      <rPr>
        <sz val="9"/>
        <color rgb="FF000000"/>
        <rFont val="楷体"/>
        <charset val="134"/>
      </rPr>
      <t>复星锐正资本</t>
    </r>
  </si>
  <si>
    <t>2018-02-08</t>
  </si>
  <si>
    <t>石基信息</t>
  </si>
  <si>
    <r>
      <rPr>
        <sz val="9"/>
        <color rgb="FF000000"/>
        <rFont val="楷体"/>
        <charset val="134"/>
      </rPr>
      <t>石基信息是一家酒店信息管理系统软件服务商，尤其是高星级饭店信息系统的最主要产品供应商和技术服务商，目前有近</t>
    </r>
    <r>
      <rPr>
        <sz val="9"/>
        <color rgb="FF000000"/>
        <rFont val="Arial"/>
        <charset val="134"/>
      </rPr>
      <t>6000</t>
    </r>
    <r>
      <rPr>
        <sz val="9"/>
        <color rgb="FF000000"/>
        <rFont val="楷体"/>
        <charset val="134"/>
      </rPr>
      <t>家以上酒店使用石基信息的服务，</t>
    </r>
    <r>
      <rPr>
        <sz val="9"/>
        <color rgb="FF000000"/>
        <rFont val="Arial"/>
        <charset val="134"/>
      </rPr>
      <t>2007</t>
    </r>
    <r>
      <rPr>
        <sz val="9"/>
        <color rgb="FF000000"/>
        <rFont val="楷体"/>
        <charset val="134"/>
      </rPr>
      <t>年</t>
    </r>
    <r>
      <rPr>
        <sz val="9"/>
        <color rgb="FF000000"/>
        <rFont val="Arial"/>
        <charset val="134"/>
      </rPr>
      <t>8</t>
    </r>
    <r>
      <rPr>
        <sz val="9"/>
        <color rgb="FF000000"/>
        <rFont val="楷体"/>
        <charset val="134"/>
      </rPr>
      <t>月在深交所上市。</t>
    </r>
  </si>
  <si>
    <t>北京中长石基信息技术股份有限公司</t>
  </si>
  <si>
    <t>http://www.shijinet.com.cn</t>
  </si>
  <si>
    <t>1998-02</t>
  </si>
  <si>
    <t>旅游信息化</t>
  </si>
  <si>
    <r>
      <rPr>
        <sz val="9"/>
        <color rgb="FF000000"/>
        <rFont val="Arial"/>
        <charset val="134"/>
      </rPr>
      <t>4.86</t>
    </r>
    <r>
      <rPr>
        <sz val="9"/>
        <color rgb="FF000000"/>
        <rFont val="楷体"/>
        <charset val="134"/>
      </rPr>
      <t>亿美元</t>
    </r>
  </si>
  <si>
    <r>
      <rPr>
        <sz val="9"/>
        <color rgb="FF000000"/>
        <rFont val="Arial"/>
        <charset val="134"/>
      </rPr>
      <t>62.7</t>
    </r>
    <r>
      <rPr>
        <sz val="9"/>
        <color rgb="FF000000"/>
        <rFont val="楷体"/>
        <charset val="134"/>
      </rPr>
      <t>亿</t>
    </r>
  </si>
  <si>
    <r>
      <rPr>
        <sz val="9"/>
        <color rgb="FF000000"/>
        <rFont val="Arial"/>
        <charset val="134"/>
      </rPr>
      <t>80.0527</t>
    </r>
    <r>
      <rPr>
        <sz val="9"/>
        <color rgb="FF000000"/>
        <rFont val="楷体"/>
        <charset val="134"/>
      </rPr>
      <t>亿元</t>
    </r>
  </si>
  <si>
    <r>
      <rPr>
        <sz val="9"/>
        <color rgb="FF000000"/>
        <rFont val="楷体"/>
        <charset val="134"/>
      </rPr>
      <t>李仲初</t>
    </r>
    <r>
      <rPr>
        <sz val="9"/>
        <color rgb="FF000000"/>
        <rFont val="Arial"/>
        <charset val="134"/>
      </rPr>
      <t>:</t>
    </r>
    <r>
      <rPr>
        <sz val="9"/>
        <color rgb="FF000000"/>
        <rFont val="楷体"/>
        <charset val="134"/>
      </rPr>
      <t>创始人</t>
    </r>
  </si>
  <si>
    <r>
      <rPr>
        <sz val="9"/>
        <color rgb="FF000000"/>
        <rFont val="楷体"/>
        <charset val="134"/>
      </rPr>
      <t>北京市东城区东水井胡同</t>
    </r>
    <r>
      <rPr>
        <sz val="9"/>
        <color rgb="FF000000"/>
        <rFont val="Arial"/>
        <charset val="134"/>
      </rPr>
      <t>5</t>
    </r>
    <r>
      <rPr>
        <sz val="9"/>
        <color rgb="FF000000"/>
        <rFont val="楷体"/>
        <charset val="134"/>
      </rPr>
      <t>号北京</t>
    </r>
    <r>
      <rPr>
        <sz val="9"/>
        <color rgb="FF000000"/>
        <rFont val="Arial"/>
        <charset val="134"/>
      </rPr>
      <t>INN 15</t>
    </r>
    <r>
      <rPr>
        <sz val="9"/>
        <color rgb="FF000000"/>
        <rFont val="楷体"/>
        <charset val="134"/>
      </rPr>
      <t>层</t>
    </r>
  </si>
  <si>
    <t>010-5932 5388</t>
  </si>
  <si>
    <r>
      <rPr>
        <sz val="9"/>
        <color rgb="FF000000"/>
        <rFont val="Arial"/>
        <charset val="134"/>
      </rPr>
      <t>28.1</t>
    </r>
    <r>
      <rPr>
        <sz val="9"/>
        <color rgb="FF000000"/>
        <rFont val="楷体"/>
        <charset val="134"/>
      </rPr>
      <t>亿人民币</t>
    </r>
  </si>
  <si>
    <r>
      <rPr>
        <sz val="9"/>
        <color rgb="FF000000"/>
        <rFont val="Arial"/>
        <charset val="134"/>
      </rPr>
      <t>3.01</t>
    </r>
    <r>
      <rPr>
        <sz val="9"/>
        <color rgb="FF000000"/>
        <rFont val="楷体"/>
        <charset val="134"/>
      </rPr>
      <t>亿人民币</t>
    </r>
  </si>
  <si>
    <t>2018-02-23</t>
  </si>
  <si>
    <t>探探</t>
  </si>
  <si>
    <r>
      <rPr>
        <sz val="9"/>
        <color rgb="FF000000"/>
        <rFont val="楷体"/>
        <charset val="134"/>
      </rPr>
      <t>探探是一款基于</t>
    </r>
    <r>
      <rPr>
        <sz val="9"/>
        <color rgb="FF000000"/>
        <rFont val="Arial"/>
        <charset val="134"/>
      </rPr>
      <t xml:space="preserve"> LBS </t>
    </r>
    <r>
      <rPr>
        <sz val="9"/>
        <color rgb="FF000000"/>
        <rFont val="楷体"/>
        <charset val="134"/>
      </rPr>
      <t>的陌生人社交应用，使用者可以在探探上通过左右滑动认识附近的人，左滑再见，右滑喜欢。探探可以发送文字消息、语音、照片等，目标定位于于</t>
    </r>
    <r>
      <rPr>
        <sz val="9"/>
        <color rgb="FF000000"/>
        <rFont val="Arial"/>
        <charset val="134"/>
      </rPr>
      <t xml:space="preserve"> 80</t>
    </r>
    <r>
      <rPr>
        <sz val="9"/>
        <color rgb="FF000000"/>
        <rFont val="楷体"/>
        <charset val="134"/>
      </rPr>
      <t>、</t>
    </r>
    <r>
      <rPr>
        <sz val="9"/>
        <color rgb="FF000000"/>
        <rFont val="Arial"/>
        <charset val="134"/>
      </rPr>
      <t xml:space="preserve">90 </t>
    </r>
    <r>
      <rPr>
        <sz val="9"/>
        <color rgb="FF000000"/>
        <rFont val="楷体"/>
        <charset val="134"/>
      </rPr>
      <t>后的移动社交。</t>
    </r>
  </si>
  <si>
    <t>探探文化发展（北京）有限公司</t>
  </si>
  <si>
    <t>http://tantanapp.cn</t>
  </si>
  <si>
    <r>
      <rPr>
        <sz val="9"/>
        <color rgb="FF000000"/>
        <rFont val="Arial"/>
        <charset val="134"/>
      </rPr>
      <t>7.35</t>
    </r>
    <r>
      <rPr>
        <sz val="9"/>
        <color rgb="FF000000"/>
        <rFont val="楷体"/>
        <charset val="134"/>
      </rPr>
      <t>亿美元</t>
    </r>
  </si>
  <si>
    <t>陌陌科技</t>
  </si>
  <si>
    <r>
      <rPr>
        <sz val="9"/>
        <color rgb="FF000000"/>
        <rFont val="Arial"/>
        <charset val="134"/>
      </rPr>
      <t>55.58</t>
    </r>
    <r>
      <rPr>
        <sz val="9"/>
        <color rgb="FF000000"/>
        <rFont val="楷体"/>
        <charset val="134"/>
      </rPr>
      <t>亿</t>
    </r>
  </si>
  <si>
    <r>
      <rPr>
        <sz val="9"/>
        <color rgb="FF000000"/>
        <rFont val="Arial"/>
        <charset val="134"/>
      </rPr>
      <t>238.875</t>
    </r>
    <r>
      <rPr>
        <sz val="9"/>
        <color rgb="FF000000"/>
        <rFont val="楷体"/>
        <charset val="134"/>
      </rPr>
      <t>亿元</t>
    </r>
  </si>
  <si>
    <r>
      <rPr>
        <sz val="9"/>
        <color rgb="FF000000"/>
        <rFont val="楷体"/>
        <charset val="134"/>
      </rPr>
      <t>王宇</t>
    </r>
    <r>
      <rPr>
        <sz val="9"/>
        <color rgb="FF000000"/>
        <rFont val="Arial"/>
        <charset val="134"/>
      </rPr>
      <t>:CEO,</t>
    </r>
    <r>
      <rPr>
        <sz val="9"/>
        <color rgb="FF000000"/>
        <rFont val="楷体"/>
        <charset val="134"/>
      </rPr>
      <t>潘滢</t>
    </r>
    <r>
      <rPr>
        <sz val="9"/>
        <color rgb="FF000000"/>
        <rFont val="Arial"/>
        <charset val="134"/>
      </rPr>
      <t>:COO,</t>
    </r>
    <r>
      <rPr>
        <sz val="9"/>
        <color rgb="FF000000"/>
        <rFont val="楷体"/>
        <charset val="134"/>
      </rPr>
      <t>杨二宝</t>
    </r>
    <r>
      <rPr>
        <sz val="9"/>
        <color rgb="FF000000"/>
        <rFont val="Arial"/>
        <charset val="134"/>
      </rPr>
      <t>:CTO,</t>
    </r>
    <r>
      <rPr>
        <sz val="9"/>
        <color rgb="FF000000"/>
        <rFont val="楷体"/>
        <charset val="134"/>
      </rPr>
      <t>王力</t>
    </r>
    <r>
      <rPr>
        <sz val="9"/>
        <color rgb="FF000000"/>
        <rFont val="Arial"/>
        <charset val="134"/>
      </rPr>
      <t>:CEO</t>
    </r>
  </si>
  <si>
    <r>
      <rPr>
        <sz val="9"/>
        <color rgb="FF000000"/>
        <rFont val="楷体"/>
        <charset val="134"/>
      </rPr>
      <t>北京市朝阳区东大桥路</t>
    </r>
    <r>
      <rPr>
        <sz val="9"/>
        <color rgb="FF000000"/>
        <rFont val="Arial"/>
        <charset val="134"/>
      </rPr>
      <t>8</t>
    </r>
    <r>
      <rPr>
        <sz val="9"/>
        <color rgb="FF000000"/>
        <rFont val="楷体"/>
        <charset val="134"/>
      </rPr>
      <t>号</t>
    </r>
    <r>
      <rPr>
        <sz val="9"/>
        <color rgb="FF000000"/>
        <rFont val="Arial"/>
        <charset val="134"/>
      </rPr>
      <t>SOHO</t>
    </r>
    <r>
      <rPr>
        <sz val="9"/>
        <color rgb="FF000000"/>
        <rFont val="楷体"/>
        <charset val="134"/>
      </rPr>
      <t>尚都北塔</t>
    </r>
    <r>
      <rPr>
        <sz val="9"/>
        <color rgb="FF000000"/>
        <rFont val="Arial"/>
        <charset val="134"/>
      </rPr>
      <t>B</t>
    </r>
    <r>
      <rPr>
        <sz val="9"/>
        <color rgb="FF000000"/>
        <rFont val="楷体"/>
        <charset val="134"/>
      </rPr>
      <t>座</t>
    </r>
    <r>
      <rPr>
        <sz val="9"/>
        <color rgb="FF000000"/>
        <rFont val="Arial"/>
        <charset val="134"/>
      </rPr>
      <t>1008</t>
    </r>
    <r>
      <rPr>
        <sz val="9"/>
        <color rgb="FF000000"/>
        <rFont val="楷体"/>
        <charset val="134"/>
      </rPr>
      <t>室</t>
    </r>
  </si>
  <si>
    <t>010-58201000</t>
  </si>
  <si>
    <r>
      <rPr>
        <sz val="9"/>
        <color rgb="FF000000"/>
        <rFont val="楷体"/>
        <charset val="134"/>
      </rPr>
      <t>阿里巴巴</t>
    </r>
    <r>
      <rPr>
        <sz val="9"/>
        <color rgb="FF000000"/>
        <rFont val="Arial"/>
        <charset val="134"/>
      </rPr>
      <t>,</t>
    </r>
    <r>
      <rPr>
        <sz val="9"/>
        <color rgb="FF000000"/>
        <rFont val="楷体"/>
        <charset val="134"/>
      </rPr>
      <t>赛富基金</t>
    </r>
    <r>
      <rPr>
        <sz val="9"/>
        <color rgb="FF000000"/>
        <rFont val="Arial"/>
        <charset val="134"/>
      </rPr>
      <t>SAIF Partners,YY</t>
    </r>
    <r>
      <rPr>
        <sz val="9"/>
        <color rgb="FF000000"/>
        <rFont val="楷体"/>
        <charset val="134"/>
      </rPr>
      <t>欢聚集团</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元生资本</t>
    </r>
  </si>
  <si>
    <r>
      <rPr>
        <sz val="9"/>
        <color rgb="FF000000"/>
        <rFont val="Arial"/>
        <charset val="134"/>
      </rPr>
      <t>3200</t>
    </r>
    <r>
      <rPr>
        <sz val="9"/>
        <color rgb="FF000000"/>
        <rFont val="楷体"/>
        <charset val="134"/>
      </rPr>
      <t>万美元</t>
    </r>
  </si>
  <si>
    <r>
      <rPr>
        <sz val="9"/>
        <color rgb="FF000000"/>
        <rFont val="Arial"/>
        <charset val="134"/>
      </rPr>
      <t>KPCB</t>
    </r>
    <r>
      <rPr>
        <sz val="9"/>
        <color rgb="FF000000"/>
        <rFont val="楷体"/>
        <charset val="134"/>
      </rPr>
      <t>凯鹏华盈中国</t>
    </r>
    <r>
      <rPr>
        <sz val="9"/>
        <color rgb="FF000000"/>
        <rFont val="Arial"/>
        <charset val="134"/>
      </rPr>
      <t>,DCM</t>
    </r>
    <r>
      <rPr>
        <sz val="9"/>
        <color rgb="FF000000"/>
        <rFont val="楷体"/>
        <charset val="134"/>
      </rPr>
      <t>中国</t>
    </r>
    <r>
      <rPr>
        <sz val="9"/>
        <color rgb="FF000000"/>
        <rFont val="Arial"/>
        <charset val="134"/>
      </rPr>
      <t>,BAI</t>
    </r>
    <r>
      <rPr>
        <sz val="9"/>
        <color rgb="FF000000"/>
        <rFont val="楷体"/>
        <charset val="134"/>
      </rPr>
      <t>资本</t>
    </r>
    <r>
      <rPr>
        <sz val="9"/>
        <color rgb="FF000000"/>
        <rFont val="Arial"/>
        <charset val="134"/>
      </rPr>
      <t>,DST Global,LB</t>
    </r>
    <r>
      <rPr>
        <sz val="9"/>
        <color rgb="FF000000"/>
        <rFont val="楷体"/>
        <charset val="134"/>
      </rPr>
      <t>投资</t>
    </r>
    <r>
      <rPr>
        <sz val="9"/>
        <color rgb="FF000000"/>
        <rFont val="Arial"/>
        <charset val="134"/>
      </rPr>
      <t>(LB Investment),</t>
    </r>
    <r>
      <rPr>
        <sz val="9"/>
        <color rgb="FF000000"/>
        <rFont val="楷体"/>
        <charset val="134"/>
      </rPr>
      <t>元璟资本</t>
    </r>
    <r>
      <rPr>
        <sz val="9"/>
        <color rgb="FF000000"/>
        <rFont val="Arial"/>
        <charset val="134"/>
      </rPr>
      <t>,</t>
    </r>
    <r>
      <rPr>
        <sz val="9"/>
        <color rgb="FF000000"/>
        <rFont val="楷体"/>
        <charset val="134"/>
      </rPr>
      <t>光亮资本</t>
    </r>
  </si>
  <si>
    <r>
      <rPr>
        <sz val="9"/>
        <color rgb="FF000000"/>
        <rFont val="Arial"/>
        <charset val="134"/>
      </rPr>
      <t>1300</t>
    </r>
    <r>
      <rPr>
        <sz val="9"/>
        <color rgb="FF000000"/>
        <rFont val="楷体"/>
        <charset val="134"/>
      </rPr>
      <t>万美元</t>
    </r>
  </si>
  <si>
    <r>
      <rPr>
        <sz val="9"/>
        <color rgb="FF000000"/>
        <rFont val="Arial"/>
        <charset val="134"/>
      </rPr>
      <t>KPCB</t>
    </r>
    <r>
      <rPr>
        <sz val="9"/>
        <color rgb="FF000000"/>
        <rFont val="楷体"/>
        <charset val="134"/>
      </rPr>
      <t>凯鹏华盈中国</t>
    </r>
    <r>
      <rPr>
        <sz val="9"/>
        <color rgb="FF000000"/>
        <rFont val="Arial"/>
        <charset val="134"/>
      </rPr>
      <t>,DCM</t>
    </r>
    <r>
      <rPr>
        <sz val="9"/>
        <color rgb="FF000000"/>
        <rFont val="楷体"/>
        <charset val="134"/>
      </rPr>
      <t>中国</t>
    </r>
    <r>
      <rPr>
        <sz val="9"/>
        <color rgb="FF000000"/>
        <rFont val="Arial"/>
        <charset val="134"/>
      </rPr>
      <t>,LB</t>
    </r>
    <r>
      <rPr>
        <sz val="9"/>
        <color rgb="FF000000"/>
        <rFont val="楷体"/>
        <charset val="134"/>
      </rPr>
      <t>投资</t>
    </r>
    <r>
      <rPr>
        <sz val="9"/>
        <color rgb="FF000000"/>
        <rFont val="Arial"/>
        <charset val="134"/>
      </rPr>
      <t>(LB Investment),</t>
    </r>
    <r>
      <rPr>
        <sz val="9"/>
        <color rgb="FF000000"/>
        <rFont val="楷体"/>
        <charset val="134"/>
      </rPr>
      <t>光信资本</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</si>
  <si>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黑桃资本</t>
    </r>
  </si>
  <si>
    <t>2014-10-10</t>
  </si>
  <si>
    <t>Peel</t>
  </si>
  <si>
    <r>
      <rPr>
        <sz val="9"/>
        <color rgb="FF000000"/>
        <rFont val="Arial"/>
        <charset val="134"/>
      </rPr>
      <t xml:space="preserve">Peel </t>
    </r>
    <r>
      <rPr>
        <sz val="9"/>
        <color rgb="FF000000"/>
        <rFont val="楷体"/>
        <charset val="134"/>
      </rPr>
      <t>成立于</t>
    </r>
    <r>
      <rPr>
        <sz val="9"/>
        <color rgb="FF000000"/>
        <rFont val="Arial"/>
        <charset val="134"/>
      </rPr>
      <t>2009</t>
    </r>
    <r>
      <rPr>
        <sz val="9"/>
        <color rgb="FF000000"/>
        <rFont val="楷体"/>
        <charset val="134"/>
      </rPr>
      <t>年，是一家来自美国的电视遥控器应用开发商，可以让用户通过智能手机、平板电脑等操控电视机。</t>
    </r>
  </si>
  <si>
    <t>http://peel.com</t>
  </si>
  <si>
    <t>2009-01</t>
  </si>
  <si>
    <t>通信制造</t>
  </si>
  <si>
    <r>
      <rPr>
        <sz val="9"/>
        <color rgb="FF000000"/>
        <rFont val="Arial"/>
        <charset val="134"/>
      </rPr>
      <t>5.64</t>
    </r>
    <r>
      <rPr>
        <sz val="9"/>
        <color rgb="FF000000"/>
        <rFont val="楷体"/>
        <charset val="134"/>
      </rPr>
      <t>亿</t>
    </r>
  </si>
  <si>
    <r>
      <rPr>
        <sz val="9"/>
        <color rgb="FF000000"/>
        <rFont val="Arial"/>
        <charset val="134"/>
      </rPr>
      <t>16.25</t>
    </r>
    <r>
      <rPr>
        <sz val="9"/>
        <color rgb="FF000000"/>
        <rFont val="楷体"/>
        <charset val="134"/>
      </rPr>
      <t>亿元</t>
    </r>
  </si>
  <si>
    <t>Bala Krishnan:Co-Founder, President &amp; Chief Product Officer,Siva Muthukumarasamy:Founding Engineer/ Director , Engineering,Thiru Arunachalam:CEO,Vineet Gupta:Vice president of Distribution and Strategic Alliances</t>
  </si>
  <si>
    <r>
      <rPr>
        <sz val="9"/>
        <color rgb="FF000000"/>
        <rFont val="Arial"/>
        <charset val="134"/>
      </rPr>
      <t>1670</t>
    </r>
    <r>
      <rPr>
        <sz val="9"/>
        <color rgb="FF000000"/>
        <rFont val="楷体"/>
        <charset val="134"/>
      </rPr>
      <t>万美元</t>
    </r>
  </si>
  <si>
    <r>
      <rPr>
        <sz val="9"/>
        <color rgb="FF000000"/>
        <rFont val="Arial"/>
        <charset val="134"/>
      </rPr>
      <t>Lightspeed Venture Partners</t>
    </r>
    <r>
      <rPr>
        <sz val="9"/>
        <color rgb="FF000000"/>
        <rFont val="楷体"/>
        <charset val="134"/>
      </rPr>
      <t>光速全球</t>
    </r>
  </si>
  <si>
    <t>2021-03-01</t>
  </si>
  <si>
    <t>Shopex商派网络</t>
  </si>
  <si>
    <r>
      <rPr>
        <sz val="9"/>
        <color rgb="FF000000"/>
        <rFont val="Arial"/>
        <charset val="134"/>
      </rPr>
      <t>Shopex</t>
    </r>
    <r>
      <rPr>
        <sz val="9"/>
        <color rgb="FF000000"/>
        <rFont val="楷体"/>
        <charset val="134"/>
      </rPr>
      <t>商派网络</t>
    </r>
  </si>
  <si>
    <r>
      <rPr>
        <sz val="9"/>
        <color rgb="FF000000"/>
        <rFont val="楷体"/>
        <charset val="134"/>
      </rPr>
      <t>商派</t>
    </r>
    <r>
      <rPr>
        <sz val="9"/>
        <color rgb="FF000000"/>
        <rFont val="Arial"/>
        <charset val="134"/>
      </rPr>
      <t>Shopex</t>
    </r>
    <r>
      <rPr>
        <sz val="9"/>
        <color rgb="FF000000"/>
        <rFont val="楷体"/>
        <charset val="134"/>
      </rPr>
      <t>是一家电子商务服务及技术提供商，面向线上到线下、直销到分销领域，为企业提供立体化的服务及技术，具体包括在线交易、供应链管理、金融工具、零售分销、综合商贸等整体解决方案。</t>
    </r>
  </si>
  <si>
    <t>上海商派网络科技有限公司</t>
  </si>
  <si>
    <t>http://www.shopex.cn/</t>
  </si>
  <si>
    <t>2006-10</t>
  </si>
  <si>
    <r>
      <rPr>
        <sz val="9"/>
        <color rgb="FF000000"/>
        <rFont val="Arial"/>
        <charset val="134"/>
      </rPr>
      <t>12.45</t>
    </r>
    <r>
      <rPr>
        <sz val="9"/>
        <color rgb="FF000000"/>
        <rFont val="楷体"/>
        <charset val="134"/>
      </rPr>
      <t>亿</t>
    </r>
  </si>
  <si>
    <r>
      <rPr>
        <sz val="9"/>
        <color rgb="FF000000"/>
        <rFont val="楷体"/>
        <charset val="134"/>
      </rPr>
      <t>裴大鹏</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刘金光</t>
    </r>
    <r>
      <rPr>
        <sz val="9"/>
        <color rgb="FF000000"/>
        <rFont val="Arial"/>
        <charset val="134"/>
      </rPr>
      <t>:</t>
    </r>
    <r>
      <rPr>
        <sz val="9"/>
        <color rgb="FF000000"/>
        <rFont val="楷体"/>
        <charset val="134"/>
      </rPr>
      <t>总经理</t>
    </r>
  </si>
  <si>
    <r>
      <rPr>
        <sz val="9"/>
        <color rgb="FF000000"/>
        <rFont val="楷体"/>
        <charset val="134"/>
      </rPr>
      <t>上海市徐汇区宜山路</t>
    </r>
    <r>
      <rPr>
        <sz val="9"/>
        <color rgb="FF000000"/>
        <rFont val="Arial"/>
        <charset val="134"/>
      </rPr>
      <t>700</t>
    </r>
    <r>
      <rPr>
        <sz val="9"/>
        <color rgb="FF000000"/>
        <rFont val="楷体"/>
        <charset val="134"/>
      </rPr>
      <t>号</t>
    </r>
    <r>
      <rPr>
        <sz val="9"/>
        <color rgb="FF000000"/>
        <rFont val="Arial"/>
        <charset val="134"/>
      </rPr>
      <t>C1</t>
    </r>
    <r>
      <rPr>
        <sz val="9"/>
        <color rgb="FF000000"/>
        <rFont val="楷体"/>
        <charset val="134"/>
      </rPr>
      <t>楼</t>
    </r>
    <r>
      <rPr>
        <sz val="9"/>
        <color rgb="FF000000"/>
        <rFont val="Arial"/>
        <charset val="134"/>
      </rPr>
      <t>12</t>
    </r>
    <r>
      <rPr>
        <sz val="9"/>
        <color rgb="FF000000"/>
        <rFont val="楷体"/>
        <charset val="134"/>
      </rPr>
      <t>层</t>
    </r>
  </si>
  <si>
    <t>400-821-3016</t>
  </si>
  <si>
    <t>mkt@shopex.cn</t>
  </si>
  <si>
    <r>
      <rPr>
        <sz val="9"/>
        <color rgb="FF000000"/>
        <rFont val="Arial"/>
        <charset val="134"/>
      </rPr>
      <t>7</t>
    </r>
    <r>
      <rPr>
        <sz val="9"/>
        <color rgb="FF000000"/>
        <rFont val="楷体"/>
        <charset val="134"/>
      </rPr>
      <t>亿人民币</t>
    </r>
  </si>
  <si>
    <r>
      <rPr>
        <sz val="9"/>
        <color rgb="FF000000"/>
        <rFont val="楷体"/>
        <charset val="134"/>
      </rPr>
      <t>宽带资本</t>
    </r>
    <r>
      <rPr>
        <sz val="9"/>
        <color rgb="FF000000"/>
        <rFont val="Arial"/>
        <charset val="134"/>
      </rPr>
      <t>CBC,</t>
    </r>
    <r>
      <rPr>
        <sz val="9"/>
        <color rgb="FF000000"/>
        <rFont val="楷体"/>
        <charset val="134"/>
      </rPr>
      <t>险峰</t>
    </r>
    <r>
      <rPr>
        <sz val="9"/>
        <color rgb="FF000000"/>
        <rFont val="Arial"/>
        <charset val="134"/>
      </rPr>
      <t>,</t>
    </r>
    <r>
      <rPr>
        <sz val="9"/>
        <color rgb="FF000000"/>
        <rFont val="楷体"/>
        <charset val="134"/>
      </rPr>
      <t>上海融翼资本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天星资本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险峰旗云</t>
    </r>
  </si>
  <si>
    <r>
      <rPr>
        <sz val="9"/>
        <color rgb="FF000000"/>
        <rFont val="楷体"/>
        <charset val="134"/>
      </rPr>
      <t>君联资本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联想创投</t>
    </r>
  </si>
  <si>
    <t>2015-09-09</t>
  </si>
  <si>
    <t>接我科技</t>
  </si>
  <si>
    <r>
      <rPr>
        <sz val="9"/>
        <color rgb="FF000000"/>
        <rFont val="楷体"/>
        <charset val="134"/>
      </rPr>
      <t>接我科技是一个互联网共享巴士出行平台，针对产业园区、特色小镇、城市核心区通勤，旅游交通等场景，推出了</t>
    </r>
    <r>
      <rPr>
        <sz val="9"/>
        <color rgb="FF000000"/>
        <rFont val="Arial"/>
        <charset val="134"/>
      </rPr>
      <t>“</t>
    </r>
    <r>
      <rPr>
        <sz val="9"/>
        <color rgb="FF000000"/>
        <rFont val="楷体"/>
        <charset val="134"/>
      </rPr>
      <t>接我云班车</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接我摆渡车</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接我玩巴</t>
    </r>
    <r>
      <rPr>
        <sz val="9"/>
        <color rgb="FF000000"/>
        <rFont val="Arial"/>
        <charset val="134"/>
      </rPr>
      <t>”</t>
    </r>
    <r>
      <rPr>
        <sz val="9"/>
        <color rgb="FF000000"/>
        <rFont val="楷体"/>
        <charset val="134"/>
      </rPr>
      <t>等一系列共享巴士产品。</t>
    </r>
  </si>
  <si>
    <t>北京接我科技有限公司</t>
  </si>
  <si>
    <t>http://www.jiewo.com</t>
  </si>
  <si>
    <r>
      <rPr>
        <sz val="9"/>
        <color rgb="FF000000"/>
        <rFont val="Arial"/>
        <charset val="134"/>
      </rPr>
      <t>2950</t>
    </r>
    <r>
      <rPr>
        <sz val="9"/>
        <color rgb="FF000000"/>
        <rFont val="楷体"/>
        <charset val="134"/>
      </rPr>
      <t>万</t>
    </r>
  </si>
  <si>
    <r>
      <rPr>
        <sz val="9"/>
        <color rgb="FF000000"/>
        <rFont val="楷体"/>
        <charset val="134"/>
      </rPr>
      <t>刘辉</t>
    </r>
    <r>
      <rPr>
        <sz val="9"/>
        <color rgb="FF000000"/>
        <rFont val="Arial"/>
        <charset val="134"/>
      </rPr>
      <t>:CEO,</t>
    </r>
    <r>
      <rPr>
        <sz val="9"/>
        <color rgb="FF000000"/>
        <rFont val="楷体"/>
        <charset val="134"/>
      </rPr>
      <t>孙磊</t>
    </r>
    <r>
      <rPr>
        <sz val="9"/>
        <color rgb="FF000000"/>
        <rFont val="Arial"/>
        <charset val="134"/>
      </rPr>
      <t>:COO,</t>
    </r>
    <r>
      <rPr>
        <sz val="9"/>
        <color rgb="FF000000"/>
        <rFont val="楷体"/>
        <charset val="134"/>
      </rPr>
      <t>崔睿</t>
    </r>
    <r>
      <rPr>
        <sz val="9"/>
        <color rgb="FF000000"/>
        <rFont val="Arial"/>
        <charset val="134"/>
      </rPr>
      <t>:</t>
    </r>
    <r>
      <rPr>
        <sz val="9"/>
        <color rgb="FF000000"/>
        <rFont val="楷体"/>
        <charset val="134"/>
      </rPr>
      <t>联合创始人</t>
    </r>
    <r>
      <rPr>
        <sz val="9"/>
        <color rgb="FF000000"/>
        <rFont val="Arial"/>
        <charset val="134"/>
      </rPr>
      <t>&amp;</t>
    </r>
    <r>
      <rPr>
        <sz val="9"/>
        <color rgb="FF000000"/>
        <rFont val="楷体"/>
        <charset val="134"/>
      </rPr>
      <t>品牌营销副总裁</t>
    </r>
    <r>
      <rPr>
        <sz val="9"/>
        <color rgb="FF000000"/>
        <rFont val="Arial"/>
        <charset val="134"/>
      </rPr>
      <t>,</t>
    </r>
    <r>
      <rPr>
        <sz val="9"/>
        <color rgb="FF000000"/>
        <rFont val="楷体"/>
        <charset val="134"/>
      </rPr>
      <t>凌霄</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王峰</t>
    </r>
    <r>
      <rPr>
        <sz val="9"/>
        <color rgb="FF000000"/>
        <rFont val="Arial"/>
        <charset val="134"/>
      </rPr>
      <t>:</t>
    </r>
    <r>
      <rPr>
        <sz val="9"/>
        <color rgb="FF000000"/>
        <rFont val="楷体"/>
        <charset val="134"/>
      </rPr>
      <t>营销中心总经理兼政府关系</t>
    </r>
  </si>
  <si>
    <r>
      <rPr>
        <sz val="9"/>
        <color rgb="FF000000"/>
        <rFont val="楷体"/>
        <charset val="134"/>
      </rPr>
      <t>北京市朝阳区栆营北里</t>
    </r>
    <r>
      <rPr>
        <sz val="9"/>
        <color rgb="FF000000"/>
        <rFont val="Arial"/>
        <charset val="134"/>
      </rPr>
      <t>19</t>
    </r>
    <r>
      <rPr>
        <sz val="9"/>
        <color rgb="FF000000"/>
        <rFont val="楷体"/>
        <charset val="134"/>
      </rPr>
      <t>号楼可丽亚商务酒店旁</t>
    </r>
  </si>
  <si>
    <t>010-53380969</t>
  </si>
  <si>
    <t>zhangrui@jiewo.com;59684190@qq.com</t>
  </si>
  <si>
    <r>
      <rPr>
        <sz val="9"/>
        <color rgb="FF000000"/>
        <rFont val="楷体"/>
        <charset val="134"/>
      </rPr>
      <t>真格基金</t>
    </r>
    <r>
      <rPr>
        <sz val="9"/>
        <color rgb="FF000000"/>
        <rFont val="Arial"/>
        <charset val="134"/>
      </rPr>
      <t>,</t>
    </r>
    <r>
      <rPr>
        <sz val="9"/>
        <color rgb="FF000000"/>
        <rFont val="楷体"/>
        <charset val="134"/>
      </rPr>
      <t>策源创投</t>
    </r>
    <r>
      <rPr>
        <sz val="9"/>
        <color rgb="FF000000"/>
        <rFont val="Arial"/>
        <charset val="134"/>
      </rPr>
      <t>,</t>
    </r>
    <r>
      <rPr>
        <sz val="9"/>
        <color rgb="FF000000"/>
        <rFont val="楷体"/>
        <charset val="134"/>
      </rPr>
      <t>挚盈资本</t>
    </r>
    <r>
      <rPr>
        <sz val="9"/>
        <color rgb="FF000000"/>
        <rFont val="Arial"/>
        <charset val="134"/>
      </rPr>
      <t>,</t>
    </r>
    <r>
      <rPr>
        <sz val="9"/>
        <color rgb="FF000000"/>
        <rFont val="楷体"/>
        <charset val="134"/>
      </rPr>
      <t>正时资本</t>
    </r>
  </si>
  <si>
    <t>鲜趣生活</t>
  </si>
  <si>
    <r>
      <rPr>
        <sz val="9"/>
        <color rgb="FF000000"/>
        <rFont val="楷体"/>
        <charset val="134"/>
      </rPr>
      <t>鲜趣生活是一个提供极速购物及送货的移动社区电商平台，主要提供基于</t>
    </r>
    <r>
      <rPr>
        <sz val="9"/>
        <color rgb="FF000000"/>
        <rFont val="Arial"/>
        <charset val="134"/>
      </rPr>
      <t xml:space="preserve"> LBS </t>
    </r>
    <r>
      <rPr>
        <sz val="9"/>
        <color rgb="FF000000"/>
        <rFont val="楷体"/>
        <charset val="134"/>
      </rPr>
      <t>定位一公里范围内的水果生鲜、饮料乳品、休闲零食的一小时送货到家服务，隶属于杭州鲜趣闪购网络科技有限公司。</t>
    </r>
  </si>
  <si>
    <t>杭州鲜趣闪购网络科技有限公司</t>
  </si>
  <si>
    <t>http://www.shandiangou.com</t>
  </si>
  <si>
    <t>社区电商</t>
  </si>
  <si>
    <r>
      <rPr>
        <sz val="9"/>
        <color rgb="FF000000"/>
        <rFont val="Arial"/>
        <charset val="134"/>
      </rPr>
      <t>2.67</t>
    </r>
    <r>
      <rPr>
        <sz val="9"/>
        <color rgb="FF000000"/>
        <rFont val="楷体"/>
        <charset val="134"/>
      </rPr>
      <t>亿人民币</t>
    </r>
  </si>
  <si>
    <r>
      <rPr>
        <sz val="9"/>
        <color rgb="FF000000"/>
        <rFont val="Arial"/>
        <charset val="134"/>
      </rPr>
      <t>4.82</t>
    </r>
    <r>
      <rPr>
        <sz val="9"/>
        <color rgb="FF000000"/>
        <rFont val="楷体"/>
        <charset val="134"/>
      </rPr>
      <t>亿</t>
    </r>
  </si>
  <si>
    <r>
      <rPr>
        <sz val="9"/>
        <color rgb="FF000000"/>
        <rFont val="Arial"/>
        <charset val="134"/>
      </rPr>
      <t>22</t>
    </r>
    <r>
      <rPr>
        <sz val="9"/>
        <color rgb="FF000000"/>
        <rFont val="楷体"/>
        <charset val="134"/>
      </rPr>
      <t>亿元</t>
    </r>
  </si>
  <si>
    <r>
      <rPr>
        <sz val="9"/>
        <color rgb="FF000000"/>
        <rFont val="楷体"/>
        <charset val="134"/>
      </rPr>
      <t>王永森</t>
    </r>
    <r>
      <rPr>
        <sz val="9"/>
        <color rgb="FF000000"/>
        <rFont val="Arial"/>
        <charset val="134"/>
      </rPr>
      <t>:CEO,</t>
    </r>
    <r>
      <rPr>
        <sz val="9"/>
        <color rgb="FF000000"/>
        <rFont val="楷体"/>
        <charset val="134"/>
      </rPr>
      <t>邬强强</t>
    </r>
    <r>
      <rPr>
        <sz val="9"/>
        <color rgb="FF000000"/>
        <rFont val="Arial"/>
        <charset val="134"/>
      </rPr>
      <t>:COO</t>
    </r>
  </si>
  <si>
    <r>
      <rPr>
        <sz val="9"/>
        <color rgb="FF000000"/>
        <rFont val="楷体"/>
        <charset val="134"/>
      </rPr>
      <t>浙江省杭州市西湖区西溪世纪中心</t>
    </r>
    <r>
      <rPr>
        <sz val="9"/>
        <color rgb="FF000000"/>
        <rFont val="Arial"/>
        <charset val="134"/>
      </rPr>
      <t>7</t>
    </r>
    <r>
      <rPr>
        <sz val="9"/>
        <color rgb="FF000000"/>
        <rFont val="楷体"/>
        <charset val="134"/>
      </rPr>
      <t>号楼</t>
    </r>
    <r>
      <rPr>
        <sz val="9"/>
        <color rgb="FF000000"/>
        <rFont val="Arial"/>
        <charset val="134"/>
      </rPr>
      <t>2</t>
    </r>
    <r>
      <rPr>
        <sz val="9"/>
        <color rgb="FF000000"/>
        <rFont val="楷体"/>
        <charset val="134"/>
      </rPr>
      <t>单元</t>
    </r>
    <r>
      <rPr>
        <sz val="9"/>
        <color rgb="FF000000"/>
        <rFont val="Arial"/>
        <charset val="134"/>
      </rPr>
      <t>4</t>
    </r>
    <r>
      <rPr>
        <sz val="9"/>
        <color rgb="FF000000"/>
        <rFont val="楷体"/>
        <charset val="134"/>
      </rPr>
      <t>楼</t>
    </r>
  </si>
  <si>
    <t>152-0565-8922</t>
  </si>
  <si>
    <t>songlintao@51xianqu.net</t>
  </si>
  <si>
    <r>
      <rPr>
        <sz val="9"/>
        <color rgb="FF000000"/>
        <rFont val="楷体"/>
        <charset val="134"/>
      </rPr>
      <t>经纬创投</t>
    </r>
    <r>
      <rPr>
        <sz val="9"/>
        <color rgb="FF000000"/>
        <rFont val="Arial"/>
        <charset val="134"/>
      </rPr>
      <t>,</t>
    </r>
    <r>
      <rPr>
        <sz val="9"/>
        <color rgb="FF000000"/>
        <rFont val="楷体"/>
        <charset val="134"/>
      </rPr>
      <t>顺为资本</t>
    </r>
    <r>
      <rPr>
        <sz val="9"/>
        <color rgb="FF000000"/>
        <rFont val="Arial"/>
        <charset val="134"/>
      </rPr>
      <t>,H Capital,</t>
    </r>
    <r>
      <rPr>
        <sz val="9"/>
        <color rgb="FF000000"/>
        <rFont val="楷体"/>
        <charset val="134"/>
      </rPr>
      <t>元璟资本</t>
    </r>
  </si>
  <si>
    <r>
      <rPr>
        <sz val="9"/>
        <color rgb="FF000000"/>
        <rFont val="楷体"/>
        <charset val="134"/>
      </rPr>
      <t>经纬创投</t>
    </r>
    <r>
      <rPr>
        <sz val="9"/>
        <color rgb="FF000000"/>
        <rFont val="Arial"/>
        <charset val="134"/>
      </rPr>
      <t>,Ribbit Capital</t>
    </r>
  </si>
  <si>
    <t>2022-12-28</t>
  </si>
  <si>
    <t>Magic Leap</t>
  </si>
  <si>
    <r>
      <rPr>
        <sz val="9"/>
        <color rgb="FF000000"/>
        <rFont val="Arial"/>
        <charset val="134"/>
      </rPr>
      <t xml:space="preserve">Magic Leap </t>
    </r>
    <r>
      <rPr>
        <sz val="9"/>
        <color rgb="FF000000"/>
        <rFont val="楷体"/>
        <charset val="134"/>
      </rPr>
      <t>成立于</t>
    </r>
    <r>
      <rPr>
        <sz val="9"/>
        <color rgb="FF000000"/>
        <rFont val="Arial"/>
        <charset val="134"/>
      </rPr>
      <t>2011</t>
    </r>
    <r>
      <rPr>
        <sz val="9"/>
        <color rgb="FF000000"/>
        <rFont val="楷体"/>
        <charset val="134"/>
      </rPr>
      <t>年，是一家可穿戴设备技术公司，目前公司主要产品为眼镜式可穿戴计算设备，其最终影像效果相当于</t>
    </r>
    <r>
      <rPr>
        <sz val="9"/>
        <color rgb="FF000000"/>
        <rFont val="Arial"/>
        <charset val="134"/>
      </rPr>
      <t>3D</t>
    </r>
    <r>
      <rPr>
        <sz val="9"/>
        <color rgb="FF000000"/>
        <rFont val="楷体"/>
        <charset val="134"/>
      </rPr>
      <t>电影。</t>
    </r>
  </si>
  <si>
    <t>http://www.magicleap.com/</t>
  </si>
  <si>
    <t>可穿戴设备</t>
  </si>
  <si>
    <r>
      <rPr>
        <sz val="9"/>
        <color rgb="FF000000"/>
        <rFont val="Arial"/>
        <charset val="134"/>
      </rPr>
      <t>4.5</t>
    </r>
    <r>
      <rPr>
        <sz val="9"/>
        <color rgb="FF000000"/>
        <rFont val="楷体"/>
        <charset val="134"/>
      </rPr>
      <t>亿美元</t>
    </r>
  </si>
  <si>
    <t>PIF</t>
  </si>
  <si>
    <r>
      <rPr>
        <sz val="9"/>
        <color rgb="FF000000"/>
        <rFont val="Arial"/>
        <charset val="134"/>
      </rPr>
      <t>298.71</t>
    </r>
    <r>
      <rPr>
        <sz val="9"/>
        <color rgb="FF000000"/>
        <rFont val="楷体"/>
        <charset val="134"/>
      </rPr>
      <t>亿</t>
    </r>
  </si>
  <si>
    <t>Alice Wroe:Creative Director,Brian Clark:Project Manager, Systems Architecture,Brian Schowengerdt:CSEO,Cathy Hackl:Enterprise Strategy,Colman Bryant:Design Lead - ML2 Gesture and Gaze-Based Interactions,Daniel Olshansky:Cloud API Engineer,David Lundmark:Chief Patent Counsel,Gary Shigeru Natsume:VP, Design &amp; UI,Genevieve Mak:Senior Manager,Guillaume Charmes:Principal Software Engineer,Henk Vlietstra:SVP and XO,Jacqueline Assar:Partner Manager, Developer &amp; Creator Relations,James Temple:SVP, Chief Design Officer,Jason Gholston:Director and Platform and Ecosystem Product Marketing,Jeff Gattis:Vice President,Jennifer Esposito:Vice President &amp; General Manager, Health,Jennifer Rundell:Director, Solutions Ecosystem,John Monos:Visual and Experiential Development,Josh Naylor:Snr. Dev Tech Engineer,Laura Langehaug:VP, Human Resouces,Mark Albert:General Counsel,Neal Stephenson:Chief Futurist,Paul Greco:SVP, Hardware Engineering and Programs,Peggy Johnson:Chief Executive Officer,Richard Grundy:Power Optimization Engineer,Scott Henry:CFO,Shane Engelman:Lead Software Engineer,Sid Shah:MD &amp; Commercial Officer,Tim Caswell:TitlePrincipal Embedded Software Engineer,Wagner Patriota:Senior Software Engineer,Walter Delph:Chief Business Officer,William Hoff:Lead Software Engineer, Perception,Yannick Pellet:SVP, Software Engineering</t>
  </si>
  <si>
    <t>NTT Docomo Ventures</t>
  </si>
  <si>
    <r>
      <rPr>
        <sz val="9"/>
        <color rgb="FF000000"/>
        <rFont val="Arial"/>
        <charset val="134"/>
      </rPr>
      <t>4.61</t>
    </r>
    <r>
      <rPr>
        <sz val="9"/>
        <color rgb="FF000000"/>
        <rFont val="楷体"/>
        <charset val="134"/>
      </rPr>
      <t>亿美元</t>
    </r>
  </si>
  <si>
    <t>Saudi Arabia's Public Investment Fund</t>
  </si>
  <si>
    <t>Axel Springer Digital Ventures</t>
  </si>
  <si>
    <r>
      <rPr>
        <sz val="9"/>
        <color rgb="FF000000"/>
        <rFont val="Arial"/>
        <charset val="134"/>
      </rPr>
      <t>5.02</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</si>
  <si>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淡马锡</t>
    </r>
    <r>
      <rPr>
        <sz val="9"/>
        <color rgb="FF000000"/>
        <rFont val="Arial"/>
        <charset val="134"/>
      </rPr>
      <t>Temasek,GV,T. Rowe Price,JPMorgan</t>
    </r>
    <r>
      <rPr>
        <sz val="9"/>
        <color rgb="FF000000"/>
        <rFont val="楷体"/>
        <charset val="134"/>
      </rPr>
      <t>摩根大通</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普续资本</t>
    </r>
    <r>
      <rPr>
        <sz val="9"/>
        <color rgb="FF000000"/>
        <rFont val="Arial"/>
        <charset val="134"/>
      </rPr>
      <t>,EDBI,Grupo Globo</t>
    </r>
  </si>
  <si>
    <r>
      <rPr>
        <sz val="9"/>
        <color rgb="FF000000"/>
        <rFont val="楷体"/>
        <charset val="134"/>
      </rPr>
      <t>华策影视</t>
    </r>
    <r>
      <rPr>
        <sz val="9"/>
        <color rgb="FF000000"/>
        <rFont val="Arial"/>
        <charset val="134"/>
      </rPr>
      <t>,</t>
    </r>
    <r>
      <rPr>
        <sz val="9"/>
        <color rgb="FF000000"/>
        <rFont val="楷体"/>
        <charset val="134"/>
      </rPr>
      <t>银江股份</t>
    </r>
    <r>
      <rPr>
        <sz val="9"/>
        <color rgb="FF000000"/>
        <rFont val="Arial"/>
        <charset val="134"/>
      </rPr>
      <t>(</t>
    </r>
    <r>
      <rPr>
        <sz val="9"/>
        <color rgb="FF000000"/>
        <rFont val="楷体"/>
        <charset val="134"/>
      </rPr>
      <t>银江资本</t>
    </r>
    <r>
      <rPr>
        <sz val="9"/>
        <color rgb="FF000000"/>
        <rFont val="Arial"/>
        <charset val="134"/>
      </rPr>
      <t>),</t>
    </r>
    <r>
      <rPr>
        <sz val="9"/>
        <color rgb="FF000000"/>
        <rFont val="楷体"/>
        <charset val="134"/>
      </rPr>
      <t>利亚德光电</t>
    </r>
    <r>
      <rPr>
        <sz val="9"/>
        <color rgb="FF000000"/>
        <rFont val="Arial"/>
        <charset val="134"/>
      </rPr>
      <t>,</t>
    </r>
    <r>
      <rPr>
        <sz val="9"/>
        <color rgb="FF000000"/>
        <rFont val="楷体"/>
        <charset val="134"/>
      </rPr>
      <t>律格资本</t>
    </r>
  </si>
  <si>
    <r>
      <rPr>
        <sz val="9"/>
        <color rgb="FF000000"/>
        <rFont val="Arial"/>
        <charset val="134"/>
      </rPr>
      <t>8.27</t>
    </r>
    <r>
      <rPr>
        <sz val="9"/>
        <color rgb="FF000000"/>
        <rFont val="楷体"/>
        <charset val="134"/>
      </rPr>
      <t>亿美元</t>
    </r>
  </si>
  <si>
    <r>
      <rPr>
        <sz val="9"/>
        <color rgb="FF000000"/>
        <rFont val="楷体"/>
        <charset val="134"/>
      </rPr>
      <t>高通</t>
    </r>
    <r>
      <rPr>
        <sz val="9"/>
        <color rgb="FF000000"/>
        <rFont val="Arial"/>
        <charset val="134"/>
      </rPr>
      <t>Qualcomm Ventures,</t>
    </r>
    <r>
      <rPr>
        <sz val="9"/>
        <color rgb="FF000000"/>
        <rFont val="楷体"/>
        <charset val="134"/>
      </rPr>
      <t>阿里巴巴</t>
    </r>
    <r>
      <rPr>
        <sz val="9"/>
        <color rgb="FF000000"/>
        <rFont val="Arial"/>
        <charset val="134"/>
      </rPr>
      <t>,T. Rowe Price,Morgan Stanley</t>
    </r>
    <r>
      <rPr>
        <sz val="9"/>
        <color rgb="FF000000"/>
        <rFont val="楷体"/>
        <charset val="134"/>
      </rPr>
      <t>摩根士丹利</t>
    </r>
    <r>
      <rPr>
        <sz val="9"/>
        <color rgb="FF000000"/>
        <rFont val="Arial"/>
        <charset val="134"/>
      </rPr>
      <t>,Wellington Management,Google</t>
    </r>
    <r>
      <rPr>
        <sz val="9"/>
        <color rgb="FF000000"/>
        <rFont val="楷体"/>
        <charset val="134"/>
      </rPr>
      <t>谷歌</t>
    </r>
    <r>
      <rPr>
        <sz val="9"/>
        <color rgb="FF000000"/>
        <rFont val="Arial"/>
        <charset val="134"/>
      </rPr>
      <t>,</t>
    </r>
    <r>
      <rPr>
        <sz val="9"/>
        <color rgb="FF000000"/>
        <rFont val="楷体"/>
        <charset val="134"/>
      </rPr>
      <t>富达投资</t>
    </r>
    <r>
      <rPr>
        <sz val="9"/>
        <color rgb="FF000000"/>
        <rFont val="Arial"/>
        <charset val="134"/>
      </rPr>
      <t>Fidelity Investments,Warner Bros.</t>
    </r>
    <r>
      <rPr>
        <sz val="9"/>
        <color rgb="FF000000"/>
        <rFont val="楷体"/>
        <charset val="134"/>
      </rPr>
      <t>华纳兄弟</t>
    </r>
    <r>
      <rPr>
        <sz val="9"/>
        <color rgb="FF000000"/>
        <rFont val="Arial"/>
        <charset val="134"/>
      </rPr>
      <t>,</t>
    </r>
    <r>
      <rPr>
        <sz val="9"/>
        <color rgb="FF000000"/>
        <rFont val="楷体"/>
        <charset val="134"/>
      </rPr>
      <t>普续资本</t>
    </r>
  </si>
  <si>
    <r>
      <rPr>
        <sz val="9"/>
        <color rgb="FF000000"/>
        <rFont val="Arial"/>
        <charset val="134"/>
      </rPr>
      <t>354</t>
    </r>
    <r>
      <rPr>
        <sz val="9"/>
        <color rgb="FF000000"/>
        <rFont val="楷体"/>
        <charset val="134"/>
      </rPr>
      <t>万美元</t>
    </r>
  </si>
  <si>
    <t>普思资本</t>
  </si>
  <si>
    <r>
      <rPr>
        <sz val="9"/>
        <color rgb="FF000000"/>
        <rFont val="Arial"/>
        <charset val="134"/>
      </rPr>
      <t>5.42</t>
    </r>
    <r>
      <rPr>
        <sz val="9"/>
        <color rgb="FF000000"/>
        <rFont val="楷体"/>
        <charset val="134"/>
      </rPr>
      <t>亿美元</t>
    </r>
  </si>
  <si>
    <r>
      <rPr>
        <sz val="9"/>
        <color rgb="FF000000"/>
        <rFont val="楷体"/>
        <charset val="134"/>
      </rPr>
      <t>高通</t>
    </r>
    <r>
      <rPr>
        <sz val="9"/>
        <color rgb="FF000000"/>
        <rFont val="Arial"/>
        <charset val="134"/>
      </rPr>
      <t>Qualcomm Ventures,Kleiner Perkins Caufield &amp; Byers(KPCB</t>
    </r>
    <r>
      <rPr>
        <sz val="9"/>
        <color rgb="FF000000"/>
        <rFont val="楷体"/>
        <charset val="134"/>
      </rPr>
      <t>全球</t>
    </r>
    <r>
      <rPr>
        <sz val="9"/>
        <color rgb="FF000000"/>
        <rFont val="Arial"/>
        <charset val="134"/>
      </rPr>
      <t>),Andreessen Horowitz-a16z,Google</t>
    </r>
    <r>
      <rPr>
        <sz val="9"/>
        <color rgb="FF000000"/>
        <rFont val="楷体"/>
        <charset val="134"/>
      </rPr>
      <t>谷歌</t>
    </r>
  </si>
  <si>
    <t>2016-03-25</t>
  </si>
  <si>
    <t>正和岛</t>
  </si>
  <si>
    <t>正和岛是一个企业家社交平台，平台内实行实名制、会员制、收费制、邀请制，并将线上互动和线下活动相结合，为企业家群体提供缔结信任、解决问题及合作共赢的机会，帮助企业家进行相互了解，实现资源对接。</t>
  </si>
  <si>
    <t>北京正和岛信息科技有限公司</t>
  </si>
  <si>
    <t>http://www.zhisland.com/index</t>
  </si>
  <si>
    <t>2009-11</t>
  </si>
  <si>
    <r>
      <rPr>
        <sz val="9"/>
        <color rgb="FF000000"/>
        <rFont val="楷体"/>
        <charset val="134"/>
      </rPr>
      <t>刘东华</t>
    </r>
    <r>
      <rPr>
        <sz val="9"/>
        <color rgb="FF000000"/>
        <rFont val="Arial"/>
        <charset val="134"/>
      </rPr>
      <t>:</t>
    </r>
    <r>
      <rPr>
        <sz val="9"/>
        <color rgb="FF000000"/>
        <rFont val="楷体"/>
        <charset val="134"/>
      </rPr>
      <t>创始人</t>
    </r>
  </si>
  <si>
    <r>
      <rPr>
        <sz val="9"/>
        <color rgb="FF000000"/>
        <rFont val="楷体"/>
        <charset val="134"/>
      </rPr>
      <t>北京市海淀区中关村东路</t>
    </r>
    <r>
      <rPr>
        <sz val="9"/>
        <color rgb="FF000000"/>
        <rFont val="Arial"/>
        <charset val="134"/>
      </rPr>
      <t>1</t>
    </r>
    <r>
      <rPr>
        <sz val="9"/>
        <color rgb="FF000000"/>
        <rFont val="楷体"/>
        <charset val="134"/>
      </rPr>
      <t>号院清华科技园创新大厦</t>
    </r>
    <r>
      <rPr>
        <sz val="9"/>
        <color rgb="FF000000"/>
        <rFont val="Arial"/>
        <charset val="134"/>
      </rPr>
      <t>B</t>
    </r>
    <r>
      <rPr>
        <sz val="9"/>
        <color rgb="FF000000"/>
        <rFont val="楷体"/>
        <charset val="134"/>
      </rPr>
      <t>座</t>
    </r>
    <r>
      <rPr>
        <sz val="9"/>
        <color rgb="FF000000"/>
        <rFont val="Arial"/>
        <charset val="134"/>
      </rPr>
      <t>9</t>
    </r>
    <r>
      <rPr>
        <sz val="9"/>
        <color rgb="FF000000"/>
        <rFont val="楷体"/>
        <charset val="134"/>
      </rPr>
      <t>层</t>
    </r>
  </si>
  <si>
    <t>010-6253-9800</t>
  </si>
  <si>
    <t>chenglin@zhisland.com</t>
  </si>
  <si>
    <r>
      <rPr>
        <sz val="9"/>
        <color rgb="FF000000"/>
        <rFont val="楷体"/>
        <charset val="134"/>
      </rPr>
      <t>新浪微博基金</t>
    </r>
    <r>
      <rPr>
        <sz val="9"/>
        <color rgb="FF000000"/>
        <rFont val="Arial"/>
        <charset val="134"/>
      </rPr>
      <t>,</t>
    </r>
    <r>
      <rPr>
        <sz val="9"/>
        <color rgb="FF000000"/>
        <rFont val="楷体"/>
        <charset val="134"/>
      </rPr>
      <t>信中利资本</t>
    </r>
  </si>
  <si>
    <r>
      <rPr>
        <sz val="9"/>
        <color rgb="FF000000"/>
        <rFont val="楷体"/>
        <charset val="134"/>
      </rPr>
      <t>宽带资本</t>
    </r>
    <r>
      <rPr>
        <sz val="9"/>
        <color rgb="FF000000"/>
        <rFont val="Arial"/>
        <charset val="134"/>
      </rPr>
      <t>CBC,</t>
    </r>
    <r>
      <rPr>
        <sz val="9"/>
        <color rgb="FF000000"/>
        <rFont val="楷体"/>
        <charset val="134"/>
      </rPr>
      <t>双湖资本</t>
    </r>
  </si>
  <si>
    <r>
      <rPr>
        <sz val="9"/>
        <color rgb="FF000000"/>
        <rFont val="楷体"/>
        <charset val="134"/>
      </rPr>
      <t>阿里巴巴</t>
    </r>
    <r>
      <rPr>
        <sz val="9"/>
        <color rgb="FF000000"/>
        <rFont val="Arial"/>
        <charset val="134"/>
      </rPr>
      <t>,</t>
    </r>
    <r>
      <rPr>
        <sz val="9"/>
        <color rgb="FF000000"/>
        <rFont val="楷体"/>
        <charset val="134"/>
      </rPr>
      <t>复星集团</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海尔</t>
    </r>
    <r>
      <rPr>
        <sz val="9"/>
        <color rgb="FF000000"/>
        <rFont val="Arial"/>
        <charset val="134"/>
      </rPr>
      <t>,</t>
    </r>
    <r>
      <rPr>
        <sz val="9"/>
        <color rgb="FF000000"/>
        <rFont val="楷体"/>
        <charset val="134"/>
      </rPr>
      <t>联想控股</t>
    </r>
  </si>
  <si>
    <t>2021-05-17</t>
  </si>
  <si>
    <t>Tokopedia</t>
  </si>
  <si>
    <r>
      <rPr>
        <sz val="9"/>
        <color rgb="FF000000"/>
        <rFont val="Arial"/>
        <charset val="134"/>
      </rPr>
      <t xml:space="preserve">Tokopedia </t>
    </r>
    <r>
      <rPr>
        <sz val="9"/>
        <color rgb="FF000000"/>
        <rFont val="楷体"/>
        <charset val="134"/>
      </rPr>
      <t>成立于</t>
    </r>
    <r>
      <rPr>
        <sz val="9"/>
        <color rgb="FF000000"/>
        <rFont val="Arial"/>
        <charset val="134"/>
      </rPr>
      <t>2009</t>
    </r>
    <r>
      <rPr>
        <sz val="9"/>
        <color rgb="FF000000"/>
        <rFont val="楷体"/>
        <charset val="134"/>
      </rPr>
      <t>年，是印尼一家电商平台，相当于国内的</t>
    </r>
    <r>
      <rPr>
        <sz val="9"/>
        <color rgb="FF000000"/>
        <rFont val="Arial"/>
        <charset val="134"/>
      </rPr>
      <t>“</t>
    </r>
    <r>
      <rPr>
        <sz val="9"/>
        <color rgb="FF000000"/>
        <rFont val="楷体"/>
        <charset val="134"/>
      </rPr>
      <t>淘宝</t>
    </r>
    <r>
      <rPr>
        <sz val="9"/>
        <color rgb="FF000000"/>
        <rFont val="Arial"/>
        <charset val="134"/>
      </rPr>
      <t>”</t>
    </r>
    <r>
      <rPr>
        <sz val="9"/>
        <color rgb="FF000000"/>
        <rFont val="楷体"/>
        <charset val="134"/>
      </rPr>
      <t>。</t>
    </r>
  </si>
  <si>
    <t>https://www.tokopedia.com</t>
  </si>
  <si>
    <r>
      <rPr>
        <sz val="9"/>
        <color rgb="FF000000"/>
        <rFont val="楷体"/>
        <charset val="134"/>
      </rPr>
      <t>亚洲</t>
    </r>
    <r>
      <rPr>
        <sz val="9"/>
        <color rgb="FF000000"/>
        <rFont val="Arial"/>
        <charset val="134"/>
      </rPr>
      <t>-</t>
    </r>
    <r>
      <rPr>
        <sz val="9"/>
        <color rgb="FF000000"/>
        <rFont val="楷体"/>
        <charset val="134"/>
      </rPr>
      <t>印度尼西亚</t>
    </r>
  </si>
  <si>
    <t>Gojek</t>
  </si>
  <si>
    <r>
      <rPr>
        <sz val="9"/>
        <color rgb="FF000000"/>
        <rFont val="Arial"/>
        <charset val="134"/>
      </rPr>
      <t>193.16</t>
    </r>
    <r>
      <rPr>
        <sz val="9"/>
        <color rgb="FF000000"/>
        <rFont val="楷体"/>
        <charset val="134"/>
      </rPr>
      <t>亿</t>
    </r>
  </si>
  <si>
    <t>Adhitia Herawan:Head Of Engineering,Amalia Karunia Rizqyta:Corporate Communications,Boris Hajduk:CISO,Herman Widjaja:SVP of Technology,Leontinus Alpha Edison:Co-Founder &amp; Vice Chairman,Melissa Siska Juminto:Chief Operating Officer,Muhammad Hang Nadi:Engineering Manager,Piyush Mittal:VP of Engineering,Srinivas Reddy Maila:Head of Data Engineering,Tahir Hashmi:Technical Fellow,Vishal Gupta:Head Of Engineering,William Tanuwijaya:Founder and CEO,Zulham Yachya:Product Manager,Jonathan Filbert Lisyanto:Software Engineer</t>
  </si>
  <si>
    <r>
      <rPr>
        <sz val="9"/>
        <color rgb="FF000000"/>
        <rFont val="楷体"/>
        <charset val="134"/>
      </rPr>
      <t>淡马锡</t>
    </r>
    <r>
      <rPr>
        <sz val="9"/>
        <color rgb="FF000000"/>
        <rFont val="Arial"/>
        <charset val="134"/>
      </rPr>
      <t>Temasek</t>
    </r>
  </si>
  <si>
    <r>
      <rPr>
        <sz val="9"/>
        <color rgb="FF000000"/>
        <rFont val="Arial"/>
        <charset val="134"/>
      </rPr>
      <t>11</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</si>
  <si>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软银愿景基金</t>
    </r>
  </si>
  <si>
    <r>
      <rPr>
        <sz val="9"/>
        <color rgb="FF000000"/>
        <rFont val="Arial"/>
        <charset val="134"/>
      </rPr>
      <t>SoftBank capital,Sequoia Capital</t>
    </r>
    <r>
      <rPr>
        <sz val="9"/>
        <color rgb="FF000000"/>
        <rFont val="楷体"/>
        <charset val="134"/>
      </rPr>
      <t>红杉</t>
    </r>
  </si>
  <si>
    <t>SoftBank capital</t>
  </si>
  <si>
    <t>Beenos Partners</t>
  </si>
  <si>
    <r>
      <rPr>
        <sz val="9"/>
        <color rgb="FF000000"/>
        <rFont val="Arial"/>
        <charset val="134"/>
      </rPr>
      <t>70</t>
    </r>
    <r>
      <rPr>
        <sz val="9"/>
        <color rgb="FF000000"/>
        <rFont val="楷体"/>
        <charset val="134"/>
      </rPr>
      <t>万美元</t>
    </r>
  </si>
  <si>
    <r>
      <rPr>
        <sz val="9"/>
        <color rgb="FF000000"/>
        <rFont val="Arial"/>
        <charset val="134"/>
      </rPr>
      <t>Cyberagent Ventures</t>
    </r>
    <r>
      <rPr>
        <sz val="9"/>
        <color rgb="FF000000"/>
        <rFont val="楷体"/>
        <charset val="134"/>
      </rPr>
      <t>（国外投资）</t>
    </r>
  </si>
  <si>
    <t>Initial Capital</t>
  </si>
  <si>
    <t>Indonusa Dwitama</t>
  </si>
  <si>
    <t>2021-12-30</t>
  </si>
  <si>
    <t>商汤科技SenseTime</t>
  </si>
  <si>
    <r>
      <rPr>
        <sz val="9"/>
        <color rgb="FF000000"/>
        <rFont val="楷体"/>
        <charset val="134"/>
      </rPr>
      <t>商汤科技</t>
    </r>
    <r>
      <rPr>
        <sz val="9"/>
        <color rgb="FF000000"/>
        <rFont val="Arial"/>
        <charset val="134"/>
      </rPr>
      <t>SenseTime</t>
    </r>
  </si>
  <si>
    <t>商汤科技是全球领先的深度学习平台开发者，专注于打造人工智能视觉引擎。商汤基于自主研发的深度学习平台，输出全套人工智能视觉技术，包括成像处理、感知、识别，服务于金融、平安城市、机器人、无人驾驶等多个行业。</t>
  </si>
  <si>
    <t>北京市商汤科技开发有限公司</t>
  </si>
  <si>
    <t>http://www.sensetime.com</t>
  </si>
  <si>
    <t>2014-08</t>
  </si>
  <si>
    <r>
      <rPr>
        <sz val="9"/>
        <color rgb="FF000000"/>
        <rFont val="Arial"/>
        <charset val="134"/>
      </rPr>
      <t>55.52</t>
    </r>
    <r>
      <rPr>
        <sz val="9"/>
        <color rgb="FF000000"/>
        <rFont val="楷体"/>
        <charset val="134"/>
      </rPr>
      <t>亿港元</t>
    </r>
  </si>
  <si>
    <r>
      <rPr>
        <sz val="9"/>
        <color rgb="FF000000"/>
        <rFont val="Arial"/>
        <charset val="134"/>
      </rPr>
      <t>466.45</t>
    </r>
    <r>
      <rPr>
        <sz val="9"/>
        <color rgb="FF000000"/>
        <rFont val="楷体"/>
        <charset val="134"/>
      </rPr>
      <t>亿</t>
    </r>
  </si>
  <si>
    <r>
      <rPr>
        <sz val="9"/>
        <color rgb="FF000000"/>
        <rFont val="Arial"/>
        <charset val="134"/>
      </rPr>
      <t>1025.6</t>
    </r>
    <r>
      <rPr>
        <sz val="9"/>
        <color rgb="FF000000"/>
        <rFont val="楷体"/>
        <charset val="134"/>
      </rPr>
      <t>亿元</t>
    </r>
  </si>
  <si>
    <r>
      <rPr>
        <sz val="9"/>
        <color rgb="FF000000"/>
        <rFont val="楷体"/>
        <charset val="134"/>
      </rPr>
      <t>徐立</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杨帆</t>
    </r>
    <r>
      <rPr>
        <sz val="9"/>
        <color rgb="FF000000"/>
        <rFont val="Arial"/>
        <charset val="134"/>
      </rPr>
      <t>:</t>
    </r>
    <r>
      <rPr>
        <sz val="9"/>
        <color rgb="FF000000"/>
        <rFont val="楷体"/>
        <charset val="134"/>
      </rPr>
      <t>联合创始人</t>
    </r>
    <r>
      <rPr>
        <sz val="9"/>
        <color rgb="FF000000"/>
        <rFont val="Arial"/>
        <charset val="134"/>
      </rPr>
      <t>&amp;</t>
    </r>
    <r>
      <rPr>
        <sz val="9"/>
        <color rgb="FF000000"/>
        <rFont val="楷体"/>
        <charset val="134"/>
      </rPr>
      <t>副总裁</t>
    </r>
    <r>
      <rPr>
        <sz val="9"/>
        <color rgb="FF000000"/>
        <rFont val="Arial"/>
        <charset val="134"/>
      </rPr>
      <t>,</t>
    </r>
    <r>
      <rPr>
        <sz val="9"/>
        <color rgb="FF000000"/>
        <rFont val="楷体"/>
        <charset val="134"/>
      </rPr>
      <t>徐持衡</t>
    </r>
    <r>
      <rPr>
        <sz val="9"/>
        <color rgb="FF000000"/>
        <rFont val="Arial"/>
        <charset val="134"/>
      </rPr>
      <t>:</t>
    </r>
    <r>
      <rPr>
        <sz val="9"/>
        <color rgb="FF000000"/>
        <rFont val="楷体"/>
        <charset val="134"/>
      </rPr>
      <t>联合创始人</t>
    </r>
  </si>
  <si>
    <r>
      <rPr>
        <sz val="9"/>
        <color rgb="FF000000"/>
        <rFont val="楷体"/>
        <charset val="134"/>
      </rPr>
      <t>北京市海淀区清华科技园创业大厦</t>
    </r>
    <r>
      <rPr>
        <sz val="9"/>
        <color rgb="FF000000"/>
        <rFont val="Arial"/>
        <charset val="134"/>
      </rPr>
      <t>7</t>
    </r>
    <r>
      <rPr>
        <sz val="9"/>
        <color rgb="FF000000"/>
        <rFont val="楷体"/>
        <charset val="134"/>
      </rPr>
      <t>层</t>
    </r>
  </si>
  <si>
    <t>010-52725279</t>
  </si>
  <si>
    <t>business@sensetime.com</t>
  </si>
  <si>
    <r>
      <rPr>
        <sz val="9"/>
        <color rgb="FF000000"/>
        <rFont val="Arial"/>
        <charset val="134"/>
      </rPr>
      <t>5.12</t>
    </r>
    <r>
      <rPr>
        <sz val="9"/>
        <color rgb="FF000000"/>
        <rFont val="楷体"/>
        <charset val="134"/>
      </rPr>
      <t>亿美元</t>
    </r>
  </si>
  <si>
    <r>
      <rPr>
        <sz val="9"/>
        <color rgb="FF000000"/>
        <rFont val="楷体"/>
        <charset val="134"/>
      </rPr>
      <t>国泰君安</t>
    </r>
    <r>
      <rPr>
        <sz val="9"/>
        <color rgb="FF000000"/>
        <rFont val="Arial"/>
        <charset val="134"/>
      </rPr>
      <t>,</t>
    </r>
    <r>
      <rPr>
        <sz val="9"/>
        <color rgb="FF000000"/>
        <rFont val="楷体"/>
        <charset val="134"/>
      </rPr>
      <t>中国诚通</t>
    </r>
    <r>
      <rPr>
        <sz val="9"/>
        <color rgb="FF000000"/>
        <rFont val="Arial"/>
        <charset val="134"/>
      </rPr>
      <t>,</t>
    </r>
    <r>
      <rPr>
        <sz val="9"/>
        <color rgb="FF000000"/>
        <rFont val="楷体"/>
        <charset val="134"/>
      </rPr>
      <t>上海国盛集团</t>
    </r>
    <r>
      <rPr>
        <sz val="9"/>
        <color rgb="FF000000"/>
        <rFont val="Arial"/>
        <charset val="134"/>
      </rPr>
      <t>,</t>
    </r>
    <r>
      <rPr>
        <sz val="9"/>
        <color rgb="FF000000"/>
        <rFont val="楷体"/>
        <charset val="134"/>
      </rPr>
      <t>恒旭资本</t>
    </r>
    <r>
      <rPr>
        <sz val="9"/>
        <color rgb="FF000000"/>
        <rFont val="Arial"/>
        <charset val="134"/>
      </rPr>
      <t>,</t>
    </r>
    <r>
      <rPr>
        <sz val="9"/>
        <color rgb="FF000000"/>
        <rFont val="楷体"/>
        <charset val="134"/>
      </rPr>
      <t>临港科创</t>
    </r>
    <r>
      <rPr>
        <sz val="9"/>
        <color rgb="FF000000"/>
        <rFont val="Arial"/>
        <charset val="134"/>
      </rPr>
      <t>,</t>
    </r>
    <r>
      <rPr>
        <sz val="9"/>
        <color rgb="FF000000"/>
        <rFont val="楷体"/>
        <charset val="134"/>
      </rPr>
      <t>希玛眼科</t>
    </r>
    <r>
      <rPr>
        <sz val="9"/>
        <color rgb="FF000000"/>
        <rFont val="Arial"/>
        <charset val="134"/>
      </rPr>
      <t>,</t>
    </r>
    <r>
      <rPr>
        <sz val="9"/>
        <color rgb="FF000000"/>
        <rFont val="楷体"/>
        <charset val="134"/>
      </rPr>
      <t>徐汇资本</t>
    </r>
    <r>
      <rPr>
        <sz val="9"/>
        <color rgb="FF000000"/>
        <rFont val="Arial"/>
        <charset val="134"/>
      </rPr>
      <t>,</t>
    </r>
    <r>
      <rPr>
        <sz val="9"/>
        <color rgb="FF000000"/>
        <rFont val="楷体"/>
        <charset val="134"/>
      </rPr>
      <t>香港科技园</t>
    </r>
    <r>
      <rPr>
        <sz val="9"/>
        <color rgb="FF000000"/>
        <rFont val="Arial"/>
        <charset val="134"/>
      </rPr>
      <t>,</t>
    </r>
    <r>
      <rPr>
        <sz val="9"/>
        <color rgb="FF000000"/>
        <rFont val="楷体"/>
        <charset val="134"/>
      </rPr>
      <t>泰州文旅</t>
    </r>
  </si>
  <si>
    <r>
      <rPr>
        <sz val="9"/>
        <color rgb="FF000000"/>
        <rFont val="楷体"/>
        <charset val="134"/>
      </rPr>
      <t>和暄资本</t>
    </r>
    <r>
      <rPr>
        <sz val="9"/>
        <color rgb="FF000000"/>
        <rFont val="Arial"/>
        <charset val="134"/>
      </rPr>
      <t>Hermitage Capital,</t>
    </r>
    <r>
      <rPr>
        <sz val="9"/>
        <color rgb="FF000000"/>
        <rFont val="楷体"/>
        <charset val="134"/>
      </rPr>
      <t>元禾厚望</t>
    </r>
    <r>
      <rPr>
        <sz val="9"/>
        <color rgb="FF000000"/>
        <rFont val="Arial"/>
        <charset val="134"/>
      </rPr>
      <t>,</t>
    </r>
    <r>
      <rPr>
        <sz val="9"/>
        <color rgb="FF000000"/>
        <rFont val="楷体"/>
        <charset val="134"/>
      </rPr>
      <t>软银愿景基金</t>
    </r>
  </si>
  <si>
    <r>
      <rPr>
        <sz val="9"/>
        <color rgb="FF000000"/>
        <rFont val="Arial"/>
        <charset val="134"/>
      </rPr>
      <t>6.2</t>
    </r>
    <r>
      <rPr>
        <sz val="9"/>
        <color rgb="FF000000"/>
        <rFont val="楷体"/>
        <charset val="134"/>
      </rPr>
      <t>亿美元</t>
    </r>
  </si>
  <si>
    <r>
      <rPr>
        <sz val="9"/>
        <color rgb="FF000000"/>
        <rFont val="楷体"/>
        <charset val="134"/>
      </rPr>
      <t>高通</t>
    </r>
    <r>
      <rPr>
        <sz val="9"/>
        <color rgb="FF000000"/>
        <rFont val="Arial"/>
        <charset val="134"/>
      </rPr>
      <t>Qualcomm Ventures,</t>
    </r>
    <r>
      <rPr>
        <sz val="9"/>
        <color rgb="FF000000"/>
        <rFont val="楷体"/>
        <charset val="134"/>
      </rPr>
      <t>深创投</t>
    </r>
    <r>
      <rPr>
        <sz val="9"/>
        <color rgb="FF000000"/>
        <rFont val="Arial"/>
        <charset val="134"/>
      </rPr>
      <t>,</t>
    </r>
    <r>
      <rPr>
        <sz val="9"/>
        <color rgb="FF000000"/>
        <rFont val="楷体"/>
        <charset val="134"/>
      </rPr>
      <t>新电投资</t>
    </r>
    <r>
      <rPr>
        <sz val="9"/>
        <color rgb="FF000000"/>
        <rFont val="Arial"/>
        <charset val="134"/>
      </rPr>
      <t>SingTel Innov8,Tiger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银湖投资</t>
    </r>
    <r>
      <rPr>
        <sz val="9"/>
        <color rgb="FF000000"/>
        <rFont val="Arial"/>
        <charset val="134"/>
      </rPr>
      <t>Silver Lake,</t>
    </r>
    <r>
      <rPr>
        <sz val="9"/>
        <color rgb="FF000000"/>
        <rFont val="楷体"/>
        <charset val="134"/>
      </rPr>
      <t>全明星投资</t>
    </r>
    <r>
      <rPr>
        <sz val="9"/>
        <color rgb="FF000000"/>
        <rFont val="Arial"/>
        <charset val="134"/>
      </rPr>
      <t>All-Stars Investment,</t>
    </r>
    <r>
      <rPr>
        <sz val="9"/>
        <color rgb="FF000000"/>
        <rFont val="楷体"/>
        <charset val="134"/>
      </rPr>
      <t>中银投资</t>
    </r>
    <r>
      <rPr>
        <sz val="9"/>
        <color rgb="FF000000"/>
        <rFont val="Arial"/>
        <charset val="134"/>
      </rPr>
      <t>,</t>
    </r>
    <r>
      <rPr>
        <sz val="9"/>
        <color rgb="FF000000"/>
        <rFont val="楷体"/>
        <charset val="134"/>
      </rPr>
      <t>保利资本</t>
    </r>
    <r>
      <rPr>
        <sz val="9"/>
        <color rgb="FF000000"/>
        <rFont val="Arial"/>
        <charset val="134"/>
      </rPr>
      <t>,</t>
    </r>
    <r>
      <rPr>
        <sz val="9"/>
        <color rgb="FF000000"/>
        <rFont val="楷体"/>
        <charset val="134"/>
      </rPr>
      <t>世茂集团</t>
    </r>
    <r>
      <rPr>
        <sz val="9"/>
        <color rgb="FF000000"/>
        <rFont val="Arial"/>
        <charset val="134"/>
      </rPr>
      <t>,</t>
    </r>
    <r>
      <rPr>
        <sz val="9"/>
        <color rgb="FF000000"/>
        <rFont val="楷体"/>
        <charset val="134"/>
      </rPr>
      <t>上海自贸区基金</t>
    </r>
  </si>
  <si>
    <r>
      <rPr>
        <sz val="9"/>
        <color rgb="FF000000"/>
        <rFont val="楷体"/>
        <charset val="134"/>
      </rPr>
      <t>阿里巴巴</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苏宁</t>
    </r>
  </si>
  <si>
    <r>
      <rPr>
        <sz val="9"/>
        <color rgb="FF000000"/>
        <rFont val="Arial"/>
        <charset val="134"/>
      </rPr>
      <t>15</t>
    </r>
    <r>
      <rPr>
        <sz val="9"/>
        <color rgb="FF000000"/>
        <rFont val="楷体"/>
        <charset val="134"/>
      </rPr>
      <t>亿人民币</t>
    </r>
  </si>
  <si>
    <r>
      <rPr>
        <sz val="9"/>
        <color rgb="FF000000"/>
        <rFont val="楷体"/>
        <charset val="134"/>
      </rPr>
      <t>高通</t>
    </r>
    <r>
      <rPr>
        <sz val="9"/>
        <color rgb="FF000000"/>
        <rFont val="Arial"/>
        <charset val="134"/>
      </rPr>
      <t>Qualcomm Ventures</t>
    </r>
  </si>
  <si>
    <r>
      <rPr>
        <sz val="9"/>
        <color rgb="FF000000"/>
        <rFont val="Arial"/>
        <charset val="134"/>
      </rPr>
      <t>4.1</t>
    </r>
    <r>
      <rPr>
        <sz val="9"/>
        <color rgb="FF000000"/>
        <rFont val="楷体"/>
        <charset val="134"/>
      </rPr>
      <t>亿美元</t>
    </r>
  </si>
  <si>
    <r>
      <rPr>
        <sz val="9"/>
        <color rgb="FF000000"/>
        <rFont val="楷体"/>
        <charset val="134"/>
      </rPr>
      <t>五源资本</t>
    </r>
    <r>
      <rPr>
        <sz val="9"/>
        <color rgb="FF000000"/>
        <rFont val="Arial"/>
        <charset val="134"/>
      </rPr>
      <t>,</t>
    </r>
    <r>
      <rPr>
        <sz val="9"/>
        <color rgb="FF000000"/>
        <rFont val="楷体"/>
        <charset val="134"/>
      </rPr>
      <t>鼎晖投资</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盈峰资本</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赛领资本</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尚珹资本</t>
    </r>
    <r>
      <rPr>
        <sz val="9"/>
        <color rgb="FF000000"/>
        <rFont val="Arial"/>
        <charset val="134"/>
      </rPr>
      <t>,</t>
    </r>
    <r>
      <rPr>
        <sz val="9"/>
        <color rgb="FF000000"/>
        <rFont val="楷体"/>
        <charset val="134"/>
      </rPr>
      <t>东证资本</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光际资本</t>
    </r>
    <r>
      <rPr>
        <sz val="9"/>
        <color rgb="FF000000"/>
        <rFont val="Arial"/>
        <charset val="134"/>
      </rPr>
      <t>(IDG-</t>
    </r>
    <r>
      <rPr>
        <sz val="9"/>
        <color rgb="FF000000"/>
        <rFont val="楷体"/>
        <charset val="134"/>
      </rPr>
      <t>光大</t>
    </r>
    <r>
      <rPr>
        <sz val="9"/>
        <color rgb="FF000000"/>
        <rFont val="Arial"/>
        <charset val="134"/>
      </rPr>
      <t>),</t>
    </r>
    <r>
      <rPr>
        <sz val="9"/>
        <color rgb="FF000000"/>
        <rFont val="楷体"/>
        <charset val="134"/>
      </rPr>
      <t>中平资本</t>
    </r>
    <r>
      <rPr>
        <sz val="9"/>
        <color rgb="FF000000"/>
        <rFont val="Arial"/>
        <charset val="134"/>
      </rPr>
      <t>,</t>
    </r>
    <r>
      <rPr>
        <sz val="9"/>
        <color rgb="FF000000"/>
        <rFont val="楷体"/>
        <charset val="134"/>
      </rPr>
      <t>东方国际</t>
    </r>
    <r>
      <rPr>
        <sz val="9"/>
        <color rgb="FF000000"/>
        <rFont val="Arial"/>
        <charset val="134"/>
      </rPr>
      <t>,</t>
    </r>
    <r>
      <rPr>
        <sz val="9"/>
        <color rgb="FF000000"/>
        <rFont val="楷体"/>
        <charset val="134"/>
      </rPr>
      <t>华融国际</t>
    </r>
  </si>
  <si>
    <t>Star VC</t>
  </si>
  <si>
    <t>2020-07-04</t>
  </si>
  <si>
    <t>华谊兄弟</t>
  </si>
  <si>
    <t>华谊兄弟是目前国内唯一一家将影视娱乐、品牌授权与实景娱乐和互联网娱乐三大业务板块及产业投资实现有效整合的娱乐传媒企业，是业内产业链完整、娱乐资源丰富的公司。在公司统一平台的整体运作下，各业务板块协同发展。</t>
  </si>
  <si>
    <t>华谊兄弟传媒股份有限公司</t>
  </si>
  <si>
    <t>http://www.huayimedia.com/</t>
  </si>
  <si>
    <r>
      <rPr>
        <sz val="9"/>
        <color rgb="FF000000"/>
        <rFont val="楷体"/>
        <charset val="134"/>
      </rPr>
      <t>浙江</t>
    </r>
    <r>
      <rPr>
        <sz val="9"/>
        <color rgb="FF000000"/>
        <rFont val="Arial"/>
        <charset val="134"/>
      </rPr>
      <t>-</t>
    </r>
    <r>
      <rPr>
        <sz val="9"/>
        <color rgb="FF000000"/>
        <rFont val="楷体"/>
        <charset val="134"/>
      </rPr>
      <t>金华</t>
    </r>
  </si>
  <si>
    <r>
      <rPr>
        <sz val="9"/>
        <color rgb="FF000000"/>
        <rFont val="Arial"/>
        <charset val="134"/>
      </rPr>
      <t>22.9</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</si>
  <si>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</si>
  <si>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93.81</t>
    </r>
    <r>
      <rPr>
        <sz val="9"/>
        <color rgb="FF000000"/>
        <rFont val="楷体"/>
        <charset val="134"/>
      </rPr>
      <t>亿</t>
    </r>
  </si>
  <si>
    <r>
      <rPr>
        <sz val="9"/>
        <color rgb="FF000000"/>
        <rFont val="Arial"/>
        <charset val="134"/>
      </rPr>
      <t>114.5</t>
    </r>
    <r>
      <rPr>
        <sz val="9"/>
        <color rgb="FF000000"/>
        <rFont val="楷体"/>
        <charset val="134"/>
      </rPr>
      <t>亿元</t>
    </r>
  </si>
  <si>
    <r>
      <rPr>
        <sz val="9"/>
        <color rgb="FF000000"/>
        <rFont val="楷体"/>
        <charset val="134"/>
      </rPr>
      <t>浙江省东阳市横店影视产业实验区</t>
    </r>
    <r>
      <rPr>
        <sz val="9"/>
        <color rgb="FF000000"/>
        <rFont val="Arial"/>
        <charset val="134"/>
      </rPr>
      <t>C1-001</t>
    </r>
  </si>
  <si>
    <t>010-6580-5888</t>
  </si>
  <si>
    <t>may.wang@huayimedia.com</t>
  </si>
  <si>
    <r>
      <rPr>
        <sz val="9"/>
        <color rgb="FF000000"/>
        <rFont val="楷体"/>
        <charset val="134"/>
      </rPr>
      <t>腾讯投资</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豫园股份</t>
    </r>
    <r>
      <rPr>
        <sz val="9"/>
        <color rgb="FF000000"/>
        <rFont val="Arial"/>
        <charset val="134"/>
      </rPr>
      <t>,</t>
    </r>
    <r>
      <rPr>
        <sz val="9"/>
        <color rgb="FF000000"/>
        <rFont val="楷体"/>
        <charset val="134"/>
      </rPr>
      <t>象山大成天下</t>
    </r>
    <r>
      <rPr>
        <sz val="9"/>
        <color rgb="FF000000"/>
        <rFont val="Arial"/>
        <charset val="134"/>
      </rPr>
      <t>,</t>
    </r>
    <r>
      <rPr>
        <sz val="9"/>
        <color rgb="FF000000"/>
        <rFont val="楷体"/>
        <charset val="134"/>
      </rPr>
      <t>山东经达</t>
    </r>
    <r>
      <rPr>
        <sz val="9"/>
        <color rgb="FF000000"/>
        <rFont val="Arial"/>
        <charset val="134"/>
      </rPr>
      <t>,</t>
    </r>
    <r>
      <rPr>
        <sz val="9"/>
        <color rgb="FF000000"/>
        <rFont val="楷体"/>
        <charset val="134"/>
      </rPr>
      <t>三立经控</t>
    </r>
    <r>
      <rPr>
        <sz val="9"/>
        <color rgb="FF000000"/>
        <rFont val="Arial"/>
        <charset val="134"/>
      </rPr>
      <t>,</t>
    </r>
    <r>
      <rPr>
        <sz val="9"/>
        <color rgb="FF000000"/>
        <rFont val="楷体"/>
        <charset val="134"/>
      </rPr>
      <t>名赫集团</t>
    </r>
    <r>
      <rPr>
        <sz val="9"/>
        <color rgb="FF000000"/>
        <rFont val="Arial"/>
        <charset val="134"/>
      </rPr>
      <t>,</t>
    </r>
    <r>
      <rPr>
        <sz val="9"/>
        <color rgb="FF000000"/>
        <rFont val="楷体"/>
        <charset val="134"/>
      </rPr>
      <t>信泰人寿</t>
    </r>
  </si>
  <si>
    <r>
      <rPr>
        <sz val="9"/>
        <color rgb="FF000000"/>
        <rFont val="Arial"/>
        <charset val="134"/>
      </rPr>
      <t>36</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</si>
  <si>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平安创新投资基金</t>
    </r>
    <r>
      <rPr>
        <sz val="9"/>
        <color rgb="FF000000"/>
        <rFont val="Arial"/>
        <charset val="134"/>
      </rPr>
      <t>,</t>
    </r>
    <r>
      <rPr>
        <sz val="9"/>
        <color rgb="FF000000"/>
        <rFont val="楷体"/>
        <charset val="134"/>
      </rPr>
      <t>金石投资</t>
    </r>
  </si>
  <si>
    <t>云锋基金</t>
  </si>
  <si>
    <t>2021-07-14</t>
  </si>
  <si>
    <t>Zomato</t>
  </si>
  <si>
    <r>
      <rPr>
        <sz val="9"/>
        <color rgb="FF000000"/>
        <rFont val="Arial"/>
        <charset val="134"/>
      </rPr>
      <t>Zomato</t>
    </r>
    <r>
      <rPr>
        <sz val="9"/>
        <color rgb="FF000000"/>
        <rFont val="楷体"/>
        <charset val="134"/>
      </rPr>
      <t>是一家印度美食搜索服务平台，主要服务于印度及阿联酋，为</t>
    </r>
    <r>
      <rPr>
        <sz val="9"/>
        <color rgb="FF000000"/>
        <rFont val="Arial"/>
        <charset val="134"/>
      </rPr>
      <t>23</t>
    </r>
    <r>
      <rPr>
        <sz val="9"/>
        <color rgb="FF000000"/>
        <rFont val="楷体"/>
        <charset val="134"/>
      </rPr>
      <t>个国家的</t>
    </r>
    <r>
      <rPr>
        <sz val="9"/>
        <color rgb="FF000000"/>
        <rFont val="Arial"/>
        <charset val="134"/>
      </rPr>
      <t>140</t>
    </r>
    <r>
      <rPr>
        <sz val="9"/>
        <color rgb="FF000000"/>
        <rFont val="楷体"/>
        <charset val="134"/>
      </rPr>
      <t>多万家餐馆提供深入的信息，致力于提供个性化美食及餐厅推荐，用户可按地点、美食、名称搜索餐馆，服务涉及订购预约、浏览菜单、地图指引、评论收藏等。</t>
    </r>
  </si>
  <si>
    <t>https://www.zomato.com/</t>
  </si>
  <si>
    <t>2008-07</t>
  </si>
  <si>
    <r>
      <rPr>
        <sz val="9"/>
        <color rgb="FF000000"/>
        <rFont val="Arial"/>
        <charset val="134"/>
      </rPr>
      <t>5.6</t>
    </r>
    <r>
      <rPr>
        <sz val="9"/>
        <color rgb="FF000000"/>
        <rFont val="楷体"/>
        <charset val="134"/>
      </rPr>
      <t>亿美元</t>
    </r>
  </si>
  <si>
    <r>
      <rPr>
        <sz val="9"/>
        <color rgb="FF000000"/>
        <rFont val="Arial"/>
        <charset val="134"/>
      </rPr>
      <t>T. Rowe Price,Tiger Global</t>
    </r>
    <r>
      <rPr>
        <sz val="9"/>
        <color rgb="FF000000"/>
        <rFont val="楷体"/>
        <charset val="134"/>
      </rPr>
      <t>老虎海外</t>
    </r>
    <r>
      <rPr>
        <sz val="9"/>
        <color rgb="FF000000"/>
        <rFont val="Arial"/>
        <charset val="134"/>
      </rPr>
      <t>,Baillie Gifford,</t>
    </r>
    <r>
      <rPr>
        <sz val="9"/>
        <color rgb="FF000000"/>
        <rFont val="楷体"/>
        <charset val="134"/>
      </rPr>
      <t>韩国未来资产</t>
    </r>
    <r>
      <rPr>
        <sz val="9"/>
        <color rgb="FF000000"/>
        <rFont val="Arial"/>
        <charset val="134"/>
      </rPr>
      <t>Mirae Asset Venture Investment,Fidelity Management and Research Company,Steadview Capital,New World,Government of Singapore,Canada Pension Plan</t>
    </r>
  </si>
  <si>
    <r>
      <rPr>
        <sz val="9"/>
        <color rgb="FF000000"/>
        <rFont val="Arial"/>
        <charset val="134"/>
      </rPr>
      <t>201.89</t>
    </r>
    <r>
      <rPr>
        <sz val="9"/>
        <color rgb="FF000000"/>
        <rFont val="楷体"/>
        <charset val="134"/>
      </rPr>
      <t>亿</t>
    </r>
  </si>
  <si>
    <r>
      <rPr>
        <sz val="9"/>
        <color rgb="FF000000"/>
        <rFont val="Arial"/>
        <charset val="134"/>
      </rPr>
      <t>390</t>
    </r>
    <r>
      <rPr>
        <sz val="9"/>
        <color rgb="FF000000"/>
        <rFont val="楷体"/>
        <charset val="134"/>
      </rPr>
      <t>亿元</t>
    </r>
  </si>
  <si>
    <t>Akriti Chopra:Co-Founder,Akshant Goyal:Chief Financial Officer,Anjalli Ravi Kumar:Chief Sustainability Officer,Aviral Roy:AVP, Global Growth,Daminee Sawhney:Vice-President of Operations,Damini Bhalla:General Counsel,Deepinder Goyal:Founder and CEO,Gunjan Patidar:CTO,Manjunath Ramakrishnan:Food@Work,Mohit Gupta:Co-founder,Mohit Sardana:Building Zomato,Nitin Savara:Deputy Chief Financial Officer,Rakesh Ranjan:Business Head,Riddhi Jain:Growth &amp; Product Strategy,Shakti Swami:Zonal Head Enterprise Sales,Steven Murray:Country Manager South Africa</t>
  </si>
  <si>
    <r>
      <rPr>
        <sz val="9"/>
        <color rgb="FF000000"/>
        <rFont val="Arial"/>
        <charset val="134"/>
      </rPr>
      <t>Tiger Global</t>
    </r>
    <r>
      <rPr>
        <sz val="9"/>
        <color rgb="FF000000"/>
        <rFont val="楷体"/>
        <charset val="134"/>
      </rPr>
      <t>老虎海外</t>
    </r>
    <r>
      <rPr>
        <sz val="9"/>
        <color rgb="FF000000"/>
        <rFont val="Arial"/>
        <charset val="134"/>
      </rPr>
      <t>,Dragoneer Investment Group,Fidelity Management and Research Company,Kora Management,Bow Wave Capital</t>
    </r>
  </si>
  <si>
    <r>
      <rPr>
        <sz val="9"/>
        <color rgb="FF000000"/>
        <rFont val="Arial"/>
        <charset val="134"/>
      </rPr>
      <t>1.47</t>
    </r>
    <r>
      <rPr>
        <sz val="9"/>
        <color rgb="FF000000"/>
        <rFont val="楷体"/>
        <charset val="134"/>
      </rPr>
      <t>亿美元</t>
    </r>
  </si>
  <si>
    <r>
      <rPr>
        <sz val="9"/>
        <color rgb="FF000000"/>
        <rFont val="Arial"/>
        <charset val="134"/>
      </rPr>
      <t>LG,</t>
    </r>
    <r>
      <rPr>
        <sz val="9"/>
        <color rgb="FF000000"/>
        <rFont val="楷体"/>
        <charset val="134"/>
      </rPr>
      <t>韩国未来资产</t>
    </r>
    <r>
      <rPr>
        <sz val="9"/>
        <color rgb="FF000000"/>
        <rFont val="Arial"/>
        <charset val="134"/>
      </rPr>
      <t>Mirae Asset Venture Investment,Steadview Capital,Pacific Horizon,Lugard Road Capital,ASP India LP</t>
    </r>
  </si>
  <si>
    <r>
      <rPr>
        <sz val="9"/>
        <color rgb="FF000000"/>
        <rFont val="楷体"/>
        <charset val="134"/>
      </rPr>
      <t>淡马锡</t>
    </r>
    <r>
      <rPr>
        <sz val="9"/>
        <color rgb="FF000000"/>
        <rFont val="Arial"/>
        <charset val="134"/>
      </rPr>
      <t>Temasek,Tiger Global</t>
    </r>
    <r>
      <rPr>
        <sz val="9"/>
        <color rgb="FF000000"/>
        <rFont val="楷体"/>
        <charset val="134"/>
      </rPr>
      <t>老虎海外</t>
    </r>
    <r>
      <rPr>
        <sz val="9"/>
        <color rgb="FF000000"/>
        <rFont val="Arial"/>
        <charset val="134"/>
      </rPr>
      <t>,Baillie Gifford,</t>
    </r>
    <r>
      <rPr>
        <sz val="9"/>
        <color rgb="FF000000"/>
        <rFont val="楷体"/>
        <charset val="134"/>
      </rPr>
      <t>蚂蚁集团</t>
    </r>
  </si>
  <si>
    <r>
      <rPr>
        <sz val="9"/>
        <color rgb="FF000000"/>
        <rFont val="Arial"/>
        <charset val="134"/>
      </rPr>
      <t>1.04</t>
    </r>
    <r>
      <rPr>
        <sz val="9"/>
        <color rgb="FF000000"/>
        <rFont val="楷体"/>
        <charset val="134"/>
      </rPr>
      <t>亿美元</t>
    </r>
  </si>
  <si>
    <r>
      <rPr>
        <sz val="9"/>
        <color rgb="FF000000"/>
        <rFont val="Arial"/>
        <charset val="134"/>
      </rPr>
      <t>Tiger Global</t>
    </r>
    <r>
      <rPr>
        <sz val="9"/>
        <color rgb="FF000000"/>
        <rFont val="楷体"/>
        <charset val="134"/>
      </rPr>
      <t>老虎海外</t>
    </r>
    <r>
      <rPr>
        <sz val="9"/>
        <color rgb="FF000000"/>
        <rFont val="Arial"/>
        <charset val="134"/>
      </rPr>
      <t>,</t>
    </r>
    <r>
      <rPr>
        <sz val="9"/>
        <color rgb="FF000000"/>
        <rFont val="楷体"/>
        <charset val="134"/>
      </rPr>
      <t>蚂蚁集团</t>
    </r>
  </si>
  <si>
    <t>Baillie Gifford</t>
  </si>
  <si>
    <t>蚂蚁集团</t>
  </si>
  <si>
    <r>
      <rPr>
        <sz val="9"/>
        <color rgb="FF000000"/>
        <rFont val="楷体"/>
        <charset val="134"/>
      </rPr>
      <t>淡马锡</t>
    </r>
    <r>
      <rPr>
        <sz val="9"/>
        <color rgb="FF000000"/>
        <rFont val="Arial"/>
        <charset val="134"/>
      </rPr>
      <t>Temasek,</t>
    </r>
    <r>
      <rPr>
        <sz val="9"/>
        <color rgb="FF000000"/>
        <rFont val="楷体"/>
        <charset val="134"/>
      </rPr>
      <t>蚂蚁集团</t>
    </r>
  </si>
  <si>
    <r>
      <rPr>
        <sz val="9"/>
        <color rgb="FF000000"/>
        <rFont val="Arial"/>
        <charset val="134"/>
      </rPr>
      <t>6225</t>
    </r>
    <r>
      <rPr>
        <sz val="9"/>
        <color rgb="FF000000"/>
        <rFont val="楷体"/>
        <charset val="134"/>
      </rPr>
      <t>万美元</t>
    </r>
  </si>
  <si>
    <t>Delivery Hero</t>
  </si>
  <si>
    <t>Glade Brook Capital Partners</t>
  </si>
  <si>
    <r>
      <rPr>
        <sz val="9"/>
        <color rgb="FF000000"/>
        <rFont val="Arial"/>
        <charset val="134"/>
      </rPr>
      <t>2.1</t>
    </r>
    <r>
      <rPr>
        <sz val="9"/>
        <color rgb="FF000000"/>
        <rFont val="楷体"/>
        <charset val="134"/>
      </rPr>
      <t>亿美元</t>
    </r>
  </si>
  <si>
    <r>
      <rPr>
        <sz val="9"/>
        <color rgb="FF000000"/>
        <rFont val="Arial"/>
        <charset val="134"/>
      </rPr>
      <t>H</t>
    </r>
    <r>
      <rPr>
        <sz val="9"/>
        <color rgb="FF000000"/>
        <rFont val="楷体"/>
        <charset val="134"/>
      </rPr>
      <t>轮</t>
    </r>
  </si>
  <si>
    <t>软银愿景基金</t>
  </si>
  <si>
    <r>
      <rPr>
        <sz val="9"/>
        <color rgb="FF000000"/>
        <rFont val="Arial"/>
        <charset val="134"/>
      </rPr>
      <t>G</t>
    </r>
    <r>
      <rPr>
        <sz val="9"/>
        <color rgb="FF000000"/>
        <rFont val="楷体"/>
        <charset val="134"/>
      </rPr>
      <t>轮</t>
    </r>
  </si>
  <si>
    <r>
      <rPr>
        <sz val="9"/>
        <color rgb="FF000000"/>
        <rFont val="楷体"/>
        <charset val="134"/>
      </rPr>
      <t>淡马锡</t>
    </r>
    <r>
      <rPr>
        <sz val="9"/>
        <color rgb="FF000000"/>
        <rFont val="Arial"/>
        <charset val="134"/>
      </rPr>
      <t>Temasek,Sequoia Capital</t>
    </r>
    <r>
      <rPr>
        <sz val="9"/>
        <color rgb="FF000000"/>
        <rFont val="楷体"/>
        <charset val="134"/>
      </rPr>
      <t>红杉</t>
    </r>
  </si>
  <si>
    <r>
      <rPr>
        <sz val="9"/>
        <color rgb="FF000000"/>
        <rFont val="Arial"/>
        <charset val="134"/>
      </rPr>
      <t>E+</t>
    </r>
    <r>
      <rPr>
        <sz val="9"/>
        <color rgb="FF000000"/>
        <rFont val="楷体"/>
        <charset val="134"/>
      </rPr>
      <t>轮</t>
    </r>
  </si>
  <si>
    <r>
      <rPr>
        <sz val="9"/>
        <color rgb="FF000000"/>
        <rFont val="楷体"/>
        <charset val="134"/>
      </rPr>
      <t>淡马锡</t>
    </r>
    <r>
      <rPr>
        <sz val="9"/>
        <color rgb="FF000000"/>
        <rFont val="Arial"/>
        <charset val="134"/>
      </rPr>
      <t>Temasek,VY Capital</t>
    </r>
  </si>
  <si>
    <r>
      <rPr>
        <sz val="9"/>
        <color rgb="FF000000"/>
        <rFont val="Arial"/>
        <charset val="134"/>
      </rPr>
      <t>Sequoia Capital</t>
    </r>
    <r>
      <rPr>
        <sz val="9"/>
        <color rgb="FF000000"/>
        <rFont val="楷体"/>
        <charset val="134"/>
      </rPr>
      <t>红杉</t>
    </r>
    <r>
      <rPr>
        <sz val="9"/>
        <color rgb="FF000000"/>
        <rFont val="Arial"/>
        <charset val="134"/>
      </rPr>
      <t>,VY Capital</t>
    </r>
  </si>
  <si>
    <r>
      <rPr>
        <sz val="9"/>
        <color rgb="FF000000"/>
        <rFont val="Arial"/>
        <charset val="134"/>
      </rPr>
      <t>3700</t>
    </r>
    <r>
      <rPr>
        <sz val="9"/>
        <color rgb="FF000000"/>
        <rFont val="楷体"/>
        <charset val="134"/>
      </rPr>
      <t>万美元</t>
    </r>
  </si>
  <si>
    <r>
      <rPr>
        <sz val="9"/>
        <color rgb="FF000000"/>
        <rFont val="Arial"/>
        <charset val="134"/>
      </rPr>
      <t>Sequoia Capital</t>
    </r>
    <r>
      <rPr>
        <sz val="9"/>
        <color rgb="FF000000"/>
        <rFont val="楷体"/>
        <charset val="134"/>
      </rPr>
      <t>红杉</t>
    </r>
  </si>
  <si>
    <t>Info Edge</t>
  </si>
  <si>
    <r>
      <rPr>
        <sz val="9"/>
        <color rgb="FF000000"/>
        <rFont val="Arial"/>
        <charset val="134"/>
      </rPr>
      <t>230</t>
    </r>
    <r>
      <rPr>
        <sz val="9"/>
        <color rgb="FF000000"/>
        <rFont val="楷体"/>
        <charset val="134"/>
      </rPr>
      <t>万美元</t>
    </r>
  </si>
  <si>
    <t>2023-07-19</t>
  </si>
  <si>
    <t>Lazada</t>
  </si>
  <si>
    <r>
      <rPr>
        <sz val="9"/>
        <color rgb="FF000000"/>
        <rFont val="Arial"/>
        <charset val="134"/>
      </rPr>
      <t>Lazada</t>
    </r>
    <r>
      <rPr>
        <sz val="9"/>
        <color rgb="FF000000"/>
        <rFont val="楷体"/>
        <charset val="134"/>
      </rPr>
      <t>，东南亚地区最大的在线购物网站之一。获得德国创业孵化器</t>
    </r>
    <r>
      <rPr>
        <sz val="9"/>
        <color rgb="FF000000"/>
        <rFont val="Arial"/>
        <charset val="134"/>
      </rPr>
      <t>RocketInternet</t>
    </r>
    <r>
      <rPr>
        <sz val="9"/>
        <color rgb="FF000000"/>
        <rFont val="楷体"/>
        <charset val="134"/>
      </rPr>
      <t>桑威尔兄弟</t>
    </r>
    <r>
      <rPr>
        <sz val="9"/>
        <color rgb="FF000000"/>
        <rFont val="Arial"/>
        <charset val="134"/>
      </rPr>
      <t>(SamwerBrothers)</t>
    </r>
    <r>
      <rPr>
        <sz val="9"/>
        <color rgb="FF000000"/>
        <rFont val="楷体"/>
        <charset val="134"/>
      </rPr>
      <t>支持，</t>
    </r>
    <r>
      <rPr>
        <sz val="9"/>
        <color rgb="FF000000"/>
        <rFont val="Arial"/>
        <charset val="134"/>
      </rPr>
      <t>Lazada</t>
    </r>
    <r>
      <rPr>
        <sz val="9"/>
        <color rgb="FF000000"/>
        <rFont val="楷体"/>
        <charset val="134"/>
      </rPr>
      <t>的目标主要是印尼、马来西亚、菲律宾以及泰国用户。</t>
    </r>
  </si>
  <si>
    <t>http://www.lazada.com/</t>
  </si>
  <si>
    <r>
      <rPr>
        <sz val="9"/>
        <color rgb="FF000000"/>
        <rFont val="Arial"/>
        <charset val="134"/>
      </rPr>
      <t>8.45</t>
    </r>
    <r>
      <rPr>
        <sz val="9"/>
        <color rgb="FF000000"/>
        <rFont val="楷体"/>
        <charset val="134"/>
      </rPr>
      <t>亿人民币</t>
    </r>
  </si>
  <si>
    <r>
      <rPr>
        <sz val="9"/>
        <color rgb="FF000000"/>
        <rFont val="Arial"/>
        <charset val="134"/>
      </rPr>
      <t>306.35</t>
    </r>
    <r>
      <rPr>
        <sz val="9"/>
        <color rgb="FF000000"/>
        <rFont val="楷体"/>
        <charset val="134"/>
      </rPr>
      <t>亿</t>
    </r>
  </si>
  <si>
    <r>
      <rPr>
        <sz val="9"/>
        <color rgb="FF000000"/>
        <rFont val="Arial"/>
        <charset val="134"/>
      </rPr>
      <t>42.25</t>
    </r>
    <r>
      <rPr>
        <sz val="9"/>
        <color rgb="FF000000"/>
        <rFont val="楷体"/>
        <charset val="134"/>
      </rPr>
      <t>亿元</t>
    </r>
  </si>
  <si>
    <r>
      <rPr>
        <sz val="9"/>
        <color rgb="FF000000"/>
        <rFont val="楷体"/>
        <charset val="134"/>
      </rPr>
      <t>郭东白</t>
    </r>
    <r>
      <rPr>
        <sz val="9"/>
        <color rgb="FF000000"/>
        <rFont val="Arial"/>
        <charset val="134"/>
      </rPr>
      <t>:CTO,</t>
    </r>
    <r>
      <rPr>
        <sz val="9"/>
        <color rgb="FF000000"/>
        <rFont val="楷体"/>
        <charset val="134"/>
      </rPr>
      <t>董铮</t>
    </r>
    <r>
      <rPr>
        <sz val="9"/>
        <color rgb="FF000000"/>
        <rFont val="Arial"/>
        <charset val="134"/>
      </rPr>
      <t>:CEO,Mike Roosevelt:Vice President Logistics,Rachel Chng:Regional Head, Voice of Customer,Shweta Gupta:Senior Manager</t>
    </r>
  </si>
  <si>
    <r>
      <rPr>
        <sz val="9"/>
        <color rgb="FF000000"/>
        <rFont val="Arial"/>
        <charset val="134"/>
      </rPr>
      <t>3.43</t>
    </r>
    <r>
      <rPr>
        <sz val="9"/>
        <color rgb="FF000000"/>
        <rFont val="楷体"/>
        <charset val="134"/>
      </rPr>
      <t>亿美元</t>
    </r>
  </si>
  <si>
    <r>
      <rPr>
        <sz val="9"/>
        <color rgb="FF000000"/>
        <rFont val="Arial"/>
        <charset val="134"/>
      </rPr>
      <t>2</t>
    </r>
    <r>
      <rPr>
        <sz val="9"/>
        <color rgb="FF000000"/>
        <rFont val="楷体"/>
        <charset val="134"/>
      </rPr>
      <t>亿欧元</t>
    </r>
  </si>
  <si>
    <r>
      <rPr>
        <sz val="9"/>
        <color rgb="FF000000"/>
        <rFont val="楷体"/>
        <charset val="134"/>
      </rPr>
      <t>淡马锡</t>
    </r>
    <r>
      <rPr>
        <sz val="9"/>
        <color rgb="FF000000"/>
        <rFont val="Arial"/>
        <charset val="134"/>
      </rPr>
      <t>Temasek,Rocket Internet</t>
    </r>
  </si>
  <si>
    <t>2014-12-15</t>
  </si>
  <si>
    <t>Aiming</t>
  </si>
  <si>
    <r>
      <rPr>
        <sz val="9"/>
        <color rgb="FF000000"/>
        <rFont val="Arial"/>
        <charset val="134"/>
      </rPr>
      <t xml:space="preserve">Aiming  </t>
    </r>
    <r>
      <rPr>
        <sz val="9"/>
        <color rgb="FF000000"/>
        <rFont val="楷体"/>
        <charset val="134"/>
      </rPr>
      <t>成立于</t>
    </r>
    <r>
      <rPr>
        <sz val="9"/>
        <color rgb="FF000000"/>
        <rFont val="Arial"/>
        <charset val="134"/>
      </rPr>
      <t>2011</t>
    </r>
    <r>
      <rPr>
        <sz val="9"/>
        <color rgb="FF000000"/>
        <rFont val="楷体"/>
        <charset val="134"/>
      </rPr>
      <t>年</t>
    </r>
    <r>
      <rPr>
        <sz val="9"/>
        <color rgb="FF000000"/>
        <rFont val="Arial"/>
        <charset val="134"/>
      </rPr>
      <t>5</t>
    </r>
    <r>
      <rPr>
        <sz val="9"/>
        <color rgb="FF000000"/>
        <rFont val="楷体"/>
        <charset val="134"/>
      </rPr>
      <t>月，是日本一家手游开发公司，已经出版的产品包括：《侍道</t>
    </r>
    <r>
      <rPr>
        <sz val="9"/>
        <color rgb="FF000000"/>
        <rFont val="Arial"/>
        <charset val="134"/>
      </rPr>
      <t>(Blade Chronicle)</t>
    </r>
    <r>
      <rPr>
        <sz val="9"/>
        <color rgb="FF000000"/>
        <rFont val="楷体"/>
        <charset val="134"/>
      </rPr>
      <t>》和</t>
    </r>
    <r>
      <rPr>
        <sz val="9"/>
        <color rgb="FF000000"/>
        <rFont val="Arial"/>
        <charset val="134"/>
      </rPr>
      <t>PRG</t>
    </r>
    <r>
      <rPr>
        <sz val="9"/>
        <color rgb="FF000000"/>
        <rFont val="楷体"/>
        <charset val="134"/>
      </rPr>
      <t>卡牌游戏《圣骑之王</t>
    </r>
    <r>
      <rPr>
        <sz val="9"/>
        <color rgb="FF000000"/>
        <rFont val="Arial"/>
        <charset val="134"/>
      </rPr>
      <t>(Lord of Knights)</t>
    </r>
    <r>
      <rPr>
        <sz val="9"/>
        <color rgb="FF000000"/>
        <rFont val="楷体"/>
        <charset val="134"/>
      </rPr>
      <t>》等。</t>
    </r>
  </si>
  <si>
    <t>http://aiming-inc.com/en</t>
  </si>
  <si>
    <r>
      <rPr>
        <sz val="9"/>
        <color rgb="FF000000"/>
        <rFont val="楷体"/>
        <charset val="134"/>
      </rPr>
      <t>亚洲</t>
    </r>
    <r>
      <rPr>
        <sz val="9"/>
        <color rgb="FF000000"/>
        <rFont val="Arial"/>
        <charset val="134"/>
      </rPr>
      <t>-</t>
    </r>
    <r>
      <rPr>
        <sz val="9"/>
        <color rgb="FF000000"/>
        <rFont val="楷体"/>
        <charset val="134"/>
      </rPr>
      <t>日本</t>
    </r>
  </si>
  <si>
    <r>
      <rPr>
        <sz val="9"/>
        <color rgb="FF000000"/>
        <rFont val="Arial"/>
        <charset val="134"/>
      </rPr>
      <t>3.25</t>
    </r>
    <r>
      <rPr>
        <sz val="9"/>
        <color rgb="FF000000"/>
        <rFont val="楷体"/>
        <charset val="134"/>
      </rPr>
      <t>亿</t>
    </r>
  </si>
  <si>
    <t>Hideki Ishizaki:Auditor,Hiroyuki Watase:CFO,Kazuhiko Sugaya:External Audit &amp; Supervisory,Kazuyuki Hagiwara:COO,Masataka Uesugi:Auditor,Shin Joon Oh:Outside Director,Tadashi Shiiba:Founder, CEO,Tomoyuki Takechi:Outside Director,Toshihito Kobayashi:CenO,Watase Hiroyuki:Director</t>
  </si>
  <si>
    <t>2016-04-26</t>
  </si>
  <si>
    <t>Sportradar雷达体育</t>
  </si>
  <si>
    <r>
      <rPr>
        <sz val="9"/>
        <color rgb="FF000000"/>
        <rFont val="Arial"/>
        <charset val="134"/>
      </rPr>
      <t>Sportradar</t>
    </r>
    <r>
      <rPr>
        <sz val="9"/>
        <color rgb="FF000000"/>
        <rFont val="楷体"/>
        <charset val="134"/>
      </rPr>
      <t>雷达体育</t>
    </r>
  </si>
  <si>
    <r>
      <rPr>
        <sz val="9"/>
        <color rgb="FF000000"/>
        <rFont val="Arial"/>
        <charset val="134"/>
      </rPr>
      <t>Sportradar(</t>
    </r>
    <r>
      <rPr>
        <sz val="9"/>
        <color rgb="FF000000"/>
        <rFont val="楷体"/>
        <charset val="134"/>
      </rPr>
      <t>雷达体育</t>
    </r>
    <r>
      <rPr>
        <sz val="9"/>
        <color rgb="FF000000"/>
        <rFont val="Arial"/>
        <charset val="134"/>
      </rPr>
      <t>)</t>
    </r>
    <r>
      <rPr>
        <sz val="9"/>
        <color rgb="FF000000"/>
        <rFont val="楷体"/>
        <charset val="134"/>
      </rPr>
      <t>是一家体育大数据、体育投注数据供应商，以</t>
    </r>
    <r>
      <rPr>
        <sz val="9"/>
        <color rgb="FF000000"/>
        <rFont val="Arial"/>
        <charset val="134"/>
      </rPr>
      <t>Sportradar XML</t>
    </r>
    <r>
      <rPr>
        <sz val="9"/>
        <color rgb="FF000000"/>
        <rFont val="楷体"/>
        <charset val="134"/>
      </rPr>
      <t>原数据为基准，开发出嵌套版数据供各大彩票公司使用。北京舒福乐科技有限公司旗下产品。</t>
    </r>
  </si>
  <si>
    <t>北京舒福乐科技有限公司</t>
  </si>
  <si>
    <t>http://www.leidata.com/</t>
  </si>
  <si>
    <t>其他体育服务</t>
  </si>
  <si>
    <r>
      <rPr>
        <sz val="9"/>
        <color rgb="FF000000"/>
        <rFont val="Arial"/>
        <charset val="134"/>
      </rPr>
      <t>150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</si>
  <si>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恒励资本</t>
    </r>
    <r>
      <rPr>
        <sz val="9"/>
        <color rgb="FF000000"/>
        <rFont val="Arial"/>
        <charset val="134"/>
      </rPr>
      <t>,</t>
    </r>
    <r>
      <rPr>
        <sz val="9"/>
        <color rgb="FF000000"/>
        <rFont val="楷体"/>
        <charset val="134"/>
      </rPr>
      <t>恒励实业</t>
    </r>
  </si>
  <si>
    <r>
      <rPr>
        <sz val="9"/>
        <color rgb="FF000000"/>
        <rFont val="Arial"/>
        <charset val="134"/>
      </rPr>
      <t>975</t>
    </r>
    <r>
      <rPr>
        <sz val="9"/>
        <color rgb="FF000000"/>
        <rFont val="楷体"/>
        <charset val="134"/>
      </rPr>
      <t>万</t>
    </r>
  </si>
  <si>
    <r>
      <rPr>
        <sz val="9"/>
        <color rgb="FF000000"/>
        <rFont val="Arial"/>
        <charset val="134"/>
      </rPr>
      <t>4875</t>
    </r>
    <r>
      <rPr>
        <sz val="9"/>
        <color rgb="FF000000"/>
        <rFont val="楷体"/>
        <charset val="134"/>
      </rPr>
      <t>万元</t>
    </r>
  </si>
  <si>
    <r>
      <rPr>
        <sz val="9"/>
        <color rgb="FF000000"/>
        <rFont val="楷体"/>
        <charset val="134"/>
      </rPr>
      <t>陈中化</t>
    </r>
    <r>
      <rPr>
        <sz val="9"/>
        <color rgb="FF000000"/>
        <rFont val="Arial"/>
        <charset val="134"/>
      </rPr>
      <t>:CEO</t>
    </r>
  </si>
  <si>
    <r>
      <rPr>
        <sz val="9"/>
        <color rgb="FF000000"/>
        <rFont val="楷体"/>
        <charset val="134"/>
      </rPr>
      <t>北京市朝阳区朝外</t>
    </r>
    <r>
      <rPr>
        <sz val="9"/>
        <color rgb="FF000000"/>
        <rFont val="Arial"/>
        <charset val="134"/>
      </rPr>
      <t>SOHO B</t>
    </r>
    <r>
      <rPr>
        <sz val="9"/>
        <color rgb="FF000000"/>
        <rFont val="楷体"/>
        <charset val="134"/>
      </rPr>
      <t>座</t>
    </r>
    <r>
      <rPr>
        <sz val="9"/>
        <color rgb="FF000000"/>
        <rFont val="Arial"/>
        <charset val="134"/>
      </rPr>
      <t>05026</t>
    </r>
    <r>
      <rPr>
        <sz val="9"/>
        <color rgb="FF000000"/>
        <rFont val="楷体"/>
        <charset val="134"/>
      </rPr>
      <t>室</t>
    </r>
  </si>
  <si>
    <t>010-59003703</t>
  </si>
  <si>
    <t>sales@leida310.com</t>
  </si>
  <si>
    <t>2018-08-08</t>
  </si>
  <si>
    <t>Snapchat</t>
  </si>
  <si>
    <r>
      <rPr>
        <sz val="9"/>
        <color rgb="FF000000"/>
        <rFont val="Arial"/>
        <charset val="134"/>
      </rPr>
      <t>Snapchat</t>
    </r>
    <r>
      <rPr>
        <sz val="9"/>
        <color rgb="FF000000"/>
        <rFont val="楷体"/>
        <charset val="134"/>
      </rPr>
      <t>是一款</t>
    </r>
    <r>
      <rPr>
        <sz val="9"/>
        <color rgb="FF000000"/>
        <rFont val="Arial"/>
        <charset val="134"/>
      </rPr>
      <t>“</t>
    </r>
    <r>
      <rPr>
        <sz val="9"/>
        <color rgb="FF000000"/>
        <rFont val="楷体"/>
        <charset val="134"/>
      </rPr>
      <t>阅后即焚</t>
    </r>
    <r>
      <rPr>
        <sz val="9"/>
        <color rgb="FF000000"/>
        <rFont val="Arial"/>
        <charset val="134"/>
      </rPr>
      <t>”</t>
    </r>
    <r>
      <rPr>
        <sz val="9"/>
        <color rgb="FF000000"/>
        <rFont val="楷体"/>
        <charset val="134"/>
      </rPr>
      <t>照片分享应用。利用该应用程序，用户可以拍照、录制视频、添加文字和图画，并将他们发送到自己在该应用上的好友列表。</t>
    </r>
  </si>
  <si>
    <t>http://www.snapchat.com</t>
  </si>
  <si>
    <r>
      <rPr>
        <sz val="9"/>
        <color rgb="FF000000"/>
        <rFont val="楷体"/>
        <charset val="134"/>
      </rPr>
      <t>阿尔瓦利德</t>
    </r>
    <r>
      <rPr>
        <sz val="9"/>
        <color rgb="FF000000"/>
        <rFont val="Arial"/>
        <charset val="134"/>
      </rPr>
      <t>-</t>
    </r>
    <r>
      <rPr>
        <sz val="9"/>
        <color rgb="FF000000"/>
        <rFont val="楷体"/>
        <charset val="134"/>
      </rPr>
      <t>本</t>
    </r>
    <r>
      <rPr>
        <sz val="9"/>
        <color rgb="FF000000"/>
        <rFont val="Arial"/>
        <charset val="134"/>
      </rPr>
      <t>-</t>
    </r>
    <r>
      <rPr>
        <sz val="9"/>
        <color rgb="FF000000"/>
        <rFont val="楷体"/>
        <charset val="134"/>
      </rPr>
      <t>塔拉勒</t>
    </r>
  </si>
  <si>
    <r>
      <rPr>
        <sz val="9"/>
        <color rgb="FF000000"/>
        <rFont val="Arial"/>
        <charset val="134"/>
      </rPr>
      <t>463.2</t>
    </r>
    <r>
      <rPr>
        <sz val="9"/>
        <color rgb="FF000000"/>
        <rFont val="楷体"/>
        <charset val="134"/>
      </rPr>
      <t>亿</t>
    </r>
  </si>
  <si>
    <r>
      <rPr>
        <sz val="9"/>
        <color rgb="FF000000"/>
        <rFont val="Arial"/>
        <charset val="134"/>
      </rPr>
      <t>706.55</t>
    </r>
    <r>
      <rPr>
        <sz val="9"/>
        <color rgb="FF000000"/>
        <rFont val="楷体"/>
        <charset val="134"/>
      </rPr>
      <t>亿元</t>
    </r>
  </si>
  <si>
    <r>
      <rPr>
        <sz val="9"/>
        <color rgb="FF000000"/>
        <rFont val="Arial"/>
        <charset val="134"/>
      </rPr>
      <t>Evan Spiegel:</t>
    </r>
    <r>
      <rPr>
        <sz val="9"/>
        <color rgb="FF000000"/>
        <rFont val="楷体"/>
        <charset val="134"/>
      </rPr>
      <t>创始人</t>
    </r>
    <r>
      <rPr>
        <sz val="9"/>
        <color rgb="FF000000"/>
        <rFont val="Arial"/>
        <charset val="134"/>
      </rPr>
      <t xml:space="preserve"> ,Christie Heikkinen:Product Designer,Christine Barron:Product Manager,Ed Couchman:Regional General Manager, DACH, Netherlands, Nordics and UK,Goetz Trillhaas:Managing Director DACH,Jesse Missad:Agency Lead,Karanbir Lamba:Head of Creator and Talent Partnerships,Matthew Bryant:Security Engineer,Peter Naylor:VP of Sales,Sean Mills:Snapchat,Diana Shkolnikov:Senior Engineering Manager of Maps,Edgar Neto:Partner Engineering Manager,James M Murray:Chief Security Officer,Klaus Tritschler:Design,Prajwal R.M:Creator,Randy Meech:Director of Engineering - Maps,Simon Nielsen:Program Manager,Tim Killian:Software Engineer</t>
    </r>
  </si>
  <si>
    <r>
      <rPr>
        <sz val="9"/>
        <color rgb="FF000000"/>
        <rFont val="Arial"/>
        <charset val="134"/>
      </rPr>
      <t>34</t>
    </r>
    <r>
      <rPr>
        <sz val="9"/>
        <color rgb="FF000000"/>
        <rFont val="楷体"/>
        <charset val="134"/>
      </rPr>
      <t>亿美元</t>
    </r>
  </si>
  <si>
    <r>
      <rPr>
        <sz val="9"/>
        <color rgb="FF000000"/>
        <rFont val="Arial"/>
        <charset val="134"/>
      </rPr>
      <t>18.1</t>
    </r>
    <r>
      <rPr>
        <sz val="9"/>
        <color rgb="FF000000"/>
        <rFont val="楷体"/>
        <charset val="134"/>
      </rPr>
      <t>亿美元</t>
    </r>
  </si>
  <si>
    <r>
      <rPr>
        <sz val="9"/>
        <color rgb="FF000000"/>
        <rFont val="Arial"/>
        <charset val="134"/>
      </rPr>
      <t>5.38</t>
    </r>
    <r>
      <rPr>
        <sz val="9"/>
        <color rgb="FF000000"/>
        <rFont val="楷体"/>
        <charset val="134"/>
      </rPr>
      <t>亿美元</t>
    </r>
  </si>
  <si>
    <r>
      <rPr>
        <sz val="9"/>
        <color rgb="FF000000"/>
        <rFont val="Arial"/>
        <charset val="134"/>
      </rPr>
      <t>Kleiner Perkins Caufield &amp; Byers(KPCB</t>
    </r>
    <r>
      <rPr>
        <sz val="9"/>
        <color rgb="FF000000"/>
        <rFont val="楷体"/>
        <charset val="134"/>
      </rPr>
      <t>全球</t>
    </r>
    <r>
      <rPr>
        <sz val="9"/>
        <color rgb="FF000000"/>
        <rFont val="Arial"/>
        <charset val="134"/>
      </rPr>
      <t>),August Capital,GIC</t>
    </r>
    <r>
      <rPr>
        <sz val="9"/>
        <color rgb="FF000000"/>
        <rFont val="楷体"/>
        <charset val="134"/>
      </rPr>
      <t>新加坡政府投资公司</t>
    </r>
  </si>
  <si>
    <t>Coatue Management</t>
  </si>
  <si>
    <r>
      <rPr>
        <sz val="9"/>
        <color rgb="FF000000"/>
        <rFont val="楷体"/>
        <charset val="134"/>
      </rPr>
      <t>腾讯投资</t>
    </r>
    <r>
      <rPr>
        <sz val="9"/>
        <color rgb="FF000000"/>
        <rFont val="Arial"/>
        <charset val="134"/>
      </rPr>
      <t>,Institutional Venture Partners,Lightspeed Venture Partners</t>
    </r>
    <r>
      <rPr>
        <sz val="9"/>
        <color rgb="FF000000"/>
        <rFont val="楷体"/>
        <charset val="134"/>
      </rPr>
      <t>光速全球</t>
    </r>
    <r>
      <rPr>
        <sz val="9"/>
        <color rgb="FF000000"/>
        <rFont val="Arial"/>
        <charset val="134"/>
      </rPr>
      <t>,SV Angel,Benchmark Capital,General Catalyst Partners</t>
    </r>
  </si>
  <si>
    <r>
      <rPr>
        <sz val="9"/>
        <color rgb="FF000000"/>
        <rFont val="Arial"/>
        <charset val="134"/>
      </rPr>
      <t>1250</t>
    </r>
    <r>
      <rPr>
        <sz val="9"/>
        <color rgb="FF000000"/>
        <rFont val="楷体"/>
        <charset val="134"/>
      </rPr>
      <t>万美元</t>
    </r>
  </si>
  <si>
    <r>
      <rPr>
        <sz val="9"/>
        <color rgb="FF000000"/>
        <rFont val="Arial"/>
        <charset val="134"/>
      </rPr>
      <t>Lightspeed Venture Partners</t>
    </r>
    <r>
      <rPr>
        <sz val="9"/>
        <color rgb="FF000000"/>
        <rFont val="楷体"/>
        <charset val="134"/>
      </rPr>
      <t>光速全球</t>
    </r>
    <r>
      <rPr>
        <sz val="9"/>
        <color rgb="FF000000"/>
        <rFont val="Arial"/>
        <charset val="134"/>
      </rPr>
      <t>,SV Angel,Benchmark Capital</t>
    </r>
  </si>
  <si>
    <t>2016-09-27</t>
  </si>
  <si>
    <t>九五智驾网</t>
  </si>
  <si>
    <t>九五智驾网是一个汽车出行服务平台，为集团客户和个人用户提供汽车出行服务及基于驾驶行为和车况的大数据分析等服务和产品，隶属于北京九五智驾信息技术股份有限公司。</t>
  </si>
  <si>
    <t>北京九五智驾信息技术股份有限公司</t>
  </si>
  <si>
    <t>http://www.95190.com/</t>
  </si>
  <si>
    <r>
      <rPr>
        <sz val="9"/>
        <color rgb="FF000000"/>
        <rFont val="楷体"/>
        <charset val="134"/>
      </rPr>
      <t>北京</t>
    </r>
    <r>
      <rPr>
        <sz val="9"/>
        <color rgb="FF000000"/>
        <rFont val="Arial"/>
        <charset val="134"/>
      </rPr>
      <t>-</t>
    </r>
    <r>
      <rPr>
        <sz val="9"/>
        <color rgb="FF000000"/>
        <rFont val="楷体"/>
        <charset val="134"/>
      </rPr>
      <t>门头沟区</t>
    </r>
  </si>
  <si>
    <r>
      <rPr>
        <sz val="9"/>
        <color rgb="FF000000"/>
        <rFont val="Arial"/>
        <charset val="134"/>
      </rPr>
      <t>2.46</t>
    </r>
    <r>
      <rPr>
        <sz val="9"/>
        <color rgb="FF000000"/>
        <rFont val="楷体"/>
        <charset val="134"/>
      </rPr>
      <t>亿人民币</t>
    </r>
  </si>
  <si>
    <t>兴民智通</t>
  </si>
  <si>
    <r>
      <rPr>
        <sz val="9"/>
        <color rgb="FF000000"/>
        <rFont val="Arial"/>
        <charset val="134"/>
      </rPr>
      <t>2.96</t>
    </r>
    <r>
      <rPr>
        <sz val="9"/>
        <color rgb="FF000000"/>
        <rFont val="楷体"/>
        <charset val="134"/>
      </rPr>
      <t>亿</t>
    </r>
  </si>
  <si>
    <r>
      <rPr>
        <sz val="9"/>
        <color rgb="FF000000"/>
        <rFont val="Arial"/>
        <charset val="134"/>
      </rPr>
      <t>12.3</t>
    </r>
    <r>
      <rPr>
        <sz val="9"/>
        <color rgb="FF000000"/>
        <rFont val="楷体"/>
        <charset val="134"/>
      </rPr>
      <t>亿元</t>
    </r>
  </si>
  <si>
    <r>
      <rPr>
        <sz val="9"/>
        <color rgb="FF000000"/>
        <rFont val="楷体"/>
        <charset val="134"/>
      </rPr>
      <t>陈志方</t>
    </r>
    <r>
      <rPr>
        <sz val="9"/>
        <color rgb="FF000000"/>
        <rFont val="Arial"/>
        <charset val="134"/>
      </rPr>
      <t>:</t>
    </r>
    <r>
      <rPr>
        <sz val="9"/>
        <color rgb="FF000000"/>
        <rFont val="楷体"/>
        <charset val="134"/>
      </rPr>
      <t>创始人</t>
    </r>
  </si>
  <si>
    <t>北汽产投</t>
  </si>
  <si>
    <r>
      <rPr>
        <sz val="9"/>
        <color rgb="FF000000"/>
        <rFont val="楷体"/>
        <charset val="134"/>
      </rPr>
      <t>阿里巴巴</t>
    </r>
    <r>
      <rPr>
        <sz val="9"/>
        <color rgb="FF000000"/>
        <rFont val="Arial"/>
        <charset val="134"/>
      </rPr>
      <t>,</t>
    </r>
    <r>
      <rPr>
        <sz val="9"/>
        <color rgb="FF000000"/>
        <rFont val="楷体"/>
        <charset val="134"/>
      </rPr>
      <t>高德创投</t>
    </r>
    <r>
      <rPr>
        <sz val="9"/>
        <color rgb="FF000000"/>
        <rFont val="Arial"/>
        <charset val="134"/>
      </rPr>
      <t>,</t>
    </r>
    <r>
      <rPr>
        <sz val="9"/>
        <color rgb="FF000000"/>
        <rFont val="楷体"/>
        <charset val="134"/>
      </rPr>
      <t>新微资本</t>
    </r>
  </si>
  <si>
    <t>2019-09-06</t>
  </si>
  <si>
    <t>考拉海购</t>
  </si>
  <si>
    <r>
      <rPr>
        <sz val="9"/>
        <color rgb="FF000000"/>
        <rFont val="楷体"/>
        <charset val="134"/>
      </rPr>
      <t>考拉海购是一家跨境海淘电商平台，目前主要有母婴、美食保健、美妆个护及海外直邮等四个商品类目，网易旗下电商平台，</t>
    </r>
    <r>
      <rPr>
        <sz val="9"/>
        <color rgb="FF000000"/>
        <rFont val="Arial"/>
        <charset val="134"/>
      </rPr>
      <t>2019</t>
    </r>
    <r>
      <rPr>
        <sz val="9"/>
        <color rgb="FF000000"/>
        <rFont val="楷体"/>
        <charset val="134"/>
      </rPr>
      <t>年</t>
    </r>
    <r>
      <rPr>
        <sz val="9"/>
        <color rgb="FF000000"/>
        <rFont val="Arial"/>
        <charset val="134"/>
      </rPr>
      <t>9</t>
    </r>
    <r>
      <rPr>
        <sz val="9"/>
        <color rgb="FF000000"/>
        <rFont val="楷体"/>
        <charset val="134"/>
      </rPr>
      <t>月被阿里巴巴全资收购。</t>
    </r>
  </si>
  <si>
    <t>杭州优买科技有限公司</t>
  </si>
  <si>
    <t>https://www.kaola.com/</t>
  </si>
  <si>
    <t>2014-11</t>
  </si>
  <si>
    <t>跨境电商</t>
  </si>
  <si>
    <r>
      <rPr>
        <sz val="9"/>
        <color rgb="FF000000"/>
        <rFont val="Arial"/>
        <charset val="134"/>
      </rPr>
      <t>130</t>
    </r>
    <r>
      <rPr>
        <sz val="9"/>
        <color rgb="FF000000"/>
        <rFont val="楷体"/>
        <charset val="134"/>
      </rPr>
      <t>亿</t>
    </r>
  </si>
  <si>
    <r>
      <rPr>
        <sz val="9"/>
        <color rgb="FF000000"/>
        <rFont val="Arial"/>
        <charset val="134"/>
      </rPr>
      <t>650</t>
    </r>
    <r>
      <rPr>
        <sz val="9"/>
        <color rgb="FF000000"/>
        <rFont val="楷体"/>
        <charset val="134"/>
      </rPr>
      <t>亿元</t>
    </r>
  </si>
  <si>
    <r>
      <rPr>
        <sz val="9"/>
        <color rgb="FF000000"/>
        <rFont val="楷体"/>
        <charset val="134"/>
      </rPr>
      <t>张蕾</t>
    </r>
    <r>
      <rPr>
        <sz val="9"/>
        <color rgb="FF000000"/>
        <rFont val="Arial"/>
        <charset val="134"/>
      </rPr>
      <t>:CEO</t>
    </r>
  </si>
  <si>
    <r>
      <rPr>
        <sz val="9"/>
        <color rgb="FF000000"/>
        <rFont val="楷体"/>
        <charset val="134"/>
      </rPr>
      <t>浙江省杭州经济技术开发区白杨街道</t>
    </r>
    <r>
      <rPr>
        <sz val="9"/>
        <color rgb="FF000000"/>
        <rFont val="Arial"/>
        <charset val="134"/>
      </rPr>
      <t>17</t>
    </r>
    <r>
      <rPr>
        <sz val="9"/>
        <color rgb="FF000000"/>
        <rFont val="楷体"/>
        <charset val="134"/>
      </rPr>
      <t>号大街</t>
    </r>
    <r>
      <rPr>
        <sz val="9"/>
        <color rgb="FF000000"/>
        <rFont val="Arial"/>
        <charset val="134"/>
      </rPr>
      <t>161</t>
    </r>
    <r>
      <rPr>
        <sz val="9"/>
        <color rgb="FF000000"/>
        <rFont val="楷体"/>
        <charset val="134"/>
      </rPr>
      <t>号</t>
    </r>
    <r>
      <rPr>
        <sz val="9"/>
        <color rgb="FF000000"/>
        <rFont val="Arial"/>
        <charset val="134"/>
      </rPr>
      <t>6</t>
    </r>
    <r>
      <rPr>
        <sz val="9"/>
        <color rgb="FF000000"/>
        <rFont val="楷体"/>
        <charset val="134"/>
      </rPr>
      <t>幢</t>
    </r>
  </si>
  <si>
    <t>kaolakefu@service.netease.com</t>
  </si>
  <si>
    <t>2020-11-17</t>
  </si>
  <si>
    <t>芒果超媒</t>
  </si>
  <si>
    <r>
      <rPr>
        <sz val="9"/>
        <color rgb="FF000000"/>
        <rFont val="楷体"/>
        <charset val="134"/>
      </rPr>
      <t>芒果超媒</t>
    </r>
    <r>
      <rPr>
        <sz val="9"/>
        <color rgb="FF000000"/>
        <rFont val="Arial"/>
        <charset val="134"/>
      </rPr>
      <t>(</t>
    </r>
    <r>
      <rPr>
        <sz val="9"/>
        <color rgb="FF000000"/>
        <rFont val="楷体"/>
        <charset val="134"/>
      </rPr>
      <t>前身是快乐购</t>
    </r>
    <r>
      <rPr>
        <sz val="9"/>
        <color rgb="FF000000"/>
        <rFont val="Arial"/>
        <charset val="134"/>
      </rPr>
      <t>)</t>
    </r>
    <r>
      <rPr>
        <sz val="9"/>
        <color rgb="FF000000"/>
        <rFont val="楷体"/>
        <charset val="134"/>
      </rPr>
      <t>是一家文化媒体集团，业务包括新媒体平台运营、新媒体互动娱乐内容制作及媒体零售全产业链，旗下有湖南广电旗下快乐阳光、芒果互娱、天娱传媒、芒果影视和芒果娱乐等。</t>
    </r>
  </si>
  <si>
    <t>芒果超媒股份有限公司</t>
  </si>
  <si>
    <t>2005-12</t>
  </si>
  <si>
    <r>
      <rPr>
        <sz val="9"/>
        <color rgb="FF000000"/>
        <rFont val="楷体"/>
        <charset val="134"/>
      </rPr>
      <t>湖南</t>
    </r>
    <r>
      <rPr>
        <sz val="9"/>
        <color rgb="FF000000"/>
        <rFont val="Arial"/>
        <charset val="134"/>
      </rPr>
      <t>-</t>
    </r>
    <r>
      <rPr>
        <sz val="9"/>
        <color rgb="FF000000"/>
        <rFont val="楷体"/>
        <charset val="134"/>
      </rPr>
      <t>长沙</t>
    </r>
  </si>
  <si>
    <r>
      <rPr>
        <sz val="9"/>
        <color rgb="FF000000"/>
        <rFont val="Arial"/>
        <charset val="134"/>
      </rPr>
      <t>62</t>
    </r>
    <r>
      <rPr>
        <sz val="9"/>
        <color rgb="FF000000"/>
        <rFont val="楷体"/>
        <charset val="134"/>
      </rPr>
      <t>亿人民币</t>
    </r>
  </si>
  <si>
    <r>
      <rPr>
        <sz val="9"/>
        <color rgb="FF000000"/>
        <rFont val="Arial"/>
        <charset val="134"/>
      </rPr>
      <t>89.4</t>
    </r>
    <r>
      <rPr>
        <sz val="9"/>
        <color rgb="FF000000"/>
        <rFont val="楷体"/>
        <charset val="134"/>
      </rPr>
      <t>亿</t>
    </r>
  </si>
  <si>
    <r>
      <rPr>
        <sz val="9"/>
        <color rgb="FF000000"/>
        <rFont val="Arial"/>
        <charset val="134"/>
      </rPr>
      <t>1178.7072</t>
    </r>
    <r>
      <rPr>
        <sz val="9"/>
        <color rgb="FF000000"/>
        <rFont val="楷体"/>
        <charset val="134"/>
      </rPr>
      <t>亿元</t>
    </r>
  </si>
  <si>
    <r>
      <rPr>
        <sz val="9"/>
        <color rgb="FF000000"/>
        <rFont val="楷体"/>
        <charset val="134"/>
      </rPr>
      <t>蔡怀军</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张华立</t>
    </r>
    <r>
      <rPr>
        <sz val="9"/>
        <color rgb="FF000000"/>
        <rFont val="Arial"/>
        <charset val="134"/>
      </rPr>
      <t>:</t>
    </r>
    <r>
      <rPr>
        <sz val="9"/>
        <color rgb="FF000000"/>
        <rFont val="楷体"/>
        <charset val="134"/>
      </rPr>
      <t>董事长</t>
    </r>
  </si>
  <si>
    <r>
      <rPr>
        <sz val="9"/>
        <color rgb="FF000000"/>
        <rFont val="Arial"/>
        <charset val="134"/>
      </rPr>
      <t>16</t>
    </r>
    <r>
      <rPr>
        <sz val="9"/>
        <color rgb="FF000000"/>
        <rFont val="楷体"/>
        <charset val="134"/>
      </rPr>
      <t>亿人民币</t>
    </r>
  </si>
  <si>
    <r>
      <rPr>
        <sz val="9"/>
        <color rgb="FF000000"/>
        <rFont val="楷体"/>
        <charset val="134"/>
      </rPr>
      <t>中移创新产业基金</t>
    </r>
    <r>
      <rPr>
        <sz val="9"/>
        <color rgb="FF000000"/>
        <rFont val="Arial"/>
        <charset val="134"/>
      </rPr>
      <t>(</t>
    </r>
    <r>
      <rPr>
        <sz val="9"/>
        <color rgb="FF000000"/>
        <rFont val="楷体"/>
        <charset val="134"/>
      </rPr>
      <t>中国移动</t>
    </r>
    <r>
      <rPr>
        <sz val="9"/>
        <color rgb="FF000000"/>
        <rFont val="Arial"/>
        <charset val="134"/>
      </rPr>
      <t>)</t>
    </r>
  </si>
  <si>
    <r>
      <rPr>
        <sz val="9"/>
        <color rgb="FF000000"/>
        <rFont val="Arial"/>
        <charset val="134"/>
      </rPr>
      <t>6.34</t>
    </r>
    <r>
      <rPr>
        <sz val="9"/>
        <color rgb="FF000000"/>
        <rFont val="楷体"/>
        <charset val="134"/>
      </rPr>
      <t>亿人民币</t>
    </r>
  </si>
  <si>
    <r>
      <rPr>
        <sz val="9"/>
        <color rgb="FF000000"/>
        <rFont val="楷体"/>
        <charset val="134"/>
      </rPr>
      <t>弘毅投资</t>
    </r>
    <r>
      <rPr>
        <sz val="9"/>
        <color rgb="FF000000"/>
        <rFont val="Arial"/>
        <charset val="134"/>
      </rPr>
      <t>,</t>
    </r>
    <r>
      <rPr>
        <sz val="9"/>
        <color rgb="FF000000"/>
        <rFont val="楷体"/>
        <charset val="134"/>
      </rPr>
      <t>湖南高新创投集团</t>
    </r>
  </si>
  <si>
    <r>
      <rPr>
        <sz val="9"/>
        <color rgb="FF000000"/>
        <rFont val="Arial"/>
        <charset val="134"/>
      </rPr>
      <t>5600</t>
    </r>
    <r>
      <rPr>
        <sz val="9"/>
        <color rgb="FF000000"/>
        <rFont val="楷体"/>
        <charset val="134"/>
      </rPr>
      <t>万人民币</t>
    </r>
  </si>
  <si>
    <r>
      <rPr>
        <sz val="9"/>
        <color rgb="FF000000"/>
        <rFont val="楷体"/>
        <charset val="134"/>
      </rPr>
      <t>弘毅投资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美丽说</t>
    </r>
  </si>
  <si>
    <r>
      <rPr>
        <sz val="9"/>
        <color rgb="FF000000"/>
        <rFont val="Arial"/>
        <charset val="134"/>
      </rPr>
      <t>3.3</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</si>
  <si>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弘毅投资</t>
    </r>
    <r>
      <rPr>
        <sz val="9"/>
        <color rgb="FF000000"/>
        <rFont val="Arial"/>
        <charset val="134"/>
      </rPr>
      <t>,CPE</t>
    </r>
    <r>
      <rPr>
        <sz val="9"/>
        <color rgb="FF000000"/>
        <rFont val="楷体"/>
        <charset val="134"/>
      </rPr>
      <t>源峰</t>
    </r>
  </si>
  <si>
    <t>2014-03-13</t>
  </si>
  <si>
    <t>一达通</t>
  </si>
  <si>
    <r>
      <rPr>
        <sz val="9"/>
        <color rgb="FF000000"/>
        <rFont val="楷体"/>
        <charset val="134"/>
      </rPr>
      <t>一达通是一家面向中小企业的进出口流程外包服务平台，主要通过互联网（</t>
    </r>
    <r>
      <rPr>
        <sz val="9"/>
        <color rgb="FF000000"/>
        <rFont val="Arial"/>
        <charset val="134"/>
      </rPr>
      <t>IE+IT</t>
    </r>
    <r>
      <rPr>
        <sz val="9"/>
        <color rgb="FF000000"/>
        <rFont val="楷体"/>
        <charset val="134"/>
      </rPr>
      <t>）一站式为中小企业和个人提供通关、物流、外汇，退税、金融等所有进出口环节服务。</t>
    </r>
  </si>
  <si>
    <t>深圳市一达通企业服务有限公司</t>
  </si>
  <si>
    <t>http://onetouch.alibaba.com/</t>
  </si>
  <si>
    <t>2001-12</t>
  </si>
  <si>
    <t>2015-01-20</t>
  </si>
  <si>
    <t>Visualead</t>
  </si>
  <si>
    <r>
      <rPr>
        <sz val="9"/>
        <color rgb="FF000000"/>
        <rFont val="Arial"/>
        <charset val="134"/>
      </rPr>
      <t>Visualead</t>
    </r>
    <r>
      <rPr>
        <sz val="9"/>
        <color rgb="FF000000"/>
        <rFont val="楷体"/>
        <charset val="134"/>
      </rPr>
      <t>是一家以色列二维码技术创业公司，该技术可以将任何图像、动画甚至是视频转换成有趣又有效的视觉二维码。</t>
    </r>
  </si>
  <si>
    <t>http://www.visualead.com</t>
  </si>
  <si>
    <t>事项及效率</t>
  </si>
  <si>
    <r>
      <rPr>
        <sz val="9"/>
        <color rgb="FF000000"/>
        <rFont val="Arial"/>
        <charset val="134"/>
      </rPr>
      <t>4712.5</t>
    </r>
    <r>
      <rPr>
        <sz val="9"/>
        <color rgb="FF000000"/>
        <rFont val="楷体"/>
        <charset val="134"/>
      </rPr>
      <t>万</t>
    </r>
  </si>
  <si>
    <r>
      <rPr>
        <sz val="9"/>
        <color rgb="FF000000"/>
        <rFont val="Arial"/>
        <charset val="134"/>
      </rPr>
      <t>1.625</t>
    </r>
    <r>
      <rPr>
        <sz val="9"/>
        <color rgb="FF000000"/>
        <rFont val="楷体"/>
        <charset val="134"/>
      </rPr>
      <t>亿元</t>
    </r>
  </si>
  <si>
    <t>Joyce Tai:Chief Commercial Officer,Yu-Chao Chang:Director Product Management</t>
  </si>
  <si>
    <r>
      <rPr>
        <sz val="9"/>
        <color rgb="FF000000"/>
        <rFont val="Arial"/>
        <charset val="134"/>
      </rPr>
      <t>75</t>
    </r>
    <r>
      <rPr>
        <sz val="9"/>
        <color rgb="FF000000"/>
        <rFont val="楷体"/>
        <charset val="134"/>
      </rPr>
      <t>万美元</t>
    </r>
  </si>
  <si>
    <t>2018-09-11</t>
  </si>
  <si>
    <t>极链科技Video++</t>
  </si>
  <si>
    <r>
      <rPr>
        <sz val="9"/>
        <color rgb="FF000000"/>
        <rFont val="楷体"/>
        <charset val="134"/>
      </rPr>
      <t>极链科技</t>
    </r>
    <r>
      <rPr>
        <sz val="9"/>
        <color rgb="FF000000"/>
        <rFont val="Arial"/>
        <charset val="134"/>
      </rPr>
      <t>Video++</t>
    </r>
  </si>
  <si>
    <r>
      <rPr>
        <sz val="9"/>
        <color rgb="FF000000"/>
        <rFont val="Arial"/>
        <charset val="134"/>
      </rPr>
      <t>Video++</t>
    </r>
    <r>
      <rPr>
        <sz val="9"/>
        <color rgb="FF000000"/>
        <rFont val="楷体"/>
        <charset val="134"/>
      </rPr>
      <t>极链科技集团是聚焦于文娱产业的</t>
    </r>
    <r>
      <rPr>
        <sz val="9"/>
        <color rgb="FF000000"/>
        <rFont val="Arial"/>
        <charset val="134"/>
      </rPr>
      <t>AI</t>
    </r>
    <r>
      <rPr>
        <sz val="9"/>
        <color rgb="FF000000"/>
        <rFont val="楷体"/>
        <charset val="134"/>
      </rPr>
      <t>科技独角兽企业，深度客户：优酷、芒果、乐视、搜狐、斗鱼、熊猫、一直播、虎牙、抖音等视频、直播、短视频平台，为平台提供</t>
    </r>
    <r>
      <rPr>
        <sz val="9"/>
        <color rgb="FF000000"/>
        <rFont val="Arial"/>
        <charset val="134"/>
      </rPr>
      <t>AI</t>
    </r>
    <r>
      <rPr>
        <sz val="9"/>
        <color rgb="FF000000"/>
        <rFont val="楷体"/>
        <charset val="134"/>
      </rPr>
      <t>、电商、互动娱乐、情景广告、视频搜索、视频头条等系统应用。投资方包括</t>
    </r>
    <r>
      <rPr>
        <sz val="9"/>
        <color rgb="FF000000"/>
        <rFont val="Arial"/>
        <charset val="134"/>
      </rPr>
      <t>Face++</t>
    </r>
    <r>
      <rPr>
        <sz val="9"/>
        <color rgb="FF000000"/>
        <rFont val="楷体"/>
        <charset val="134"/>
      </rPr>
      <t>旷视科技、头头是道、</t>
    </r>
    <r>
      <rPr>
        <sz val="9"/>
        <color rgb="FF000000"/>
        <rFont val="Arial"/>
        <charset val="134"/>
      </rPr>
      <t xml:space="preserve"> </t>
    </r>
    <r>
      <rPr>
        <sz val="9"/>
        <color rgb="FF000000"/>
        <rFont val="楷体"/>
        <charset val="134"/>
      </rPr>
      <t>阿里巴巴集团、云锋基金、中国国投等。</t>
    </r>
  </si>
  <si>
    <t>上海极链科技发展集团有限公司</t>
  </si>
  <si>
    <t>http://videojj.com/</t>
  </si>
  <si>
    <t>2014-10</t>
  </si>
  <si>
    <r>
      <rPr>
        <sz val="9"/>
        <color rgb="FF000000"/>
        <rFont val="Arial"/>
        <charset val="134"/>
      </rPr>
      <t>7.21</t>
    </r>
    <r>
      <rPr>
        <sz val="9"/>
        <color rgb="FF000000"/>
        <rFont val="楷体"/>
        <charset val="134"/>
      </rPr>
      <t>亿人民币</t>
    </r>
  </si>
  <si>
    <r>
      <rPr>
        <sz val="9"/>
        <color rgb="FF000000"/>
        <rFont val="楷体"/>
        <charset val="134"/>
      </rPr>
      <t>瑞力投资</t>
    </r>
    <r>
      <rPr>
        <sz val="9"/>
        <color rgb="FF000000"/>
        <rFont val="Arial"/>
        <charset val="134"/>
      </rPr>
      <t>,</t>
    </r>
    <r>
      <rPr>
        <sz val="9"/>
        <color rgb="FF000000"/>
        <rFont val="楷体"/>
        <charset val="134"/>
      </rPr>
      <t>汉富控股</t>
    </r>
    <r>
      <rPr>
        <sz val="9"/>
        <color rgb="FF000000"/>
        <rFont val="Arial"/>
        <charset val="134"/>
      </rPr>
      <t>,</t>
    </r>
    <r>
      <rPr>
        <sz val="9"/>
        <color rgb="FF000000"/>
        <rFont val="楷体"/>
        <charset val="134"/>
      </rPr>
      <t>文轩资本</t>
    </r>
    <r>
      <rPr>
        <sz val="9"/>
        <color rgb="FF000000"/>
        <rFont val="Arial"/>
        <charset val="134"/>
      </rPr>
      <t>,</t>
    </r>
    <r>
      <rPr>
        <sz val="9"/>
        <color rgb="FF000000"/>
        <rFont val="楷体"/>
        <charset val="134"/>
      </rPr>
      <t>投中资本</t>
    </r>
    <r>
      <rPr>
        <sz val="9"/>
        <color rgb="FF000000"/>
        <rFont val="Arial"/>
        <charset val="134"/>
      </rPr>
      <t>,</t>
    </r>
    <r>
      <rPr>
        <sz val="9"/>
        <color rgb="FF000000"/>
        <rFont val="楷体"/>
        <charset val="134"/>
      </rPr>
      <t>海尔资本</t>
    </r>
    <r>
      <rPr>
        <sz val="9"/>
        <color rgb="FF000000"/>
        <rFont val="Arial"/>
        <charset val="134"/>
      </rPr>
      <t>,</t>
    </r>
    <r>
      <rPr>
        <sz val="9"/>
        <color rgb="FF000000"/>
        <rFont val="楷体"/>
        <charset val="134"/>
      </rPr>
      <t>天狼星资本</t>
    </r>
    <r>
      <rPr>
        <sz val="9"/>
        <color rgb="FF000000"/>
        <rFont val="Arial"/>
        <charset val="134"/>
      </rPr>
      <t>,</t>
    </r>
    <r>
      <rPr>
        <sz val="9"/>
        <color rgb="FF000000"/>
        <rFont val="楷体"/>
        <charset val="134"/>
      </rPr>
      <t>兰璞资本</t>
    </r>
    <r>
      <rPr>
        <sz val="9"/>
        <color rgb="FF000000"/>
        <rFont val="Arial"/>
        <charset val="134"/>
      </rPr>
      <t>,</t>
    </r>
    <r>
      <rPr>
        <sz val="9"/>
        <color rgb="FF000000"/>
        <rFont val="楷体"/>
        <charset val="134"/>
      </rPr>
      <t>优必选</t>
    </r>
    <r>
      <rPr>
        <sz val="9"/>
        <color rgb="FF000000"/>
        <rFont val="Arial"/>
        <charset val="134"/>
      </rPr>
      <t>,</t>
    </r>
    <r>
      <rPr>
        <sz val="9"/>
        <color rgb="FF000000"/>
        <rFont val="楷体"/>
        <charset val="134"/>
      </rPr>
      <t>信益资本</t>
    </r>
    <r>
      <rPr>
        <sz val="9"/>
        <color rgb="FF000000"/>
        <rFont val="Arial"/>
        <charset val="134"/>
      </rPr>
      <t>,</t>
    </r>
    <r>
      <rPr>
        <sz val="9"/>
        <color rgb="FF000000"/>
        <rFont val="楷体"/>
        <charset val="134"/>
      </rPr>
      <t>新华文轩</t>
    </r>
  </si>
  <si>
    <r>
      <rPr>
        <sz val="9"/>
        <color rgb="FF000000"/>
        <rFont val="Arial"/>
        <charset val="134"/>
      </rPr>
      <t>15.92</t>
    </r>
    <r>
      <rPr>
        <sz val="9"/>
        <color rgb="FF000000"/>
        <rFont val="楷体"/>
        <charset val="134"/>
      </rPr>
      <t>亿</t>
    </r>
  </si>
  <si>
    <r>
      <rPr>
        <sz val="9"/>
        <color rgb="FF000000"/>
        <rFont val="Arial"/>
        <charset val="134"/>
      </rPr>
      <t>35</t>
    </r>
    <r>
      <rPr>
        <sz val="9"/>
        <color rgb="FF000000"/>
        <rFont val="楷体"/>
        <charset val="134"/>
      </rPr>
      <t>亿元</t>
    </r>
  </si>
  <si>
    <r>
      <rPr>
        <sz val="9"/>
        <color rgb="FF000000"/>
        <rFont val="楷体"/>
        <charset val="134"/>
      </rPr>
      <t>金明</t>
    </r>
    <r>
      <rPr>
        <sz val="9"/>
        <color rgb="FF000000"/>
        <rFont val="Arial"/>
        <charset val="134"/>
      </rPr>
      <t>:</t>
    </r>
    <r>
      <rPr>
        <sz val="9"/>
        <color rgb="FF000000"/>
        <rFont val="楷体"/>
        <charset val="134"/>
      </rPr>
      <t>创始人</t>
    </r>
    <r>
      <rPr>
        <sz val="9"/>
        <color rgb="FF000000"/>
        <rFont val="Arial"/>
        <charset val="134"/>
      </rPr>
      <t>, CEO,</t>
    </r>
    <r>
      <rPr>
        <sz val="9"/>
        <color rgb="FF000000"/>
        <rFont val="楷体"/>
        <charset val="134"/>
      </rPr>
      <t>董慧智</t>
    </r>
    <r>
      <rPr>
        <sz val="9"/>
        <color rgb="FF000000"/>
        <rFont val="Arial"/>
        <charset val="134"/>
      </rPr>
      <t>:</t>
    </r>
    <r>
      <rPr>
        <sz val="9"/>
        <color rgb="FF000000"/>
        <rFont val="楷体"/>
        <charset val="134"/>
      </rPr>
      <t>联合创始人</t>
    </r>
    <r>
      <rPr>
        <sz val="9"/>
        <color rgb="FF000000"/>
        <rFont val="Arial"/>
        <charset val="134"/>
      </rPr>
      <t>&amp;COO,</t>
    </r>
    <r>
      <rPr>
        <sz val="9"/>
        <color rgb="FF000000"/>
        <rFont val="楷体"/>
        <charset val="134"/>
      </rPr>
      <t>张奕</t>
    </r>
    <r>
      <rPr>
        <sz val="9"/>
        <color rgb="FF000000"/>
        <rFont val="Arial"/>
        <charset val="134"/>
      </rPr>
      <t>:</t>
    </r>
    <r>
      <rPr>
        <sz val="9"/>
        <color rgb="FF000000"/>
        <rFont val="楷体"/>
        <charset val="134"/>
      </rPr>
      <t>人工智能事业部研发</t>
    </r>
    <r>
      <rPr>
        <sz val="9"/>
        <color rgb="FF000000"/>
        <rFont val="Arial"/>
        <charset val="134"/>
      </rPr>
      <t xml:space="preserve"> Team Leader,</t>
    </r>
    <r>
      <rPr>
        <sz val="9"/>
        <color rgb="FF000000"/>
        <rFont val="楷体"/>
        <charset val="134"/>
      </rPr>
      <t>孙兆民</t>
    </r>
    <r>
      <rPr>
        <sz val="9"/>
        <color rgb="FF000000"/>
        <rFont val="Arial"/>
        <charset val="134"/>
      </rPr>
      <t>:CTO,</t>
    </r>
    <r>
      <rPr>
        <sz val="9"/>
        <color rgb="FF000000"/>
        <rFont val="楷体"/>
        <charset val="134"/>
      </rPr>
      <t>谢锦滨</t>
    </r>
    <r>
      <rPr>
        <sz val="9"/>
        <color rgb="FF000000"/>
        <rFont val="Arial"/>
        <charset val="134"/>
      </rPr>
      <t>:</t>
    </r>
    <r>
      <rPr>
        <sz val="9"/>
        <color rgb="FF000000"/>
        <rFont val="楷体"/>
        <charset val="134"/>
      </rPr>
      <t>首席算法架构师</t>
    </r>
    <r>
      <rPr>
        <sz val="9"/>
        <color rgb="FF000000"/>
        <rFont val="Arial"/>
        <charset val="134"/>
      </rPr>
      <t>,</t>
    </r>
    <r>
      <rPr>
        <sz val="9"/>
        <color rgb="FF000000"/>
        <rFont val="楷体"/>
        <charset val="134"/>
      </rPr>
      <t>陈瑾</t>
    </r>
    <r>
      <rPr>
        <sz val="9"/>
        <color rgb="FF000000"/>
        <rFont val="Arial"/>
        <charset val="134"/>
      </rPr>
      <t>:</t>
    </r>
    <r>
      <rPr>
        <sz val="9"/>
        <color rgb="FF000000"/>
        <rFont val="楷体"/>
        <charset val="134"/>
      </rPr>
      <t>总裁，</t>
    </r>
    <r>
      <rPr>
        <sz val="9"/>
        <color rgb="FF000000"/>
        <rFont val="Arial"/>
        <charset val="134"/>
      </rPr>
      <t>president,</t>
    </r>
    <r>
      <rPr>
        <sz val="9"/>
        <color rgb="FF000000"/>
        <rFont val="楷体"/>
        <charset val="134"/>
      </rPr>
      <t>洪蕾</t>
    </r>
    <r>
      <rPr>
        <sz val="9"/>
        <color rgb="FF000000"/>
        <rFont val="Arial"/>
        <charset val="134"/>
      </rPr>
      <t>:CFO</t>
    </r>
  </si>
  <si>
    <r>
      <rPr>
        <sz val="9"/>
        <color rgb="FF000000"/>
        <rFont val="楷体"/>
        <charset val="134"/>
      </rPr>
      <t>上海市黄浦区中山南路</t>
    </r>
    <r>
      <rPr>
        <sz val="9"/>
        <color rgb="FF000000"/>
        <rFont val="Arial"/>
        <charset val="134"/>
      </rPr>
      <t>1029</t>
    </r>
    <r>
      <rPr>
        <sz val="9"/>
        <color rgb="FF000000"/>
        <rFont val="楷体"/>
        <charset val="134"/>
      </rPr>
      <t>号幸福码头</t>
    </r>
    <r>
      <rPr>
        <sz val="9"/>
        <color rgb="FF000000"/>
        <rFont val="Arial"/>
        <charset val="134"/>
      </rPr>
      <t>6</t>
    </r>
    <r>
      <rPr>
        <sz val="9"/>
        <color rgb="FF000000"/>
        <rFont val="楷体"/>
        <charset val="134"/>
      </rPr>
      <t>号楼</t>
    </r>
    <r>
      <rPr>
        <sz val="9"/>
        <color rgb="FF000000"/>
        <rFont val="Arial"/>
        <charset val="134"/>
      </rPr>
      <t>Video++2</t>
    </r>
    <r>
      <rPr>
        <sz val="9"/>
        <color rgb="FF000000"/>
        <rFont val="楷体"/>
        <charset val="134"/>
      </rPr>
      <t>层</t>
    </r>
  </si>
  <si>
    <t>400-8089-578</t>
  </si>
  <si>
    <t>business@videopls.com</t>
  </si>
  <si>
    <r>
      <rPr>
        <sz val="9"/>
        <color rgb="FF000000"/>
        <rFont val="Arial"/>
        <charset val="134"/>
      </rPr>
      <t>3050</t>
    </r>
    <r>
      <rPr>
        <sz val="9"/>
        <color rgb="FF000000"/>
        <rFont val="楷体"/>
        <charset val="134"/>
      </rPr>
      <t>万人民币</t>
    </r>
  </si>
  <si>
    <t>乔贝资本</t>
  </si>
  <si>
    <r>
      <rPr>
        <sz val="9"/>
        <color rgb="FF000000"/>
        <rFont val="Arial"/>
        <charset val="134"/>
      </rPr>
      <t>3.49</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</si>
  <si>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旷视科技</t>
    </r>
    <r>
      <rPr>
        <sz val="9"/>
        <color rgb="FF000000"/>
        <rFont val="Arial"/>
        <charset val="134"/>
      </rPr>
      <t>MEGVII,</t>
    </r>
    <r>
      <rPr>
        <sz val="9"/>
        <color rgb="FF000000"/>
        <rFont val="楷体"/>
        <charset val="134"/>
      </rPr>
      <t>头头是道投资基金</t>
    </r>
    <r>
      <rPr>
        <sz val="9"/>
        <color rgb="FF000000"/>
        <rFont val="Arial"/>
        <charset val="134"/>
      </rPr>
      <t>,</t>
    </r>
    <r>
      <rPr>
        <sz val="9"/>
        <color rgb="FF000000"/>
        <rFont val="楷体"/>
        <charset val="134"/>
      </rPr>
      <t>国投创业</t>
    </r>
    <r>
      <rPr>
        <sz val="9"/>
        <color rgb="FF000000"/>
        <rFont val="Arial"/>
        <charset val="134"/>
      </rPr>
      <t>,</t>
    </r>
    <r>
      <rPr>
        <sz val="9"/>
        <color rgb="FF000000"/>
        <rFont val="楷体"/>
        <charset val="134"/>
      </rPr>
      <t>瑞壹投资</t>
    </r>
  </si>
  <si>
    <r>
      <rPr>
        <sz val="9"/>
        <color rgb="FF000000"/>
        <rFont val="楷体"/>
        <charset val="134"/>
      </rPr>
      <t>头头是道投资基金</t>
    </r>
    <r>
      <rPr>
        <sz val="9"/>
        <color rgb="FF000000"/>
        <rFont val="Arial"/>
        <charset val="134"/>
      </rPr>
      <t>,</t>
    </r>
    <r>
      <rPr>
        <sz val="9"/>
        <color rgb="FF000000"/>
        <rFont val="楷体"/>
        <charset val="134"/>
      </rPr>
      <t>雅利资产</t>
    </r>
  </si>
  <si>
    <r>
      <rPr>
        <sz val="9"/>
        <color rgb="FF000000"/>
        <rFont val="Arial"/>
        <charset val="134"/>
      </rPr>
      <t>1.49</t>
    </r>
    <r>
      <rPr>
        <sz val="9"/>
        <color rgb="FF000000"/>
        <rFont val="楷体"/>
        <charset val="134"/>
      </rPr>
      <t>亿人民币</t>
    </r>
  </si>
  <si>
    <r>
      <rPr>
        <sz val="9"/>
        <color rgb="FF000000"/>
        <rFont val="Arial"/>
        <charset val="134"/>
      </rPr>
      <t>900</t>
    </r>
    <r>
      <rPr>
        <sz val="9"/>
        <color rgb="FF000000"/>
        <rFont val="楷体"/>
        <charset val="134"/>
      </rPr>
      <t>万人民币</t>
    </r>
  </si>
  <si>
    <t>上海金地开悦</t>
  </si>
  <si>
    <t>2021-05-18</t>
  </si>
  <si>
    <t>数梦工场</t>
  </si>
  <si>
    <t>数梦工场是基于阿里云独立研发的飞天平台，面向政府、金融、公共事业和企业，提供场景化的数据服务，让数据创造价值，帮助用户面向全局解决问题。</t>
  </si>
  <si>
    <t>杭州数梦工场科技有限公司</t>
  </si>
  <si>
    <t>http://www.dtdream.com</t>
  </si>
  <si>
    <t>2015-03</t>
  </si>
  <si>
    <r>
      <rPr>
        <sz val="9"/>
        <color rgb="FF000000"/>
        <rFont val="楷体"/>
        <charset val="134"/>
      </rPr>
      <t>越秀产业基金</t>
    </r>
    <r>
      <rPr>
        <sz val="9"/>
        <color rgb="FF000000"/>
        <rFont val="Arial"/>
        <charset val="134"/>
      </rPr>
      <t>,</t>
    </r>
    <r>
      <rPr>
        <sz val="9"/>
        <color rgb="FF000000"/>
        <rFont val="楷体"/>
        <charset val="134"/>
      </rPr>
      <t>西湖科创直投基金</t>
    </r>
    <r>
      <rPr>
        <sz val="9"/>
        <color rgb="FF000000"/>
        <rFont val="Arial"/>
        <charset val="134"/>
      </rPr>
      <t>,</t>
    </r>
    <r>
      <rPr>
        <sz val="9"/>
        <color rgb="FF000000"/>
        <rFont val="楷体"/>
        <charset val="134"/>
      </rPr>
      <t>龙芯中科</t>
    </r>
  </si>
  <si>
    <r>
      <rPr>
        <sz val="9"/>
        <color rgb="FF000000"/>
        <rFont val="Arial"/>
        <charset val="134"/>
      </rPr>
      <t>21</t>
    </r>
    <r>
      <rPr>
        <sz val="9"/>
        <color rgb="FF000000"/>
        <rFont val="楷体"/>
        <charset val="134"/>
      </rPr>
      <t>亿</t>
    </r>
  </si>
  <si>
    <r>
      <rPr>
        <sz val="9"/>
        <color rgb="FF000000"/>
        <rFont val="Arial"/>
        <charset val="134"/>
      </rPr>
      <t>130</t>
    </r>
    <r>
      <rPr>
        <sz val="9"/>
        <color rgb="FF000000"/>
        <rFont val="楷体"/>
        <charset val="134"/>
      </rPr>
      <t>亿元</t>
    </r>
  </si>
  <si>
    <r>
      <rPr>
        <sz val="9"/>
        <color rgb="FF000000"/>
        <rFont val="楷体"/>
        <charset val="134"/>
      </rPr>
      <t>王巍</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吴敬传</t>
    </r>
    <r>
      <rPr>
        <sz val="9"/>
        <color rgb="FF000000"/>
        <rFont val="Arial"/>
        <charset val="134"/>
      </rPr>
      <t>:CEO</t>
    </r>
  </si>
  <si>
    <r>
      <rPr>
        <sz val="9"/>
        <color rgb="FF000000"/>
        <rFont val="楷体"/>
        <charset val="134"/>
      </rPr>
      <t>杭州市西湖区云栖小镇山景路中大银座</t>
    </r>
    <r>
      <rPr>
        <sz val="9"/>
        <color rgb="FF000000"/>
        <rFont val="Arial"/>
        <charset val="134"/>
      </rPr>
      <t>9</t>
    </r>
    <r>
      <rPr>
        <sz val="9"/>
        <color rgb="FF000000"/>
        <rFont val="楷体"/>
        <charset val="134"/>
      </rPr>
      <t>栋</t>
    </r>
  </si>
  <si>
    <t>0571-58110888</t>
  </si>
  <si>
    <r>
      <rPr>
        <sz val="9"/>
        <color rgb="FF000000"/>
        <rFont val="楷体"/>
        <charset val="134"/>
      </rPr>
      <t>浙商创投</t>
    </r>
    <r>
      <rPr>
        <sz val="9"/>
        <color rgb="FF000000"/>
        <rFont val="Arial"/>
        <charset val="134"/>
      </rPr>
      <t>,</t>
    </r>
    <r>
      <rPr>
        <sz val="9"/>
        <color rgb="FF000000"/>
        <rFont val="楷体"/>
        <charset val="134"/>
      </rPr>
      <t>浙江省国企改革发展基金</t>
    </r>
  </si>
  <si>
    <r>
      <rPr>
        <sz val="9"/>
        <color rgb="FF000000"/>
        <rFont val="Arial"/>
        <charset val="134"/>
      </rPr>
      <t>7.5</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</si>
  <si>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银杏谷资本</t>
    </r>
    <r>
      <rPr>
        <sz val="9"/>
        <color rgb="FF000000"/>
        <rFont val="Arial"/>
        <charset val="134"/>
      </rPr>
      <t>,</t>
    </r>
    <r>
      <rPr>
        <sz val="9"/>
        <color rgb="FF000000"/>
        <rFont val="楷体"/>
        <charset val="134"/>
      </rPr>
      <t>光大集团</t>
    </r>
  </si>
  <si>
    <r>
      <rPr>
        <sz val="9"/>
        <color rgb="FF000000"/>
        <rFont val="Arial"/>
        <charset val="134"/>
      </rPr>
      <t>4.5</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</si>
  <si>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银杏谷资本</t>
    </r>
  </si>
  <si>
    <t>2016-08-04</t>
  </si>
  <si>
    <t>Quixey</t>
  </si>
  <si>
    <r>
      <rPr>
        <sz val="9"/>
        <color rgb="FF000000"/>
        <rFont val="Arial"/>
        <charset val="134"/>
      </rPr>
      <t>Quixey</t>
    </r>
    <r>
      <rPr>
        <sz val="9"/>
        <color rgb="FF000000"/>
        <rFont val="楷体"/>
        <charset val="134"/>
      </rPr>
      <t>是一家应用搜索引掣公司，可索引大量非结构化数据来定义应用属性、功能及受欢迎程度，同时兼具应用内搜索功能，便于用户搜索应用。</t>
    </r>
  </si>
  <si>
    <t>http://www.quixey.com/</t>
  </si>
  <si>
    <t>搜索引擎</t>
  </si>
  <si>
    <r>
      <rPr>
        <sz val="9"/>
        <color rgb="FF000000"/>
        <rFont val="Arial"/>
        <charset val="134"/>
      </rPr>
      <t>10.65</t>
    </r>
    <r>
      <rPr>
        <sz val="9"/>
        <color rgb="FF000000"/>
        <rFont val="楷体"/>
        <charset val="134"/>
      </rPr>
      <t>亿</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</si>
  <si>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阿里巴巴</t>
    </r>
    <r>
      <rPr>
        <sz val="9"/>
        <color rgb="FF000000"/>
        <rFont val="Arial"/>
        <charset val="134"/>
      </rPr>
      <t>,SoftBank capital</t>
    </r>
  </si>
  <si>
    <t>Atlantic Bridge,SK Planet</t>
  </si>
  <si>
    <r>
      <rPr>
        <sz val="9"/>
        <color rgb="FF000000"/>
        <rFont val="Arial"/>
        <charset val="134"/>
      </rPr>
      <t>380</t>
    </r>
    <r>
      <rPr>
        <sz val="9"/>
        <color rgb="FF000000"/>
        <rFont val="楷体"/>
        <charset val="134"/>
      </rPr>
      <t>万美元</t>
    </r>
  </si>
  <si>
    <r>
      <rPr>
        <sz val="9"/>
        <color rgb="FF000000"/>
        <rFont val="楷体"/>
        <charset val="134"/>
      </rPr>
      <t>华平投资</t>
    </r>
    <r>
      <rPr>
        <sz val="9"/>
        <color rgb="FF000000"/>
        <rFont val="Arial"/>
        <charset val="134"/>
      </rPr>
      <t>,U.S. Venture Partners</t>
    </r>
  </si>
  <si>
    <t>2020-09-17</t>
  </si>
  <si>
    <t>天鹅到家</t>
  </si>
  <si>
    <r>
      <rPr>
        <sz val="9"/>
        <color rgb="FF000000"/>
        <rFont val="楷体"/>
        <charset val="134"/>
      </rPr>
      <t>天鹅到家由天鹅到家、快狗打车两大业务公司组成。经过五年的不断创新和坚持，到家集团在各个重要细分品类都做到行业第一，并且孕育出两个估值超过</t>
    </r>
    <r>
      <rPr>
        <sz val="9"/>
        <color rgb="FF000000"/>
        <rFont val="Arial"/>
        <charset val="134"/>
      </rPr>
      <t>10</t>
    </r>
    <r>
      <rPr>
        <sz val="9"/>
        <color rgb="FF000000"/>
        <rFont val="楷体"/>
        <charset val="134"/>
      </rPr>
      <t>亿美元的新独角兽：天鹅到家和快狗打车。</t>
    </r>
    <r>
      <rPr>
        <sz val="9"/>
        <color rgb="FF000000"/>
        <rFont val="Arial"/>
        <charset val="134"/>
      </rPr>
      <t>2019</t>
    </r>
    <r>
      <rPr>
        <sz val="9"/>
        <color rgb="FF000000"/>
        <rFont val="楷体"/>
        <charset val="134"/>
      </rPr>
      <t>年</t>
    </r>
    <r>
      <rPr>
        <sz val="9"/>
        <color rgb="FF000000"/>
        <rFont val="Arial"/>
        <charset val="134"/>
      </rPr>
      <t>9</t>
    </r>
    <r>
      <rPr>
        <sz val="9"/>
        <color rgb="FF000000"/>
        <rFont val="楷体"/>
        <charset val="134"/>
      </rPr>
      <t>月到家集团进行全新组织结构升级，将</t>
    </r>
    <r>
      <rPr>
        <sz val="9"/>
        <color rgb="FF000000"/>
        <rFont val="Arial"/>
        <charset val="134"/>
      </rPr>
      <t>58</t>
    </r>
    <r>
      <rPr>
        <sz val="9"/>
        <color rgb="FF000000"/>
        <rFont val="楷体"/>
        <charset val="134"/>
      </rPr>
      <t>到家平台业务并入</t>
    </r>
    <r>
      <rPr>
        <sz val="9"/>
        <color rgb="FF000000"/>
        <rFont val="Arial"/>
        <charset val="134"/>
      </rPr>
      <t>58</t>
    </r>
    <r>
      <rPr>
        <sz val="9"/>
        <color rgb="FF000000"/>
        <rFont val="楷体"/>
        <charset val="134"/>
      </rPr>
      <t>到家家政，升级为天鹅到家。</t>
    </r>
  </si>
  <si>
    <t>天津五八到家生活服务有限公司</t>
  </si>
  <si>
    <t>https://bj.daojia.com/</t>
  </si>
  <si>
    <r>
      <rPr>
        <sz val="9"/>
        <color rgb="FF000000"/>
        <rFont val="Arial"/>
        <charset val="134"/>
      </rPr>
      <t>26</t>
    </r>
    <r>
      <rPr>
        <sz val="9"/>
        <color rgb="FF000000"/>
        <rFont val="楷体"/>
        <charset val="134"/>
      </rPr>
      <t>亿</t>
    </r>
  </si>
  <si>
    <r>
      <rPr>
        <sz val="9"/>
        <color rgb="FF000000"/>
        <rFont val="Arial"/>
        <charset val="134"/>
      </rPr>
      <t>117</t>
    </r>
    <r>
      <rPr>
        <sz val="9"/>
        <color rgb="FF000000"/>
        <rFont val="楷体"/>
        <charset val="134"/>
      </rPr>
      <t>亿元</t>
    </r>
  </si>
  <si>
    <r>
      <rPr>
        <sz val="9"/>
        <color rgb="FF000000"/>
        <rFont val="楷体"/>
        <charset val="134"/>
      </rPr>
      <t>陈小华</t>
    </r>
    <r>
      <rPr>
        <sz val="9"/>
        <color rgb="FF000000"/>
        <rFont val="Arial"/>
        <charset val="134"/>
      </rPr>
      <t>:CEO</t>
    </r>
  </si>
  <si>
    <r>
      <rPr>
        <sz val="9"/>
        <color rgb="FF000000"/>
        <rFont val="楷体"/>
        <charset val="134"/>
      </rPr>
      <t>北京市海淀区花园路</t>
    </r>
    <r>
      <rPr>
        <sz val="9"/>
        <color rgb="FF000000"/>
        <rFont val="Arial"/>
        <charset val="134"/>
      </rPr>
      <t>5</t>
    </r>
    <r>
      <rPr>
        <sz val="9"/>
        <color rgb="FF000000"/>
        <rFont val="楷体"/>
        <charset val="134"/>
      </rPr>
      <t>号</t>
    </r>
    <r>
      <rPr>
        <sz val="9"/>
        <color rgb="FF000000"/>
        <rFont val="Arial"/>
        <charset val="134"/>
      </rPr>
      <t>5</t>
    </r>
    <r>
      <rPr>
        <sz val="9"/>
        <color rgb="FF000000"/>
        <rFont val="楷体"/>
        <charset val="134"/>
      </rPr>
      <t>幢一层</t>
    </r>
    <r>
      <rPr>
        <sz val="9"/>
        <color rgb="FF000000"/>
        <rFont val="Arial"/>
        <charset val="134"/>
      </rPr>
      <t>130</t>
    </r>
  </si>
  <si>
    <t>400-819-6058</t>
  </si>
  <si>
    <t>MKT@daojia.com</t>
  </si>
  <si>
    <r>
      <rPr>
        <sz val="9"/>
        <color rgb="FF000000"/>
        <rFont val="楷体"/>
        <charset val="134"/>
      </rPr>
      <t>阿里巴巴</t>
    </r>
    <r>
      <rPr>
        <sz val="9"/>
        <color rgb="FF000000"/>
        <rFont val="Arial"/>
        <charset val="134"/>
      </rPr>
      <t>,</t>
    </r>
    <r>
      <rPr>
        <sz val="9"/>
        <color rgb="FF000000"/>
        <rFont val="楷体"/>
        <charset val="134"/>
      </rPr>
      <t>平安创新投资基金</t>
    </r>
    <r>
      <rPr>
        <sz val="9"/>
        <color rgb="FF000000"/>
        <rFont val="Arial"/>
        <charset val="134"/>
      </rPr>
      <t>,KKR</t>
    </r>
  </si>
  <si>
    <t>2015-03-04</t>
  </si>
  <si>
    <t>光线传媒</t>
  </si>
  <si>
    <r>
      <rPr>
        <sz val="9"/>
        <color rgb="FF000000"/>
        <rFont val="楷体"/>
        <charset val="134"/>
      </rPr>
      <t>光线传媒成立于</t>
    </r>
    <r>
      <rPr>
        <sz val="9"/>
        <color rgb="FF000000"/>
        <rFont val="Arial"/>
        <charset val="134"/>
      </rPr>
      <t>1998</t>
    </r>
    <r>
      <rPr>
        <sz val="9"/>
        <color rgb="FF000000"/>
        <rFont val="楷体"/>
        <charset val="134"/>
      </rPr>
      <t>年，是国内一家民营综合性文娱集团，主营业务包括电视节目制作与发行，电影投资、制作、宣发，电视剧投资、发行，艺人经纪，新媒体互联网、游戏等。公司于</t>
    </r>
    <r>
      <rPr>
        <sz val="9"/>
        <color rgb="FF000000"/>
        <rFont val="Arial"/>
        <charset val="134"/>
      </rPr>
      <t>2011</t>
    </r>
    <r>
      <rPr>
        <sz val="9"/>
        <color rgb="FF000000"/>
        <rFont val="楷体"/>
        <charset val="134"/>
      </rPr>
      <t>年</t>
    </r>
    <r>
      <rPr>
        <sz val="9"/>
        <color rgb="FF000000"/>
        <rFont val="Arial"/>
        <charset val="134"/>
      </rPr>
      <t>8</t>
    </r>
    <r>
      <rPr>
        <sz val="9"/>
        <color rgb="FF000000"/>
        <rFont val="楷体"/>
        <charset val="134"/>
      </rPr>
      <t>月</t>
    </r>
    <r>
      <rPr>
        <sz val="9"/>
        <color rgb="FF000000"/>
        <rFont val="Arial"/>
        <charset val="134"/>
      </rPr>
      <t>3</t>
    </r>
    <r>
      <rPr>
        <sz val="9"/>
        <color rgb="FF000000"/>
        <rFont val="楷体"/>
        <charset val="134"/>
      </rPr>
      <t>日在登陆深圳创业板。</t>
    </r>
  </si>
  <si>
    <t>北京光线传媒股份有限公司</t>
  </si>
  <si>
    <t>http://www.ewang.com/</t>
  </si>
  <si>
    <r>
      <rPr>
        <sz val="9"/>
        <color rgb="FF000000"/>
        <rFont val="Arial"/>
        <charset val="134"/>
      </rPr>
      <t>24</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</si>
  <si>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美团</t>
    </r>
  </si>
  <si>
    <r>
      <rPr>
        <sz val="9"/>
        <color rgb="FF000000"/>
        <rFont val="Arial"/>
        <charset val="134"/>
      </rPr>
      <t>38.4</t>
    </r>
    <r>
      <rPr>
        <sz val="9"/>
        <color rgb="FF000000"/>
        <rFont val="楷体"/>
        <charset val="134"/>
      </rPr>
      <t>亿</t>
    </r>
  </si>
  <si>
    <r>
      <rPr>
        <sz val="9"/>
        <color rgb="FF000000"/>
        <rFont val="楷体"/>
        <charset val="134"/>
      </rPr>
      <t>王长田</t>
    </r>
    <r>
      <rPr>
        <sz val="9"/>
        <color rgb="FF000000"/>
        <rFont val="Arial"/>
        <charset val="134"/>
      </rPr>
      <t>:</t>
    </r>
    <r>
      <rPr>
        <sz val="9"/>
        <color rgb="FF000000"/>
        <rFont val="楷体"/>
        <charset val="134"/>
      </rPr>
      <t>创始</t>
    </r>
  </si>
  <si>
    <r>
      <rPr>
        <sz val="9"/>
        <color rgb="FF000000"/>
        <rFont val="Arial"/>
        <charset val="134"/>
      </rPr>
      <t>14.4</t>
    </r>
    <r>
      <rPr>
        <sz val="9"/>
        <color rgb="FF000000"/>
        <rFont val="楷体"/>
        <charset val="134"/>
      </rPr>
      <t>亿人民币</t>
    </r>
  </si>
  <si>
    <t>2020-04-30</t>
  </si>
  <si>
    <t>韵达股份</t>
  </si>
  <si>
    <r>
      <rPr>
        <sz val="9"/>
        <color rgb="FF000000"/>
        <rFont val="楷体"/>
        <charset val="134"/>
      </rPr>
      <t>韵达快递是集快递、物流、电子商务配送和仓储服务为一体的全国网络型品牌快递企业，总部位于中国上海，服务范围覆盖国内</t>
    </r>
    <r>
      <rPr>
        <sz val="9"/>
        <color rgb="FF000000"/>
        <rFont val="Arial"/>
        <charset val="134"/>
      </rPr>
      <t>31</t>
    </r>
    <r>
      <rPr>
        <sz val="9"/>
        <color rgb="FF000000"/>
        <rFont val="楷体"/>
        <charset val="134"/>
      </rPr>
      <t>个省（区、市）及港澳台地区。</t>
    </r>
    <r>
      <rPr>
        <sz val="9"/>
        <color rgb="FF000000"/>
        <rFont val="Arial"/>
        <charset val="134"/>
      </rPr>
      <t>2013</t>
    </r>
    <r>
      <rPr>
        <sz val="9"/>
        <color rgb="FF000000"/>
        <rFont val="楷体"/>
        <charset val="134"/>
      </rPr>
      <t>年以来，韵达快递相继与日本、韩国、美国、德国、澳大利亚等国家和地区开展国际快件业务合作，为海外消费者提供快递服务。</t>
    </r>
  </si>
  <si>
    <t>韵达控股股份有限公司</t>
  </si>
  <si>
    <t>http://www.yundaex.com</t>
  </si>
  <si>
    <t>1996-04</t>
  </si>
  <si>
    <r>
      <rPr>
        <sz val="9"/>
        <color rgb="FF000000"/>
        <rFont val="楷体"/>
        <charset val="134"/>
      </rPr>
      <t>上海</t>
    </r>
    <r>
      <rPr>
        <sz val="9"/>
        <color rgb="FF000000"/>
        <rFont val="Arial"/>
        <charset val="134"/>
      </rPr>
      <t>-</t>
    </r>
    <r>
      <rPr>
        <sz val="9"/>
        <color rgb="FF000000"/>
        <rFont val="楷体"/>
        <charset val="134"/>
      </rPr>
      <t>青浦区</t>
    </r>
  </si>
  <si>
    <r>
      <rPr>
        <sz val="9"/>
        <color rgb="FF000000"/>
        <rFont val="Arial"/>
        <charset val="134"/>
      </rPr>
      <t>363.34</t>
    </r>
    <r>
      <rPr>
        <sz val="9"/>
        <color rgb="FF000000"/>
        <rFont val="楷体"/>
        <charset val="134"/>
      </rPr>
      <t>亿</t>
    </r>
  </si>
  <si>
    <r>
      <rPr>
        <sz val="9"/>
        <color rgb="FF000000"/>
        <rFont val="楷体"/>
        <charset val="134"/>
      </rPr>
      <t>聂腾云</t>
    </r>
    <r>
      <rPr>
        <sz val="9"/>
        <color rgb="FF000000"/>
        <rFont val="Arial"/>
        <charset val="134"/>
      </rPr>
      <t>:</t>
    </r>
    <r>
      <rPr>
        <sz val="9"/>
        <color rgb="FF000000"/>
        <rFont val="楷体"/>
        <charset val="134"/>
      </rPr>
      <t>创始人</t>
    </r>
  </si>
  <si>
    <r>
      <rPr>
        <sz val="9"/>
        <color rgb="FF000000"/>
        <rFont val="楷体"/>
        <charset val="134"/>
      </rPr>
      <t>上海市青浦区华盈港东路</t>
    </r>
    <r>
      <rPr>
        <sz val="9"/>
        <color rgb="FF000000"/>
        <rFont val="Arial"/>
        <charset val="134"/>
      </rPr>
      <t>6679</t>
    </r>
    <r>
      <rPr>
        <sz val="9"/>
        <color rgb="FF000000"/>
        <rFont val="楷体"/>
        <charset val="134"/>
      </rPr>
      <t>号</t>
    </r>
  </si>
  <si>
    <t>021-3929-7127</t>
  </si>
  <si>
    <t>zishi888@126.com</t>
  </si>
  <si>
    <r>
      <rPr>
        <sz val="9"/>
        <color rgb="FF000000"/>
        <rFont val="Arial"/>
        <charset val="134"/>
      </rPr>
      <t>177.6</t>
    </r>
    <r>
      <rPr>
        <sz val="9"/>
        <color rgb="FF000000"/>
        <rFont val="楷体"/>
        <charset val="134"/>
      </rPr>
      <t>亿人民币</t>
    </r>
  </si>
  <si>
    <t>新海股份</t>
  </si>
  <si>
    <r>
      <rPr>
        <sz val="9"/>
        <color rgb="FF000000"/>
        <rFont val="Arial"/>
        <charset val="134"/>
      </rPr>
      <t>180</t>
    </r>
    <r>
      <rPr>
        <sz val="9"/>
        <color rgb="FF000000"/>
        <rFont val="楷体"/>
        <charset val="134"/>
      </rPr>
      <t>亿人民币</t>
    </r>
  </si>
  <si>
    <r>
      <rPr>
        <sz val="9"/>
        <color rgb="FF000000"/>
        <rFont val="楷体"/>
        <charset val="134"/>
      </rPr>
      <t>东方富海</t>
    </r>
    <r>
      <rPr>
        <sz val="9"/>
        <color rgb="FF000000"/>
        <rFont val="Arial"/>
        <charset val="134"/>
      </rPr>
      <t>,</t>
    </r>
    <r>
      <rPr>
        <sz val="9"/>
        <color rgb="FF000000"/>
        <rFont val="楷体"/>
        <charset val="134"/>
      </rPr>
      <t>复星集团</t>
    </r>
    <r>
      <rPr>
        <sz val="9"/>
        <color rgb="FF000000"/>
        <rFont val="Arial"/>
        <charset val="134"/>
      </rPr>
      <t>,</t>
    </r>
    <r>
      <rPr>
        <sz val="9"/>
        <color rgb="FF000000"/>
        <rFont val="楷体"/>
        <charset val="134"/>
      </rPr>
      <t>招商银行</t>
    </r>
    <r>
      <rPr>
        <sz val="9"/>
        <color rgb="FF000000"/>
        <rFont val="Arial"/>
        <charset val="134"/>
      </rPr>
      <t>,</t>
    </r>
    <r>
      <rPr>
        <sz val="9"/>
        <color rgb="FF000000"/>
        <rFont val="楷体"/>
        <charset val="134"/>
      </rPr>
      <t>中国平安</t>
    </r>
    <r>
      <rPr>
        <sz val="9"/>
        <color rgb="FF000000"/>
        <rFont val="Arial"/>
        <charset val="134"/>
      </rPr>
      <t>,</t>
    </r>
    <r>
      <rPr>
        <sz val="9"/>
        <color rgb="FF000000"/>
        <rFont val="楷体"/>
        <charset val="134"/>
      </rPr>
      <t>云晖资本</t>
    </r>
  </si>
  <si>
    <r>
      <rPr>
        <sz val="9"/>
        <color rgb="FF000000"/>
        <rFont val="Arial"/>
        <charset val="134"/>
      </rPr>
      <t>1.74</t>
    </r>
    <r>
      <rPr>
        <sz val="9"/>
        <color rgb="FF000000"/>
        <rFont val="楷体"/>
        <charset val="134"/>
      </rPr>
      <t>亿人民币</t>
    </r>
  </si>
  <si>
    <t>2016-04-05</t>
  </si>
  <si>
    <t>Groupon</t>
  </si>
  <si>
    <r>
      <rPr>
        <sz val="9"/>
        <color rgb="FF000000"/>
        <rFont val="Arial"/>
        <charset val="134"/>
      </rPr>
      <t xml:space="preserve">Groupon </t>
    </r>
    <r>
      <rPr>
        <sz val="9"/>
        <color rgb="FF000000"/>
        <rFont val="楷体"/>
        <charset val="134"/>
      </rPr>
      <t>成立于</t>
    </r>
    <r>
      <rPr>
        <sz val="9"/>
        <color rgb="FF000000"/>
        <rFont val="Arial"/>
        <charset val="134"/>
      </rPr>
      <t>2008</t>
    </r>
    <r>
      <rPr>
        <sz val="9"/>
        <color rgb="FF000000"/>
        <rFont val="楷体"/>
        <charset val="134"/>
      </rPr>
      <t>年</t>
    </r>
    <r>
      <rPr>
        <sz val="9"/>
        <color rgb="FF000000"/>
        <rFont val="Arial"/>
        <charset val="134"/>
      </rPr>
      <t>11</t>
    </r>
    <r>
      <rPr>
        <sz val="9"/>
        <color rgb="FF000000"/>
        <rFont val="楷体"/>
        <charset val="134"/>
      </rPr>
      <t>月，是一家电商团购网站，主要为商家提供一系列产品的特卖服务，每天只推荐一款商品。</t>
    </r>
  </si>
  <si>
    <t>http://www.groupon.com</t>
  </si>
  <si>
    <t>2008-11</t>
  </si>
  <si>
    <t>Atairos Management</t>
  </si>
  <si>
    <r>
      <rPr>
        <sz val="9"/>
        <color rgb="FF000000"/>
        <rFont val="Arial"/>
        <charset val="134"/>
      </rPr>
      <t>81.25</t>
    </r>
    <r>
      <rPr>
        <sz val="9"/>
        <color rgb="FF000000"/>
        <rFont val="楷体"/>
        <charset val="134"/>
      </rPr>
      <t>亿</t>
    </r>
  </si>
  <si>
    <r>
      <rPr>
        <sz val="9"/>
        <color rgb="FF000000"/>
        <rFont val="Arial"/>
        <charset val="134"/>
      </rPr>
      <t>81.25</t>
    </r>
    <r>
      <rPr>
        <sz val="9"/>
        <color rgb="FF000000"/>
        <rFont val="楷体"/>
        <charset val="134"/>
      </rPr>
      <t>亿元</t>
    </r>
  </si>
  <si>
    <t>Aaron Cooper:CEO,Ankur Warikoo:Head, APAC Emerging Markets,Anuj Phull:Head of Strategy and Sales Operations,Arturo Meza:Business Development Manager,Ben Simon Wilder:Head of Sales Operations - Northern Europe,Benjamin McKean:GM of Savored,Bradley Keywell:Co-Founder &amp; Director,Brian Fields:Chief Commercial Officer,Christine Turcuato Gutierrez:Head of Operations, Groupon Goods,Connor Patterson:Corporate Development,Dane Drobny:SVP, Chief Administrative Officer, General Counsel and Corporate Secretary,Eric Lefkofsky:Co-Founder,Felipe Henriquez Meyer:Co - Founder &amp; Regional CFO - Latin America,Ginevra Vallisneri:EMEA Trade Marketing Manager Lead,Jaime Garcia Diaz:Software Engineer,Jen Koren:Director Of Business Operations,Jillian Balis:Chief Marketing Officer,Jose Jimenez:City Manager,Kedar Deshpande:CEO,Meryl McDonald:Lead Product Manager,Nicholas Halliwell:Senior Public Relations Manager,Nomchin Banga:Software Development Engineer,Paul Taaffe:Director of Communications,Rahul Anand:Data Scientist,Rajen Ruparell:Co-Founder,Ruchika Hassan:Head of Social Media EMEA,Sakina Arsiwala:Director of Product,Simon Goodall:Chief Revenue Officer,Stephane Nicolas:Senior Android Developer,Steve Dimmitt:Head of Enterprise Sales,Sydney Bee:Mobile Consumer Experience,Aileen Sandridge:Vice President of Engineering,Antje Pfahl:Country Communications Lead for Germany,Chetta Crowley:Director of Recruiting and Strategic Hiring,Eric Tang:Member of Technical Staff,Greg Caplan:Groupon Presents,John Higginson:Chief Technology Officer,Karissa Schmoe:Manager II, Sales Reporting &amp; Analytics,Kevin Howe:Director Of Engineering - Mobile,Mathias Schilling:Investor,Melissa Thomas:Chief Financial Officer,Mike Burton:Head of Mobile Engineering,Nilay Goyal:Senior Software Development Engineer,Pravin Thampi:Lead Product Manager,Rebecca Friedland:Senior Product Manager,Ricardo Rehkopf:Director of Global Payroll and Shared Services,Sean Mccullough:Software Engineer,Ted Ferguson:Head of Product &amp; Consumer Experience,Tomy Schoenfeld:CEO Groupon Israel,Zita Cai:CEO's PA</t>
  </si>
  <si>
    <t>sysadmin@groupon.com</t>
  </si>
  <si>
    <t>2023-01-19</t>
  </si>
  <si>
    <t>乐华娱乐</t>
  </si>
  <si>
    <r>
      <rPr>
        <sz val="9"/>
        <color rgb="FF000000"/>
        <rFont val="楷体"/>
        <charset val="134"/>
      </rPr>
      <t>乐华娱乐</t>
    </r>
    <r>
      <rPr>
        <sz val="9"/>
        <color rgb="FF000000"/>
        <rFont val="Arial"/>
        <charset val="134"/>
      </rPr>
      <t>(</t>
    </r>
    <r>
      <rPr>
        <sz val="9"/>
        <color rgb="FF000000"/>
        <rFont val="楷体"/>
        <charset val="134"/>
      </rPr>
      <t>乐华文化</t>
    </r>
    <r>
      <rPr>
        <sz val="9"/>
        <color rgb="FF000000"/>
        <rFont val="Arial"/>
        <charset val="134"/>
      </rPr>
      <t>)</t>
    </r>
    <r>
      <rPr>
        <sz val="9"/>
        <color rgb="FF000000"/>
        <rFont val="楷体"/>
        <charset val="134"/>
      </rPr>
      <t>是一家综合文化娱乐公司，业务包括音乐影视制作发行、艺人经纪、艺人培训等，明星王一博、韩庚、黄征、周笔畅等是其签约艺人。</t>
    </r>
  </si>
  <si>
    <t>北京乐华圆娱文化传播股份有限公司</t>
  </si>
  <si>
    <t>http://www.yhfamily.cn/</t>
  </si>
  <si>
    <r>
      <rPr>
        <sz val="9"/>
        <color rgb="FF000000"/>
        <rFont val="Arial"/>
        <charset val="134"/>
      </rPr>
      <t>3.91</t>
    </r>
    <r>
      <rPr>
        <sz val="9"/>
        <color rgb="FF000000"/>
        <rFont val="楷体"/>
        <charset val="134"/>
      </rPr>
      <t>亿港元</t>
    </r>
  </si>
  <si>
    <r>
      <rPr>
        <sz val="9"/>
        <color rgb="FF000000"/>
        <rFont val="Arial"/>
        <charset val="134"/>
      </rPr>
      <t>37.96</t>
    </r>
    <r>
      <rPr>
        <sz val="9"/>
        <color rgb="FF000000"/>
        <rFont val="楷体"/>
        <charset val="134"/>
      </rPr>
      <t>亿</t>
    </r>
  </si>
  <si>
    <r>
      <rPr>
        <sz val="9"/>
        <color rgb="FF000000"/>
        <rFont val="Arial"/>
        <charset val="134"/>
      </rPr>
      <t>38.4</t>
    </r>
    <r>
      <rPr>
        <sz val="9"/>
        <color rgb="FF000000"/>
        <rFont val="楷体"/>
        <charset val="134"/>
      </rPr>
      <t>亿元</t>
    </r>
  </si>
  <si>
    <r>
      <rPr>
        <sz val="9"/>
        <color rgb="FF000000"/>
        <rFont val="楷体"/>
        <charset val="134"/>
      </rPr>
      <t>杜华</t>
    </r>
    <r>
      <rPr>
        <sz val="9"/>
        <color rgb="FF000000"/>
        <rFont val="Arial"/>
        <charset val="134"/>
      </rPr>
      <t>:CEO,</t>
    </r>
    <r>
      <rPr>
        <sz val="9"/>
        <color rgb="FF000000"/>
        <rFont val="楷体"/>
        <charset val="134"/>
      </rPr>
      <t>王京花</t>
    </r>
    <r>
      <rPr>
        <sz val="9"/>
        <color rgb="FF000000"/>
        <rFont val="Arial"/>
        <charset val="134"/>
      </rPr>
      <t>:</t>
    </r>
    <r>
      <rPr>
        <sz val="9"/>
        <color rgb="FF000000"/>
        <rFont val="楷体"/>
        <charset val="134"/>
      </rPr>
      <t>创始人</t>
    </r>
  </si>
  <si>
    <r>
      <rPr>
        <sz val="9"/>
        <color rgb="FF000000"/>
        <rFont val="楷体"/>
        <charset val="134"/>
      </rPr>
      <t>北京市朝阳区广百东路</t>
    </r>
    <r>
      <rPr>
        <sz val="9"/>
        <color rgb="FF000000"/>
        <rFont val="Arial"/>
        <charset val="134"/>
      </rPr>
      <t>2</t>
    </r>
    <r>
      <rPr>
        <sz val="9"/>
        <color rgb="FF000000"/>
        <rFont val="楷体"/>
        <charset val="134"/>
      </rPr>
      <t>号湾会高尔夫俱乐部</t>
    </r>
    <r>
      <rPr>
        <sz val="9"/>
        <color rgb="FF000000"/>
        <rFont val="Arial"/>
        <charset val="134"/>
      </rPr>
      <t>3-4</t>
    </r>
    <r>
      <rPr>
        <sz val="9"/>
        <color rgb="FF000000"/>
        <rFont val="楷体"/>
        <charset val="134"/>
      </rPr>
      <t>层</t>
    </r>
  </si>
  <si>
    <r>
      <rPr>
        <sz val="9"/>
        <color rgb="FF000000"/>
        <rFont val="Arial"/>
        <charset val="134"/>
      </rPr>
      <t>2.76</t>
    </r>
    <r>
      <rPr>
        <sz val="9"/>
        <color rgb="FF000000"/>
        <rFont val="楷体"/>
        <charset val="134"/>
      </rPr>
      <t>亿人民币</t>
    </r>
  </si>
  <si>
    <r>
      <rPr>
        <sz val="9"/>
        <color rgb="FF000000"/>
        <rFont val="楷体"/>
        <charset val="134"/>
      </rPr>
      <t>蓝色光标</t>
    </r>
    <r>
      <rPr>
        <sz val="9"/>
        <color rgb="FF000000"/>
        <rFont val="Arial"/>
        <charset val="134"/>
      </rPr>
      <t>,</t>
    </r>
    <r>
      <rPr>
        <sz val="9"/>
        <color rgb="FF000000"/>
        <rFont val="楷体"/>
        <charset val="134"/>
      </rPr>
      <t>猫眼娱乐</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</si>
  <si>
    <r>
      <rPr>
        <sz val="9"/>
        <color rgb="FF000000"/>
        <rFont val="楷体"/>
        <charset val="134"/>
      </rPr>
      <t>阿里巴巴</t>
    </r>
    <r>
      <rPr>
        <sz val="9"/>
        <color rgb="FF000000"/>
        <rFont val="Arial"/>
        <charset val="134"/>
      </rPr>
      <t>,</t>
    </r>
    <r>
      <rPr>
        <sz val="9"/>
        <color rgb="FF000000"/>
        <rFont val="楷体"/>
        <charset val="134"/>
      </rPr>
      <t>字节跳动</t>
    </r>
  </si>
  <si>
    <r>
      <rPr>
        <sz val="9"/>
        <color rgb="FF000000"/>
        <rFont val="Arial"/>
        <charset val="134"/>
      </rPr>
      <t>1.25</t>
    </r>
    <r>
      <rPr>
        <sz val="9"/>
        <color rgb="FF000000"/>
        <rFont val="楷体"/>
        <charset val="134"/>
      </rPr>
      <t>亿人民币</t>
    </r>
  </si>
  <si>
    <t>字节跳动</t>
  </si>
  <si>
    <r>
      <rPr>
        <sz val="9"/>
        <color rgb="FF000000"/>
        <rFont val="Arial"/>
        <charset val="134"/>
      </rPr>
      <t>23.2</t>
    </r>
    <r>
      <rPr>
        <sz val="9"/>
        <color rgb="FF000000"/>
        <rFont val="楷体"/>
        <charset val="134"/>
      </rPr>
      <t>亿人民币</t>
    </r>
  </si>
  <si>
    <t>共达电声</t>
  </si>
  <si>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引力传媒</t>
    </r>
  </si>
  <si>
    <r>
      <rPr>
        <sz val="9"/>
        <color rgb="FF000000"/>
        <rFont val="Arial"/>
        <charset val="134"/>
      </rPr>
      <t>200</t>
    </r>
    <r>
      <rPr>
        <sz val="9"/>
        <color rgb="FF000000"/>
        <rFont val="楷体"/>
        <charset val="134"/>
      </rPr>
      <t>万人民币</t>
    </r>
  </si>
  <si>
    <t>乐搏资本</t>
  </si>
  <si>
    <t>2018-03-13</t>
  </si>
  <si>
    <t>ofo小黄车</t>
  </si>
  <si>
    <r>
      <rPr>
        <sz val="9"/>
        <color rgb="FF000000"/>
        <rFont val="Arial"/>
        <charset val="134"/>
      </rPr>
      <t>ofo</t>
    </r>
    <r>
      <rPr>
        <sz val="9"/>
        <color rgb="FF000000"/>
        <rFont val="楷体"/>
        <charset val="134"/>
      </rPr>
      <t>小黄车</t>
    </r>
  </si>
  <si>
    <r>
      <rPr>
        <sz val="9"/>
        <color rgb="FF000000"/>
        <rFont val="Arial"/>
        <charset val="134"/>
      </rPr>
      <t xml:space="preserve">ofo </t>
    </r>
    <r>
      <rPr>
        <sz val="9"/>
        <color rgb="FF000000"/>
        <rFont val="楷体"/>
        <charset val="134"/>
      </rPr>
      <t>小黄车是全球领先的无桩共享单车出行平台。用户只需在</t>
    </r>
    <r>
      <rPr>
        <sz val="9"/>
        <color rgb="FF000000"/>
        <rFont val="Arial"/>
        <charset val="134"/>
      </rPr>
      <t>ofo</t>
    </r>
    <r>
      <rPr>
        <sz val="9"/>
        <color rgb="FF000000"/>
        <rFont val="楷体"/>
        <charset val="134"/>
      </rPr>
      <t>官方</t>
    </r>
    <r>
      <rPr>
        <sz val="9"/>
        <color rgb="FF000000"/>
        <rFont val="Arial"/>
        <charset val="134"/>
      </rPr>
      <t>app</t>
    </r>
    <r>
      <rPr>
        <sz val="9"/>
        <color rgb="FF000000"/>
        <rFont val="楷体"/>
        <charset val="134"/>
      </rPr>
      <t>、支付宝小程序、微信服务号和微信小程序输入车牌号或扫码，即可解锁用车，随取随用，随时随地。</t>
    </r>
  </si>
  <si>
    <t>北京拜克洛克科技有限公司</t>
  </si>
  <si>
    <t>http://www.ofo.so</t>
  </si>
  <si>
    <t>2014-12</t>
  </si>
  <si>
    <r>
      <rPr>
        <sz val="9"/>
        <color rgb="FF000000"/>
        <rFont val="Arial"/>
        <charset val="134"/>
      </rPr>
      <t>8.66</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</si>
  <si>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君理资本</t>
    </r>
    <r>
      <rPr>
        <sz val="9"/>
        <color rgb="FF000000"/>
        <rFont val="Arial"/>
        <charset val="134"/>
      </rPr>
      <t>,</t>
    </r>
    <r>
      <rPr>
        <sz val="9"/>
        <color rgb="FF000000"/>
        <rFont val="楷体"/>
        <charset val="134"/>
      </rPr>
      <t>灏峰集团</t>
    </r>
    <r>
      <rPr>
        <sz val="9"/>
        <color rgb="FF000000"/>
        <rFont val="Arial"/>
        <charset val="134"/>
      </rPr>
      <t>,</t>
    </r>
    <r>
      <rPr>
        <sz val="9"/>
        <color rgb="FF000000"/>
        <rFont val="楷体"/>
        <charset val="134"/>
      </rPr>
      <t>天合资本</t>
    </r>
  </si>
  <si>
    <r>
      <rPr>
        <sz val="9"/>
        <color rgb="FF000000"/>
        <rFont val="Arial"/>
        <charset val="134"/>
      </rPr>
      <t>180.96</t>
    </r>
    <r>
      <rPr>
        <sz val="9"/>
        <color rgb="FF000000"/>
        <rFont val="楷体"/>
        <charset val="134"/>
      </rPr>
      <t>亿</t>
    </r>
  </si>
  <si>
    <r>
      <rPr>
        <sz val="9"/>
        <color rgb="FF000000"/>
        <rFont val="Arial"/>
        <charset val="134"/>
      </rPr>
      <t>195</t>
    </r>
    <r>
      <rPr>
        <sz val="9"/>
        <color rgb="FF000000"/>
        <rFont val="楷体"/>
        <charset val="134"/>
      </rPr>
      <t>亿元</t>
    </r>
  </si>
  <si>
    <r>
      <rPr>
        <sz val="9"/>
        <color rgb="FF000000"/>
        <rFont val="楷体"/>
        <charset val="134"/>
      </rPr>
      <t>戴威</t>
    </r>
    <r>
      <rPr>
        <sz val="9"/>
        <color rgb="FF000000"/>
        <rFont val="Arial"/>
        <charset val="134"/>
      </rPr>
      <t>:CEO,</t>
    </r>
    <r>
      <rPr>
        <sz val="9"/>
        <color rgb="FF000000"/>
        <rFont val="楷体"/>
        <charset val="134"/>
      </rPr>
      <t>张巳丁</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薛鼎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于信</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张严琪</t>
    </r>
    <r>
      <rPr>
        <sz val="9"/>
        <color rgb="FF000000"/>
        <rFont val="Arial"/>
        <charset val="134"/>
      </rPr>
      <t>:COO</t>
    </r>
  </si>
  <si>
    <r>
      <rPr>
        <sz val="9"/>
        <color rgb="FF000000"/>
        <rFont val="楷体"/>
        <charset val="134"/>
      </rPr>
      <t>北京市海淀区北四环西路</t>
    </r>
    <r>
      <rPr>
        <sz val="9"/>
        <color rgb="FF000000"/>
        <rFont val="Arial"/>
        <charset val="134"/>
      </rPr>
      <t>58</t>
    </r>
    <r>
      <rPr>
        <sz val="9"/>
        <color rgb="FF000000"/>
        <rFont val="楷体"/>
        <charset val="134"/>
      </rPr>
      <t>号理想国际大厦</t>
    </r>
    <r>
      <rPr>
        <sz val="9"/>
        <color rgb="FF000000"/>
        <rFont val="Arial"/>
        <charset val="134"/>
      </rPr>
      <t>11</t>
    </r>
    <r>
      <rPr>
        <sz val="9"/>
        <color rgb="FF000000"/>
        <rFont val="楷体"/>
        <charset val="134"/>
      </rPr>
      <t>层</t>
    </r>
  </si>
  <si>
    <t>400-0507-507</t>
  </si>
  <si>
    <t>bdinchina@ofo.so</t>
  </si>
  <si>
    <r>
      <rPr>
        <sz val="9"/>
        <color rgb="FF000000"/>
        <rFont val="Arial"/>
        <charset val="134"/>
      </rPr>
      <t>17.7</t>
    </r>
    <r>
      <rPr>
        <sz val="9"/>
        <color rgb="FF000000"/>
        <rFont val="楷体"/>
        <charset val="134"/>
      </rPr>
      <t>亿人民币</t>
    </r>
  </si>
  <si>
    <r>
      <rPr>
        <sz val="9"/>
        <color rgb="FF000000"/>
        <rFont val="楷体"/>
        <charset val="134"/>
      </rPr>
      <t>阿里巴巴</t>
    </r>
    <r>
      <rPr>
        <sz val="9"/>
        <color rgb="FF000000"/>
        <rFont val="Arial"/>
        <charset val="134"/>
      </rPr>
      <t>,DST Global,</t>
    </r>
    <r>
      <rPr>
        <sz val="9"/>
        <color rgb="FF000000"/>
        <rFont val="楷体"/>
        <charset val="134"/>
      </rPr>
      <t>弘毅投资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滴滴出行</t>
    </r>
  </si>
  <si>
    <r>
      <rPr>
        <sz val="9"/>
        <color rgb="FF000000"/>
        <rFont val="楷体"/>
        <charset val="134"/>
      </rPr>
      <t>经纬创投</t>
    </r>
    <r>
      <rPr>
        <sz val="9"/>
        <color rgb="FF000000"/>
        <rFont val="Arial"/>
        <charset val="134"/>
      </rPr>
      <t>,DST Global,CPE</t>
    </r>
    <r>
      <rPr>
        <sz val="9"/>
        <color rgb="FF000000"/>
        <rFont val="楷体"/>
        <charset val="134"/>
      </rPr>
      <t>源峰</t>
    </r>
    <r>
      <rPr>
        <sz val="9"/>
        <color rgb="FF000000"/>
        <rFont val="Arial"/>
        <charset val="134"/>
      </rPr>
      <t>,Coatue Management,Atomico,</t>
    </r>
    <r>
      <rPr>
        <sz val="9"/>
        <color rgb="FF000000"/>
        <rFont val="楷体"/>
        <charset val="134"/>
      </rPr>
      <t>滴滴出行</t>
    </r>
    <r>
      <rPr>
        <sz val="9"/>
        <color rgb="FF000000"/>
        <rFont val="Arial"/>
        <charset val="134"/>
      </rPr>
      <t>,</t>
    </r>
    <r>
      <rPr>
        <sz val="9"/>
        <color rgb="FF000000"/>
        <rFont val="楷体"/>
        <charset val="134"/>
      </rPr>
      <t>新华联集团</t>
    </r>
  </si>
  <si>
    <r>
      <rPr>
        <sz val="9"/>
        <color rgb="FF000000"/>
        <rFont val="Arial"/>
        <charset val="134"/>
      </rPr>
      <t>1.3</t>
    </r>
    <r>
      <rPr>
        <sz val="9"/>
        <color rgb="FF000000"/>
        <rFont val="楷体"/>
        <charset val="134"/>
      </rPr>
      <t>亿美元</t>
    </r>
  </si>
  <si>
    <r>
      <rPr>
        <sz val="9"/>
        <color rgb="FF000000"/>
        <rFont val="楷体"/>
        <charset val="134"/>
      </rPr>
      <t>经纬创投</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,CPE</t>
    </r>
    <r>
      <rPr>
        <sz val="9"/>
        <color rgb="FF000000"/>
        <rFont val="楷体"/>
        <charset val="134"/>
      </rPr>
      <t>源峰</t>
    </r>
    <r>
      <rPr>
        <sz val="9"/>
        <color rgb="FF000000"/>
        <rFont val="Arial"/>
        <charset val="134"/>
      </rPr>
      <t>,Coatue Management,</t>
    </r>
    <r>
      <rPr>
        <sz val="9"/>
        <color rgb="FF000000"/>
        <rFont val="楷体"/>
        <charset val="134"/>
      </rPr>
      <t>元璟资本</t>
    </r>
    <r>
      <rPr>
        <sz val="9"/>
        <color rgb="FF000000"/>
        <rFont val="Arial"/>
        <charset val="134"/>
      </rPr>
      <t>,</t>
    </r>
    <r>
      <rPr>
        <sz val="9"/>
        <color rgb="FF000000"/>
        <rFont val="楷体"/>
        <charset val="134"/>
      </rPr>
      <t>滴滴出行</t>
    </r>
    <r>
      <rPr>
        <sz val="9"/>
        <color rgb="FF000000"/>
        <rFont val="Arial"/>
        <charset val="134"/>
      </rPr>
      <t>,Yuri Milner</t>
    </r>
  </si>
  <si>
    <r>
      <rPr>
        <sz val="9"/>
        <color rgb="FF000000"/>
        <rFont val="楷体"/>
        <charset val="134"/>
      </rPr>
      <t>经纬创投</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唯猎资本</t>
    </r>
  </si>
  <si>
    <r>
      <rPr>
        <sz val="9"/>
        <color rgb="FF000000"/>
        <rFont val="楷体"/>
        <charset val="134"/>
      </rPr>
      <t>真格基金</t>
    </r>
    <r>
      <rPr>
        <sz val="9"/>
        <color rgb="FF000000"/>
        <rFont val="Arial"/>
        <charset val="134"/>
      </rPr>
      <t>,</t>
    </r>
    <r>
      <rPr>
        <sz val="9"/>
        <color rgb="FF000000"/>
        <rFont val="楷体"/>
        <charset val="134"/>
      </rPr>
      <t>天使投资人王刚</t>
    </r>
    <r>
      <rPr>
        <sz val="9"/>
        <color rgb="FF000000"/>
        <rFont val="Arial"/>
        <charset val="134"/>
      </rPr>
      <t>-</t>
    </r>
    <r>
      <rPr>
        <sz val="9"/>
        <color rgb="FF000000"/>
        <rFont val="楷体"/>
        <charset val="134"/>
      </rPr>
      <t>觉资本</t>
    </r>
    <r>
      <rPr>
        <sz val="9"/>
        <color rgb="FF000000"/>
        <rFont val="Arial"/>
        <charset val="134"/>
      </rPr>
      <t>,</t>
    </r>
    <r>
      <rPr>
        <sz val="9"/>
        <color rgb="FF000000"/>
        <rFont val="楷体"/>
        <charset val="134"/>
      </rPr>
      <t>王刚</t>
    </r>
  </si>
  <si>
    <r>
      <rPr>
        <sz val="9"/>
        <color rgb="FF000000"/>
        <rFont val="Arial"/>
        <charset val="134"/>
      </rPr>
      <t>1500</t>
    </r>
    <r>
      <rPr>
        <sz val="9"/>
        <color rgb="FF000000"/>
        <rFont val="楷体"/>
        <charset val="134"/>
      </rPr>
      <t>万人民币</t>
    </r>
  </si>
  <si>
    <r>
      <rPr>
        <sz val="9"/>
        <color rgb="FF000000"/>
        <rFont val="楷体"/>
        <charset val="134"/>
      </rPr>
      <t>金沙江创投</t>
    </r>
    <r>
      <rPr>
        <sz val="9"/>
        <color rgb="FF000000"/>
        <rFont val="Arial"/>
        <charset val="134"/>
      </rPr>
      <t>,</t>
    </r>
    <r>
      <rPr>
        <sz val="9"/>
        <color rgb="FF000000"/>
        <rFont val="楷体"/>
        <charset val="134"/>
      </rPr>
      <t>弘道资本</t>
    </r>
  </si>
  <si>
    <r>
      <rPr>
        <sz val="9"/>
        <color rgb="FF000000"/>
        <rFont val="楷体"/>
        <charset val="134"/>
      </rPr>
      <t>弘道资本</t>
    </r>
    <r>
      <rPr>
        <sz val="9"/>
        <color rgb="FF000000"/>
        <rFont val="Arial"/>
        <charset val="134"/>
      </rPr>
      <t>,</t>
    </r>
    <r>
      <rPr>
        <sz val="9"/>
        <color rgb="FF000000"/>
        <rFont val="楷体"/>
        <charset val="134"/>
      </rPr>
      <t>唯猎资本</t>
    </r>
  </si>
  <si>
    <t>唯猎资本</t>
  </si>
  <si>
    <t>2021-12-02</t>
  </si>
  <si>
    <t>网易云音乐</t>
  </si>
  <si>
    <r>
      <rPr>
        <sz val="9"/>
        <color rgb="FF000000"/>
        <rFont val="楷体"/>
        <charset val="134"/>
      </rPr>
      <t>网易云音乐是一款专注于发现与分享的音乐产品，依托专业音乐人、</t>
    </r>
    <r>
      <rPr>
        <sz val="9"/>
        <color rgb="FF000000"/>
        <rFont val="Arial"/>
        <charset val="134"/>
      </rPr>
      <t>DJ</t>
    </r>
    <r>
      <rPr>
        <sz val="9"/>
        <color rgb="FF000000"/>
        <rFont val="楷体"/>
        <charset val="134"/>
      </rPr>
      <t>、好友推荐及社交功能，为用户打造全新的音乐生活。</t>
    </r>
  </si>
  <si>
    <t>杭州网易云音乐科技有限公司</t>
  </si>
  <si>
    <t>http://music.163.com/</t>
  </si>
  <si>
    <t>2013-04</t>
  </si>
  <si>
    <r>
      <rPr>
        <sz val="9"/>
        <color rgb="FF000000"/>
        <rFont val="Arial"/>
        <charset val="134"/>
      </rPr>
      <t>32.8</t>
    </r>
    <r>
      <rPr>
        <sz val="9"/>
        <color rgb="FF000000"/>
        <rFont val="楷体"/>
        <charset val="134"/>
      </rPr>
      <t>亿港元</t>
    </r>
  </si>
  <si>
    <r>
      <rPr>
        <sz val="9"/>
        <color rgb="FF000000"/>
        <rFont val="Arial"/>
        <charset val="134"/>
      </rPr>
      <t>140.99</t>
    </r>
    <r>
      <rPr>
        <sz val="9"/>
        <color rgb="FF000000"/>
        <rFont val="楷体"/>
        <charset val="134"/>
      </rPr>
      <t>亿</t>
    </r>
  </si>
  <si>
    <r>
      <rPr>
        <sz val="9"/>
        <color rgb="FF000000"/>
        <rFont val="Arial"/>
        <charset val="134"/>
      </rPr>
      <t>340.72</t>
    </r>
    <r>
      <rPr>
        <sz val="9"/>
        <color rgb="FF000000"/>
        <rFont val="楷体"/>
        <charset val="134"/>
      </rPr>
      <t>亿元</t>
    </r>
  </si>
  <si>
    <r>
      <rPr>
        <sz val="9"/>
        <color rgb="FF000000"/>
        <rFont val="楷体"/>
        <charset val="134"/>
      </rPr>
      <t>朱一闻</t>
    </r>
    <r>
      <rPr>
        <sz val="9"/>
        <color rgb="FF000000"/>
        <rFont val="Arial"/>
        <charset val="134"/>
      </rPr>
      <t>:CEO,</t>
    </r>
    <r>
      <rPr>
        <sz val="9"/>
        <color rgb="FF000000"/>
        <rFont val="楷体"/>
        <charset val="134"/>
      </rPr>
      <t>王诗沐</t>
    </r>
    <r>
      <rPr>
        <sz val="9"/>
        <color rgb="FF000000"/>
        <rFont val="Arial"/>
        <charset val="134"/>
      </rPr>
      <t>:</t>
    </r>
    <r>
      <rPr>
        <sz val="9"/>
        <color rgb="FF000000"/>
        <rFont val="楷体"/>
        <charset val="134"/>
      </rPr>
      <t>副总裁</t>
    </r>
  </si>
  <si>
    <r>
      <rPr>
        <sz val="9"/>
        <color rgb="FF000000"/>
        <rFont val="楷体"/>
        <charset val="134"/>
      </rPr>
      <t>浙江省杭州市萧山区钱江世纪城奔竞大道</t>
    </r>
    <r>
      <rPr>
        <sz val="9"/>
        <color rgb="FF000000"/>
        <rFont val="Arial"/>
        <charset val="134"/>
      </rPr>
      <t>353</t>
    </r>
    <r>
      <rPr>
        <sz val="9"/>
        <color rgb="FF000000"/>
        <rFont val="楷体"/>
        <charset val="134"/>
      </rPr>
      <t>号杭州国际博览中心</t>
    </r>
    <r>
      <rPr>
        <sz val="9"/>
        <color rgb="FF000000"/>
        <rFont val="Arial"/>
        <charset val="134"/>
      </rPr>
      <t>A</t>
    </r>
    <r>
      <rPr>
        <sz val="9"/>
        <color rgb="FF000000"/>
        <rFont val="楷体"/>
        <charset val="134"/>
      </rPr>
      <t>座</t>
    </r>
    <r>
      <rPr>
        <sz val="9"/>
        <color rgb="FF000000"/>
        <rFont val="Arial"/>
        <charset val="134"/>
      </rPr>
      <t>1201</t>
    </r>
    <r>
      <rPr>
        <sz val="9"/>
        <color rgb="FF000000"/>
        <rFont val="楷体"/>
        <charset val="134"/>
      </rPr>
      <t>室</t>
    </r>
  </si>
  <si>
    <t>0571-8985-3516</t>
  </si>
  <si>
    <t>ncm5990@163.com</t>
  </si>
  <si>
    <r>
      <rPr>
        <sz val="9"/>
        <color rgb="FF000000"/>
        <rFont val="楷体"/>
        <charset val="134"/>
      </rPr>
      <t>网易</t>
    </r>
    <r>
      <rPr>
        <sz val="9"/>
        <color rgb="FF000000"/>
        <rFont val="Arial"/>
        <charset val="134"/>
      </rPr>
      <t>,</t>
    </r>
    <r>
      <rPr>
        <sz val="9"/>
        <color rgb="FF000000"/>
        <rFont val="楷体"/>
        <charset val="134"/>
      </rPr>
      <t>索尼</t>
    </r>
    <r>
      <rPr>
        <sz val="9"/>
        <color rgb="FF000000"/>
        <rFont val="Arial"/>
        <charset val="134"/>
      </rPr>
      <t xml:space="preserve">Sony,Orbis Investment </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</si>
  <si>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百度</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图灵资管</t>
    </r>
  </si>
  <si>
    <r>
      <rPr>
        <sz val="9"/>
        <color rgb="FF000000"/>
        <rFont val="楷体"/>
        <charset val="134"/>
      </rPr>
      <t>中金公司</t>
    </r>
    <r>
      <rPr>
        <sz val="9"/>
        <color rgb="FF000000"/>
        <rFont val="Arial"/>
        <charset val="134"/>
      </rPr>
      <t>,</t>
    </r>
    <r>
      <rPr>
        <sz val="9"/>
        <color rgb="FF000000"/>
        <rFont val="楷体"/>
        <charset val="134"/>
      </rPr>
      <t>芒果文创基金</t>
    </r>
    <r>
      <rPr>
        <sz val="9"/>
        <color rgb="FF000000"/>
        <rFont val="Arial"/>
        <charset val="134"/>
      </rPr>
      <t>,</t>
    </r>
    <r>
      <rPr>
        <sz val="9"/>
        <color rgb="FF000000"/>
        <rFont val="楷体"/>
        <charset val="134"/>
      </rPr>
      <t>中金佳成</t>
    </r>
    <r>
      <rPr>
        <sz val="9"/>
        <color rgb="FF000000"/>
        <rFont val="Arial"/>
        <charset val="134"/>
      </rPr>
      <t>,SMG</t>
    </r>
    <r>
      <rPr>
        <sz val="9"/>
        <color rgb="FF000000"/>
        <rFont val="楷体"/>
        <charset val="134"/>
      </rPr>
      <t>上海文广</t>
    </r>
  </si>
  <si>
    <t>斑马汽车</t>
  </si>
  <si>
    <r>
      <rPr>
        <sz val="9"/>
        <color rgb="FF000000"/>
        <rFont val="楷体"/>
        <charset val="134"/>
      </rPr>
      <t>斑马汽车是一家互联网汽车整体解决方案提供商，</t>
    </r>
    <r>
      <rPr>
        <sz val="9"/>
        <color rgb="FF000000"/>
        <rFont val="Arial"/>
        <charset val="134"/>
      </rPr>
      <t xml:space="preserve"> </t>
    </r>
    <r>
      <rPr>
        <sz val="9"/>
        <color rgb="FF000000"/>
        <rFont val="楷体"/>
        <charset val="134"/>
      </rPr>
      <t>是上汽集团与阿里巴巴合资公司，旗下产品包括</t>
    </r>
    <r>
      <rPr>
        <sz val="9"/>
        <color rgb="FF000000"/>
        <rFont val="Arial"/>
        <charset val="134"/>
      </rPr>
      <t>“</t>
    </r>
    <r>
      <rPr>
        <sz val="9"/>
        <color rgb="FF000000"/>
        <rFont val="楷体"/>
        <charset val="134"/>
      </rPr>
      <t>斑马智行</t>
    </r>
    <r>
      <rPr>
        <sz val="9"/>
        <color rgb="FF000000"/>
        <rFont val="Arial"/>
        <charset val="134"/>
      </rPr>
      <t>”</t>
    </r>
    <r>
      <rPr>
        <sz val="9"/>
        <color rgb="FF000000"/>
        <rFont val="楷体"/>
        <charset val="134"/>
      </rPr>
      <t>系统，对标苹果推出的</t>
    </r>
    <r>
      <rPr>
        <sz val="9"/>
        <color rgb="FF000000"/>
        <rFont val="Arial"/>
        <charset val="134"/>
      </rPr>
      <t>carplay</t>
    </r>
    <r>
      <rPr>
        <sz val="9"/>
        <color rgb="FF000000"/>
        <rFont val="楷体"/>
        <charset val="134"/>
      </rPr>
      <t>与谷歌推出的</t>
    </r>
    <r>
      <rPr>
        <sz val="9"/>
        <color rgb="FF000000"/>
        <rFont val="Arial"/>
        <charset val="134"/>
      </rPr>
      <t>AndroidAuto</t>
    </r>
    <r>
      <rPr>
        <sz val="9"/>
        <color rgb="FF000000"/>
        <rFont val="楷体"/>
        <charset val="134"/>
      </rPr>
      <t>。</t>
    </r>
  </si>
  <si>
    <t>上海斑马汽车服务有限公司</t>
  </si>
  <si>
    <t>http://weibo.com/u/5985190575</t>
  </si>
  <si>
    <t>2016-04</t>
  </si>
  <si>
    <t>车联网</t>
  </si>
  <si>
    <r>
      <rPr>
        <sz val="9"/>
        <color rgb="FF000000"/>
        <rFont val="楷体"/>
        <charset val="134"/>
      </rPr>
      <t>阿里巴巴</t>
    </r>
    <r>
      <rPr>
        <sz val="9"/>
        <color rgb="FF000000"/>
        <rFont val="Arial"/>
        <charset val="134"/>
      </rPr>
      <t>,</t>
    </r>
    <r>
      <rPr>
        <sz val="9"/>
        <color rgb="FF000000"/>
        <rFont val="楷体"/>
        <charset val="134"/>
      </rPr>
      <t>尚颀资本</t>
    </r>
  </si>
  <si>
    <t>2021-01-05</t>
  </si>
  <si>
    <t>安华金和</t>
  </si>
  <si>
    <t>安华金和是一家专业的数据库安全产品和服务提供商，有四款数据库安全产品包括数据库保险箱、数据库漏洞扫描系统和数据库防火墙、数据库审计系统，全面覆盖数据库安全防护的事前、事中和事后阶段。</t>
  </si>
  <si>
    <t>北京安华金和科技有限公司</t>
  </si>
  <si>
    <r>
      <rPr>
        <sz val="9"/>
        <color rgb="FF000000"/>
        <rFont val="楷体"/>
        <charset val="134"/>
      </rPr>
      <t>中国国有资本风险投资基金（国风投基金）</t>
    </r>
    <r>
      <rPr>
        <sz val="9"/>
        <color rgb="FF000000"/>
        <rFont val="Arial"/>
        <charset val="134"/>
      </rPr>
      <t>,</t>
    </r>
    <r>
      <rPr>
        <sz val="9"/>
        <color rgb="FF000000"/>
        <rFont val="楷体"/>
        <charset val="134"/>
      </rPr>
      <t>彩讯股份</t>
    </r>
  </si>
  <si>
    <r>
      <rPr>
        <sz val="9"/>
        <color rgb="FF000000"/>
        <rFont val="Arial"/>
        <charset val="134"/>
      </rPr>
      <t>5.6</t>
    </r>
    <r>
      <rPr>
        <sz val="9"/>
        <color rgb="FF000000"/>
        <rFont val="楷体"/>
        <charset val="134"/>
      </rPr>
      <t>亿</t>
    </r>
  </si>
  <si>
    <r>
      <rPr>
        <sz val="9"/>
        <color rgb="FF000000"/>
        <rFont val="楷体"/>
        <charset val="134"/>
      </rPr>
      <t>刘晓韬</t>
    </r>
    <r>
      <rPr>
        <sz val="9"/>
        <color rgb="FF000000"/>
        <rFont val="Arial"/>
        <charset val="134"/>
      </rPr>
      <t>:CEO</t>
    </r>
  </si>
  <si>
    <r>
      <rPr>
        <sz val="9"/>
        <color rgb="FF000000"/>
        <rFont val="楷体"/>
        <charset val="134"/>
      </rPr>
      <t>北京市海淀区中关村南大街甲</t>
    </r>
    <r>
      <rPr>
        <sz val="9"/>
        <color rgb="FF000000"/>
        <rFont val="Arial"/>
        <charset val="134"/>
      </rPr>
      <t>18</t>
    </r>
    <r>
      <rPr>
        <sz val="9"/>
        <color rgb="FF000000"/>
        <rFont val="楷体"/>
        <charset val="134"/>
      </rPr>
      <t>号院</t>
    </r>
    <r>
      <rPr>
        <sz val="9"/>
        <color rgb="FF000000"/>
        <rFont val="Arial"/>
        <charset val="134"/>
      </rPr>
      <t>1-4</t>
    </r>
    <r>
      <rPr>
        <sz val="9"/>
        <color rgb="FF000000"/>
        <rFont val="楷体"/>
        <charset val="134"/>
      </rPr>
      <t>号楼</t>
    </r>
  </si>
  <si>
    <t>131-4611-5686</t>
  </si>
  <si>
    <t>cuijiachen@126.com</t>
  </si>
  <si>
    <t>德联资本</t>
  </si>
  <si>
    <r>
      <rPr>
        <sz val="9"/>
        <color rgb="FF000000"/>
        <rFont val="楷体"/>
        <charset val="134"/>
      </rPr>
      <t>君联资本</t>
    </r>
    <r>
      <rPr>
        <sz val="9"/>
        <color rgb="FF000000"/>
        <rFont val="Arial"/>
        <charset val="134"/>
      </rPr>
      <t>,</t>
    </r>
    <r>
      <rPr>
        <sz val="9"/>
        <color rgb="FF000000"/>
        <rFont val="楷体"/>
        <charset val="134"/>
      </rPr>
      <t>阿里巴巴</t>
    </r>
  </si>
  <si>
    <r>
      <rPr>
        <sz val="9"/>
        <color rgb="FF000000"/>
        <rFont val="Arial"/>
        <charset val="134"/>
      </rPr>
      <t>970</t>
    </r>
    <r>
      <rPr>
        <sz val="9"/>
        <color rgb="FF000000"/>
        <rFont val="楷体"/>
        <charset val="134"/>
      </rPr>
      <t>万人民币</t>
    </r>
  </si>
  <si>
    <t>绿盟科技</t>
  </si>
  <si>
    <t>丽人丽妆</t>
  </si>
  <si>
    <r>
      <rPr>
        <sz val="9"/>
        <color rgb="FF000000"/>
        <rFont val="楷体"/>
        <charset val="134"/>
      </rPr>
      <t>丽人丽妆是一家专注于品牌化妆品网络零售的新型电子商务公司，通过为知名品牌在淘宝商城开设品牌官方旗舰店，或向其他</t>
    </r>
    <r>
      <rPr>
        <sz val="9"/>
        <color rgb="FF000000"/>
        <rFont val="Arial"/>
        <charset val="134"/>
      </rPr>
      <t>B2C</t>
    </r>
    <r>
      <rPr>
        <sz val="9"/>
        <color rgb="FF000000"/>
        <rFont val="楷体"/>
        <charset val="134"/>
      </rPr>
      <t>商城提供商品，为消费者提供化妆品网购服务。</t>
    </r>
  </si>
  <si>
    <t>上海丽人丽妆化妆品股份有限公司</t>
  </si>
  <si>
    <t>http://www.lrlz.com</t>
  </si>
  <si>
    <r>
      <rPr>
        <sz val="9"/>
        <color rgb="FF000000"/>
        <rFont val="楷体"/>
        <charset val="134"/>
      </rPr>
      <t>上海</t>
    </r>
    <r>
      <rPr>
        <sz val="9"/>
        <color rgb="FF000000"/>
        <rFont val="Arial"/>
        <charset val="134"/>
      </rPr>
      <t>-</t>
    </r>
    <r>
      <rPr>
        <sz val="9"/>
        <color rgb="FF000000"/>
        <rFont val="楷体"/>
        <charset val="134"/>
      </rPr>
      <t>松江区</t>
    </r>
  </si>
  <si>
    <t>美容护理</t>
  </si>
  <si>
    <r>
      <rPr>
        <sz val="9"/>
        <color rgb="FF000000"/>
        <rFont val="Arial"/>
        <charset val="134"/>
      </rPr>
      <t>4.89</t>
    </r>
    <r>
      <rPr>
        <sz val="9"/>
        <color rgb="FF000000"/>
        <rFont val="楷体"/>
        <charset val="134"/>
      </rPr>
      <t>亿人民币</t>
    </r>
  </si>
  <si>
    <r>
      <rPr>
        <sz val="9"/>
        <color rgb="FF000000"/>
        <rFont val="Arial"/>
        <charset val="134"/>
      </rPr>
      <t>12.04</t>
    </r>
    <r>
      <rPr>
        <sz val="9"/>
        <color rgb="FF000000"/>
        <rFont val="楷体"/>
        <charset val="134"/>
      </rPr>
      <t>亿</t>
    </r>
  </si>
  <si>
    <r>
      <rPr>
        <sz val="9"/>
        <color rgb="FF000000"/>
        <rFont val="Arial"/>
        <charset val="134"/>
      </rPr>
      <t>48.92</t>
    </r>
    <r>
      <rPr>
        <sz val="9"/>
        <color rgb="FF000000"/>
        <rFont val="楷体"/>
        <charset val="134"/>
      </rPr>
      <t>亿元</t>
    </r>
  </si>
  <si>
    <r>
      <rPr>
        <sz val="9"/>
        <color rgb="FF000000"/>
        <rFont val="楷体"/>
        <charset val="134"/>
      </rPr>
      <t>黄韬</t>
    </r>
    <r>
      <rPr>
        <sz val="9"/>
        <color rgb="FF000000"/>
        <rFont val="Arial"/>
        <charset val="134"/>
      </rPr>
      <t>:CEO</t>
    </r>
  </si>
  <si>
    <r>
      <rPr>
        <sz val="9"/>
        <color rgb="FF000000"/>
        <rFont val="楷体"/>
        <charset val="134"/>
      </rPr>
      <t>上海市松江区玉树路</t>
    </r>
    <r>
      <rPr>
        <sz val="9"/>
        <color rgb="FF000000"/>
        <rFont val="Arial"/>
        <charset val="134"/>
      </rPr>
      <t>1810</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0</t>
    </r>
    <r>
      <rPr>
        <sz val="9"/>
        <color rgb="FF000000"/>
        <rFont val="楷体"/>
        <charset val="134"/>
      </rPr>
      <t>区</t>
    </r>
  </si>
  <si>
    <t xml:space="preserve"> 021-57835109</t>
  </si>
  <si>
    <t>sally.yang@lrlz.com</t>
  </si>
  <si>
    <r>
      <rPr>
        <sz val="9"/>
        <color rgb="FF000000"/>
        <rFont val="楷体"/>
        <charset val="134"/>
      </rPr>
      <t>阿里巴巴</t>
    </r>
    <r>
      <rPr>
        <sz val="9"/>
        <color rgb="FF000000"/>
        <rFont val="Arial"/>
        <charset val="134"/>
      </rPr>
      <t>,</t>
    </r>
    <r>
      <rPr>
        <sz val="9"/>
        <color rgb="FF000000"/>
        <rFont val="楷体"/>
        <charset val="134"/>
      </rPr>
      <t>汉理资本</t>
    </r>
    <r>
      <rPr>
        <sz val="9"/>
        <color rgb="FF000000"/>
        <rFont val="Arial"/>
        <charset val="134"/>
      </rPr>
      <t>,</t>
    </r>
    <r>
      <rPr>
        <sz val="9"/>
        <color rgb="FF000000"/>
        <rFont val="楷体"/>
        <charset val="134"/>
      </rPr>
      <t>麦顿投资</t>
    </r>
    <r>
      <rPr>
        <sz val="9"/>
        <color rgb="FF000000"/>
        <rFont val="Arial"/>
        <charset val="134"/>
      </rPr>
      <t>,</t>
    </r>
    <r>
      <rPr>
        <sz val="9"/>
        <color rgb="FF000000"/>
        <rFont val="楷体"/>
        <charset val="134"/>
      </rPr>
      <t>凯欣亚洲投资</t>
    </r>
    <r>
      <rPr>
        <sz val="9"/>
        <color rgb="FF000000"/>
        <rFont val="Arial"/>
        <charset val="134"/>
      </rPr>
      <t>Crescent Point</t>
    </r>
  </si>
  <si>
    <t>2019-03-25</t>
  </si>
  <si>
    <t>InfinityAR</t>
  </si>
  <si>
    <r>
      <rPr>
        <sz val="9"/>
        <color rgb="FF000000"/>
        <rFont val="Arial"/>
        <charset val="134"/>
      </rPr>
      <t>InfinityAR</t>
    </r>
    <r>
      <rPr>
        <sz val="9"/>
        <color rgb="FF000000"/>
        <rFont val="楷体"/>
        <charset val="134"/>
      </rPr>
      <t>是一个增强现实引擎研发商，其开发的引擎工具能够从成本、处理功率和电池寿命三个方面用降低用户获取增强现实效果的门槛。</t>
    </r>
  </si>
  <si>
    <t>http://www.infinityar.com/</t>
  </si>
  <si>
    <r>
      <rPr>
        <sz val="9"/>
        <color rgb="FF000000"/>
        <rFont val="Arial"/>
        <charset val="134"/>
      </rPr>
      <t>1.5</t>
    </r>
    <r>
      <rPr>
        <sz val="9"/>
        <color rgb="FF000000"/>
        <rFont val="楷体"/>
        <charset val="134"/>
      </rPr>
      <t>亿</t>
    </r>
  </si>
  <si>
    <t>Jeff Torczon:Founder &amp; President</t>
  </si>
  <si>
    <t>2018-09-06</t>
  </si>
  <si>
    <t>回收宝</t>
  </si>
  <si>
    <r>
      <rPr>
        <sz val="9"/>
        <color rgb="FF000000"/>
        <rFont val="楷体"/>
        <charset val="134"/>
      </rPr>
      <t>回收宝，手机数码回收领域的头部平台。以</t>
    </r>
    <r>
      <rPr>
        <sz val="9"/>
        <color rgb="FF000000"/>
        <rFont val="Arial"/>
        <charset val="134"/>
      </rPr>
      <t>“</t>
    </r>
    <r>
      <rPr>
        <sz val="9"/>
        <color rgb="FF000000"/>
        <rFont val="楷体"/>
        <charset val="134"/>
      </rPr>
      <t>让闲置回归价值</t>
    </r>
    <r>
      <rPr>
        <sz val="9"/>
        <color rgb="FF000000"/>
        <rFont val="Arial"/>
        <charset val="134"/>
      </rPr>
      <t>”</t>
    </r>
    <r>
      <rPr>
        <sz val="9"/>
        <color rgb="FF000000"/>
        <rFont val="楷体"/>
        <charset val="134"/>
      </rPr>
      <t>为使命，通过资源的循环利用，持续为用户和社会创造价值。回收宝目前已和子品牌</t>
    </r>
    <r>
      <rPr>
        <sz val="9"/>
        <color rgb="FF000000"/>
        <rFont val="Arial"/>
        <charset val="134"/>
      </rPr>
      <t>“</t>
    </r>
    <r>
      <rPr>
        <sz val="9"/>
        <color rgb="FF000000"/>
        <rFont val="楷体"/>
        <charset val="134"/>
      </rPr>
      <t>换机侠</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可乐优品</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拿趣用</t>
    </r>
    <r>
      <rPr>
        <sz val="9"/>
        <color rgb="FF000000"/>
        <rFont val="Arial"/>
        <charset val="134"/>
      </rPr>
      <t>”</t>
    </r>
    <r>
      <rPr>
        <sz val="9"/>
        <color rgb="FF000000"/>
        <rFont val="楷体"/>
        <charset val="134"/>
      </rPr>
      <t>、投资品牌</t>
    </r>
    <r>
      <rPr>
        <sz val="9"/>
        <color rgb="FF000000"/>
        <rFont val="Arial"/>
        <charset val="134"/>
      </rPr>
      <t>“</t>
    </r>
    <r>
      <rPr>
        <sz val="9"/>
        <color rgb="FF000000"/>
        <rFont val="楷体"/>
        <charset val="134"/>
      </rPr>
      <t>闪修侠</t>
    </r>
    <r>
      <rPr>
        <sz val="9"/>
        <color rgb="FF000000"/>
        <rFont val="Arial"/>
        <charset val="134"/>
      </rPr>
      <t>”</t>
    </r>
    <r>
      <rPr>
        <sz val="9"/>
        <color rgb="FF000000"/>
        <rFont val="楷体"/>
        <charset val="134"/>
      </rPr>
      <t>形成产业联动，构建了</t>
    </r>
    <r>
      <rPr>
        <sz val="9"/>
        <color rgb="FF000000"/>
        <rFont val="Arial"/>
        <charset val="134"/>
      </rPr>
      <t>“</t>
    </r>
    <r>
      <rPr>
        <sz val="9"/>
        <color rgb="FF000000"/>
        <rFont val="楷体"/>
        <charset val="134"/>
      </rPr>
      <t>收机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租机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卖机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修机</t>
    </r>
    <r>
      <rPr>
        <sz val="9"/>
        <color rgb="FF000000"/>
        <rFont val="Arial"/>
        <charset val="134"/>
      </rPr>
      <t>”</t>
    </r>
    <r>
      <rPr>
        <sz val="9"/>
        <color rgb="FF000000"/>
        <rFont val="楷体"/>
        <charset val="134"/>
      </rPr>
      <t>为一体的业务闭环，并通过信用回收、手机回收机器人等业务模式的创新，持续提升业务效率和用户体验。</t>
    </r>
  </si>
  <si>
    <t>深圳回收宝科技有限公司</t>
  </si>
  <si>
    <t>http://www.huishoubao.com/</t>
  </si>
  <si>
    <t>二手电商</t>
  </si>
  <si>
    <r>
      <rPr>
        <sz val="9"/>
        <color rgb="FF000000"/>
        <rFont val="Arial"/>
        <charset val="134"/>
      </rPr>
      <t>7.47</t>
    </r>
    <r>
      <rPr>
        <sz val="9"/>
        <color rgb="FF000000"/>
        <rFont val="楷体"/>
        <charset val="134"/>
      </rPr>
      <t>亿</t>
    </r>
  </si>
  <si>
    <r>
      <rPr>
        <sz val="9"/>
        <color rgb="FF000000"/>
        <rFont val="Arial"/>
        <charset val="134"/>
      </rPr>
      <t>16</t>
    </r>
    <r>
      <rPr>
        <sz val="9"/>
        <color rgb="FF000000"/>
        <rFont val="楷体"/>
        <charset val="134"/>
      </rPr>
      <t>亿元</t>
    </r>
  </si>
  <si>
    <r>
      <rPr>
        <sz val="9"/>
        <color rgb="FF000000"/>
        <rFont val="楷体"/>
        <charset val="134"/>
      </rPr>
      <t>何帆</t>
    </r>
    <r>
      <rPr>
        <sz val="9"/>
        <color rgb="FF000000"/>
        <rFont val="Arial"/>
        <charset val="134"/>
      </rPr>
      <t>:</t>
    </r>
    <r>
      <rPr>
        <sz val="9"/>
        <color rgb="FF000000"/>
        <rFont val="楷体"/>
        <charset val="134"/>
      </rPr>
      <t>创始人</t>
    </r>
  </si>
  <si>
    <r>
      <rPr>
        <sz val="9"/>
        <color rgb="FF000000"/>
        <rFont val="楷体"/>
        <charset val="134"/>
      </rPr>
      <t>深圳市南山区科技园威新软件园</t>
    </r>
    <r>
      <rPr>
        <sz val="9"/>
        <color rgb="FF000000"/>
        <rFont val="Arial"/>
        <charset val="134"/>
      </rPr>
      <t>8</t>
    </r>
    <r>
      <rPr>
        <sz val="9"/>
        <color rgb="FF000000"/>
        <rFont val="楷体"/>
        <charset val="134"/>
      </rPr>
      <t>号楼</t>
    </r>
    <r>
      <rPr>
        <sz val="9"/>
        <color rgb="FF000000"/>
        <rFont val="Arial"/>
        <charset val="134"/>
      </rPr>
      <t>7</t>
    </r>
    <r>
      <rPr>
        <sz val="9"/>
        <color rgb="FF000000"/>
        <rFont val="楷体"/>
        <charset val="134"/>
      </rPr>
      <t>楼</t>
    </r>
  </si>
  <si>
    <t>0755-3394-1022</t>
  </si>
  <si>
    <t>bd@huishoubao.com.cn</t>
  </si>
  <si>
    <r>
      <rPr>
        <sz val="9"/>
        <color rgb="FF000000"/>
        <rFont val="楷体"/>
        <charset val="134"/>
      </rPr>
      <t>成为资本</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世铭投资</t>
    </r>
    <r>
      <rPr>
        <sz val="9"/>
        <color rgb="FF000000"/>
        <rFont val="Arial"/>
        <charset val="134"/>
      </rPr>
      <t>,</t>
    </r>
    <r>
      <rPr>
        <sz val="9"/>
        <color rgb="FF000000"/>
        <rFont val="楷体"/>
        <charset val="134"/>
      </rPr>
      <t>海峡资本</t>
    </r>
  </si>
  <si>
    <t>世铭投资</t>
  </si>
  <si>
    <r>
      <rPr>
        <sz val="9"/>
        <color rgb="FF000000"/>
        <rFont val="楷体"/>
        <charset val="134"/>
      </rPr>
      <t>成为资本</t>
    </r>
    <r>
      <rPr>
        <sz val="9"/>
        <color rgb="FF000000"/>
        <rFont val="Arial"/>
        <charset val="134"/>
      </rPr>
      <t>,</t>
    </r>
    <r>
      <rPr>
        <sz val="9"/>
        <color rgb="FF000000"/>
        <rFont val="楷体"/>
        <charset val="134"/>
      </rPr>
      <t>中信资本</t>
    </r>
  </si>
  <si>
    <r>
      <rPr>
        <sz val="9"/>
        <color rgb="FF000000"/>
        <rFont val="楷体"/>
        <charset val="134"/>
      </rPr>
      <t>腾讯投资</t>
    </r>
    <r>
      <rPr>
        <sz val="9"/>
        <color rgb="FF000000"/>
        <rFont val="Arial"/>
        <charset val="134"/>
      </rPr>
      <t>,</t>
    </r>
    <r>
      <rPr>
        <sz val="9"/>
        <color rgb="FF000000"/>
        <rFont val="楷体"/>
        <charset val="134"/>
      </rPr>
      <t>源码资本</t>
    </r>
  </si>
  <si>
    <t>源码资本</t>
  </si>
  <si>
    <t>2015-08-18</t>
  </si>
  <si>
    <t>Zulily</t>
  </si>
  <si>
    <r>
      <rPr>
        <sz val="9"/>
        <color rgb="FF000000"/>
        <rFont val="Arial"/>
        <charset val="134"/>
      </rPr>
      <t>Zulily</t>
    </r>
    <r>
      <rPr>
        <sz val="9"/>
        <color rgb="FF000000"/>
        <rFont val="楷体"/>
        <charset val="134"/>
      </rPr>
      <t>是一家专注母婴电商的闪购网站，每天会上线不同的新产品。</t>
    </r>
  </si>
  <si>
    <t>http://www.zulily.com/</t>
  </si>
  <si>
    <t>2009-06</t>
  </si>
  <si>
    <r>
      <rPr>
        <sz val="9"/>
        <color rgb="FF000000"/>
        <rFont val="Arial"/>
        <charset val="134"/>
      </rPr>
      <t>24</t>
    </r>
    <r>
      <rPr>
        <sz val="9"/>
        <color rgb="FF000000"/>
        <rFont val="楷体"/>
        <charset val="134"/>
      </rPr>
      <t>亿美元</t>
    </r>
  </si>
  <si>
    <r>
      <rPr>
        <sz val="9"/>
        <color rgb="FF000000"/>
        <rFont val="Arial"/>
        <charset val="134"/>
      </rPr>
      <t>159.64</t>
    </r>
    <r>
      <rPr>
        <sz val="9"/>
        <color rgb="FF000000"/>
        <rFont val="楷体"/>
        <charset val="134"/>
      </rPr>
      <t>亿</t>
    </r>
  </si>
  <si>
    <r>
      <rPr>
        <sz val="9"/>
        <color rgb="FF000000"/>
        <rFont val="Arial"/>
        <charset val="134"/>
      </rPr>
      <t>780</t>
    </r>
    <r>
      <rPr>
        <sz val="9"/>
        <color rgb="FF000000"/>
        <rFont val="楷体"/>
        <charset val="134"/>
      </rPr>
      <t>亿元</t>
    </r>
  </si>
  <si>
    <r>
      <rPr>
        <sz val="9"/>
        <color rgb="FF000000"/>
        <rFont val="Arial"/>
        <charset val="134"/>
      </rPr>
      <t>Mark Vadon:CEO,Darrell Cavens:</t>
    </r>
    <r>
      <rPr>
        <sz val="9"/>
        <color rgb="FF000000"/>
        <rFont val="楷体"/>
        <charset val="134"/>
      </rPr>
      <t>联合创始人</t>
    </r>
    <r>
      <rPr>
        <sz val="9"/>
        <color rgb="FF000000"/>
        <rFont val="Arial"/>
        <charset val="134"/>
      </rPr>
      <t>,Bergitta Trelstad:VP &amp; General Counsel,Bindu Thota:Vice President Of Engineering,Courtney Kissler:Chief Technology Officer,Demitri Plessas:Lead Data Scientist,Elaine Miller:Vice President Of Merchandising,John Grasel:Director of Software Engineering,John Lohnas:SVP &amp; Chief Merchant,John Starke:VP, Business Development,Juana Grant:Strategic Sourcing Executive,Kelly Wolf:VP, People,Lori Twomey:Chief Merchant,Marc Kamaka:Lead Software Engineer - Core Services,Pedro Pablo Fuentes Schuster:VP of Product &amp; Engineering,Rena Wong:CFO &amp; VP, finance,Ron Kelly:Senior Vice President, Supply Chain Operations, zulily,Stacy Wang:Data Scientist II,Terry Boyle:President &amp; CEO,Tim Ragland:VP, Analytics,Tom Laramee:Technology Lead, System Architect,Whitney Evans:Technology Product Manager II,Kiran Akkineni:SVP and CMO</t>
    </r>
  </si>
  <si>
    <t>hostmaster@titan.net</t>
  </si>
  <si>
    <r>
      <rPr>
        <sz val="9"/>
        <color rgb="FF000000"/>
        <rFont val="Arial"/>
        <charset val="134"/>
      </rPr>
      <t>5600</t>
    </r>
    <r>
      <rPr>
        <sz val="9"/>
        <color rgb="FF000000"/>
        <rFont val="楷体"/>
        <charset val="134"/>
      </rPr>
      <t>万美元</t>
    </r>
  </si>
  <si>
    <t>2020-09-01</t>
  </si>
  <si>
    <r>
      <rPr>
        <sz val="9"/>
        <color rgb="FF000000"/>
        <rFont val="楷体"/>
        <charset val="134"/>
      </rPr>
      <t>圆通速递有限公司成立于</t>
    </r>
    <r>
      <rPr>
        <sz val="9"/>
        <color rgb="FF000000"/>
        <rFont val="Arial"/>
        <charset val="134"/>
      </rPr>
      <t>2000</t>
    </r>
    <r>
      <rPr>
        <sz val="9"/>
        <color rgb="FF000000"/>
        <rFont val="楷体"/>
        <charset val="134"/>
      </rPr>
      <t>年</t>
    </r>
    <r>
      <rPr>
        <sz val="9"/>
        <color rgb="FF000000"/>
        <rFont val="Arial"/>
        <charset val="134"/>
      </rPr>
      <t>5</t>
    </r>
    <r>
      <rPr>
        <sz val="9"/>
        <color rgb="FF000000"/>
        <rFont val="楷体"/>
        <charset val="134"/>
      </rPr>
      <t>月</t>
    </r>
    <r>
      <rPr>
        <sz val="9"/>
        <color rgb="FF000000"/>
        <rFont val="Arial"/>
        <charset val="134"/>
      </rPr>
      <t>28</t>
    </r>
    <r>
      <rPr>
        <sz val="9"/>
        <color rgb="FF000000"/>
        <rFont val="楷体"/>
        <charset val="134"/>
      </rPr>
      <t>日，是一家集快递、电子商务、印务、仓储、物流等全面服务于一体的快递公司。</t>
    </r>
  </si>
  <si>
    <t>圆通速递有限公司</t>
  </si>
  <si>
    <t>http://www.yto.net.cn</t>
  </si>
  <si>
    <t>2000-05</t>
  </si>
  <si>
    <r>
      <rPr>
        <sz val="9"/>
        <color rgb="FF000000"/>
        <rFont val="Arial"/>
        <charset val="134"/>
      </rPr>
      <t>66</t>
    </r>
    <r>
      <rPr>
        <sz val="9"/>
        <color rgb="FF000000"/>
        <rFont val="楷体"/>
        <charset val="134"/>
      </rPr>
      <t>亿人民币</t>
    </r>
  </si>
  <si>
    <r>
      <rPr>
        <sz val="9"/>
        <color rgb="FF000000"/>
        <rFont val="Arial"/>
        <charset val="134"/>
      </rPr>
      <t>244</t>
    </r>
    <r>
      <rPr>
        <sz val="9"/>
        <color rgb="FF000000"/>
        <rFont val="楷体"/>
        <charset val="134"/>
      </rPr>
      <t>亿</t>
    </r>
  </si>
  <si>
    <r>
      <rPr>
        <sz val="9"/>
        <color rgb="FF000000"/>
        <rFont val="Arial"/>
        <charset val="134"/>
      </rPr>
      <t>550</t>
    </r>
    <r>
      <rPr>
        <sz val="9"/>
        <color rgb="FF000000"/>
        <rFont val="楷体"/>
        <charset val="134"/>
      </rPr>
      <t>亿元</t>
    </r>
  </si>
  <si>
    <r>
      <rPr>
        <sz val="9"/>
        <color rgb="FF000000"/>
        <rFont val="Arial"/>
        <charset val="134"/>
      </rPr>
      <t>175</t>
    </r>
    <r>
      <rPr>
        <sz val="9"/>
        <color rgb="FF000000"/>
        <rFont val="楷体"/>
        <charset val="134"/>
      </rPr>
      <t>亿人民币</t>
    </r>
  </si>
  <si>
    <t>大杨创世</t>
  </si>
  <si>
    <t>2021-09-01</t>
  </si>
  <si>
    <t>驿公里</t>
  </si>
  <si>
    <r>
      <rPr>
        <sz val="9"/>
        <color rgb="FF000000"/>
        <rFont val="楷体"/>
        <charset val="134"/>
      </rPr>
      <t>驿公里是一家智能洗车机器人研发商，专注于全天候无人值守智能洗车设备的研发与设计，旗下产品智能洗车机是由智能洗车机器人和驿公里洗车</t>
    </r>
    <r>
      <rPr>
        <sz val="9"/>
        <color rgb="FF000000"/>
        <rFont val="Arial"/>
        <charset val="134"/>
      </rPr>
      <t>APP</t>
    </r>
    <r>
      <rPr>
        <sz val="9"/>
        <color rgb="FF000000"/>
        <rFont val="楷体"/>
        <charset val="134"/>
      </rPr>
      <t>组成，该产品主要设在</t>
    </r>
    <r>
      <rPr>
        <sz val="9"/>
        <color rgb="FF000000"/>
        <rFont val="Arial"/>
        <charset val="134"/>
      </rPr>
      <t>CBD</t>
    </r>
    <r>
      <rPr>
        <sz val="9"/>
        <color rgb="FF000000"/>
        <rFont val="楷体"/>
        <charset val="134"/>
      </rPr>
      <t>写字楼、高档小区和加油站附近等。</t>
    </r>
  </si>
  <si>
    <t>杭州恒致创新智能科技集团有限公司</t>
  </si>
  <si>
    <t>https://www.1kmxc.com/</t>
  </si>
  <si>
    <t>汽车后服务</t>
  </si>
  <si>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颢腾亚洲投资</t>
    </r>
  </si>
  <si>
    <r>
      <rPr>
        <sz val="9"/>
        <color rgb="FF000000"/>
        <rFont val="Arial"/>
        <charset val="134"/>
      </rPr>
      <t>10.1</t>
    </r>
    <r>
      <rPr>
        <sz val="9"/>
        <color rgb="FF000000"/>
        <rFont val="楷体"/>
        <charset val="134"/>
      </rPr>
      <t>亿</t>
    </r>
  </si>
  <si>
    <r>
      <rPr>
        <sz val="9"/>
        <color rgb="FF000000"/>
        <rFont val="Arial"/>
        <charset val="134"/>
      </rPr>
      <t>30</t>
    </r>
    <r>
      <rPr>
        <sz val="9"/>
        <color rgb="FF000000"/>
        <rFont val="楷体"/>
        <charset val="134"/>
      </rPr>
      <t>亿元</t>
    </r>
  </si>
  <si>
    <r>
      <rPr>
        <sz val="9"/>
        <color rgb="FF000000"/>
        <rFont val="楷体"/>
        <charset val="134"/>
      </rPr>
      <t>李琦</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施恒之</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禹东挺</t>
    </r>
    <r>
      <rPr>
        <sz val="9"/>
        <color rgb="FF000000"/>
        <rFont val="Arial"/>
        <charset val="134"/>
      </rPr>
      <t>:CTO</t>
    </r>
  </si>
  <si>
    <r>
      <rPr>
        <sz val="9"/>
        <color rgb="FF000000"/>
        <rFont val="楷体"/>
        <charset val="134"/>
      </rPr>
      <t>杭州市滨江区江汉路</t>
    </r>
    <r>
      <rPr>
        <sz val="9"/>
        <color rgb="FF000000"/>
        <rFont val="Arial"/>
        <charset val="134"/>
      </rPr>
      <t>1785</t>
    </r>
    <r>
      <rPr>
        <sz val="9"/>
        <color rgb="FF000000"/>
        <rFont val="楷体"/>
        <charset val="134"/>
      </rPr>
      <t>号双城国际</t>
    </r>
    <r>
      <rPr>
        <sz val="9"/>
        <color rgb="FF000000"/>
        <rFont val="Arial"/>
        <charset val="134"/>
      </rPr>
      <t>1</t>
    </r>
    <r>
      <rPr>
        <sz val="9"/>
        <color rgb="FF000000"/>
        <rFont val="楷体"/>
        <charset val="134"/>
      </rPr>
      <t>号楼</t>
    </r>
  </si>
  <si>
    <t>400-673-0088</t>
  </si>
  <si>
    <t>lq@haixiuyizhan.com</t>
  </si>
  <si>
    <r>
      <rPr>
        <sz val="9"/>
        <color rgb="FF000000"/>
        <rFont val="楷体"/>
        <charset val="134"/>
      </rPr>
      <t>锴明投资</t>
    </r>
    <r>
      <rPr>
        <sz val="9"/>
        <color rgb="FF000000"/>
        <rFont val="Arial"/>
        <charset val="134"/>
      </rPr>
      <t>ClearVue</t>
    </r>
  </si>
  <si>
    <r>
      <rPr>
        <sz val="9"/>
        <color rgb="FF000000"/>
        <rFont val="楷体"/>
        <charset val="134"/>
      </rPr>
      <t>人保资本</t>
    </r>
    <r>
      <rPr>
        <sz val="9"/>
        <color rgb="FF000000"/>
        <rFont val="Arial"/>
        <charset val="134"/>
      </rPr>
      <t>,</t>
    </r>
    <r>
      <rPr>
        <sz val="9"/>
        <color rgb="FF000000"/>
        <rFont val="楷体"/>
        <charset val="134"/>
      </rPr>
      <t>酉金资本</t>
    </r>
    <r>
      <rPr>
        <sz val="9"/>
        <color rgb="FF000000"/>
        <rFont val="Arial"/>
        <charset val="134"/>
      </rPr>
      <t>Regent Capital,</t>
    </r>
    <r>
      <rPr>
        <sz val="9"/>
        <color rgb="FF000000"/>
        <rFont val="楷体"/>
        <charset val="134"/>
      </rPr>
      <t>大钲资本</t>
    </r>
  </si>
  <si>
    <t>中嘉亿泰</t>
  </si>
  <si>
    <t>明泰资本</t>
  </si>
  <si>
    <r>
      <rPr>
        <sz val="9"/>
        <color rgb="FF000000"/>
        <rFont val="Arial"/>
        <charset val="134"/>
      </rPr>
      <t>500</t>
    </r>
    <r>
      <rPr>
        <sz val="9"/>
        <color rgb="FF000000"/>
        <rFont val="楷体"/>
        <charset val="134"/>
      </rPr>
      <t>万人民币</t>
    </r>
  </si>
  <si>
    <t>2018-01-26</t>
  </si>
  <si>
    <t>Nexar</t>
  </si>
  <si>
    <r>
      <rPr>
        <sz val="9"/>
        <color rgb="FF000000"/>
        <rFont val="Arial"/>
        <charset val="134"/>
      </rPr>
      <t xml:space="preserve">Nexar </t>
    </r>
    <r>
      <rPr>
        <sz val="9"/>
        <color rgb="FF000000"/>
        <rFont val="楷体"/>
        <charset val="134"/>
      </rPr>
      <t>成立于美国，是一个提供交通信息服务的平台，该公司可以通过数据分析实时更新交通情况，司机还可以通过旗下</t>
    </r>
    <r>
      <rPr>
        <sz val="9"/>
        <color rgb="FF000000"/>
        <rFont val="Arial"/>
        <charset val="134"/>
      </rPr>
      <t>App</t>
    </r>
    <r>
      <rPr>
        <sz val="9"/>
        <color rgb="FF000000"/>
        <rFont val="楷体"/>
        <charset val="134"/>
      </rPr>
      <t>提醒周围司机，以帮助司机们更安全地出行。</t>
    </r>
  </si>
  <si>
    <t>https://www.getnexar.com/</t>
  </si>
  <si>
    <r>
      <rPr>
        <sz val="9"/>
        <color rgb="FF000000"/>
        <rFont val="楷体"/>
        <charset val="134"/>
      </rPr>
      <t>阿里巴巴</t>
    </r>
    <r>
      <rPr>
        <sz val="9"/>
        <color rgb="FF000000"/>
        <rFont val="Arial"/>
        <charset val="134"/>
      </rPr>
      <t>,True Ventures,Slow Ventures,Tusk Ventures,Mosaic Ventures,Aleph,Ibex Ventures,Nationwide Insurance</t>
    </r>
  </si>
  <si>
    <r>
      <rPr>
        <sz val="9"/>
        <color rgb="FF000000"/>
        <rFont val="Arial"/>
        <charset val="134"/>
      </rPr>
      <t>2.89</t>
    </r>
    <r>
      <rPr>
        <sz val="9"/>
        <color rgb="FF000000"/>
        <rFont val="楷体"/>
        <charset val="134"/>
      </rPr>
      <t>亿</t>
    </r>
  </si>
  <si>
    <t>Alon Rise:Director of Growth Marketing,Amit Shalev:VP Business Development,André Cardote:Vice President of Data Products,Bruno Fernandez-Ruiz:Co-founder &amp; CTO,Eran Shir:Co-founder &amp; CEO,Ilan Kadar:VP AI &amp; Automotive,Leonid Jack:Head of UX &amp; Design,Sharon Barkai:Nexagon GeoState Network,Sheya Hertz:VP of HR</t>
  </si>
  <si>
    <r>
      <rPr>
        <sz val="9"/>
        <color rgb="FF000000"/>
        <rFont val="Arial"/>
        <charset val="134"/>
      </rPr>
      <t>1050</t>
    </r>
    <r>
      <rPr>
        <sz val="9"/>
        <color rgb="FF000000"/>
        <rFont val="楷体"/>
        <charset val="134"/>
      </rPr>
      <t>万美元</t>
    </r>
  </si>
  <si>
    <t>True Ventures,Slow Ventures,Mosaic Ventures,Aleph</t>
  </si>
  <si>
    <t>Slow Ventures</t>
  </si>
  <si>
    <t>2020-01-09</t>
  </si>
  <si>
    <t>RoboMing明机器人</t>
  </si>
  <si>
    <r>
      <rPr>
        <sz val="9"/>
        <color rgb="FF000000"/>
        <rFont val="Arial"/>
        <charset val="134"/>
      </rPr>
      <t>RoboMing</t>
    </r>
    <r>
      <rPr>
        <sz val="9"/>
        <color rgb="FF000000"/>
        <rFont val="楷体"/>
        <charset val="134"/>
      </rPr>
      <t>明机器人</t>
    </r>
  </si>
  <si>
    <r>
      <rPr>
        <sz val="9"/>
        <color rgb="FF000000"/>
        <rFont val="楷体"/>
        <charset val="134"/>
      </rPr>
      <t>明机器人</t>
    </r>
    <r>
      <rPr>
        <sz val="9"/>
        <color rgb="FF000000"/>
        <rFont val="Arial"/>
        <charset val="134"/>
      </rPr>
      <t>RoboMing</t>
    </r>
    <r>
      <rPr>
        <sz val="9"/>
        <color rgb="FF000000"/>
        <rFont val="楷体"/>
        <charset val="134"/>
      </rPr>
      <t>是一个基于</t>
    </r>
    <r>
      <rPr>
        <sz val="9"/>
        <color rgb="FF000000"/>
        <rFont val="Arial"/>
        <charset val="134"/>
      </rPr>
      <t>iPad</t>
    </r>
    <r>
      <rPr>
        <sz val="9"/>
        <color rgb="FF000000"/>
        <rFont val="楷体"/>
        <charset val="134"/>
      </rPr>
      <t>的智能机器人配件产品，用户可以通过</t>
    </r>
    <r>
      <rPr>
        <sz val="9"/>
        <color rgb="FF000000"/>
        <rFont val="Arial"/>
        <charset val="134"/>
      </rPr>
      <t>APP</t>
    </r>
    <r>
      <rPr>
        <sz val="9"/>
        <color rgb="FF000000"/>
        <rFont val="楷体"/>
        <charset val="134"/>
      </rPr>
      <t>或者</t>
    </r>
    <r>
      <rPr>
        <sz val="9"/>
        <color rgb="FF000000"/>
        <rFont val="Arial"/>
        <charset val="134"/>
      </rPr>
      <t>Web</t>
    </r>
    <r>
      <rPr>
        <sz val="9"/>
        <color rgb="FF000000"/>
        <rFont val="楷体"/>
        <charset val="134"/>
      </rPr>
      <t>浏览器远程视频访问并遥控它，让它突破距离限制，</t>
    </r>
    <r>
      <rPr>
        <sz val="9"/>
        <color rgb="FF000000"/>
        <rFont val="Arial"/>
        <charset val="134"/>
      </rPr>
      <t>“</t>
    </r>
    <r>
      <rPr>
        <sz val="9"/>
        <color rgb="FF000000"/>
        <rFont val="楷体"/>
        <charset val="134"/>
      </rPr>
      <t>身临其境</t>
    </r>
    <r>
      <rPr>
        <sz val="9"/>
        <color rgb="FF000000"/>
        <rFont val="Arial"/>
        <charset val="134"/>
      </rPr>
      <t>”</t>
    </r>
    <r>
      <rPr>
        <sz val="9"/>
        <color rgb="FF000000"/>
        <rFont val="楷体"/>
        <charset val="134"/>
      </rPr>
      <t>去参观和</t>
    </r>
    <r>
      <rPr>
        <sz val="9"/>
        <color rgb="FF000000"/>
        <rFont val="Arial"/>
        <charset val="134"/>
      </rPr>
      <t>“</t>
    </r>
    <r>
      <rPr>
        <sz val="9"/>
        <color rgb="FF000000"/>
        <rFont val="楷体"/>
        <charset val="134"/>
      </rPr>
      <t>面对面</t>
    </r>
    <r>
      <rPr>
        <sz val="9"/>
        <color rgb="FF000000"/>
        <rFont val="Arial"/>
        <charset val="134"/>
      </rPr>
      <t>”</t>
    </r>
    <r>
      <rPr>
        <sz val="9"/>
        <color rgb="FF000000"/>
        <rFont val="楷体"/>
        <charset val="134"/>
      </rPr>
      <t>交流。上海慧流云计算科技有限公司旗下产品。</t>
    </r>
  </si>
  <si>
    <t>上海明我信息技术有限公司</t>
  </si>
  <si>
    <t>https://www.mingwork.com/index</t>
  </si>
  <si>
    <r>
      <rPr>
        <sz val="9"/>
        <color rgb="FF000000"/>
        <rFont val="楷体"/>
        <charset val="134"/>
      </rPr>
      <t>上海</t>
    </r>
    <r>
      <rPr>
        <sz val="9"/>
        <color rgb="FF000000"/>
        <rFont val="Arial"/>
        <charset val="134"/>
      </rPr>
      <t>-</t>
    </r>
    <r>
      <rPr>
        <sz val="9"/>
        <color rgb="FF000000"/>
        <rFont val="楷体"/>
        <charset val="134"/>
      </rPr>
      <t>杨浦区</t>
    </r>
  </si>
  <si>
    <r>
      <rPr>
        <sz val="9"/>
        <color rgb="FF000000"/>
        <rFont val="楷体"/>
        <charset val="134"/>
      </rPr>
      <t>联通</t>
    </r>
    <r>
      <rPr>
        <sz val="9"/>
        <color rgb="FF000000"/>
        <rFont val="Arial"/>
        <charset val="134"/>
      </rPr>
      <t>,</t>
    </r>
    <r>
      <rPr>
        <sz val="9"/>
        <color rgb="FF000000"/>
        <rFont val="楷体"/>
        <charset val="134"/>
      </rPr>
      <t>毅达资本</t>
    </r>
  </si>
  <si>
    <r>
      <rPr>
        <sz val="9"/>
        <color rgb="FF000000"/>
        <rFont val="Arial"/>
        <charset val="134"/>
      </rPr>
      <t>3600</t>
    </r>
    <r>
      <rPr>
        <sz val="9"/>
        <color rgb="FF000000"/>
        <rFont val="楷体"/>
        <charset val="134"/>
      </rPr>
      <t>万</t>
    </r>
  </si>
  <si>
    <r>
      <rPr>
        <sz val="9"/>
        <color rgb="FF000000"/>
        <rFont val="楷体"/>
        <charset val="134"/>
      </rPr>
      <t>孔尧</t>
    </r>
    <r>
      <rPr>
        <sz val="9"/>
        <color rgb="FF000000"/>
        <rFont val="Arial"/>
        <charset val="134"/>
      </rPr>
      <t>:</t>
    </r>
    <r>
      <rPr>
        <sz val="9"/>
        <color rgb="FF000000"/>
        <rFont val="楷体"/>
        <charset val="134"/>
      </rPr>
      <t>创始人</t>
    </r>
  </si>
  <si>
    <r>
      <rPr>
        <sz val="9"/>
        <color rgb="FF000000"/>
        <rFont val="楷体"/>
        <charset val="134"/>
      </rPr>
      <t>上海市杨浦区政府路</t>
    </r>
    <r>
      <rPr>
        <sz val="9"/>
        <color rgb="FF000000"/>
        <rFont val="Arial"/>
        <charset val="134"/>
      </rPr>
      <t>18</t>
    </r>
    <r>
      <rPr>
        <sz val="9"/>
        <color rgb="FF000000"/>
        <rFont val="楷体"/>
        <charset val="134"/>
      </rPr>
      <t>号波司登大厦</t>
    </r>
    <r>
      <rPr>
        <sz val="9"/>
        <color rgb="FF000000"/>
        <rFont val="Arial"/>
        <charset val="134"/>
      </rPr>
      <t>5</t>
    </r>
    <r>
      <rPr>
        <sz val="9"/>
        <color rgb="FF000000"/>
        <rFont val="楷体"/>
        <charset val="134"/>
      </rPr>
      <t>楼南</t>
    </r>
  </si>
  <si>
    <t>021-31174635</t>
  </si>
  <si>
    <t>contact@roboming.com</t>
  </si>
  <si>
    <r>
      <rPr>
        <sz val="9"/>
        <color rgb="FF000000"/>
        <rFont val="楷体"/>
        <charset val="134"/>
      </rPr>
      <t>招银国际</t>
    </r>
    <r>
      <rPr>
        <sz val="9"/>
        <color rgb="FF000000"/>
        <rFont val="Arial"/>
        <charset val="134"/>
      </rPr>
      <t>,</t>
    </r>
    <r>
      <rPr>
        <sz val="9"/>
        <color rgb="FF000000"/>
        <rFont val="楷体"/>
        <charset val="134"/>
      </rPr>
      <t>招商财富</t>
    </r>
  </si>
  <si>
    <r>
      <rPr>
        <sz val="9"/>
        <color rgb="FF000000"/>
        <rFont val="楷体"/>
        <charset val="134"/>
      </rPr>
      <t>阿里巴巴</t>
    </r>
    <r>
      <rPr>
        <sz val="9"/>
        <color rgb="FF000000"/>
        <rFont val="Arial"/>
        <charset val="134"/>
      </rPr>
      <t>,</t>
    </r>
    <r>
      <rPr>
        <sz val="9"/>
        <color rgb="FF000000"/>
        <rFont val="楷体"/>
        <charset val="134"/>
      </rPr>
      <t>邦宝保盈投资</t>
    </r>
  </si>
  <si>
    <t>2018-07-18</t>
  </si>
  <si>
    <t>分众传媒</t>
  </si>
  <si>
    <r>
      <rPr>
        <sz val="9"/>
        <color rgb="FF000000"/>
        <rFont val="楷体"/>
        <charset val="134"/>
      </rPr>
      <t>分众传媒是一家数字化媒体集团，产品线覆盖商业楼宇视频媒体、卖场终端视频媒体、公寓电梯媒体（框架媒介）、户外大型</t>
    </r>
    <r>
      <rPr>
        <sz val="9"/>
        <color rgb="FF000000"/>
        <rFont val="Arial"/>
        <charset val="134"/>
      </rPr>
      <t>LED</t>
    </r>
    <r>
      <rPr>
        <sz val="9"/>
        <color rgb="FF000000"/>
        <rFont val="楷体"/>
        <charset val="134"/>
      </rPr>
      <t>彩屏媒体、电影院线广告媒体等多个针对特征受众、并可以相互有机整合的媒体网络。</t>
    </r>
  </si>
  <si>
    <t>分众传媒信息技术股份有限公司</t>
  </si>
  <si>
    <t>http://www.focusmedia.cn/</t>
  </si>
  <si>
    <t>2003-03</t>
  </si>
  <si>
    <r>
      <rPr>
        <sz val="9"/>
        <color rgb="FF000000"/>
        <rFont val="Arial"/>
        <charset val="134"/>
      </rPr>
      <t>150</t>
    </r>
    <r>
      <rPr>
        <sz val="9"/>
        <color rgb="FF000000"/>
        <rFont val="楷体"/>
        <charset val="134"/>
      </rPr>
      <t>亿人民币</t>
    </r>
  </si>
  <si>
    <r>
      <rPr>
        <sz val="9"/>
        <color rgb="FF000000"/>
        <rFont val="Arial"/>
        <charset val="134"/>
      </rPr>
      <t>193.79</t>
    </r>
    <r>
      <rPr>
        <sz val="9"/>
        <color rgb="FF000000"/>
        <rFont val="楷体"/>
        <charset val="134"/>
      </rPr>
      <t>亿</t>
    </r>
  </si>
  <si>
    <r>
      <rPr>
        <sz val="9"/>
        <color rgb="FF000000"/>
        <rFont val="Arial"/>
        <charset val="134"/>
      </rPr>
      <t>1495.5135</t>
    </r>
    <r>
      <rPr>
        <sz val="9"/>
        <color rgb="FF000000"/>
        <rFont val="楷体"/>
        <charset val="134"/>
      </rPr>
      <t>亿元</t>
    </r>
  </si>
  <si>
    <r>
      <rPr>
        <sz val="9"/>
        <color rgb="FF000000"/>
        <rFont val="楷体"/>
        <charset val="134"/>
      </rPr>
      <t>江南春</t>
    </r>
    <r>
      <rPr>
        <sz val="9"/>
        <color rgb="FF000000"/>
        <rFont val="Arial"/>
        <charset val="134"/>
      </rPr>
      <t>:</t>
    </r>
    <r>
      <rPr>
        <sz val="9"/>
        <color rgb="FF000000"/>
        <rFont val="楷体"/>
        <charset val="134"/>
      </rPr>
      <t>创始人</t>
    </r>
  </si>
  <si>
    <r>
      <rPr>
        <sz val="9"/>
        <color rgb="FF000000"/>
        <rFont val="楷体"/>
        <charset val="134"/>
      </rPr>
      <t>上海市江苏路</t>
    </r>
    <r>
      <rPr>
        <sz val="9"/>
        <color rgb="FF000000"/>
        <rFont val="Arial"/>
        <charset val="134"/>
      </rPr>
      <t>369</t>
    </r>
    <r>
      <rPr>
        <sz val="9"/>
        <color rgb="FF000000"/>
        <rFont val="楷体"/>
        <charset val="134"/>
      </rPr>
      <t>号兆丰世贸大厦</t>
    </r>
    <r>
      <rPr>
        <sz val="9"/>
        <color rgb="FF000000"/>
        <rFont val="Arial"/>
        <charset val="134"/>
      </rPr>
      <t>28-30</t>
    </r>
    <r>
      <rPr>
        <sz val="9"/>
        <color rgb="FF000000"/>
        <rFont val="楷体"/>
        <charset val="134"/>
      </rPr>
      <t>楼</t>
    </r>
  </si>
  <si>
    <t>021-32124661</t>
  </si>
  <si>
    <r>
      <rPr>
        <sz val="9"/>
        <color rgb="FF000000"/>
        <rFont val="楷体"/>
        <charset val="134"/>
      </rPr>
      <t>经纬创投</t>
    </r>
    <r>
      <rPr>
        <sz val="9"/>
        <color rgb="FF000000"/>
        <rFont val="Arial"/>
        <charset val="134"/>
      </rPr>
      <t>,</t>
    </r>
    <r>
      <rPr>
        <sz val="9"/>
        <color rgb="FF000000"/>
        <rFont val="楷体"/>
        <charset val="134"/>
      </rPr>
      <t>宽带资本</t>
    </r>
    <r>
      <rPr>
        <sz val="9"/>
        <color rgb="FF000000"/>
        <rFont val="Arial"/>
        <charset val="134"/>
      </rPr>
      <t>CBC,</t>
    </r>
    <r>
      <rPr>
        <sz val="9"/>
        <color rgb="FF000000"/>
        <rFont val="楷体"/>
        <charset val="134"/>
      </rPr>
      <t>凯雷投资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方源资本</t>
    </r>
    <r>
      <rPr>
        <sz val="9"/>
        <color rgb="FF000000"/>
        <rFont val="Arial"/>
        <charset val="134"/>
      </rPr>
      <t>,</t>
    </r>
    <r>
      <rPr>
        <sz val="9"/>
        <color rgb="FF000000"/>
        <rFont val="楷体"/>
        <charset val="134"/>
      </rPr>
      <t>博将资本</t>
    </r>
    <r>
      <rPr>
        <sz val="9"/>
        <color rgb="FF000000"/>
        <rFont val="Arial"/>
        <charset val="134"/>
      </rPr>
      <t>,</t>
    </r>
    <r>
      <rPr>
        <sz val="9"/>
        <color rgb="FF000000"/>
        <rFont val="楷体"/>
        <charset val="134"/>
      </rPr>
      <t>鼎辉投资</t>
    </r>
  </si>
  <si>
    <r>
      <rPr>
        <sz val="9"/>
        <color rgb="FF000000"/>
        <rFont val="楷体"/>
        <charset val="134"/>
      </rPr>
      <t>凯雷投资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方源资本</t>
    </r>
    <r>
      <rPr>
        <sz val="9"/>
        <color rgb="FF000000"/>
        <rFont val="Arial"/>
        <charset val="134"/>
      </rPr>
      <t>,</t>
    </r>
    <r>
      <rPr>
        <sz val="9"/>
        <color rgb="FF000000"/>
        <rFont val="楷体"/>
        <charset val="134"/>
      </rPr>
      <t>鼎辉投资</t>
    </r>
    <r>
      <rPr>
        <sz val="9"/>
        <color rgb="FF000000"/>
        <rFont val="Arial"/>
        <charset val="134"/>
      </rPr>
      <t>,</t>
    </r>
    <r>
      <rPr>
        <sz val="9"/>
        <color rgb="FF000000"/>
        <rFont val="楷体"/>
        <charset val="134"/>
      </rPr>
      <t>光大控股</t>
    </r>
  </si>
  <si>
    <r>
      <rPr>
        <sz val="9"/>
        <color rgb="FF000000"/>
        <rFont val="Arial"/>
        <charset val="134"/>
      </rPr>
      <t>1.72</t>
    </r>
    <r>
      <rPr>
        <sz val="9"/>
        <color rgb="FF000000"/>
        <rFont val="楷体"/>
        <charset val="134"/>
      </rPr>
      <t>亿美元</t>
    </r>
  </si>
  <si>
    <t>软银中国资本</t>
  </si>
  <si>
    <t>2020-06-24</t>
  </si>
  <si>
    <t>SQream</t>
  </si>
  <si>
    <r>
      <rPr>
        <sz val="9"/>
        <color rgb="FF000000"/>
        <rFont val="Arial"/>
        <charset val="134"/>
      </rPr>
      <t>SQream 2010</t>
    </r>
    <r>
      <rPr>
        <sz val="9"/>
        <color rgb="FF000000"/>
        <rFont val="楷体"/>
        <charset val="134"/>
      </rPr>
      <t>年成立于以色列，是一个大数据分析公司，该公司的优势是以较小的存储成本，进行非常大规模的数据计算。</t>
    </r>
  </si>
  <si>
    <t>http://sqream.com/</t>
  </si>
  <si>
    <r>
      <rPr>
        <sz val="9"/>
        <color rgb="FF000000"/>
        <rFont val="Arial"/>
        <charset val="134"/>
      </rPr>
      <t>3940</t>
    </r>
    <r>
      <rPr>
        <sz val="9"/>
        <color rgb="FF000000"/>
        <rFont val="楷体"/>
        <charset val="134"/>
      </rPr>
      <t>万美元</t>
    </r>
  </si>
  <si>
    <r>
      <rPr>
        <sz val="9"/>
        <color rgb="FF000000"/>
        <rFont val="Arial"/>
        <charset val="134"/>
      </rPr>
      <t>Mangrove Capital Partners,</t>
    </r>
    <r>
      <rPr>
        <sz val="9"/>
        <color rgb="FF000000"/>
        <rFont val="楷体"/>
        <charset val="134"/>
      </rPr>
      <t>舒斯特曼家族基金会</t>
    </r>
  </si>
  <si>
    <r>
      <rPr>
        <sz val="9"/>
        <color rgb="FF000000"/>
        <rFont val="Arial"/>
        <charset val="134"/>
      </rPr>
      <t>4.88</t>
    </r>
    <r>
      <rPr>
        <sz val="9"/>
        <color rgb="FF000000"/>
        <rFont val="楷体"/>
        <charset val="134"/>
      </rPr>
      <t>亿</t>
    </r>
  </si>
  <si>
    <r>
      <rPr>
        <sz val="9"/>
        <color rgb="FF000000"/>
        <rFont val="Arial"/>
        <charset val="134"/>
      </rPr>
      <t>12.805</t>
    </r>
    <r>
      <rPr>
        <sz val="9"/>
        <color rgb="FF000000"/>
        <rFont val="楷体"/>
        <charset val="134"/>
      </rPr>
      <t>亿元</t>
    </r>
  </si>
  <si>
    <t>Ami Gal:Co-founder &amp; CEO,Matan Libis:VP of Products,Naama Saar:Global COO,Razi Shoshani:Founder, CTO, and Vice President of R&amp;D</t>
  </si>
  <si>
    <r>
      <rPr>
        <sz val="9"/>
        <color rgb="FF000000"/>
        <rFont val="Arial"/>
        <charset val="134"/>
      </rPr>
      <t>2640</t>
    </r>
    <r>
      <rPr>
        <sz val="9"/>
        <color rgb="FF000000"/>
        <rFont val="楷体"/>
        <charset val="134"/>
      </rPr>
      <t>万美元</t>
    </r>
  </si>
  <si>
    <r>
      <rPr>
        <sz val="9"/>
        <color rgb="FF000000"/>
        <rFont val="楷体"/>
        <charset val="134"/>
      </rPr>
      <t>阿里巴巴</t>
    </r>
    <r>
      <rPr>
        <sz val="9"/>
        <color rgb="FF000000"/>
        <rFont val="Arial"/>
        <charset val="134"/>
      </rPr>
      <t>,Sistema Venture Capital,Hanaco Venture Capital,Silvertech Ventures,Glory Ventures,Paradiso Ventures,World Trade Ventures</t>
    </r>
  </si>
  <si>
    <r>
      <rPr>
        <sz val="9"/>
        <color rgb="FF000000"/>
        <rFont val="Arial"/>
        <charset val="134"/>
      </rPr>
      <t>740</t>
    </r>
    <r>
      <rPr>
        <sz val="9"/>
        <color rgb="FF000000"/>
        <rFont val="楷体"/>
        <charset val="134"/>
      </rPr>
      <t>万美元</t>
    </r>
  </si>
  <si>
    <t>Blumberg Capital</t>
  </si>
  <si>
    <r>
      <rPr>
        <sz val="9"/>
        <color rgb="FF000000"/>
        <rFont val="Arial"/>
        <charset val="134"/>
      </rPr>
      <t>190</t>
    </r>
    <r>
      <rPr>
        <sz val="9"/>
        <color rgb="FF000000"/>
        <rFont val="楷体"/>
        <charset val="134"/>
      </rPr>
      <t>万美元</t>
    </r>
  </si>
  <si>
    <t>Paradiso Ventures,Granot Ventures</t>
  </si>
  <si>
    <t>2019-02-09</t>
  </si>
  <si>
    <t>Vidooly</t>
  </si>
  <si>
    <r>
      <rPr>
        <sz val="9"/>
        <color rgb="FF000000"/>
        <rFont val="Arial"/>
        <charset val="134"/>
      </rPr>
      <t>Vidooly</t>
    </r>
    <r>
      <rPr>
        <sz val="9"/>
        <color rgb="FF000000"/>
        <rFont val="楷体"/>
        <charset val="134"/>
      </rPr>
      <t>是一家印度视频分析公司，通过为视频制作者提供营销和分析工具，以此来获得最多的浏览次数、增加受众数量，从而提高视频营收。</t>
    </r>
  </si>
  <si>
    <t>http://vidooly.com/</t>
  </si>
  <si>
    <r>
      <rPr>
        <sz val="9"/>
        <color rgb="FF000000"/>
        <rFont val="Arial"/>
        <charset val="134"/>
      </rPr>
      <t>1.5</t>
    </r>
    <r>
      <rPr>
        <sz val="9"/>
        <color rgb="FF000000"/>
        <rFont val="楷体"/>
        <charset val="134"/>
      </rPr>
      <t>亿卢比</t>
    </r>
  </si>
  <si>
    <r>
      <rPr>
        <sz val="9"/>
        <color rgb="FF000000"/>
        <rFont val="楷体"/>
        <charset val="134"/>
      </rPr>
      <t>阿里巴巴</t>
    </r>
    <r>
      <rPr>
        <sz val="9"/>
        <color rgb="FF000000"/>
        <rFont val="Arial"/>
        <charset val="134"/>
      </rPr>
      <t>,Times Internet Limited</t>
    </r>
  </si>
  <si>
    <r>
      <rPr>
        <sz val="9"/>
        <color rgb="FF000000"/>
        <rFont val="Arial"/>
        <charset val="134"/>
      </rPr>
      <t>3060</t>
    </r>
    <r>
      <rPr>
        <sz val="9"/>
        <color rgb="FF000000"/>
        <rFont val="楷体"/>
        <charset val="134"/>
      </rPr>
      <t>万</t>
    </r>
  </si>
  <si>
    <r>
      <rPr>
        <sz val="9"/>
        <color rgb="FF000000"/>
        <rFont val="Arial"/>
        <charset val="134"/>
      </rPr>
      <t>7500</t>
    </r>
    <r>
      <rPr>
        <sz val="9"/>
        <color rgb="FF000000"/>
        <rFont val="楷体"/>
        <charset val="134"/>
      </rPr>
      <t>万元</t>
    </r>
  </si>
  <si>
    <t>Ajay Mishra:Co-founder &amp; CTO,Nishant Radia:Co-Founder &amp; CMO,Subrat Kar:Co-founder &amp; CEO</t>
  </si>
  <si>
    <r>
      <rPr>
        <sz val="9"/>
        <color rgb="FF000000"/>
        <rFont val="Arial"/>
        <charset val="134"/>
      </rPr>
      <t>140</t>
    </r>
    <r>
      <rPr>
        <sz val="9"/>
        <color rgb="FF000000"/>
        <rFont val="楷体"/>
        <charset val="134"/>
      </rPr>
      <t>万美元</t>
    </r>
  </si>
  <si>
    <t>GVFL,Time Internet Limited</t>
  </si>
  <si>
    <t>2018-07-17</t>
  </si>
  <si>
    <t>快狗速运</t>
  </si>
  <si>
    <r>
      <rPr>
        <sz val="9"/>
        <color rgb="FF000000"/>
        <rFont val="楷体"/>
        <charset val="134"/>
      </rPr>
      <t>快狗速运，为香港</t>
    </r>
    <r>
      <rPr>
        <sz val="9"/>
        <color rgb="FF000000"/>
        <rFont val="Arial"/>
        <charset val="134"/>
      </rPr>
      <t>GoGoVan(</t>
    </r>
    <r>
      <rPr>
        <sz val="9"/>
        <color rgb="FF000000"/>
        <rFont val="楷体"/>
        <charset val="134"/>
      </rPr>
      <t>即高高客货车</t>
    </r>
    <r>
      <rPr>
        <sz val="9"/>
        <color rgb="FF000000"/>
        <rFont val="Arial"/>
        <charset val="134"/>
      </rPr>
      <t>)</t>
    </r>
    <r>
      <rPr>
        <sz val="9"/>
        <color rgb="FF000000"/>
        <rFont val="楷体"/>
        <charset val="134"/>
      </rPr>
      <t>的中国内地版。是一家致力于同城配送的</t>
    </r>
    <r>
      <rPr>
        <sz val="9"/>
        <color rgb="FF000000"/>
        <rFont val="Arial"/>
        <charset val="134"/>
      </rPr>
      <t>O2O</t>
    </r>
    <r>
      <rPr>
        <sz val="9"/>
        <color rgb="FF000000"/>
        <rFont val="楷体"/>
        <charset val="134"/>
      </rPr>
      <t>物流信息服务平台，为用户提供最佳物流解决方案。快狗速运整合海量优质货运车辆，同时也为社会大众提供搬家、拉货、配送、出租、包车服务，为您配对就近的面包车和货车司机，一键下单，全城在线司机，随叫随到。</t>
    </r>
  </si>
  <si>
    <t>高高信息科技（上海）有限公司　</t>
  </si>
  <si>
    <t>https://www.gogovan.com.hk/</t>
  </si>
  <si>
    <t>货运物流</t>
  </si>
  <si>
    <r>
      <rPr>
        <sz val="9"/>
        <color rgb="FF000000"/>
        <rFont val="Arial"/>
        <charset val="134"/>
      </rPr>
      <t>58</t>
    </r>
    <r>
      <rPr>
        <sz val="9"/>
        <color rgb="FF000000"/>
        <rFont val="楷体"/>
        <charset val="134"/>
      </rPr>
      <t>同城</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华新投资</t>
    </r>
    <r>
      <rPr>
        <sz val="9"/>
        <color rgb="FF000000"/>
        <rFont val="Arial"/>
        <charset val="134"/>
      </rPr>
      <t>,</t>
    </r>
    <r>
      <rPr>
        <sz val="9"/>
        <color rgb="FF000000"/>
        <rFont val="楷体"/>
        <charset val="134"/>
      </rPr>
      <t>弘润资本</t>
    </r>
  </si>
  <si>
    <r>
      <rPr>
        <sz val="9"/>
        <color rgb="FF000000"/>
        <rFont val="Arial"/>
        <charset val="134"/>
      </rPr>
      <t>21.22</t>
    </r>
    <r>
      <rPr>
        <sz val="9"/>
        <color rgb="FF000000"/>
        <rFont val="楷体"/>
        <charset val="134"/>
      </rPr>
      <t>亿</t>
    </r>
  </si>
  <si>
    <r>
      <rPr>
        <sz val="9"/>
        <color rgb="FF000000"/>
        <rFont val="楷体"/>
        <charset val="134"/>
      </rPr>
      <t>关俊文</t>
    </r>
    <r>
      <rPr>
        <sz val="9"/>
        <color rgb="FF000000"/>
        <rFont val="Arial"/>
        <charset val="134"/>
      </rPr>
      <t>:</t>
    </r>
    <r>
      <rPr>
        <sz val="9"/>
        <color rgb="FF000000"/>
        <rFont val="楷体"/>
        <charset val="134"/>
      </rPr>
      <t>创始人</t>
    </r>
  </si>
  <si>
    <t>4006-800-877</t>
  </si>
  <si>
    <t>info@kuaigou.co</t>
  </si>
  <si>
    <t>快狗打车</t>
  </si>
  <si>
    <r>
      <rPr>
        <sz val="9"/>
        <color rgb="FF000000"/>
        <rFont val="楷体"/>
        <charset val="134"/>
      </rPr>
      <t>阿里巴巴</t>
    </r>
    <r>
      <rPr>
        <sz val="9"/>
        <color rgb="FF000000"/>
        <rFont val="Arial"/>
        <charset val="134"/>
      </rPr>
      <t>,</t>
    </r>
    <r>
      <rPr>
        <sz val="9"/>
        <color rgb="FF000000"/>
        <rFont val="楷体"/>
        <charset val="134"/>
      </rPr>
      <t>和通国际</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阿里巴巴创业者基金</t>
    </r>
  </si>
  <si>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r>
      <rPr>
        <sz val="9"/>
        <color rgb="FF000000"/>
        <rFont val="楷体"/>
        <charset val="134"/>
      </rPr>
      <t>魔量资本</t>
    </r>
    <r>
      <rPr>
        <sz val="9"/>
        <color rgb="FF000000"/>
        <rFont val="Arial"/>
        <charset val="134"/>
      </rPr>
      <t>MFund</t>
    </r>
  </si>
  <si>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</si>
  <si>
    <r>
      <rPr>
        <sz val="9"/>
        <color rgb="FF000000"/>
        <rFont val="Arial"/>
        <charset val="134"/>
      </rPr>
      <t>650</t>
    </r>
    <r>
      <rPr>
        <sz val="9"/>
        <color rgb="FF000000"/>
        <rFont val="楷体"/>
        <charset val="134"/>
      </rPr>
      <t>万美元</t>
    </r>
  </si>
  <si>
    <t>Centurion Private Equity</t>
  </si>
  <si>
    <t>2015-06-18</t>
  </si>
  <si>
    <t>SBRH</t>
  </si>
  <si>
    <r>
      <rPr>
        <sz val="9"/>
        <color rgb="FF000000"/>
        <rFont val="Arial"/>
        <charset val="134"/>
      </rPr>
      <t>SBRH</t>
    </r>
    <r>
      <rPr>
        <sz val="9"/>
        <color rgb="FF000000"/>
        <rFont val="楷体"/>
        <charset val="134"/>
      </rPr>
      <t>是一个一家专注机器人业务的公司，旗下拥有全球首个具有感情的机器人产品</t>
    </r>
    <r>
      <rPr>
        <sz val="9"/>
        <color rgb="FF000000"/>
        <rFont val="Arial"/>
        <charset val="134"/>
      </rPr>
      <t xml:space="preserve"> Pepper</t>
    </r>
    <r>
      <rPr>
        <sz val="9"/>
        <color rgb="FF000000"/>
        <rFont val="楷体"/>
        <charset val="134"/>
      </rPr>
      <t>。</t>
    </r>
  </si>
  <si>
    <t>2012-06</t>
  </si>
  <si>
    <r>
      <rPr>
        <sz val="9"/>
        <color rgb="FF000000"/>
        <rFont val="Arial"/>
        <charset val="134"/>
      </rPr>
      <t>145</t>
    </r>
    <r>
      <rPr>
        <sz val="9"/>
        <color rgb="FF000000"/>
        <rFont val="楷体"/>
        <charset val="134"/>
      </rPr>
      <t>亿日元</t>
    </r>
  </si>
  <si>
    <r>
      <rPr>
        <sz val="9"/>
        <color rgb="FF000000"/>
        <rFont val="楷体"/>
        <charset val="134"/>
      </rPr>
      <t>阿里巴巴</t>
    </r>
    <r>
      <rPr>
        <sz val="9"/>
        <color rgb="FF000000"/>
        <rFont val="Arial"/>
        <charset val="134"/>
      </rPr>
      <t>,</t>
    </r>
    <r>
      <rPr>
        <sz val="9"/>
        <color rgb="FF000000"/>
        <rFont val="楷体"/>
        <charset val="134"/>
      </rPr>
      <t>鸿海集团</t>
    </r>
    <r>
      <rPr>
        <sz val="9"/>
        <color rgb="FF000000"/>
        <rFont val="Arial"/>
        <charset val="134"/>
      </rPr>
      <t>Foxconn</t>
    </r>
  </si>
  <si>
    <r>
      <rPr>
        <sz val="9"/>
        <color rgb="FF000000"/>
        <rFont val="Arial"/>
        <charset val="134"/>
      </rPr>
      <t>8.7</t>
    </r>
    <r>
      <rPr>
        <sz val="9"/>
        <color rgb="FF000000"/>
        <rFont val="楷体"/>
        <charset val="134"/>
      </rPr>
      <t>亿</t>
    </r>
  </si>
  <si>
    <r>
      <rPr>
        <sz val="9"/>
        <color rgb="FF000000"/>
        <rFont val="Arial"/>
        <charset val="134"/>
      </rPr>
      <t>43.5</t>
    </r>
    <r>
      <rPr>
        <sz val="9"/>
        <color rgb="FF000000"/>
        <rFont val="楷体"/>
        <charset val="134"/>
      </rPr>
      <t>亿元</t>
    </r>
  </si>
  <si>
    <t>Cassandra Andrews Jackson:Vice President &amp; Chief Compliance &amp; HIPAA Privacy Officer,Daniel Lombardi:Senior Vice President &amp; Chief Medical Officer,David Perlstein:President &amp; Chief Executive Officer,Eric Appelbaum:Senior Executive Vice President &amp; Chief Operating Officer,Jeeny M Job:Chief Medical Informatics Officer,Jitendra Barmecha:Senior Vice President &amp; Chief Information and Digital Strategy Officer,Keith Wolf:Executive Vice President, Chief Administrative Officer &amp; General Counsel,Manisha Kulshreshtha:Senior Vice President &amp; Chief Clinical and Strategy Officer,Mary Grochowski:Executive Vice President &amp; Chief Financial Officer,Ninfa Segarra:SVP, Communications &amp; External, Community &amp; Government Affairs &amp; Chief Diversity &amp; Inclusion Officer,Robert Church:Chief Nursing Officer &amp; Senior Vice President, Patient Care Services,Ruth Cassidy:Senior Vice President, Clinical Support Services &amp; Chief Pharmacy Officer,Sam Cooks:Vice President, Information Technology &amp; CISO,Washington Rodman:Founder</t>
  </si>
  <si>
    <t>2021-09-16</t>
  </si>
  <si>
    <t>新康众</t>
  </si>
  <si>
    <r>
      <rPr>
        <sz val="9"/>
        <color rgb="FF000000"/>
        <rFont val="楷体"/>
        <charset val="134"/>
      </rPr>
      <t>新康众</t>
    </r>
  </si>
  <si>
    <r>
      <rPr>
        <sz val="9"/>
        <color rgb="FF000000"/>
        <rFont val="楷体"/>
        <charset val="134"/>
      </rPr>
      <t>康众汽配是一个一站式汽车后市场服务平台，平台采用</t>
    </r>
    <r>
      <rPr>
        <sz val="9"/>
        <color rgb="FF000000"/>
        <rFont val="Arial"/>
        <charset val="134"/>
      </rPr>
      <t>B2B</t>
    </r>
    <r>
      <rPr>
        <sz val="9"/>
        <color rgb="FF000000"/>
        <rFont val="楷体"/>
        <charset val="134"/>
      </rPr>
      <t>模式，主要为终端修理门店提供售后配件直营服务。平台主营的产品有制动系统、过滤系统、点火系统、蓄电池、油品、雨刷等。</t>
    </r>
  </si>
  <si>
    <t>江苏康众汽配有限公司</t>
  </si>
  <si>
    <t>https://www.ncarzone.com/</t>
  </si>
  <si>
    <t>2013-09</t>
  </si>
  <si>
    <r>
      <rPr>
        <sz val="9"/>
        <color rgb="FF000000"/>
        <rFont val="楷体"/>
        <charset val="134"/>
      </rPr>
      <t>汽车交通</t>
    </r>
  </si>
  <si>
    <r>
      <rPr>
        <sz val="9"/>
        <color rgb="FF000000"/>
        <rFont val="楷体"/>
        <charset val="134"/>
      </rPr>
      <t>汽车后服务</t>
    </r>
  </si>
  <si>
    <r>
      <t>D+</t>
    </r>
    <r>
      <rPr>
        <sz val="9"/>
        <color rgb="FF000000"/>
        <rFont val="楷体"/>
        <charset val="134"/>
      </rPr>
      <t>轮</t>
    </r>
  </si>
  <si>
    <r>
      <t>2</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</si>
  <si>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不惑创投</t>
    </r>
    <r>
      <rPr>
        <sz val="9"/>
        <color rgb="FF000000"/>
        <rFont val="Arial"/>
        <charset val="134"/>
      </rPr>
      <t>,</t>
    </r>
    <r>
      <rPr>
        <sz val="9"/>
        <color rgb="FF000000"/>
        <rFont val="楷体"/>
        <charset val="134"/>
      </rPr>
      <t>亚投资本</t>
    </r>
    <r>
      <rPr>
        <sz val="9"/>
        <color rgb="FF000000"/>
        <rFont val="Arial"/>
        <charset val="134"/>
      </rPr>
      <t>,</t>
    </r>
    <r>
      <rPr>
        <sz val="9"/>
        <color rgb="FF000000"/>
        <rFont val="楷体"/>
        <charset val="134"/>
      </rPr>
      <t>云龙资本</t>
    </r>
  </si>
  <si>
    <r>
      <t>65.55</t>
    </r>
    <r>
      <rPr>
        <sz val="9"/>
        <color rgb="FF000000"/>
        <rFont val="楷体"/>
        <charset val="134"/>
      </rPr>
      <t>亿</t>
    </r>
  </si>
  <si>
    <r>
      <t>162.5</t>
    </r>
    <r>
      <rPr>
        <sz val="9"/>
        <color rgb="FF000000"/>
        <rFont val="楷体"/>
        <charset val="134"/>
      </rPr>
      <t>亿元</t>
    </r>
  </si>
  <si>
    <r>
      <rPr>
        <sz val="9"/>
        <color rgb="FF000000"/>
        <rFont val="楷体"/>
        <charset val="134"/>
      </rPr>
      <t>商宝国</t>
    </r>
    <r>
      <rPr>
        <sz val="9"/>
        <color rgb="FF000000"/>
        <rFont val="Arial"/>
        <charset val="134"/>
      </rPr>
      <t>:CEO</t>
    </r>
  </si>
  <si>
    <r>
      <rPr>
        <sz val="9"/>
        <color rgb="FF000000"/>
        <rFont val="楷体"/>
        <charset val="134"/>
      </rPr>
      <t>南京市高淳经济开发区永花路</t>
    </r>
    <r>
      <rPr>
        <sz val="9"/>
        <color rgb="FF000000"/>
        <rFont val="Arial"/>
        <charset val="134"/>
      </rPr>
      <t>7</t>
    </r>
    <r>
      <rPr>
        <sz val="9"/>
        <color rgb="FF000000"/>
        <rFont val="楷体"/>
        <charset val="134"/>
      </rPr>
      <t>号</t>
    </r>
    <r>
      <rPr>
        <sz val="9"/>
        <color rgb="FF000000"/>
        <rFont val="Arial"/>
        <charset val="134"/>
      </rPr>
      <t>2</t>
    </r>
    <r>
      <rPr>
        <sz val="9"/>
        <color rgb="FF000000"/>
        <rFont val="楷体"/>
        <charset val="134"/>
      </rPr>
      <t>幢</t>
    </r>
  </si>
  <si>
    <t>400-888-4909</t>
  </si>
  <si>
    <t>4008884909@carzone.cn</t>
  </si>
  <si>
    <r>
      <rPr>
        <sz val="9"/>
        <color rgb="FF000000"/>
        <rFont val="Arial"/>
        <charset val="134"/>
      </rPr>
      <t>3.8</t>
    </r>
    <r>
      <rPr>
        <sz val="9"/>
        <color rgb="FF000000"/>
        <rFont val="楷体"/>
        <charset val="134"/>
      </rPr>
      <t>亿美元</t>
    </r>
  </si>
  <si>
    <r>
      <rPr>
        <sz val="9"/>
        <color rgb="FF000000"/>
        <rFont val="楷体"/>
        <charset val="134"/>
      </rPr>
      <t>云锋基金</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太盟投资集团</t>
    </r>
    <r>
      <rPr>
        <sz val="9"/>
        <color rgb="FF000000"/>
        <rFont val="Arial"/>
        <charset val="134"/>
      </rPr>
      <t>(PAG)</t>
    </r>
  </si>
  <si>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金固股份</t>
    </r>
  </si>
  <si>
    <t>不惑创投</t>
  </si>
  <si>
    <r>
      <rPr>
        <sz val="9"/>
        <color rgb="FF000000"/>
        <rFont val="楷体"/>
        <charset val="134"/>
      </rPr>
      <t>基石资本</t>
    </r>
    <r>
      <rPr>
        <sz val="9"/>
        <color rgb="FF000000"/>
        <rFont val="Arial"/>
        <charset val="134"/>
      </rPr>
      <t>,</t>
    </r>
    <r>
      <rPr>
        <sz val="9"/>
        <color rgb="FF000000"/>
        <rFont val="楷体"/>
        <charset val="134"/>
      </rPr>
      <t>中金甲子</t>
    </r>
  </si>
  <si>
    <r>
      <rPr>
        <sz val="9"/>
        <color rgb="FF000000"/>
        <rFont val="楷体"/>
        <charset val="134"/>
      </rPr>
      <t>基石资本</t>
    </r>
    <r>
      <rPr>
        <sz val="9"/>
        <color rgb="FF000000"/>
        <rFont val="Arial"/>
        <charset val="134"/>
      </rPr>
      <t>,</t>
    </r>
    <r>
      <rPr>
        <sz val="9"/>
        <color rgb="FF000000"/>
        <rFont val="楷体"/>
        <charset val="134"/>
      </rPr>
      <t>富德创投</t>
    </r>
    <r>
      <rPr>
        <sz val="9"/>
        <color rgb="FF000000"/>
        <rFont val="Arial"/>
        <charset val="134"/>
      </rPr>
      <t>,</t>
    </r>
    <r>
      <rPr>
        <sz val="9"/>
        <color rgb="FF000000"/>
        <rFont val="楷体"/>
        <charset val="134"/>
      </rPr>
      <t>富德恒利</t>
    </r>
    <r>
      <rPr>
        <sz val="9"/>
        <color rgb="FF000000"/>
        <rFont val="Arial"/>
        <charset val="134"/>
      </rPr>
      <t>,</t>
    </r>
    <r>
      <rPr>
        <sz val="9"/>
        <color rgb="FF000000"/>
        <rFont val="楷体"/>
        <charset val="134"/>
      </rPr>
      <t>深圳华信股权投资</t>
    </r>
    <r>
      <rPr>
        <sz val="9"/>
        <color rgb="FF000000"/>
        <rFont val="Arial"/>
        <charset val="134"/>
      </rPr>
      <t>,</t>
    </r>
    <r>
      <rPr>
        <sz val="9"/>
        <color rgb="FF000000"/>
        <rFont val="楷体"/>
        <charset val="134"/>
      </rPr>
      <t>哈创投集团</t>
    </r>
  </si>
  <si>
    <t>冠庭国际物流</t>
  </si>
  <si>
    <r>
      <rPr>
        <sz val="9"/>
        <color rgb="FF000000"/>
        <rFont val="楷体"/>
        <charset val="134"/>
      </rPr>
      <t>冠庭国际物流是一家总部位于新加坡的区域性物流服务供应商，广泛提供各种解决方案，目前在亚太地区的</t>
    </r>
    <r>
      <rPr>
        <sz val="9"/>
        <color rgb="FF000000"/>
        <rFont val="Arial"/>
        <charset val="134"/>
      </rPr>
      <t xml:space="preserve"> 10 </t>
    </r>
    <r>
      <rPr>
        <sz val="9"/>
        <color rgb="FF000000"/>
        <rFont val="楷体"/>
        <charset val="134"/>
      </rPr>
      <t>多个国家设有分支机构，业务涉及全球</t>
    </r>
    <r>
      <rPr>
        <sz val="9"/>
        <color rgb="FF000000"/>
        <rFont val="Arial"/>
        <charset val="134"/>
      </rPr>
      <t>220</t>
    </r>
    <r>
      <rPr>
        <sz val="9"/>
        <color rgb="FF000000"/>
        <rFont val="楷体"/>
        <charset val="134"/>
      </rPr>
      <t>多个国家和地区。</t>
    </r>
  </si>
  <si>
    <t>http://www.quantiumsolutions.com</t>
  </si>
  <si>
    <t>其他物流</t>
  </si>
  <si>
    <r>
      <rPr>
        <sz val="9"/>
        <color rgb="FF000000"/>
        <rFont val="Arial"/>
        <charset val="134"/>
      </rPr>
      <t>6785</t>
    </r>
    <r>
      <rPr>
        <sz val="9"/>
        <color rgb="FF000000"/>
        <rFont val="楷体"/>
        <charset val="134"/>
      </rPr>
      <t>万美元</t>
    </r>
  </si>
  <si>
    <r>
      <rPr>
        <sz val="9"/>
        <color rgb="FF000000"/>
        <rFont val="Arial"/>
        <charset val="134"/>
      </rPr>
      <t>4.41</t>
    </r>
    <r>
      <rPr>
        <sz val="9"/>
        <color rgb="FF000000"/>
        <rFont val="楷体"/>
        <charset val="134"/>
      </rPr>
      <t>亿</t>
    </r>
  </si>
  <si>
    <r>
      <rPr>
        <sz val="9"/>
        <color rgb="FF000000"/>
        <rFont val="Arial"/>
        <charset val="134"/>
      </rPr>
      <t>22.05125</t>
    </r>
    <r>
      <rPr>
        <sz val="9"/>
        <color rgb="FF000000"/>
        <rFont val="楷体"/>
        <charset val="134"/>
      </rPr>
      <t>亿元</t>
    </r>
  </si>
  <si>
    <t>2019-07-18</t>
  </si>
  <si>
    <t>小盒科技-作业盒子</t>
  </si>
  <si>
    <r>
      <rPr>
        <sz val="9"/>
        <color rgb="FF000000"/>
        <rFont val="楷体"/>
        <charset val="134"/>
      </rPr>
      <t>小盒科技</t>
    </r>
    <r>
      <rPr>
        <sz val="9"/>
        <color rgb="FF000000"/>
        <rFont val="Arial"/>
        <charset val="134"/>
      </rPr>
      <t>-</t>
    </r>
    <r>
      <rPr>
        <sz val="9"/>
        <color rgb="FF000000"/>
        <rFont val="楷体"/>
        <charset val="134"/>
      </rPr>
      <t>作业盒子</t>
    </r>
  </si>
  <si>
    <r>
      <rPr>
        <sz val="9"/>
        <color rgb="FF000000"/>
        <rFont val="楷体"/>
        <charset val="134"/>
      </rPr>
      <t>小盒科技</t>
    </r>
    <r>
      <rPr>
        <sz val="9"/>
        <color rgb="FF000000"/>
        <rFont val="Arial"/>
        <charset val="134"/>
      </rPr>
      <t>(</t>
    </r>
    <r>
      <rPr>
        <sz val="9"/>
        <color rgb="FF000000"/>
        <rFont val="楷体"/>
        <charset val="134"/>
      </rPr>
      <t>前身作业盒子</t>
    </r>
    <r>
      <rPr>
        <sz val="9"/>
        <color rgb="FF000000"/>
        <rFont val="Arial"/>
        <charset val="134"/>
      </rPr>
      <t>)</t>
    </r>
    <r>
      <rPr>
        <sz val="9"/>
        <color rgb="FF000000"/>
        <rFont val="楷体"/>
        <charset val="134"/>
      </rPr>
      <t>是中国知名的</t>
    </r>
    <r>
      <rPr>
        <sz val="9"/>
        <color rgb="FF000000"/>
        <rFont val="Arial"/>
        <charset val="134"/>
      </rPr>
      <t>AI</t>
    </r>
    <r>
      <rPr>
        <sz val="9"/>
        <color rgb="FF000000"/>
        <rFont val="楷体"/>
        <charset val="134"/>
      </rPr>
      <t>教育公司，致力于用</t>
    </r>
    <r>
      <rPr>
        <sz val="9"/>
        <color rgb="FF000000"/>
        <rFont val="Arial"/>
        <charset val="134"/>
      </rPr>
      <t>AI</t>
    </r>
    <r>
      <rPr>
        <sz val="9"/>
        <color rgb="FF000000"/>
        <rFont val="楷体"/>
        <charset val="134"/>
      </rPr>
      <t>技术构建基于校内教学和家庭辅导的智能教育服务生态。小盒科技旗下有目前国内最大的面向公立学校师生应用的教学工具之一</t>
    </r>
    <r>
      <rPr>
        <sz val="9"/>
        <color rgb="FF000000"/>
        <rFont val="Arial"/>
        <charset val="134"/>
      </rPr>
      <t>“</t>
    </r>
    <r>
      <rPr>
        <sz val="9"/>
        <color rgb="FF000000"/>
        <rFont val="楷体"/>
        <charset val="134"/>
      </rPr>
      <t>小盒</t>
    </r>
    <r>
      <rPr>
        <sz val="9"/>
        <color rgb="FF000000"/>
        <rFont val="Arial"/>
        <charset val="134"/>
      </rPr>
      <t>”</t>
    </r>
    <r>
      <rPr>
        <sz val="9"/>
        <color rgb="FF000000"/>
        <rFont val="楷体"/>
        <charset val="134"/>
      </rPr>
      <t>系列产品，以及为学生提供个性化、自适应学习辅导服务的</t>
    </r>
    <r>
      <rPr>
        <sz val="9"/>
        <color rgb="FF000000"/>
        <rFont val="Arial"/>
        <charset val="134"/>
      </rPr>
      <t>AI</t>
    </r>
    <r>
      <rPr>
        <sz val="9"/>
        <color rgb="FF000000"/>
        <rFont val="楷体"/>
        <charset val="134"/>
      </rPr>
      <t>课程体系</t>
    </r>
    <r>
      <rPr>
        <sz val="9"/>
        <color rgb="FF000000"/>
        <rFont val="Arial"/>
        <charset val="134"/>
      </rPr>
      <t>“</t>
    </r>
    <r>
      <rPr>
        <sz val="9"/>
        <color rgb="FF000000"/>
        <rFont val="楷体"/>
        <charset val="134"/>
      </rPr>
      <t>小盒课堂</t>
    </r>
    <r>
      <rPr>
        <sz val="9"/>
        <color rgb="FF000000"/>
        <rFont val="Arial"/>
        <charset val="134"/>
      </rPr>
      <t>”</t>
    </r>
    <r>
      <rPr>
        <sz val="9"/>
        <color rgb="FF000000"/>
        <rFont val="楷体"/>
        <charset val="134"/>
      </rPr>
      <t>。</t>
    </r>
  </si>
  <si>
    <t>北京知识印象科技有限公司</t>
  </si>
  <si>
    <t>http://www.knowbox.cn/</t>
  </si>
  <si>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,C Capital</t>
    </r>
    <r>
      <rPr>
        <sz val="9"/>
        <color rgb="FF000000"/>
        <rFont val="楷体"/>
        <charset val="134"/>
      </rPr>
      <t>（</t>
    </r>
    <r>
      <rPr>
        <sz val="9"/>
        <color rgb="FF000000"/>
        <rFont val="Arial"/>
        <charset val="134"/>
      </rPr>
      <t>C</t>
    </r>
    <r>
      <rPr>
        <sz val="9"/>
        <color rgb="FF000000"/>
        <rFont val="楷体"/>
        <charset val="134"/>
      </rPr>
      <t>资本）</t>
    </r>
  </si>
  <si>
    <r>
      <rPr>
        <sz val="9"/>
        <color rgb="FF000000"/>
        <rFont val="Arial"/>
        <charset val="134"/>
      </rPr>
      <t>19.97</t>
    </r>
    <r>
      <rPr>
        <sz val="9"/>
        <color rgb="FF000000"/>
        <rFont val="楷体"/>
        <charset val="134"/>
      </rPr>
      <t>亿</t>
    </r>
  </si>
  <si>
    <r>
      <rPr>
        <sz val="9"/>
        <color rgb="FF000000"/>
        <rFont val="楷体"/>
        <charset val="134"/>
      </rPr>
      <t>刘夜</t>
    </r>
    <r>
      <rPr>
        <sz val="9"/>
        <color rgb="FF000000"/>
        <rFont val="Arial"/>
        <charset val="134"/>
      </rPr>
      <t>:CEO,</t>
    </r>
    <r>
      <rPr>
        <sz val="9"/>
        <color rgb="FF000000"/>
        <rFont val="楷体"/>
        <charset val="134"/>
      </rPr>
      <t>王克</t>
    </r>
    <r>
      <rPr>
        <sz val="9"/>
        <color rgb="FF000000"/>
        <rFont val="Arial"/>
        <charset val="134"/>
      </rPr>
      <t>:COO,</t>
    </r>
    <r>
      <rPr>
        <sz val="9"/>
        <color rgb="FF000000"/>
        <rFont val="楷体"/>
        <charset val="134"/>
      </rPr>
      <t>贾晓明</t>
    </r>
    <r>
      <rPr>
        <sz val="9"/>
        <color rgb="FF000000"/>
        <rFont val="Arial"/>
        <charset val="134"/>
      </rPr>
      <t>:CMO</t>
    </r>
  </si>
  <si>
    <r>
      <rPr>
        <sz val="9"/>
        <color rgb="FF000000"/>
        <rFont val="楷体"/>
        <charset val="134"/>
      </rPr>
      <t>北京市朝阳区阜通东大街</t>
    </r>
    <r>
      <rPr>
        <sz val="9"/>
        <color rgb="FF000000"/>
        <rFont val="Arial"/>
        <charset val="134"/>
      </rPr>
      <t>1</t>
    </r>
    <r>
      <rPr>
        <sz val="9"/>
        <color rgb="FF000000"/>
        <rFont val="楷体"/>
        <charset val="134"/>
      </rPr>
      <t>号院</t>
    </r>
    <r>
      <rPr>
        <sz val="9"/>
        <color rgb="FF000000"/>
        <rFont val="Arial"/>
        <charset val="134"/>
      </rPr>
      <t>5</t>
    </r>
    <r>
      <rPr>
        <sz val="9"/>
        <color rgb="FF000000"/>
        <rFont val="楷体"/>
        <charset val="134"/>
      </rPr>
      <t>号楼</t>
    </r>
    <r>
      <rPr>
        <sz val="9"/>
        <color rgb="FF000000"/>
        <rFont val="Arial"/>
        <charset val="134"/>
      </rPr>
      <t>1</t>
    </r>
    <r>
      <rPr>
        <sz val="9"/>
        <color rgb="FF000000"/>
        <rFont val="楷体"/>
        <charset val="134"/>
      </rPr>
      <t>单元</t>
    </r>
    <r>
      <rPr>
        <sz val="9"/>
        <color rgb="FF000000"/>
        <rFont val="Arial"/>
        <charset val="134"/>
      </rPr>
      <t>312107</t>
    </r>
    <r>
      <rPr>
        <sz val="9"/>
        <color rgb="FF000000"/>
        <rFont val="楷体"/>
        <charset val="134"/>
      </rPr>
      <t>室</t>
    </r>
    <r>
      <rPr>
        <sz val="9"/>
        <color rgb="FF000000"/>
        <rFont val="Arial"/>
        <charset val="134"/>
      </rPr>
      <t>21-R053</t>
    </r>
  </si>
  <si>
    <t>400-010-0180</t>
  </si>
  <si>
    <t>shangwu@knowbox.cn</t>
  </si>
  <si>
    <r>
      <rPr>
        <sz val="9"/>
        <color rgb="FF000000"/>
        <rFont val="楷体"/>
        <charset val="134"/>
      </rPr>
      <t>云锋基金</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</si>
  <si>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新世界集团</t>
    </r>
  </si>
  <si>
    <r>
      <rPr>
        <sz val="9"/>
        <color rgb="FF000000"/>
        <rFont val="楷体"/>
        <charset val="134"/>
      </rPr>
      <t>联想之星</t>
    </r>
    <r>
      <rPr>
        <sz val="9"/>
        <color rgb="FF000000"/>
        <rFont val="Arial"/>
        <charset val="134"/>
      </rPr>
      <t>,</t>
    </r>
    <r>
      <rPr>
        <sz val="9"/>
        <color rgb="FF000000"/>
        <rFont val="楷体"/>
        <charset val="134"/>
      </rPr>
      <t>德联资本</t>
    </r>
    <r>
      <rPr>
        <sz val="9"/>
        <color rgb="FF000000"/>
        <rFont val="Arial"/>
        <charset val="134"/>
      </rPr>
      <t>,</t>
    </r>
    <r>
      <rPr>
        <sz val="9"/>
        <color rgb="FF000000"/>
        <rFont val="楷体"/>
        <charset val="134"/>
      </rPr>
      <t>同兴赢典</t>
    </r>
  </si>
  <si>
    <r>
      <rPr>
        <sz val="9"/>
        <color rgb="FF000000"/>
        <rFont val="楷体"/>
        <charset val="134"/>
      </rPr>
      <t>联想之星</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刘强东</t>
    </r>
  </si>
  <si>
    <t>联想之星</t>
  </si>
  <si>
    <t>2015-07-29</t>
  </si>
  <si>
    <t>Ouya</t>
  </si>
  <si>
    <r>
      <rPr>
        <sz val="9"/>
        <color rgb="FF000000"/>
        <rFont val="Arial"/>
        <charset val="134"/>
      </rPr>
      <t xml:space="preserve">Ouya </t>
    </r>
    <r>
      <rPr>
        <sz val="9"/>
        <color rgb="FF000000"/>
        <rFont val="楷体"/>
        <charset val="134"/>
      </rPr>
      <t>是一个游戏设备研发商，其开发了首个面向电视的开放平台，提供了</t>
    </r>
    <r>
      <rPr>
        <sz val="9"/>
        <color rgb="FF000000"/>
        <rFont val="Arial"/>
        <charset val="134"/>
      </rPr>
      <t>1000</t>
    </r>
    <r>
      <rPr>
        <sz val="9"/>
        <color rgb="FF000000"/>
        <rFont val="楷体"/>
        <charset val="134"/>
      </rPr>
      <t>多款游戏。</t>
    </r>
  </si>
  <si>
    <t>http://www.ouya.tv/</t>
  </si>
  <si>
    <t>游戏发行及渠道</t>
  </si>
  <si>
    <r>
      <rPr>
        <sz val="9"/>
        <color rgb="FF000000"/>
        <rFont val="Arial"/>
        <charset val="134"/>
      </rPr>
      <t>6500</t>
    </r>
    <r>
      <rPr>
        <sz val="9"/>
        <color rgb="FF000000"/>
        <rFont val="楷体"/>
        <charset val="134"/>
      </rPr>
      <t>万</t>
    </r>
  </si>
  <si>
    <t>Yves Behar:Co-Founder</t>
  </si>
  <si>
    <r>
      <rPr>
        <sz val="9"/>
        <color rgb="FF000000"/>
        <rFont val="楷体"/>
        <charset val="134"/>
      </rPr>
      <t>阿里云是一家云计算及人工智能科技公司，致力于以在线公共服务的方式，提供计算和数据处理能力，可为企业、开发者和政府机构提供物联网、新金融、新能源、大游戏、大制造等领域的服务，旗下产品包括云服务器</t>
    </r>
    <r>
      <rPr>
        <sz val="9"/>
        <color rgb="FF000000"/>
        <rFont val="Arial"/>
        <charset val="134"/>
      </rPr>
      <t>ECS</t>
    </r>
    <r>
      <rPr>
        <sz val="9"/>
        <color rgb="FF000000"/>
        <rFont val="楷体"/>
        <charset val="134"/>
      </rPr>
      <t>、对象存储</t>
    </r>
    <r>
      <rPr>
        <sz val="9"/>
        <color rgb="FF000000"/>
        <rFont val="Arial"/>
        <charset val="134"/>
      </rPr>
      <t>OSS</t>
    </r>
    <r>
      <rPr>
        <sz val="9"/>
        <color rgb="FF000000"/>
        <rFont val="楷体"/>
        <charset val="134"/>
      </rPr>
      <t>、</t>
    </r>
    <r>
      <rPr>
        <sz val="9"/>
        <color rgb="FF000000"/>
        <rFont val="Arial"/>
        <charset val="134"/>
      </rPr>
      <t>DDoS</t>
    </r>
    <r>
      <rPr>
        <sz val="9"/>
        <color rgb="FF000000"/>
        <rFont val="楷体"/>
        <charset val="134"/>
      </rPr>
      <t>高防</t>
    </r>
    <r>
      <rPr>
        <sz val="9"/>
        <color rgb="FF000000"/>
        <rFont val="Arial"/>
        <charset val="134"/>
      </rPr>
      <t>IP</t>
    </r>
    <r>
      <rPr>
        <sz val="9"/>
        <color rgb="FF000000"/>
        <rFont val="楷体"/>
        <charset val="134"/>
      </rPr>
      <t>等。</t>
    </r>
  </si>
  <si>
    <t>阿里云计算有限公司</t>
  </si>
  <si>
    <t>http://www.aliyun.com</t>
  </si>
  <si>
    <t>2008-04</t>
  </si>
  <si>
    <r>
      <rPr>
        <sz val="9"/>
        <color rgb="FF000000"/>
        <rFont val="Arial"/>
        <charset val="134"/>
      </rPr>
      <t>60</t>
    </r>
    <r>
      <rPr>
        <sz val="9"/>
        <color rgb="FF000000"/>
        <rFont val="楷体"/>
        <charset val="134"/>
      </rPr>
      <t>亿人民币</t>
    </r>
  </si>
  <si>
    <r>
      <rPr>
        <sz val="9"/>
        <color rgb="FF000000"/>
        <rFont val="Arial"/>
        <charset val="134"/>
      </rPr>
      <t>60</t>
    </r>
    <r>
      <rPr>
        <sz val="9"/>
        <color rgb="FF000000"/>
        <rFont val="楷体"/>
        <charset val="134"/>
      </rPr>
      <t>亿</t>
    </r>
  </si>
  <si>
    <r>
      <rPr>
        <sz val="9"/>
        <color rgb="FF000000"/>
        <rFont val="Arial"/>
        <charset val="134"/>
      </rPr>
      <t>8047</t>
    </r>
    <r>
      <rPr>
        <sz val="9"/>
        <color rgb="FF000000"/>
        <rFont val="楷体"/>
        <charset val="134"/>
      </rPr>
      <t>亿元</t>
    </r>
  </si>
  <si>
    <r>
      <rPr>
        <sz val="9"/>
        <color rgb="FF000000"/>
        <rFont val="楷体"/>
        <charset val="134"/>
      </rPr>
      <t>张建锋</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张勇</t>
    </r>
    <r>
      <rPr>
        <sz val="9"/>
        <color rgb="FF000000"/>
        <rFont val="Arial"/>
        <charset val="134"/>
      </rPr>
      <t>:</t>
    </r>
    <r>
      <rPr>
        <sz val="9"/>
        <color rgb="FF000000"/>
        <rFont val="楷体"/>
        <charset val="134"/>
      </rPr>
      <t>董事长兼</t>
    </r>
    <r>
      <rPr>
        <sz val="9"/>
        <color rgb="FF000000"/>
        <rFont val="Arial"/>
        <charset val="134"/>
      </rPr>
      <t>CEO</t>
    </r>
  </si>
  <si>
    <r>
      <rPr>
        <sz val="9"/>
        <color rgb="FF000000"/>
        <rFont val="楷体"/>
        <charset val="134"/>
      </rPr>
      <t>杭州市西湖区中大银座</t>
    </r>
    <r>
      <rPr>
        <sz val="9"/>
        <color rgb="FF000000"/>
        <rFont val="Arial"/>
        <charset val="134"/>
      </rPr>
      <t>8</t>
    </r>
    <r>
      <rPr>
        <sz val="9"/>
        <color rgb="FF000000"/>
        <rFont val="楷体"/>
        <charset val="134"/>
      </rPr>
      <t>号楼</t>
    </r>
  </si>
  <si>
    <t>2015-08-14</t>
  </si>
  <si>
    <t>微鲸科技</t>
  </si>
  <si>
    <r>
      <rPr>
        <sz val="9"/>
        <color rgb="FF000000"/>
        <rFont val="楷体"/>
        <charset val="134"/>
      </rPr>
      <t>微鲸科技是一家专注于家庭娱乐的互联网科技公司，公司主要产品为一款互联网电视，旨在为</t>
    </r>
    <r>
      <rPr>
        <sz val="9"/>
        <color rgb="FF000000"/>
        <rFont val="Arial"/>
        <charset val="134"/>
      </rPr>
      <t>“</t>
    </r>
    <r>
      <rPr>
        <sz val="9"/>
        <color rgb="FF000000"/>
        <rFont val="楷体"/>
        <charset val="134"/>
      </rPr>
      <t>微鲸一代</t>
    </r>
    <r>
      <rPr>
        <sz val="9"/>
        <color rgb="FF000000"/>
        <rFont val="Arial"/>
        <charset val="134"/>
      </rPr>
      <t>”</t>
    </r>
    <r>
      <rPr>
        <sz val="9"/>
        <color rgb="FF000000"/>
        <rFont val="楷体"/>
        <charset val="134"/>
      </rPr>
      <t>的年轻家庭提供最好的智能产品和服务。</t>
    </r>
  </si>
  <si>
    <t>微鲸科技有限公司</t>
  </si>
  <si>
    <t>http://www.whaley.cn/</t>
  </si>
  <si>
    <t>2015-04</t>
  </si>
  <si>
    <r>
      <rPr>
        <sz val="9"/>
        <color rgb="FF000000"/>
        <rFont val="Arial"/>
        <charset val="134"/>
      </rPr>
      <t>AR/VR</t>
    </r>
    <r>
      <rPr>
        <sz val="9"/>
        <color rgb="FF000000"/>
        <rFont val="楷体"/>
        <charset val="134"/>
      </rPr>
      <t>设备</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</si>
  <si>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,CMC</t>
    </r>
    <r>
      <rPr>
        <sz val="9"/>
        <color rgb="FF000000"/>
        <rFont val="楷体"/>
        <charset val="134"/>
      </rPr>
      <t>资本</t>
    </r>
  </si>
  <si>
    <r>
      <rPr>
        <sz val="9"/>
        <color rgb="FF000000"/>
        <rFont val="Arial"/>
        <charset val="134"/>
      </rPr>
      <t>20</t>
    </r>
    <r>
      <rPr>
        <sz val="9"/>
        <color rgb="FF000000"/>
        <rFont val="楷体"/>
        <charset val="134"/>
      </rPr>
      <t>亿</t>
    </r>
  </si>
  <si>
    <r>
      <rPr>
        <sz val="9"/>
        <color rgb="FF000000"/>
        <rFont val="楷体"/>
        <charset val="134"/>
      </rPr>
      <t>黎瑞刚</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李怀宇</t>
    </r>
    <r>
      <rPr>
        <sz val="9"/>
        <color rgb="FF000000"/>
        <rFont val="Arial"/>
        <charset val="134"/>
      </rPr>
      <t>:</t>
    </r>
    <r>
      <rPr>
        <sz val="9"/>
        <color rgb="FF000000"/>
        <rFont val="楷体"/>
        <charset val="134"/>
      </rPr>
      <t>创始人</t>
    </r>
  </si>
  <si>
    <r>
      <rPr>
        <sz val="9"/>
        <color rgb="FF000000"/>
        <rFont val="楷体"/>
        <charset val="134"/>
      </rPr>
      <t>浦东新区盛夏路</t>
    </r>
    <r>
      <rPr>
        <sz val="9"/>
        <color rgb="FF000000"/>
        <rFont val="Arial"/>
        <charset val="134"/>
      </rPr>
      <t>666</t>
    </r>
    <r>
      <rPr>
        <sz val="9"/>
        <color rgb="FF000000"/>
        <rFont val="楷体"/>
        <charset val="134"/>
      </rPr>
      <t>号盛银大夏</t>
    </r>
    <r>
      <rPr>
        <sz val="9"/>
        <color rgb="FF000000"/>
        <rFont val="Arial"/>
        <charset val="134"/>
      </rPr>
      <t>D</t>
    </r>
    <r>
      <rPr>
        <sz val="9"/>
        <color rgb="FF000000"/>
        <rFont val="楷体"/>
        <charset val="134"/>
      </rPr>
      <t>座</t>
    </r>
    <r>
      <rPr>
        <sz val="9"/>
        <color rgb="FF000000"/>
        <rFont val="Arial"/>
        <charset val="134"/>
      </rPr>
      <t>3</t>
    </r>
    <r>
      <rPr>
        <sz val="9"/>
        <color rgb="FF000000"/>
        <rFont val="楷体"/>
        <charset val="134"/>
      </rPr>
      <t>楼</t>
    </r>
    <r>
      <rPr>
        <sz val="9"/>
        <color rgb="FF000000"/>
        <rFont val="Arial"/>
        <charset val="134"/>
      </rPr>
      <t>;</t>
    </r>
    <r>
      <rPr>
        <sz val="9"/>
        <color rgb="FF000000"/>
        <rFont val="楷体"/>
        <charset val="134"/>
      </rPr>
      <t>上海市浦东新区盛夏路</t>
    </r>
    <r>
      <rPr>
        <sz val="9"/>
        <color rgb="FF000000"/>
        <rFont val="Arial"/>
        <charset val="134"/>
      </rPr>
      <t>666</t>
    </r>
    <r>
      <rPr>
        <sz val="9"/>
        <color rgb="FF000000"/>
        <rFont val="楷体"/>
        <charset val="134"/>
      </rPr>
      <t>号盛银大厦</t>
    </r>
    <r>
      <rPr>
        <sz val="9"/>
        <color rgb="FF000000"/>
        <rFont val="Arial"/>
        <charset val="134"/>
      </rPr>
      <t>E</t>
    </r>
    <r>
      <rPr>
        <sz val="9"/>
        <color rgb="FF000000"/>
        <rFont val="楷体"/>
        <charset val="134"/>
      </rPr>
      <t>座</t>
    </r>
    <r>
      <rPr>
        <sz val="9"/>
        <color rgb="FF000000"/>
        <rFont val="Arial"/>
        <charset val="134"/>
      </rPr>
      <t>3</t>
    </r>
    <r>
      <rPr>
        <sz val="9"/>
        <color rgb="FF000000"/>
        <rFont val="楷体"/>
        <charset val="134"/>
      </rPr>
      <t>楼</t>
    </r>
  </si>
  <si>
    <t>4006-726-726</t>
  </si>
  <si>
    <t>hello@whaley.cn</t>
  </si>
  <si>
    <t>2020-12-28</t>
  </si>
  <si>
    <t>作业帮</t>
  </si>
  <si>
    <r>
      <rPr>
        <sz val="9"/>
        <color rgb="FF000000"/>
        <rFont val="楷体"/>
        <charset val="134"/>
      </rPr>
      <t>作业帮</t>
    </r>
  </si>
  <si>
    <r>
      <rPr>
        <sz val="9"/>
        <color rgb="FF000000"/>
        <rFont val="楷体"/>
        <charset val="134"/>
      </rPr>
      <t>作业帮是面向中国中小学教育领域推出的移动在线学习产品，也是习题搜索、名师直播、实时答疑、题库练习和学习沟通的综合学习平台，业务范围涵盖教、学、测、练、评的各个环节，已为国内中小学生解决日均过亿次的学习请求，占据超过</t>
    </r>
    <r>
      <rPr>
        <sz val="9"/>
        <color rgb="FF000000"/>
        <rFont val="Arial"/>
        <charset val="134"/>
      </rPr>
      <t>70%</t>
    </r>
    <r>
      <rPr>
        <sz val="9"/>
        <color rgb="FF000000"/>
        <rFont val="楷体"/>
        <charset val="134"/>
      </rPr>
      <t>的搜题市场份额。</t>
    </r>
  </si>
  <si>
    <t>小船出海教育科技（北京）有限公司</t>
  </si>
  <si>
    <t>http://www.zybang.com/</t>
  </si>
  <si>
    <t>2015-06</t>
  </si>
  <si>
    <r>
      <rPr>
        <sz val="9"/>
        <color rgb="FF000000"/>
        <rFont val="楷体"/>
        <charset val="134"/>
      </rPr>
      <t>教育</t>
    </r>
  </si>
  <si>
    <r>
      <t>E+</t>
    </r>
    <r>
      <rPr>
        <sz val="9"/>
        <color rgb="FF000000"/>
        <rFont val="楷体"/>
        <charset val="134"/>
      </rPr>
      <t>轮</t>
    </r>
  </si>
  <si>
    <r>
      <t>16</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</si>
  <si>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阿里巴巴</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方源资本</t>
    </r>
    <r>
      <rPr>
        <sz val="9"/>
        <color rgb="FF000000"/>
        <rFont val="Arial"/>
        <charset val="134"/>
      </rPr>
      <t>,</t>
    </r>
    <r>
      <rPr>
        <sz val="9"/>
        <color rgb="FF000000"/>
        <rFont val="楷体"/>
        <charset val="134"/>
      </rPr>
      <t>软银愿景基金</t>
    </r>
  </si>
  <si>
    <r>
      <t>224.58</t>
    </r>
    <r>
      <rPr>
        <sz val="9"/>
        <color rgb="FF000000"/>
        <rFont val="楷体"/>
        <charset val="134"/>
      </rPr>
      <t>亿</t>
    </r>
  </si>
  <si>
    <r>
      <t>715</t>
    </r>
    <r>
      <rPr>
        <sz val="9"/>
        <color rgb="FF000000"/>
        <rFont val="楷体"/>
        <charset val="134"/>
      </rPr>
      <t>亿元</t>
    </r>
  </si>
  <si>
    <r>
      <rPr>
        <sz val="9"/>
        <color rgb="FF000000"/>
        <rFont val="楷体"/>
        <charset val="134"/>
      </rPr>
      <t>侯建彬</t>
    </r>
    <r>
      <rPr>
        <sz val="9"/>
        <color rgb="FF000000"/>
        <rFont val="Arial"/>
        <charset val="134"/>
      </rPr>
      <t>:</t>
    </r>
    <r>
      <rPr>
        <sz val="9"/>
        <color rgb="FF000000"/>
        <rFont val="楷体"/>
        <charset val="134"/>
      </rPr>
      <t>创始人</t>
    </r>
    <r>
      <rPr>
        <sz val="9"/>
        <color rgb="FF000000"/>
        <rFont val="Arial"/>
        <charset val="134"/>
      </rPr>
      <t>&amp;CEO</t>
    </r>
  </si>
  <si>
    <r>
      <rPr>
        <sz val="9"/>
        <color rgb="FF000000"/>
        <rFont val="楷体"/>
        <charset val="134"/>
      </rPr>
      <t>北京市海淀区上地信息产业基地开拓路</t>
    </r>
    <r>
      <rPr>
        <sz val="9"/>
        <color rgb="FF000000"/>
        <rFont val="Arial"/>
        <charset val="134"/>
      </rPr>
      <t>1</t>
    </r>
    <r>
      <rPr>
        <sz val="9"/>
        <color rgb="FF000000"/>
        <rFont val="楷体"/>
        <charset val="134"/>
      </rPr>
      <t>号</t>
    </r>
    <r>
      <rPr>
        <sz val="9"/>
        <color rgb="FF000000"/>
        <rFont val="Arial"/>
        <charset val="134"/>
      </rPr>
      <t>4</t>
    </r>
    <r>
      <rPr>
        <sz val="9"/>
        <color rgb="FF000000"/>
        <rFont val="楷体"/>
        <charset val="134"/>
      </rPr>
      <t>层</t>
    </r>
    <r>
      <rPr>
        <sz val="9"/>
        <color rgb="FF000000"/>
        <rFont val="Arial"/>
        <charset val="134"/>
      </rPr>
      <t>4001</t>
    </r>
  </si>
  <si>
    <t>010-8217-7628</t>
  </si>
  <si>
    <t>service@zuoyebang.com</t>
  </si>
  <si>
    <r>
      <rPr>
        <sz val="9"/>
        <color rgb="FF000000"/>
        <rFont val="Arial"/>
        <charset val="134"/>
      </rPr>
      <t>7.5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</si>
  <si>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天图投资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方源资本</t>
    </r>
    <r>
      <rPr>
        <sz val="9"/>
        <color rgb="FF000000"/>
        <rFont val="Arial"/>
        <charset val="134"/>
      </rPr>
      <t>,</t>
    </r>
    <r>
      <rPr>
        <sz val="9"/>
        <color rgb="FF000000"/>
        <rFont val="楷体"/>
        <charset val="134"/>
      </rPr>
      <t>襄禾资本</t>
    </r>
    <r>
      <rPr>
        <sz val="9"/>
        <color rgb="FF000000"/>
        <rFont val="Arial"/>
        <charset val="134"/>
      </rPr>
      <t>,</t>
    </r>
    <r>
      <rPr>
        <sz val="9"/>
        <color rgb="FF000000"/>
        <rFont val="楷体"/>
        <charset val="134"/>
      </rPr>
      <t>卡塔尔投资局</t>
    </r>
    <r>
      <rPr>
        <sz val="9"/>
        <color rgb="FF000000"/>
        <rFont val="Arial"/>
        <charset val="134"/>
      </rPr>
      <t>QIA,</t>
    </r>
    <r>
      <rPr>
        <sz val="9"/>
        <color rgb="FF000000"/>
        <rFont val="楷体"/>
        <charset val="134"/>
      </rPr>
      <t>软银愿景基金</t>
    </r>
  </si>
  <si>
    <r>
      <rPr>
        <sz val="9"/>
        <color rgb="FF000000"/>
        <rFont val="楷体"/>
        <charset val="134"/>
      </rPr>
      <t>红杉资本中国</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天图投资</t>
    </r>
    <r>
      <rPr>
        <sz val="9"/>
        <color rgb="FF000000"/>
        <rFont val="Arial"/>
        <charset val="134"/>
      </rPr>
      <t>,NEA</t>
    </r>
    <r>
      <rPr>
        <sz val="9"/>
        <color rgb="FF000000"/>
        <rFont val="楷体"/>
        <charset val="134"/>
      </rPr>
      <t>恩颐投资</t>
    </r>
    <r>
      <rPr>
        <sz val="9"/>
        <color rgb="FF000000"/>
        <rFont val="Arial"/>
        <charset val="134"/>
      </rPr>
      <t>-New Enterprise Associates,</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),Coatue Management,</t>
    </r>
    <r>
      <rPr>
        <sz val="9"/>
        <color rgb="FF000000"/>
        <rFont val="楷体"/>
        <charset val="134"/>
      </rPr>
      <t>春华资本</t>
    </r>
    <r>
      <rPr>
        <sz val="9"/>
        <color rgb="FF000000"/>
        <rFont val="Arial"/>
        <charset val="134"/>
      </rPr>
      <t>Primavera,</t>
    </r>
    <r>
      <rPr>
        <sz val="9"/>
        <color rgb="FF000000"/>
        <rFont val="楷体"/>
        <charset val="134"/>
      </rPr>
      <t>泰合资本</t>
    </r>
    <r>
      <rPr>
        <sz val="9"/>
        <color rgb="FF000000"/>
        <rFont val="Arial"/>
        <charset val="134"/>
      </rPr>
      <t>,</t>
    </r>
    <r>
      <rPr>
        <sz val="9"/>
        <color rgb="FF000000"/>
        <rFont val="楷体"/>
        <charset val="134"/>
      </rPr>
      <t>襄禾资本</t>
    </r>
  </si>
  <si>
    <r>
      <rPr>
        <sz val="9"/>
        <color rgb="FF000000"/>
        <rFont val="楷体"/>
        <charset val="134"/>
      </rPr>
      <t>红杉资本中国</t>
    </r>
    <r>
      <rPr>
        <sz val="9"/>
        <color rgb="FF000000"/>
        <rFont val="Arial"/>
        <charset val="134"/>
      </rPr>
      <t>,</t>
    </r>
    <r>
      <rPr>
        <sz val="9"/>
        <color rgb="FF000000"/>
        <rFont val="楷体"/>
        <charset val="134"/>
      </rPr>
      <t>君联资本</t>
    </r>
    <r>
      <rPr>
        <sz val="9"/>
        <color rgb="FF000000"/>
        <rFont val="Arial"/>
        <charset val="134"/>
      </rPr>
      <t>,GGV</t>
    </r>
    <r>
      <rPr>
        <sz val="9"/>
        <color rgb="FF000000"/>
        <rFont val="楷体"/>
        <charset val="134"/>
      </rPr>
      <t>纪源资本</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,H Capital,</t>
    </r>
    <r>
      <rPr>
        <sz val="9"/>
        <color rgb="FF000000"/>
        <rFont val="楷体"/>
        <charset val="134"/>
      </rPr>
      <t>襄禾资本</t>
    </r>
  </si>
  <si>
    <r>
      <rPr>
        <sz val="9"/>
        <color rgb="FF000000"/>
        <rFont val="楷体"/>
        <charset val="134"/>
      </rPr>
      <t>红杉资本中国</t>
    </r>
    <r>
      <rPr>
        <sz val="9"/>
        <color rgb="FF000000"/>
        <rFont val="Arial"/>
        <charset val="134"/>
      </rPr>
      <t>,</t>
    </r>
    <r>
      <rPr>
        <sz val="9"/>
        <color rgb="FF000000"/>
        <rFont val="楷体"/>
        <charset val="134"/>
      </rPr>
      <t>君联资本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襄禾资本</t>
    </r>
  </si>
  <si>
    <r>
      <rPr>
        <sz val="9"/>
        <color rgb="FF000000"/>
        <rFont val="楷体"/>
        <charset val="134"/>
      </rPr>
      <t>红杉资本中国</t>
    </r>
    <r>
      <rPr>
        <sz val="9"/>
        <color rgb="FF000000"/>
        <rFont val="Arial"/>
        <charset val="134"/>
      </rPr>
      <t>,</t>
    </r>
    <r>
      <rPr>
        <sz val="9"/>
        <color rgb="FF000000"/>
        <rFont val="楷体"/>
        <charset val="134"/>
      </rPr>
      <t>君联资本</t>
    </r>
  </si>
  <si>
    <t>2015-01-09</t>
  </si>
  <si>
    <t>体育疯</t>
  </si>
  <si>
    <t>体育疯是一个主打球类运动的体育资讯平台，提供集赛事直播、视频点播、新闻资讯、比分赔率和竞猜互动为一体的服务。武汉体育疯信息科技有限公司旗下产品。</t>
  </si>
  <si>
    <t>武汉体育疯信息科技有限公司</t>
  </si>
  <si>
    <t>http://tiyufeng.com/</t>
  </si>
  <si>
    <t>2013-11</t>
  </si>
  <si>
    <t>赛事运营及经纪</t>
  </si>
  <si>
    <r>
      <rPr>
        <sz val="9"/>
        <color rgb="FF000000"/>
        <rFont val="楷体"/>
        <charset val="134"/>
      </rPr>
      <t>孙凯</t>
    </r>
    <r>
      <rPr>
        <sz val="9"/>
        <color rgb="FF000000"/>
        <rFont val="Arial"/>
        <charset val="134"/>
      </rPr>
      <t>:</t>
    </r>
    <r>
      <rPr>
        <sz val="9"/>
        <color rgb="FF000000"/>
        <rFont val="楷体"/>
        <charset val="134"/>
      </rPr>
      <t>创始人</t>
    </r>
  </si>
  <si>
    <r>
      <rPr>
        <sz val="9"/>
        <color rgb="FF000000"/>
        <rFont val="楷体"/>
        <charset val="134"/>
      </rPr>
      <t>武汉市江汉区江汉经济开发区汉口创业中心</t>
    </r>
    <r>
      <rPr>
        <sz val="9"/>
        <color rgb="FF000000"/>
        <rFont val="Arial"/>
        <charset val="134"/>
      </rPr>
      <t>2</t>
    </r>
    <r>
      <rPr>
        <sz val="9"/>
        <color rgb="FF000000"/>
        <rFont val="楷体"/>
        <charset val="134"/>
      </rPr>
      <t>号楼</t>
    </r>
    <r>
      <rPr>
        <sz val="9"/>
        <color rgb="FF000000"/>
        <rFont val="Arial"/>
        <charset val="134"/>
      </rPr>
      <t>5</t>
    </r>
    <r>
      <rPr>
        <sz val="9"/>
        <color rgb="FF000000"/>
        <rFont val="楷体"/>
        <charset val="134"/>
      </rPr>
      <t>楼</t>
    </r>
  </si>
  <si>
    <t>027-83747508</t>
  </si>
  <si>
    <t>yuxiao@navapark.cn</t>
  </si>
  <si>
    <t>2022-04-07</t>
  </si>
  <si>
    <t>Fanatics</t>
  </si>
  <si>
    <r>
      <rPr>
        <sz val="9"/>
        <color rgb="FF000000"/>
        <rFont val="Arial"/>
        <charset val="134"/>
      </rPr>
      <t>Fanatics</t>
    </r>
    <r>
      <rPr>
        <sz val="9"/>
        <color rgb="FF000000"/>
        <rFont val="楷体"/>
        <charset val="134"/>
      </rPr>
      <t>是一家在线体育用品零售商，销售包括运动衫、马克杯、夹克衫、消费电子商品在内的体育周边用品。</t>
    </r>
  </si>
  <si>
    <t>http://www.fanaticsinc.com</t>
  </si>
  <si>
    <t>1995-01</t>
  </si>
  <si>
    <t>NFL</t>
  </si>
  <si>
    <r>
      <rPr>
        <sz val="9"/>
        <color rgb="FF000000"/>
        <rFont val="Arial"/>
        <charset val="134"/>
      </rPr>
      <t>272.35</t>
    </r>
    <r>
      <rPr>
        <sz val="9"/>
        <color rgb="FF000000"/>
        <rFont val="楷体"/>
        <charset val="134"/>
      </rPr>
      <t>亿</t>
    </r>
  </si>
  <si>
    <r>
      <rPr>
        <sz val="9"/>
        <color rgb="FF000000"/>
        <rFont val="Arial"/>
        <charset val="134"/>
      </rPr>
      <t>1813.5</t>
    </r>
    <r>
      <rPr>
        <sz val="9"/>
        <color rgb="FF000000"/>
        <rFont val="楷体"/>
        <charset val="134"/>
      </rPr>
      <t>亿元</t>
    </r>
  </si>
  <si>
    <t>Adam Karol:Board Observer,Amine Bouayad:VP Product Management &amp; Design,Andrea Ellis:Chief Financial Officer,Brendan McQuillan:Senior Sales Manager,Brian L. Miles:Senior Vice President &amp; CFO, Global eCommerce,Chris Orton:CMO / CRO,David Katz:SVP, Product,Doug Mack:Vice Chairman and Board Director,Gary Gertzog:Executive Vice President, Business Affairs,Gerald Storch:Director,GINA SPRENGER:Chief Strategic Retail Officer,Greg Leavens:Senior Director of Engineering, Partner Connect Platform,Jack Boyle:Global Co-President, Direct to Consumer,Jason White:Chief Marketing Officer, Fanatics Betting and Gaming,Joachim Hilke:Managing Director Global Partnerships,Jon Collins:Director of Data Sales and Strategy,Karen Ruby:Senior Vice President, Human Resources,Keith Zimmerman:Principal Software Engineer,Lauren Cooks Levitan:Chief Financial Officer,Lonnie Phillips:Senior Vice President, Operations,Matt Madrigal:Chief Technology and Product Officer,MICH CHANDLEE:CFO,Michael G. Rubin:Executive Chairman,Michael Mahan:CEO,Michael R. Conn:Vice Chairman,Nick Bell:CEO, Live Commerce,Ramana Thumu:Chief Technology &amp; Product Officer,ROBIN ELETTO:CPO,Ross Tannenbaum:President, Fanatics Authentic,Sam Hewitt:Principal Engineer,Santanu Dey:Senior Director,Shiri Ben-Yishai:General Counsel,Subha Shetty:Vice President Of Product Management,Greg Abovsky:Chief Financial Officer,Tucker Kain:Chief Strategy and Growth Officer,Deborah Tuerk Crawford:Vice President, Investor Relations,Fernando Mejia:Finance,Stefan Tesoriero:Executive Vice President - Fanatics Authentic</t>
  </si>
  <si>
    <r>
      <rPr>
        <sz val="9"/>
        <color rgb="FF000000"/>
        <rFont val="Arial"/>
        <charset val="134"/>
      </rPr>
      <t>3.25</t>
    </r>
    <r>
      <rPr>
        <sz val="9"/>
        <color rgb="FF000000"/>
        <rFont val="楷体"/>
        <charset val="134"/>
      </rPr>
      <t>亿美元</t>
    </r>
  </si>
  <si>
    <r>
      <rPr>
        <sz val="9"/>
        <color rgb="FF000000"/>
        <rFont val="楷体"/>
        <charset val="134"/>
      </rPr>
      <t>软银愿景基金</t>
    </r>
    <r>
      <rPr>
        <sz val="9"/>
        <color rgb="FF000000"/>
        <rFont val="Arial"/>
        <charset val="134"/>
      </rPr>
      <t>,Jay-Z,Roc Nation LLC,MLB,Silver Lake</t>
    </r>
  </si>
  <si>
    <r>
      <rPr>
        <sz val="9"/>
        <color rgb="FF000000"/>
        <rFont val="Arial"/>
        <charset val="134"/>
      </rPr>
      <t>3.2</t>
    </r>
    <r>
      <rPr>
        <sz val="9"/>
        <color rgb="FF000000"/>
        <rFont val="楷体"/>
        <charset val="134"/>
      </rPr>
      <t>亿美元</t>
    </r>
  </si>
  <si>
    <r>
      <rPr>
        <sz val="9"/>
        <color rgb="FF000000"/>
        <rFont val="Arial"/>
        <charset val="134"/>
      </rPr>
      <t>Thrive capital,</t>
    </r>
    <r>
      <rPr>
        <sz val="9"/>
        <color rgb="FF000000"/>
        <rFont val="楷体"/>
        <charset val="134"/>
      </rPr>
      <t>银湖投资</t>
    </r>
    <r>
      <rPr>
        <sz val="9"/>
        <color rgb="FF000000"/>
        <rFont val="Arial"/>
        <charset val="134"/>
      </rPr>
      <t>Silver Lake,</t>
    </r>
    <r>
      <rPr>
        <sz val="9"/>
        <color rgb="FF000000"/>
        <rFont val="楷体"/>
        <charset val="134"/>
      </rPr>
      <t>黑石集团</t>
    </r>
    <r>
      <rPr>
        <sz val="9"/>
        <color rgb="FF000000"/>
        <rFont val="Arial"/>
        <charset val="134"/>
      </rPr>
      <t>Blackstone,Fidelity Management and Research Company,Franklin Templeton Investments,Neuberger Berman,MLB</t>
    </r>
  </si>
  <si>
    <t>Thrive capital,Fidelity Management and Research Company,Franklin Templeton Investments,Neuberger Berman</t>
  </si>
  <si>
    <r>
      <rPr>
        <sz val="9"/>
        <color rgb="FF000000"/>
        <rFont val="楷体"/>
        <charset val="134"/>
      </rPr>
      <t>银湖投资</t>
    </r>
    <r>
      <rPr>
        <sz val="9"/>
        <color rgb="FF000000"/>
        <rFont val="Arial"/>
        <charset val="134"/>
      </rPr>
      <t>Silver Lake</t>
    </r>
  </si>
  <si>
    <r>
      <rPr>
        <sz val="9"/>
        <color rgb="FF000000"/>
        <rFont val="楷体"/>
        <charset val="134"/>
      </rPr>
      <t>阿里巴巴</t>
    </r>
    <r>
      <rPr>
        <sz val="9"/>
        <color rgb="FF000000"/>
        <rFont val="Arial"/>
        <charset val="134"/>
      </rPr>
      <t>,</t>
    </r>
    <r>
      <rPr>
        <sz val="9"/>
        <color rgb="FF000000"/>
        <rFont val="楷体"/>
        <charset val="134"/>
      </rPr>
      <t>淡马锡</t>
    </r>
    <r>
      <rPr>
        <sz val="9"/>
        <color rgb="FF000000"/>
        <rFont val="Arial"/>
        <charset val="134"/>
      </rPr>
      <t>Temasek</t>
    </r>
  </si>
  <si>
    <r>
      <rPr>
        <sz val="9"/>
        <color rgb="FF000000"/>
        <rFont val="Arial"/>
        <charset val="134"/>
      </rPr>
      <t>7500</t>
    </r>
    <r>
      <rPr>
        <sz val="9"/>
        <color rgb="FF000000"/>
        <rFont val="楷体"/>
        <charset val="134"/>
      </rPr>
      <t>万美元</t>
    </r>
  </si>
  <si>
    <t>Bank of America</t>
  </si>
  <si>
    <t>Insight Partners,Andreessen Horowitz-a16z</t>
  </si>
  <si>
    <t>2015-04-24</t>
  </si>
  <si>
    <t>宅急搜</t>
  </si>
  <si>
    <r>
      <rPr>
        <sz val="9"/>
        <color rgb="FF000000"/>
        <rFont val="楷体"/>
        <charset val="134"/>
      </rPr>
      <t>宅急搜是一个租房买房比价平台，通过大数据搜索引擎，覆盖</t>
    </r>
    <r>
      <rPr>
        <sz val="9"/>
        <color rgb="FF000000"/>
        <rFont val="Arial"/>
        <charset val="134"/>
      </rPr>
      <t>99%</t>
    </r>
    <r>
      <rPr>
        <sz val="9"/>
        <color rgb="FF000000"/>
        <rFont val="楷体"/>
        <charset val="134"/>
      </rPr>
      <t>全网真实房源信息，为找房者提供全网每套房源最全面的信息和最低报价，并帮助业主在最短的时间内完成成交。</t>
    </r>
  </si>
  <si>
    <t>北京伟锐谷德信息技术有限公司</t>
  </si>
  <si>
    <t>房产租赁</t>
  </si>
  <si>
    <r>
      <rPr>
        <sz val="9"/>
        <color rgb="FF000000"/>
        <rFont val="Arial"/>
        <charset val="134"/>
      </rPr>
      <t>100</t>
    </r>
    <r>
      <rPr>
        <sz val="9"/>
        <color rgb="FF000000"/>
        <rFont val="楷体"/>
        <charset val="134"/>
      </rPr>
      <t>万</t>
    </r>
  </si>
  <si>
    <t>Jay:CEO</t>
  </si>
  <si>
    <t>2022-12-29</t>
  </si>
  <si>
    <t>星空华文-灿星文化</t>
  </si>
  <si>
    <r>
      <rPr>
        <sz val="9"/>
        <color rgb="FF000000"/>
        <rFont val="楷体"/>
        <charset val="134"/>
      </rPr>
      <t>星空华文</t>
    </r>
    <r>
      <rPr>
        <sz val="9"/>
        <color rgb="FF000000"/>
        <rFont val="Arial"/>
        <charset val="134"/>
      </rPr>
      <t>-</t>
    </r>
    <r>
      <rPr>
        <sz val="9"/>
        <color rgb="FF000000"/>
        <rFont val="楷体"/>
        <charset val="134"/>
      </rPr>
      <t>灿星文化</t>
    </r>
  </si>
  <si>
    <r>
      <rPr>
        <sz val="9"/>
        <color rgb="FF000000"/>
        <rFont val="楷体"/>
        <charset val="134"/>
      </rPr>
      <t>星空华文为灿星文化在</t>
    </r>
    <r>
      <rPr>
        <sz val="9"/>
        <color rgb="FF000000"/>
        <rFont val="Arial"/>
        <charset val="134"/>
      </rPr>
      <t>2021</t>
    </r>
    <r>
      <rPr>
        <sz val="9"/>
        <color rgb="FF000000"/>
        <rFont val="楷体"/>
        <charset val="134"/>
      </rPr>
      <t>年</t>
    </r>
    <r>
      <rPr>
        <sz val="9"/>
        <color rgb="FF000000"/>
        <rFont val="Arial"/>
        <charset val="134"/>
      </rPr>
      <t>8</t>
    </r>
    <r>
      <rPr>
        <sz val="9"/>
        <color rgb="FF000000"/>
        <rFont val="楷体"/>
        <charset val="134"/>
      </rPr>
      <t>月重组后的主体公司，是一家影视综艺节目制作商，专注于综艺节目的制作，致力于为观众呈现优质的影视作品。公司旗下节目包括《中国达人秀》、《金星秀》、《中国好声音》、《出彩中国人》等。</t>
    </r>
  </si>
  <si>
    <t>上海灿星文化传媒股份有限公司</t>
  </si>
  <si>
    <t>https://www.canxingmedia.com/</t>
  </si>
  <si>
    <t>2006-03</t>
  </si>
  <si>
    <r>
      <rPr>
        <sz val="9"/>
        <color rgb="FF000000"/>
        <rFont val="Arial"/>
        <charset val="134"/>
      </rPr>
      <t>3.9</t>
    </r>
    <r>
      <rPr>
        <sz val="9"/>
        <color rgb="FF000000"/>
        <rFont val="楷体"/>
        <charset val="134"/>
      </rPr>
      <t>亿港元</t>
    </r>
  </si>
  <si>
    <r>
      <rPr>
        <sz val="9"/>
        <color rgb="FF000000"/>
        <rFont val="Arial"/>
        <charset val="134"/>
      </rPr>
      <t>16.02</t>
    </r>
    <r>
      <rPr>
        <sz val="9"/>
        <color rgb="FF000000"/>
        <rFont val="楷体"/>
        <charset val="134"/>
      </rPr>
      <t>亿</t>
    </r>
  </si>
  <si>
    <r>
      <rPr>
        <sz val="9"/>
        <color rgb="FF000000"/>
        <rFont val="Arial"/>
        <charset val="134"/>
      </rPr>
      <t>84.4</t>
    </r>
    <r>
      <rPr>
        <sz val="9"/>
        <color rgb="FF000000"/>
        <rFont val="楷体"/>
        <charset val="134"/>
      </rPr>
      <t>亿元</t>
    </r>
  </si>
  <si>
    <r>
      <rPr>
        <sz val="9"/>
        <color rgb="FF000000"/>
        <rFont val="楷体"/>
        <charset val="134"/>
      </rPr>
      <t>田明</t>
    </r>
    <r>
      <rPr>
        <sz val="9"/>
        <color rgb="FF000000"/>
        <rFont val="Arial"/>
        <charset val="134"/>
      </rPr>
      <t>:CEO,</t>
    </r>
    <r>
      <rPr>
        <sz val="9"/>
        <color rgb="FF000000"/>
        <rFont val="楷体"/>
        <charset val="134"/>
      </rPr>
      <t>陈泽杉</t>
    </r>
    <r>
      <rPr>
        <sz val="9"/>
        <color rgb="FF000000"/>
        <rFont val="Arial"/>
        <charset val="134"/>
      </rPr>
      <t>:</t>
    </r>
    <r>
      <rPr>
        <sz val="9"/>
        <color rgb="FF000000"/>
        <rFont val="楷体"/>
        <charset val="134"/>
      </rPr>
      <t>副总裁</t>
    </r>
  </si>
  <si>
    <r>
      <rPr>
        <sz val="9"/>
        <color rgb="FF000000"/>
        <rFont val="楷体"/>
        <charset val="134"/>
      </rPr>
      <t>上海市长宁区广顺路</t>
    </r>
    <r>
      <rPr>
        <sz val="9"/>
        <color rgb="FF000000"/>
        <rFont val="Arial"/>
        <charset val="134"/>
      </rPr>
      <t>33</t>
    </r>
    <r>
      <rPr>
        <sz val="9"/>
        <color rgb="FF000000"/>
        <rFont val="楷体"/>
        <charset val="134"/>
      </rPr>
      <t>号</t>
    </r>
    <r>
      <rPr>
        <sz val="9"/>
        <color rgb="FF000000"/>
        <rFont val="Arial"/>
        <charset val="134"/>
      </rPr>
      <t>8</t>
    </r>
    <r>
      <rPr>
        <sz val="9"/>
        <color rgb="FF000000"/>
        <rFont val="楷体"/>
        <charset val="134"/>
      </rPr>
      <t>幢</t>
    </r>
    <r>
      <rPr>
        <sz val="9"/>
        <color rgb="FF000000"/>
        <rFont val="Arial"/>
        <charset val="134"/>
      </rPr>
      <t>432</t>
    </r>
    <r>
      <rPr>
        <sz val="9"/>
        <color rgb="FF000000"/>
        <rFont val="楷体"/>
        <charset val="134"/>
      </rPr>
      <t>室</t>
    </r>
  </si>
  <si>
    <t>021-52032888</t>
  </si>
  <si>
    <t>jfan@startv.com.cn</t>
  </si>
  <si>
    <r>
      <rPr>
        <sz val="9"/>
        <color rgb="FF000000"/>
        <rFont val="Arial"/>
        <charset val="134"/>
      </rPr>
      <t>3.6</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</si>
  <si>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腾讯音乐娱乐集团</t>
    </r>
  </si>
  <si>
    <r>
      <rPr>
        <sz val="9"/>
        <color rgb="FF000000"/>
        <rFont val="楷体"/>
        <charset val="134"/>
      </rPr>
      <t>朗玛峰创投</t>
    </r>
    <r>
      <rPr>
        <sz val="9"/>
        <color rgb="FF000000"/>
        <rFont val="Arial"/>
        <charset val="134"/>
      </rPr>
      <t>,</t>
    </r>
    <r>
      <rPr>
        <sz val="9"/>
        <color rgb="FF000000"/>
        <rFont val="楷体"/>
        <charset val="134"/>
      </rPr>
      <t>汉富控股</t>
    </r>
  </si>
  <si>
    <r>
      <rPr>
        <sz val="9"/>
        <color rgb="FF000000"/>
        <rFont val="楷体"/>
        <charset val="134"/>
      </rPr>
      <t>汉富控股</t>
    </r>
    <r>
      <rPr>
        <sz val="9"/>
        <color rgb="FF000000"/>
        <rFont val="Arial"/>
        <charset val="134"/>
      </rPr>
      <t>,</t>
    </r>
    <r>
      <rPr>
        <sz val="9"/>
        <color rgb="FF000000"/>
        <rFont val="楷体"/>
        <charset val="134"/>
      </rPr>
      <t>沣石投资</t>
    </r>
    <r>
      <rPr>
        <sz val="9"/>
        <color rgb="FF000000"/>
        <rFont val="Arial"/>
        <charset val="134"/>
      </rPr>
      <t>,</t>
    </r>
    <r>
      <rPr>
        <sz val="9"/>
        <color rgb="FF000000"/>
        <rFont val="楷体"/>
        <charset val="134"/>
      </rPr>
      <t>岩山投资</t>
    </r>
  </si>
  <si>
    <r>
      <rPr>
        <sz val="9"/>
        <color rgb="FF000000"/>
        <rFont val="Arial"/>
        <charset val="134"/>
      </rPr>
      <t>CMC</t>
    </r>
    <r>
      <rPr>
        <sz val="9"/>
        <color rgb="FF000000"/>
        <rFont val="楷体"/>
        <charset val="134"/>
      </rPr>
      <t>资本</t>
    </r>
  </si>
  <si>
    <t>2016-08-30</t>
  </si>
  <si>
    <t>名鞋库</t>
  </si>
  <si>
    <t>名鞋库是一家运动休闲鞋服网络零售商，商品涵盖服装、鞋类、包袋、配饰等运动休闲类及时尚产品。</t>
  </si>
  <si>
    <t>名鞋库网络科技有限公司</t>
  </si>
  <si>
    <t>http://www.s.cn/</t>
  </si>
  <si>
    <t>2008-10</t>
  </si>
  <si>
    <r>
      <rPr>
        <sz val="9"/>
        <color rgb="FF000000"/>
        <rFont val="Arial"/>
        <charset val="134"/>
      </rPr>
      <t>3.83</t>
    </r>
    <r>
      <rPr>
        <sz val="9"/>
        <color rgb="FF000000"/>
        <rFont val="楷体"/>
        <charset val="134"/>
      </rPr>
      <t>亿人民币</t>
    </r>
  </si>
  <si>
    <t>贵人鸟</t>
  </si>
  <si>
    <r>
      <rPr>
        <sz val="9"/>
        <color rgb="FF000000"/>
        <rFont val="Arial"/>
        <charset val="134"/>
      </rPr>
      <t>4.8</t>
    </r>
    <r>
      <rPr>
        <sz val="9"/>
        <color rgb="FF000000"/>
        <rFont val="楷体"/>
        <charset val="134"/>
      </rPr>
      <t>亿</t>
    </r>
  </si>
  <si>
    <r>
      <rPr>
        <sz val="9"/>
        <color rgb="FF000000"/>
        <rFont val="Arial"/>
        <charset val="134"/>
      </rPr>
      <t>19.125</t>
    </r>
    <r>
      <rPr>
        <sz val="9"/>
        <color rgb="FF000000"/>
        <rFont val="楷体"/>
        <charset val="134"/>
      </rPr>
      <t>亿元</t>
    </r>
  </si>
  <si>
    <r>
      <rPr>
        <sz val="9"/>
        <color rgb="FF000000"/>
        <rFont val="楷体"/>
        <charset val="134"/>
      </rPr>
      <t>许松茂</t>
    </r>
    <r>
      <rPr>
        <sz val="9"/>
        <color rgb="FF000000"/>
        <rFont val="Arial"/>
        <charset val="134"/>
      </rPr>
      <t>:CEO</t>
    </r>
  </si>
  <si>
    <r>
      <rPr>
        <sz val="9"/>
        <color rgb="FF000000"/>
        <rFont val="楷体"/>
        <charset val="134"/>
      </rPr>
      <t>厦门市湖里区湖里大道</t>
    </r>
    <r>
      <rPr>
        <sz val="9"/>
        <color rgb="FF000000"/>
        <rFont val="Arial"/>
        <charset val="134"/>
      </rPr>
      <t>78</t>
    </r>
    <r>
      <rPr>
        <sz val="9"/>
        <color rgb="FF000000"/>
        <rFont val="楷体"/>
        <charset val="134"/>
      </rPr>
      <t>号万山一号办公楼</t>
    </r>
    <r>
      <rPr>
        <sz val="9"/>
        <color rgb="FF000000"/>
        <rFont val="Arial"/>
        <charset val="134"/>
      </rPr>
      <t>3</t>
    </r>
    <r>
      <rPr>
        <sz val="9"/>
        <color rgb="FF000000"/>
        <rFont val="楷体"/>
        <charset val="134"/>
      </rPr>
      <t>楼</t>
    </r>
  </si>
  <si>
    <t>400 116 2228</t>
  </si>
  <si>
    <t>business@s.cn</t>
  </si>
  <si>
    <t>2018-05-08</t>
  </si>
  <si>
    <t>Daraz</t>
  </si>
  <si>
    <r>
      <rPr>
        <sz val="9"/>
        <color rgb="FF000000"/>
        <rFont val="Arial"/>
        <charset val="134"/>
      </rPr>
      <t>Daraz</t>
    </r>
    <r>
      <rPr>
        <sz val="9"/>
        <color rgb="FF000000"/>
        <rFont val="楷体"/>
        <charset val="134"/>
      </rPr>
      <t>成立于</t>
    </r>
    <r>
      <rPr>
        <sz val="9"/>
        <color rgb="FF000000"/>
        <rFont val="Arial"/>
        <charset val="134"/>
      </rPr>
      <t>2012</t>
    </r>
    <r>
      <rPr>
        <sz val="9"/>
        <color rgb="FF000000"/>
        <rFont val="楷体"/>
        <charset val="134"/>
      </rPr>
      <t>年，是巴基斯坦一个</t>
    </r>
    <r>
      <rPr>
        <sz val="9"/>
        <color rgb="FF000000"/>
        <rFont val="Arial"/>
        <charset val="134"/>
      </rPr>
      <t>B2C</t>
    </r>
    <r>
      <rPr>
        <sz val="9"/>
        <color rgb="FF000000"/>
        <rFont val="楷体"/>
        <charset val="134"/>
      </rPr>
      <t>电商平台，可以向巴基斯坦国内超过</t>
    </r>
    <r>
      <rPr>
        <sz val="9"/>
        <color rgb="FF000000"/>
        <rFont val="Arial"/>
        <charset val="134"/>
      </rPr>
      <t>200</t>
    </r>
    <r>
      <rPr>
        <sz val="9"/>
        <color rgb="FF000000"/>
        <rFont val="楷体"/>
        <charset val="134"/>
      </rPr>
      <t>个城市提供送货服务。</t>
    </r>
  </si>
  <si>
    <t>https://www.daraz.pk/</t>
  </si>
  <si>
    <r>
      <rPr>
        <sz val="9"/>
        <color rgb="FF000000"/>
        <rFont val="楷体"/>
        <charset val="134"/>
      </rPr>
      <t>亚洲</t>
    </r>
    <r>
      <rPr>
        <sz val="9"/>
        <color rgb="FF000000"/>
        <rFont val="Arial"/>
        <charset val="134"/>
      </rPr>
      <t>-</t>
    </r>
    <r>
      <rPr>
        <sz val="9"/>
        <color rgb="FF000000"/>
        <rFont val="楷体"/>
        <charset val="134"/>
      </rPr>
      <t>巴基斯坦</t>
    </r>
  </si>
  <si>
    <t>未透露其他</t>
  </si>
  <si>
    <r>
      <rPr>
        <sz val="9"/>
        <color rgb="FF000000"/>
        <rFont val="Arial"/>
        <charset val="134"/>
      </rPr>
      <t>3.64</t>
    </r>
    <r>
      <rPr>
        <sz val="9"/>
        <color rgb="FF000000"/>
        <rFont val="楷体"/>
        <charset val="134"/>
      </rPr>
      <t>亿</t>
    </r>
  </si>
  <si>
    <t>Shafiqur Rahman Sabbir:Founder &amp; CEO</t>
  </si>
  <si>
    <t>2018-09-07</t>
  </si>
  <si>
    <t>衣二三</t>
  </si>
  <si>
    <r>
      <rPr>
        <sz val="9"/>
        <color rgb="FF000000"/>
        <rFont val="楷体"/>
        <charset val="134"/>
      </rPr>
      <t>衣二三是一个女性时装共享平台，用户每月支付</t>
    </r>
    <r>
      <rPr>
        <sz val="9"/>
        <color rgb="FF000000"/>
        <rFont val="Arial"/>
        <charset val="134"/>
      </rPr>
      <t>499</t>
    </r>
    <r>
      <rPr>
        <sz val="9"/>
        <color rgb="FF000000"/>
        <rFont val="楷体"/>
        <charset val="134"/>
      </rPr>
      <t>元租金即可成为会员，会员期间可以无限次试穿平台所有品类的服装，每次可租借三件衣服。同时邀请品牌入驻平台，提供租用服务同时提供售卖服务，包括</t>
    </r>
    <r>
      <rPr>
        <sz val="9"/>
        <color rgb="FF000000"/>
        <rFont val="Arial"/>
        <charset val="134"/>
      </rPr>
      <t>KENZO</t>
    </r>
    <r>
      <rPr>
        <sz val="9"/>
        <color rgb="FF000000"/>
        <rFont val="楷体"/>
        <charset val="134"/>
      </rPr>
      <t>、</t>
    </r>
    <r>
      <rPr>
        <sz val="9"/>
        <color rgb="FF000000"/>
        <rFont val="Arial"/>
        <charset val="134"/>
      </rPr>
      <t>Acne Studios</t>
    </r>
    <r>
      <rPr>
        <sz val="9"/>
        <color rgb="FF000000"/>
        <rFont val="楷体"/>
        <charset val="134"/>
      </rPr>
      <t>、</t>
    </r>
    <r>
      <rPr>
        <sz val="9"/>
        <color rgb="FF000000"/>
        <rFont val="Arial"/>
        <charset val="134"/>
      </rPr>
      <t>Self-Portrait</t>
    </r>
    <r>
      <rPr>
        <sz val="9"/>
        <color rgb="FF000000"/>
        <rFont val="楷体"/>
        <charset val="134"/>
      </rPr>
      <t>在内的轻奢品牌以及</t>
    </r>
    <r>
      <rPr>
        <sz val="9"/>
        <color rgb="FF000000"/>
        <rFont val="Arial"/>
        <charset val="134"/>
      </rPr>
      <t>peacebird</t>
    </r>
    <r>
      <rPr>
        <sz val="9"/>
        <color rgb="FF000000"/>
        <rFont val="楷体"/>
        <charset val="134"/>
      </rPr>
      <t>、</t>
    </r>
    <r>
      <rPr>
        <sz val="9"/>
        <color rgb="FF000000"/>
        <rFont val="Arial"/>
        <charset val="134"/>
      </rPr>
      <t>Masha Ma</t>
    </r>
    <r>
      <rPr>
        <sz val="9"/>
        <color rgb="FF000000"/>
        <rFont val="楷体"/>
        <charset val="134"/>
      </rPr>
      <t>时尚商业品牌和设计师品牌，并通过自建中央智能洗衣工厂，为用户提供全程免洗免运费服务。</t>
    </r>
  </si>
  <si>
    <t>北京尚世骁众科技有限公司</t>
  </si>
  <si>
    <t>http://www.yi23.net/</t>
  </si>
  <si>
    <t>2015-01</t>
  </si>
  <si>
    <r>
      <rPr>
        <sz val="9"/>
        <color rgb="FF000000"/>
        <rFont val="Arial"/>
        <charset val="134"/>
      </rPr>
      <t>7.38</t>
    </r>
    <r>
      <rPr>
        <sz val="9"/>
        <color rgb="FF000000"/>
        <rFont val="楷体"/>
        <charset val="134"/>
      </rPr>
      <t>亿</t>
    </r>
  </si>
  <si>
    <r>
      <rPr>
        <sz val="9"/>
        <color rgb="FF000000"/>
        <rFont val="楷体"/>
        <charset val="134"/>
      </rPr>
      <t>刘梦媛</t>
    </r>
    <r>
      <rPr>
        <sz val="9"/>
        <color rgb="FF000000"/>
        <rFont val="Arial"/>
        <charset val="134"/>
      </rPr>
      <t>:</t>
    </r>
    <r>
      <rPr>
        <sz val="9"/>
        <color rgb="FF000000"/>
        <rFont val="楷体"/>
        <charset val="134"/>
      </rPr>
      <t>创始人</t>
    </r>
  </si>
  <si>
    <r>
      <rPr>
        <sz val="9"/>
        <color rgb="FF000000"/>
        <rFont val="楷体"/>
        <charset val="134"/>
      </rPr>
      <t>北京市东城区王府井大街</t>
    </r>
    <r>
      <rPr>
        <sz val="9"/>
        <color rgb="FF000000"/>
        <rFont val="Arial"/>
        <charset val="134"/>
      </rPr>
      <t xml:space="preserve">218-2 </t>
    </r>
    <r>
      <rPr>
        <sz val="9"/>
        <color rgb="FF000000"/>
        <rFont val="楷体"/>
        <charset val="134"/>
      </rPr>
      <t>五层</t>
    </r>
  </si>
  <si>
    <t>400-650-4580</t>
  </si>
  <si>
    <t>public@yi123.com</t>
  </si>
  <si>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软银中国资本</t>
    </r>
    <r>
      <rPr>
        <sz val="9"/>
        <color rgb="FF000000"/>
        <rFont val="Arial"/>
        <charset val="134"/>
      </rPr>
      <t>,UOB Venture,</t>
    </r>
    <r>
      <rPr>
        <sz val="9"/>
        <color rgb="FF000000"/>
        <rFont val="楷体"/>
        <charset val="134"/>
      </rPr>
      <t>磐霖资本</t>
    </r>
    <r>
      <rPr>
        <sz val="9"/>
        <color rgb="FF000000"/>
        <rFont val="Arial"/>
        <charset val="134"/>
      </rPr>
      <t>,</t>
    </r>
    <r>
      <rPr>
        <sz val="9"/>
        <color rgb="FF000000"/>
        <rFont val="楷体"/>
        <charset val="134"/>
      </rPr>
      <t>志拙资本</t>
    </r>
    <r>
      <rPr>
        <sz val="9"/>
        <color rgb="FF000000"/>
        <rFont val="Arial"/>
        <charset val="134"/>
      </rPr>
      <t>,</t>
    </r>
    <r>
      <rPr>
        <sz val="9"/>
        <color rgb="FF000000"/>
        <rFont val="楷体"/>
        <charset val="134"/>
      </rPr>
      <t>王刚</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</si>
  <si>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新浪微博基金</t>
    </r>
    <r>
      <rPr>
        <sz val="9"/>
        <color rgb="FF000000"/>
        <rFont val="Arial"/>
        <charset val="134"/>
      </rPr>
      <t>,UOB Venture,</t>
    </r>
    <r>
      <rPr>
        <sz val="9"/>
        <color rgb="FF000000"/>
        <rFont val="楷体"/>
        <charset val="134"/>
      </rPr>
      <t>磐霖资本</t>
    </r>
    <r>
      <rPr>
        <sz val="9"/>
        <color rgb="FF000000"/>
        <rFont val="Arial"/>
        <charset val="134"/>
      </rPr>
      <t>,</t>
    </r>
    <r>
      <rPr>
        <sz val="9"/>
        <color rgb="FF000000"/>
        <rFont val="楷体"/>
        <charset val="134"/>
      </rPr>
      <t>非同凡想创投</t>
    </r>
    <r>
      <rPr>
        <sz val="9"/>
        <color rgb="FF000000"/>
        <rFont val="Arial"/>
        <charset val="134"/>
      </rPr>
      <t>,</t>
    </r>
    <r>
      <rPr>
        <sz val="9"/>
        <color rgb="FF000000"/>
        <rFont val="楷体"/>
        <charset val="134"/>
      </rPr>
      <t>志拙资本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</si>
  <si>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清流资本</t>
    </r>
  </si>
  <si>
    <r>
      <rPr>
        <sz val="9"/>
        <color rgb="FF000000"/>
        <rFont val="楷体"/>
        <charset val="134"/>
      </rPr>
      <t>金沙江创投</t>
    </r>
    <r>
      <rPr>
        <sz val="9"/>
        <color rgb="FF000000"/>
        <rFont val="Arial"/>
        <charset val="134"/>
      </rPr>
      <t>,</t>
    </r>
    <r>
      <rPr>
        <sz val="9"/>
        <color rgb="FF000000"/>
        <rFont val="楷体"/>
        <charset val="134"/>
      </rPr>
      <t>天使投资人王刚</t>
    </r>
    <r>
      <rPr>
        <sz val="9"/>
        <color rgb="FF000000"/>
        <rFont val="Arial"/>
        <charset val="134"/>
      </rPr>
      <t>-</t>
    </r>
    <r>
      <rPr>
        <sz val="9"/>
        <color rgb="FF000000"/>
        <rFont val="楷体"/>
        <charset val="134"/>
      </rPr>
      <t>觉资本</t>
    </r>
  </si>
  <si>
    <t>2021-07-19</t>
  </si>
  <si>
    <r>
      <rPr>
        <sz val="9"/>
        <color rgb="FF000000"/>
        <rFont val="Arial"/>
        <charset val="134"/>
      </rPr>
      <t>Paytm</t>
    </r>
    <r>
      <rPr>
        <sz val="9"/>
        <color rgb="FF000000"/>
        <rFont val="楷体"/>
        <charset val="134"/>
      </rPr>
      <t>是一家来自印度的第三方支付的电子商务公司，隶属于</t>
    </r>
    <r>
      <rPr>
        <sz val="9"/>
        <color rgb="FF000000"/>
        <rFont val="Arial"/>
        <charset val="134"/>
      </rPr>
      <t>One97 Communications</t>
    </r>
    <r>
      <rPr>
        <sz val="9"/>
        <color rgb="FF000000"/>
        <rFont val="楷体"/>
        <charset val="134"/>
      </rPr>
      <t>，提供线上支付、线上购物等服务。</t>
    </r>
  </si>
  <si>
    <t>https://paytm.com/</t>
  </si>
  <si>
    <t>支付</t>
  </si>
  <si>
    <r>
      <rPr>
        <sz val="9"/>
        <color rgb="FF000000"/>
        <rFont val="Arial"/>
        <charset val="134"/>
      </rPr>
      <t>22</t>
    </r>
    <r>
      <rPr>
        <sz val="9"/>
        <color rgb="FF000000"/>
        <rFont val="楷体"/>
        <charset val="134"/>
      </rPr>
      <t>亿美元</t>
    </r>
  </si>
  <si>
    <r>
      <rPr>
        <sz val="9"/>
        <color rgb="FF000000"/>
        <rFont val="楷体"/>
        <charset val="134"/>
      </rPr>
      <t>蚂蚁集团</t>
    </r>
    <r>
      <rPr>
        <sz val="9"/>
        <color rgb="FF000000"/>
        <rFont val="Arial"/>
        <charset val="134"/>
      </rPr>
      <t>,</t>
    </r>
    <r>
      <rPr>
        <sz val="9"/>
        <color rgb="FF000000"/>
        <rFont val="楷体"/>
        <charset val="134"/>
      </rPr>
      <t>软银中印</t>
    </r>
    <r>
      <rPr>
        <sz val="9"/>
        <color rgb="FF000000"/>
        <rFont val="Arial"/>
        <charset val="134"/>
      </rPr>
      <t>,</t>
    </r>
    <r>
      <rPr>
        <sz val="9"/>
        <color rgb="FF000000"/>
        <rFont val="楷体"/>
        <charset val="134"/>
      </rPr>
      <t>伯克希尔哈撒韦</t>
    </r>
  </si>
  <si>
    <r>
      <rPr>
        <sz val="9"/>
        <color rgb="FF000000"/>
        <rFont val="Arial"/>
        <charset val="134"/>
      </rPr>
      <t>476.45</t>
    </r>
    <r>
      <rPr>
        <sz val="9"/>
        <color rgb="FF000000"/>
        <rFont val="楷体"/>
        <charset val="134"/>
      </rPr>
      <t>亿</t>
    </r>
  </si>
  <si>
    <r>
      <rPr>
        <sz val="9"/>
        <color rgb="FF000000"/>
        <rFont val="Arial"/>
        <charset val="134"/>
      </rPr>
      <t>1950</t>
    </r>
    <r>
      <rPr>
        <sz val="9"/>
        <color rgb="FF000000"/>
        <rFont val="楷体"/>
        <charset val="134"/>
      </rPr>
      <t>亿元</t>
    </r>
  </si>
  <si>
    <t>Abhay Sharma:Chief Business Officer - Bill Payments,Ajay Shekhar Sharma:CBO,Anmol Ahlawat:Deputy General Manager - Head, National Sales,Devendra Rane:SVP Technology and Engineering,Disha Mandaar:Content Team Lead,Gunjeet Singh:Business Manager -,Harsh Gupta:Senior Software Engineer,Himanshu Jain:Engineering,Madhur Deora:President and Group CFO,Mohit Mohan:Senior Vice President,Prashant Singh:Vice President Of Product,Renu Satti:Chief Operating Officer (Offline Payments),Ripunjai Gaur:Chief Business Officer - Offline Payments,Saloni Malhotra:Vice President,samir gupta:Vice President Of Product Management - Travel,Sanchit Kapoor:Senior Manager Product,Saurabh Gupta:Product Director,Utkarsh Srivastava:Senior Software Engineer,Vijay Shekhar Sharma:Managing Director and Chief Executive Officer,Vikash Jalan:Head of Travel Business,Vishnu Khandelwal:Vice President,Vivek Sinha:Deputy General Manager</t>
  </si>
  <si>
    <r>
      <rPr>
        <sz val="9"/>
        <color rgb="FF000000"/>
        <rFont val="楷体"/>
        <charset val="134"/>
      </rPr>
      <t>微软</t>
    </r>
    <r>
      <rPr>
        <sz val="9"/>
        <color rgb="FF000000"/>
        <rFont val="Arial"/>
        <charset val="134"/>
      </rPr>
      <t>Microsoft</t>
    </r>
  </si>
  <si>
    <r>
      <rPr>
        <sz val="9"/>
        <color rgb="FF000000"/>
        <rFont val="楷体"/>
        <charset val="134"/>
      </rPr>
      <t>蚂蚁集团</t>
    </r>
    <r>
      <rPr>
        <sz val="9"/>
        <color rgb="FF000000"/>
        <rFont val="Arial"/>
        <charset val="134"/>
      </rPr>
      <t>,</t>
    </r>
    <r>
      <rPr>
        <sz val="9"/>
        <color rgb="FF000000"/>
        <rFont val="楷体"/>
        <charset val="134"/>
      </rPr>
      <t>软银愿景基金</t>
    </r>
    <r>
      <rPr>
        <sz val="9"/>
        <color rgb="FF000000"/>
        <rFont val="Arial"/>
        <charset val="134"/>
      </rPr>
      <t>,</t>
    </r>
    <r>
      <rPr>
        <sz val="9"/>
        <color rgb="FF000000"/>
        <rFont val="楷体"/>
        <charset val="134"/>
      </rPr>
      <t>普信集团</t>
    </r>
  </si>
  <si>
    <r>
      <rPr>
        <sz val="9"/>
        <color rgb="FF000000"/>
        <rFont val="Arial"/>
        <charset val="134"/>
      </rPr>
      <t>3.6</t>
    </r>
    <r>
      <rPr>
        <sz val="9"/>
        <color rgb="FF000000"/>
        <rFont val="楷体"/>
        <charset val="134"/>
      </rPr>
      <t>亿美元</t>
    </r>
  </si>
  <si>
    <t>Warren Buffett</t>
  </si>
  <si>
    <r>
      <rPr>
        <sz val="9"/>
        <color rgb="FF000000"/>
        <rFont val="Arial"/>
        <charset val="134"/>
      </rPr>
      <t>4.45</t>
    </r>
    <r>
      <rPr>
        <sz val="9"/>
        <color rgb="FF000000"/>
        <rFont val="楷体"/>
        <charset val="134"/>
      </rPr>
      <t>亿美元</t>
    </r>
  </si>
  <si>
    <r>
      <rPr>
        <sz val="9"/>
        <color rgb="FF000000"/>
        <rFont val="楷体"/>
        <charset val="134"/>
      </rPr>
      <t>阿里巴巴</t>
    </r>
    <r>
      <rPr>
        <sz val="9"/>
        <color rgb="FF000000"/>
        <rFont val="Arial"/>
        <charset val="134"/>
      </rPr>
      <t>,SoftBank capital</t>
    </r>
  </si>
  <si>
    <t>软银中印</t>
  </si>
  <si>
    <r>
      <rPr>
        <sz val="9"/>
        <color rgb="FF000000"/>
        <rFont val="Arial"/>
        <charset val="134"/>
      </rPr>
      <t>14</t>
    </r>
    <r>
      <rPr>
        <sz val="9"/>
        <color rgb="FF000000"/>
        <rFont val="楷体"/>
        <charset val="134"/>
      </rPr>
      <t>亿美元</t>
    </r>
  </si>
  <si>
    <t>联发科技</t>
  </si>
  <si>
    <r>
      <rPr>
        <sz val="9"/>
        <color rgb="FF000000"/>
        <rFont val="楷体"/>
        <charset val="134"/>
      </rPr>
      <t>阿里巴巴</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淡马锡</t>
    </r>
    <r>
      <rPr>
        <sz val="9"/>
        <color rgb="FF000000"/>
        <rFont val="Arial"/>
        <charset val="134"/>
      </rPr>
      <t>Temasek,</t>
    </r>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t>
    </r>
    <r>
      <rPr>
        <sz val="9"/>
        <color rgb="FF000000"/>
        <rFont val="楷体"/>
        <charset val="134"/>
      </rPr>
      <t>联发科</t>
    </r>
    <r>
      <rPr>
        <sz val="9"/>
        <color rgb="FF000000"/>
        <rFont val="Arial"/>
        <charset val="134"/>
      </rPr>
      <t>MTK</t>
    </r>
  </si>
  <si>
    <r>
      <rPr>
        <sz val="9"/>
        <color rgb="FF000000"/>
        <rFont val="Arial"/>
        <charset val="134"/>
      </rPr>
      <t>6.8</t>
    </r>
    <r>
      <rPr>
        <sz val="9"/>
        <color rgb="FF000000"/>
        <rFont val="楷体"/>
        <charset val="134"/>
      </rPr>
      <t>亿美元</t>
    </r>
  </si>
  <si>
    <r>
      <rPr>
        <sz val="9"/>
        <color rgb="FF000000"/>
        <rFont val="Arial"/>
        <charset val="134"/>
      </rPr>
      <t>1.35</t>
    </r>
    <r>
      <rPr>
        <sz val="9"/>
        <color rgb="FF000000"/>
        <rFont val="楷体"/>
        <charset val="134"/>
      </rPr>
      <t>亿美元</t>
    </r>
  </si>
  <si>
    <t>2020-12-04</t>
  </si>
  <si>
    <t>ShopRunner</t>
  </si>
  <si>
    <r>
      <rPr>
        <sz val="9"/>
        <color rgb="FF000000"/>
        <rFont val="Arial"/>
        <charset val="134"/>
      </rPr>
      <t>ShopRunner</t>
    </r>
    <r>
      <rPr>
        <sz val="9"/>
        <color rgb="FF000000"/>
        <rFont val="楷体"/>
        <charset val="134"/>
      </rPr>
      <t>是一家美国电商创业公司，类似中国的天猫商城，采用会员制模式，消费者每年支付</t>
    </r>
    <r>
      <rPr>
        <sz val="9"/>
        <color rgb="FF000000"/>
        <rFont val="Arial"/>
        <charset val="134"/>
      </rPr>
      <t>79</t>
    </r>
    <r>
      <rPr>
        <sz val="9"/>
        <color rgb="FF000000"/>
        <rFont val="楷体"/>
        <charset val="134"/>
      </rPr>
      <t>美元成为</t>
    </r>
    <r>
      <rPr>
        <sz val="9"/>
        <color rgb="FF000000"/>
        <rFont val="Arial"/>
        <charset val="134"/>
      </rPr>
      <t>ShopRunner</t>
    </r>
    <r>
      <rPr>
        <sz val="9"/>
        <color rgb="FF000000"/>
        <rFont val="楷体"/>
        <charset val="134"/>
      </rPr>
      <t>会员，可以享受到两日免费快递以及免费退货的服务。</t>
    </r>
  </si>
  <si>
    <t>http://www.shoprunner.com/</t>
  </si>
  <si>
    <t>FedEx</t>
  </si>
  <si>
    <r>
      <rPr>
        <sz val="9"/>
        <color rgb="FF000000"/>
        <rFont val="Arial"/>
        <charset val="134"/>
      </rPr>
      <t>13.39</t>
    </r>
    <r>
      <rPr>
        <sz val="9"/>
        <color rgb="FF000000"/>
        <rFont val="楷体"/>
        <charset val="134"/>
      </rPr>
      <t>亿</t>
    </r>
  </si>
  <si>
    <t>Ali Vanderveld:Director of Data Science,Annarose McLaughlin:Merchandising Manager,Chris Elipas:Director of Product,Emily Orthwein:Associate Product Manager, Same Day Exchange,Jacob Tomaw:Principal Engineer,Kevin Ma:Analytics,Luccile Logan:Co-Founder,Mark Menell:COO/CFO,Michael G. Rubin:Executive Chairman,Michelangelo D'Agostino:CTO + Vice President of Data Science and Engineering,Oddie Gopalan:Senior Product Manager,Scott Cronin:Lead Machine Learning Engineer,TJ Papp:Chief Marketing Officer &amp; GM of Digital Marketplaces (MaaS)</t>
  </si>
  <si>
    <r>
      <rPr>
        <sz val="9"/>
        <color rgb="FF000000"/>
        <rFont val="Arial"/>
        <charset val="134"/>
      </rPr>
      <t>2.06</t>
    </r>
    <r>
      <rPr>
        <sz val="9"/>
        <color rgb="FF000000"/>
        <rFont val="楷体"/>
        <charset val="134"/>
      </rPr>
      <t>亿美元</t>
    </r>
  </si>
  <si>
    <t>2010-07-24</t>
  </si>
  <si>
    <t>Vendio</t>
  </si>
  <si>
    <r>
      <rPr>
        <sz val="9"/>
        <color rgb="FF000000"/>
        <rFont val="Arial"/>
        <charset val="134"/>
      </rPr>
      <t>Vendio Services</t>
    </r>
    <r>
      <rPr>
        <sz val="9"/>
        <color rgb="FF000000"/>
        <rFont val="楷体"/>
        <charset val="134"/>
      </rPr>
      <t>是美国电子商务</t>
    </r>
    <r>
      <rPr>
        <sz val="9"/>
        <color rgb="FF000000"/>
        <rFont val="Arial"/>
        <charset val="134"/>
      </rPr>
      <t>SaaS</t>
    </r>
    <r>
      <rPr>
        <sz val="9"/>
        <color rgb="FF000000"/>
        <rFont val="楷体"/>
        <charset val="134"/>
      </rPr>
      <t>提供商，主要业务是帮助中小规模的商家同时管理多个电商平台上的网店。</t>
    </r>
  </si>
  <si>
    <t>1999-05</t>
  </si>
  <si>
    <t>Greg McNutt:Chief Technology Officer,Philippos Athanasiades:Financial Controller,Rodrigo Sales:Strategic Advisor &amp; Co-Founder,Timothy Vago:VP of Finance</t>
  </si>
  <si>
    <t>2010-08-25</t>
  </si>
  <si>
    <t>Auctiva</t>
  </si>
  <si>
    <r>
      <rPr>
        <sz val="9"/>
        <color rgb="FF000000"/>
        <rFont val="Arial"/>
        <charset val="134"/>
      </rPr>
      <t>Auctiva</t>
    </r>
    <r>
      <rPr>
        <sz val="9"/>
        <color rgb="FF000000"/>
        <rFont val="楷体"/>
        <charset val="134"/>
      </rPr>
      <t>是一家服务于</t>
    </r>
    <r>
      <rPr>
        <sz val="9"/>
        <color rgb="FF000000"/>
        <rFont val="Arial"/>
        <charset val="134"/>
      </rPr>
      <t>eBay</t>
    </r>
    <r>
      <rPr>
        <sz val="9"/>
        <color rgb="FF000000"/>
        <rFont val="楷体"/>
        <charset val="134"/>
      </rPr>
      <t>用户为主，拥有全美超过</t>
    </r>
    <r>
      <rPr>
        <sz val="9"/>
        <color rgb="FF000000"/>
        <rFont val="Arial"/>
        <charset val="134"/>
      </rPr>
      <t>17</t>
    </r>
    <r>
      <rPr>
        <sz val="9"/>
        <color rgb="FF000000"/>
        <rFont val="楷体"/>
        <charset val="134"/>
      </rPr>
      <t>万活跃网店买家的电子商务公司，主营业务是帮助网店店主更好地在</t>
    </r>
    <r>
      <rPr>
        <sz val="9"/>
        <color rgb="FF000000"/>
        <rFont val="Arial"/>
        <charset val="134"/>
      </rPr>
      <t>eBay</t>
    </r>
    <r>
      <rPr>
        <sz val="9"/>
        <color rgb="FF000000"/>
        <rFont val="楷体"/>
        <charset val="134"/>
      </rPr>
      <t>上发布、管理产品和销售。</t>
    </r>
  </si>
  <si>
    <t>https://www.auctiva.com/default.aspx</t>
  </si>
  <si>
    <t>1998-06</t>
  </si>
  <si>
    <t>Jeff Schlicht:CEO &amp; Founder,Michael Davies:Customer Support Manager,Spencer Smith:Marketing Director</t>
  </si>
  <si>
    <t>2015-09-11</t>
  </si>
  <si>
    <t>MySIMAX</t>
  </si>
  <si>
    <r>
      <rPr>
        <sz val="9"/>
        <color rgb="FF000000"/>
        <rFont val="Arial"/>
        <charset val="134"/>
      </rPr>
      <t>MySIMAX</t>
    </r>
    <r>
      <rPr>
        <sz val="9"/>
        <color rgb="FF000000"/>
        <rFont val="楷体"/>
        <charset val="134"/>
      </rPr>
      <t>是犹太人在上海创立的一个看好非洲未来经济发展的开发教育平板电脑的科技公司，面向非洲市场，同时建立非洲精英人才俱乐部和移动数字交易市场，致力于让非洲最有潜力的一代人学习知识，成为数字经济中的活跃者。</t>
    </r>
  </si>
  <si>
    <t>MySIMAX.Inc</t>
  </si>
  <si>
    <t>http://mysimax.mobi/</t>
  </si>
  <si>
    <t>教育综合服务</t>
  </si>
  <si>
    <r>
      <rPr>
        <sz val="9"/>
        <color rgb="FF000000"/>
        <rFont val="Arial"/>
        <charset val="134"/>
      </rPr>
      <t>20</t>
    </r>
    <r>
      <rPr>
        <sz val="9"/>
        <color rgb="FF000000"/>
        <rFont val="楷体"/>
        <charset val="134"/>
      </rPr>
      <t>万美元</t>
    </r>
  </si>
  <si>
    <r>
      <rPr>
        <sz val="9"/>
        <color rgb="FF000000"/>
        <rFont val="Arial"/>
        <charset val="134"/>
      </rPr>
      <t>130</t>
    </r>
    <r>
      <rPr>
        <sz val="9"/>
        <color rgb="FF000000"/>
        <rFont val="楷体"/>
        <charset val="134"/>
      </rPr>
      <t>万</t>
    </r>
  </si>
  <si>
    <r>
      <rPr>
        <sz val="9"/>
        <color rgb="FF000000"/>
        <rFont val="Arial"/>
        <charset val="134"/>
      </rPr>
      <t>650</t>
    </r>
    <r>
      <rPr>
        <sz val="9"/>
        <color rgb="FF000000"/>
        <rFont val="楷体"/>
        <charset val="134"/>
      </rPr>
      <t>万元</t>
    </r>
  </si>
  <si>
    <r>
      <rPr>
        <sz val="9"/>
        <color rgb="FF000000"/>
        <rFont val="Arial"/>
        <charset val="134"/>
      </rPr>
      <t>JX Paulin:</t>
    </r>
    <r>
      <rPr>
        <sz val="9"/>
        <color rgb="FF000000"/>
        <rFont val="楷体"/>
        <charset val="134"/>
      </rPr>
      <t>联合创始人</t>
    </r>
  </si>
  <si>
    <t>2015-09-07</t>
  </si>
  <si>
    <t>阿卡Artka</t>
  </si>
  <si>
    <r>
      <rPr>
        <sz val="9"/>
        <color rgb="FF000000"/>
        <rFont val="楷体"/>
        <charset val="134"/>
      </rPr>
      <t>阿卡</t>
    </r>
    <r>
      <rPr>
        <sz val="9"/>
        <color rgb="FF000000"/>
        <rFont val="Arial"/>
        <charset val="134"/>
      </rPr>
      <t>Artka</t>
    </r>
  </si>
  <si>
    <r>
      <rPr>
        <sz val="9"/>
        <color rgb="FF000000"/>
        <rFont val="楷体"/>
        <charset val="134"/>
      </rPr>
      <t>阿卡</t>
    </r>
    <r>
      <rPr>
        <sz val="9"/>
        <color rgb="FF000000"/>
        <rFont val="Arial"/>
        <charset val="134"/>
      </rPr>
      <t>Artka</t>
    </r>
    <r>
      <rPr>
        <sz val="9"/>
        <color rgb="FF000000"/>
        <rFont val="楷体"/>
        <charset val="134"/>
      </rPr>
      <t>是一家复古女装设计师品牌及淘品牌电商公司，作品结合</t>
    </r>
    <r>
      <rPr>
        <sz val="9"/>
        <color rgb="FF000000"/>
        <rFont val="Arial"/>
        <charset val="134"/>
      </rPr>
      <t>“</t>
    </r>
    <r>
      <rPr>
        <sz val="9"/>
        <color rgb="FF000000"/>
        <rFont val="楷体"/>
        <charset val="134"/>
      </rPr>
      <t>阿卡随心手艺</t>
    </r>
    <r>
      <rPr>
        <sz val="9"/>
        <color rgb="FF000000"/>
        <rFont val="Arial"/>
        <charset val="134"/>
      </rPr>
      <t>”</t>
    </r>
    <r>
      <rPr>
        <sz val="9"/>
        <color rgb="FF000000"/>
        <rFont val="楷体"/>
        <charset val="134"/>
      </rPr>
      <t>的创作风格，杭州界内电子商务有限公司旗下产品。</t>
    </r>
  </si>
  <si>
    <t>杭州界内电子商务有限公司</t>
  </si>
  <si>
    <t>https://artka.tmall.com/shop/view_shop.htm</t>
  </si>
  <si>
    <t>2005-06</t>
  </si>
  <si>
    <r>
      <rPr>
        <sz val="9"/>
        <color rgb="FF000000"/>
        <rFont val="Arial"/>
        <charset val="134"/>
      </rPr>
      <t>6000</t>
    </r>
    <r>
      <rPr>
        <sz val="9"/>
        <color rgb="FF000000"/>
        <rFont val="楷体"/>
        <charset val="134"/>
      </rPr>
      <t>万</t>
    </r>
  </si>
  <si>
    <r>
      <rPr>
        <sz val="9"/>
        <color rgb="FF000000"/>
        <rFont val="楷体"/>
        <charset val="134"/>
      </rPr>
      <t>申屠乔</t>
    </r>
    <r>
      <rPr>
        <sz val="9"/>
        <color rgb="FF000000"/>
        <rFont val="Arial"/>
        <charset val="134"/>
      </rPr>
      <t>:CEO</t>
    </r>
  </si>
  <si>
    <t>湖畔山南资本</t>
  </si>
  <si>
    <t>2021-04-22</t>
  </si>
  <si>
    <t>如涵控股</t>
  </si>
  <si>
    <r>
      <rPr>
        <sz val="9"/>
        <color rgb="FF000000"/>
        <rFont val="楷体"/>
        <charset val="134"/>
      </rPr>
      <t>如涵电商是一个主打红人电商综合服务运营的社会电商，建立并运营多个网络红人的社交电商网店，目前如涵电商运营逾百家红人网上店铺，并积累过</t>
    </r>
    <r>
      <rPr>
        <sz val="9"/>
        <color rgb="FF000000"/>
        <rFont val="Arial"/>
        <charset val="134"/>
      </rPr>
      <t>2</t>
    </r>
    <r>
      <rPr>
        <sz val="9"/>
        <color rgb="FF000000"/>
        <rFont val="楷体"/>
        <charset val="134"/>
      </rPr>
      <t>亿社交媒体粉丝。</t>
    </r>
  </si>
  <si>
    <t>杭州如涵控股股份有限公司</t>
  </si>
  <si>
    <t>http://www.ruhnn.com/</t>
  </si>
  <si>
    <r>
      <rPr>
        <sz val="9"/>
        <color rgb="FF000000"/>
        <rFont val="Arial"/>
        <charset val="134"/>
      </rPr>
      <t>34.58</t>
    </r>
    <r>
      <rPr>
        <sz val="9"/>
        <color rgb="FF000000"/>
        <rFont val="楷体"/>
        <charset val="134"/>
      </rPr>
      <t>亿</t>
    </r>
  </si>
  <si>
    <r>
      <rPr>
        <sz val="9"/>
        <color rgb="FF000000"/>
        <rFont val="楷体"/>
        <charset val="134"/>
      </rPr>
      <t>冯敏</t>
    </r>
    <r>
      <rPr>
        <sz val="9"/>
        <color rgb="FF000000"/>
        <rFont val="Arial"/>
        <charset val="134"/>
      </rPr>
      <t>:</t>
    </r>
    <r>
      <rPr>
        <sz val="9"/>
        <color rgb="FF000000"/>
        <rFont val="楷体"/>
        <charset val="134"/>
      </rPr>
      <t>创始人</t>
    </r>
  </si>
  <si>
    <r>
      <rPr>
        <sz val="9"/>
        <color rgb="FF000000"/>
        <rFont val="楷体"/>
        <charset val="134"/>
      </rPr>
      <t>浙江省杭州市江干区钱江国际时代广场</t>
    </r>
    <r>
      <rPr>
        <sz val="9"/>
        <color rgb="FF000000"/>
        <rFont val="Arial"/>
        <charset val="134"/>
      </rPr>
      <t>3</t>
    </r>
    <r>
      <rPr>
        <sz val="9"/>
        <color rgb="FF000000"/>
        <rFont val="楷体"/>
        <charset val="134"/>
      </rPr>
      <t>号楼</t>
    </r>
  </si>
  <si>
    <t>bulian@ruhnn.com</t>
  </si>
  <si>
    <r>
      <rPr>
        <sz val="9"/>
        <color rgb="FF000000"/>
        <rFont val="Arial"/>
        <charset val="134"/>
      </rPr>
      <t>1.25</t>
    </r>
    <r>
      <rPr>
        <sz val="9"/>
        <color rgb="FF000000"/>
        <rFont val="楷体"/>
        <charset val="134"/>
      </rPr>
      <t>亿美元</t>
    </r>
  </si>
  <si>
    <r>
      <rPr>
        <sz val="9"/>
        <color rgb="FF000000"/>
        <rFont val="Arial"/>
        <charset val="134"/>
      </rPr>
      <t>4.3</t>
    </r>
    <r>
      <rPr>
        <sz val="9"/>
        <color rgb="FF000000"/>
        <rFont val="楷体"/>
        <charset val="134"/>
      </rPr>
      <t>亿人民币</t>
    </r>
  </si>
  <si>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金石投资</t>
    </r>
  </si>
  <si>
    <r>
      <rPr>
        <sz val="9"/>
        <color rgb="FF000000"/>
        <rFont val="Arial"/>
        <charset val="134"/>
      </rPr>
      <t>1200</t>
    </r>
    <r>
      <rPr>
        <sz val="9"/>
        <color rgb="FF000000"/>
        <rFont val="楷体"/>
        <charset val="134"/>
      </rPr>
      <t>万人民币</t>
    </r>
  </si>
  <si>
    <r>
      <rPr>
        <sz val="9"/>
        <color rgb="FF000000"/>
        <rFont val="楷体"/>
        <charset val="134"/>
      </rPr>
      <t>君联资本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远镜创投</t>
    </r>
  </si>
  <si>
    <r>
      <rPr>
        <sz val="9"/>
        <color rgb="FF000000"/>
        <rFont val="楷体"/>
        <charset val="134"/>
      </rPr>
      <t>赛富基金</t>
    </r>
    <r>
      <rPr>
        <sz val="9"/>
        <color rgb="FF000000"/>
        <rFont val="Arial"/>
        <charset val="134"/>
      </rPr>
      <t>SAIF Partners</t>
    </r>
  </si>
  <si>
    <r>
      <rPr>
        <sz val="9"/>
        <color rgb="FF000000"/>
        <rFont val="Arial"/>
        <charset val="134"/>
      </rPr>
      <t>Mr.I</t>
    </r>
    <r>
      <rPr>
        <sz val="9"/>
        <color rgb="FF000000"/>
        <rFont val="楷体"/>
        <charset val="134"/>
      </rPr>
      <t>互联网创新基地</t>
    </r>
    <r>
      <rPr>
        <sz val="9"/>
        <color rgb="FF000000"/>
        <rFont val="Arial"/>
        <charset val="134"/>
      </rPr>
      <t>(</t>
    </r>
    <r>
      <rPr>
        <sz val="9"/>
        <color rgb="FF000000"/>
        <rFont val="楷体"/>
        <charset val="134"/>
      </rPr>
      <t>陈瑞贵</t>
    </r>
    <r>
      <rPr>
        <sz val="9"/>
        <color rgb="FF000000"/>
        <rFont val="Arial"/>
        <charset val="134"/>
      </rPr>
      <t>),</t>
    </r>
    <r>
      <rPr>
        <sz val="9"/>
        <color rgb="FF000000"/>
        <rFont val="楷体"/>
        <charset val="134"/>
      </rPr>
      <t>陈瑞贵</t>
    </r>
  </si>
  <si>
    <t>2021-12-08</t>
  </si>
  <si>
    <t>新浪微博</t>
  </si>
  <si>
    <r>
      <rPr>
        <sz val="9"/>
        <color rgb="FF000000"/>
        <rFont val="楷体"/>
        <charset val="134"/>
      </rPr>
      <t>微博是一个由新浪网推出，提供微型博客服务类的社交网站，用户可以通过网页、</t>
    </r>
    <r>
      <rPr>
        <sz val="9"/>
        <color rgb="FF000000"/>
        <rFont val="Arial"/>
        <charset val="134"/>
      </rPr>
      <t>WAP</t>
    </r>
    <r>
      <rPr>
        <sz val="9"/>
        <color rgb="FF000000"/>
        <rFont val="楷体"/>
        <charset val="134"/>
      </rPr>
      <t>页面、手机客户端、手机短信、彩信发布消息或上传图片。</t>
    </r>
  </si>
  <si>
    <t>北京微梦创科网络技术有限公司</t>
  </si>
  <si>
    <t>http://weibo.com</t>
  </si>
  <si>
    <r>
      <rPr>
        <sz val="9"/>
        <color rgb="FF000000"/>
        <rFont val="Arial"/>
        <charset val="134"/>
      </rPr>
      <t>13.83</t>
    </r>
    <r>
      <rPr>
        <sz val="9"/>
        <color rgb="FF000000"/>
        <rFont val="楷体"/>
        <charset val="134"/>
      </rPr>
      <t>亿港元</t>
    </r>
  </si>
  <si>
    <r>
      <rPr>
        <sz val="9"/>
        <color rgb="FF000000"/>
        <rFont val="Arial"/>
        <charset val="134"/>
      </rPr>
      <t>79.52</t>
    </r>
    <r>
      <rPr>
        <sz val="9"/>
        <color rgb="FF000000"/>
        <rFont val="楷体"/>
        <charset val="134"/>
      </rPr>
      <t>亿</t>
    </r>
  </si>
  <si>
    <r>
      <rPr>
        <sz val="9"/>
        <color rgb="FF000000"/>
        <rFont val="Arial"/>
        <charset val="134"/>
      </rPr>
      <t>480</t>
    </r>
    <r>
      <rPr>
        <sz val="9"/>
        <color rgb="FF000000"/>
        <rFont val="楷体"/>
        <charset val="134"/>
      </rPr>
      <t>亿元</t>
    </r>
  </si>
  <si>
    <r>
      <rPr>
        <sz val="9"/>
        <color rgb="FF000000"/>
        <rFont val="楷体"/>
        <charset val="134"/>
      </rPr>
      <t>曹国伟</t>
    </r>
    <r>
      <rPr>
        <sz val="9"/>
        <color rgb="FF000000"/>
        <rFont val="Arial"/>
        <charset val="134"/>
      </rPr>
      <t>:</t>
    </r>
    <r>
      <rPr>
        <sz val="9"/>
        <color rgb="FF000000"/>
        <rFont val="楷体"/>
        <charset val="134"/>
      </rPr>
      <t>董事长兼</t>
    </r>
    <r>
      <rPr>
        <sz val="9"/>
        <color rgb="FF000000"/>
        <rFont val="Arial"/>
        <charset val="134"/>
      </rPr>
      <t>CEO,</t>
    </r>
    <r>
      <rPr>
        <sz val="9"/>
        <color rgb="FF000000"/>
        <rFont val="楷体"/>
        <charset val="134"/>
      </rPr>
      <t>刘运利</t>
    </r>
    <r>
      <rPr>
        <sz val="9"/>
        <color rgb="FF000000"/>
        <rFont val="Arial"/>
        <charset val="134"/>
      </rPr>
      <t>:</t>
    </r>
    <r>
      <rPr>
        <sz val="9"/>
        <color rgb="FF000000"/>
        <rFont val="楷体"/>
        <charset val="134"/>
      </rPr>
      <t>副总裁</t>
    </r>
  </si>
  <si>
    <r>
      <rPr>
        <sz val="9"/>
        <color rgb="FF000000"/>
        <rFont val="楷体"/>
        <charset val="134"/>
      </rPr>
      <t>北京市海淀区西北旺东路</t>
    </r>
    <r>
      <rPr>
        <sz val="9"/>
        <color rgb="FF000000"/>
        <rFont val="Arial"/>
        <charset val="134"/>
      </rPr>
      <t>10</t>
    </r>
    <r>
      <rPr>
        <sz val="9"/>
        <color rgb="FF000000"/>
        <rFont val="楷体"/>
        <charset val="134"/>
      </rPr>
      <t>号院西区</t>
    </r>
    <r>
      <rPr>
        <sz val="9"/>
        <color rgb="FF000000"/>
        <rFont val="Arial"/>
        <charset val="134"/>
      </rPr>
      <t>8</t>
    </r>
    <r>
      <rPr>
        <sz val="9"/>
        <color rgb="FF000000"/>
        <rFont val="楷体"/>
        <charset val="134"/>
      </rPr>
      <t>号楼新浪总部大厦</t>
    </r>
  </si>
  <si>
    <t>sinacsc@vip.sina.com</t>
  </si>
  <si>
    <t>中国互联网投资基金</t>
  </si>
  <si>
    <r>
      <rPr>
        <sz val="9"/>
        <color rgb="FF000000"/>
        <rFont val="Arial"/>
        <charset val="134"/>
      </rPr>
      <t>2.86</t>
    </r>
    <r>
      <rPr>
        <sz val="9"/>
        <color rgb="FF000000"/>
        <rFont val="楷体"/>
        <charset val="134"/>
      </rPr>
      <t>亿美元</t>
    </r>
  </si>
  <si>
    <r>
      <rPr>
        <sz val="9"/>
        <color rgb="FF000000"/>
        <rFont val="Arial"/>
        <charset val="134"/>
      </rPr>
      <t>5.86</t>
    </r>
    <r>
      <rPr>
        <sz val="9"/>
        <color rgb="FF000000"/>
        <rFont val="楷体"/>
        <charset val="134"/>
      </rPr>
      <t>亿美元</t>
    </r>
  </si>
  <si>
    <t>2015-11-03</t>
  </si>
  <si>
    <t>Nestpick</t>
  </si>
  <si>
    <r>
      <rPr>
        <sz val="9"/>
        <color rgb="FF000000"/>
        <rFont val="Arial"/>
        <charset val="134"/>
      </rPr>
      <t xml:space="preserve">Nestpick </t>
    </r>
    <r>
      <rPr>
        <sz val="9"/>
        <color rgb="FF000000"/>
        <rFont val="楷体"/>
        <charset val="134"/>
      </rPr>
      <t>是一家提供租房服务的公司。主要针对年轻留学生，为他们在读书期间提供</t>
    </r>
    <r>
      <rPr>
        <sz val="9"/>
        <color rgb="FF000000"/>
        <rFont val="Arial"/>
        <charset val="134"/>
      </rPr>
      <t>3</t>
    </r>
    <r>
      <rPr>
        <sz val="9"/>
        <color rgb="FF000000"/>
        <rFont val="楷体"/>
        <charset val="134"/>
      </rPr>
      <t>个月到</t>
    </r>
    <r>
      <rPr>
        <sz val="9"/>
        <color rgb="FF000000"/>
        <rFont val="Arial"/>
        <charset val="134"/>
      </rPr>
      <t>3</t>
    </r>
    <r>
      <rPr>
        <sz val="9"/>
        <color rgb="FF000000"/>
        <rFont val="楷体"/>
        <charset val="134"/>
      </rPr>
      <t>年不等的租房服务。</t>
    </r>
  </si>
  <si>
    <t>https://www.nestpick.com/</t>
  </si>
  <si>
    <t>2014-05</t>
  </si>
  <si>
    <r>
      <rPr>
        <sz val="9"/>
        <color rgb="FF000000"/>
        <rFont val="楷体"/>
        <charset val="134"/>
      </rPr>
      <t>欧洲</t>
    </r>
    <r>
      <rPr>
        <sz val="9"/>
        <color rgb="FF000000"/>
        <rFont val="Arial"/>
        <charset val="134"/>
      </rPr>
      <t>-</t>
    </r>
    <r>
      <rPr>
        <sz val="9"/>
        <color rgb="FF000000"/>
        <rFont val="楷体"/>
        <charset val="134"/>
      </rPr>
      <t>德国</t>
    </r>
  </si>
  <si>
    <r>
      <rPr>
        <sz val="9"/>
        <color rgb="FF000000"/>
        <rFont val="Arial"/>
        <charset val="134"/>
      </rPr>
      <t>1100</t>
    </r>
    <r>
      <rPr>
        <sz val="9"/>
        <color rgb="FF000000"/>
        <rFont val="楷体"/>
        <charset val="134"/>
      </rPr>
      <t>万美元</t>
    </r>
  </si>
  <si>
    <r>
      <rPr>
        <sz val="9"/>
        <color rgb="FF000000"/>
        <rFont val="Arial"/>
        <charset val="134"/>
      </rPr>
      <t>7150</t>
    </r>
    <r>
      <rPr>
        <sz val="9"/>
        <color rgb="FF000000"/>
        <rFont val="楷体"/>
        <charset val="134"/>
      </rPr>
      <t>万</t>
    </r>
  </si>
  <si>
    <r>
      <rPr>
        <sz val="9"/>
        <color rgb="FF000000"/>
        <rFont val="Arial"/>
        <charset val="134"/>
      </rPr>
      <t>3.575</t>
    </r>
    <r>
      <rPr>
        <sz val="9"/>
        <color rgb="FF000000"/>
        <rFont val="楷体"/>
        <charset val="134"/>
      </rPr>
      <t>亿元</t>
    </r>
  </si>
  <si>
    <r>
      <rPr>
        <sz val="9"/>
        <color rgb="FF000000"/>
        <rFont val="Arial"/>
        <charset val="134"/>
      </rPr>
      <t>Fabian Dudek:</t>
    </r>
    <r>
      <rPr>
        <sz val="9"/>
        <color rgb="FF000000"/>
        <rFont val="楷体"/>
        <charset val="134"/>
      </rPr>
      <t>创始人兼</t>
    </r>
    <r>
      <rPr>
        <sz val="9"/>
        <color rgb="FF000000"/>
        <rFont val="Arial"/>
        <charset val="134"/>
      </rPr>
      <t>CEO,Peter Hofman:</t>
    </r>
    <r>
      <rPr>
        <sz val="9"/>
        <color rgb="FF000000"/>
        <rFont val="楷体"/>
        <charset val="134"/>
      </rPr>
      <t>创始人兼</t>
    </r>
    <r>
      <rPr>
        <sz val="9"/>
        <color rgb="FF000000"/>
        <rFont val="Arial"/>
        <charset val="134"/>
      </rPr>
      <t>CTO,Patricia Moubarak:</t>
    </r>
    <r>
      <rPr>
        <sz val="9"/>
        <color rgb="FF000000"/>
        <rFont val="楷体"/>
        <charset val="134"/>
      </rPr>
      <t>联合创始人兼</t>
    </r>
    <r>
      <rPr>
        <sz val="9"/>
        <color rgb="FF000000"/>
        <rFont val="Arial"/>
        <charset val="134"/>
      </rPr>
      <t>COO,Alejandro Zaniolo:VP of Business Development,Anil Yeni:Co-founder &amp; CTO,Omer Kucukdere:Founder and CEO</t>
    </r>
  </si>
  <si>
    <t>2018-03-12</t>
  </si>
  <si>
    <t>万象物流</t>
  </si>
  <si>
    <r>
      <rPr>
        <sz val="9"/>
        <color rgb="FF000000"/>
        <rFont val="楷体"/>
        <charset val="134"/>
      </rPr>
      <t>万象物流是一家第三方物流配送、仓储、代配服务商，公司目前主要拥有三大业务板块，即快递及仓储业务、媒体代理发行业务和</t>
    </r>
    <r>
      <rPr>
        <sz val="9"/>
        <color rgb="FF000000"/>
        <rFont val="Arial"/>
        <charset val="134"/>
      </rPr>
      <t>DM</t>
    </r>
    <r>
      <rPr>
        <sz val="9"/>
        <color rgb="FF000000"/>
        <rFont val="楷体"/>
        <charset val="134"/>
      </rPr>
      <t>数据营销业务，上海万象文化配送有限公司旗下快递品牌。</t>
    </r>
  </si>
  <si>
    <t>上海万象文化配送有限公司</t>
  </si>
  <si>
    <t>http://www.ewinshine.com/</t>
  </si>
  <si>
    <t>仓储服务</t>
  </si>
  <si>
    <r>
      <rPr>
        <sz val="9"/>
        <color rgb="FF000000"/>
        <rFont val="楷体"/>
        <charset val="134"/>
      </rPr>
      <t>周志强</t>
    </r>
    <r>
      <rPr>
        <sz val="9"/>
        <color rgb="FF000000"/>
        <rFont val="Arial"/>
        <charset val="134"/>
      </rPr>
      <t>:CEO</t>
    </r>
  </si>
  <si>
    <r>
      <rPr>
        <sz val="9"/>
        <color rgb="FF000000"/>
        <rFont val="楷体"/>
        <charset val="134"/>
      </rPr>
      <t>上海市闵行区纪翟路</t>
    </r>
    <r>
      <rPr>
        <sz val="9"/>
        <color rgb="FF000000"/>
        <rFont val="Arial"/>
        <charset val="134"/>
      </rPr>
      <t>1525</t>
    </r>
    <r>
      <rPr>
        <sz val="9"/>
        <color rgb="FF000000"/>
        <rFont val="楷体"/>
        <charset val="134"/>
      </rPr>
      <t>弄</t>
    </r>
    <r>
      <rPr>
        <sz val="9"/>
        <color rgb="FF000000"/>
        <rFont val="Arial"/>
        <charset val="134"/>
      </rPr>
      <t>109</t>
    </r>
    <r>
      <rPr>
        <sz val="9"/>
        <color rgb="FF000000"/>
        <rFont val="楷体"/>
        <charset val="134"/>
      </rPr>
      <t>号</t>
    </r>
    <r>
      <rPr>
        <sz val="9"/>
        <color rgb="FF000000"/>
        <rFont val="Arial"/>
        <charset val="134"/>
      </rPr>
      <t>8</t>
    </r>
    <r>
      <rPr>
        <sz val="9"/>
        <color rgb="FF000000"/>
        <rFont val="楷体"/>
        <charset val="134"/>
      </rPr>
      <t>幢</t>
    </r>
  </si>
  <si>
    <t>021-51035766</t>
  </si>
  <si>
    <t>lcl@ewinshine.net</t>
  </si>
  <si>
    <r>
      <rPr>
        <sz val="9"/>
        <color rgb="FF000000"/>
        <rFont val="楷体"/>
        <charset val="134"/>
      </rPr>
      <t>复星集团</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立元创投</t>
    </r>
  </si>
  <si>
    <t>2023-07-27</t>
  </si>
  <si>
    <t>小鹏汽车</t>
  </si>
  <si>
    <t>小鹏汽车是一家智能汽车设计及制造商，也是融合互联网和人工智能前沿创新的科技公司。致力于通过自主研发、智能制造，为用户创造更美好的出行生活。</t>
  </si>
  <si>
    <t>广州橙行智动汽车科技有限公司</t>
  </si>
  <si>
    <t>http://www.xiaopeng.com</t>
  </si>
  <si>
    <t>汽车制造</t>
  </si>
  <si>
    <t>大众汽车</t>
  </si>
  <si>
    <r>
      <rPr>
        <sz val="9"/>
        <color rgb="FF000000"/>
        <rFont val="Arial"/>
        <charset val="134"/>
      </rPr>
      <t>483.38</t>
    </r>
    <r>
      <rPr>
        <sz val="9"/>
        <color rgb="FF000000"/>
        <rFont val="楷体"/>
        <charset val="134"/>
      </rPr>
      <t>亿</t>
    </r>
  </si>
  <si>
    <r>
      <rPr>
        <sz val="9"/>
        <color rgb="FF000000"/>
        <rFont val="楷体"/>
        <charset val="134"/>
      </rPr>
      <t>夏珩</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何小鹏</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熊青云</t>
    </r>
    <r>
      <rPr>
        <sz val="9"/>
        <color rgb="FF000000"/>
        <rFont val="Arial"/>
        <charset val="134"/>
      </rPr>
      <t>:CMO,</t>
    </r>
    <r>
      <rPr>
        <sz val="9"/>
        <color rgb="FF000000"/>
        <rFont val="楷体"/>
        <charset val="134"/>
      </rPr>
      <t>何涛</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李鹏程</t>
    </r>
    <r>
      <rPr>
        <sz val="9"/>
        <color rgb="FF000000"/>
        <rFont val="Arial"/>
        <charset val="134"/>
      </rPr>
      <t>:</t>
    </r>
    <r>
      <rPr>
        <sz val="9"/>
        <color rgb="FF000000"/>
        <rFont val="楷体"/>
        <charset val="134"/>
      </rPr>
      <t>品牌公关总经理</t>
    </r>
    <r>
      <rPr>
        <sz val="9"/>
        <color rgb="FF000000"/>
        <rFont val="Arial"/>
        <charset val="134"/>
      </rPr>
      <t>,</t>
    </r>
    <r>
      <rPr>
        <sz val="9"/>
        <color rgb="FF000000"/>
        <rFont val="楷体"/>
        <charset val="134"/>
      </rPr>
      <t>王凤英</t>
    </r>
    <r>
      <rPr>
        <sz val="9"/>
        <color rgb="FF000000"/>
        <rFont val="Arial"/>
        <charset val="134"/>
      </rPr>
      <t>:</t>
    </r>
    <r>
      <rPr>
        <sz val="9"/>
        <color rgb="FF000000"/>
        <rFont val="楷体"/>
        <charset val="134"/>
      </rPr>
      <t>总裁</t>
    </r>
  </si>
  <si>
    <r>
      <rPr>
        <sz val="9"/>
        <color rgb="FF000000"/>
        <rFont val="楷体"/>
        <charset val="134"/>
      </rPr>
      <t>广州市天河区长兴街松岗大街</t>
    </r>
    <r>
      <rPr>
        <sz val="9"/>
        <color rgb="FF000000"/>
        <rFont val="Arial"/>
        <charset val="134"/>
      </rPr>
      <t>8</t>
    </r>
    <r>
      <rPr>
        <sz val="9"/>
        <color rgb="FF000000"/>
        <rFont val="楷体"/>
        <charset val="134"/>
      </rPr>
      <t>号小鹏汽车</t>
    </r>
  </si>
  <si>
    <t>020-6680-6680</t>
  </si>
  <si>
    <t>service@xiaopeng.com</t>
  </si>
  <si>
    <r>
      <rPr>
        <sz val="9"/>
        <color rgb="FF000000"/>
        <rFont val="Arial"/>
        <charset val="134"/>
      </rPr>
      <t>140</t>
    </r>
    <r>
      <rPr>
        <sz val="9"/>
        <color rgb="FF000000"/>
        <rFont val="楷体"/>
        <charset val="134"/>
      </rPr>
      <t>亿港元</t>
    </r>
  </si>
  <si>
    <t>广东省产业发展基金</t>
  </si>
  <si>
    <r>
      <rPr>
        <sz val="9"/>
        <color rgb="FF000000"/>
        <rFont val="Arial"/>
        <charset val="134"/>
      </rPr>
      <t>40</t>
    </r>
    <r>
      <rPr>
        <sz val="9"/>
        <color rgb="FF000000"/>
        <rFont val="楷体"/>
        <charset val="134"/>
      </rPr>
      <t>亿人民币</t>
    </r>
  </si>
  <si>
    <t>广州凯得投资控股有限公司</t>
  </si>
  <si>
    <r>
      <rPr>
        <sz val="9"/>
        <color rgb="FF000000"/>
        <rFont val="Arial"/>
        <charset val="134"/>
      </rPr>
      <t>14.9</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</si>
  <si>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小米集团</t>
    </r>
    <r>
      <rPr>
        <sz val="9"/>
        <color rgb="FF000000"/>
        <rFont val="Arial"/>
        <charset val="134"/>
      </rPr>
      <t>,Coatue Management,</t>
    </r>
    <r>
      <rPr>
        <sz val="9"/>
        <color rgb="FF000000"/>
        <rFont val="楷体"/>
        <charset val="134"/>
      </rPr>
      <t>卡塔尔投资局</t>
    </r>
    <r>
      <rPr>
        <sz val="9"/>
        <color rgb="FF000000"/>
        <rFont val="Arial"/>
        <charset val="134"/>
      </rPr>
      <t>QIA,Mubadala Investment Company,PRIMECAP Management</t>
    </r>
  </si>
  <si>
    <r>
      <rPr>
        <sz val="9"/>
        <color rgb="FF000000"/>
        <rFont val="楷体"/>
        <charset val="134"/>
      </rPr>
      <t>红杉资本中国</t>
    </r>
    <r>
      <rPr>
        <sz val="9"/>
        <color rgb="FF000000"/>
        <rFont val="Arial"/>
        <charset val="134"/>
      </rPr>
      <t>,</t>
    </r>
    <r>
      <rPr>
        <sz val="9"/>
        <color rgb="FF000000"/>
        <rFont val="楷体"/>
        <charset val="134"/>
      </rPr>
      <t>高瓴投资</t>
    </r>
    <r>
      <rPr>
        <sz val="9"/>
        <color rgb="FF000000"/>
        <rFont val="Arial"/>
        <charset val="134"/>
      </rPr>
      <t>,Coatue Management,Aspex Management</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</si>
  <si>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何小鹏</t>
    </r>
  </si>
  <si>
    <r>
      <rPr>
        <sz val="9"/>
        <color rgb="FF000000"/>
        <rFont val="楷体"/>
        <charset val="134"/>
      </rPr>
      <t>五源资本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春华资本</t>
    </r>
    <r>
      <rPr>
        <sz val="9"/>
        <color rgb="FF000000"/>
        <rFont val="Arial"/>
        <charset val="134"/>
      </rPr>
      <t>Primavera,K11,</t>
    </r>
    <r>
      <rPr>
        <sz val="9"/>
        <color rgb="FF000000"/>
        <rFont val="楷体"/>
        <charset val="134"/>
      </rPr>
      <t>何小鹏</t>
    </r>
  </si>
  <si>
    <r>
      <rPr>
        <sz val="9"/>
        <color rgb="FF000000"/>
        <rFont val="楷体"/>
        <charset val="134"/>
      </rPr>
      <t>鸿海集团</t>
    </r>
    <r>
      <rPr>
        <sz val="9"/>
        <color rgb="FF000000"/>
        <rFont val="Arial"/>
        <charset val="134"/>
      </rPr>
      <t>Foxconn</t>
    </r>
  </si>
  <si>
    <r>
      <rPr>
        <sz val="9"/>
        <color rgb="FF000000"/>
        <rFont val="Arial"/>
        <charset val="134"/>
      </rPr>
      <t>22</t>
    </r>
    <r>
      <rPr>
        <sz val="9"/>
        <color rgb="FF000000"/>
        <rFont val="楷体"/>
        <charset val="134"/>
      </rPr>
      <t>亿人民币</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</si>
  <si>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富士康</t>
    </r>
    <r>
      <rPr>
        <sz val="9"/>
        <color rgb="FF000000"/>
        <rFont val="Arial"/>
        <charset val="134"/>
      </rPr>
      <t>Foxconn,Apoletto</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</si>
  <si>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昆仲资本</t>
    </r>
    <r>
      <rPr>
        <sz val="9"/>
        <color rgb="FF000000"/>
        <rFont val="Arial"/>
        <charset val="134"/>
      </rPr>
      <t>,</t>
    </r>
    <r>
      <rPr>
        <sz val="9"/>
        <color rgb="FF000000"/>
        <rFont val="楷体"/>
        <charset val="134"/>
      </rPr>
      <t>光控众盈资本</t>
    </r>
    <r>
      <rPr>
        <sz val="9"/>
        <color rgb="FF000000"/>
        <rFont val="Arial"/>
        <charset val="134"/>
      </rPr>
      <t>,</t>
    </r>
    <r>
      <rPr>
        <sz val="9"/>
        <color rgb="FF000000"/>
        <rFont val="楷体"/>
        <charset val="134"/>
      </rPr>
      <t>大钲资本</t>
    </r>
    <r>
      <rPr>
        <sz val="9"/>
        <color rgb="FF000000"/>
        <rFont val="Arial"/>
        <charset val="134"/>
      </rPr>
      <t>,</t>
    </r>
    <r>
      <rPr>
        <sz val="9"/>
        <color rgb="FF000000"/>
        <rFont val="楷体"/>
        <charset val="134"/>
      </rPr>
      <t>何小鹏</t>
    </r>
    <r>
      <rPr>
        <sz val="9"/>
        <color rgb="FF000000"/>
        <rFont val="Arial"/>
        <charset val="134"/>
      </rPr>
      <t>,</t>
    </r>
    <r>
      <rPr>
        <sz val="9"/>
        <color rgb="FF000000"/>
        <rFont val="楷体"/>
        <charset val="134"/>
      </rPr>
      <t>新鼎资本</t>
    </r>
  </si>
  <si>
    <t>神州专车</t>
  </si>
  <si>
    <r>
      <rPr>
        <sz val="9"/>
        <color rgb="FF000000"/>
        <rFont val="楷体"/>
        <charset val="134"/>
      </rPr>
      <t>紫牛基金</t>
    </r>
    <r>
      <rPr>
        <sz val="9"/>
        <color rgb="FF000000"/>
        <rFont val="Arial"/>
        <charset val="134"/>
      </rPr>
      <t>,</t>
    </r>
    <r>
      <rPr>
        <sz val="9"/>
        <color rgb="FF000000"/>
        <rFont val="楷体"/>
        <charset val="134"/>
      </rPr>
      <t>吴宵光</t>
    </r>
  </si>
  <si>
    <t>2017-03-02</t>
  </si>
  <si>
    <t>向上影业</t>
  </si>
  <si>
    <r>
      <rPr>
        <sz val="9"/>
        <color rgb="FF000000"/>
        <rFont val="楷体"/>
        <charset val="134"/>
      </rPr>
      <t>东阳向上影业有限公司是一家集投资、制作、</t>
    </r>
    <r>
      <rPr>
        <sz val="9"/>
        <color rgb="FF000000"/>
        <rFont val="Arial"/>
        <charset val="134"/>
      </rPr>
      <t>IP</t>
    </r>
    <r>
      <rPr>
        <sz val="9"/>
        <color rgb="FF000000"/>
        <rFont val="楷体"/>
        <charset val="134"/>
      </rPr>
      <t>孵化、艺人经纪、动漫、营销、演唱会</t>
    </r>
    <r>
      <rPr>
        <sz val="9"/>
        <color rgb="FF000000"/>
        <rFont val="Arial"/>
        <charset val="134"/>
      </rPr>
      <t>IP</t>
    </r>
    <r>
      <rPr>
        <sz val="9"/>
        <color rgb="FF000000"/>
        <rFont val="楷体"/>
        <charset val="134"/>
      </rPr>
      <t>孵化于一身的综合性电影公司，公司专注于悬疑探险类电影项目的开发与制作。</t>
    </r>
  </si>
  <si>
    <t>北京吉吉向上文化传媒有限公司</t>
  </si>
  <si>
    <t>http://www.uppicture.com/</t>
  </si>
  <si>
    <r>
      <rPr>
        <sz val="9"/>
        <color rgb="FF000000"/>
        <rFont val="楷体"/>
        <charset val="134"/>
      </rPr>
      <t>君联资本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钧源资本</t>
    </r>
  </si>
  <si>
    <r>
      <rPr>
        <sz val="9"/>
        <color rgb="FF000000"/>
        <rFont val="Arial"/>
        <charset val="134"/>
      </rPr>
      <t>14</t>
    </r>
    <r>
      <rPr>
        <sz val="9"/>
        <color rgb="FF000000"/>
        <rFont val="楷体"/>
        <charset val="134"/>
      </rPr>
      <t>亿元</t>
    </r>
  </si>
  <si>
    <r>
      <rPr>
        <sz val="9"/>
        <color rgb="FF000000"/>
        <rFont val="楷体"/>
        <charset val="134"/>
      </rPr>
      <t>肖飞</t>
    </r>
    <r>
      <rPr>
        <sz val="9"/>
        <color rgb="FF000000"/>
        <rFont val="Arial"/>
        <charset val="134"/>
      </rPr>
      <t>:CEO</t>
    </r>
  </si>
  <si>
    <r>
      <rPr>
        <sz val="9"/>
        <color rgb="FF000000"/>
        <rFont val="楷体"/>
        <charset val="134"/>
      </rPr>
      <t>北京市朝阳区西店记忆文化小镇</t>
    </r>
    <r>
      <rPr>
        <sz val="9"/>
        <color rgb="FF000000"/>
        <rFont val="Arial"/>
        <charset val="134"/>
      </rPr>
      <t>A10</t>
    </r>
  </si>
  <si>
    <t>010-6550-3401</t>
  </si>
  <si>
    <t>up@uppicture.com</t>
  </si>
  <si>
    <r>
      <rPr>
        <sz val="9"/>
        <color rgb="FF000000"/>
        <rFont val="楷体"/>
        <charset val="134"/>
      </rPr>
      <t>阿里巴巴</t>
    </r>
    <r>
      <rPr>
        <sz val="9"/>
        <color rgb="FF000000"/>
        <rFont val="Arial"/>
        <charset val="134"/>
      </rPr>
      <t>,</t>
    </r>
    <r>
      <rPr>
        <sz val="9"/>
        <color rgb="FF000000"/>
        <rFont val="楷体"/>
        <charset val="134"/>
      </rPr>
      <t>时尚传媒</t>
    </r>
    <r>
      <rPr>
        <sz val="9"/>
        <color rgb="FF000000"/>
        <rFont val="Arial"/>
        <charset val="134"/>
      </rPr>
      <t>(</t>
    </r>
    <r>
      <rPr>
        <sz val="9"/>
        <color rgb="FF000000"/>
        <rFont val="楷体"/>
        <charset val="134"/>
      </rPr>
      <t>时尚资本</t>
    </r>
    <r>
      <rPr>
        <sz val="9"/>
        <color rgb="FF000000"/>
        <rFont val="Arial"/>
        <charset val="134"/>
      </rPr>
      <t>),</t>
    </r>
    <r>
      <rPr>
        <sz val="9"/>
        <color rgb="FF000000"/>
        <rFont val="楷体"/>
        <charset val="134"/>
      </rPr>
      <t>华谊兄弟</t>
    </r>
    <r>
      <rPr>
        <sz val="9"/>
        <color rgb="FF000000"/>
        <rFont val="Arial"/>
        <charset val="134"/>
      </rPr>
      <t>,</t>
    </r>
    <r>
      <rPr>
        <sz val="9"/>
        <color rgb="FF000000"/>
        <rFont val="楷体"/>
        <charset val="134"/>
      </rPr>
      <t>点睛战略基金</t>
    </r>
  </si>
  <si>
    <t>2016-09-09</t>
  </si>
  <si>
    <t>巨人网络</t>
  </si>
  <si>
    <r>
      <rPr>
        <sz val="9"/>
        <color rgb="FF000000"/>
        <rFont val="楷体"/>
        <charset val="134"/>
      </rPr>
      <t>巨人网络集团股份有限公司是一家以网络游戏为发展起点的综合性互联网企业，目前，巨人网络将定位为一家综合性互联网企业，拥有互联网娱乐、互联网金融科技、互联网医疗三大核心业务。自主研发了《征途》系列、《球球大作战》等受玩家喜爱的精品游戏，其中《征途》开创免费商业模式，首创自动寻路、自动打怪等创新玩法被全行业模仿，成为行业游戏制作标准。《球球大作战》开创休闲竞技全新游戏品类，总用户突破</t>
    </r>
    <r>
      <rPr>
        <sz val="9"/>
        <color rgb="FF000000"/>
        <rFont val="Arial"/>
        <charset val="134"/>
      </rPr>
      <t>4</t>
    </r>
    <r>
      <rPr>
        <sz val="9"/>
        <color rgb="FF000000"/>
        <rFont val="楷体"/>
        <charset val="134"/>
      </rPr>
      <t>亿。</t>
    </r>
  </si>
  <si>
    <t>上海巨人网络科技有限公司</t>
  </si>
  <si>
    <t>http://www.ztgame.com/</t>
  </si>
  <si>
    <t>游戏综合服务</t>
  </si>
  <si>
    <r>
      <rPr>
        <sz val="9"/>
        <color rgb="FF000000"/>
        <rFont val="楷体"/>
        <charset val="134"/>
      </rPr>
      <t>阿里巴巴</t>
    </r>
    <r>
      <rPr>
        <sz val="9"/>
        <color rgb="FF000000"/>
        <rFont val="Arial"/>
        <charset val="134"/>
      </rPr>
      <t>,</t>
    </r>
    <r>
      <rPr>
        <sz val="9"/>
        <color rgb="FF000000"/>
        <rFont val="楷体"/>
        <charset val="134"/>
      </rPr>
      <t>阿里体育</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</si>
  <si>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27</t>
    </r>
    <r>
      <rPr>
        <sz val="9"/>
        <color rgb="FF000000"/>
        <rFont val="楷体"/>
        <charset val="134"/>
      </rPr>
      <t>亿</t>
    </r>
  </si>
  <si>
    <r>
      <rPr>
        <sz val="9"/>
        <color rgb="FF000000"/>
        <rFont val="楷体"/>
        <charset val="134"/>
      </rPr>
      <t>史玉柱</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聂志明</t>
    </r>
    <r>
      <rPr>
        <sz val="9"/>
        <color rgb="FF000000"/>
        <rFont val="Arial"/>
        <charset val="134"/>
      </rPr>
      <t>:CTO,</t>
    </r>
    <r>
      <rPr>
        <sz val="9"/>
        <color rgb="FF000000"/>
        <rFont val="楷体"/>
        <charset val="134"/>
      </rPr>
      <t>吴萌</t>
    </r>
    <r>
      <rPr>
        <sz val="9"/>
        <color rgb="FF000000"/>
        <rFont val="Arial"/>
        <charset val="134"/>
      </rPr>
      <t>:</t>
    </r>
    <r>
      <rPr>
        <sz val="9"/>
        <color rgb="FF000000"/>
        <rFont val="楷体"/>
        <charset val="134"/>
      </rPr>
      <t>联席</t>
    </r>
    <r>
      <rPr>
        <sz val="9"/>
        <color rgb="FF000000"/>
        <rFont val="Arial"/>
        <charset val="134"/>
      </rPr>
      <t>CEO</t>
    </r>
  </si>
  <si>
    <r>
      <rPr>
        <sz val="9"/>
        <color rgb="FF000000"/>
        <rFont val="楷体"/>
        <charset val="134"/>
      </rPr>
      <t>上海市徐汇区宜山路</t>
    </r>
    <r>
      <rPr>
        <sz val="9"/>
        <color rgb="FF000000"/>
        <rFont val="Arial"/>
        <charset val="134"/>
      </rPr>
      <t>700</t>
    </r>
    <r>
      <rPr>
        <sz val="9"/>
        <color rgb="FF000000"/>
        <rFont val="楷体"/>
        <charset val="134"/>
      </rPr>
      <t>号莆田信息产业园</t>
    </r>
    <r>
      <rPr>
        <sz val="9"/>
        <color rgb="FF000000"/>
        <rFont val="Arial"/>
        <charset val="134"/>
      </rPr>
      <t>3</t>
    </r>
    <r>
      <rPr>
        <sz val="9"/>
        <color rgb="FF000000"/>
        <rFont val="楷体"/>
        <charset val="134"/>
      </rPr>
      <t>号楼</t>
    </r>
  </si>
  <si>
    <t>021-3397-9999</t>
  </si>
  <si>
    <t>win@ztgame.com</t>
  </si>
  <si>
    <t>口碑网是阿里旗下网站，致力于打造生活服务领域的电子商务第一品牌。网站为消费者提供评论分享、消费指南，是商家发布促销信息，进行口碑营销，实施电子商务的平台。</t>
  </si>
  <si>
    <t>杭州口口相传网络技术有限公司</t>
  </si>
  <si>
    <t>http://www.koubei.com/</t>
  </si>
  <si>
    <t>2005-08</t>
  </si>
  <si>
    <r>
      <rPr>
        <sz val="9"/>
        <color rgb="FF000000"/>
        <rFont val="Arial"/>
        <charset val="134"/>
      </rPr>
      <t>137.62</t>
    </r>
    <r>
      <rPr>
        <sz val="9"/>
        <color rgb="FF000000"/>
        <rFont val="楷体"/>
        <charset val="134"/>
      </rPr>
      <t>亿</t>
    </r>
  </si>
  <si>
    <r>
      <rPr>
        <sz val="9"/>
        <color rgb="FF000000"/>
        <rFont val="楷体"/>
        <charset val="134"/>
      </rPr>
      <t>杭州市西湖区西溪路</t>
    </r>
    <r>
      <rPr>
        <sz val="9"/>
        <color rgb="FF000000"/>
        <rFont val="Arial"/>
        <charset val="134"/>
      </rPr>
      <t>556</t>
    </r>
    <r>
      <rPr>
        <sz val="9"/>
        <color rgb="FF000000"/>
        <rFont val="楷体"/>
        <charset val="134"/>
      </rPr>
      <t>号阿里中心蚂蚁</t>
    </r>
    <r>
      <rPr>
        <sz val="9"/>
        <color rgb="FF000000"/>
        <rFont val="Arial"/>
        <charset val="134"/>
      </rPr>
      <t>z</t>
    </r>
    <r>
      <rPr>
        <sz val="9"/>
        <color rgb="FF000000"/>
        <rFont val="楷体"/>
        <charset val="134"/>
      </rPr>
      <t>空间</t>
    </r>
  </si>
  <si>
    <t>400-826-7710</t>
  </si>
  <si>
    <r>
      <rPr>
        <sz val="9"/>
        <color rgb="FF000000"/>
        <rFont val="楷体"/>
        <charset val="134"/>
      </rPr>
      <t>鼎晖投资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中投公司</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银湖投资</t>
    </r>
    <r>
      <rPr>
        <sz val="9"/>
        <color rgb="FF000000"/>
        <rFont val="Arial"/>
        <charset val="134"/>
      </rPr>
      <t>Silver Lake</t>
    </r>
  </si>
  <si>
    <r>
      <rPr>
        <sz val="9"/>
        <color rgb="FF000000"/>
        <rFont val="楷体"/>
        <charset val="134"/>
      </rPr>
      <t>海底捞</t>
    </r>
    <r>
      <rPr>
        <sz val="9"/>
        <color rgb="FF000000"/>
        <rFont val="Arial"/>
        <charset val="134"/>
      </rPr>
      <t>,</t>
    </r>
    <r>
      <rPr>
        <sz val="9"/>
        <color rgb="FF000000"/>
        <rFont val="楷体"/>
        <charset val="134"/>
      </rPr>
      <t>西贝餐饮</t>
    </r>
    <r>
      <rPr>
        <sz val="9"/>
        <color rgb="FF000000"/>
        <rFont val="Arial"/>
        <charset val="134"/>
      </rPr>
      <t>,</t>
    </r>
    <r>
      <rPr>
        <sz val="9"/>
        <color rgb="FF000000"/>
        <rFont val="楷体"/>
        <charset val="134"/>
      </rPr>
      <t>外婆家</t>
    </r>
  </si>
  <si>
    <r>
      <rPr>
        <sz val="9"/>
        <color rgb="FF000000"/>
        <rFont val="Arial"/>
        <charset val="134"/>
      </rPr>
      <t>9.66</t>
    </r>
    <r>
      <rPr>
        <sz val="9"/>
        <color rgb="FF000000"/>
        <rFont val="楷体"/>
        <charset val="134"/>
      </rPr>
      <t>亿美元</t>
    </r>
  </si>
  <si>
    <t>2020-08-11</t>
  </si>
  <si>
    <t>心怡科技</t>
  </si>
  <si>
    <r>
      <rPr>
        <sz val="9"/>
        <color rgb="FF000000"/>
        <rFont val="楷体"/>
        <charset val="134"/>
      </rPr>
      <t>心怡物流是一家第三方电商物流供应链综合服务商，以电子商务仓储物流服务、电商仓储为核心，同时提供跨境电子商务、电子商务代运营等全方位供应链系统方案和供应链系统管理服务。目前在国内共设有</t>
    </r>
    <r>
      <rPr>
        <sz val="9"/>
        <color rgb="FF000000"/>
        <rFont val="Arial"/>
        <charset val="134"/>
      </rPr>
      <t>88</t>
    </r>
    <r>
      <rPr>
        <sz val="9"/>
        <color rgb="FF000000"/>
        <rFont val="楷体"/>
        <charset val="134"/>
      </rPr>
      <t>个</t>
    </r>
    <r>
      <rPr>
        <sz val="9"/>
        <color rgb="FF000000"/>
        <rFont val="Arial"/>
        <charset val="134"/>
      </rPr>
      <t>RDC</t>
    </r>
    <r>
      <rPr>
        <sz val="9"/>
        <color rgb="FF000000"/>
        <rFont val="楷体"/>
        <charset val="134"/>
      </rPr>
      <t>（区域分拨）中心，仓配网络覆盖全国超过</t>
    </r>
    <r>
      <rPr>
        <sz val="9"/>
        <color rgb="FF000000"/>
        <rFont val="Arial"/>
        <charset val="134"/>
      </rPr>
      <t>350</t>
    </r>
    <r>
      <rPr>
        <sz val="9"/>
        <color rgb="FF000000"/>
        <rFont val="楷体"/>
        <charset val="134"/>
      </rPr>
      <t>个城市；</t>
    </r>
    <r>
      <rPr>
        <sz val="9"/>
        <color rgb="FF000000"/>
        <rFont val="Arial"/>
        <charset val="134"/>
      </rPr>
      <t>388</t>
    </r>
    <r>
      <rPr>
        <sz val="9"/>
        <color rgb="FF000000"/>
        <rFont val="楷体"/>
        <charset val="134"/>
      </rPr>
      <t>个全球供应链网络，积逾</t>
    </r>
    <r>
      <rPr>
        <sz val="9"/>
        <color rgb="FF000000"/>
        <rFont val="Arial"/>
        <charset val="134"/>
      </rPr>
      <t>200</t>
    </r>
    <r>
      <rPr>
        <sz val="9"/>
        <color rgb="FF000000"/>
        <rFont val="楷体"/>
        <charset val="134"/>
      </rPr>
      <t>万平方米管理的仓储面积，日峰值订单处理能力达</t>
    </r>
    <r>
      <rPr>
        <sz val="9"/>
        <color rgb="FF000000"/>
        <rFont val="Arial"/>
        <charset val="134"/>
      </rPr>
      <t>4000</t>
    </r>
    <r>
      <rPr>
        <sz val="9"/>
        <color rgb="FF000000"/>
        <rFont val="楷体"/>
        <charset val="134"/>
      </rPr>
      <t>万件，利用</t>
    </r>
    <r>
      <rPr>
        <sz val="9"/>
        <color rgb="FF000000"/>
        <rFont val="Arial"/>
        <charset val="134"/>
      </rPr>
      <t>“</t>
    </r>
    <r>
      <rPr>
        <sz val="9"/>
        <color rgb="FF000000"/>
        <rFont val="楷体"/>
        <charset val="134"/>
      </rPr>
      <t>大数据</t>
    </r>
    <r>
      <rPr>
        <sz val="9"/>
        <color rgb="FF000000"/>
        <rFont val="Arial"/>
        <charset val="134"/>
      </rPr>
      <t>”</t>
    </r>
    <r>
      <rPr>
        <sz val="9"/>
        <color rgb="FF000000"/>
        <rFont val="楷体"/>
        <charset val="134"/>
      </rPr>
      <t>和</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技术创新智慧物流模式，采用企业自主研发并拥有知识产权的</t>
    </r>
    <r>
      <rPr>
        <sz val="9"/>
        <color rgb="FF000000"/>
        <rFont val="Arial"/>
        <charset val="134"/>
      </rPr>
      <t>WCS</t>
    </r>
    <r>
      <rPr>
        <sz val="9"/>
        <color rgb="FF000000"/>
        <rFont val="楷体"/>
        <charset val="134"/>
      </rPr>
      <t>、</t>
    </r>
    <r>
      <rPr>
        <sz val="9"/>
        <color rgb="FF000000"/>
        <rFont val="Arial"/>
        <charset val="134"/>
      </rPr>
      <t>OMS</t>
    </r>
    <r>
      <rPr>
        <sz val="9"/>
        <color rgb="FF000000"/>
        <rFont val="楷体"/>
        <charset val="134"/>
      </rPr>
      <t>、</t>
    </r>
    <r>
      <rPr>
        <sz val="9"/>
        <color rgb="FF000000"/>
        <rFont val="Arial"/>
        <charset val="134"/>
      </rPr>
      <t>WMS</t>
    </r>
    <r>
      <rPr>
        <sz val="9"/>
        <color rgb="FF000000"/>
        <rFont val="楷体"/>
        <charset val="134"/>
      </rPr>
      <t>、</t>
    </r>
    <r>
      <rPr>
        <sz val="9"/>
        <color rgb="FF000000"/>
        <rFont val="Arial"/>
        <charset val="134"/>
      </rPr>
      <t>TMS</t>
    </r>
    <r>
      <rPr>
        <sz val="9"/>
        <color rgb="FF000000"/>
        <rFont val="楷体"/>
        <charset val="134"/>
      </rPr>
      <t>等系统，从纵向打通线上线下的信息通道，为商家赋能；横向则整合国内外资源，实现货物全球通。通过全渠道、全链路的订单和库存精细化管理，为客户提供更加快速、便捷和个性化的仓配一体化优质服务。</t>
    </r>
  </si>
  <si>
    <t>浙江心怡供应链管理有限公司</t>
  </si>
  <si>
    <t>http://www.alog.cc/</t>
  </si>
  <si>
    <r>
      <rPr>
        <sz val="9"/>
        <color rgb="FF000000"/>
        <rFont val="Arial"/>
        <charset val="134"/>
      </rPr>
      <t>3.9</t>
    </r>
    <r>
      <rPr>
        <sz val="9"/>
        <color rgb="FF000000"/>
        <rFont val="楷体"/>
        <charset val="134"/>
      </rPr>
      <t>亿</t>
    </r>
  </si>
  <si>
    <r>
      <rPr>
        <sz val="9"/>
        <color rgb="FF000000"/>
        <rFont val="楷体"/>
        <charset val="134"/>
      </rPr>
      <t>邢玮</t>
    </r>
    <r>
      <rPr>
        <sz val="9"/>
        <color rgb="FF000000"/>
        <rFont val="Arial"/>
        <charset val="134"/>
      </rPr>
      <t>:CEO</t>
    </r>
  </si>
  <si>
    <r>
      <rPr>
        <sz val="9"/>
        <color rgb="FF000000"/>
        <rFont val="楷体"/>
        <charset val="134"/>
      </rPr>
      <t>杭州市西湖区西溪路</t>
    </r>
    <r>
      <rPr>
        <sz val="9"/>
        <color rgb="FF000000"/>
        <rFont val="Arial"/>
        <charset val="134"/>
      </rPr>
      <t>550</t>
    </r>
    <r>
      <rPr>
        <sz val="9"/>
        <color rgb="FF000000"/>
        <rFont val="楷体"/>
        <charset val="134"/>
      </rPr>
      <t>号西溪新座</t>
    </r>
    <r>
      <rPr>
        <sz val="9"/>
        <color rgb="FF000000"/>
        <rFont val="Arial"/>
        <charset val="134"/>
      </rPr>
      <t>6</t>
    </r>
    <r>
      <rPr>
        <sz val="9"/>
        <color rgb="FF000000"/>
        <rFont val="楷体"/>
        <charset val="134"/>
      </rPr>
      <t>幢</t>
    </r>
    <r>
      <rPr>
        <sz val="9"/>
        <color rgb="FF000000"/>
        <rFont val="Arial"/>
        <charset val="134"/>
      </rPr>
      <t>A</t>
    </r>
    <r>
      <rPr>
        <sz val="9"/>
        <color rgb="FF000000"/>
        <rFont val="楷体"/>
        <charset val="134"/>
      </rPr>
      <t>座</t>
    </r>
    <r>
      <rPr>
        <sz val="9"/>
        <color rgb="FF000000"/>
        <rFont val="Arial"/>
        <charset val="134"/>
      </rPr>
      <t>5-11</t>
    </r>
    <r>
      <rPr>
        <sz val="9"/>
        <color rgb="FF000000"/>
        <rFont val="楷体"/>
        <charset val="134"/>
      </rPr>
      <t>层</t>
    </r>
  </si>
  <si>
    <t>0571-8885-9588</t>
  </si>
  <si>
    <r>
      <rPr>
        <sz val="9"/>
        <color rgb="FF000000"/>
        <rFont val="楷体"/>
        <charset val="134"/>
      </rPr>
      <t>易凯资本</t>
    </r>
    <r>
      <rPr>
        <sz val="9"/>
        <color rgb="FF000000"/>
        <rFont val="Arial"/>
        <charset val="134"/>
      </rPr>
      <t>,</t>
    </r>
    <r>
      <rPr>
        <sz val="9"/>
        <color rgb="FF000000"/>
        <rFont val="楷体"/>
        <charset val="134"/>
      </rPr>
      <t>博睿创投</t>
    </r>
    <r>
      <rPr>
        <sz val="9"/>
        <color rgb="FF000000"/>
        <rFont val="Arial"/>
        <charset val="134"/>
      </rPr>
      <t>,Welkin</t>
    </r>
    <r>
      <rPr>
        <sz val="9"/>
        <color rgb="FF000000"/>
        <rFont val="楷体"/>
        <charset val="134"/>
      </rPr>
      <t>汇勤资本</t>
    </r>
    <r>
      <rPr>
        <sz val="9"/>
        <color rgb="FF000000"/>
        <rFont val="Arial"/>
        <charset val="134"/>
      </rPr>
      <t>,</t>
    </r>
    <r>
      <rPr>
        <sz val="9"/>
        <color rgb="FF000000"/>
        <rFont val="楷体"/>
        <charset val="134"/>
      </rPr>
      <t>鲍斯股份怡诺投资</t>
    </r>
  </si>
  <si>
    <r>
      <rPr>
        <sz val="9"/>
        <color rgb="FF000000"/>
        <rFont val="楷体"/>
        <charset val="134"/>
      </rPr>
      <t>云锋基金</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仰华企业</t>
    </r>
  </si>
  <si>
    <t>2015-11-28</t>
  </si>
  <si>
    <t>五矿电商</t>
  </si>
  <si>
    <r>
      <rPr>
        <sz val="9"/>
        <color rgb="FF000000"/>
        <rFont val="楷体"/>
        <charset val="134"/>
      </rPr>
      <t>五矿电商是一个钢铁采购电商平台，产品包括不锈钢板、不锈钢管、不锈钢棒材等品类，具有自动生成报价单、实时提报、议价等功能，提供会员服务</t>
    </r>
    <r>
      <rPr>
        <sz val="9"/>
        <color rgb="FF000000"/>
        <rFont val="Arial"/>
        <charset val="134"/>
      </rPr>
      <t>“</t>
    </r>
    <r>
      <rPr>
        <sz val="9"/>
        <color rgb="FF000000"/>
        <rFont val="楷体"/>
        <charset val="134"/>
      </rPr>
      <t>钢铁拍档</t>
    </r>
    <r>
      <rPr>
        <sz val="9"/>
        <color rgb="FF000000"/>
        <rFont val="Arial"/>
        <charset val="134"/>
      </rPr>
      <t>”</t>
    </r>
    <r>
      <rPr>
        <sz val="9"/>
        <color rgb="FF000000"/>
        <rFont val="楷体"/>
        <charset val="134"/>
      </rPr>
      <t>；已与天津友发等多个商家进行合作。</t>
    </r>
  </si>
  <si>
    <t>龙腾数科技术有限公司</t>
  </si>
  <si>
    <t>http://www.xinyilian.com/</t>
  </si>
  <si>
    <r>
      <rPr>
        <sz val="9"/>
        <color rgb="FF000000"/>
        <rFont val="Arial"/>
        <charset val="134"/>
      </rPr>
      <t>5.9</t>
    </r>
    <r>
      <rPr>
        <sz val="9"/>
        <color rgb="FF000000"/>
        <rFont val="楷体"/>
        <charset val="134"/>
      </rPr>
      <t>亿人民币</t>
    </r>
  </si>
  <si>
    <r>
      <rPr>
        <sz val="9"/>
        <color rgb="FF000000"/>
        <rFont val="Arial"/>
        <charset val="134"/>
      </rPr>
      <t>5.9</t>
    </r>
    <r>
      <rPr>
        <sz val="9"/>
        <color rgb="FF000000"/>
        <rFont val="楷体"/>
        <charset val="134"/>
      </rPr>
      <t>亿</t>
    </r>
  </si>
  <si>
    <r>
      <rPr>
        <sz val="9"/>
        <color rgb="FF000000"/>
        <rFont val="Arial"/>
        <charset val="134"/>
      </rPr>
      <t>7.0455</t>
    </r>
    <r>
      <rPr>
        <sz val="9"/>
        <color rgb="FF000000"/>
        <rFont val="楷体"/>
        <charset val="134"/>
      </rPr>
      <t>亿元</t>
    </r>
  </si>
  <si>
    <t>2015-06-05</t>
  </si>
  <si>
    <t>柚子</t>
  </si>
  <si>
    <t>北京壹平台科技（柚子）是一家专注于手机彩票技术服务的公司，旗下有海南体彩等产品。</t>
  </si>
  <si>
    <t>北京壹平台科技有限公司</t>
  </si>
  <si>
    <t>http://www.uuzz.com/</t>
  </si>
  <si>
    <r>
      <rPr>
        <sz val="9"/>
        <color rgb="FF000000"/>
        <rFont val="Arial"/>
        <charset val="134"/>
      </rPr>
      <t>4000</t>
    </r>
    <r>
      <rPr>
        <sz val="9"/>
        <color rgb="FF000000"/>
        <rFont val="楷体"/>
        <charset val="134"/>
      </rPr>
      <t>万</t>
    </r>
  </si>
  <si>
    <r>
      <rPr>
        <sz val="9"/>
        <color rgb="FF000000"/>
        <rFont val="楷体"/>
        <charset val="134"/>
      </rPr>
      <t>梁东伟</t>
    </r>
    <r>
      <rPr>
        <sz val="9"/>
        <color rgb="FF000000"/>
        <rFont val="Arial"/>
        <charset val="134"/>
      </rPr>
      <t>:</t>
    </r>
    <r>
      <rPr>
        <sz val="9"/>
        <color rgb="FF000000"/>
        <rFont val="楷体"/>
        <charset val="134"/>
      </rPr>
      <t>创始人</t>
    </r>
  </si>
  <si>
    <r>
      <rPr>
        <sz val="9"/>
        <color rgb="FF000000"/>
        <rFont val="楷体"/>
        <charset val="134"/>
      </rPr>
      <t>北京市东城区建国门内贡院西街</t>
    </r>
    <r>
      <rPr>
        <sz val="9"/>
        <color rgb="FF000000"/>
        <rFont val="Arial"/>
        <charset val="134"/>
      </rPr>
      <t>9</t>
    </r>
    <r>
      <rPr>
        <sz val="9"/>
        <color rgb="FF000000"/>
        <rFont val="楷体"/>
        <charset val="134"/>
      </rPr>
      <t>号</t>
    </r>
    <r>
      <rPr>
        <sz val="9"/>
        <color rgb="FF000000"/>
        <rFont val="Arial"/>
        <charset val="134"/>
      </rPr>
      <t>2</t>
    </r>
    <r>
      <rPr>
        <sz val="9"/>
        <color rgb="FF000000"/>
        <rFont val="楷体"/>
        <charset val="134"/>
      </rPr>
      <t>层</t>
    </r>
  </si>
  <si>
    <t>010-52163777</t>
  </si>
  <si>
    <t>yangpei@uuzz.com</t>
  </si>
  <si>
    <t>汇财私人资本</t>
  </si>
  <si>
    <t>2023-06-07</t>
  </si>
  <si>
    <t>申通快递</t>
  </si>
  <si>
    <r>
      <rPr>
        <sz val="9"/>
        <color rgb="FF000000"/>
        <rFont val="楷体"/>
        <charset val="134"/>
      </rPr>
      <t>申通快递是一家综合性的快递公司，兼具传统快递业务以及电子商务物流服务，可为国内大型</t>
    </r>
    <r>
      <rPr>
        <sz val="9"/>
        <color rgb="FF000000"/>
        <rFont val="Arial"/>
        <charset val="134"/>
      </rPr>
      <t>C2C</t>
    </r>
    <r>
      <rPr>
        <sz val="9"/>
        <color rgb="FF000000"/>
        <rFont val="楷体"/>
        <charset val="134"/>
      </rPr>
      <t>、</t>
    </r>
    <r>
      <rPr>
        <sz val="9"/>
        <color rgb="FF000000"/>
        <rFont val="Arial"/>
        <charset val="134"/>
      </rPr>
      <t>B2C</t>
    </r>
    <r>
      <rPr>
        <sz val="9"/>
        <color rgb="FF000000"/>
        <rFont val="楷体"/>
        <charset val="134"/>
      </rPr>
      <t>企业提供物流配送、第三方物流和仓储、代收货款、贵重物品通道等服务。</t>
    </r>
  </si>
  <si>
    <t>申通快递有限公司</t>
  </si>
  <si>
    <t>http://www.sto.cn/</t>
  </si>
  <si>
    <t>1993-02</t>
  </si>
  <si>
    <r>
      <rPr>
        <sz val="9"/>
        <color rgb="FF000000"/>
        <rFont val="Arial"/>
        <charset val="134"/>
      </rPr>
      <t>38.78</t>
    </r>
    <r>
      <rPr>
        <sz val="9"/>
        <color rgb="FF000000"/>
        <rFont val="楷体"/>
        <charset val="134"/>
      </rPr>
      <t>亿人民币</t>
    </r>
  </si>
  <si>
    <r>
      <rPr>
        <sz val="9"/>
        <color rgb="FF000000"/>
        <rFont val="Arial"/>
        <charset val="134"/>
      </rPr>
      <t>459.25</t>
    </r>
    <r>
      <rPr>
        <sz val="9"/>
        <color rgb="FF000000"/>
        <rFont val="楷体"/>
        <charset val="134"/>
      </rPr>
      <t>亿</t>
    </r>
  </si>
  <si>
    <r>
      <rPr>
        <sz val="9"/>
        <color rgb="FF000000"/>
        <rFont val="Arial"/>
        <charset val="134"/>
      </rPr>
      <t>193.9</t>
    </r>
    <r>
      <rPr>
        <sz val="9"/>
        <color rgb="FF000000"/>
        <rFont val="楷体"/>
        <charset val="134"/>
      </rPr>
      <t>亿元</t>
    </r>
  </si>
  <si>
    <r>
      <rPr>
        <sz val="9"/>
        <color rgb="FF000000"/>
        <rFont val="楷体"/>
        <charset val="134"/>
      </rPr>
      <t>陈德军</t>
    </r>
    <r>
      <rPr>
        <sz val="9"/>
        <color rgb="FF000000"/>
        <rFont val="Arial"/>
        <charset val="134"/>
      </rPr>
      <t>:</t>
    </r>
    <r>
      <rPr>
        <sz val="9"/>
        <color rgb="FF000000"/>
        <rFont val="楷体"/>
        <charset val="134"/>
      </rPr>
      <t>董事长</t>
    </r>
  </si>
  <si>
    <r>
      <rPr>
        <sz val="9"/>
        <color rgb="FF000000"/>
        <rFont val="楷体"/>
        <charset val="134"/>
      </rPr>
      <t>上海市青浦区赵重公路</t>
    </r>
    <r>
      <rPr>
        <sz val="9"/>
        <color rgb="FF000000"/>
        <rFont val="Arial"/>
        <charset val="134"/>
      </rPr>
      <t>1888</t>
    </r>
    <r>
      <rPr>
        <sz val="9"/>
        <color rgb="FF000000"/>
        <rFont val="楷体"/>
        <charset val="134"/>
      </rPr>
      <t>号</t>
    </r>
  </si>
  <si>
    <r>
      <rPr>
        <sz val="9"/>
        <color rgb="FF000000"/>
        <rFont val="Arial"/>
        <charset val="134"/>
      </rPr>
      <t>100</t>
    </r>
    <r>
      <rPr>
        <sz val="9"/>
        <color rgb="FF000000"/>
        <rFont val="楷体"/>
        <charset val="134"/>
      </rPr>
      <t>亿人民币</t>
    </r>
  </si>
  <si>
    <t>浦发银行</t>
  </si>
  <si>
    <r>
      <rPr>
        <sz val="9"/>
        <color rgb="FF000000"/>
        <rFont val="Arial"/>
        <charset val="134"/>
      </rPr>
      <t>99.82</t>
    </r>
    <r>
      <rPr>
        <sz val="9"/>
        <color rgb="FF000000"/>
        <rFont val="楷体"/>
        <charset val="134"/>
      </rPr>
      <t>亿人民币</t>
    </r>
  </si>
  <si>
    <r>
      <rPr>
        <sz val="9"/>
        <color rgb="FF000000"/>
        <rFont val="Arial"/>
        <charset val="134"/>
      </rPr>
      <t>46.65</t>
    </r>
    <r>
      <rPr>
        <sz val="9"/>
        <color rgb="FF000000"/>
        <rFont val="楷体"/>
        <charset val="134"/>
      </rPr>
      <t>亿人民币</t>
    </r>
  </si>
  <si>
    <r>
      <rPr>
        <sz val="9"/>
        <color rgb="FF000000"/>
        <rFont val="Arial"/>
        <charset val="134"/>
      </rPr>
      <t>169</t>
    </r>
    <r>
      <rPr>
        <sz val="9"/>
        <color rgb="FF000000"/>
        <rFont val="楷体"/>
        <charset val="134"/>
      </rPr>
      <t>亿人民币</t>
    </r>
  </si>
  <si>
    <t>艾迪西</t>
  </si>
  <si>
    <t>2023-05-10</t>
  </si>
  <si>
    <t>斑马智行</t>
  </si>
  <si>
    <r>
      <rPr>
        <sz val="9"/>
        <color rgb="FF000000"/>
        <rFont val="楷体"/>
        <charset val="134"/>
      </rPr>
      <t>斑马智行是一家上汽集团和阿里巴巴集团共同打造的互联网汽车解决方案提供商，目前已登陆全球首款量产互联网汽车荣威</t>
    </r>
    <r>
      <rPr>
        <sz val="9"/>
        <color rgb="FF000000"/>
        <rFont val="Arial"/>
        <charset val="134"/>
      </rPr>
      <t>RX5</t>
    </r>
    <r>
      <rPr>
        <sz val="9"/>
        <color rgb="FF000000"/>
        <rFont val="楷体"/>
        <charset val="134"/>
      </rPr>
      <t>，隶属于斑马网络技术有限公司。</t>
    </r>
  </si>
  <si>
    <t>斑马网络技术有限公司</t>
  </si>
  <si>
    <t>https://www.hellobanma.com/</t>
  </si>
  <si>
    <t>2015-11</t>
  </si>
  <si>
    <r>
      <rPr>
        <sz val="9"/>
        <color rgb="FF000000"/>
        <rFont val="楷体"/>
        <charset val="134"/>
      </rPr>
      <t>国寿股权</t>
    </r>
    <r>
      <rPr>
        <sz val="9"/>
        <color rgb="FF000000"/>
        <rFont val="Arial"/>
        <charset val="134"/>
      </rPr>
      <t>,</t>
    </r>
    <r>
      <rPr>
        <sz val="9"/>
        <color rgb="FF000000"/>
        <rFont val="楷体"/>
        <charset val="134"/>
      </rPr>
      <t>上海国际集团</t>
    </r>
    <r>
      <rPr>
        <sz val="9"/>
        <color rgb="FF000000"/>
        <rFont val="Arial"/>
        <charset val="134"/>
      </rPr>
      <t>/</t>
    </r>
    <r>
      <rPr>
        <sz val="9"/>
        <color rgb="FF000000"/>
        <rFont val="楷体"/>
        <charset val="134"/>
      </rPr>
      <t>上海科创基金</t>
    </r>
  </si>
  <si>
    <r>
      <rPr>
        <sz val="9"/>
        <color rgb="FF000000"/>
        <rFont val="Arial"/>
        <charset val="134"/>
      </rPr>
      <t>53</t>
    </r>
    <r>
      <rPr>
        <sz val="9"/>
        <color rgb="FF000000"/>
        <rFont val="楷体"/>
        <charset val="134"/>
      </rPr>
      <t>亿</t>
    </r>
  </si>
  <si>
    <r>
      <rPr>
        <sz val="9"/>
        <color rgb="FF000000"/>
        <rFont val="Arial"/>
        <charset val="134"/>
      </rPr>
      <t>220</t>
    </r>
    <r>
      <rPr>
        <sz val="9"/>
        <color rgb="FF000000"/>
        <rFont val="楷体"/>
        <charset val="134"/>
      </rPr>
      <t>亿元</t>
    </r>
  </si>
  <si>
    <r>
      <rPr>
        <sz val="9"/>
        <color rgb="FF000000"/>
        <rFont val="楷体"/>
        <charset val="134"/>
      </rPr>
      <t>施雪松</t>
    </r>
    <r>
      <rPr>
        <sz val="9"/>
        <color rgb="FF000000"/>
        <rFont val="Arial"/>
        <charset val="134"/>
      </rPr>
      <t>:CEO,</t>
    </r>
    <r>
      <rPr>
        <sz val="9"/>
        <color rgb="FF000000"/>
        <rFont val="楷体"/>
        <charset val="134"/>
      </rPr>
      <t>闫枫</t>
    </r>
    <r>
      <rPr>
        <sz val="9"/>
        <color rgb="FF000000"/>
        <rFont val="Arial"/>
        <charset val="134"/>
      </rPr>
      <t>:</t>
    </r>
    <r>
      <rPr>
        <sz val="9"/>
        <color rgb="FF000000"/>
        <rFont val="楷体"/>
        <charset val="134"/>
      </rPr>
      <t>副总经理</t>
    </r>
    <r>
      <rPr>
        <sz val="9"/>
        <color rgb="FF000000"/>
        <rFont val="Arial"/>
        <charset val="134"/>
      </rPr>
      <t>,</t>
    </r>
    <r>
      <rPr>
        <sz val="9"/>
        <color rgb="FF000000"/>
        <rFont val="楷体"/>
        <charset val="134"/>
      </rPr>
      <t>张春晖</t>
    </r>
    <r>
      <rPr>
        <sz val="9"/>
        <color rgb="FF000000"/>
        <rFont val="Arial"/>
        <charset val="134"/>
      </rPr>
      <t>:</t>
    </r>
    <r>
      <rPr>
        <sz val="9"/>
        <color rgb="FF000000"/>
        <rFont val="楷体"/>
        <charset val="134"/>
      </rPr>
      <t>联席</t>
    </r>
    <r>
      <rPr>
        <sz val="9"/>
        <color rgb="FF000000"/>
        <rFont val="Arial"/>
        <charset val="134"/>
      </rPr>
      <t>CEO</t>
    </r>
  </si>
  <si>
    <r>
      <rPr>
        <sz val="9"/>
        <color rgb="FF000000"/>
        <rFont val="楷体"/>
        <charset val="134"/>
      </rPr>
      <t>上海市徐汇区淮海西路</t>
    </r>
    <r>
      <rPr>
        <sz val="9"/>
        <color rgb="FF000000"/>
        <rFont val="Arial"/>
        <charset val="134"/>
      </rPr>
      <t>55</t>
    </r>
    <r>
      <rPr>
        <sz val="9"/>
        <color rgb="FF000000"/>
        <rFont val="楷体"/>
        <charset val="134"/>
      </rPr>
      <t>号申通信息广场</t>
    </r>
    <r>
      <rPr>
        <sz val="9"/>
        <color rgb="FF000000"/>
        <rFont val="Arial"/>
        <charset val="134"/>
      </rPr>
      <t>2</t>
    </r>
    <r>
      <rPr>
        <sz val="9"/>
        <color rgb="FF000000"/>
        <rFont val="楷体"/>
        <charset val="134"/>
      </rPr>
      <t>楼</t>
    </r>
    <r>
      <rPr>
        <sz val="9"/>
        <color rgb="FF000000"/>
        <rFont val="Arial"/>
        <charset val="134"/>
      </rPr>
      <t>D</t>
    </r>
    <r>
      <rPr>
        <sz val="9"/>
        <color rgb="FF000000"/>
        <rFont val="楷体"/>
        <charset val="134"/>
      </rPr>
      <t>座</t>
    </r>
  </si>
  <si>
    <t>400-821-8811</t>
  </si>
  <si>
    <t>enquiry@hellobanma.com</t>
  </si>
  <si>
    <r>
      <t>30</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</si>
  <si>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尚颀资本</t>
    </r>
    <r>
      <rPr>
        <sz val="9"/>
        <color rgb="FF000000"/>
        <rFont val="Arial"/>
        <charset val="134"/>
      </rPr>
      <t>,</t>
    </r>
    <r>
      <rPr>
        <sz val="9"/>
        <color rgb="FF000000"/>
        <rFont val="楷体"/>
        <charset val="134"/>
      </rPr>
      <t>国投招商</t>
    </r>
  </si>
  <si>
    <r>
      <rPr>
        <sz val="9"/>
        <color rgb="FF000000"/>
        <rFont val="楷体"/>
        <charset val="134"/>
      </rPr>
      <t>云锋基金</t>
    </r>
    <r>
      <rPr>
        <sz val="9"/>
        <color rgb="FF000000"/>
        <rFont val="Arial"/>
        <charset val="134"/>
      </rPr>
      <t>,</t>
    </r>
    <r>
      <rPr>
        <sz val="9"/>
        <color rgb="FF000000"/>
        <rFont val="楷体"/>
        <charset val="134"/>
      </rPr>
      <t>尚颀资本</t>
    </r>
    <r>
      <rPr>
        <sz val="9"/>
        <color rgb="FF000000"/>
        <rFont val="Arial"/>
        <charset val="134"/>
      </rPr>
      <t>,</t>
    </r>
    <r>
      <rPr>
        <sz val="9"/>
        <color rgb="FF000000"/>
        <rFont val="楷体"/>
        <charset val="134"/>
      </rPr>
      <t>国投创新</t>
    </r>
  </si>
  <si>
    <t>2015-12-11</t>
  </si>
  <si>
    <t>南华早报</t>
  </si>
  <si>
    <r>
      <rPr>
        <sz val="9"/>
        <color rgb="FF000000"/>
        <rFont val="楷体"/>
        <charset val="134"/>
      </rPr>
      <t>《南华早报》成立于</t>
    </r>
    <r>
      <rPr>
        <sz val="9"/>
        <color rgb="FF000000"/>
        <rFont val="Arial"/>
        <charset val="134"/>
      </rPr>
      <t>1903</t>
    </r>
    <r>
      <rPr>
        <sz val="9"/>
        <color rgb="FF000000"/>
        <rFont val="楷体"/>
        <charset val="134"/>
      </rPr>
      <t>年，是来自香港的一家传媒公司。</t>
    </r>
  </si>
  <si>
    <t>南华早报出版有限公司</t>
  </si>
  <si>
    <t>1903-01</t>
  </si>
  <si>
    <r>
      <rPr>
        <sz val="9"/>
        <color rgb="FF000000"/>
        <rFont val="Arial"/>
        <charset val="134"/>
      </rPr>
      <t>2.66</t>
    </r>
    <r>
      <rPr>
        <sz val="9"/>
        <color rgb="FF000000"/>
        <rFont val="楷体"/>
        <charset val="134"/>
      </rPr>
      <t>亿美元</t>
    </r>
  </si>
  <si>
    <r>
      <rPr>
        <sz val="9"/>
        <color rgb="FF000000"/>
        <rFont val="Arial"/>
        <charset val="134"/>
      </rPr>
      <t>17.29</t>
    </r>
    <r>
      <rPr>
        <sz val="9"/>
        <color rgb="FF000000"/>
        <rFont val="楷体"/>
        <charset val="134"/>
      </rPr>
      <t>亿</t>
    </r>
  </si>
  <si>
    <r>
      <rPr>
        <sz val="9"/>
        <color rgb="FF000000"/>
        <rFont val="Arial"/>
        <charset val="134"/>
      </rPr>
      <t>86.45</t>
    </r>
    <r>
      <rPr>
        <sz val="9"/>
        <color rgb="FF000000"/>
        <rFont val="楷体"/>
        <charset val="134"/>
      </rPr>
      <t>亿元</t>
    </r>
  </si>
  <si>
    <t>2019-10-18</t>
  </si>
  <si>
    <t>千寻位置</t>
  </si>
  <si>
    <r>
      <rPr>
        <sz val="9"/>
        <color rgb="FF000000"/>
        <rFont val="楷体"/>
        <charset val="134"/>
      </rPr>
      <t>千寻位置是一家领先的精准位置服务公司，具备提供高达动态厘米级和静态毫米级的定位能力，是</t>
    </r>
    <r>
      <rPr>
        <sz val="9"/>
        <color rgb="FF000000"/>
        <rFont val="Arial"/>
        <charset val="134"/>
      </rPr>
      <t>IoT</t>
    </r>
    <r>
      <rPr>
        <sz val="9"/>
        <color rgb="FF000000"/>
        <rFont val="楷体"/>
        <charset val="134"/>
      </rPr>
      <t>时代重要的基础设施之一，由中国兵器工业集团和阿里巴巴集团共同发起成立。千寻位置基于北斗卫星系统（兼容</t>
    </r>
    <r>
      <rPr>
        <sz val="9"/>
        <color rgb="FF000000"/>
        <rFont val="Arial"/>
        <charset val="134"/>
      </rPr>
      <t>GPS</t>
    </r>
    <r>
      <rPr>
        <sz val="9"/>
        <color rgb="FF000000"/>
        <rFont val="楷体"/>
        <charset val="134"/>
      </rPr>
      <t>、</t>
    </r>
    <r>
      <rPr>
        <sz val="9"/>
        <color rgb="FF000000"/>
        <rFont val="Arial"/>
        <charset val="134"/>
      </rPr>
      <t>GLONASS</t>
    </r>
    <r>
      <rPr>
        <sz val="9"/>
        <color rgb="FF000000"/>
        <rFont val="楷体"/>
        <charset val="134"/>
      </rPr>
      <t>、</t>
    </r>
    <r>
      <rPr>
        <sz val="9"/>
        <color rgb="FF000000"/>
        <rFont val="Arial"/>
        <charset val="134"/>
      </rPr>
      <t>Galileo</t>
    </r>
    <r>
      <rPr>
        <sz val="9"/>
        <color rgb="FF000000"/>
        <rFont val="楷体"/>
        <charset val="134"/>
      </rPr>
      <t>）基础定位数据，利用遍及全国的超过</t>
    </r>
    <r>
      <rPr>
        <sz val="9"/>
        <color rgb="FF000000"/>
        <rFont val="Arial"/>
        <charset val="134"/>
      </rPr>
      <t>2400</t>
    </r>
    <r>
      <rPr>
        <sz val="9"/>
        <color rgb="FF000000"/>
        <rFont val="楷体"/>
        <charset val="134"/>
      </rPr>
      <t>个地基增强站及自主研发的定位算法，通过互联网技术进行大数据运算，为遍布全国的用户提供精准定位及延展服务。</t>
    </r>
  </si>
  <si>
    <t>千寻位置网络有限公司</t>
  </si>
  <si>
    <t>https://www.qxwz.com/</t>
  </si>
  <si>
    <t>2015-08</t>
  </si>
  <si>
    <r>
      <rPr>
        <sz val="9"/>
        <color rgb="FF000000"/>
        <rFont val="楷体"/>
        <charset val="134"/>
      </rPr>
      <t>上海国和投资</t>
    </r>
    <r>
      <rPr>
        <sz val="9"/>
        <color rgb="FF000000"/>
        <rFont val="Arial"/>
        <charset val="134"/>
      </rPr>
      <t>,</t>
    </r>
    <r>
      <rPr>
        <sz val="9"/>
        <color rgb="FF000000"/>
        <rFont val="楷体"/>
        <charset val="134"/>
      </rPr>
      <t>中国国有资本风险投资基金（国风投基金）</t>
    </r>
    <r>
      <rPr>
        <sz val="9"/>
        <color rgb="FF000000"/>
        <rFont val="Arial"/>
        <charset val="134"/>
      </rPr>
      <t>,</t>
    </r>
    <r>
      <rPr>
        <sz val="9"/>
        <color rgb="FF000000"/>
        <rFont val="楷体"/>
        <charset val="134"/>
      </rPr>
      <t>工商银行</t>
    </r>
    <r>
      <rPr>
        <sz val="9"/>
        <color rgb="FF000000"/>
        <rFont val="Arial"/>
        <charset val="134"/>
      </rPr>
      <t>,</t>
    </r>
    <r>
      <rPr>
        <sz val="9"/>
        <color rgb="FF000000"/>
        <rFont val="楷体"/>
        <charset val="134"/>
      </rPr>
      <t>国际资管</t>
    </r>
    <r>
      <rPr>
        <sz val="9"/>
        <color rgb="FF000000"/>
        <rFont val="Arial"/>
        <charset val="134"/>
      </rPr>
      <t>,</t>
    </r>
    <r>
      <rPr>
        <sz val="9"/>
        <color rgb="FF000000"/>
        <rFont val="楷体"/>
        <charset val="134"/>
      </rPr>
      <t>永徽基金</t>
    </r>
    <r>
      <rPr>
        <sz val="9"/>
        <color rgb="FF000000"/>
        <rFont val="Arial"/>
        <charset val="134"/>
      </rPr>
      <t>,</t>
    </r>
    <r>
      <rPr>
        <sz val="9"/>
        <color rgb="FF000000"/>
        <rFont val="楷体"/>
        <charset val="134"/>
      </rPr>
      <t>金浦鹏源基金</t>
    </r>
    <r>
      <rPr>
        <sz val="9"/>
        <color rgb="FF000000"/>
        <rFont val="Arial"/>
        <charset val="134"/>
      </rPr>
      <t>,</t>
    </r>
    <r>
      <rPr>
        <sz val="9"/>
        <color rgb="FF000000"/>
        <rFont val="楷体"/>
        <charset val="134"/>
      </rPr>
      <t>琨瀛资本</t>
    </r>
  </si>
  <si>
    <r>
      <rPr>
        <sz val="9"/>
        <color rgb="FF000000"/>
        <rFont val="Arial"/>
        <charset val="134"/>
      </rPr>
      <t>10.3</t>
    </r>
    <r>
      <rPr>
        <sz val="9"/>
        <color rgb="FF000000"/>
        <rFont val="楷体"/>
        <charset val="134"/>
      </rPr>
      <t>亿</t>
    </r>
  </si>
  <si>
    <r>
      <rPr>
        <sz val="9"/>
        <color rgb="FF000000"/>
        <rFont val="楷体"/>
        <charset val="134"/>
      </rPr>
      <t>陈金培</t>
    </r>
    <r>
      <rPr>
        <sz val="9"/>
        <color rgb="FF000000"/>
        <rFont val="Arial"/>
        <charset val="134"/>
      </rPr>
      <t>:CEO</t>
    </r>
  </si>
  <si>
    <r>
      <rPr>
        <sz val="9"/>
        <color rgb="FF000000"/>
        <rFont val="楷体"/>
        <charset val="134"/>
      </rPr>
      <t>上海市杨浦区国权北路</t>
    </r>
    <r>
      <rPr>
        <sz val="9"/>
        <color rgb="FF000000"/>
        <rFont val="Arial"/>
        <charset val="134"/>
      </rPr>
      <t>1688</t>
    </r>
    <r>
      <rPr>
        <sz val="9"/>
        <color rgb="FF000000"/>
        <rFont val="楷体"/>
        <charset val="134"/>
      </rPr>
      <t>弄</t>
    </r>
    <r>
      <rPr>
        <sz val="9"/>
        <color rgb="FF000000"/>
        <rFont val="Arial"/>
        <charset val="134"/>
      </rPr>
      <t>38</t>
    </r>
    <r>
      <rPr>
        <sz val="9"/>
        <color rgb="FF000000"/>
        <rFont val="楷体"/>
        <charset val="134"/>
      </rPr>
      <t>号湾谷科技园</t>
    </r>
    <r>
      <rPr>
        <sz val="9"/>
        <color rgb="FF000000"/>
        <rFont val="Arial"/>
        <charset val="134"/>
      </rPr>
      <t>C5</t>
    </r>
    <r>
      <rPr>
        <sz val="9"/>
        <color rgb="FF000000"/>
        <rFont val="楷体"/>
        <charset val="134"/>
      </rPr>
      <t>栋</t>
    </r>
  </si>
  <si>
    <t>021-8039-2666</t>
  </si>
  <si>
    <t>service@qxwz.com</t>
  </si>
  <si>
    <t>2010-03-01</t>
  </si>
  <si>
    <t>星晨急便</t>
  </si>
  <si>
    <r>
      <rPr>
        <sz val="9"/>
        <color rgb="FF000000"/>
        <rFont val="楷体"/>
        <charset val="134"/>
      </rPr>
      <t>星晨急便是一家专业定位于电子商务</t>
    </r>
    <r>
      <rPr>
        <sz val="9"/>
        <color rgb="FF000000"/>
        <rFont val="Arial"/>
        <charset val="134"/>
      </rPr>
      <t>B2C</t>
    </r>
    <r>
      <rPr>
        <sz val="9"/>
        <color rgb="FF000000"/>
        <rFont val="楷体"/>
        <charset val="134"/>
      </rPr>
      <t>、</t>
    </r>
    <r>
      <rPr>
        <sz val="9"/>
        <color rgb="FF000000"/>
        <rFont val="Arial"/>
        <charset val="134"/>
      </rPr>
      <t>B2B</t>
    </r>
    <r>
      <rPr>
        <sz val="9"/>
        <color rgb="FF000000"/>
        <rFont val="楷体"/>
        <charset val="134"/>
      </rPr>
      <t>服务的全国性快递公司，为广大企业及电子商务客户提供国内小件包裹速递服务</t>
    </r>
    <r>
      <rPr>
        <sz val="9"/>
        <color rgb="FF000000"/>
        <rFont val="Arial"/>
        <charset val="134"/>
      </rPr>
      <t>2011</t>
    </r>
    <r>
      <rPr>
        <sz val="9"/>
        <color rgb="FF000000"/>
        <rFont val="楷体"/>
        <charset val="134"/>
      </rPr>
      <t>年</t>
    </r>
    <r>
      <rPr>
        <sz val="9"/>
        <color rgb="FF000000"/>
        <rFont val="Arial"/>
        <charset val="134"/>
      </rPr>
      <t>10</t>
    </r>
    <r>
      <rPr>
        <sz val="9"/>
        <color rgb="FF000000"/>
        <rFont val="楷体"/>
        <charset val="134"/>
      </rPr>
      <t>月，北京星晨急便速递有限公司和深圳鑫飞鸿快递有限公司于正式合并，商号为</t>
    </r>
    <r>
      <rPr>
        <sz val="9"/>
        <color rgb="FF000000"/>
        <rFont val="Arial"/>
        <charset val="134"/>
      </rPr>
      <t>“</t>
    </r>
    <r>
      <rPr>
        <sz val="9"/>
        <color rgb="FF000000"/>
        <rFont val="楷体"/>
        <charset val="134"/>
      </rPr>
      <t>星晨急便</t>
    </r>
    <r>
      <rPr>
        <sz val="9"/>
        <color rgb="FF000000"/>
        <rFont val="Arial"/>
        <charset val="134"/>
      </rPr>
      <t>·</t>
    </r>
    <r>
      <rPr>
        <sz val="9"/>
        <color rgb="FF000000"/>
        <rFont val="楷体"/>
        <charset val="134"/>
      </rPr>
      <t>鑫飞鸿</t>
    </r>
    <r>
      <rPr>
        <sz val="9"/>
        <color rgb="FF000000"/>
        <rFont val="Arial"/>
        <charset val="134"/>
      </rPr>
      <t>”</t>
    </r>
    <r>
      <rPr>
        <sz val="9"/>
        <color rgb="FF000000"/>
        <rFont val="楷体"/>
        <charset val="134"/>
      </rPr>
      <t>。</t>
    </r>
  </si>
  <si>
    <t>北京星晨急便速递有限公司</t>
  </si>
  <si>
    <t>http://weibo.com/doudoujf</t>
  </si>
  <si>
    <r>
      <rPr>
        <sz val="9"/>
        <color rgb="FF000000"/>
        <rFont val="楷体"/>
        <charset val="134"/>
      </rPr>
      <t>北京</t>
    </r>
    <r>
      <rPr>
        <sz val="9"/>
        <color rgb="FF000000"/>
        <rFont val="Arial"/>
        <charset val="134"/>
      </rPr>
      <t>-</t>
    </r>
    <r>
      <rPr>
        <sz val="9"/>
        <color rgb="FF000000"/>
        <rFont val="楷体"/>
        <charset val="134"/>
      </rPr>
      <t>顺义区</t>
    </r>
  </si>
  <si>
    <r>
      <rPr>
        <sz val="9"/>
        <color rgb="FF000000"/>
        <rFont val="Arial"/>
        <charset val="134"/>
      </rPr>
      <t>7000</t>
    </r>
    <r>
      <rPr>
        <sz val="9"/>
        <color rgb="FF000000"/>
        <rFont val="楷体"/>
        <charset val="134"/>
      </rPr>
      <t>万</t>
    </r>
  </si>
  <si>
    <r>
      <rPr>
        <sz val="9"/>
        <color rgb="FF000000"/>
        <rFont val="Arial"/>
        <charset val="134"/>
      </rPr>
      <t>3.5</t>
    </r>
    <r>
      <rPr>
        <sz val="9"/>
        <color rgb="FF000000"/>
        <rFont val="楷体"/>
        <charset val="134"/>
      </rPr>
      <t>亿元</t>
    </r>
  </si>
  <si>
    <r>
      <rPr>
        <sz val="9"/>
        <color rgb="FF000000"/>
        <rFont val="楷体"/>
        <charset val="134"/>
      </rPr>
      <t>陈平</t>
    </r>
    <r>
      <rPr>
        <sz val="9"/>
        <color rgb="FF000000"/>
        <rFont val="Arial"/>
        <charset val="134"/>
      </rPr>
      <t>:</t>
    </r>
    <r>
      <rPr>
        <sz val="9"/>
        <color rgb="FF000000"/>
        <rFont val="楷体"/>
        <charset val="134"/>
      </rPr>
      <t>创始人</t>
    </r>
  </si>
  <si>
    <r>
      <rPr>
        <sz val="9"/>
        <color rgb="FF000000"/>
        <rFont val="楷体"/>
        <charset val="134"/>
      </rPr>
      <t>北京市顺义区空港物流基地物流园八街</t>
    </r>
    <r>
      <rPr>
        <sz val="9"/>
        <color rgb="FF000000"/>
        <rFont val="Arial"/>
        <charset val="134"/>
      </rPr>
      <t>1</t>
    </r>
    <r>
      <rPr>
        <sz val="9"/>
        <color rgb="FF000000"/>
        <rFont val="楷体"/>
        <charset val="134"/>
      </rPr>
      <t>号</t>
    </r>
  </si>
  <si>
    <t>2021-10-29</t>
  </si>
  <si>
    <t>百世物流</t>
  </si>
  <si>
    <t>百世汇通是一家向客户提供综合供应链、快递、快运和软件服务的物流供应链服务提供商。百世物流科技（中国）有限公司旗下产品。</t>
  </si>
  <si>
    <t>百世物流科技（中国）有限公司</t>
  </si>
  <si>
    <t>http://www.800best.com</t>
  </si>
  <si>
    <r>
      <rPr>
        <sz val="9"/>
        <color rgb="FF000000"/>
        <rFont val="Arial"/>
        <charset val="134"/>
      </rPr>
      <t>68</t>
    </r>
    <r>
      <rPr>
        <sz val="9"/>
        <color rgb="FF000000"/>
        <rFont val="楷体"/>
        <charset val="134"/>
      </rPr>
      <t>亿人民币</t>
    </r>
  </si>
  <si>
    <t>极兔速递</t>
  </si>
  <si>
    <r>
      <rPr>
        <sz val="9"/>
        <color rgb="FF000000"/>
        <rFont val="Arial"/>
        <charset val="134"/>
      </rPr>
      <t>210.83</t>
    </r>
    <r>
      <rPr>
        <sz val="9"/>
        <color rgb="FF000000"/>
        <rFont val="楷体"/>
        <charset val="134"/>
      </rPr>
      <t>亿</t>
    </r>
  </si>
  <si>
    <r>
      <rPr>
        <sz val="9"/>
        <color rgb="FF000000"/>
        <rFont val="Arial"/>
        <charset val="134"/>
      </rPr>
      <t>340</t>
    </r>
    <r>
      <rPr>
        <sz val="9"/>
        <color rgb="FF000000"/>
        <rFont val="楷体"/>
        <charset val="134"/>
      </rPr>
      <t>亿元</t>
    </r>
  </si>
  <si>
    <r>
      <rPr>
        <sz val="9"/>
        <color rgb="FF000000"/>
        <rFont val="楷体"/>
        <charset val="134"/>
      </rPr>
      <t>周韶宁</t>
    </r>
    <r>
      <rPr>
        <sz val="9"/>
        <color rgb="FF000000"/>
        <rFont val="Arial"/>
        <charset val="134"/>
      </rPr>
      <t>:CEO</t>
    </r>
  </si>
  <si>
    <r>
      <rPr>
        <sz val="9"/>
        <color rgb="FF000000"/>
        <rFont val="楷体"/>
        <charset val="134"/>
      </rPr>
      <t>杭州市塘苗路</t>
    </r>
    <r>
      <rPr>
        <sz val="9"/>
        <color rgb="FF000000"/>
        <rFont val="Arial"/>
        <charset val="134"/>
      </rPr>
      <t>18</t>
    </r>
    <r>
      <rPr>
        <sz val="9"/>
        <color rgb="FF000000"/>
        <rFont val="楷体"/>
        <charset val="134"/>
      </rPr>
      <t>号华星现代产业园</t>
    </r>
    <r>
      <rPr>
        <sz val="9"/>
        <color rgb="FF000000"/>
        <rFont val="Arial"/>
        <charset val="134"/>
      </rPr>
      <t>A</t>
    </r>
    <r>
      <rPr>
        <sz val="9"/>
        <color rgb="FF000000"/>
        <rFont val="楷体"/>
        <charset val="134"/>
      </rPr>
      <t>座</t>
    </r>
    <r>
      <rPr>
        <sz val="9"/>
        <color rgb="FF000000"/>
        <rFont val="Arial"/>
        <charset val="134"/>
      </rPr>
      <t>2</t>
    </r>
    <r>
      <rPr>
        <sz val="9"/>
        <color rgb="FF000000"/>
        <rFont val="楷体"/>
        <charset val="134"/>
      </rPr>
      <t>楼</t>
    </r>
  </si>
  <si>
    <t>0571-88995656</t>
  </si>
  <si>
    <t>customers@800best.com</t>
  </si>
  <si>
    <r>
      <rPr>
        <sz val="9"/>
        <color rgb="FF000000"/>
        <rFont val="Arial"/>
        <charset val="134"/>
      </rPr>
      <t>7.6</t>
    </r>
    <r>
      <rPr>
        <sz val="9"/>
        <color rgb="FF000000"/>
        <rFont val="楷体"/>
        <charset val="134"/>
      </rPr>
      <t>亿美元</t>
    </r>
  </si>
  <si>
    <r>
      <rPr>
        <sz val="9"/>
        <color rgb="FF000000"/>
        <rFont val="楷体"/>
        <charset val="134"/>
      </rPr>
      <t>软银中国资本</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</si>
  <si>
    <t>国开国际投资</t>
  </si>
  <si>
    <r>
      <rPr>
        <sz val="9"/>
        <color rgb="FF000000"/>
        <rFont val="Arial"/>
        <charset val="134"/>
      </rPr>
      <t>5.5</t>
    </r>
    <r>
      <rPr>
        <sz val="9"/>
        <color rgb="FF000000"/>
        <rFont val="楷体"/>
        <charset val="134"/>
      </rPr>
      <t>亿美元</t>
    </r>
  </si>
  <si>
    <r>
      <rPr>
        <sz val="9"/>
        <color rgb="FF000000"/>
        <rFont val="楷体"/>
        <charset val="134"/>
      </rPr>
      <t>华登国际</t>
    </r>
    <r>
      <rPr>
        <sz val="9"/>
        <color rgb="FF000000"/>
        <rFont val="Arial"/>
        <charset val="134"/>
      </rPr>
      <t>,</t>
    </r>
    <r>
      <rPr>
        <sz val="9"/>
        <color rgb="FF000000"/>
        <rFont val="楷体"/>
        <charset val="134"/>
      </rPr>
      <t>崇德投资</t>
    </r>
  </si>
  <si>
    <r>
      <rPr>
        <sz val="9"/>
        <color rgb="FF000000"/>
        <rFont val="楷体"/>
        <charset val="134"/>
      </rPr>
      <t>鼎晖投资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汉能投资</t>
    </r>
  </si>
  <si>
    <r>
      <rPr>
        <sz val="9"/>
        <color rgb="FF000000"/>
        <rFont val="楷体"/>
        <charset val="134"/>
      </rPr>
      <t>阿里巴巴</t>
    </r>
    <r>
      <rPr>
        <sz val="9"/>
        <color rgb="FF000000"/>
        <rFont val="Arial"/>
        <charset val="134"/>
      </rPr>
      <t>,</t>
    </r>
    <r>
      <rPr>
        <sz val="9"/>
        <color rgb="FF000000"/>
        <rFont val="楷体"/>
        <charset val="134"/>
      </rPr>
      <t>富士康</t>
    </r>
    <r>
      <rPr>
        <sz val="9"/>
        <color rgb="FF000000"/>
        <rFont val="Arial"/>
        <charset val="134"/>
      </rPr>
      <t>Foxconn</t>
    </r>
  </si>
  <si>
    <t>2015-07-01</t>
  </si>
  <si>
    <t>西行客旅行</t>
  </si>
  <si>
    <r>
      <rPr>
        <sz val="9"/>
        <color rgb="FF000000"/>
        <rFont val="楷体"/>
        <charset val="134"/>
      </rPr>
      <t>西行客旅行是一家专注于西藏旅游的移动</t>
    </r>
    <r>
      <rPr>
        <sz val="9"/>
        <color rgb="FF000000"/>
        <rFont val="Arial"/>
        <charset val="134"/>
      </rPr>
      <t>APP</t>
    </r>
    <r>
      <rPr>
        <sz val="9"/>
        <color rgb="FF000000"/>
        <rFont val="楷体"/>
        <charset val="134"/>
      </rPr>
      <t>，专注为藏区旅游提供内容和服务，深圳市竹马科技有限公司旗下产品。</t>
    </r>
  </si>
  <si>
    <t>深圳市智商互联网络科技有限公司</t>
  </si>
  <si>
    <t>http://www.xixingke.cn/</t>
  </si>
  <si>
    <t>国内游</t>
  </si>
  <si>
    <r>
      <rPr>
        <sz val="9"/>
        <color rgb="FF000000"/>
        <rFont val="Arial"/>
        <charset val="134"/>
      </rPr>
      <t>600</t>
    </r>
    <r>
      <rPr>
        <sz val="9"/>
        <color rgb="FF000000"/>
        <rFont val="楷体"/>
        <charset val="134"/>
      </rPr>
      <t>万</t>
    </r>
  </si>
  <si>
    <r>
      <rPr>
        <sz val="9"/>
        <color rgb="FF000000"/>
        <rFont val="楷体"/>
        <charset val="134"/>
      </rPr>
      <t>薛辉</t>
    </r>
    <r>
      <rPr>
        <sz val="9"/>
        <color rgb="FF000000"/>
        <rFont val="Arial"/>
        <charset val="134"/>
      </rPr>
      <t>:CEO</t>
    </r>
  </si>
  <si>
    <t>深圳市宝安区西乡悦和路中信湾上六座</t>
  </si>
  <si>
    <t>ray@westtraveller.com</t>
  </si>
  <si>
    <t>2023-06-19</t>
  </si>
  <si>
    <t>三维家</t>
  </si>
  <si>
    <r>
      <rPr>
        <sz val="9"/>
        <color rgb="FF000000"/>
        <rFont val="楷体"/>
        <charset val="134"/>
      </rPr>
      <t>三维家是一家聚焦于大家居产业、提供基于云的工业软件解决方案服务商，致力于让家居企业的营销、设计、制造更简单高效。以信息化、数字化为基础、</t>
    </r>
    <r>
      <rPr>
        <sz val="9"/>
        <color rgb="FF000000"/>
        <rFont val="Arial"/>
        <charset val="134"/>
      </rPr>
      <t>C++</t>
    </r>
    <r>
      <rPr>
        <sz val="9"/>
        <color rgb="FF000000"/>
        <rFont val="楷体"/>
        <charset val="134"/>
      </rPr>
      <t>为底层开发语言，通过云计算、大数据、</t>
    </r>
    <r>
      <rPr>
        <sz val="9"/>
        <color rgb="FF000000"/>
        <rFont val="Arial"/>
        <charset val="134"/>
      </rPr>
      <t>AI</t>
    </r>
    <r>
      <rPr>
        <sz val="9"/>
        <color rgb="FF000000"/>
        <rFont val="楷体"/>
        <charset val="134"/>
      </rPr>
      <t>人工智能技术，打造</t>
    </r>
    <r>
      <rPr>
        <sz val="9"/>
        <color rgb="FF000000"/>
        <rFont val="Arial"/>
        <charset val="134"/>
      </rPr>
      <t>3D</t>
    </r>
    <r>
      <rPr>
        <sz val="9"/>
        <color rgb="FF000000"/>
        <rFont val="楷体"/>
        <charset val="134"/>
      </rPr>
      <t>云设计（</t>
    </r>
    <r>
      <rPr>
        <sz val="9"/>
        <color rgb="FF000000"/>
        <rFont val="Arial"/>
        <charset val="134"/>
      </rPr>
      <t>CAD</t>
    </r>
    <r>
      <rPr>
        <sz val="9"/>
        <color rgb="FF000000"/>
        <rFont val="楷体"/>
        <charset val="134"/>
      </rPr>
      <t>）、</t>
    </r>
    <r>
      <rPr>
        <sz val="9"/>
        <color rgb="FF000000"/>
        <rFont val="Arial"/>
        <charset val="134"/>
      </rPr>
      <t>3D</t>
    </r>
    <r>
      <rPr>
        <sz val="9"/>
        <color rgb="FF000000"/>
        <rFont val="楷体"/>
        <charset val="134"/>
      </rPr>
      <t>云制造（</t>
    </r>
    <r>
      <rPr>
        <sz val="9"/>
        <color rgb="FF000000"/>
        <rFont val="Arial"/>
        <charset val="134"/>
      </rPr>
      <t>CAM</t>
    </r>
    <r>
      <rPr>
        <sz val="9"/>
        <color rgb="FF000000"/>
        <rFont val="楷体"/>
        <charset val="134"/>
      </rPr>
      <t>）、数控系统（</t>
    </r>
    <r>
      <rPr>
        <sz val="9"/>
        <color rgb="FF000000"/>
        <rFont val="Arial"/>
        <charset val="134"/>
      </rPr>
      <t>CNC</t>
    </r>
    <r>
      <rPr>
        <sz val="9"/>
        <color rgb="FF000000"/>
        <rFont val="楷体"/>
        <charset val="134"/>
      </rPr>
      <t>）三大产品矩阵，开发贯穿家居营销、设计、生产、制造管理、生产装备升级全流程的软件系统，链接行业数字化生态全链路，为大家居产业提供前后端一体化解决方案，推动家居产业及装备制造业数字化升级；推出的</t>
    </r>
    <r>
      <rPr>
        <sz val="9"/>
        <color rgb="FF000000"/>
        <rFont val="Arial"/>
        <charset val="134"/>
      </rPr>
      <t>“</t>
    </r>
    <r>
      <rPr>
        <sz val="9"/>
        <color rgb="FF000000"/>
        <rFont val="楷体"/>
        <charset val="134"/>
      </rPr>
      <t>内容即广告</t>
    </r>
    <r>
      <rPr>
        <sz val="9"/>
        <color rgb="FF000000"/>
        <rFont val="Arial"/>
        <charset val="134"/>
      </rPr>
      <t>”</t>
    </r>
    <r>
      <rPr>
        <sz val="9"/>
        <color rgb="FF000000"/>
        <rFont val="楷体"/>
        <charset val="134"/>
      </rPr>
      <t>数字化营销解决方案和</t>
    </r>
    <r>
      <rPr>
        <sz val="9"/>
        <color rgb="FF000000"/>
        <rFont val="Arial"/>
        <charset val="134"/>
      </rPr>
      <t>“</t>
    </r>
    <r>
      <rPr>
        <sz val="9"/>
        <color rgb="FF000000"/>
        <rFont val="楷体"/>
        <charset val="134"/>
      </rPr>
      <t>模型即交易</t>
    </r>
    <r>
      <rPr>
        <sz val="9"/>
        <color rgb="FF000000"/>
        <rFont val="Arial"/>
        <charset val="134"/>
      </rPr>
      <t>”</t>
    </r>
    <r>
      <rPr>
        <sz val="9"/>
        <color rgb="FF000000"/>
        <rFont val="楷体"/>
        <charset val="134"/>
      </rPr>
      <t>数字化供应链解决方案，将帮助家居产业实现</t>
    </r>
    <r>
      <rPr>
        <sz val="9"/>
        <color rgb="FF000000"/>
        <rFont val="Arial"/>
        <charset val="134"/>
      </rPr>
      <t>C2M</t>
    </r>
    <r>
      <rPr>
        <sz val="9"/>
        <color rgb="FF000000"/>
        <rFont val="楷体"/>
        <charset val="134"/>
      </rPr>
      <t>全链路高效协同的产业互联。</t>
    </r>
  </si>
  <si>
    <t>广东三维家信息科技有限公司</t>
  </si>
  <si>
    <t>http://www.3vjia.com/</t>
  </si>
  <si>
    <r>
      <rPr>
        <sz val="9"/>
        <color rgb="FF000000"/>
        <rFont val="楷体"/>
        <charset val="134"/>
      </rPr>
      <t>国科投资</t>
    </r>
    <r>
      <rPr>
        <sz val="9"/>
        <color rgb="FF000000"/>
        <rFont val="Arial"/>
        <charset val="134"/>
      </rPr>
      <t>,</t>
    </r>
    <r>
      <rPr>
        <sz val="9"/>
        <color rgb="FF000000"/>
        <rFont val="楷体"/>
        <charset val="134"/>
      </rPr>
      <t>汇川科技</t>
    </r>
  </si>
  <si>
    <r>
      <rPr>
        <sz val="9"/>
        <color rgb="FF000000"/>
        <rFont val="Arial"/>
        <charset val="134"/>
      </rPr>
      <t>11.5</t>
    </r>
    <r>
      <rPr>
        <sz val="9"/>
        <color rgb="FF000000"/>
        <rFont val="楷体"/>
        <charset val="134"/>
      </rPr>
      <t>亿</t>
    </r>
  </si>
  <si>
    <r>
      <rPr>
        <sz val="9"/>
        <color rgb="FF000000"/>
        <rFont val="楷体"/>
        <charset val="134"/>
      </rPr>
      <t>蔡志森</t>
    </r>
    <r>
      <rPr>
        <sz val="9"/>
        <color rgb="FF000000"/>
        <rFont val="Arial"/>
        <charset val="134"/>
      </rPr>
      <t>:CEO</t>
    </r>
  </si>
  <si>
    <r>
      <rPr>
        <sz val="9"/>
        <color rgb="FF000000"/>
        <rFont val="楷体"/>
        <charset val="134"/>
      </rPr>
      <t>广东省广州市天河区</t>
    </r>
    <r>
      <rPr>
        <sz val="9"/>
        <color rgb="FF000000"/>
        <rFont val="Arial"/>
        <charset val="134"/>
      </rPr>
      <t xml:space="preserve"> </t>
    </r>
    <r>
      <rPr>
        <sz val="9"/>
        <color rgb="FF000000"/>
        <rFont val="楷体"/>
        <charset val="134"/>
      </rPr>
      <t>软件园管委会软件路</t>
    </r>
    <r>
      <rPr>
        <sz val="9"/>
        <color rgb="FF000000"/>
        <rFont val="Arial"/>
        <charset val="134"/>
      </rPr>
      <t>15</t>
    </r>
    <r>
      <rPr>
        <sz val="9"/>
        <color rgb="FF000000"/>
        <rFont val="楷体"/>
        <charset val="134"/>
      </rPr>
      <t>号</t>
    </r>
    <r>
      <rPr>
        <sz val="9"/>
        <color rgb="FF000000"/>
        <rFont val="Arial"/>
        <charset val="134"/>
      </rPr>
      <t>9</t>
    </r>
    <r>
      <rPr>
        <sz val="9"/>
        <color rgb="FF000000"/>
        <rFont val="楷体"/>
        <charset val="134"/>
      </rPr>
      <t>楼</t>
    </r>
  </si>
  <si>
    <t>400-0006-720</t>
  </si>
  <si>
    <t>ip@3vjia.com</t>
  </si>
  <si>
    <t>红星美凯龙</t>
  </si>
  <si>
    <r>
      <rPr>
        <sz val="9"/>
        <color rgb="FF000000"/>
        <rFont val="楷体"/>
        <charset val="134"/>
      </rPr>
      <t>软银中国资本</t>
    </r>
    <r>
      <rPr>
        <sz val="9"/>
        <color rgb="FF000000"/>
        <rFont val="Arial"/>
        <charset val="134"/>
      </rPr>
      <t>,</t>
    </r>
    <r>
      <rPr>
        <sz val="9"/>
        <color rgb="FF000000"/>
        <rFont val="楷体"/>
        <charset val="134"/>
      </rPr>
      <t>广发信德</t>
    </r>
  </si>
  <si>
    <t>起点资本</t>
  </si>
  <si>
    <t>2021-08-17</t>
  </si>
  <si>
    <t>日日煮</t>
  </si>
  <si>
    <r>
      <rPr>
        <sz val="9"/>
        <color rgb="FF000000"/>
        <rFont val="楷体"/>
        <charset val="134"/>
      </rPr>
      <t>日日煮是一家速食及快速烹饪品牌，主打速食、快速烹饪食品和健康生活方式，公司从创作美食短视频的媒体切入，在</t>
    </r>
    <r>
      <rPr>
        <sz val="9"/>
        <color rgb="FF000000"/>
        <rFont val="Arial"/>
        <charset val="134"/>
      </rPr>
      <t>RTE</t>
    </r>
    <r>
      <rPr>
        <sz val="9"/>
        <color rgb="FF000000"/>
        <rFont val="楷体"/>
        <charset val="134"/>
      </rPr>
      <t>（速食）和</t>
    </r>
    <r>
      <rPr>
        <sz val="9"/>
        <color rgb="FF000000"/>
        <rFont val="Arial"/>
        <charset val="134"/>
      </rPr>
      <t>RTC</t>
    </r>
    <r>
      <rPr>
        <sz val="9"/>
        <color rgb="FF000000"/>
        <rFont val="楷体"/>
        <charset val="134"/>
      </rPr>
      <t>（快速烹饪）两大领域推出多款独家产品，已形成</t>
    </r>
    <r>
      <rPr>
        <sz val="9"/>
        <color rgb="FF000000"/>
        <rFont val="Arial"/>
        <charset val="134"/>
      </rPr>
      <t>“</t>
    </r>
    <r>
      <rPr>
        <sz val="9"/>
        <color rgb="FF000000"/>
        <rFont val="楷体"/>
        <charset val="134"/>
      </rPr>
      <t>方便速食</t>
    </r>
    <r>
      <rPr>
        <sz val="9"/>
        <color rgb="FF000000"/>
        <rFont val="Arial"/>
        <charset val="134"/>
      </rPr>
      <t>+</t>
    </r>
    <r>
      <rPr>
        <sz val="9"/>
        <color rgb="FF000000"/>
        <rFont val="楷体"/>
        <charset val="134"/>
      </rPr>
      <t>快速烹饪</t>
    </r>
    <r>
      <rPr>
        <sz val="9"/>
        <color rgb="FF000000"/>
        <rFont val="Arial"/>
        <charset val="134"/>
      </rPr>
      <t>+</t>
    </r>
    <r>
      <rPr>
        <sz val="9"/>
        <color rgb="FF000000"/>
        <rFont val="楷体"/>
        <charset val="134"/>
      </rPr>
      <t>新潮健康</t>
    </r>
    <r>
      <rPr>
        <sz val="9"/>
        <color rgb="FF000000"/>
        <rFont val="Arial"/>
        <charset val="134"/>
      </rPr>
      <t>”</t>
    </r>
    <r>
      <rPr>
        <sz val="9"/>
        <color rgb="FF000000"/>
        <rFont val="楷体"/>
        <charset val="134"/>
      </rPr>
      <t>三大品类的产品矩阵，消费场景覆盖办公室、旅行、家庭自煮。</t>
    </r>
  </si>
  <si>
    <t>上海嘉龙日日煮信息科技有限公司</t>
  </si>
  <si>
    <t>https://www.daydaycook.com.cn/daydaycook</t>
  </si>
  <si>
    <r>
      <rPr>
        <sz val="9"/>
        <color rgb="FF000000"/>
        <rFont val="楷体"/>
        <charset val="134"/>
      </rPr>
      <t>璞瑞基金</t>
    </r>
    <r>
      <rPr>
        <sz val="9"/>
        <color rgb="FF000000"/>
        <rFont val="Arial"/>
        <charset val="134"/>
      </rPr>
      <t>Proterra Investment</t>
    </r>
  </si>
  <si>
    <r>
      <rPr>
        <sz val="9"/>
        <color rgb="FF000000"/>
        <rFont val="Arial"/>
        <charset val="134"/>
      </rPr>
      <t>8.09</t>
    </r>
    <r>
      <rPr>
        <sz val="9"/>
        <color rgb="FF000000"/>
        <rFont val="楷体"/>
        <charset val="134"/>
      </rPr>
      <t>亿</t>
    </r>
  </si>
  <si>
    <r>
      <rPr>
        <sz val="9"/>
        <color rgb="FF000000"/>
        <rFont val="楷体"/>
        <charset val="134"/>
      </rPr>
      <t>朱嘉盈（</t>
    </r>
    <r>
      <rPr>
        <sz val="9"/>
        <color rgb="FF000000"/>
        <rFont val="Arial"/>
        <charset val="134"/>
      </rPr>
      <t>Norma</t>
    </r>
    <r>
      <rPr>
        <sz val="9"/>
        <color rgb="FF000000"/>
        <rFont val="楷体"/>
        <charset val="134"/>
      </rPr>
      <t>）</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汪小筱</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崔斌</t>
    </r>
    <r>
      <rPr>
        <sz val="9"/>
        <color rgb="FF000000"/>
        <rFont val="Arial"/>
        <charset val="134"/>
      </rPr>
      <t>:</t>
    </r>
    <r>
      <rPr>
        <sz val="9"/>
        <color rgb="FF000000"/>
        <rFont val="楷体"/>
        <charset val="134"/>
      </rPr>
      <t>联合创始人</t>
    </r>
  </si>
  <si>
    <r>
      <rPr>
        <sz val="9"/>
        <color rgb="FF000000"/>
        <rFont val="楷体"/>
        <charset val="134"/>
      </rPr>
      <t>漕溪北路</t>
    </r>
    <r>
      <rPr>
        <sz val="9"/>
        <color rgb="FF000000"/>
        <rFont val="Arial"/>
        <charset val="134"/>
      </rPr>
      <t>45</t>
    </r>
    <r>
      <rPr>
        <sz val="9"/>
        <color rgb="FF000000"/>
        <rFont val="楷体"/>
        <charset val="134"/>
      </rPr>
      <t>号</t>
    </r>
    <r>
      <rPr>
        <sz val="9"/>
        <color rgb="FF000000"/>
        <rFont val="Arial"/>
        <charset val="134"/>
      </rPr>
      <t>3</t>
    </r>
    <r>
      <rPr>
        <sz val="9"/>
        <color rgb="FF000000"/>
        <rFont val="楷体"/>
        <charset val="134"/>
      </rPr>
      <t>楼</t>
    </r>
    <r>
      <rPr>
        <sz val="9"/>
        <color rgb="FF000000"/>
        <rFont val="Arial"/>
        <charset val="134"/>
      </rPr>
      <t>301B</t>
    </r>
    <r>
      <rPr>
        <sz val="9"/>
        <color rgb="FF000000"/>
        <rFont val="楷体"/>
        <charset val="134"/>
      </rPr>
      <t>室</t>
    </r>
  </si>
  <si>
    <t>021-6093-2639</t>
  </si>
  <si>
    <t>mktbd@daydaycook.com</t>
  </si>
  <si>
    <t>恒基地产</t>
  </si>
  <si>
    <r>
      <rPr>
        <sz val="9"/>
        <color rgb="FF000000"/>
        <rFont val="Arial"/>
        <charset val="134"/>
      </rPr>
      <t>Ironfire Capital,Talis Capital,</t>
    </r>
    <r>
      <rPr>
        <sz val="9"/>
        <color rgb="FF000000"/>
        <rFont val="楷体"/>
        <charset val="134"/>
      </rPr>
      <t>尚乘数科</t>
    </r>
  </si>
  <si>
    <r>
      <rPr>
        <sz val="9"/>
        <color rgb="FF000000"/>
        <rFont val="楷体"/>
        <charset val="134"/>
      </rPr>
      <t>阿里巴巴创业者基金</t>
    </r>
    <r>
      <rPr>
        <sz val="9"/>
        <color rgb="FF000000"/>
        <rFont val="Arial"/>
        <charset val="134"/>
      </rPr>
      <t>,K11,</t>
    </r>
    <r>
      <rPr>
        <sz val="9"/>
        <color rgb="FF000000"/>
        <rFont val="楷体"/>
        <charset val="134"/>
      </rPr>
      <t>信智资本</t>
    </r>
  </si>
  <si>
    <r>
      <rPr>
        <sz val="9"/>
        <color rgb="FF000000"/>
        <rFont val="Arial"/>
        <charset val="134"/>
      </rPr>
      <t>500 Startups,</t>
    </r>
    <r>
      <rPr>
        <sz val="9"/>
        <color rgb="FF000000"/>
        <rFont val="楷体"/>
        <charset val="134"/>
      </rPr>
      <t>魔量资本</t>
    </r>
    <r>
      <rPr>
        <sz val="9"/>
        <color rgb="FF000000"/>
        <rFont val="Arial"/>
        <charset val="134"/>
      </rPr>
      <t>MFund,</t>
    </r>
    <r>
      <rPr>
        <sz val="9"/>
        <color rgb="FF000000"/>
        <rFont val="楷体"/>
        <charset val="134"/>
      </rPr>
      <t>合一资本</t>
    </r>
    <r>
      <rPr>
        <sz val="9"/>
        <color rgb="FF000000"/>
        <rFont val="Arial"/>
        <charset val="134"/>
      </rPr>
      <t>,</t>
    </r>
    <r>
      <rPr>
        <sz val="9"/>
        <color rgb="FF000000"/>
        <rFont val="楷体"/>
        <charset val="134"/>
      </rPr>
      <t>信智资本</t>
    </r>
  </si>
  <si>
    <t>信智资本</t>
  </si>
  <si>
    <t>2023-02-07</t>
  </si>
  <si>
    <t>SM娱乐</t>
  </si>
  <si>
    <r>
      <rPr>
        <sz val="9"/>
        <color rgb="FF000000"/>
        <rFont val="Arial"/>
        <charset val="134"/>
      </rPr>
      <t>SM</t>
    </r>
    <r>
      <rPr>
        <sz val="9"/>
        <color rgb="FF000000"/>
        <rFont val="楷体"/>
        <charset val="134"/>
      </rPr>
      <t>娱乐</t>
    </r>
  </si>
  <si>
    <r>
      <rPr>
        <sz val="9"/>
        <color rgb="FF000000"/>
        <rFont val="Arial"/>
        <charset val="134"/>
      </rPr>
      <t>SM</t>
    </r>
    <r>
      <rPr>
        <sz val="9"/>
        <color rgb="FF000000"/>
        <rFont val="楷体"/>
        <charset val="134"/>
      </rPr>
      <t>娱乐</t>
    </r>
    <r>
      <rPr>
        <sz val="9"/>
        <color rgb="FF000000"/>
        <rFont val="Arial"/>
        <charset val="134"/>
      </rPr>
      <t>(S.M.Entertainment)</t>
    </r>
    <r>
      <rPr>
        <sz val="9"/>
        <color rgb="FF000000"/>
        <rFont val="楷体"/>
        <charset val="134"/>
      </rPr>
      <t>是韩国最大的综合娱乐公司，有造梦星工厂之称，旗下代表艺人有</t>
    </r>
    <r>
      <rPr>
        <sz val="9"/>
        <color rgb="FF000000"/>
        <rFont val="Arial"/>
        <charset val="134"/>
      </rPr>
      <t>BoA</t>
    </r>
    <r>
      <rPr>
        <sz val="9"/>
        <color rgb="FF000000"/>
        <rFont val="楷体"/>
        <charset val="134"/>
      </rPr>
      <t>、东方神起、</t>
    </r>
    <r>
      <rPr>
        <sz val="9"/>
        <color rgb="FF000000"/>
        <rFont val="Arial"/>
        <charset val="134"/>
      </rPr>
      <t>Super Junior</t>
    </r>
    <r>
      <rPr>
        <sz val="9"/>
        <color rgb="FF000000"/>
        <rFont val="楷体"/>
        <charset val="134"/>
      </rPr>
      <t>、少女时代、</t>
    </r>
    <r>
      <rPr>
        <sz val="9"/>
        <color rgb="FF000000"/>
        <rFont val="Arial"/>
        <charset val="134"/>
      </rPr>
      <t>SHINee</t>
    </r>
    <r>
      <rPr>
        <sz val="9"/>
        <color rgb="FF000000"/>
        <rFont val="楷体"/>
        <charset val="134"/>
      </rPr>
      <t>、</t>
    </r>
    <r>
      <rPr>
        <sz val="9"/>
        <color rgb="FF000000"/>
        <rFont val="Arial"/>
        <charset val="134"/>
      </rPr>
      <t>f(x)</t>
    </r>
    <r>
      <rPr>
        <sz val="9"/>
        <color rgb="FF000000"/>
        <rFont val="楷体"/>
        <charset val="134"/>
      </rPr>
      <t>、</t>
    </r>
    <r>
      <rPr>
        <sz val="9"/>
        <color rgb="FF000000"/>
        <rFont val="Arial"/>
        <charset val="134"/>
      </rPr>
      <t>EXO</t>
    </r>
    <r>
      <rPr>
        <sz val="9"/>
        <color rgb="FF000000"/>
        <rFont val="楷体"/>
        <charset val="134"/>
      </rPr>
      <t>等。</t>
    </r>
  </si>
  <si>
    <t>http://www.smtown.com/</t>
  </si>
  <si>
    <t>1995-02</t>
  </si>
  <si>
    <r>
      <rPr>
        <sz val="9"/>
        <color rgb="FF000000"/>
        <rFont val="楷体"/>
        <charset val="134"/>
      </rPr>
      <t>亚洲</t>
    </r>
    <r>
      <rPr>
        <sz val="9"/>
        <color rgb="FF000000"/>
        <rFont val="Arial"/>
        <charset val="134"/>
      </rPr>
      <t>-</t>
    </r>
    <r>
      <rPr>
        <sz val="9"/>
        <color rgb="FF000000"/>
        <rFont val="楷体"/>
        <charset val="134"/>
      </rPr>
      <t>韩国</t>
    </r>
  </si>
  <si>
    <r>
      <rPr>
        <sz val="9"/>
        <color rgb="FF000000"/>
        <rFont val="Arial"/>
        <charset val="134"/>
      </rPr>
      <t>11.74</t>
    </r>
    <r>
      <rPr>
        <sz val="9"/>
        <color rgb="FF000000"/>
        <rFont val="楷体"/>
        <charset val="134"/>
      </rPr>
      <t>亿人民币</t>
    </r>
  </si>
  <si>
    <t>Kakao</t>
  </si>
  <si>
    <r>
      <rPr>
        <sz val="9"/>
        <color rgb="FF000000"/>
        <rFont val="Arial"/>
        <charset val="134"/>
      </rPr>
      <t>13.69</t>
    </r>
    <r>
      <rPr>
        <sz val="9"/>
        <color rgb="FF000000"/>
        <rFont val="楷体"/>
        <charset val="134"/>
      </rPr>
      <t>亿</t>
    </r>
  </si>
  <si>
    <r>
      <rPr>
        <sz val="9"/>
        <color rgb="FF000000"/>
        <rFont val="Arial"/>
        <charset val="134"/>
      </rPr>
      <t>129.7238</t>
    </r>
    <r>
      <rPr>
        <sz val="9"/>
        <color rgb="FF000000"/>
        <rFont val="楷体"/>
        <charset val="134"/>
      </rPr>
      <t>亿元</t>
    </r>
  </si>
  <si>
    <t>Lee Soo-man:Founder,Lee Sung-soo:CEO,Tak Young-joon:CMO,Cheol Hyuk Jang:CEO</t>
  </si>
  <si>
    <r>
      <rPr>
        <sz val="9"/>
        <color rgb="FF000000"/>
        <rFont val="Arial"/>
        <charset val="134"/>
      </rPr>
      <t>1.95</t>
    </r>
    <r>
      <rPr>
        <sz val="9"/>
        <color rgb="FF000000"/>
        <rFont val="楷体"/>
        <charset val="134"/>
      </rPr>
      <t>亿人民币</t>
    </r>
  </si>
  <si>
    <t>2016-03-07</t>
  </si>
  <si>
    <t>亚博科技</t>
  </si>
  <si>
    <t>亚博科技是一家体育休闲及体育彩票综合企业，是中国电子竞技的唯一官方运营商，组织电子竞技赛事、建设和维护官网等，港交所上市公司。</t>
  </si>
  <si>
    <t>亚博科技集团有限公司</t>
  </si>
  <si>
    <t>http://www.agtech.com/</t>
  </si>
  <si>
    <r>
      <rPr>
        <sz val="9"/>
        <color rgb="FF000000"/>
        <rFont val="Arial"/>
        <charset val="134"/>
      </rPr>
      <t>23.88</t>
    </r>
    <r>
      <rPr>
        <sz val="9"/>
        <color rgb="FF000000"/>
        <rFont val="楷体"/>
        <charset val="134"/>
      </rPr>
      <t>亿港元</t>
    </r>
  </si>
  <si>
    <r>
      <rPr>
        <sz val="9"/>
        <color rgb="FF000000"/>
        <rFont val="Arial"/>
        <charset val="134"/>
      </rPr>
      <t>19.1</t>
    </r>
    <r>
      <rPr>
        <sz val="9"/>
        <color rgb="FF000000"/>
        <rFont val="楷体"/>
        <charset val="134"/>
      </rPr>
      <t>亿</t>
    </r>
  </si>
  <si>
    <r>
      <rPr>
        <sz val="9"/>
        <color rgb="FF000000"/>
        <rFont val="Arial"/>
        <charset val="134"/>
      </rPr>
      <t>95.52</t>
    </r>
    <r>
      <rPr>
        <sz val="9"/>
        <color rgb="FF000000"/>
        <rFont val="楷体"/>
        <charset val="134"/>
      </rPr>
      <t>亿元</t>
    </r>
  </si>
  <si>
    <t>+86-10-5675 0888</t>
  </si>
  <si>
    <t>info@agtech.com</t>
  </si>
  <si>
    <t>2019-11-08</t>
  </si>
  <si>
    <t>菜鸟网络</t>
  </si>
  <si>
    <r>
      <rPr>
        <sz val="9"/>
        <color rgb="FF000000"/>
        <rFont val="楷体"/>
        <charset val="134"/>
      </rPr>
      <t>菜鸟网络于</t>
    </r>
    <r>
      <rPr>
        <sz val="9"/>
        <color rgb="FF000000"/>
        <rFont val="Arial"/>
        <charset val="134"/>
      </rPr>
      <t>2013</t>
    </r>
    <r>
      <rPr>
        <sz val="9"/>
        <color rgb="FF000000"/>
        <rFont val="楷体"/>
        <charset val="134"/>
      </rPr>
      <t>年由阿里巴巴集团联合四通一达等快递公司牵头成立。是一家互联网科技公司，专注于物流网络平台服务。通过技术创新和高效协同，菜鸟持续推动快递物流业向数字化、智能化升级，为全球消费者提升物流体验，为全球商家提供智慧供应链解决方案，帮助降低全社会物流成本。菜鸟的目标是与物流合作伙伴一道，建设国家智能物流骨干网，开辟新物流赛道，致力于实现中国范围内</t>
    </r>
    <r>
      <rPr>
        <sz val="9"/>
        <color rgb="FF000000"/>
        <rFont val="Arial"/>
        <charset val="134"/>
      </rPr>
      <t>24</t>
    </r>
    <r>
      <rPr>
        <sz val="9"/>
        <color rgb="FF000000"/>
        <rFont val="楷体"/>
        <charset val="134"/>
      </rPr>
      <t>小时送货必达、全球范围内</t>
    </r>
    <r>
      <rPr>
        <sz val="9"/>
        <color rgb="FF000000"/>
        <rFont val="Arial"/>
        <charset val="134"/>
      </rPr>
      <t>72</t>
    </r>
    <r>
      <rPr>
        <sz val="9"/>
        <color rgb="FF000000"/>
        <rFont val="楷体"/>
        <charset val="134"/>
      </rPr>
      <t>小时送货必达。</t>
    </r>
  </si>
  <si>
    <t>菜鸟网络科技有限公司</t>
  </si>
  <si>
    <t>https://www.cainiao.com/</t>
  </si>
  <si>
    <t>2013-05</t>
  </si>
  <si>
    <r>
      <rPr>
        <sz val="9"/>
        <color rgb="FF000000"/>
        <rFont val="Arial"/>
        <charset val="134"/>
      </rPr>
      <t>233</t>
    </r>
    <r>
      <rPr>
        <sz val="9"/>
        <color rgb="FF000000"/>
        <rFont val="楷体"/>
        <charset val="134"/>
      </rPr>
      <t>亿人民币</t>
    </r>
  </si>
  <si>
    <r>
      <rPr>
        <sz val="9"/>
        <color rgb="FF000000"/>
        <rFont val="Arial"/>
        <charset val="134"/>
      </rPr>
      <t>389</t>
    </r>
    <r>
      <rPr>
        <sz val="9"/>
        <color rgb="FF000000"/>
        <rFont val="楷体"/>
        <charset val="134"/>
      </rPr>
      <t>亿</t>
    </r>
  </si>
  <si>
    <r>
      <rPr>
        <sz val="9"/>
        <color rgb="FF000000"/>
        <rFont val="Arial"/>
        <charset val="134"/>
      </rPr>
      <t>1850</t>
    </r>
    <r>
      <rPr>
        <sz val="9"/>
        <color rgb="FF000000"/>
        <rFont val="楷体"/>
        <charset val="134"/>
      </rPr>
      <t>亿元</t>
    </r>
  </si>
  <si>
    <r>
      <rPr>
        <sz val="9"/>
        <color rgb="FF000000"/>
        <rFont val="楷体"/>
        <charset val="134"/>
      </rPr>
      <t>蔡崇信</t>
    </r>
    <r>
      <rPr>
        <sz val="9"/>
        <color rgb="FF000000"/>
        <rFont val="Arial"/>
        <charset val="134"/>
      </rPr>
      <t>:</t>
    </r>
    <r>
      <rPr>
        <sz val="9"/>
        <color rgb="FF000000"/>
        <rFont val="楷体"/>
        <charset val="134"/>
      </rPr>
      <t>董事长</t>
    </r>
  </si>
  <si>
    <r>
      <rPr>
        <sz val="9"/>
        <color rgb="FF000000"/>
        <rFont val="楷体"/>
        <charset val="134"/>
      </rPr>
      <t>杭州市西湖区文一西路</t>
    </r>
    <r>
      <rPr>
        <sz val="9"/>
        <color rgb="FF000000"/>
        <rFont val="Arial"/>
        <charset val="134"/>
      </rPr>
      <t>588</t>
    </r>
    <r>
      <rPr>
        <sz val="9"/>
        <color rgb="FF000000"/>
        <rFont val="楷体"/>
        <charset val="134"/>
      </rPr>
      <t>号中节能</t>
    </r>
    <r>
      <rPr>
        <sz val="9"/>
        <color rgb="FF000000"/>
        <rFont val="Arial"/>
        <charset val="134"/>
      </rPr>
      <t>·</t>
    </r>
    <r>
      <rPr>
        <sz val="9"/>
        <color rgb="FF000000"/>
        <rFont val="楷体"/>
        <charset val="134"/>
      </rPr>
      <t>西溪首座</t>
    </r>
    <r>
      <rPr>
        <sz val="9"/>
        <color rgb="FF000000"/>
        <rFont val="Arial"/>
        <charset val="134"/>
      </rPr>
      <t>B1</t>
    </r>
    <r>
      <rPr>
        <sz val="9"/>
        <color rgb="FF000000"/>
        <rFont val="楷体"/>
        <charset val="134"/>
      </rPr>
      <t>楼</t>
    </r>
  </si>
  <si>
    <t>400-900-5656</t>
  </si>
  <si>
    <r>
      <rPr>
        <sz val="9"/>
        <color rgb="FF000000"/>
        <rFont val="Arial"/>
        <charset val="134"/>
      </rPr>
      <t>53</t>
    </r>
    <r>
      <rPr>
        <sz val="9"/>
        <color rgb="FF000000"/>
        <rFont val="楷体"/>
        <charset val="134"/>
      </rPr>
      <t>亿人民币</t>
    </r>
  </si>
  <si>
    <r>
      <rPr>
        <sz val="9"/>
        <color rgb="FF000000"/>
        <rFont val="楷体"/>
        <charset val="134"/>
      </rPr>
      <t>淡马锡</t>
    </r>
    <r>
      <rPr>
        <sz val="9"/>
        <color rgb="FF000000"/>
        <rFont val="Arial"/>
        <charset val="134"/>
      </rPr>
      <t>Temasek,GIC</t>
    </r>
    <r>
      <rPr>
        <sz val="9"/>
        <color rgb="FF000000"/>
        <rFont val="楷体"/>
        <charset val="134"/>
      </rPr>
      <t>新加坡政府投资公司</t>
    </r>
    <r>
      <rPr>
        <sz val="9"/>
        <color rgb="FF000000"/>
        <rFont val="Arial"/>
        <charset val="134"/>
      </rPr>
      <t>,</t>
    </r>
    <r>
      <rPr>
        <sz val="9"/>
        <color rgb="FF000000"/>
        <rFont val="楷体"/>
        <charset val="134"/>
      </rPr>
      <t>春华资本</t>
    </r>
    <r>
      <rPr>
        <sz val="9"/>
        <color rgb="FF000000"/>
        <rFont val="Arial"/>
        <charset val="134"/>
      </rPr>
      <t>Primavera,Khazanah Nasional Berhad,</t>
    </r>
    <r>
      <rPr>
        <sz val="9"/>
        <color rgb="FF000000"/>
        <rFont val="楷体"/>
        <charset val="134"/>
      </rPr>
      <t>碧桂园创投</t>
    </r>
    <r>
      <rPr>
        <sz val="9"/>
        <color rgb="FF000000"/>
        <rFont val="Arial"/>
        <charset val="134"/>
      </rPr>
      <t>,</t>
    </r>
    <r>
      <rPr>
        <sz val="9"/>
        <color rgb="FF000000"/>
        <rFont val="楷体"/>
        <charset val="134"/>
      </rPr>
      <t>图灵资管</t>
    </r>
  </si>
  <si>
    <t>2018-04-03</t>
  </si>
  <si>
    <t>橙狮体育-阿里体育</t>
  </si>
  <si>
    <r>
      <rPr>
        <sz val="9"/>
        <color rgb="FF000000"/>
        <rFont val="楷体"/>
        <charset val="134"/>
      </rPr>
      <t>橙狮体育</t>
    </r>
    <r>
      <rPr>
        <sz val="9"/>
        <color rgb="FF000000"/>
        <rFont val="Arial"/>
        <charset val="134"/>
      </rPr>
      <t>-</t>
    </r>
    <r>
      <rPr>
        <sz val="9"/>
        <color rgb="FF000000"/>
        <rFont val="楷体"/>
        <charset val="134"/>
      </rPr>
      <t>阿里体育</t>
    </r>
  </si>
  <si>
    <r>
      <rPr>
        <sz val="9"/>
        <color rgb="FF000000"/>
        <rFont val="楷体"/>
        <charset val="134"/>
      </rPr>
      <t>橙狮体育</t>
    </r>
    <r>
      <rPr>
        <sz val="9"/>
        <color rgb="FF000000"/>
        <rFont val="Arial"/>
        <charset val="134"/>
      </rPr>
      <t>(</t>
    </r>
    <r>
      <rPr>
        <sz val="9"/>
        <color rgb="FF000000"/>
        <rFont val="楷体"/>
        <charset val="134"/>
      </rPr>
      <t>前身：阿里体育</t>
    </r>
    <r>
      <rPr>
        <sz val="9"/>
        <color rgb="FF000000"/>
        <rFont val="Arial"/>
        <charset val="134"/>
      </rPr>
      <t>)</t>
    </r>
    <r>
      <rPr>
        <sz val="9"/>
        <color rgb="FF000000"/>
        <rFont val="楷体"/>
        <charset val="134"/>
      </rPr>
      <t>是一家旨在以数字经济思维创新发展体育产业链的公司，业务包括：全民健身馆经营管理与数字化；群众参与型赛事</t>
    </r>
    <r>
      <rPr>
        <sz val="9"/>
        <color rgb="FF000000"/>
        <rFont val="Arial"/>
        <charset val="134"/>
      </rPr>
      <t>IP</t>
    </r>
    <r>
      <rPr>
        <sz val="9"/>
        <color rgb="FF000000"/>
        <rFont val="楷体"/>
        <charset val="134"/>
      </rPr>
      <t>孵化与数字化；日常锻炼行为的数字化。</t>
    </r>
  </si>
  <si>
    <t>橙狮体育（上海）有限公司</t>
  </si>
  <si>
    <t>http://www.alisports.com/cn/</t>
  </si>
  <si>
    <t>2015-09</t>
  </si>
  <si>
    <r>
      <rPr>
        <sz val="9"/>
        <color rgb="FF000000"/>
        <rFont val="楷体"/>
        <charset val="134"/>
      </rPr>
      <t>云锋基金</t>
    </r>
    <r>
      <rPr>
        <sz val="9"/>
        <color rgb="FF000000"/>
        <rFont val="Arial"/>
        <charset val="134"/>
      </rPr>
      <t>,</t>
    </r>
    <r>
      <rPr>
        <sz val="9"/>
        <color rgb="FF000000"/>
        <rFont val="楷体"/>
        <charset val="134"/>
      </rPr>
      <t>太平洋保险</t>
    </r>
    <r>
      <rPr>
        <sz val="9"/>
        <color rgb="FF000000"/>
        <rFont val="Arial"/>
        <charset val="134"/>
      </rPr>
      <t>,</t>
    </r>
    <r>
      <rPr>
        <sz val="9"/>
        <color rgb="FF000000"/>
        <rFont val="楷体"/>
        <charset val="134"/>
      </rPr>
      <t>东方世旗</t>
    </r>
  </si>
  <si>
    <r>
      <rPr>
        <sz val="9"/>
        <color rgb="FF000000"/>
        <rFont val="楷体"/>
        <charset val="134"/>
      </rPr>
      <t>张大钟</t>
    </r>
    <r>
      <rPr>
        <sz val="9"/>
        <color rgb="FF000000"/>
        <rFont val="Arial"/>
        <charset val="134"/>
      </rPr>
      <t>:CEO,</t>
    </r>
    <r>
      <rPr>
        <sz val="9"/>
        <color rgb="FF000000"/>
        <rFont val="楷体"/>
        <charset val="134"/>
      </rPr>
      <t>穆旸</t>
    </r>
    <r>
      <rPr>
        <sz val="9"/>
        <color rgb="FF000000"/>
        <rFont val="Arial"/>
        <charset val="134"/>
      </rPr>
      <t>:CEO</t>
    </r>
  </si>
  <si>
    <r>
      <rPr>
        <sz val="9"/>
        <color rgb="FF000000"/>
        <rFont val="楷体"/>
        <charset val="134"/>
      </rPr>
      <t>上海市杨浦区隆昌路</t>
    </r>
    <r>
      <rPr>
        <sz val="9"/>
        <color rgb="FF000000"/>
        <rFont val="Arial"/>
        <charset val="134"/>
      </rPr>
      <t>640</t>
    </r>
    <r>
      <rPr>
        <sz val="9"/>
        <color rgb="FF000000"/>
        <rFont val="楷体"/>
        <charset val="134"/>
      </rPr>
      <t>号</t>
    </r>
  </si>
  <si>
    <t>marketing@alisports.com</t>
  </si>
  <si>
    <r>
      <rPr>
        <sz val="9"/>
        <color rgb="FF000000"/>
        <rFont val="楷体"/>
        <charset val="134"/>
      </rPr>
      <t>阿里巴巴</t>
    </r>
    <r>
      <rPr>
        <sz val="9"/>
        <color rgb="FF000000"/>
        <rFont val="Arial"/>
        <charset val="134"/>
      </rPr>
      <t>,</t>
    </r>
    <r>
      <rPr>
        <sz val="9"/>
        <color rgb="FF000000"/>
        <rFont val="楷体"/>
        <charset val="134"/>
      </rPr>
      <t>新浪微博基金</t>
    </r>
    <r>
      <rPr>
        <sz val="9"/>
        <color rgb="FF000000"/>
        <rFont val="Arial"/>
        <charset val="134"/>
      </rPr>
      <t>,</t>
    </r>
    <r>
      <rPr>
        <sz val="9"/>
        <color rgb="FF000000"/>
        <rFont val="楷体"/>
        <charset val="134"/>
      </rPr>
      <t>云锋基金</t>
    </r>
  </si>
  <si>
    <t>2021-09-26</t>
  </si>
  <si>
    <r>
      <t>Ninja Van</t>
    </r>
    <r>
      <rPr>
        <sz val="9"/>
        <color rgb="FF000000"/>
        <rFont val="楷体"/>
        <charset val="134"/>
      </rPr>
      <t>创建于新加坡，目标是将公司打造成东南亚地区所有电商的核心物流合作伙伴。</t>
    </r>
  </si>
  <si>
    <t>https://www.ninjavan.sg/</t>
  </si>
  <si>
    <r>
      <rPr>
        <sz val="9"/>
        <color rgb="FF000000"/>
        <rFont val="楷体"/>
        <charset val="134"/>
      </rPr>
      <t>物流</t>
    </r>
  </si>
  <si>
    <r>
      <rPr>
        <sz val="9"/>
        <color rgb="FF000000"/>
        <rFont val="楷体"/>
        <charset val="134"/>
      </rPr>
      <t>综合物流</t>
    </r>
  </si>
  <si>
    <r>
      <t>E</t>
    </r>
    <r>
      <rPr>
        <sz val="9"/>
        <color rgb="FF000000"/>
        <rFont val="楷体"/>
        <charset val="134"/>
      </rPr>
      <t>轮</t>
    </r>
  </si>
  <si>
    <r>
      <t>5.78</t>
    </r>
    <r>
      <rPr>
        <sz val="9"/>
        <color rgb="FF000000"/>
        <rFont val="楷体"/>
        <charset val="134"/>
      </rPr>
      <t>亿美元</t>
    </r>
  </si>
  <si>
    <r>
      <rPr>
        <sz val="9"/>
        <color rgb="FF000000"/>
        <rFont val="楷体"/>
        <charset val="134"/>
      </rPr>
      <t>阿里巴巴</t>
    </r>
    <r>
      <rPr>
        <sz val="9"/>
        <color rgb="FF000000"/>
        <rFont val="Arial"/>
        <charset val="134"/>
      </rPr>
      <t>,B Capital Group,Monk’s Hill Ventures,Geo Post</t>
    </r>
  </si>
  <si>
    <r>
      <t>58.82</t>
    </r>
    <r>
      <rPr>
        <sz val="9"/>
        <color rgb="FF000000"/>
        <rFont val="楷体"/>
        <charset val="134"/>
      </rPr>
      <t>亿</t>
    </r>
  </si>
  <si>
    <r>
      <t>97.5</t>
    </r>
    <r>
      <rPr>
        <sz val="9"/>
        <color rgb="FF000000"/>
        <rFont val="楷体"/>
        <charset val="134"/>
      </rPr>
      <t>亿元</t>
    </r>
  </si>
  <si>
    <t>Andy Hidayat:Commissioner,Boxian Tan:COO,Chang Wen Lai:CEO,Greg Ho:Regional Sales Manager,Martin Cu:Country Head, Philippines,Shaun Chong:Chief Technology Officer</t>
  </si>
  <si>
    <r>
      <rPr>
        <sz val="9"/>
        <color rgb="FF000000"/>
        <rFont val="Arial"/>
        <charset val="134"/>
      </rPr>
      <t>2.79</t>
    </r>
    <r>
      <rPr>
        <sz val="9"/>
        <color rgb="FF000000"/>
        <rFont val="楷体"/>
        <charset val="134"/>
      </rPr>
      <t>亿美元</t>
    </r>
  </si>
  <si>
    <t>Golden Gate Ventures,B Capital Group,Monk’s Hill Ventures,Grab,Grab,Intouch,Carmenta Capital Management,Geopost,Monk‘s Hill</t>
  </si>
  <si>
    <t>Grab</t>
  </si>
  <si>
    <t>Abraaj Group,B Capital Group,Monk’s Hill Ventures,YJ Capital</t>
  </si>
  <si>
    <t>2016-05-05</t>
  </si>
  <si>
    <t>YEECHOO</t>
  </si>
  <si>
    <r>
      <rPr>
        <sz val="9"/>
        <color rgb="FF000000"/>
        <rFont val="Arial"/>
        <charset val="134"/>
      </rPr>
      <t>YEECHOO</t>
    </r>
    <r>
      <rPr>
        <sz val="9"/>
        <color rgb="FF000000"/>
        <rFont val="楷体"/>
        <charset val="134"/>
      </rPr>
      <t>是一个成立于香港的设计品牌服饰租赁及共享电商平台。顾客仅需支付零售价的少部分就可穿上各种高档设计品牌服饰。</t>
    </r>
  </si>
  <si>
    <t>https://www.yeechoo.com/</t>
  </si>
  <si>
    <r>
      <rPr>
        <sz val="9"/>
        <color rgb="FF000000"/>
        <rFont val="楷体"/>
        <charset val="134"/>
      </rPr>
      <t>阿里巴巴</t>
    </r>
    <r>
      <rPr>
        <sz val="9"/>
        <color rgb="FF000000"/>
        <rFont val="Arial"/>
        <charset val="134"/>
      </rPr>
      <t>,</t>
    </r>
    <r>
      <rPr>
        <sz val="9"/>
        <color rgb="FF000000"/>
        <rFont val="楷体"/>
        <charset val="134"/>
      </rPr>
      <t>阿里巴巴创业者基金</t>
    </r>
  </si>
  <si>
    <r>
      <rPr>
        <sz val="9"/>
        <color rgb="FF000000"/>
        <rFont val="Arial"/>
        <charset val="134"/>
      </rPr>
      <t>1950</t>
    </r>
    <r>
      <rPr>
        <sz val="9"/>
        <color rgb="FF000000"/>
        <rFont val="楷体"/>
        <charset val="134"/>
      </rPr>
      <t>万</t>
    </r>
  </si>
  <si>
    <r>
      <rPr>
        <sz val="9"/>
        <color rgb="FF000000"/>
        <rFont val="Arial"/>
        <charset val="134"/>
      </rPr>
      <t>6500</t>
    </r>
    <r>
      <rPr>
        <sz val="9"/>
        <color rgb="FF000000"/>
        <rFont val="楷体"/>
        <charset val="134"/>
      </rPr>
      <t>万元</t>
    </r>
  </si>
  <si>
    <r>
      <rPr>
        <sz val="9"/>
        <color rgb="FF000000"/>
        <rFont val="楷体"/>
        <charset val="134"/>
      </rPr>
      <t>香港市中西区中环威灵顿街</t>
    </r>
    <r>
      <rPr>
        <sz val="9"/>
        <color rgb="FF000000"/>
        <rFont val="Arial"/>
        <charset val="134"/>
      </rPr>
      <t xml:space="preserve"> 128</t>
    </r>
    <r>
      <rPr>
        <sz val="9"/>
        <color rgb="FF000000"/>
        <rFont val="楷体"/>
        <charset val="134"/>
      </rPr>
      <t>号</t>
    </r>
    <r>
      <rPr>
        <sz val="9"/>
        <color rgb="FF000000"/>
        <rFont val="Arial"/>
        <charset val="134"/>
      </rPr>
      <t>1</t>
    </r>
    <r>
      <rPr>
        <sz val="9"/>
        <color rgb="FF000000"/>
        <rFont val="楷体"/>
        <charset val="134"/>
      </rPr>
      <t>楼</t>
    </r>
  </si>
  <si>
    <t>852-2336-9090</t>
  </si>
  <si>
    <t>customerservice@yeechoo.com</t>
  </si>
  <si>
    <t>2020-08-05</t>
  </si>
  <si>
    <t>Shopline</t>
  </si>
  <si>
    <r>
      <rPr>
        <sz val="9"/>
        <color rgb="FF000000"/>
        <rFont val="Arial"/>
        <charset val="134"/>
      </rPr>
      <t>Shopline</t>
    </r>
    <r>
      <rPr>
        <sz val="9"/>
        <color rgb="FF000000"/>
        <rFont val="楷体"/>
        <charset val="134"/>
      </rPr>
      <t>是一个专为亚洲商家而设的</t>
    </r>
    <r>
      <rPr>
        <sz val="9"/>
        <color rgb="FF000000"/>
        <rFont val="Arial"/>
        <charset val="134"/>
      </rPr>
      <t>DIY</t>
    </r>
    <r>
      <rPr>
        <sz val="9"/>
        <color rgb="FF000000"/>
        <rFont val="楷体"/>
        <charset val="134"/>
      </rPr>
      <t>网店平台，提供功能齐全的品牌开店配套。店主不仅可在短时间内获得对应所有流动装置的独立网店，更可以同时拥有专业的订单管理系统、多元化的物流及支付网关、风格多样的店铺设计、在线实时客户服务与数据使用分析等后台管理工具。</t>
    </r>
  </si>
  <si>
    <r>
      <rPr>
        <sz val="9"/>
        <color rgb="FF000000"/>
        <rFont val="楷体"/>
        <charset val="134"/>
      </rPr>
      <t>香港</t>
    </r>
    <r>
      <rPr>
        <sz val="9"/>
        <color rgb="FF000000"/>
        <rFont val="Arial"/>
        <charset val="134"/>
      </rPr>
      <t>Shopline</t>
    </r>
    <r>
      <rPr>
        <sz val="9"/>
        <color rgb="FF000000"/>
        <rFont val="楷体"/>
        <charset val="134"/>
      </rPr>
      <t>有限公司</t>
    </r>
  </si>
  <si>
    <t>https://shoplineapp.com</t>
  </si>
  <si>
    <r>
      <rPr>
        <sz val="9"/>
        <color rgb="FF000000"/>
        <rFont val="Arial"/>
        <charset val="134"/>
      </rPr>
      <t>YY</t>
    </r>
    <r>
      <rPr>
        <sz val="9"/>
        <color rgb="FF000000"/>
        <rFont val="楷体"/>
        <charset val="134"/>
      </rPr>
      <t>欢聚集团</t>
    </r>
    <r>
      <rPr>
        <sz val="9"/>
        <color rgb="FF000000"/>
        <rFont val="Arial"/>
        <charset val="134"/>
      </rPr>
      <t>,</t>
    </r>
    <r>
      <rPr>
        <sz val="9"/>
        <color rgb="FF000000"/>
        <rFont val="楷体"/>
        <charset val="134"/>
      </rPr>
      <t>亦联资本</t>
    </r>
  </si>
  <si>
    <r>
      <rPr>
        <sz val="9"/>
        <color rgb="FF000000"/>
        <rFont val="楷体"/>
        <charset val="134"/>
      </rPr>
      <t>黄浩昌</t>
    </r>
    <r>
      <rPr>
        <sz val="9"/>
        <color rgb="FF000000"/>
        <rFont val="Arial"/>
        <charset val="134"/>
      </rPr>
      <t>:CEO,</t>
    </r>
    <r>
      <rPr>
        <sz val="9"/>
        <color rgb="FF000000"/>
        <rFont val="楷体"/>
        <charset val="134"/>
      </rPr>
      <t>刘煦怡</t>
    </r>
    <r>
      <rPr>
        <sz val="9"/>
        <color rgb="FF000000"/>
        <rFont val="Arial"/>
        <charset val="134"/>
      </rPr>
      <t>:COO</t>
    </r>
  </si>
  <si>
    <t>support@shoplineapp.com</t>
  </si>
  <si>
    <t>2016-05-30</t>
  </si>
  <si>
    <t>娱亚互动</t>
  </si>
  <si>
    <r>
      <rPr>
        <sz val="9"/>
        <color rgb="FF000000"/>
        <rFont val="楷体"/>
        <charset val="134"/>
      </rPr>
      <t>娱亚互动是一个互联网视频自媒体原生广告网络和内容分发市场，为优酷、爱奇艺、搜狐视频、腾讯视频、</t>
    </r>
    <r>
      <rPr>
        <sz val="9"/>
        <color rgb="FF000000"/>
        <rFont val="Arial"/>
        <charset val="134"/>
      </rPr>
      <t>Bilibili</t>
    </r>
    <r>
      <rPr>
        <sz val="9"/>
        <color rgb="FF000000"/>
        <rFont val="楷体"/>
        <charset val="134"/>
      </rPr>
      <t>等国内各大视频网站提供国内外优质视频自媒体内容支持。</t>
    </r>
  </si>
  <si>
    <t>高维迪商务咨询（上海）有限公司</t>
  </si>
  <si>
    <t>http://www.yooya.com</t>
  </si>
  <si>
    <r>
      <rPr>
        <sz val="9"/>
        <color rgb="FF000000"/>
        <rFont val="Arial"/>
        <charset val="134"/>
      </rPr>
      <t>5730</t>
    </r>
    <r>
      <rPr>
        <sz val="9"/>
        <color rgb="FF000000"/>
        <rFont val="楷体"/>
        <charset val="134"/>
      </rPr>
      <t>万</t>
    </r>
  </si>
  <si>
    <r>
      <rPr>
        <sz val="9"/>
        <color rgb="FF000000"/>
        <rFont val="楷体"/>
        <charset val="134"/>
      </rPr>
      <t>上海市黄浦区黄陂南路</t>
    </r>
    <r>
      <rPr>
        <sz val="9"/>
        <color rgb="FF000000"/>
        <rFont val="Arial"/>
        <charset val="134"/>
      </rPr>
      <t>700</t>
    </r>
    <r>
      <rPr>
        <sz val="9"/>
        <color rgb="FF000000"/>
        <rFont val="楷体"/>
        <charset val="134"/>
      </rPr>
      <t>号</t>
    </r>
    <r>
      <rPr>
        <sz val="9"/>
        <color rgb="FF000000"/>
        <rFont val="Arial"/>
        <charset val="134"/>
      </rPr>
      <t>C</t>
    </r>
    <r>
      <rPr>
        <sz val="9"/>
        <color rgb="FF000000"/>
        <rFont val="楷体"/>
        <charset val="134"/>
      </rPr>
      <t>座</t>
    </r>
    <r>
      <rPr>
        <sz val="9"/>
        <color rgb="FF000000"/>
        <rFont val="Arial"/>
        <charset val="134"/>
      </rPr>
      <t>507</t>
    </r>
  </si>
  <si>
    <t>021-6385-8880</t>
  </si>
  <si>
    <t>info@yooya.co</t>
  </si>
  <si>
    <t>Dream Incubator</t>
  </si>
  <si>
    <r>
      <rPr>
        <sz val="9"/>
        <color rgb="FF000000"/>
        <rFont val="Arial"/>
        <charset val="134"/>
      </rPr>
      <t>120</t>
    </r>
    <r>
      <rPr>
        <sz val="9"/>
        <color rgb="FF000000"/>
        <rFont val="楷体"/>
        <charset val="134"/>
      </rPr>
      <t>万美元</t>
    </r>
  </si>
  <si>
    <t>2017-05-11</t>
  </si>
  <si>
    <t>Twiggle</t>
  </si>
  <si>
    <r>
      <rPr>
        <sz val="9"/>
        <color rgb="FF000000"/>
        <rFont val="Arial"/>
        <charset val="134"/>
      </rPr>
      <t>Twiggle</t>
    </r>
    <r>
      <rPr>
        <sz val="9"/>
        <color rgb="FF000000"/>
        <rFont val="楷体"/>
        <charset val="134"/>
      </rPr>
      <t>是一家开发电子商务搜索引擎的初创公司，致力于开发一种比目前的搜索方案更精确搜索结果的电子商务搜索引擎，让用户即使是输入一些非常口语对话式语言也能获得非常精确的搜索结果。</t>
    </r>
  </si>
  <si>
    <t>http://www.twiggle.com</t>
  </si>
  <si>
    <t>Prosus Ventures-Naspers,MizMaa Ventures</t>
  </si>
  <si>
    <r>
      <rPr>
        <sz val="9"/>
        <color rgb="FF000000"/>
        <rFont val="Arial"/>
        <charset val="134"/>
      </rPr>
      <t>1.32</t>
    </r>
    <r>
      <rPr>
        <sz val="9"/>
        <color rgb="FF000000"/>
        <rFont val="楷体"/>
        <charset val="134"/>
      </rPr>
      <t>亿</t>
    </r>
  </si>
  <si>
    <t>Amir Amir Konigsberg:CEO,Adi Avidor:CTO,Adi Avidor:Co-Founder &amp; Chief Technology Officer,Iddo Lev:Head of NLP; Algorithms Engineer,Issar Krausz:Vice-President of Sales and Business Development,Yael Sapir-Zehavi:Vice-President of Human Resources</t>
  </si>
  <si>
    <t>39 Montefiore Street, 3rd Floor Tel Aviv, Israel 6520109</t>
  </si>
  <si>
    <t>972-3506-9255</t>
  </si>
  <si>
    <t>info@twiggle.com</t>
  </si>
  <si>
    <r>
      <rPr>
        <sz val="9"/>
        <color rgb="FF000000"/>
        <rFont val="Arial"/>
        <charset val="134"/>
      </rPr>
      <t>530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</si>
  <si>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雅虎</t>
    </r>
    <r>
      <rPr>
        <sz val="9"/>
        <color rgb="FF000000"/>
        <rFont val="Arial"/>
        <charset val="134"/>
      </rPr>
      <t>,Prosus Ventures-Naspers</t>
    </r>
  </si>
  <si>
    <t>2016-03-06</t>
  </si>
  <si>
    <t>盒马鲜生</t>
  </si>
  <si>
    <r>
      <rPr>
        <sz val="9"/>
        <color rgb="FF000000"/>
        <rFont val="楷体"/>
        <charset val="134"/>
      </rPr>
      <t>盒马鲜生是一个生鲜配送服务平台，致力于为用户提供当日采摘包装的生鲜食材，用户通过手机</t>
    </r>
    <r>
      <rPr>
        <sz val="9"/>
        <color rgb="FF000000"/>
        <rFont val="Arial"/>
        <charset val="134"/>
      </rPr>
      <t>APP</t>
    </r>
    <r>
      <rPr>
        <sz val="9"/>
        <color rgb="FF000000"/>
        <rFont val="楷体"/>
        <charset val="134"/>
      </rPr>
      <t>下的订单，门店附近</t>
    </r>
    <r>
      <rPr>
        <sz val="9"/>
        <color rgb="FF000000"/>
        <rFont val="Arial"/>
        <charset val="134"/>
      </rPr>
      <t>5</t>
    </r>
    <r>
      <rPr>
        <sz val="9"/>
        <color rgb="FF000000"/>
        <rFont val="楷体"/>
        <charset val="134"/>
      </rPr>
      <t>公里范围内支持配送、门店自提，同时线下门店采用超市和餐饮相结合的模式，提供海鲜吧、茶饮区等服务。</t>
    </r>
  </si>
  <si>
    <t>上海盒马网络科技有限公司</t>
  </si>
  <si>
    <t>https://www.freshhema.com/</t>
  </si>
  <si>
    <t>2016-01</t>
  </si>
  <si>
    <r>
      <rPr>
        <sz val="9"/>
        <color rgb="FF000000"/>
        <rFont val="Arial"/>
        <charset val="134"/>
      </rPr>
      <t>9.75</t>
    </r>
    <r>
      <rPr>
        <sz val="9"/>
        <color rgb="FF000000"/>
        <rFont val="楷体"/>
        <charset val="134"/>
      </rPr>
      <t>亿</t>
    </r>
  </si>
  <si>
    <r>
      <rPr>
        <sz val="9"/>
        <color rgb="FF000000"/>
        <rFont val="Arial"/>
        <charset val="134"/>
      </rPr>
      <t>48.75</t>
    </r>
    <r>
      <rPr>
        <sz val="9"/>
        <color rgb="FF000000"/>
        <rFont val="楷体"/>
        <charset val="134"/>
      </rPr>
      <t>亿元</t>
    </r>
  </si>
  <si>
    <r>
      <rPr>
        <sz val="9"/>
        <color rgb="FF000000"/>
        <rFont val="楷体"/>
        <charset val="134"/>
      </rPr>
      <t>侯毅</t>
    </r>
    <r>
      <rPr>
        <sz val="9"/>
        <color rgb="FF000000"/>
        <rFont val="Arial"/>
        <charset val="134"/>
      </rPr>
      <t>:CEO</t>
    </r>
  </si>
  <si>
    <t>400-828-8477</t>
  </si>
  <si>
    <t>mkt@freshhema.com</t>
  </si>
  <si>
    <t>2017-08-16</t>
  </si>
  <si>
    <t>中国联通</t>
  </si>
  <si>
    <r>
      <rPr>
        <sz val="9"/>
        <color rgb="FF000000"/>
        <rFont val="楷体"/>
        <charset val="134"/>
      </rPr>
      <t>中国联通是一家主要经营</t>
    </r>
    <r>
      <rPr>
        <sz val="9"/>
        <color rgb="FF000000"/>
        <rFont val="Arial"/>
        <charset val="134"/>
      </rPr>
      <t>GSM</t>
    </r>
    <r>
      <rPr>
        <sz val="9"/>
        <color rgb="FF000000"/>
        <rFont val="楷体"/>
        <charset val="134"/>
      </rPr>
      <t>、</t>
    </r>
    <r>
      <rPr>
        <sz val="9"/>
        <color rgb="FF000000"/>
        <rFont val="Arial"/>
        <charset val="134"/>
      </rPr>
      <t>WCDMA</t>
    </r>
    <r>
      <rPr>
        <sz val="9"/>
        <color rgb="FF000000"/>
        <rFont val="楷体"/>
        <charset val="134"/>
      </rPr>
      <t>和</t>
    </r>
    <r>
      <rPr>
        <sz val="9"/>
        <color rgb="FF000000"/>
        <rFont val="Arial"/>
        <charset val="134"/>
      </rPr>
      <t>FDD-LTE</t>
    </r>
    <r>
      <rPr>
        <sz val="9"/>
        <color rgb="FF000000"/>
        <rFont val="楷体"/>
        <charset val="134"/>
      </rPr>
      <t>制式移动网络业务，固定通信业务，国内、国际通信设施服务业务的公司，致力于为广大用户提供全方位、高品质信息通信服务。</t>
    </r>
  </si>
  <si>
    <t>中国联合网络通信股份有限公司</t>
  </si>
  <si>
    <t>http://www.10010.cn</t>
  </si>
  <si>
    <r>
      <rPr>
        <sz val="9"/>
        <color rgb="FF000000"/>
        <rFont val="Arial"/>
        <charset val="134"/>
      </rPr>
      <t>780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</si>
  <si>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兴全基金</t>
    </r>
    <r>
      <rPr>
        <sz val="9"/>
        <color rgb="FF000000"/>
        <rFont val="Arial"/>
        <charset val="134"/>
      </rPr>
      <t>,</t>
    </r>
    <r>
      <rPr>
        <sz val="9"/>
        <color rgb="FF000000"/>
        <rFont val="楷体"/>
        <charset val="134"/>
      </rPr>
      <t>光启互联技术</t>
    </r>
    <r>
      <rPr>
        <sz val="9"/>
        <color rgb="FF000000"/>
        <rFont val="Arial"/>
        <charset val="134"/>
      </rPr>
      <t>,</t>
    </r>
    <r>
      <rPr>
        <sz val="9"/>
        <color rgb="FF000000"/>
        <rFont val="楷体"/>
        <charset val="134"/>
      </rPr>
      <t>淮海方舟信息基金</t>
    </r>
  </si>
  <si>
    <r>
      <rPr>
        <sz val="9"/>
        <color rgb="FF000000"/>
        <rFont val="Arial"/>
        <charset val="134"/>
      </rPr>
      <t>781</t>
    </r>
    <r>
      <rPr>
        <sz val="9"/>
        <color rgb="FF000000"/>
        <rFont val="楷体"/>
        <charset val="134"/>
      </rPr>
      <t>亿</t>
    </r>
  </si>
  <si>
    <r>
      <rPr>
        <sz val="9"/>
        <color rgb="FF000000"/>
        <rFont val="Arial"/>
        <charset val="134"/>
      </rPr>
      <t>2120</t>
    </r>
    <r>
      <rPr>
        <sz val="9"/>
        <color rgb="FF000000"/>
        <rFont val="楷体"/>
        <charset val="134"/>
      </rPr>
      <t>亿元</t>
    </r>
  </si>
  <si>
    <r>
      <rPr>
        <sz val="9"/>
        <color rgb="FF000000"/>
        <rFont val="楷体"/>
        <charset val="134"/>
      </rPr>
      <t>刘烈宏</t>
    </r>
    <r>
      <rPr>
        <sz val="9"/>
        <color rgb="FF000000"/>
        <rFont val="Arial"/>
        <charset val="134"/>
      </rPr>
      <t>:</t>
    </r>
    <r>
      <rPr>
        <sz val="9"/>
        <color rgb="FF000000"/>
        <rFont val="楷体"/>
        <charset val="134"/>
      </rPr>
      <t>董事长</t>
    </r>
  </si>
  <si>
    <r>
      <rPr>
        <sz val="9"/>
        <color rgb="FF000000"/>
        <rFont val="楷体"/>
        <charset val="134"/>
      </rPr>
      <t>北京市西城区金融大街</t>
    </r>
    <r>
      <rPr>
        <sz val="9"/>
        <color rgb="FF000000"/>
        <rFont val="Arial"/>
        <charset val="134"/>
      </rPr>
      <t>21</t>
    </r>
    <r>
      <rPr>
        <sz val="9"/>
        <color rgb="FF000000"/>
        <rFont val="楷体"/>
        <charset val="134"/>
      </rPr>
      <t>号</t>
    </r>
  </si>
  <si>
    <t>1-0010</t>
  </si>
  <si>
    <t>2017-06-01</t>
  </si>
  <si>
    <t>百胜软件</t>
  </si>
  <si>
    <r>
      <rPr>
        <sz val="9"/>
        <color rgb="FF000000"/>
        <rFont val="楷体"/>
        <charset val="134"/>
      </rPr>
      <t>百胜软件是一个综合企业服务平台，致力于为企业提供</t>
    </r>
    <r>
      <rPr>
        <sz val="9"/>
        <color rgb="FF000000"/>
        <rFont val="Arial"/>
        <charset val="134"/>
      </rPr>
      <t>ERP</t>
    </r>
    <r>
      <rPr>
        <sz val="9"/>
        <color rgb="FF000000"/>
        <rFont val="楷体"/>
        <charset val="134"/>
      </rPr>
      <t>解决方案和管理咨询服务，业务涵盖零售分销、电子商务、商业智能等领域。隶属于上海百胜软件股份有限公司。</t>
    </r>
  </si>
  <si>
    <t>上海百胜软件股份有限公司</t>
  </si>
  <si>
    <t>http://www.baison.com.cn</t>
  </si>
  <si>
    <t>2000-02</t>
  </si>
  <si>
    <t>综合企业服务</t>
  </si>
  <si>
    <r>
      <rPr>
        <sz val="9"/>
        <color rgb="FF000000"/>
        <rFont val="Arial"/>
        <charset val="134"/>
      </rPr>
      <t>3.18</t>
    </r>
    <r>
      <rPr>
        <sz val="9"/>
        <color rgb="FF000000"/>
        <rFont val="楷体"/>
        <charset val="134"/>
      </rPr>
      <t>亿</t>
    </r>
  </si>
  <si>
    <r>
      <rPr>
        <sz val="9"/>
        <color rgb="FF000000"/>
        <rFont val="Arial"/>
        <charset val="134"/>
      </rPr>
      <t>4.5</t>
    </r>
    <r>
      <rPr>
        <sz val="9"/>
        <color rgb="FF000000"/>
        <rFont val="楷体"/>
        <charset val="134"/>
      </rPr>
      <t>亿元</t>
    </r>
  </si>
  <si>
    <r>
      <rPr>
        <sz val="9"/>
        <color rgb="FF000000"/>
        <rFont val="楷体"/>
        <charset val="134"/>
      </rPr>
      <t>黄飞</t>
    </r>
    <r>
      <rPr>
        <sz val="9"/>
        <color rgb="FF000000"/>
        <rFont val="Arial"/>
        <charset val="134"/>
      </rPr>
      <t>:CEO</t>
    </r>
  </si>
  <si>
    <r>
      <rPr>
        <sz val="9"/>
        <color rgb="FF000000"/>
        <rFont val="楷体"/>
        <charset val="134"/>
      </rPr>
      <t>上海市浦东新区上丰路</t>
    </r>
    <r>
      <rPr>
        <sz val="9"/>
        <color rgb="FF000000"/>
        <rFont val="Arial"/>
        <charset val="134"/>
      </rPr>
      <t>700</t>
    </r>
    <r>
      <rPr>
        <sz val="9"/>
        <color rgb="FF000000"/>
        <rFont val="楷体"/>
        <charset val="134"/>
      </rPr>
      <t>号</t>
    </r>
    <r>
      <rPr>
        <sz val="9"/>
        <color rgb="FF000000"/>
        <rFont val="Arial"/>
        <charset val="134"/>
      </rPr>
      <t>9</t>
    </r>
    <r>
      <rPr>
        <sz val="9"/>
        <color rgb="FF000000"/>
        <rFont val="楷体"/>
        <charset val="134"/>
      </rPr>
      <t>幢</t>
    </r>
    <r>
      <rPr>
        <sz val="9"/>
        <color rgb="FF000000"/>
        <rFont val="Arial"/>
        <charset val="134"/>
      </rPr>
      <t>121</t>
    </r>
    <r>
      <rPr>
        <sz val="9"/>
        <color rgb="FF000000"/>
        <rFont val="楷体"/>
        <charset val="134"/>
      </rPr>
      <t>室</t>
    </r>
    <r>
      <rPr>
        <sz val="9"/>
        <color rgb="FF000000"/>
        <rFont val="Arial"/>
        <charset val="134"/>
      </rPr>
      <t>;</t>
    </r>
    <r>
      <rPr>
        <sz val="9"/>
        <color rgb="FF000000"/>
        <rFont val="楷体"/>
        <charset val="134"/>
      </rPr>
      <t>峨山路</t>
    </r>
    <r>
      <rPr>
        <sz val="9"/>
        <color rgb="FF000000"/>
        <rFont val="Arial"/>
        <charset val="134"/>
      </rPr>
      <t>91</t>
    </r>
    <r>
      <rPr>
        <sz val="9"/>
        <color rgb="FF000000"/>
        <rFont val="楷体"/>
        <charset val="134"/>
      </rPr>
      <t>弄</t>
    </r>
    <r>
      <rPr>
        <sz val="9"/>
        <color rgb="FF000000"/>
        <rFont val="Arial"/>
        <charset val="134"/>
      </rPr>
      <t>100</t>
    </r>
    <r>
      <rPr>
        <sz val="9"/>
        <color rgb="FF000000"/>
        <rFont val="楷体"/>
        <charset val="134"/>
      </rPr>
      <t>号陆家嘴软件园</t>
    </r>
    <r>
      <rPr>
        <sz val="9"/>
        <color rgb="FF000000"/>
        <rFont val="Arial"/>
        <charset val="134"/>
      </rPr>
      <t>2</t>
    </r>
    <r>
      <rPr>
        <sz val="9"/>
        <color rgb="FF000000"/>
        <rFont val="楷体"/>
        <charset val="134"/>
      </rPr>
      <t>号楼</t>
    </r>
    <r>
      <rPr>
        <sz val="9"/>
        <color rgb="FF000000"/>
        <rFont val="Arial"/>
        <charset val="134"/>
      </rPr>
      <t>5</t>
    </r>
    <r>
      <rPr>
        <sz val="9"/>
        <color rgb="FF000000"/>
        <rFont val="楷体"/>
        <charset val="134"/>
      </rPr>
      <t>楼</t>
    </r>
  </si>
  <si>
    <t>021-5018-4188;400 - 600 - 9585</t>
  </si>
  <si>
    <t>baison@baisonmail.com</t>
  </si>
  <si>
    <r>
      <rPr>
        <sz val="9"/>
        <color rgb="FF000000"/>
        <rFont val="楷体"/>
        <charset val="134"/>
      </rPr>
      <t>清源投资</t>
    </r>
    <r>
      <rPr>
        <sz val="9"/>
        <color rgb="FF000000"/>
        <rFont val="Arial"/>
        <charset val="134"/>
      </rPr>
      <t>,</t>
    </r>
    <r>
      <rPr>
        <sz val="9"/>
        <color rgb="FF000000"/>
        <rFont val="楷体"/>
        <charset val="134"/>
      </rPr>
      <t>磐石资本</t>
    </r>
    <r>
      <rPr>
        <sz val="9"/>
        <color rgb="FF000000"/>
        <rFont val="Arial"/>
        <charset val="134"/>
      </rPr>
      <t>,</t>
    </r>
    <r>
      <rPr>
        <sz val="9"/>
        <color rgb="FF000000"/>
        <rFont val="楷体"/>
        <charset val="134"/>
      </rPr>
      <t>容银资本</t>
    </r>
  </si>
  <si>
    <r>
      <rPr>
        <sz val="9"/>
        <color rgb="FF000000"/>
        <rFont val="Arial"/>
        <charset val="134"/>
      </rPr>
      <t>810</t>
    </r>
    <r>
      <rPr>
        <sz val="9"/>
        <color rgb="FF000000"/>
        <rFont val="楷体"/>
        <charset val="134"/>
      </rPr>
      <t>万人民币</t>
    </r>
  </si>
  <si>
    <t>清源投资</t>
  </si>
  <si>
    <t>2017-01-20</t>
  </si>
  <si>
    <t>Lumus</t>
  </si>
  <si>
    <r>
      <rPr>
        <sz val="9"/>
        <color rgb="FF000000"/>
        <rFont val="Arial"/>
        <charset val="134"/>
      </rPr>
      <t>Lumus</t>
    </r>
    <r>
      <rPr>
        <sz val="9"/>
        <color rgb="FF000000"/>
        <rFont val="楷体"/>
        <charset val="134"/>
      </rPr>
      <t>是一家</t>
    </r>
    <r>
      <rPr>
        <sz val="9"/>
        <color rgb="FF000000"/>
        <rFont val="Arial"/>
        <charset val="134"/>
      </rPr>
      <t>AR</t>
    </r>
    <r>
      <rPr>
        <sz val="9"/>
        <color rgb="FF000000"/>
        <rFont val="楷体"/>
        <charset val="134"/>
      </rPr>
      <t>显示器研究公司，公司主要知识产权是一项叫做</t>
    </r>
    <r>
      <rPr>
        <sz val="9"/>
        <color rgb="FF000000"/>
        <rFont val="Arial"/>
        <charset val="134"/>
      </rPr>
      <t>Light-guideOptical Element(</t>
    </r>
    <r>
      <rPr>
        <sz val="9"/>
        <color rgb="FF000000"/>
        <rFont val="楷体"/>
        <charset val="134"/>
      </rPr>
      <t>光导光学元件，简称</t>
    </r>
    <r>
      <rPr>
        <sz val="9"/>
        <color rgb="FF000000"/>
        <rFont val="Arial"/>
        <charset val="134"/>
      </rPr>
      <t>LOE)</t>
    </r>
    <r>
      <rPr>
        <sz val="9"/>
        <color rgb="FF000000"/>
        <rFont val="楷体"/>
        <charset val="134"/>
      </rPr>
      <t>的波导技术，这种显示器可以被安装到智能眼镜或头戴式显示器</t>
    </r>
    <r>
      <rPr>
        <sz val="9"/>
        <color rgb="FF000000"/>
        <rFont val="Arial"/>
        <charset val="134"/>
      </rPr>
      <t>(HMD)</t>
    </r>
    <r>
      <rPr>
        <sz val="9"/>
        <color rgb="FF000000"/>
        <rFont val="楷体"/>
        <charset val="134"/>
      </rPr>
      <t>上。</t>
    </r>
  </si>
  <si>
    <t>http://www.lumus-optical.com/</t>
  </si>
  <si>
    <r>
      <rPr>
        <sz val="9"/>
        <color rgb="FF000000"/>
        <rFont val="Arial"/>
        <charset val="134"/>
      </rPr>
      <t>3.71</t>
    </r>
    <r>
      <rPr>
        <sz val="9"/>
        <color rgb="FF000000"/>
        <rFont val="楷体"/>
        <charset val="134"/>
      </rPr>
      <t>亿</t>
    </r>
  </si>
  <si>
    <r>
      <rPr>
        <sz val="9"/>
        <color rgb="FF000000"/>
        <rFont val="Arial"/>
        <charset val="134"/>
      </rPr>
      <t>1.95</t>
    </r>
    <r>
      <rPr>
        <sz val="9"/>
        <color rgb="FF000000"/>
        <rFont val="楷体"/>
        <charset val="134"/>
      </rPr>
      <t>亿元</t>
    </r>
  </si>
  <si>
    <t>Ari Grobman:CEO,Aviv Frommer:Vice President of R&amp;D,David Andrew Goldman:Head of Marketing,David Oppenheimer:Board of Directors,Dr. Eli Glikman:Chief Product Officer,Dr. Rivi Sherman:President,Guy Peled:Chief Operating Officer,Henry Schwarzbaum:Chief Financial Officer,Mula Friedman:Vice President Systems &amp; Services,Ronit Sarig:VP Human Resources</t>
  </si>
  <si>
    <t>info@lumusvision.com</t>
  </si>
  <si>
    <r>
      <rPr>
        <sz val="9"/>
        <color rgb="FF000000"/>
        <rFont val="楷体"/>
        <charset val="134"/>
      </rPr>
      <t>宏达电</t>
    </r>
    <r>
      <rPr>
        <sz val="9"/>
        <color rgb="FF000000"/>
        <rFont val="Arial"/>
        <charset val="134"/>
      </rPr>
      <t>HTC,Quanta</t>
    </r>
  </si>
  <si>
    <r>
      <rPr>
        <sz val="9"/>
        <color rgb="FF000000"/>
        <rFont val="楷体"/>
        <charset val="134"/>
      </rPr>
      <t>盛大资本</t>
    </r>
    <r>
      <rPr>
        <sz val="9"/>
        <color rgb="FF000000"/>
        <rFont val="Arial"/>
        <charset val="134"/>
      </rPr>
      <t>,</t>
    </r>
    <r>
      <rPr>
        <sz val="9"/>
        <color rgb="FF000000"/>
        <rFont val="楷体"/>
        <charset val="134"/>
      </rPr>
      <t>水晶光电</t>
    </r>
  </si>
  <si>
    <t>Motorola Solutions Venture Capital,Jerusalem Venture Partners(JVP)</t>
  </si>
  <si>
    <t>2018-07-06</t>
  </si>
  <si>
    <t>神居动漫</t>
  </si>
  <si>
    <r>
      <rPr>
        <sz val="9"/>
        <color rgb="FF000000"/>
        <rFont val="楷体"/>
        <charset val="134"/>
      </rPr>
      <t>神居动漫是一家动漫制作公司，完成</t>
    </r>
    <r>
      <rPr>
        <sz val="9"/>
        <color rgb="FF000000"/>
        <rFont val="Arial"/>
        <charset val="134"/>
      </rPr>
      <t>20</t>
    </r>
    <r>
      <rPr>
        <sz val="9"/>
        <color rgb="FF000000"/>
        <rFont val="楷体"/>
        <charset val="134"/>
      </rPr>
      <t>余部优秀作品，代表漫画有博洋大叔的惊悚类题材作品《诡水疑云》，与腾讯动漫合作的《致幻毁灭者》等等。</t>
    </r>
  </si>
  <si>
    <t>北京神居动漫科技有限公司</t>
  </si>
  <si>
    <t>http://www.sjcomic.com/</t>
  </si>
  <si>
    <r>
      <rPr>
        <sz val="9"/>
        <color rgb="FF000000"/>
        <rFont val="楷体"/>
        <charset val="134"/>
      </rPr>
      <t>北京</t>
    </r>
    <r>
      <rPr>
        <sz val="9"/>
        <color rgb="FF000000"/>
        <rFont val="Arial"/>
        <charset val="134"/>
      </rPr>
      <t>-</t>
    </r>
    <r>
      <rPr>
        <sz val="9"/>
        <color rgb="FF000000"/>
        <rFont val="楷体"/>
        <charset val="134"/>
      </rPr>
      <t>大兴区</t>
    </r>
  </si>
  <si>
    <r>
      <rPr>
        <sz val="9"/>
        <color rgb="FF000000"/>
        <rFont val="Arial"/>
        <charset val="134"/>
      </rPr>
      <t>4500</t>
    </r>
    <r>
      <rPr>
        <sz val="9"/>
        <color rgb="FF000000"/>
        <rFont val="楷体"/>
        <charset val="134"/>
      </rPr>
      <t>万</t>
    </r>
  </si>
  <si>
    <r>
      <rPr>
        <sz val="9"/>
        <color rgb="FF000000"/>
        <rFont val="楷体"/>
        <charset val="134"/>
      </rPr>
      <t>王强</t>
    </r>
    <r>
      <rPr>
        <sz val="9"/>
        <color rgb="FF000000"/>
        <rFont val="Arial"/>
        <charset val="134"/>
      </rPr>
      <t>:</t>
    </r>
    <r>
      <rPr>
        <sz val="9"/>
        <color rgb="FF000000"/>
        <rFont val="楷体"/>
        <charset val="134"/>
      </rPr>
      <t>创始人</t>
    </r>
  </si>
  <si>
    <r>
      <rPr>
        <sz val="9"/>
        <color rgb="FF000000"/>
        <rFont val="楷体"/>
        <charset val="134"/>
      </rPr>
      <t>北京市大兴区林肯公园</t>
    </r>
    <r>
      <rPr>
        <sz val="9"/>
        <color rgb="FF000000"/>
        <rFont val="Arial"/>
        <charset val="134"/>
      </rPr>
      <t>C</t>
    </r>
    <r>
      <rPr>
        <sz val="9"/>
        <color rgb="FF000000"/>
        <rFont val="楷体"/>
        <charset val="134"/>
      </rPr>
      <t>区</t>
    </r>
    <r>
      <rPr>
        <sz val="9"/>
        <color rgb="FF000000"/>
        <rFont val="Arial"/>
        <charset val="134"/>
      </rPr>
      <t>26</t>
    </r>
    <r>
      <rPr>
        <sz val="9"/>
        <color rgb="FF000000"/>
        <rFont val="楷体"/>
        <charset val="134"/>
      </rPr>
      <t>号楼</t>
    </r>
  </si>
  <si>
    <t>010-8722-7370;87227370</t>
  </si>
  <si>
    <t>shenjudongman@163.com</t>
  </si>
  <si>
    <t>伯藜创投</t>
  </si>
  <si>
    <r>
      <rPr>
        <sz val="9"/>
        <color rgb="FF000000"/>
        <rFont val="楷体"/>
        <charset val="134"/>
      </rPr>
      <t>汉理资本</t>
    </r>
    <r>
      <rPr>
        <sz val="9"/>
        <color rgb="FF000000"/>
        <rFont val="Arial"/>
        <charset val="134"/>
      </rPr>
      <t>,</t>
    </r>
    <r>
      <rPr>
        <sz val="9"/>
        <color rgb="FF000000"/>
        <rFont val="楷体"/>
        <charset val="134"/>
      </rPr>
      <t>艾瑞资本</t>
    </r>
    <r>
      <rPr>
        <sz val="9"/>
        <color rgb="FF000000"/>
        <rFont val="Arial"/>
        <charset val="134"/>
      </rPr>
      <t>(</t>
    </r>
    <r>
      <rPr>
        <sz val="9"/>
        <color rgb="FF000000"/>
        <rFont val="楷体"/>
        <charset val="134"/>
      </rPr>
      <t>艾瑞</t>
    </r>
    <r>
      <rPr>
        <sz val="9"/>
        <color rgb="FF000000"/>
        <rFont val="Arial"/>
        <charset val="134"/>
      </rPr>
      <t>)</t>
    </r>
  </si>
  <si>
    <t>2023-07-12</t>
  </si>
  <si>
    <t>欧谱曼迪</t>
  </si>
  <si>
    <r>
      <rPr>
        <sz val="9"/>
        <color rgb="FF000000"/>
        <rFont val="楷体"/>
        <charset val="134"/>
      </rPr>
      <t>欧谱曼迪是一家国家高新技术企业。公司专注于高端医疗器械的研发与生产，广东欧谱曼迪科技有限公司在荧光腹腔镜领域取得了领先的地位，同时集团在布局软镜产业板块。目前苏州公司已获高清白光输尿管软镜系统等</t>
    </r>
    <r>
      <rPr>
        <sz val="9"/>
        <color rgb="FF000000"/>
        <rFont val="Arial"/>
        <charset val="134"/>
      </rPr>
      <t>5</t>
    </r>
    <r>
      <rPr>
        <sz val="9"/>
        <color rgb="FF000000"/>
        <rFont val="楷体"/>
        <charset val="134"/>
      </rPr>
      <t>张</t>
    </r>
    <r>
      <rPr>
        <sz val="9"/>
        <color rgb="FF000000"/>
        <rFont val="Arial"/>
        <charset val="134"/>
      </rPr>
      <t>NMPA</t>
    </r>
    <r>
      <rPr>
        <sz val="9"/>
        <color rgb="FF000000"/>
        <rFont val="楷体"/>
        <charset val="134"/>
      </rPr>
      <t>注册证，同时还在布局一次性电子内窥镜产品线，手术治疗相关类设备等产品。</t>
    </r>
  </si>
  <si>
    <t>广东欧谱曼迪科技股份有限公司</t>
  </si>
  <si>
    <t>http://www.opti-medic.com</t>
  </si>
  <si>
    <r>
      <rPr>
        <sz val="9"/>
        <color rgb="FF000000"/>
        <rFont val="楷体"/>
        <charset val="134"/>
      </rPr>
      <t>广东</t>
    </r>
    <r>
      <rPr>
        <sz val="9"/>
        <color rgb="FF000000"/>
        <rFont val="Arial"/>
        <charset val="134"/>
      </rPr>
      <t>-</t>
    </r>
    <r>
      <rPr>
        <sz val="9"/>
        <color rgb="FF000000"/>
        <rFont val="楷体"/>
        <charset val="134"/>
      </rPr>
      <t>佛山</t>
    </r>
  </si>
  <si>
    <t>医疗器械</t>
  </si>
  <si>
    <r>
      <rPr>
        <sz val="9"/>
        <color rgb="FF000000"/>
        <rFont val="楷体"/>
        <charset val="134"/>
      </rPr>
      <t>彬复资本</t>
    </r>
    <r>
      <rPr>
        <sz val="9"/>
        <color rgb="FF000000"/>
        <rFont val="Arial"/>
        <charset val="134"/>
      </rPr>
      <t>,</t>
    </r>
    <r>
      <rPr>
        <sz val="9"/>
        <color rgb="FF000000"/>
        <rFont val="楷体"/>
        <charset val="134"/>
      </rPr>
      <t>华金资本</t>
    </r>
    <r>
      <rPr>
        <sz val="9"/>
        <color rgb="FF000000"/>
        <rFont val="Arial"/>
        <charset val="134"/>
      </rPr>
      <t>(</t>
    </r>
    <r>
      <rPr>
        <sz val="9"/>
        <color rgb="FF000000"/>
        <rFont val="楷体"/>
        <charset val="134"/>
      </rPr>
      <t>力合股份</t>
    </r>
    <r>
      <rPr>
        <sz val="9"/>
        <color rgb="FF000000"/>
        <rFont val="Arial"/>
        <charset val="134"/>
      </rPr>
      <t>),</t>
    </r>
    <r>
      <rPr>
        <sz val="9"/>
        <color rgb="FF000000"/>
        <rFont val="楷体"/>
        <charset val="134"/>
      </rPr>
      <t>国信资本</t>
    </r>
    <r>
      <rPr>
        <sz val="9"/>
        <color rgb="FF000000"/>
        <rFont val="Arial"/>
        <charset val="134"/>
      </rPr>
      <t>,</t>
    </r>
    <r>
      <rPr>
        <sz val="9"/>
        <color rgb="FF000000"/>
        <rFont val="楷体"/>
        <charset val="134"/>
      </rPr>
      <t>建信股权</t>
    </r>
  </si>
  <si>
    <r>
      <rPr>
        <sz val="9"/>
        <color rgb="FF000000"/>
        <rFont val="Arial"/>
        <charset val="134"/>
      </rPr>
      <t>8.23</t>
    </r>
    <r>
      <rPr>
        <sz val="9"/>
        <color rgb="FF000000"/>
        <rFont val="楷体"/>
        <charset val="134"/>
      </rPr>
      <t>亿</t>
    </r>
  </si>
  <si>
    <r>
      <rPr>
        <sz val="9"/>
        <color rgb="FF000000"/>
        <rFont val="楷体"/>
        <charset val="134"/>
      </rPr>
      <t>安昕</t>
    </r>
    <r>
      <rPr>
        <sz val="9"/>
        <color rgb="FF000000"/>
        <rFont val="Arial"/>
        <charset val="134"/>
      </rPr>
      <t>:</t>
    </r>
    <r>
      <rPr>
        <sz val="9"/>
        <color rgb="FF000000"/>
        <rFont val="楷体"/>
        <charset val="134"/>
      </rPr>
      <t>创始人</t>
    </r>
  </si>
  <si>
    <r>
      <rPr>
        <sz val="9"/>
        <color rgb="FF000000"/>
        <rFont val="楷体"/>
        <charset val="134"/>
      </rPr>
      <t>广东省佛山市南海区金谷智创产业社区</t>
    </r>
    <r>
      <rPr>
        <sz val="9"/>
        <color rgb="FF000000"/>
        <rFont val="Arial"/>
        <charset val="134"/>
      </rPr>
      <t>A</t>
    </r>
    <r>
      <rPr>
        <sz val="9"/>
        <color rgb="FF000000"/>
        <rFont val="楷体"/>
        <charset val="134"/>
      </rPr>
      <t>座</t>
    </r>
    <r>
      <rPr>
        <sz val="9"/>
        <color rgb="FF000000"/>
        <rFont val="Arial"/>
        <charset val="134"/>
      </rPr>
      <t>503-504</t>
    </r>
  </si>
  <si>
    <t>0757-8677-0960</t>
  </si>
  <si>
    <t>info@optomedic.com</t>
  </si>
  <si>
    <r>
      <rPr>
        <sz val="9"/>
        <color rgb="FF000000"/>
        <rFont val="楷体"/>
        <charset val="134"/>
      </rPr>
      <t>春华资本</t>
    </r>
    <r>
      <rPr>
        <sz val="9"/>
        <color rgb="FF000000"/>
        <rFont val="Arial"/>
        <charset val="134"/>
      </rPr>
      <t>Primavera,</t>
    </r>
    <r>
      <rPr>
        <sz val="9"/>
        <color rgb="FF000000"/>
        <rFont val="楷体"/>
        <charset val="134"/>
      </rPr>
      <t>国投招商</t>
    </r>
  </si>
  <si>
    <r>
      <rPr>
        <sz val="9"/>
        <color rgb="FF000000"/>
        <rFont val="楷体"/>
        <charset val="134"/>
      </rPr>
      <t>荷塘创投</t>
    </r>
    <r>
      <rPr>
        <sz val="9"/>
        <color rgb="FF000000"/>
        <rFont val="Arial"/>
        <charset val="134"/>
      </rPr>
      <t>,</t>
    </r>
    <r>
      <rPr>
        <sz val="9"/>
        <color rgb="FF000000"/>
        <rFont val="楷体"/>
        <charset val="134"/>
      </rPr>
      <t>弘德投资</t>
    </r>
    <r>
      <rPr>
        <sz val="9"/>
        <color rgb="FF000000"/>
        <rFont val="Arial"/>
        <charset val="134"/>
      </rPr>
      <t>,</t>
    </r>
    <r>
      <rPr>
        <sz val="9"/>
        <color rgb="FF000000"/>
        <rFont val="楷体"/>
        <charset val="134"/>
      </rPr>
      <t>茂榕投资</t>
    </r>
    <r>
      <rPr>
        <sz val="9"/>
        <color rgb="FF000000"/>
        <rFont val="Arial"/>
        <charset val="134"/>
      </rPr>
      <t>,</t>
    </r>
    <r>
      <rPr>
        <sz val="9"/>
        <color rgb="FF000000"/>
        <rFont val="楷体"/>
        <charset val="134"/>
      </rPr>
      <t>广东国科创投</t>
    </r>
    <r>
      <rPr>
        <sz val="9"/>
        <color rgb="FF000000"/>
        <rFont val="Arial"/>
        <charset val="134"/>
      </rPr>
      <t>,</t>
    </r>
    <r>
      <rPr>
        <sz val="9"/>
        <color rgb="FF000000"/>
        <rFont val="楷体"/>
        <charset val="134"/>
      </rPr>
      <t>九拓投资</t>
    </r>
  </si>
  <si>
    <r>
      <rPr>
        <sz val="9"/>
        <color rgb="FF000000"/>
        <rFont val="楷体"/>
        <charset val="134"/>
      </rPr>
      <t>力合科创</t>
    </r>
    <r>
      <rPr>
        <sz val="9"/>
        <color rgb="FF000000"/>
        <rFont val="Arial"/>
        <charset val="134"/>
      </rPr>
      <t>,</t>
    </r>
    <r>
      <rPr>
        <sz val="9"/>
        <color rgb="FF000000"/>
        <rFont val="楷体"/>
        <charset val="134"/>
      </rPr>
      <t>西域投资</t>
    </r>
    <r>
      <rPr>
        <sz val="9"/>
        <color rgb="FF000000"/>
        <rFont val="Arial"/>
        <charset val="134"/>
      </rPr>
      <t>,</t>
    </r>
    <r>
      <rPr>
        <sz val="9"/>
        <color rgb="FF000000"/>
        <rFont val="楷体"/>
        <charset val="134"/>
      </rPr>
      <t>清控银杏创投</t>
    </r>
    <r>
      <rPr>
        <sz val="9"/>
        <color rgb="FF000000"/>
        <rFont val="Arial"/>
        <charset val="134"/>
      </rPr>
      <t>,</t>
    </r>
    <r>
      <rPr>
        <sz val="9"/>
        <color rgb="FF000000"/>
        <rFont val="楷体"/>
        <charset val="134"/>
      </rPr>
      <t>力合开物</t>
    </r>
  </si>
  <si>
    <r>
      <rPr>
        <sz val="9"/>
        <color rgb="FF000000"/>
        <rFont val="楷体"/>
        <charset val="134"/>
      </rPr>
      <t>达晨财智</t>
    </r>
    <r>
      <rPr>
        <sz val="9"/>
        <color rgb="FF000000"/>
        <rFont val="Arial"/>
        <charset val="134"/>
      </rPr>
      <t>,</t>
    </r>
    <r>
      <rPr>
        <sz val="9"/>
        <color rgb="FF000000"/>
        <rFont val="楷体"/>
        <charset val="134"/>
      </rPr>
      <t>清控银杏创投</t>
    </r>
  </si>
  <si>
    <t>2016-10-13</t>
  </si>
  <si>
    <t>PlaceIQ</t>
  </si>
  <si>
    <r>
      <rPr>
        <sz val="9"/>
        <color rgb="FF000000"/>
        <rFont val="Arial"/>
        <charset val="134"/>
      </rPr>
      <t>PlaceIQ</t>
    </r>
    <r>
      <rPr>
        <sz val="9"/>
        <color rgb="FF000000"/>
        <rFont val="楷体"/>
        <charset val="134"/>
      </rPr>
      <t>是一家位置智能服务供应商，致力于为客户提供位置工具和数据服务，确保广告客户的营销活动能够覆盖更多的移动品牌受众。</t>
    </r>
  </si>
  <si>
    <t>http://placeiq.com</t>
  </si>
  <si>
    <r>
      <rPr>
        <sz val="9"/>
        <color rgb="FF000000"/>
        <rFont val="Arial"/>
        <charset val="134"/>
      </rPr>
      <t>9.81</t>
    </r>
    <r>
      <rPr>
        <sz val="9"/>
        <color rgb="FF000000"/>
        <rFont val="楷体"/>
        <charset val="134"/>
      </rPr>
      <t>亿</t>
    </r>
  </si>
  <si>
    <t>Christopher Musto:HR Director,Drew Breunig:Senior Vice President Strategy,Duncan McCall:Co-Founder &amp; CEO,Eddie Smith:Senior Vice President, Revenue,Evan Picard:Geospatial Lead,Manik Khanna:VP Business Development &amp; Monetization,Matt Novick:COO,Mike Jelley:VP Infrastructure,Priscilla Mui:Account Executive,Shayan Masood:Data Scientist</t>
  </si>
  <si>
    <t>info@placeiq.com</t>
  </si>
  <si>
    <t>Harmony Partners</t>
  </si>
  <si>
    <r>
      <rPr>
        <sz val="9"/>
        <color rgb="FF000000"/>
        <rFont val="Arial"/>
        <charset val="134"/>
      </rPr>
      <t>675</t>
    </r>
    <r>
      <rPr>
        <sz val="9"/>
        <color rgb="FF000000"/>
        <rFont val="楷体"/>
        <charset val="134"/>
      </rPr>
      <t>万美元</t>
    </r>
  </si>
  <si>
    <t>U.S. Venture Partners</t>
  </si>
  <si>
    <r>
      <rPr>
        <sz val="9"/>
        <color rgb="FF000000"/>
        <rFont val="Arial"/>
        <charset val="134"/>
      </rPr>
      <t>420</t>
    </r>
    <r>
      <rPr>
        <sz val="9"/>
        <color rgb="FF000000"/>
        <rFont val="楷体"/>
        <charset val="134"/>
      </rPr>
      <t>万美元</t>
    </r>
  </si>
  <si>
    <t>Valhalla Partners</t>
  </si>
  <si>
    <t>上海秉坤</t>
  </si>
  <si>
    <r>
      <rPr>
        <sz val="9"/>
        <color rgb="FF000000"/>
        <rFont val="楷体"/>
        <charset val="134"/>
      </rPr>
      <t>上海秉坤是一家</t>
    </r>
    <r>
      <rPr>
        <sz val="9"/>
        <color rgb="FF000000"/>
        <rFont val="Arial"/>
        <charset val="134"/>
      </rPr>
      <t>O2O</t>
    </r>
    <r>
      <rPr>
        <sz val="9"/>
        <color rgb="FF000000"/>
        <rFont val="楷体"/>
        <charset val="134"/>
      </rPr>
      <t>营销管理引擎提供商，包括：全渠道会员中心、丰富的门店</t>
    </r>
    <r>
      <rPr>
        <sz val="9"/>
        <color rgb="FF000000"/>
        <rFont val="Arial"/>
        <charset val="134"/>
      </rPr>
      <t>POS</t>
    </r>
    <r>
      <rPr>
        <sz val="9"/>
        <color rgb="FF000000"/>
        <rFont val="楷体"/>
        <charset val="134"/>
      </rPr>
      <t>产品、品牌会员俱乐部深度服务、实用、便捷的移动应用产品及简单易用、主题众多的</t>
    </r>
    <r>
      <rPr>
        <sz val="9"/>
        <color rgb="FF000000"/>
        <rFont val="Arial"/>
        <charset val="134"/>
      </rPr>
      <t>BI</t>
    </r>
    <r>
      <rPr>
        <sz val="9"/>
        <color rgb="FF000000"/>
        <rFont val="楷体"/>
        <charset val="134"/>
      </rPr>
      <t>报表平台。围绕进销存管理、会员管理、数据分析、绩效管理等业务，为品牌客户提供一站式、全渠道、实时管理解决方案。</t>
    </r>
  </si>
  <si>
    <t>上海秉坤数码科技有限公司</t>
  </si>
  <si>
    <t>http://www.witpos.com</t>
  </si>
  <si>
    <r>
      <rPr>
        <sz val="9"/>
        <color rgb="FF000000"/>
        <rFont val="Arial"/>
        <charset val="134"/>
      </rPr>
      <t>9000</t>
    </r>
    <r>
      <rPr>
        <sz val="9"/>
        <color rgb="FF000000"/>
        <rFont val="楷体"/>
        <charset val="134"/>
      </rPr>
      <t>万人民币</t>
    </r>
  </si>
  <si>
    <r>
      <rPr>
        <sz val="9"/>
        <color rgb="FF000000"/>
        <rFont val="楷体"/>
        <charset val="134"/>
      </rPr>
      <t>阿里巴巴</t>
    </r>
    <r>
      <rPr>
        <sz val="9"/>
        <color rgb="FF000000"/>
        <rFont val="Arial"/>
        <charset val="134"/>
      </rPr>
      <t>,</t>
    </r>
    <r>
      <rPr>
        <sz val="9"/>
        <color rgb="FF000000"/>
        <rFont val="楷体"/>
        <charset val="134"/>
      </rPr>
      <t>远瞻资本</t>
    </r>
  </si>
  <si>
    <r>
      <rPr>
        <sz val="9"/>
        <color rgb="FF000000"/>
        <rFont val="Arial"/>
        <charset val="134"/>
      </rPr>
      <t>1.2</t>
    </r>
    <r>
      <rPr>
        <sz val="9"/>
        <color rgb="FF000000"/>
        <rFont val="楷体"/>
        <charset val="134"/>
      </rPr>
      <t>亿</t>
    </r>
  </si>
  <si>
    <r>
      <rPr>
        <sz val="9"/>
        <color rgb="FF000000"/>
        <rFont val="楷体"/>
        <charset val="134"/>
      </rPr>
      <t>上海黄浦区蒙自路</t>
    </r>
    <r>
      <rPr>
        <sz val="9"/>
        <color rgb="FF000000"/>
        <rFont val="Arial"/>
        <charset val="134"/>
      </rPr>
      <t>169</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504</t>
    </r>
    <r>
      <rPr>
        <sz val="9"/>
        <color rgb="FF000000"/>
        <rFont val="楷体"/>
        <charset val="134"/>
      </rPr>
      <t>室</t>
    </r>
  </si>
  <si>
    <t>021-5821-1910</t>
  </si>
  <si>
    <t>hr@pekon.com</t>
  </si>
  <si>
    <r>
      <rPr>
        <sz val="9"/>
        <color rgb="FF000000"/>
        <rFont val="楷体"/>
        <charset val="134"/>
      </rPr>
      <t>远瞻资本</t>
    </r>
    <r>
      <rPr>
        <sz val="9"/>
        <color rgb="FF000000"/>
        <rFont val="Arial"/>
        <charset val="134"/>
      </rPr>
      <t>,</t>
    </r>
    <r>
      <rPr>
        <sz val="9"/>
        <color rgb="FF000000"/>
        <rFont val="楷体"/>
        <charset val="134"/>
      </rPr>
      <t>点亮基金</t>
    </r>
    <r>
      <rPr>
        <sz val="9"/>
        <color rgb="FF000000"/>
        <rFont val="Arial"/>
        <charset val="134"/>
      </rPr>
      <t>,</t>
    </r>
    <r>
      <rPr>
        <sz val="9"/>
        <color rgb="FF000000"/>
        <rFont val="楷体"/>
        <charset val="134"/>
      </rPr>
      <t>睿津商务</t>
    </r>
  </si>
  <si>
    <t>2016-02-05</t>
  </si>
  <si>
    <t>码114</t>
  </si>
  <si>
    <r>
      <rPr>
        <sz val="9"/>
        <color rgb="FF000000"/>
        <rFont val="楷体"/>
        <charset val="134"/>
      </rPr>
      <t>码</t>
    </r>
    <r>
      <rPr>
        <sz val="9"/>
        <color rgb="FF000000"/>
        <rFont val="Arial"/>
        <charset val="134"/>
      </rPr>
      <t>114</t>
    </r>
  </si>
  <si>
    <r>
      <rPr>
        <sz val="9"/>
        <color rgb="FF000000"/>
        <rFont val="Arial"/>
        <charset val="134"/>
      </rPr>
      <t>“</t>
    </r>
    <r>
      <rPr>
        <sz val="9"/>
        <color rgb="FF000000"/>
        <rFont val="楷体"/>
        <charset val="134"/>
      </rPr>
      <t>码</t>
    </r>
    <r>
      <rPr>
        <sz val="9"/>
        <color rgb="FF000000"/>
        <rFont val="Arial"/>
        <charset val="134"/>
      </rPr>
      <t>114”</t>
    </r>
    <r>
      <rPr>
        <sz val="9"/>
        <color rgb="FF000000"/>
        <rFont val="楷体"/>
        <charset val="134"/>
      </rPr>
      <t>基于</t>
    </r>
    <r>
      <rPr>
        <sz val="9"/>
        <color rgb="FF000000"/>
        <rFont val="Arial"/>
        <charset val="134"/>
      </rPr>
      <t>T—CODE</t>
    </r>
    <r>
      <rPr>
        <sz val="9"/>
        <color rgb="FF000000"/>
        <rFont val="楷体"/>
        <charset val="134"/>
      </rPr>
      <t>（字符码）生成、传输及验证识读专利技术，携电信运营商、银行、手机报等战略合作资源，建构了集码平台（</t>
    </r>
    <r>
      <rPr>
        <sz val="9"/>
        <color rgb="FF000000"/>
        <rFont val="Arial"/>
        <charset val="134"/>
      </rPr>
      <t>ID</t>
    </r>
    <r>
      <rPr>
        <sz val="9"/>
        <color rgb="FF000000"/>
        <rFont val="楷体"/>
        <charset val="134"/>
      </rPr>
      <t>数据在线管理）、码标签（产品</t>
    </r>
    <r>
      <rPr>
        <sz val="9"/>
        <color rgb="FF000000"/>
        <rFont val="Arial"/>
        <charset val="134"/>
      </rPr>
      <t>ID</t>
    </r>
    <r>
      <rPr>
        <sz val="9"/>
        <color rgb="FF000000"/>
        <rFont val="楷体"/>
        <charset val="134"/>
      </rPr>
      <t>）、码终端（经销商</t>
    </r>
    <r>
      <rPr>
        <sz val="9"/>
        <color rgb="FF000000"/>
        <rFont val="Arial"/>
        <charset val="134"/>
      </rPr>
      <t>ID</t>
    </r>
    <r>
      <rPr>
        <sz val="9"/>
        <color rgb="FF000000"/>
        <rFont val="楷体"/>
        <charset val="134"/>
      </rPr>
      <t>）及码凭证（消费</t>
    </r>
    <r>
      <rPr>
        <sz val="9"/>
        <color rgb="FF000000"/>
        <rFont val="Arial"/>
        <charset val="134"/>
      </rPr>
      <t>ID</t>
    </r>
    <r>
      <rPr>
        <sz val="9"/>
        <color rgb="FF000000"/>
        <rFont val="楷体"/>
        <charset val="134"/>
      </rPr>
      <t>）于一体的、生码、发码、传码及验码全流程管理的凭证化营销管理平台，</t>
    </r>
  </si>
  <si>
    <t>北京码上游科技服务有限公司</t>
  </si>
  <si>
    <t>http://www.mar114.cn/</t>
  </si>
  <si>
    <t>2011-06</t>
  </si>
  <si>
    <t>无线通讯</t>
  </si>
  <si>
    <r>
      <rPr>
        <sz val="9"/>
        <color rgb="FF000000"/>
        <rFont val="楷体"/>
        <charset val="134"/>
      </rPr>
      <t>阿里巴巴</t>
    </r>
    <r>
      <rPr>
        <sz val="9"/>
        <color rgb="FF000000"/>
        <rFont val="Arial"/>
        <charset val="134"/>
      </rPr>
      <t>,</t>
    </r>
    <r>
      <rPr>
        <sz val="9"/>
        <color rgb="FF000000"/>
        <rFont val="楷体"/>
        <charset val="134"/>
      </rPr>
      <t>北京味来味餐饮</t>
    </r>
  </si>
  <si>
    <r>
      <rPr>
        <sz val="9"/>
        <color rgb="FF000000"/>
        <rFont val="楷体"/>
        <charset val="134"/>
      </rPr>
      <t>钟立铎</t>
    </r>
    <r>
      <rPr>
        <sz val="9"/>
        <color rgb="FF000000"/>
        <rFont val="Arial"/>
        <charset val="134"/>
      </rPr>
      <t>:</t>
    </r>
    <r>
      <rPr>
        <sz val="9"/>
        <color rgb="FF000000"/>
        <rFont val="楷体"/>
        <charset val="134"/>
      </rPr>
      <t>董事长</t>
    </r>
  </si>
  <si>
    <r>
      <rPr>
        <sz val="9"/>
        <color rgb="FF000000"/>
        <rFont val="楷体"/>
        <charset val="134"/>
      </rPr>
      <t>北京市海淀区车公庄西路</t>
    </r>
    <r>
      <rPr>
        <sz val="9"/>
        <color rgb="FF000000"/>
        <rFont val="Arial"/>
        <charset val="134"/>
      </rPr>
      <t>19</t>
    </r>
    <r>
      <rPr>
        <sz val="9"/>
        <color rgb="FF000000"/>
        <rFont val="楷体"/>
        <charset val="134"/>
      </rPr>
      <t>号华通大厦</t>
    </r>
    <r>
      <rPr>
        <sz val="9"/>
        <color rgb="FF000000"/>
        <rFont val="Arial"/>
        <charset val="134"/>
      </rPr>
      <t>A</t>
    </r>
    <r>
      <rPr>
        <sz val="9"/>
        <color rgb="FF000000"/>
        <rFont val="楷体"/>
        <charset val="134"/>
      </rPr>
      <t>座</t>
    </r>
    <r>
      <rPr>
        <sz val="9"/>
        <color rgb="FF000000"/>
        <rFont val="Arial"/>
        <charset val="134"/>
      </rPr>
      <t>351</t>
    </r>
  </si>
  <si>
    <t>010-8260-7646</t>
  </si>
  <si>
    <t>info@mar114.com</t>
  </si>
  <si>
    <t>2022-10-31</t>
  </si>
  <si>
    <t>玩美移动PerfectCorp</t>
  </si>
  <si>
    <r>
      <rPr>
        <sz val="9"/>
        <color rgb="FF000000"/>
        <rFont val="楷体"/>
        <charset val="134"/>
      </rPr>
      <t>玩美移动</t>
    </r>
    <r>
      <rPr>
        <sz val="9"/>
        <color rgb="FF000000"/>
        <rFont val="Arial"/>
        <charset val="134"/>
      </rPr>
      <t>PerfectCorp</t>
    </r>
  </si>
  <si>
    <r>
      <rPr>
        <sz val="9"/>
        <color rgb="FF000000"/>
        <rFont val="楷体"/>
        <charset val="134"/>
      </rPr>
      <t>玩美移动致力于将最高级的增强现实</t>
    </r>
    <r>
      <rPr>
        <sz val="9"/>
        <color rgb="FF000000"/>
        <rFont val="Arial"/>
        <charset val="134"/>
      </rPr>
      <t>(“AR”)</t>
    </r>
    <r>
      <rPr>
        <sz val="9"/>
        <color rgb="FF000000"/>
        <rFont val="楷体"/>
        <charset val="134"/>
      </rPr>
      <t>和人工智能</t>
    </r>
    <r>
      <rPr>
        <sz val="9"/>
        <color rgb="FF000000"/>
        <rFont val="Arial"/>
        <charset val="134"/>
      </rPr>
      <t>(“AI”)</t>
    </r>
    <r>
      <rPr>
        <sz val="9"/>
        <color rgb="FF000000"/>
        <rFont val="楷体"/>
        <charset val="134"/>
      </rPr>
      <t>科技与终端购物体验相结合，彻底重塑消费者的美妆之旅，从而为美妆行业带来变革。从中小企业到集团企业，玩美移动为不同规模的企业提供美妆</t>
    </r>
    <r>
      <rPr>
        <sz val="9"/>
        <color rgb="FF000000"/>
        <rFont val="Arial"/>
        <charset val="134"/>
      </rPr>
      <t>SaaS</t>
    </r>
    <r>
      <rPr>
        <sz val="9"/>
        <color rgb="FF000000"/>
        <rFont val="楷体"/>
        <charset val="134"/>
      </rPr>
      <t>服务。借助美妆</t>
    </r>
    <r>
      <rPr>
        <sz val="9"/>
        <color rgb="FF000000"/>
        <rFont val="Arial"/>
        <charset val="134"/>
      </rPr>
      <t>AR+AR</t>
    </r>
    <r>
      <rPr>
        <sz val="9"/>
        <color rgb="FF000000"/>
        <rFont val="楷体"/>
        <charset val="134"/>
      </rPr>
      <t>科技来为消费者提供最佳购物体验将是美妆行业未来的必然趋势。我们划时代的美妆科技，通过虚拟试妆、虚拟试发色及配饰、肌肤诊断等功能，</t>
    </r>
    <r>
      <rPr>
        <sz val="9"/>
        <color rgb="FF000000"/>
        <rFont val="Arial"/>
        <charset val="134"/>
      </rPr>
      <t xml:space="preserve"> </t>
    </r>
    <r>
      <rPr>
        <sz val="9"/>
        <color rgb="FF000000"/>
        <rFont val="楷体"/>
        <charset val="134"/>
      </rPr>
      <t>让您的品牌领先于市场。用玩美移动美妆</t>
    </r>
    <r>
      <rPr>
        <sz val="9"/>
        <color rgb="FF000000"/>
        <rFont val="Arial"/>
        <charset val="134"/>
      </rPr>
      <t>SaaS</t>
    </r>
    <r>
      <rPr>
        <sz val="9"/>
        <color rgb="FF000000"/>
        <rFont val="楷体"/>
        <charset val="134"/>
      </rPr>
      <t>服务来拓展品牌业务，您可以选择：店内咨询、移动</t>
    </r>
    <r>
      <rPr>
        <sz val="9"/>
        <color rgb="FF000000"/>
        <rFont val="Arial"/>
        <charset val="134"/>
      </rPr>
      <t>SDK</t>
    </r>
    <r>
      <rPr>
        <sz val="9"/>
        <color rgb="FF000000"/>
        <rFont val="楷体"/>
        <charset val="134"/>
      </rPr>
      <t>、微信小程序、淘宝小程序或淘宝虚拟试妆等。</t>
    </r>
  </si>
  <si>
    <t>玩美商贸（上海）有限公司</t>
  </si>
  <si>
    <t>http://www.perfectcorp.cn</t>
  </si>
  <si>
    <t>2015-02</t>
  </si>
  <si>
    <r>
      <rPr>
        <sz val="9"/>
        <color rgb="FF000000"/>
        <rFont val="Arial"/>
        <charset val="134"/>
      </rPr>
      <t>1.19</t>
    </r>
    <r>
      <rPr>
        <sz val="9"/>
        <color rgb="FF000000"/>
        <rFont val="楷体"/>
        <charset val="134"/>
      </rPr>
      <t>亿美元</t>
    </r>
  </si>
  <si>
    <r>
      <rPr>
        <sz val="9"/>
        <color rgb="FF000000"/>
        <rFont val="Arial"/>
        <charset val="134"/>
      </rPr>
      <t>14.56</t>
    </r>
    <r>
      <rPr>
        <sz val="9"/>
        <color rgb="FF000000"/>
        <rFont val="楷体"/>
        <charset val="134"/>
      </rPr>
      <t>亿</t>
    </r>
  </si>
  <si>
    <r>
      <rPr>
        <sz val="9"/>
        <color rgb="FF000000"/>
        <rFont val="Arial"/>
        <charset val="134"/>
      </rPr>
      <t>84.5</t>
    </r>
    <r>
      <rPr>
        <sz val="9"/>
        <color rgb="FF000000"/>
        <rFont val="楷体"/>
        <charset val="134"/>
      </rPr>
      <t>亿元</t>
    </r>
  </si>
  <si>
    <r>
      <rPr>
        <sz val="9"/>
        <color rgb="FF000000"/>
        <rFont val="楷体"/>
        <charset val="134"/>
      </rPr>
      <t>赵立煌</t>
    </r>
    <r>
      <rPr>
        <sz val="9"/>
        <color rgb="FF000000"/>
        <rFont val="Arial"/>
        <charset val="134"/>
      </rPr>
      <t>:</t>
    </r>
    <r>
      <rPr>
        <sz val="9"/>
        <color rgb="FF000000"/>
        <rFont val="楷体"/>
        <charset val="134"/>
      </rPr>
      <t>执行董事</t>
    </r>
    <r>
      <rPr>
        <sz val="9"/>
        <color rgb="FF000000"/>
        <rFont val="Arial"/>
        <charset val="134"/>
      </rPr>
      <t>,</t>
    </r>
    <r>
      <rPr>
        <sz val="9"/>
        <color rgb="FF000000"/>
        <rFont val="楷体"/>
        <charset val="134"/>
      </rPr>
      <t>张华祯</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</si>
  <si>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上海市静安区南京西路</t>
    </r>
    <r>
      <rPr>
        <sz val="9"/>
        <color rgb="FF000000"/>
        <rFont val="Arial"/>
        <charset val="134"/>
      </rPr>
      <t>1788</t>
    </r>
    <r>
      <rPr>
        <sz val="9"/>
        <color rgb="FF000000"/>
        <rFont val="楷体"/>
        <charset val="134"/>
      </rPr>
      <t>号</t>
    </r>
    <r>
      <rPr>
        <sz val="9"/>
        <color rgb="FF000000"/>
        <rFont val="Arial"/>
        <charset val="134"/>
      </rPr>
      <t xml:space="preserve"> 9</t>
    </r>
    <r>
      <rPr>
        <sz val="9"/>
        <color rgb="FF000000"/>
        <rFont val="楷体"/>
        <charset val="134"/>
      </rPr>
      <t>楼</t>
    </r>
    <r>
      <rPr>
        <sz val="9"/>
        <color rgb="FF000000"/>
        <rFont val="Arial"/>
        <charset val="134"/>
      </rPr>
      <t>935</t>
    </r>
    <r>
      <rPr>
        <sz val="9"/>
        <color rgb="FF000000"/>
        <rFont val="楷体"/>
        <charset val="134"/>
      </rPr>
      <t>室（</t>
    </r>
    <r>
      <rPr>
        <sz val="9"/>
        <color rgb="FF000000"/>
        <rFont val="Arial"/>
        <charset val="134"/>
      </rPr>
      <t>1788</t>
    </r>
    <r>
      <rPr>
        <sz val="9"/>
        <color rgb="FF000000"/>
        <rFont val="楷体"/>
        <charset val="134"/>
      </rPr>
      <t>国际中心）</t>
    </r>
  </si>
  <si>
    <t>021-6141-3853</t>
  </si>
  <si>
    <t>info_CN@perfectcorp.com</t>
  </si>
  <si>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t>
    </r>
  </si>
  <si>
    <r>
      <rPr>
        <sz val="9"/>
        <color rgb="FF000000"/>
        <rFont val="楷体"/>
        <charset val="134"/>
      </rPr>
      <t>阿里巴巴</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讯连科技</t>
    </r>
  </si>
  <si>
    <r>
      <rPr>
        <sz val="9"/>
        <color rgb="FF000000"/>
        <rFont val="楷体"/>
        <charset val="134"/>
      </rPr>
      <t>创世伙伴资本</t>
    </r>
    <r>
      <rPr>
        <sz val="9"/>
        <color rgb="FF000000"/>
        <rFont val="Arial"/>
        <charset val="134"/>
      </rPr>
      <t>,Extol Capital,</t>
    </r>
    <r>
      <rPr>
        <sz val="9"/>
        <color rgb="FF000000"/>
        <rFont val="楷体"/>
        <charset val="134"/>
      </rPr>
      <t>讯连科技</t>
    </r>
    <r>
      <rPr>
        <sz val="9"/>
        <color rgb="FF000000"/>
        <rFont val="Arial"/>
        <charset val="134"/>
      </rPr>
      <t>,</t>
    </r>
    <r>
      <rPr>
        <sz val="9"/>
        <color rgb="FF000000"/>
        <rFont val="楷体"/>
        <charset val="134"/>
      </rPr>
      <t>元大亚洲</t>
    </r>
  </si>
  <si>
    <t>2016-04-03</t>
  </si>
  <si>
    <t>超级讲师</t>
  </si>
  <si>
    <r>
      <rPr>
        <sz val="9"/>
        <color rgb="FF000000"/>
        <rFont val="楷体"/>
        <charset val="134"/>
      </rPr>
      <t>超级讲师是一个覆盖</t>
    </r>
    <r>
      <rPr>
        <sz val="9"/>
        <color rgb="FF000000"/>
        <rFont val="Arial"/>
        <charset val="134"/>
      </rPr>
      <t>iOS</t>
    </r>
    <r>
      <rPr>
        <sz val="9"/>
        <color rgb="FF000000"/>
        <rFont val="楷体"/>
        <charset val="134"/>
      </rPr>
      <t>、安卓、网站于一体的教育网站，用户可使用</t>
    </r>
    <r>
      <rPr>
        <sz val="9"/>
        <color rgb="FF000000"/>
        <rFont val="Arial"/>
        <charset val="134"/>
      </rPr>
      <t>App</t>
    </r>
    <r>
      <rPr>
        <sz val="9"/>
        <color rgb="FF000000"/>
        <rFont val="楷体"/>
        <charset val="134"/>
      </rPr>
      <t>制作微课视频并分享，致力于让学生在课堂内外进行移动自主学习，更有名师在线解答服务。隶属于北京易智享科技有限公司。</t>
    </r>
  </si>
  <si>
    <t>北京易智享科技有限公司</t>
  </si>
  <si>
    <t>2015-05</t>
  </si>
  <si>
    <r>
      <rPr>
        <sz val="9"/>
        <color rgb="FF000000"/>
        <rFont val="Arial"/>
        <charset val="134"/>
      </rPr>
      <t>400</t>
    </r>
    <r>
      <rPr>
        <sz val="9"/>
        <color rgb="FF000000"/>
        <rFont val="楷体"/>
        <charset val="134"/>
      </rPr>
      <t>万人民币</t>
    </r>
  </si>
  <si>
    <r>
      <rPr>
        <sz val="9"/>
        <color rgb="FF000000"/>
        <rFont val="Arial"/>
        <charset val="134"/>
      </rPr>
      <t>400</t>
    </r>
    <r>
      <rPr>
        <sz val="9"/>
        <color rgb="FF000000"/>
        <rFont val="楷体"/>
        <charset val="134"/>
      </rPr>
      <t>万</t>
    </r>
  </si>
  <si>
    <r>
      <rPr>
        <sz val="9"/>
        <color rgb="FF000000"/>
        <rFont val="Arial"/>
        <charset val="134"/>
      </rPr>
      <t>2000</t>
    </r>
    <r>
      <rPr>
        <sz val="9"/>
        <color rgb="FF000000"/>
        <rFont val="楷体"/>
        <charset val="134"/>
      </rPr>
      <t>万元</t>
    </r>
  </si>
  <si>
    <r>
      <rPr>
        <sz val="9"/>
        <color rgb="FF000000"/>
        <rFont val="楷体"/>
        <charset val="134"/>
      </rPr>
      <t>田波</t>
    </r>
    <r>
      <rPr>
        <sz val="9"/>
        <color rgb="FF000000"/>
        <rFont val="Arial"/>
        <charset val="134"/>
      </rPr>
      <t>:</t>
    </r>
    <r>
      <rPr>
        <sz val="9"/>
        <color rgb="FF000000"/>
        <rFont val="楷体"/>
        <charset val="134"/>
      </rPr>
      <t>技术总监</t>
    </r>
  </si>
  <si>
    <r>
      <rPr>
        <sz val="9"/>
        <color rgb="FF000000"/>
        <rFont val="楷体"/>
        <charset val="134"/>
      </rPr>
      <t>北京市朝阳区利泽中园</t>
    </r>
    <r>
      <rPr>
        <sz val="9"/>
        <color rgb="FF000000"/>
        <rFont val="Arial"/>
        <charset val="134"/>
      </rPr>
      <t>106</t>
    </r>
    <r>
      <rPr>
        <sz val="9"/>
        <color rgb="FF000000"/>
        <rFont val="楷体"/>
        <charset val="134"/>
      </rPr>
      <t>号楼</t>
    </r>
    <r>
      <rPr>
        <sz val="9"/>
        <color rgb="FF000000"/>
        <rFont val="Arial"/>
        <charset val="134"/>
      </rPr>
      <t>3</t>
    </r>
    <r>
      <rPr>
        <sz val="9"/>
        <color rgb="FF000000"/>
        <rFont val="楷体"/>
        <charset val="134"/>
      </rPr>
      <t>层</t>
    </r>
    <r>
      <rPr>
        <sz val="9"/>
        <color rgb="FF000000"/>
        <rFont val="Arial"/>
        <charset val="134"/>
      </rPr>
      <t>302B;</t>
    </r>
    <r>
      <rPr>
        <sz val="9"/>
        <color rgb="FF000000"/>
        <rFont val="楷体"/>
        <charset val="134"/>
      </rPr>
      <t>北京市朝阳区利泽中园</t>
    </r>
    <r>
      <rPr>
        <sz val="9"/>
        <color rgb="FF000000"/>
        <rFont val="Arial"/>
        <charset val="134"/>
      </rPr>
      <t>106</t>
    </r>
    <r>
      <rPr>
        <sz val="9"/>
        <color rgb="FF000000"/>
        <rFont val="楷体"/>
        <charset val="134"/>
      </rPr>
      <t>号楼</t>
    </r>
    <r>
      <rPr>
        <sz val="9"/>
        <color rgb="FF000000"/>
        <rFont val="Arial"/>
        <charset val="134"/>
      </rPr>
      <t>3</t>
    </r>
    <r>
      <rPr>
        <sz val="9"/>
        <color rgb="FF000000"/>
        <rFont val="楷体"/>
        <charset val="134"/>
      </rPr>
      <t>层</t>
    </r>
    <r>
      <rPr>
        <sz val="9"/>
        <color rgb="FF000000"/>
        <rFont val="Arial"/>
        <charset val="134"/>
      </rPr>
      <t xml:space="preserve">302B </t>
    </r>
  </si>
  <si>
    <t xml:space="preserve">186-1294-1360 </t>
  </si>
  <si>
    <t xml:space="preserve">tiantao@yiniao.org </t>
  </si>
  <si>
    <t>2021-04-25</t>
  </si>
  <si>
    <t>乐言科技</t>
  </si>
  <si>
    <t>乐言科技是一家专注于认知智能技术产业应用的上海市高新技术企业，是国内先进的人工智能整体解决方案提供商。致力于将先进的认知计算技术赋能电商客服、智慧教育、政务咨询、医疗问诊等各个公共服务垂直领域，提升行业效率，降低人力成本并挖掘更多客户价值。</t>
  </si>
  <si>
    <t>上海乐言科技股份有限公司</t>
  </si>
  <si>
    <t>https://leyantech.com/</t>
  </si>
  <si>
    <r>
      <rPr>
        <sz val="9"/>
        <color rgb="FF000000"/>
        <rFont val="楷体"/>
        <charset val="134"/>
      </rPr>
      <t>阿米巴资本</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初心资本</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云九资本</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临港科创</t>
    </r>
    <r>
      <rPr>
        <sz val="9"/>
        <color rgb="FF000000"/>
        <rFont val="Arial"/>
        <charset val="134"/>
      </rPr>
      <t>,</t>
    </r>
    <r>
      <rPr>
        <sz val="9"/>
        <color rgb="FF000000"/>
        <rFont val="楷体"/>
        <charset val="134"/>
      </rPr>
      <t>跃马资本</t>
    </r>
  </si>
  <si>
    <r>
      <rPr>
        <sz val="9"/>
        <color rgb="FF000000"/>
        <rFont val="Arial"/>
        <charset val="134"/>
      </rPr>
      <t>7.66</t>
    </r>
    <r>
      <rPr>
        <sz val="9"/>
        <color rgb="FF000000"/>
        <rFont val="楷体"/>
        <charset val="134"/>
      </rPr>
      <t>亿</t>
    </r>
  </si>
  <si>
    <r>
      <rPr>
        <sz val="9"/>
        <color rgb="FF000000"/>
        <rFont val="楷体"/>
        <charset val="134"/>
      </rPr>
      <t>沈李斌</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赵兴斌</t>
    </r>
    <r>
      <rPr>
        <sz val="9"/>
        <color rgb="FF000000"/>
        <rFont val="Arial"/>
        <charset val="134"/>
      </rPr>
      <t>:COO,</t>
    </r>
    <r>
      <rPr>
        <sz val="9"/>
        <color rgb="FF000000"/>
        <rFont val="楷体"/>
        <charset val="134"/>
      </rPr>
      <t>李波</t>
    </r>
    <r>
      <rPr>
        <sz val="9"/>
        <color rgb="FF000000"/>
        <rFont val="Arial"/>
        <charset val="134"/>
      </rPr>
      <t>:CTO,</t>
    </r>
    <r>
      <rPr>
        <sz val="9"/>
        <color rgb="FF000000"/>
        <rFont val="楷体"/>
        <charset val="134"/>
      </rPr>
      <t>吴海华</t>
    </r>
    <r>
      <rPr>
        <sz val="9"/>
        <color rgb="FF000000"/>
        <rFont val="Arial"/>
        <charset val="134"/>
      </rPr>
      <t>:SVP</t>
    </r>
  </si>
  <si>
    <r>
      <rPr>
        <sz val="9"/>
        <color rgb="FF000000"/>
        <rFont val="楷体"/>
        <charset val="134"/>
      </rPr>
      <t>上海市长宁区长宁路</t>
    </r>
    <r>
      <rPr>
        <sz val="9"/>
        <color rgb="FF000000"/>
        <rFont val="Arial"/>
        <charset val="134"/>
      </rPr>
      <t>1033</t>
    </r>
    <r>
      <rPr>
        <sz val="9"/>
        <color rgb="FF000000"/>
        <rFont val="楷体"/>
        <charset val="134"/>
      </rPr>
      <t>号</t>
    </r>
    <r>
      <rPr>
        <sz val="9"/>
        <color rgb="FF000000"/>
        <rFont val="Arial"/>
        <charset val="134"/>
      </rPr>
      <t>19</t>
    </r>
    <r>
      <rPr>
        <sz val="9"/>
        <color rgb="FF000000"/>
        <rFont val="楷体"/>
        <charset val="134"/>
      </rPr>
      <t>楼</t>
    </r>
  </si>
  <si>
    <t>400-668-1105</t>
  </si>
  <si>
    <t>talents@leyantech.com</t>
  </si>
  <si>
    <r>
      <t>2</t>
    </r>
    <r>
      <rPr>
        <sz val="9"/>
        <color rgb="FF000000"/>
        <rFont val="楷体"/>
        <charset val="134"/>
      </rPr>
      <t>亿人民币</t>
    </r>
  </si>
  <si>
    <t>云九资本</t>
  </si>
  <si>
    <r>
      <rPr>
        <sz val="9"/>
        <color rgb="FF000000"/>
        <rFont val="楷体"/>
        <charset val="134"/>
      </rPr>
      <t>云锋基金</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昆仑万维</t>
    </r>
    <r>
      <rPr>
        <sz val="9"/>
        <color rgb="FF000000"/>
        <rFont val="Arial"/>
        <charset val="134"/>
      </rPr>
      <t>,</t>
    </r>
    <r>
      <rPr>
        <sz val="9"/>
        <color rgb="FF000000"/>
        <rFont val="楷体"/>
        <charset val="134"/>
      </rPr>
      <t>众为资本</t>
    </r>
  </si>
  <si>
    <t>众为资本</t>
  </si>
  <si>
    <r>
      <rPr>
        <sz val="9"/>
        <color rgb="FF000000"/>
        <rFont val="楷体"/>
        <charset val="134"/>
      </rPr>
      <t>阿米巴资本</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熠美投资</t>
    </r>
  </si>
  <si>
    <t>初心资本</t>
  </si>
  <si>
    <t>2023-04-06</t>
  </si>
  <si>
    <t>Renderbus瑞云科技</t>
  </si>
  <si>
    <r>
      <rPr>
        <sz val="9"/>
        <color rgb="FF000000"/>
        <rFont val="Arial"/>
        <charset val="134"/>
      </rPr>
      <t>Renderbus</t>
    </r>
    <r>
      <rPr>
        <sz val="9"/>
        <color rgb="FF000000"/>
        <rFont val="楷体"/>
        <charset val="134"/>
      </rPr>
      <t>瑞云科技</t>
    </r>
  </si>
  <si>
    <r>
      <rPr>
        <sz val="9"/>
        <color rgb="FF000000"/>
        <rFont val="楷体"/>
        <charset val="134"/>
      </rPr>
      <t>瑞云科技是一家专注为视觉行业提供垂直云计算服务的公司，致力于提供专业可靠、安全稳定、可持续创新的云渲染解决方案，通过技术创新给行业带来低成本、高效、可靠的云服务。专门针对视觉行业提供了一系列</t>
    </r>
    <r>
      <rPr>
        <sz val="9"/>
        <color rgb="FF000000"/>
        <rFont val="Arial"/>
        <charset val="134"/>
      </rPr>
      <t>IaaS</t>
    </r>
    <r>
      <rPr>
        <sz val="9"/>
        <color rgb="FF000000"/>
        <rFont val="楷体"/>
        <charset val="134"/>
      </rPr>
      <t>、</t>
    </r>
    <r>
      <rPr>
        <sz val="9"/>
        <color rgb="FF000000"/>
        <rFont val="Arial"/>
        <charset val="134"/>
      </rPr>
      <t>PaaS</t>
    </r>
    <r>
      <rPr>
        <sz val="9"/>
        <color rgb="FF000000"/>
        <rFont val="楷体"/>
        <charset val="134"/>
      </rPr>
      <t>及</t>
    </r>
    <r>
      <rPr>
        <sz val="9"/>
        <color rgb="FF000000"/>
        <rFont val="Arial"/>
        <charset val="134"/>
      </rPr>
      <t>SaaS</t>
    </r>
    <r>
      <rPr>
        <sz val="9"/>
        <color rgb="FF000000"/>
        <rFont val="楷体"/>
        <charset val="134"/>
      </rPr>
      <t>云服务，包括青椒云云端图形工作站、</t>
    </r>
    <r>
      <rPr>
        <sz val="9"/>
        <color rgb="FF000000"/>
        <rFont val="Arial"/>
        <charset val="134"/>
      </rPr>
      <t>3DCAT</t>
    </r>
    <r>
      <rPr>
        <sz val="9"/>
        <color rgb="FF000000"/>
        <rFont val="楷体"/>
        <charset val="134"/>
      </rPr>
      <t>实时渲染云平台、</t>
    </r>
    <r>
      <rPr>
        <sz val="9"/>
        <color rgb="FF000000"/>
        <rFont val="Arial"/>
        <charset val="134"/>
      </rPr>
      <t>Raysync</t>
    </r>
    <r>
      <rPr>
        <sz val="9"/>
        <color rgb="FF000000"/>
        <rFont val="楷体"/>
        <charset val="134"/>
      </rPr>
      <t>镭速高性能传输加速技术，满足图形图像行业用户的专业需求，并支持用户在云端实现全球协同工作，使用户摆脱沉重的</t>
    </r>
    <r>
      <rPr>
        <sz val="9"/>
        <color rgb="FF000000"/>
        <rFont val="Arial"/>
        <charset val="134"/>
      </rPr>
      <t>IT</t>
    </r>
    <r>
      <rPr>
        <sz val="9"/>
        <color rgb="FF000000"/>
        <rFont val="楷体"/>
        <charset val="134"/>
      </rPr>
      <t>和计算设施投入，将更多的精力和资源放在内容创作和运营上，大大提高行业生产协作效率，并极大降低成本。</t>
    </r>
  </si>
  <si>
    <t>深圳市瑞云科技股份有限公司</t>
  </si>
  <si>
    <t>http://www.rayvision.com</t>
  </si>
  <si>
    <t>2004-05</t>
  </si>
  <si>
    <r>
      <rPr>
        <sz val="9"/>
        <color rgb="FF000000"/>
        <rFont val="楷体"/>
        <charset val="134"/>
      </rPr>
      <t>奇点资本</t>
    </r>
    <r>
      <rPr>
        <sz val="9"/>
        <color rgb="FF000000"/>
        <rFont val="Arial"/>
        <charset val="134"/>
      </rPr>
      <t>,</t>
    </r>
    <r>
      <rPr>
        <sz val="9"/>
        <color rgb="FF000000"/>
        <rFont val="楷体"/>
        <charset val="134"/>
      </rPr>
      <t>央视产业基金</t>
    </r>
  </si>
  <si>
    <r>
      <rPr>
        <sz val="9"/>
        <color rgb="FF000000"/>
        <rFont val="Arial"/>
        <charset val="134"/>
      </rPr>
      <t>6.63</t>
    </r>
    <r>
      <rPr>
        <sz val="9"/>
        <color rgb="FF000000"/>
        <rFont val="楷体"/>
        <charset val="134"/>
      </rPr>
      <t>亿</t>
    </r>
  </si>
  <si>
    <r>
      <rPr>
        <sz val="9"/>
        <color rgb="FF000000"/>
        <rFont val="楷体"/>
        <charset val="134"/>
      </rPr>
      <t>高斌</t>
    </r>
    <r>
      <rPr>
        <sz val="9"/>
        <color rgb="FF000000"/>
        <rFont val="Arial"/>
        <charset val="134"/>
      </rPr>
      <t>:CEO</t>
    </r>
  </si>
  <si>
    <r>
      <rPr>
        <sz val="9"/>
        <color rgb="FF000000"/>
        <rFont val="楷体"/>
        <charset val="134"/>
      </rPr>
      <t>广东省深圳市南山高新区比克大厦</t>
    </r>
    <r>
      <rPr>
        <sz val="9"/>
        <color rgb="FF000000"/>
        <rFont val="Arial"/>
        <charset val="134"/>
      </rPr>
      <t>9</t>
    </r>
    <r>
      <rPr>
        <sz val="9"/>
        <color rgb="FF000000"/>
        <rFont val="楷体"/>
        <charset val="134"/>
      </rPr>
      <t>楼</t>
    </r>
    <r>
      <rPr>
        <sz val="9"/>
        <color rgb="FF000000"/>
        <rFont val="Arial"/>
        <charset val="134"/>
      </rPr>
      <t>901B</t>
    </r>
  </si>
  <si>
    <t>0755-8255-7919</t>
  </si>
  <si>
    <t>fifi@rayvision.com</t>
  </si>
  <si>
    <r>
      <rPr>
        <sz val="9"/>
        <color rgb="FF000000"/>
        <rFont val="楷体"/>
        <charset val="134"/>
      </rPr>
      <t>英飞尼迪</t>
    </r>
    <r>
      <rPr>
        <sz val="9"/>
        <color rgb="FF000000"/>
        <rFont val="Arial"/>
        <charset val="134"/>
      </rPr>
      <t>Infinity,</t>
    </r>
    <r>
      <rPr>
        <sz val="9"/>
        <color rgb="FF000000"/>
        <rFont val="楷体"/>
        <charset val="134"/>
      </rPr>
      <t>招商局创投</t>
    </r>
  </si>
  <si>
    <t>丝路视觉</t>
  </si>
  <si>
    <r>
      <rPr>
        <sz val="9"/>
        <color rgb="FF000000"/>
        <rFont val="楷体"/>
        <charset val="134"/>
      </rPr>
      <t>同创伟业</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博时基金</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君信创投</t>
    </r>
    <r>
      <rPr>
        <sz val="9"/>
        <color rgb="FF000000"/>
        <rFont val="Arial"/>
        <charset val="134"/>
      </rPr>
      <t>,</t>
    </r>
    <r>
      <rPr>
        <sz val="9"/>
        <color rgb="FF000000"/>
        <rFont val="楷体"/>
        <charset val="134"/>
      </rPr>
      <t>力合英飞</t>
    </r>
  </si>
  <si>
    <r>
      <rPr>
        <sz val="9"/>
        <color rgb="FF000000"/>
        <rFont val="楷体"/>
        <charset val="134"/>
      </rPr>
      <t>中关村协同创新基金</t>
    </r>
    <r>
      <rPr>
        <sz val="9"/>
        <color rgb="FF000000"/>
        <rFont val="Arial"/>
        <charset val="134"/>
      </rPr>
      <t>,</t>
    </r>
    <r>
      <rPr>
        <sz val="9"/>
        <color rgb="FF000000"/>
        <rFont val="楷体"/>
        <charset val="134"/>
      </rPr>
      <t>合勤资本</t>
    </r>
  </si>
  <si>
    <t>2023-03-30</t>
  </si>
  <si>
    <t>中测智绘</t>
  </si>
  <si>
    <r>
      <rPr>
        <sz val="9"/>
        <color rgb="FF000000"/>
        <rFont val="楷体"/>
        <charset val="134"/>
      </rPr>
      <t>中测智绘</t>
    </r>
  </si>
  <si>
    <r>
      <rPr>
        <sz val="9"/>
        <color rgb="FF000000"/>
        <rFont val="楷体"/>
        <charset val="134"/>
      </rPr>
      <t>中测智绘是一家专注于地理信息和计算机视觉领域的企业，致力于打造全自动、无约束的影像建模系统。主要从事摄影测量、遥感、地理信息相关领域的软件的开发和研制，应用于数字城市、智慧城市、</t>
    </r>
    <r>
      <rPr>
        <sz val="9"/>
        <color rgb="FF000000"/>
        <rFont val="Arial"/>
        <charset val="134"/>
      </rPr>
      <t>3D</t>
    </r>
    <r>
      <rPr>
        <sz val="9"/>
        <color rgb="FF000000"/>
        <rFont val="楷体"/>
        <charset val="134"/>
      </rPr>
      <t>打印、工业零件模型制作等领域。</t>
    </r>
  </si>
  <si>
    <t>北京中测智绘科技有限公司</t>
  </si>
  <si>
    <t>http://www.smartmappingtek.com</t>
  </si>
  <si>
    <r>
      <rPr>
        <sz val="9"/>
        <color rgb="FF000000"/>
        <rFont val="楷体"/>
        <charset val="134"/>
      </rPr>
      <t>北京</t>
    </r>
    <r>
      <rPr>
        <sz val="9"/>
        <color rgb="FF000000"/>
        <rFont val="Arial"/>
        <charset val="134"/>
      </rPr>
      <t>-</t>
    </r>
    <r>
      <rPr>
        <sz val="9"/>
        <color rgb="FF000000"/>
        <rFont val="楷体"/>
        <charset val="134"/>
      </rPr>
      <t>昌平区</t>
    </r>
  </si>
  <si>
    <r>
      <t>A</t>
    </r>
    <r>
      <rPr>
        <sz val="9"/>
        <color rgb="FF000000"/>
        <rFont val="楷体"/>
        <charset val="134"/>
      </rPr>
      <t>轮</t>
    </r>
  </si>
  <si>
    <r>
      <rPr>
        <sz val="9"/>
        <color rgb="FF000000"/>
        <rFont val="楷体"/>
        <charset val="134"/>
      </rPr>
      <t>数千万人民币</t>
    </r>
  </si>
  <si>
    <r>
      <rPr>
        <sz val="9"/>
        <color rgb="FF000000"/>
        <rFont val="楷体"/>
        <charset val="134"/>
      </rPr>
      <t>阿里巴巴</t>
    </r>
    <r>
      <rPr>
        <sz val="9"/>
        <color rgb="FF000000"/>
        <rFont val="Arial"/>
        <charset val="134"/>
      </rPr>
      <t>,</t>
    </r>
    <r>
      <rPr>
        <sz val="9"/>
        <color rgb="FF000000"/>
        <rFont val="楷体"/>
        <charset val="134"/>
      </rPr>
      <t>合肥创投</t>
    </r>
  </si>
  <si>
    <r>
      <t>4400</t>
    </r>
    <r>
      <rPr>
        <sz val="9"/>
        <color rgb="FF000000"/>
        <rFont val="楷体"/>
        <charset val="134"/>
      </rPr>
      <t>万</t>
    </r>
  </si>
  <si>
    <r>
      <t>1.5</t>
    </r>
    <r>
      <rPr>
        <sz val="9"/>
        <color rgb="FF000000"/>
        <rFont val="楷体"/>
        <charset val="134"/>
      </rPr>
      <t>亿元</t>
    </r>
  </si>
  <si>
    <r>
      <rPr>
        <sz val="9"/>
        <color rgb="FF000000"/>
        <rFont val="楷体"/>
        <charset val="134"/>
      </rPr>
      <t>朱俊锋</t>
    </r>
    <r>
      <rPr>
        <sz val="9"/>
        <color rgb="FF000000"/>
        <rFont val="Arial"/>
        <charset val="134"/>
      </rPr>
      <t>:</t>
    </r>
    <r>
      <rPr>
        <sz val="9"/>
        <color rgb="FF000000"/>
        <rFont val="楷体"/>
        <charset val="134"/>
      </rPr>
      <t>创始人</t>
    </r>
  </si>
  <si>
    <r>
      <rPr>
        <sz val="9"/>
        <color rgb="FF000000"/>
        <rFont val="楷体"/>
        <charset val="134"/>
      </rPr>
      <t>北京市昌平区金域国际中心</t>
    </r>
    <r>
      <rPr>
        <sz val="9"/>
        <color rgb="FF000000"/>
        <rFont val="Arial"/>
        <charset val="134"/>
      </rPr>
      <t>A</t>
    </r>
    <r>
      <rPr>
        <sz val="9"/>
        <color rgb="FF000000"/>
        <rFont val="楷体"/>
        <charset val="134"/>
      </rPr>
      <t>座</t>
    </r>
    <r>
      <rPr>
        <sz val="9"/>
        <color rgb="FF000000"/>
        <rFont val="Arial"/>
        <charset val="134"/>
      </rPr>
      <t>17</t>
    </r>
    <r>
      <rPr>
        <sz val="9"/>
        <color rgb="FF000000"/>
        <rFont val="楷体"/>
        <charset val="134"/>
      </rPr>
      <t>楼</t>
    </r>
    <r>
      <rPr>
        <sz val="9"/>
        <color rgb="FF000000"/>
        <rFont val="Arial"/>
        <charset val="134"/>
      </rPr>
      <t>1701</t>
    </r>
  </si>
  <si>
    <t>junfeng_zhuCASM@163.com</t>
  </si>
  <si>
    <t>合肥产投</t>
  </si>
  <si>
    <t>2023-01-18</t>
  </si>
  <si>
    <t>美凯龙</t>
  </si>
  <si>
    <r>
      <rPr>
        <sz val="9"/>
        <color rgb="FF000000"/>
        <rFont val="楷体"/>
        <charset val="134"/>
      </rPr>
      <t>红星美凯龙家居集团是家居装饰及家具商场的运营者和管理者，主要通过经营和管理自营商场和委管商场，为</t>
    </r>
    <r>
      <rPr>
        <sz val="9"/>
        <color rgb="FF000000"/>
        <rFont val="Arial"/>
        <charset val="134"/>
      </rPr>
      <t>“</t>
    </r>
    <r>
      <rPr>
        <sz val="9"/>
        <color rgb="FF000000"/>
        <rFont val="楷体"/>
        <charset val="134"/>
      </rPr>
      <t>红星美凯龙</t>
    </r>
    <r>
      <rPr>
        <sz val="9"/>
        <color rgb="FF000000"/>
        <rFont val="Arial"/>
        <charset val="134"/>
      </rPr>
      <t>”</t>
    </r>
    <r>
      <rPr>
        <sz val="9"/>
        <color rgb="FF000000"/>
        <rFont val="楷体"/>
        <charset val="134"/>
      </rPr>
      <t>家居装饰及家具商场的商户、消费者和合作方提供全面服务，是国内经营面积最大、商场数量最多以及地域覆盖面最广阔的全国性家居装饰及家具商场运营商。</t>
    </r>
  </si>
  <si>
    <t>红星美凯龙家居集团股份有限公司</t>
  </si>
  <si>
    <t>http://www.chinaredstar.com</t>
  </si>
  <si>
    <t>2007-06</t>
  </si>
  <si>
    <r>
      <rPr>
        <sz val="9"/>
        <color rgb="FF000000"/>
        <rFont val="Arial"/>
        <charset val="134"/>
      </rPr>
      <t>62.86</t>
    </r>
    <r>
      <rPr>
        <sz val="9"/>
        <color rgb="FF000000"/>
        <rFont val="楷体"/>
        <charset val="134"/>
      </rPr>
      <t>亿人民币</t>
    </r>
  </si>
  <si>
    <t>建发股份</t>
  </si>
  <si>
    <r>
      <rPr>
        <sz val="9"/>
        <color rgb="FF000000"/>
        <rFont val="Arial"/>
        <charset val="134"/>
      </rPr>
      <t>237.16</t>
    </r>
    <r>
      <rPr>
        <sz val="9"/>
        <color rgb="FF000000"/>
        <rFont val="楷体"/>
        <charset val="134"/>
      </rPr>
      <t>亿</t>
    </r>
  </si>
  <si>
    <r>
      <rPr>
        <sz val="9"/>
        <color rgb="FF000000"/>
        <rFont val="Arial"/>
        <charset val="134"/>
      </rPr>
      <t>209.8982</t>
    </r>
    <r>
      <rPr>
        <sz val="9"/>
        <color rgb="FF000000"/>
        <rFont val="楷体"/>
        <charset val="134"/>
      </rPr>
      <t>亿元</t>
    </r>
  </si>
  <si>
    <r>
      <rPr>
        <sz val="9"/>
        <color rgb="FF000000"/>
        <rFont val="楷体"/>
        <charset val="134"/>
      </rPr>
      <t>车建兴</t>
    </r>
    <r>
      <rPr>
        <sz val="9"/>
        <color rgb="FF000000"/>
        <rFont val="Arial"/>
        <charset val="134"/>
      </rPr>
      <t>:CEO</t>
    </r>
  </si>
  <si>
    <r>
      <rPr>
        <sz val="9"/>
        <color rgb="FF000000"/>
        <rFont val="楷体"/>
        <charset val="134"/>
      </rPr>
      <t>上海市普陀区怒江北路</t>
    </r>
    <r>
      <rPr>
        <sz val="9"/>
        <color rgb="FF000000"/>
        <rFont val="Arial"/>
        <charset val="134"/>
      </rPr>
      <t>598</t>
    </r>
    <r>
      <rPr>
        <sz val="9"/>
        <color rgb="FF000000"/>
        <rFont val="楷体"/>
        <charset val="134"/>
      </rPr>
      <t>号红星世贸大厦</t>
    </r>
    <r>
      <rPr>
        <sz val="9"/>
        <color rgb="FF000000"/>
        <rFont val="Arial"/>
        <charset val="134"/>
      </rPr>
      <t>B</t>
    </r>
    <r>
      <rPr>
        <sz val="9"/>
        <color rgb="FF000000"/>
        <rFont val="楷体"/>
        <charset val="134"/>
      </rPr>
      <t>座</t>
    </r>
  </si>
  <si>
    <t>021-2230-0900</t>
  </si>
  <si>
    <t>ir@chinaredstar.com</t>
  </si>
  <si>
    <r>
      <rPr>
        <sz val="9"/>
        <color rgb="FF000000"/>
        <rFont val="Arial"/>
        <charset val="134"/>
      </rPr>
      <t>43.59</t>
    </r>
    <r>
      <rPr>
        <sz val="9"/>
        <color rgb="FF000000"/>
        <rFont val="楷体"/>
        <charset val="134"/>
      </rPr>
      <t>亿人民币</t>
    </r>
  </si>
  <si>
    <r>
      <rPr>
        <sz val="9"/>
        <color rgb="FF000000"/>
        <rFont val="Arial"/>
        <charset val="134"/>
      </rPr>
      <t>32.2</t>
    </r>
    <r>
      <rPr>
        <sz val="9"/>
        <color rgb="FF000000"/>
        <rFont val="楷体"/>
        <charset val="134"/>
      </rPr>
      <t>亿人民币</t>
    </r>
  </si>
  <si>
    <r>
      <rPr>
        <sz val="9"/>
        <color rgb="FF000000"/>
        <rFont val="Arial"/>
        <charset val="134"/>
      </rPr>
      <t>62.5</t>
    </r>
    <r>
      <rPr>
        <sz val="9"/>
        <color rgb="FF000000"/>
        <rFont val="楷体"/>
        <charset val="134"/>
      </rPr>
      <t>亿人民币</t>
    </r>
  </si>
  <si>
    <r>
      <rPr>
        <sz val="9"/>
        <color rgb="FF000000"/>
        <rFont val="Arial"/>
        <charset val="134"/>
      </rPr>
      <t>26</t>
    </r>
    <r>
      <rPr>
        <sz val="9"/>
        <color rgb="FF000000"/>
        <rFont val="楷体"/>
        <charset val="134"/>
      </rPr>
      <t>亿人民币</t>
    </r>
  </si>
  <si>
    <r>
      <rPr>
        <sz val="9"/>
        <color rgb="FF000000"/>
        <rFont val="楷体"/>
        <charset val="134"/>
      </rPr>
      <t>华平投资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复星集团</t>
    </r>
    <r>
      <rPr>
        <sz val="9"/>
        <color rgb="FF000000"/>
        <rFont val="Arial"/>
        <charset val="134"/>
      </rPr>
      <t>,</t>
    </r>
    <r>
      <rPr>
        <sz val="9"/>
        <color rgb="FF000000"/>
        <rFont val="楷体"/>
        <charset val="134"/>
      </rPr>
      <t>渤海基金</t>
    </r>
    <r>
      <rPr>
        <sz val="9"/>
        <color rgb="FF000000"/>
        <rFont val="Arial"/>
        <charset val="134"/>
      </rPr>
      <t>,</t>
    </r>
    <r>
      <rPr>
        <sz val="9"/>
        <color rgb="FF000000"/>
        <rFont val="楷体"/>
        <charset val="134"/>
      </rPr>
      <t>天泉投资</t>
    </r>
  </si>
  <si>
    <t>华平投资</t>
  </si>
  <si>
    <t>2021-10-14</t>
  </si>
  <si>
    <t>康立明生物</t>
  </si>
  <si>
    <r>
      <rPr>
        <sz val="9"/>
        <color rgb="FF000000"/>
        <rFont val="楷体"/>
        <charset val="134"/>
      </rPr>
      <t>康立明生物</t>
    </r>
  </si>
  <si>
    <r>
      <rPr>
        <sz val="9"/>
        <color rgb="FF000000"/>
        <rFont val="楷体"/>
        <charset val="134"/>
      </rPr>
      <t>康立明生物是一家生物医疗技术公司，专注于长安心粪便</t>
    </r>
    <r>
      <rPr>
        <sz val="9"/>
        <color rgb="FF000000"/>
        <rFont val="Arial"/>
        <charset val="134"/>
      </rPr>
      <t>DNA</t>
    </r>
    <r>
      <rPr>
        <sz val="9"/>
        <color rgb="FF000000"/>
        <rFont val="楷体"/>
        <charset val="134"/>
      </rPr>
      <t>肠癌检测试剂盒等肿瘤早期诊断产品以及相关自动化检测设备的研发、生产和销售，并可提供相应的检测服务。</t>
    </r>
  </si>
  <si>
    <t>广州康立明生物科技股份有限公司</t>
  </si>
  <si>
    <t>http://www.creativebio.cn</t>
  </si>
  <si>
    <r>
      <rPr>
        <sz val="9"/>
        <color rgb="FF000000"/>
        <rFont val="楷体"/>
        <charset val="134"/>
      </rPr>
      <t>医疗健康</t>
    </r>
  </si>
  <si>
    <r>
      <rPr>
        <sz val="9"/>
        <color rgb="FF000000"/>
        <rFont val="楷体"/>
        <charset val="134"/>
      </rPr>
      <t>生物技术和制药</t>
    </r>
  </si>
  <si>
    <r>
      <t>5.6</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</si>
  <si>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农银国际</t>
    </r>
    <r>
      <rPr>
        <sz val="9"/>
        <color rgb="FF000000"/>
        <rFont val="Arial"/>
        <charset val="134"/>
      </rPr>
      <t>,</t>
    </r>
    <r>
      <rPr>
        <sz val="9"/>
        <color rgb="FF000000"/>
        <rFont val="楷体"/>
        <charset val="134"/>
      </rPr>
      <t>衡庐资产</t>
    </r>
  </si>
  <si>
    <r>
      <t>16.03</t>
    </r>
    <r>
      <rPr>
        <sz val="9"/>
        <color rgb="FF000000"/>
        <rFont val="楷体"/>
        <charset val="134"/>
      </rPr>
      <t>亿</t>
    </r>
  </si>
  <si>
    <r>
      <t>56</t>
    </r>
    <r>
      <rPr>
        <sz val="9"/>
        <color rgb="FF000000"/>
        <rFont val="楷体"/>
        <charset val="134"/>
      </rPr>
      <t>亿元</t>
    </r>
  </si>
  <si>
    <r>
      <rPr>
        <sz val="9"/>
        <color rgb="FF000000"/>
        <rFont val="楷体"/>
        <charset val="134"/>
      </rPr>
      <t>邹鸿志</t>
    </r>
    <r>
      <rPr>
        <sz val="9"/>
        <color rgb="FF000000"/>
        <rFont val="Arial"/>
        <charset val="134"/>
      </rPr>
      <t>:CEO</t>
    </r>
  </si>
  <si>
    <r>
      <rPr>
        <sz val="9"/>
        <color rgb="FF000000"/>
        <rFont val="楷体"/>
        <charset val="134"/>
      </rPr>
      <t>广州高新技术产业开发区科学城开源大道</t>
    </r>
    <r>
      <rPr>
        <sz val="9"/>
        <color rgb="FF000000"/>
        <rFont val="Arial"/>
        <charset val="134"/>
      </rPr>
      <t>11</t>
    </r>
    <r>
      <rPr>
        <sz val="9"/>
        <color rgb="FF000000"/>
        <rFont val="楷体"/>
        <charset val="134"/>
      </rPr>
      <t>号</t>
    </r>
    <r>
      <rPr>
        <sz val="9"/>
        <color rgb="FF000000"/>
        <rFont val="Arial"/>
        <charset val="134"/>
      </rPr>
      <t>A2</t>
    </r>
    <r>
      <rPr>
        <sz val="9"/>
        <color rgb="FF000000"/>
        <rFont val="楷体"/>
        <charset val="134"/>
      </rPr>
      <t>栋第六层</t>
    </r>
  </si>
  <si>
    <t>020-8251-0982</t>
  </si>
  <si>
    <t>heli@creativebio.cn</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</si>
  <si>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盛宇投资</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清松资本</t>
    </r>
    <r>
      <rPr>
        <sz val="9"/>
        <color rgb="FF000000"/>
        <rFont val="Arial"/>
        <charset val="134"/>
      </rPr>
      <t>,</t>
    </r>
    <r>
      <rPr>
        <sz val="9"/>
        <color rgb="FF000000"/>
        <rFont val="楷体"/>
        <charset val="134"/>
      </rPr>
      <t>君度投资</t>
    </r>
    <r>
      <rPr>
        <sz val="9"/>
        <color rgb="FF000000"/>
        <rFont val="Arial"/>
        <charset val="134"/>
      </rPr>
      <t>,</t>
    </r>
    <r>
      <rPr>
        <sz val="9"/>
        <color rgb="FF000000"/>
        <rFont val="楷体"/>
        <charset val="134"/>
      </rPr>
      <t>领道资本</t>
    </r>
    <r>
      <rPr>
        <sz val="9"/>
        <color rgb="FF000000"/>
        <rFont val="Arial"/>
        <charset val="134"/>
      </rPr>
      <t>,</t>
    </r>
    <r>
      <rPr>
        <sz val="9"/>
        <color rgb="FF000000"/>
        <rFont val="楷体"/>
        <charset val="134"/>
      </rPr>
      <t>广州开发区产业基金</t>
    </r>
    <r>
      <rPr>
        <sz val="9"/>
        <color rgb="FF000000"/>
        <rFont val="Arial"/>
        <charset val="134"/>
      </rPr>
      <t>,</t>
    </r>
    <r>
      <rPr>
        <sz val="9"/>
        <color rgb="FF000000"/>
        <rFont val="楷体"/>
        <charset val="134"/>
      </rPr>
      <t>汇聚新星基金</t>
    </r>
    <r>
      <rPr>
        <sz val="9"/>
        <color rgb="FF000000"/>
        <rFont val="Arial"/>
        <charset val="134"/>
      </rPr>
      <t>,</t>
    </r>
    <r>
      <rPr>
        <sz val="9"/>
        <color rgb="FF000000"/>
        <rFont val="楷体"/>
        <charset val="134"/>
      </rPr>
      <t>天津华益</t>
    </r>
    <r>
      <rPr>
        <sz val="9"/>
        <color rgb="FF000000"/>
        <rFont val="Arial"/>
        <charset val="134"/>
      </rPr>
      <t>,</t>
    </r>
    <r>
      <rPr>
        <sz val="9"/>
        <color rgb="FF000000"/>
        <rFont val="楷体"/>
        <charset val="134"/>
      </rPr>
      <t>兴锐资本</t>
    </r>
  </si>
  <si>
    <r>
      <rPr>
        <sz val="9"/>
        <color rgb="FF000000"/>
        <rFont val="楷体"/>
        <charset val="134"/>
      </rPr>
      <t>健壹资本</t>
    </r>
    <r>
      <rPr>
        <sz val="9"/>
        <color rgb="FF000000"/>
        <rFont val="Arial"/>
        <charset val="134"/>
      </rPr>
      <t>-</t>
    </r>
    <r>
      <rPr>
        <sz val="9"/>
        <color rgb="FF000000"/>
        <rFont val="楷体"/>
        <charset val="134"/>
      </rPr>
      <t>国药资本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</si>
  <si>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辰德资本</t>
    </r>
    <r>
      <rPr>
        <sz val="9"/>
        <color rgb="FF000000"/>
        <rFont val="Arial"/>
        <charset val="134"/>
      </rPr>
      <t>,</t>
    </r>
    <r>
      <rPr>
        <sz val="9"/>
        <color rgb="FF000000"/>
        <rFont val="楷体"/>
        <charset val="134"/>
      </rPr>
      <t>金阖资本</t>
    </r>
    <r>
      <rPr>
        <sz val="9"/>
        <color rgb="FF000000"/>
        <rFont val="Arial"/>
        <charset val="134"/>
      </rPr>
      <t>,</t>
    </r>
    <r>
      <rPr>
        <sz val="9"/>
        <color rgb="FF000000"/>
        <rFont val="楷体"/>
        <charset val="134"/>
      </rPr>
      <t>金垣基金</t>
    </r>
  </si>
  <si>
    <r>
      <rPr>
        <sz val="9"/>
        <color rgb="FF000000"/>
        <rFont val="楷体"/>
        <charset val="134"/>
      </rPr>
      <t>辰德资本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渤溢基金</t>
    </r>
  </si>
  <si>
    <t>天士力创投</t>
  </si>
  <si>
    <t>元生创投</t>
  </si>
  <si>
    <t>中通快递</t>
  </si>
  <si>
    <r>
      <rPr>
        <sz val="9"/>
        <color rgb="FF000000"/>
        <rFont val="楷体"/>
        <charset val="134"/>
      </rPr>
      <t>中通快递是一家快递公司，集快递、物流及其他业务于一体，主要业务为国内快递、国际快递、物流配送与仓储等，提供</t>
    </r>
    <r>
      <rPr>
        <sz val="9"/>
        <color rgb="FF000000"/>
        <rFont val="Arial"/>
        <charset val="134"/>
      </rPr>
      <t>“</t>
    </r>
    <r>
      <rPr>
        <sz val="9"/>
        <color rgb="FF000000"/>
        <rFont val="楷体"/>
        <charset val="134"/>
      </rPr>
      <t>门到门</t>
    </r>
    <r>
      <rPr>
        <sz val="9"/>
        <color rgb="FF000000"/>
        <rFont val="Arial"/>
        <charset val="134"/>
      </rPr>
      <t>”</t>
    </r>
    <r>
      <rPr>
        <sz val="9"/>
        <color rgb="FF000000"/>
        <rFont val="楷体"/>
        <charset val="134"/>
      </rPr>
      <t>服务和限时服务。</t>
    </r>
  </si>
  <si>
    <t>中通快递股份有限公司</t>
  </si>
  <si>
    <t>http://www.zto.com/</t>
  </si>
  <si>
    <t>2002-05</t>
  </si>
  <si>
    <r>
      <rPr>
        <sz val="9"/>
        <color rgb="FF000000"/>
        <rFont val="Arial"/>
        <charset val="134"/>
      </rPr>
      <t>98.1</t>
    </r>
    <r>
      <rPr>
        <sz val="9"/>
        <color rgb="FF000000"/>
        <rFont val="楷体"/>
        <charset val="134"/>
      </rPr>
      <t>亿港元</t>
    </r>
  </si>
  <si>
    <r>
      <rPr>
        <sz val="9"/>
        <color rgb="FF000000"/>
        <rFont val="Arial"/>
        <charset val="134"/>
      </rPr>
      <t>269.48</t>
    </r>
    <r>
      <rPr>
        <sz val="9"/>
        <color rgb="FF000000"/>
        <rFont val="楷体"/>
        <charset val="134"/>
      </rPr>
      <t>亿</t>
    </r>
  </si>
  <si>
    <r>
      <rPr>
        <sz val="9"/>
        <color rgb="FF000000"/>
        <rFont val="Arial"/>
        <charset val="134"/>
      </rPr>
      <t>1479.2</t>
    </r>
    <r>
      <rPr>
        <sz val="9"/>
        <color rgb="FF000000"/>
        <rFont val="楷体"/>
        <charset val="134"/>
      </rPr>
      <t>亿元</t>
    </r>
  </si>
  <si>
    <r>
      <rPr>
        <sz val="9"/>
        <color rgb="FF000000"/>
        <rFont val="楷体"/>
        <charset val="134"/>
      </rPr>
      <t>赖梅松</t>
    </r>
    <r>
      <rPr>
        <sz val="9"/>
        <color rgb="FF000000"/>
        <rFont val="Arial"/>
        <charset val="134"/>
      </rPr>
      <t>:CEO</t>
    </r>
  </si>
  <si>
    <r>
      <rPr>
        <sz val="9"/>
        <color rgb="FF000000"/>
        <rFont val="楷体"/>
        <charset val="134"/>
      </rPr>
      <t>上海市青浦区华新镇华志路</t>
    </r>
    <r>
      <rPr>
        <sz val="9"/>
        <color rgb="FF000000"/>
        <rFont val="Arial"/>
        <charset val="134"/>
      </rPr>
      <t>1685</t>
    </r>
    <r>
      <rPr>
        <sz val="9"/>
        <color rgb="FF000000"/>
        <rFont val="楷体"/>
        <charset val="134"/>
      </rPr>
      <t>号</t>
    </r>
  </si>
  <si>
    <t>zp-hr@zto.cn</t>
  </si>
  <si>
    <r>
      <rPr>
        <sz val="9"/>
        <color rgb="FF000000"/>
        <rFont val="Arial"/>
        <charset val="134"/>
      </rPr>
      <t>13.8</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</si>
  <si>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</si>
  <si>
    <r>
      <rPr>
        <sz val="9"/>
        <color rgb="FF000000"/>
        <rFont val="楷体"/>
        <charset val="134"/>
      </rPr>
      <t>红杉资本中国</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渣打银行</t>
    </r>
    <r>
      <rPr>
        <sz val="9"/>
        <color rgb="FF000000"/>
        <rFont val="Arial"/>
        <charset val="134"/>
      </rPr>
      <t>,</t>
    </r>
    <r>
      <rPr>
        <sz val="9"/>
        <color rgb="FF000000"/>
        <rFont val="楷体"/>
        <charset val="134"/>
      </rPr>
      <t>歌斐资产</t>
    </r>
  </si>
  <si>
    <r>
      <rPr>
        <sz val="9"/>
        <color rgb="FF000000"/>
        <rFont val="楷体"/>
        <charset val="134"/>
      </rPr>
      <t>红杉资本中国</t>
    </r>
    <r>
      <rPr>
        <sz val="9"/>
        <color rgb="FF000000"/>
        <rFont val="Arial"/>
        <charset val="134"/>
      </rPr>
      <t>,</t>
    </r>
    <r>
      <rPr>
        <sz val="9"/>
        <color rgb="FF000000"/>
        <rFont val="楷体"/>
        <charset val="134"/>
      </rPr>
      <t>金石投资</t>
    </r>
  </si>
  <si>
    <t>2021-11-09</t>
  </si>
  <si>
    <t>哈啰</t>
  </si>
  <si>
    <r>
      <rPr>
        <sz val="9"/>
        <color rgb="FF000000"/>
        <rFont val="楷体"/>
        <charset val="134"/>
      </rPr>
      <t>哈啰是国内专业的本地出行及生活服务平台，致力于应用数字技术的红利，为人们提供更便捷的出行以及更好的普惠生活服务。公司成立于</t>
    </r>
    <r>
      <rPr>
        <sz val="9"/>
        <color rgb="FF000000"/>
        <rFont val="Arial"/>
        <charset val="134"/>
      </rPr>
      <t>2016</t>
    </r>
    <r>
      <rPr>
        <sz val="9"/>
        <color rgb="FF000000"/>
        <rFont val="楷体"/>
        <charset val="134"/>
      </rPr>
      <t>年</t>
    </r>
    <r>
      <rPr>
        <sz val="9"/>
        <color rgb="FF000000"/>
        <rFont val="Arial"/>
        <charset val="134"/>
      </rPr>
      <t>9</t>
    </r>
    <r>
      <rPr>
        <sz val="9"/>
        <color rgb="FF000000"/>
        <rFont val="楷体"/>
        <charset val="134"/>
      </rPr>
      <t>月，总部位于上海，从大家熟悉的共享单车业务起步。目前哈啰主要提供移动出行服务及新兴本地服务，其中，移动出行服务包括两轮共享服务（哈啰单车、哈啰助力车）和四轮出行服务（哈啰顺风车、哈啰打车）；新兴本地服务包括自主品牌哈啰电动车，与蚂蚁集团、宁德时代合资建立的小哈换电，以及租车服务聚合平台哈啰租车等。</t>
    </r>
  </si>
  <si>
    <t>上海哈啰普惠科技有限公司</t>
  </si>
  <si>
    <t>https://www.hello-inc.com/</t>
  </si>
  <si>
    <t>2016-03</t>
  </si>
  <si>
    <r>
      <rPr>
        <sz val="9"/>
        <color rgb="FF000000"/>
        <rFont val="Arial"/>
        <charset val="134"/>
      </rPr>
      <t>179.05</t>
    </r>
    <r>
      <rPr>
        <sz val="9"/>
        <color rgb="FF000000"/>
        <rFont val="楷体"/>
        <charset val="134"/>
      </rPr>
      <t>亿</t>
    </r>
  </si>
  <si>
    <r>
      <rPr>
        <sz val="9"/>
        <color rgb="FF000000"/>
        <rFont val="Arial"/>
        <charset val="134"/>
      </rPr>
      <t>403</t>
    </r>
    <r>
      <rPr>
        <sz val="9"/>
        <color rgb="FF000000"/>
        <rFont val="楷体"/>
        <charset val="134"/>
      </rPr>
      <t>亿元</t>
    </r>
  </si>
  <si>
    <r>
      <rPr>
        <sz val="9"/>
        <color rgb="FF000000"/>
        <rFont val="楷体"/>
        <charset val="134"/>
      </rPr>
      <t>杨磊</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李开逐</t>
    </r>
    <r>
      <rPr>
        <sz val="9"/>
        <color rgb="FF000000"/>
        <rFont val="Arial"/>
        <charset val="134"/>
      </rPr>
      <t>:</t>
    </r>
    <r>
      <rPr>
        <sz val="9"/>
        <color rgb="FF000000"/>
        <rFont val="楷体"/>
        <charset val="134"/>
      </rPr>
      <t>联合创始人</t>
    </r>
  </si>
  <si>
    <r>
      <rPr>
        <sz val="9"/>
        <color rgb="FF000000"/>
        <rFont val="楷体"/>
        <charset val="134"/>
      </rPr>
      <t>上海市闵行区秀文路</t>
    </r>
    <r>
      <rPr>
        <sz val="9"/>
        <color rgb="FF000000"/>
        <rFont val="Arial"/>
        <charset val="134"/>
      </rPr>
      <t>898</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203</t>
    </r>
    <r>
      <rPr>
        <sz val="9"/>
        <color rgb="FF000000"/>
        <rFont val="楷体"/>
        <charset val="134"/>
      </rPr>
      <t>室</t>
    </r>
  </si>
  <si>
    <t>4000-910-857</t>
  </si>
  <si>
    <t>mk@hellobike.com</t>
  </si>
  <si>
    <r>
      <rPr>
        <sz val="9"/>
        <color rgb="FF000000"/>
        <rFont val="楷体"/>
        <charset val="134"/>
      </rPr>
      <t>春华资本</t>
    </r>
    <r>
      <rPr>
        <sz val="9"/>
        <color rgb="FF000000"/>
        <rFont val="Arial"/>
        <charset val="134"/>
      </rPr>
      <t>Primavera,</t>
    </r>
    <r>
      <rPr>
        <sz val="9"/>
        <color rgb="FF000000"/>
        <rFont val="楷体"/>
        <charset val="134"/>
      </rPr>
      <t>蚂蚁集团</t>
    </r>
  </si>
  <si>
    <r>
      <rPr>
        <sz val="9"/>
        <color rgb="FF000000"/>
        <rFont val="楷体"/>
        <charset val="134"/>
      </rPr>
      <t>复星集团</t>
    </r>
    <r>
      <rPr>
        <sz val="9"/>
        <color rgb="FF000000"/>
        <rFont val="Arial"/>
        <charset val="134"/>
      </rPr>
      <t>,</t>
    </r>
    <r>
      <rPr>
        <sz val="9"/>
        <color rgb="FF000000"/>
        <rFont val="楷体"/>
        <charset val="134"/>
      </rPr>
      <t>蚂蚁集团</t>
    </r>
  </si>
  <si>
    <r>
      <rPr>
        <sz val="9"/>
        <color rgb="FF000000"/>
        <rFont val="楷体"/>
        <charset val="134"/>
      </rPr>
      <t>成为资本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威马汽车</t>
    </r>
    <r>
      <rPr>
        <sz val="9"/>
        <color rgb="FF000000"/>
        <rFont val="Arial"/>
        <charset val="134"/>
      </rPr>
      <t>,</t>
    </r>
    <r>
      <rPr>
        <sz val="9"/>
        <color rgb="FF000000"/>
        <rFont val="楷体"/>
        <charset val="134"/>
      </rPr>
      <t>富士达科技</t>
    </r>
  </si>
  <si>
    <t>永安行</t>
  </si>
  <si>
    <t>威马汽车</t>
  </si>
  <si>
    <t>成为资本</t>
  </si>
  <si>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磐谷创投</t>
    </r>
  </si>
  <si>
    <r>
      <rPr>
        <sz val="9"/>
        <color rgb="FF000000"/>
        <rFont val="Arial"/>
        <charset val="134"/>
      </rPr>
      <t>GGV</t>
    </r>
    <r>
      <rPr>
        <sz val="9"/>
        <color rgb="FF000000"/>
        <rFont val="楷体"/>
        <charset val="134"/>
      </rPr>
      <t>纪源资本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磐谷创投</t>
    </r>
  </si>
  <si>
    <t>2019-09-04</t>
  </si>
  <si>
    <t>Bitmark</t>
  </si>
  <si>
    <r>
      <rPr>
        <sz val="9"/>
        <color rgb="FF000000"/>
        <rFont val="Arial"/>
        <charset val="134"/>
      </rPr>
      <t>Bitmark</t>
    </r>
    <r>
      <rPr>
        <sz val="9"/>
        <color rgb="FF000000"/>
        <rFont val="楷体"/>
        <charset val="134"/>
      </rPr>
      <t>是一家来自台湾的区块链所有权创业公司，在其平台上注册的所有权被绑定为称为</t>
    </r>
    <r>
      <rPr>
        <sz val="9"/>
        <color rgb="FF000000"/>
        <rFont val="Arial"/>
        <charset val="134"/>
      </rPr>
      <t xml:space="preserve">bitmarks </t>
    </r>
    <r>
      <rPr>
        <sz val="9"/>
        <color rgb="FF000000"/>
        <rFont val="楷体"/>
        <charset val="134"/>
      </rPr>
      <t>的数字资产，用户可用其进行交易，并创建交易电子记录。</t>
    </r>
  </si>
  <si>
    <t>Bitmark Inc.</t>
  </si>
  <si>
    <t>https://bitmark.com/</t>
  </si>
  <si>
    <r>
      <rPr>
        <sz val="9"/>
        <color rgb="FF000000"/>
        <rFont val="楷体"/>
        <charset val="134"/>
      </rPr>
      <t>台湾</t>
    </r>
    <r>
      <rPr>
        <sz val="9"/>
        <color rgb="FF000000"/>
        <rFont val="Arial"/>
        <charset val="134"/>
      </rPr>
      <t>-</t>
    </r>
    <r>
      <rPr>
        <sz val="9"/>
        <color rgb="FF000000"/>
        <rFont val="楷体"/>
        <charset val="134"/>
      </rPr>
      <t>台北市</t>
    </r>
  </si>
  <si>
    <t>区块链</t>
  </si>
  <si>
    <t>区块链行业应用</t>
  </si>
  <si>
    <r>
      <rPr>
        <sz val="9"/>
        <color rgb="FF000000"/>
        <rFont val="楷体"/>
        <charset val="134"/>
      </rPr>
      <t>阿里巴巴</t>
    </r>
    <r>
      <rPr>
        <sz val="9"/>
        <color rgb="FF000000"/>
        <rFont val="Arial"/>
        <charset val="134"/>
      </rPr>
      <t>,</t>
    </r>
    <r>
      <rPr>
        <sz val="9"/>
        <color rgb="FF000000"/>
        <rFont val="楷体"/>
        <charset val="134"/>
      </rPr>
      <t>美国中经合集团</t>
    </r>
    <r>
      <rPr>
        <sz val="9"/>
        <color rgb="FF000000"/>
        <rFont val="Arial"/>
        <charset val="134"/>
      </rPr>
      <t>,</t>
    </r>
    <r>
      <rPr>
        <sz val="9"/>
        <color rgb="FF000000"/>
        <rFont val="楷体"/>
        <charset val="134"/>
      </rPr>
      <t>宏达电</t>
    </r>
    <r>
      <rPr>
        <sz val="9"/>
        <color rgb="FF000000"/>
        <rFont val="Arial"/>
        <charset val="134"/>
      </rPr>
      <t>HTC,Digital Currency Group</t>
    </r>
  </si>
  <si>
    <r>
      <rPr>
        <sz val="9"/>
        <color rgb="FF000000"/>
        <rFont val="Arial"/>
        <charset val="134"/>
      </rPr>
      <t>3055</t>
    </r>
    <r>
      <rPr>
        <sz val="9"/>
        <color rgb="FF000000"/>
        <rFont val="楷体"/>
        <charset val="134"/>
      </rPr>
      <t>万</t>
    </r>
  </si>
  <si>
    <r>
      <rPr>
        <sz val="9"/>
        <color rgb="FF000000"/>
        <rFont val="Arial"/>
        <charset val="134"/>
      </rPr>
      <t>170</t>
    </r>
    <r>
      <rPr>
        <sz val="9"/>
        <color rgb="FF000000"/>
        <rFont val="楷体"/>
        <charset val="134"/>
      </rPr>
      <t>万美元</t>
    </r>
  </si>
  <si>
    <r>
      <rPr>
        <sz val="9"/>
        <color rgb="FF000000"/>
        <rFont val="楷体"/>
        <charset val="134"/>
      </rPr>
      <t>心元资本</t>
    </r>
    <r>
      <rPr>
        <sz val="9"/>
        <color rgb="FF000000"/>
        <rFont val="Arial"/>
        <charset val="134"/>
      </rPr>
      <t>Cherubic Ventures,</t>
    </r>
    <r>
      <rPr>
        <sz val="9"/>
        <color rgb="FF000000"/>
        <rFont val="楷体"/>
        <charset val="134"/>
      </rPr>
      <t>华平投资</t>
    </r>
  </si>
  <si>
    <t>2016-11-18</t>
  </si>
  <si>
    <t>三江购物</t>
  </si>
  <si>
    <r>
      <rPr>
        <sz val="9"/>
        <color rgb="FF000000"/>
        <rFont val="楷体"/>
        <charset val="134"/>
      </rPr>
      <t>三江购物是一家浙江省连锁零售业龙头，</t>
    </r>
    <r>
      <rPr>
        <sz val="9"/>
        <color rgb="FF000000"/>
        <rFont val="Arial"/>
        <charset val="134"/>
      </rPr>
      <t>2011</t>
    </r>
    <r>
      <rPr>
        <sz val="9"/>
        <color rgb="FF000000"/>
        <rFont val="楷体"/>
        <charset val="134"/>
      </rPr>
      <t>年登陆</t>
    </r>
    <r>
      <rPr>
        <sz val="9"/>
        <color rgb="FF000000"/>
        <rFont val="Arial"/>
        <charset val="134"/>
      </rPr>
      <t>A</t>
    </r>
    <r>
      <rPr>
        <sz val="9"/>
        <color rgb="FF000000"/>
        <rFont val="楷体"/>
        <charset val="134"/>
      </rPr>
      <t>股市场，目前有门店</t>
    </r>
    <r>
      <rPr>
        <sz val="9"/>
        <color rgb="FF000000"/>
        <rFont val="Arial"/>
        <charset val="134"/>
      </rPr>
      <t>147</t>
    </r>
    <r>
      <rPr>
        <sz val="9"/>
        <color rgb="FF000000"/>
        <rFont val="楷体"/>
        <charset val="134"/>
      </rPr>
      <t>家，年销售规模达</t>
    </r>
    <r>
      <rPr>
        <sz val="9"/>
        <color rgb="FF000000"/>
        <rFont val="Arial"/>
        <charset val="134"/>
      </rPr>
      <t>50</t>
    </r>
    <r>
      <rPr>
        <sz val="9"/>
        <color rgb="FF000000"/>
        <rFont val="楷体"/>
        <charset val="134"/>
      </rPr>
      <t>多亿元。</t>
    </r>
  </si>
  <si>
    <t>三江购物俱乐部股份有限公司</t>
  </si>
  <si>
    <t>http://home.sanjiang.com/</t>
  </si>
  <si>
    <t>1995-09</t>
  </si>
  <si>
    <r>
      <rPr>
        <sz val="9"/>
        <color rgb="FF000000"/>
        <rFont val="楷体"/>
        <charset val="134"/>
      </rPr>
      <t>浙江</t>
    </r>
    <r>
      <rPr>
        <sz val="9"/>
        <color rgb="FF000000"/>
        <rFont val="Arial"/>
        <charset val="134"/>
      </rPr>
      <t>-</t>
    </r>
    <r>
      <rPr>
        <sz val="9"/>
        <color rgb="FF000000"/>
        <rFont val="楷体"/>
        <charset val="134"/>
      </rPr>
      <t>宁波</t>
    </r>
  </si>
  <si>
    <r>
      <rPr>
        <sz val="9"/>
        <color rgb="FF000000"/>
        <rFont val="Arial"/>
        <charset val="134"/>
      </rPr>
      <t>21.5</t>
    </r>
    <r>
      <rPr>
        <sz val="9"/>
        <color rgb="FF000000"/>
        <rFont val="楷体"/>
        <charset val="134"/>
      </rPr>
      <t>亿人民币</t>
    </r>
  </si>
  <si>
    <r>
      <rPr>
        <sz val="9"/>
        <color rgb="FF000000"/>
        <rFont val="Arial"/>
        <charset val="134"/>
      </rPr>
      <t>24.5</t>
    </r>
    <r>
      <rPr>
        <sz val="9"/>
        <color rgb="FF000000"/>
        <rFont val="楷体"/>
        <charset val="134"/>
      </rPr>
      <t>亿</t>
    </r>
  </si>
  <si>
    <r>
      <rPr>
        <sz val="9"/>
        <color rgb="FF000000"/>
        <rFont val="Arial"/>
        <charset val="134"/>
      </rPr>
      <t>67.1875</t>
    </r>
    <r>
      <rPr>
        <sz val="9"/>
        <color rgb="FF000000"/>
        <rFont val="楷体"/>
        <charset val="134"/>
      </rPr>
      <t>亿元</t>
    </r>
  </si>
  <si>
    <r>
      <rPr>
        <sz val="9"/>
        <color rgb="FF000000"/>
        <rFont val="楷体"/>
        <charset val="134"/>
      </rPr>
      <t>陈念慈</t>
    </r>
    <r>
      <rPr>
        <sz val="9"/>
        <color rgb="FF000000"/>
        <rFont val="Arial"/>
        <charset val="134"/>
      </rPr>
      <t>:</t>
    </r>
    <r>
      <rPr>
        <sz val="9"/>
        <color rgb="FF000000"/>
        <rFont val="楷体"/>
        <charset val="134"/>
      </rPr>
      <t>董事长</t>
    </r>
  </si>
  <si>
    <r>
      <rPr>
        <sz val="9"/>
        <color rgb="FF000000"/>
        <rFont val="楷体"/>
        <charset val="134"/>
      </rPr>
      <t>宁波市海曙区环城西路北段</t>
    </r>
    <r>
      <rPr>
        <sz val="9"/>
        <color rgb="FF000000"/>
        <rFont val="Arial"/>
        <charset val="134"/>
      </rPr>
      <t>197</t>
    </r>
    <r>
      <rPr>
        <sz val="9"/>
        <color rgb="FF000000"/>
        <rFont val="楷体"/>
        <charset val="134"/>
      </rPr>
      <t>号</t>
    </r>
  </si>
  <si>
    <t>0574-83886888</t>
  </si>
  <si>
    <t>sj@sanjiang.com</t>
  </si>
  <si>
    <t>2019-06-11</t>
  </si>
  <si>
    <t>Barefoot</t>
  </si>
  <si>
    <r>
      <rPr>
        <sz val="9"/>
        <color rgb="FF000000"/>
        <rFont val="Arial"/>
        <charset val="134"/>
      </rPr>
      <t>Barefoot</t>
    </r>
    <r>
      <rPr>
        <sz val="9"/>
        <color rgb="FF000000"/>
        <rFont val="楷体"/>
        <charset val="134"/>
      </rPr>
      <t>是一家软件定义网络（</t>
    </r>
    <r>
      <rPr>
        <sz val="9"/>
        <color rgb="FF000000"/>
        <rFont val="Arial"/>
        <charset val="134"/>
      </rPr>
      <t>SDN</t>
    </r>
    <r>
      <rPr>
        <sz val="9"/>
        <color rgb="FF000000"/>
        <rFont val="楷体"/>
        <charset val="134"/>
      </rPr>
      <t>）芯片公司，通过</t>
    </r>
    <r>
      <rPr>
        <sz val="9"/>
        <color rgb="FF000000"/>
        <rFont val="Arial"/>
        <charset val="134"/>
      </rPr>
      <t>SDN</t>
    </r>
    <r>
      <rPr>
        <sz val="9"/>
        <color rgb="FF000000"/>
        <rFont val="楷体"/>
        <charset val="134"/>
      </rPr>
      <t>控制器，企业可以对特定场景编程，让企业将更快更安全的线路优先部署给那些更重要的应用，在传输完成后再恢复至平时的低成本连接。</t>
    </r>
  </si>
  <si>
    <t>http://barefoot-studio.be/</t>
  </si>
  <si>
    <t>2015-07</t>
  </si>
  <si>
    <r>
      <rPr>
        <sz val="9"/>
        <color rgb="FF000000"/>
        <rFont val="楷体"/>
        <charset val="134"/>
      </rPr>
      <t>英特尔投资</t>
    </r>
    <r>
      <rPr>
        <sz val="9"/>
        <color rgb="FF000000"/>
        <rFont val="Arial"/>
        <charset val="134"/>
      </rPr>
      <t>Intel Capital</t>
    </r>
  </si>
  <si>
    <r>
      <rPr>
        <sz val="9"/>
        <color rgb="FF000000"/>
        <rFont val="Arial"/>
        <charset val="134"/>
      </rPr>
      <t>5.27</t>
    </r>
    <r>
      <rPr>
        <sz val="9"/>
        <color rgb="FF000000"/>
        <rFont val="楷体"/>
        <charset val="134"/>
      </rPr>
      <t>亿</t>
    </r>
  </si>
  <si>
    <t>Arpita Khadria:Founder &amp; CEO</t>
  </si>
  <si>
    <t>info@barefoot-studio.be</t>
  </si>
  <si>
    <r>
      <rPr>
        <sz val="9"/>
        <color rgb="FF000000"/>
        <rFont val="Arial"/>
        <charset val="134"/>
      </rPr>
      <t>2400</t>
    </r>
    <r>
      <rPr>
        <sz val="9"/>
        <color rgb="FF000000"/>
        <rFont val="楷体"/>
        <charset val="134"/>
      </rPr>
      <t>万美元</t>
    </r>
  </si>
  <si>
    <r>
      <rPr>
        <sz val="9"/>
        <color rgb="FF000000"/>
        <rFont val="楷体"/>
        <charset val="134"/>
      </rPr>
      <t>腾讯投资</t>
    </r>
    <r>
      <rPr>
        <sz val="9"/>
        <color rgb="FF000000"/>
        <rFont val="Arial"/>
        <charset val="134"/>
      </rPr>
      <t>,Google</t>
    </r>
    <r>
      <rPr>
        <sz val="9"/>
        <color rgb="FF000000"/>
        <rFont val="楷体"/>
        <charset val="134"/>
      </rPr>
      <t>谷歌</t>
    </r>
  </si>
  <si>
    <t>2023-07-21</t>
  </si>
  <si>
    <t>霍曼HomeRun</t>
  </si>
  <si>
    <r>
      <rPr>
        <sz val="9"/>
        <color rgb="FF000000"/>
        <rFont val="楷体"/>
        <charset val="134"/>
      </rPr>
      <t>霍曼</t>
    </r>
    <r>
      <rPr>
        <sz val="9"/>
        <color rgb="FF000000"/>
        <rFont val="Arial"/>
        <charset val="134"/>
      </rPr>
      <t>HomeRun</t>
    </r>
  </si>
  <si>
    <r>
      <rPr>
        <sz val="9"/>
        <color rgb="FF000000"/>
        <rFont val="楷体"/>
        <charset val="134"/>
      </rPr>
      <t>霍曼</t>
    </r>
    <r>
      <rPr>
        <sz val="9"/>
        <color rgb="FF000000"/>
        <rFont val="Arial"/>
        <charset val="134"/>
      </rPr>
      <t>HomeRun</t>
    </r>
    <r>
      <rPr>
        <sz val="9"/>
        <color rgb="FF000000"/>
        <rFont val="楷体"/>
        <charset val="134"/>
      </rPr>
      <t>是一家致力于人工智能科技产品的自主研发型企业。将人工智能宠物喂食器、智能宠物陪伴机器人、以及多种宠物智能硬件的研发、生产提入战略日程，为家庭客户提供更加人性化的智能生活体验。</t>
    </r>
  </si>
  <si>
    <t>深圳前海霍曼科技有限公司</t>
  </si>
  <si>
    <t>http://www.homerunsmart.com/</t>
  </si>
  <si>
    <t>家用电器</t>
  </si>
  <si>
    <r>
      <rPr>
        <sz val="9"/>
        <color rgb="FF000000"/>
        <rFont val="楷体"/>
        <charset val="134"/>
      </rPr>
      <t>深创投</t>
    </r>
    <r>
      <rPr>
        <sz val="9"/>
        <color rgb="FF000000"/>
        <rFont val="Arial"/>
        <charset val="134"/>
      </rPr>
      <t>,</t>
    </r>
    <r>
      <rPr>
        <sz val="9"/>
        <color rgb="FF000000"/>
        <rFont val="楷体"/>
        <charset val="134"/>
      </rPr>
      <t>三七互娱</t>
    </r>
    <r>
      <rPr>
        <sz val="9"/>
        <color rgb="FF000000"/>
        <rFont val="Arial"/>
        <charset val="134"/>
      </rPr>
      <t>,</t>
    </r>
    <r>
      <rPr>
        <sz val="9"/>
        <color rgb="FF000000"/>
        <rFont val="楷体"/>
        <charset val="134"/>
      </rPr>
      <t>李泽湘</t>
    </r>
  </si>
  <si>
    <r>
      <rPr>
        <sz val="9"/>
        <color rgb="FF000000"/>
        <rFont val="楷体"/>
        <charset val="134"/>
      </rPr>
      <t>刘坤</t>
    </r>
    <r>
      <rPr>
        <sz val="9"/>
        <color rgb="FF000000"/>
        <rFont val="Arial"/>
        <charset val="134"/>
      </rPr>
      <t>:CEO</t>
    </r>
  </si>
  <si>
    <r>
      <rPr>
        <sz val="9"/>
        <color rgb="FF000000"/>
        <rFont val="楷体"/>
        <charset val="134"/>
      </rPr>
      <t>广州市天河区中山大道西</t>
    </r>
    <r>
      <rPr>
        <sz val="9"/>
        <color rgb="FF000000"/>
        <rFont val="Arial"/>
        <charset val="134"/>
      </rPr>
      <t>109</t>
    </r>
    <r>
      <rPr>
        <sz val="9"/>
        <color rgb="FF000000"/>
        <rFont val="楷体"/>
        <charset val="134"/>
      </rPr>
      <t>号</t>
    </r>
    <r>
      <rPr>
        <sz val="9"/>
        <color rgb="FF000000"/>
        <rFont val="Arial"/>
        <charset val="134"/>
      </rPr>
      <t>27</t>
    </r>
    <r>
      <rPr>
        <sz val="9"/>
        <color rgb="FF000000"/>
        <rFont val="楷体"/>
        <charset val="134"/>
      </rPr>
      <t>栋</t>
    </r>
    <r>
      <rPr>
        <sz val="9"/>
        <color rgb="FF000000"/>
        <rFont val="Arial"/>
        <charset val="134"/>
      </rPr>
      <t>3</t>
    </r>
    <r>
      <rPr>
        <sz val="9"/>
        <color rgb="FF000000"/>
        <rFont val="楷体"/>
        <charset val="134"/>
      </rPr>
      <t>楼</t>
    </r>
  </si>
  <si>
    <t>020-2622-7677</t>
  </si>
  <si>
    <t>info@homerunsmart.com</t>
  </si>
  <si>
    <r>
      <t>B</t>
    </r>
    <r>
      <rPr>
        <sz val="9"/>
        <color rgb="FF000000"/>
        <rFont val="楷体"/>
        <charset val="134"/>
      </rPr>
      <t>轮</t>
    </r>
  </si>
  <si>
    <r>
      <rPr>
        <sz val="9"/>
        <color rgb="FF000000"/>
        <rFont val="楷体"/>
        <charset val="134"/>
      </rPr>
      <t>阿里巴巴</t>
    </r>
    <r>
      <rPr>
        <sz val="9"/>
        <color rgb="FF000000"/>
        <rFont val="Arial"/>
        <charset val="134"/>
      </rPr>
      <t>,</t>
    </r>
    <r>
      <rPr>
        <sz val="9"/>
        <color rgb="FF000000"/>
        <rFont val="楷体"/>
        <charset val="134"/>
      </rPr>
      <t>三七互娱</t>
    </r>
    <r>
      <rPr>
        <sz val="9"/>
        <color rgb="FF000000"/>
        <rFont val="Arial"/>
        <charset val="134"/>
      </rPr>
      <t>,XBOTPARK</t>
    </r>
    <r>
      <rPr>
        <sz val="9"/>
        <color rgb="FF000000"/>
        <rFont val="楷体"/>
        <charset val="134"/>
      </rPr>
      <t>基金</t>
    </r>
    <r>
      <rPr>
        <sz val="9"/>
        <color rgb="FF000000"/>
        <rFont val="Arial"/>
        <charset val="134"/>
      </rPr>
      <t>-</t>
    </r>
    <r>
      <rPr>
        <sz val="9"/>
        <color rgb="FF000000"/>
        <rFont val="楷体"/>
        <charset val="134"/>
      </rPr>
      <t>松山湖机器人研究院</t>
    </r>
  </si>
  <si>
    <t>三七互娱</t>
  </si>
  <si>
    <t>李泽湘</t>
  </si>
  <si>
    <t>阮晓迅</t>
  </si>
  <si>
    <r>
      <rPr>
        <sz val="9"/>
        <color rgb="FF000000"/>
        <rFont val="Arial"/>
        <charset val="134"/>
      </rPr>
      <t>100</t>
    </r>
    <r>
      <rPr>
        <sz val="9"/>
        <color rgb="FF000000"/>
        <rFont val="楷体"/>
        <charset val="134"/>
      </rPr>
      <t>万人民币</t>
    </r>
  </si>
  <si>
    <t>天使投资人</t>
  </si>
  <si>
    <t>2022-03-30</t>
  </si>
  <si>
    <t>亿可能源Equota</t>
  </si>
  <si>
    <r>
      <rPr>
        <sz val="9"/>
        <color rgb="FF000000"/>
        <rFont val="楷体"/>
        <charset val="134"/>
      </rPr>
      <t>亿可能源</t>
    </r>
    <r>
      <rPr>
        <sz val="9"/>
        <color rgb="FF000000"/>
        <rFont val="Arial"/>
        <charset val="134"/>
      </rPr>
      <t>Equota</t>
    </r>
  </si>
  <si>
    <r>
      <rPr>
        <sz val="9"/>
        <color rgb="FF000000"/>
        <rFont val="楷体"/>
        <charset val="134"/>
      </rPr>
      <t>亿可能源是一家能源智能管理服务商，作为一家</t>
    </r>
    <r>
      <rPr>
        <sz val="9"/>
        <color rgb="FF000000"/>
        <rFont val="Arial"/>
        <charset val="134"/>
      </rPr>
      <t>AI</t>
    </r>
    <r>
      <rPr>
        <sz val="9"/>
        <color rgb="FF000000"/>
        <rFont val="楷体"/>
        <charset val="134"/>
      </rPr>
      <t>和大数据驱动的能源科技公司，专注于为用户提供能源智能管理服务，包括从能源供应端到需求端的能效优化、运维监测、碳排管理、售电服务、微网服务等全产业链技术解决方案。</t>
    </r>
  </si>
  <si>
    <t>亿可能源科技（上海）有限公司</t>
  </si>
  <si>
    <t>http://www.equotaenergy.com/</t>
  </si>
  <si>
    <r>
      <rPr>
        <sz val="9"/>
        <color rgb="FF000000"/>
        <rFont val="楷体"/>
        <charset val="134"/>
      </rPr>
      <t>先进制造</t>
    </r>
  </si>
  <si>
    <r>
      <rPr>
        <sz val="9"/>
        <color rgb="FF000000"/>
        <rFont val="楷体"/>
        <charset val="134"/>
      </rPr>
      <t>新能源</t>
    </r>
  </si>
  <si>
    <r>
      <t>1.22</t>
    </r>
    <r>
      <rPr>
        <sz val="9"/>
        <color rgb="FF000000"/>
        <rFont val="楷体"/>
        <charset val="134"/>
      </rPr>
      <t>亿</t>
    </r>
  </si>
  <si>
    <r>
      <rPr>
        <sz val="9"/>
        <color rgb="FF000000"/>
        <rFont val="楷体"/>
        <charset val="134"/>
      </rPr>
      <t>未透露</t>
    </r>
  </si>
  <si>
    <r>
      <rPr>
        <sz val="9"/>
        <color rgb="FF000000"/>
        <rFont val="楷体"/>
        <charset val="134"/>
      </rPr>
      <t>王春光</t>
    </r>
    <r>
      <rPr>
        <sz val="9"/>
        <color rgb="FF000000"/>
        <rFont val="Arial"/>
        <charset val="134"/>
      </rPr>
      <t>:CEO</t>
    </r>
  </si>
  <si>
    <r>
      <rPr>
        <sz val="9"/>
        <color rgb="FF000000"/>
        <rFont val="楷体"/>
        <charset val="134"/>
      </rPr>
      <t>上海市杨浦区延吉中路</t>
    </r>
    <r>
      <rPr>
        <sz val="9"/>
        <color rgb="FF000000"/>
        <rFont val="Arial"/>
        <charset val="134"/>
      </rPr>
      <t>77</t>
    </r>
    <r>
      <rPr>
        <sz val="9"/>
        <color rgb="FF000000"/>
        <rFont val="楷体"/>
        <charset val="134"/>
      </rPr>
      <t>号</t>
    </r>
    <r>
      <rPr>
        <sz val="9"/>
        <color rgb="FF000000"/>
        <rFont val="Arial"/>
        <charset val="134"/>
      </rPr>
      <t>402-A3</t>
    </r>
    <r>
      <rPr>
        <sz val="9"/>
        <color rgb="FF000000"/>
        <rFont val="楷体"/>
        <charset val="134"/>
      </rPr>
      <t>室</t>
    </r>
  </si>
  <si>
    <t>021-6506-2715</t>
  </si>
  <si>
    <t>info@equotaenergy.com</t>
  </si>
  <si>
    <t>啟赋资本</t>
  </si>
  <si>
    <r>
      <rPr>
        <sz val="9"/>
        <color rgb="FF000000"/>
        <rFont val="Arial"/>
        <charset val="134"/>
      </rPr>
      <t>180</t>
    </r>
    <r>
      <rPr>
        <sz val="9"/>
        <color rgb="FF000000"/>
        <rFont val="楷体"/>
        <charset val="134"/>
      </rPr>
      <t>万人民币</t>
    </r>
  </si>
  <si>
    <t>壳牌基金会</t>
  </si>
  <si>
    <t>2020-07-31</t>
  </si>
  <si>
    <t>易居</t>
  </si>
  <si>
    <t>易居是一家房地产全产业链服务商。公司已构建起房地产营销、房地产互联网及电商、房地产信息咨询、房地产金融、社区增值服务多纬度纵深发展，并覆盖房地产全产业链的现代服务体系。</t>
  </si>
  <si>
    <t>易居企业（中国）集团有限公司</t>
  </si>
  <si>
    <t>http://www.ehousechina.com</t>
  </si>
  <si>
    <t>房产信息化</t>
  </si>
  <si>
    <r>
      <rPr>
        <sz val="9"/>
        <color rgb="FF000000"/>
        <rFont val="Arial"/>
        <charset val="134"/>
      </rPr>
      <t>8.28</t>
    </r>
    <r>
      <rPr>
        <sz val="9"/>
        <color rgb="FF000000"/>
        <rFont val="楷体"/>
        <charset val="134"/>
      </rPr>
      <t>亿港元</t>
    </r>
  </si>
  <si>
    <r>
      <rPr>
        <sz val="9"/>
        <color rgb="FF000000"/>
        <rFont val="Arial"/>
        <charset val="134"/>
      </rPr>
      <t>45.5</t>
    </r>
    <r>
      <rPr>
        <sz val="9"/>
        <color rgb="FF000000"/>
        <rFont val="楷体"/>
        <charset val="134"/>
      </rPr>
      <t>亿</t>
    </r>
  </si>
  <si>
    <r>
      <rPr>
        <sz val="9"/>
        <color rgb="FF000000"/>
        <rFont val="Arial"/>
        <charset val="134"/>
      </rPr>
      <t>33.12</t>
    </r>
    <r>
      <rPr>
        <sz val="9"/>
        <color rgb="FF000000"/>
        <rFont val="楷体"/>
        <charset val="134"/>
      </rPr>
      <t>亿元</t>
    </r>
  </si>
  <si>
    <r>
      <rPr>
        <sz val="9"/>
        <color rgb="FF000000"/>
        <rFont val="楷体"/>
        <charset val="134"/>
      </rPr>
      <t>彭少彬</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周忻</t>
    </r>
    <r>
      <rPr>
        <sz val="9"/>
        <color rgb="FF000000"/>
        <rFont val="Arial"/>
        <charset val="134"/>
      </rPr>
      <t>:CEO</t>
    </r>
  </si>
  <si>
    <r>
      <rPr>
        <sz val="9"/>
        <color rgb="FF000000"/>
        <rFont val="楷体"/>
        <charset val="134"/>
      </rPr>
      <t>上海市闸北区万荣路</t>
    </r>
    <r>
      <rPr>
        <sz val="9"/>
        <color rgb="FF000000"/>
        <rFont val="Arial"/>
        <charset val="134"/>
      </rPr>
      <t>700</t>
    </r>
    <r>
      <rPr>
        <sz val="9"/>
        <color rgb="FF000000"/>
        <rFont val="楷体"/>
        <charset val="134"/>
      </rPr>
      <t>号</t>
    </r>
    <r>
      <rPr>
        <sz val="9"/>
        <color rgb="FF000000"/>
        <rFont val="Arial"/>
        <charset val="134"/>
      </rPr>
      <t>7</t>
    </r>
    <r>
      <rPr>
        <sz val="9"/>
        <color rgb="FF000000"/>
        <rFont val="楷体"/>
        <charset val="134"/>
      </rPr>
      <t>幢</t>
    </r>
    <r>
      <rPr>
        <sz val="9"/>
        <color rgb="FF000000"/>
        <rFont val="Arial"/>
        <charset val="134"/>
      </rPr>
      <t>A310</t>
    </r>
    <r>
      <rPr>
        <sz val="9"/>
        <color rgb="FF000000"/>
        <rFont val="楷体"/>
        <charset val="134"/>
      </rPr>
      <t>室</t>
    </r>
  </si>
  <si>
    <t>021-6086-2201</t>
  </si>
  <si>
    <t>zhangzengxuan@ehousechina.com</t>
  </si>
  <si>
    <r>
      <rPr>
        <sz val="9"/>
        <color rgb="FF000000"/>
        <rFont val="Arial"/>
        <charset val="134"/>
      </rPr>
      <t>44.34</t>
    </r>
    <r>
      <rPr>
        <sz val="9"/>
        <color rgb="FF000000"/>
        <rFont val="楷体"/>
        <charset val="134"/>
      </rPr>
      <t>亿港元</t>
    </r>
  </si>
  <si>
    <t>数亿港元</t>
  </si>
  <si>
    <r>
      <rPr>
        <sz val="9"/>
        <color rgb="FF000000"/>
        <rFont val="楷体"/>
        <charset val="134"/>
      </rPr>
      <t>阿里巴巴</t>
    </r>
    <r>
      <rPr>
        <sz val="9"/>
        <color rgb="FF000000"/>
        <rFont val="Arial"/>
        <charset val="134"/>
      </rPr>
      <t>,</t>
    </r>
    <r>
      <rPr>
        <sz val="9"/>
        <color rgb="FF000000"/>
        <rFont val="楷体"/>
        <charset val="134"/>
      </rPr>
      <t>新加坡城市发展集团</t>
    </r>
    <r>
      <rPr>
        <sz val="9"/>
        <color rgb="FF000000"/>
        <rFont val="Arial"/>
        <charset val="134"/>
      </rPr>
      <t>,</t>
    </r>
    <r>
      <rPr>
        <sz val="9"/>
        <color rgb="FF000000"/>
        <rFont val="楷体"/>
        <charset val="134"/>
      </rPr>
      <t>李家杰</t>
    </r>
    <r>
      <rPr>
        <sz val="9"/>
        <color rgb="FF000000"/>
        <rFont val="Arial"/>
        <charset val="134"/>
      </rPr>
      <t>,</t>
    </r>
    <r>
      <rPr>
        <sz val="9"/>
        <color rgb="FF000000"/>
        <rFont val="楷体"/>
        <charset val="134"/>
      </rPr>
      <t>华侨城</t>
    </r>
  </si>
  <si>
    <r>
      <rPr>
        <sz val="9"/>
        <color rgb="FF000000"/>
        <rFont val="楷体"/>
        <charset val="134"/>
      </rPr>
      <t>云锋基金</t>
    </r>
    <r>
      <rPr>
        <sz val="9"/>
        <color rgb="FF000000"/>
        <rFont val="Arial"/>
        <charset val="134"/>
      </rPr>
      <t>,</t>
    </r>
    <r>
      <rPr>
        <sz val="9"/>
        <color rgb="FF000000"/>
        <rFont val="楷体"/>
        <charset val="134"/>
      </rPr>
      <t>磐石资本</t>
    </r>
    <r>
      <rPr>
        <sz val="9"/>
        <color rgb="FF000000"/>
        <rFont val="Arial"/>
        <charset val="134"/>
      </rPr>
      <t>,</t>
    </r>
    <r>
      <rPr>
        <sz val="9"/>
        <color rgb="FF000000"/>
        <rFont val="楷体"/>
        <charset val="134"/>
      </rPr>
      <t>万科集团</t>
    </r>
    <r>
      <rPr>
        <sz val="9"/>
        <color rgb="FF000000"/>
        <rFont val="Arial"/>
        <charset val="134"/>
      </rPr>
      <t>,</t>
    </r>
    <r>
      <rPr>
        <sz val="9"/>
        <color rgb="FF000000"/>
        <rFont val="楷体"/>
        <charset val="134"/>
      </rPr>
      <t>源星资本</t>
    </r>
    <r>
      <rPr>
        <sz val="9"/>
        <color rgb="FF000000"/>
        <rFont val="Arial"/>
        <charset val="134"/>
      </rPr>
      <t>,</t>
    </r>
    <r>
      <rPr>
        <sz val="9"/>
        <color rgb="FF000000"/>
        <rFont val="楷体"/>
        <charset val="134"/>
      </rPr>
      <t>合源资本</t>
    </r>
  </si>
  <si>
    <t>2019-01-15</t>
  </si>
  <si>
    <t>CorePhotonics</t>
  </si>
  <si>
    <r>
      <rPr>
        <sz val="9"/>
        <color rgb="FF000000"/>
        <rFont val="Arial"/>
        <charset val="134"/>
      </rPr>
      <t>Corephotonics</t>
    </r>
    <r>
      <rPr>
        <sz val="9"/>
        <color rgb="FF000000"/>
        <rFont val="楷体"/>
        <charset val="134"/>
      </rPr>
      <t>是一家以色列智能手机双摄像头制造公司，公司成立于</t>
    </r>
    <r>
      <rPr>
        <sz val="9"/>
        <color rgb="FF000000"/>
        <rFont val="Arial"/>
        <charset val="134"/>
      </rPr>
      <t xml:space="preserve"> 2012 </t>
    </r>
    <r>
      <rPr>
        <sz val="9"/>
        <color rgb="FF000000"/>
        <rFont val="楷体"/>
        <charset val="134"/>
      </rPr>
      <t>年，旨在让智能手机摄像头能够达到较高的摄像水准。</t>
    </r>
  </si>
  <si>
    <t>http://corephotonics.com</t>
  </si>
  <si>
    <r>
      <rPr>
        <sz val="9"/>
        <color rgb="FF000000"/>
        <rFont val="Arial"/>
        <charset val="134"/>
      </rPr>
      <t>1.6</t>
    </r>
    <r>
      <rPr>
        <sz val="9"/>
        <color rgb="FF000000"/>
        <rFont val="楷体"/>
        <charset val="134"/>
      </rPr>
      <t>亿美元</t>
    </r>
  </si>
  <si>
    <r>
      <rPr>
        <sz val="9"/>
        <color rgb="FF000000"/>
        <rFont val="Arial"/>
        <charset val="134"/>
      </rPr>
      <t>Samsung Ventures</t>
    </r>
    <r>
      <rPr>
        <sz val="9"/>
        <color rgb="FF000000"/>
        <rFont val="楷体"/>
        <charset val="134"/>
      </rPr>
      <t>三星</t>
    </r>
  </si>
  <si>
    <r>
      <rPr>
        <sz val="9"/>
        <color rgb="FF000000"/>
        <rFont val="Arial"/>
        <charset val="134"/>
      </rPr>
      <t>13.65</t>
    </r>
    <r>
      <rPr>
        <sz val="9"/>
        <color rgb="FF000000"/>
        <rFont val="楷体"/>
        <charset val="134"/>
      </rPr>
      <t>亿</t>
    </r>
  </si>
  <si>
    <r>
      <rPr>
        <sz val="9"/>
        <color rgb="FF000000"/>
        <rFont val="Arial"/>
        <charset val="134"/>
      </rPr>
      <t>52</t>
    </r>
    <r>
      <rPr>
        <sz val="9"/>
        <color rgb="FF000000"/>
        <rFont val="楷体"/>
        <charset val="134"/>
      </rPr>
      <t>亿元</t>
    </r>
  </si>
  <si>
    <t>David Mendlovic:CEO,Gal Shabtay:Co-Founder, General Manager</t>
  </si>
  <si>
    <r>
      <rPr>
        <sz val="9"/>
        <color rgb="FF000000"/>
        <rFont val="Arial"/>
        <charset val="134"/>
      </rPr>
      <t>Samsung Ventures</t>
    </r>
    <r>
      <rPr>
        <sz val="9"/>
        <color rgb="FF000000"/>
        <rFont val="楷体"/>
        <charset val="134"/>
      </rPr>
      <t>三星</t>
    </r>
    <r>
      <rPr>
        <sz val="9"/>
        <color rgb="FF000000"/>
        <rFont val="Arial"/>
        <charset val="134"/>
      </rPr>
      <t>,</t>
    </r>
    <r>
      <rPr>
        <sz val="9"/>
        <color rgb="FF000000"/>
        <rFont val="楷体"/>
        <charset val="134"/>
      </rPr>
      <t>联发科</t>
    </r>
    <r>
      <rPr>
        <sz val="9"/>
        <color rgb="FF000000"/>
        <rFont val="Arial"/>
        <charset val="134"/>
      </rPr>
      <t>MTK,</t>
    </r>
    <r>
      <rPr>
        <sz val="9"/>
        <color rgb="FF000000"/>
        <rFont val="楷体"/>
        <charset val="134"/>
      </rPr>
      <t>富士康</t>
    </r>
    <r>
      <rPr>
        <sz val="9"/>
        <color rgb="FF000000"/>
        <rFont val="Arial"/>
        <charset val="134"/>
      </rPr>
      <t>Foxconn</t>
    </r>
  </si>
  <si>
    <r>
      <rPr>
        <sz val="9"/>
        <color rgb="FF000000"/>
        <rFont val="Arial"/>
        <charset val="134"/>
      </rPr>
      <t>700</t>
    </r>
    <r>
      <rPr>
        <sz val="9"/>
        <color rgb="FF000000"/>
        <rFont val="楷体"/>
        <charset val="134"/>
      </rPr>
      <t>万美元</t>
    </r>
  </si>
  <si>
    <r>
      <rPr>
        <sz val="9"/>
        <color rgb="FF000000"/>
        <rFont val="Arial"/>
        <charset val="134"/>
      </rPr>
      <t>1780</t>
    </r>
    <r>
      <rPr>
        <sz val="9"/>
        <color rgb="FF000000"/>
        <rFont val="楷体"/>
        <charset val="134"/>
      </rPr>
      <t>万美元</t>
    </r>
  </si>
  <si>
    <r>
      <rPr>
        <sz val="9"/>
        <color rgb="FF000000"/>
        <rFont val="Arial"/>
        <charset val="134"/>
      </rPr>
      <t>Horizons Ventures</t>
    </r>
    <r>
      <rPr>
        <sz val="9"/>
        <color rgb="FF000000"/>
        <rFont val="楷体"/>
        <charset val="134"/>
      </rPr>
      <t>维港投资</t>
    </r>
    <r>
      <rPr>
        <sz val="9"/>
        <color rgb="FF000000"/>
        <rFont val="Arial"/>
        <charset val="134"/>
      </rPr>
      <t>,Magma Venture Partners,BetaAngels Management,Amiti Ventures</t>
    </r>
  </si>
  <si>
    <r>
      <rPr>
        <sz val="9"/>
        <color rgb="FF000000"/>
        <rFont val="Arial"/>
        <charset val="134"/>
      </rPr>
      <t>1020</t>
    </r>
    <r>
      <rPr>
        <sz val="9"/>
        <color rgb="FF000000"/>
        <rFont val="楷体"/>
        <charset val="134"/>
      </rPr>
      <t>万美元</t>
    </r>
  </si>
  <si>
    <r>
      <rPr>
        <sz val="9"/>
        <color rgb="FF000000"/>
        <rFont val="Arial"/>
        <charset val="134"/>
      </rPr>
      <t>Horizons Ventures</t>
    </r>
    <r>
      <rPr>
        <sz val="9"/>
        <color rgb="FF000000"/>
        <rFont val="楷体"/>
        <charset val="134"/>
      </rPr>
      <t>维港投资</t>
    </r>
    <r>
      <rPr>
        <sz val="9"/>
        <color rgb="FF000000"/>
        <rFont val="Arial"/>
        <charset val="134"/>
      </rPr>
      <t>,Magma Venture Partners,BetaAngels Management,Boltendahl International Partners</t>
    </r>
  </si>
  <si>
    <t>2020-01-07</t>
  </si>
  <si>
    <t>谐云科技</t>
  </si>
  <si>
    <r>
      <rPr>
        <sz val="9"/>
        <color rgb="FF000000"/>
        <rFont val="楷体"/>
        <charset val="134"/>
      </rPr>
      <t>谐云科技</t>
    </r>
  </si>
  <si>
    <r>
      <rPr>
        <sz val="9"/>
        <color rgb="FF000000"/>
        <rFont val="楷体"/>
        <charset val="134"/>
      </rPr>
      <t>谐云科技是容器云产品及解决方案提供商，致力于为企业数字化转型提供最佳解决方案。谐云产品以建好容器云</t>
    </r>
    <r>
      <rPr>
        <sz val="9"/>
        <color rgb="FF000000"/>
        <rFont val="Arial"/>
        <charset val="134"/>
      </rPr>
      <t>—</t>
    </r>
    <r>
      <rPr>
        <sz val="9"/>
        <color rgb="FF000000"/>
        <rFont val="楷体"/>
        <charset val="134"/>
      </rPr>
      <t>管好容器云</t>
    </r>
    <r>
      <rPr>
        <sz val="9"/>
        <color rgb="FF000000"/>
        <rFont val="Arial"/>
        <charset val="134"/>
      </rPr>
      <t>—</t>
    </r>
    <r>
      <rPr>
        <sz val="9"/>
        <color rgb="FF000000"/>
        <rFont val="楷体"/>
        <charset val="134"/>
      </rPr>
      <t>用好容器云为矩阵，提供云原生全栈服务，助力客户降本增效。</t>
    </r>
  </si>
  <si>
    <t>杭州谐云科技有限公司</t>
  </si>
  <si>
    <t>http://harmonycloud.cn/</t>
  </si>
  <si>
    <t>2016-07</t>
  </si>
  <si>
    <r>
      <rPr>
        <sz val="9"/>
        <color rgb="FF000000"/>
        <rFont val="楷体"/>
        <charset val="134"/>
      </rPr>
      <t>云服务</t>
    </r>
  </si>
  <si>
    <r>
      <rPr>
        <sz val="9"/>
        <color rgb="FF000000"/>
        <rFont val="楷体"/>
        <charset val="134"/>
      </rPr>
      <t>阿里巴巴</t>
    </r>
    <r>
      <rPr>
        <sz val="9"/>
        <color rgb="FF000000"/>
        <rFont val="Arial"/>
        <charset val="134"/>
      </rPr>
      <t>,</t>
    </r>
    <r>
      <rPr>
        <sz val="9"/>
        <color rgb="FF000000"/>
        <rFont val="楷体"/>
        <charset val="134"/>
      </rPr>
      <t>赛伯乐投资</t>
    </r>
    <r>
      <rPr>
        <sz val="9"/>
        <color rgb="FF000000"/>
        <rFont val="Arial"/>
        <charset val="134"/>
      </rPr>
      <t>,</t>
    </r>
    <r>
      <rPr>
        <sz val="9"/>
        <color rgb="FF000000"/>
        <rFont val="楷体"/>
        <charset val="134"/>
      </rPr>
      <t>浙大网新</t>
    </r>
    <r>
      <rPr>
        <sz val="9"/>
        <color rgb="FF000000"/>
        <rFont val="Arial"/>
        <charset val="134"/>
      </rPr>
      <t>,</t>
    </r>
    <r>
      <rPr>
        <sz val="9"/>
        <color rgb="FF000000"/>
        <rFont val="楷体"/>
        <charset val="134"/>
      </rPr>
      <t>城云科技</t>
    </r>
  </si>
  <si>
    <r>
      <t>8910</t>
    </r>
    <r>
      <rPr>
        <sz val="9"/>
        <color rgb="FF000000"/>
        <rFont val="楷体"/>
        <charset val="134"/>
      </rPr>
      <t>万</t>
    </r>
  </si>
  <si>
    <r>
      <rPr>
        <sz val="9"/>
        <color rgb="FF000000"/>
        <rFont val="楷体"/>
        <charset val="134"/>
      </rPr>
      <t>王翱宇</t>
    </r>
    <r>
      <rPr>
        <sz val="9"/>
        <color rgb="FF000000"/>
        <rFont val="Arial"/>
        <charset val="134"/>
      </rPr>
      <t>:</t>
    </r>
    <r>
      <rPr>
        <sz val="9"/>
        <color rgb="FF000000"/>
        <rFont val="楷体"/>
        <charset val="134"/>
      </rPr>
      <t>董事长兼总经理</t>
    </r>
    <r>
      <rPr>
        <sz val="9"/>
        <color rgb="FF000000"/>
        <rFont val="Arial"/>
        <charset val="134"/>
      </rPr>
      <t>,</t>
    </r>
    <r>
      <rPr>
        <sz val="9"/>
        <color rgb="FF000000"/>
        <rFont val="楷体"/>
        <charset val="134"/>
      </rPr>
      <t>丁轶群</t>
    </r>
    <r>
      <rPr>
        <sz val="9"/>
        <color rgb="FF000000"/>
        <rFont val="Arial"/>
        <charset val="134"/>
      </rPr>
      <t>:</t>
    </r>
    <r>
      <rPr>
        <sz val="9"/>
        <color rgb="FF000000"/>
        <rFont val="楷体"/>
        <charset val="134"/>
      </rPr>
      <t>首席技术官</t>
    </r>
  </si>
  <si>
    <r>
      <rPr>
        <sz val="9"/>
        <color rgb="FF000000"/>
        <rFont val="楷体"/>
        <charset val="134"/>
      </rPr>
      <t>杭州市余杭区五常街道文一西路</t>
    </r>
    <r>
      <rPr>
        <sz val="9"/>
        <color rgb="FF000000"/>
        <rFont val="Arial"/>
        <charset val="134"/>
      </rPr>
      <t>998</t>
    </r>
    <r>
      <rPr>
        <sz val="9"/>
        <color rgb="FF000000"/>
        <rFont val="楷体"/>
        <charset val="134"/>
      </rPr>
      <t>号</t>
    </r>
    <r>
      <rPr>
        <sz val="9"/>
        <color rgb="FF000000"/>
        <rFont val="Arial"/>
        <charset val="134"/>
      </rPr>
      <t>7</t>
    </r>
    <r>
      <rPr>
        <sz val="9"/>
        <color rgb="FF000000"/>
        <rFont val="楷体"/>
        <charset val="134"/>
      </rPr>
      <t>幢</t>
    </r>
  </si>
  <si>
    <t>0571-8760-7309</t>
  </si>
  <si>
    <t>marketing@harmonycloud.cn</t>
  </si>
  <si>
    <r>
      <rPr>
        <sz val="9"/>
        <color rgb="FF000000"/>
        <rFont val="Arial"/>
        <charset val="134"/>
      </rPr>
      <t>1810</t>
    </r>
    <r>
      <rPr>
        <sz val="9"/>
        <color rgb="FF000000"/>
        <rFont val="楷体"/>
        <charset val="134"/>
      </rPr>
      <t>万人民币</t>
    </r>
  </si>
  <si>
    <r>
      <rPr>
        <sz val="9"/>
        <color rgb="FF000000"/>
        <rFont val="楷体"/>
        <charset val="134"/>
      </rPr>
      <t>新湖中宝</t>
    </r>
    <r>
      <rPr>
        <sz val="9"/>
        <color rgb="FF000000"/>
        <rFont val="Arial"/>
        <charset val="134"/>
      </rPr>
      <t>-</t>
    </r>
    <r>
      <rPr>
        <sz val="9"/>
        <color rgb="FF000000"/>
        <rFont val="楷体"/>
        <charset val="134"/>
      </rPr>
      <t>新湖控股</t>
    </r>
    <r>
      <rPr>
        <sz val="9"/>
        <color rgb="FF000000"/>
        <rFont val="Arial"/>
        <charset val="134"/>
      </rPr>
      <t>,</t>
    </r>
    <r>
      <rPr>
        <sz val="9"/>
        <color rgb="FF000000"/>
        <rFont val="楷体"/>
        <charset val="134"/>
      </rPr>
      <t>树兰医疗</t>
    </r>
    <r>
      <rPr>
        <sz val="9"/>
        <color rgb="FF000000"/>
        <rFont val="Arial"/>
        <charset val="134"/>
      </rPr>
      <t>,</t>
    </r>
    <r>
      <rPr>
        <sz val="9"/>
        <color rgb="FF000000"/>
        <rFont val="楷体"/>
        <charset val="134"/>
      </rPr>
      <t>如般量子</t>
    </r>
  </si>
  <si>
    <r>
      <rPr>
        <sz val="9"/>
        <color rgb="FF000000"/>
        <rFont val="楷体"/>
        <charset val="134"/>
      </rPr>
      <t>信雅达</t>
    </r>
    <r>
      <rPr>
        <sz val="9"/>
        <color rgb="FF000000"/>
        <rFont val="Arial"/>
        <charset val="134"/>
      </rPr>
      <t>,</t>
    </r>
    <r>
      <rPr>
        <sz val="9"/>
        <color rgb="FF000000"/>
        <rFont val="楷体"/>
        <charset val="134"/>
      </rPr>
      <t>云楷科技</t>
    </r>
    <r>
      <rPr>
        <sz val="9"/>
        <color rgb="FF000000"/>
        <rFont val="Arial"/>
        <charset val="134"/>
      </rPr>
      <t>,</t>
    </r>
    <r>
      <rPr>
        <sz val="9"/>
        <color rgb="FF000000"/>
        <rFont val="楷体"/>
        <charset val="134"/>
      </rPr>
      <t>风旗投资</t>
    </r>
  </si>
  <si>
    <t>亿脑创新工场</t>
  </si>
  <si>
    <t>2018-09-19</t>
  </si>
  <si>
    <t>WayRay</t>
  </si>
  <si>
    <r>
      <rPr>
        <sz val="9"/>
        <color rgb="FF000000"/>
        <rFont val="Arial"/>
        <charset val="134"/>
      </rPr>
      <t>WayRay</t>
    </r>
    <r>
      <rPr>
        <sz val="9"/>
        <color rgb="FF000000"/>
        <rFont val="楷体"/>
        <charset val="134"/>
      </rPr>
      <t>是一家汽车导航设备制造商，主要为司机开发抬头显示器以及最终用于自动驾驶汽车的完全沉浸式</t>
    </r>
    <r>
      <rPr>
        <sz val="9"/>
        <color rgb="FF000000"/>
        <rFont val="Arial"/>
        <charset val="134"/>
      </rPr>
      <t>AR</t>
    </r>
    <r>
      <rPr>
        <sz val="9"/>
        <color rgb="FF000000"/>
        <rFont val="楷体"/>
        <charset val="134"/>
      </rPr>
      <t>和</t>
    </r>
    <r>
      <rPr>
        <sz val="9"/>
        <color rgb="FF000000"/>
        <rFont val="Arial"/>
        <charset val="134"/>
      </rPr>
      <t>VR</t>
    </r>
    <r>
      <rPr>
        <sz val="9"/>
        <color rgb="FF000000"/>
        <rFont val="楷体"/>
        <charset val="134"/>
      </rPr>
      <t>系统。</t>
    </r>
  </si>
  <si>
    <t>https://wayray.com/</t>
  </si>
  <si>
    <r>
      <rPr>
        <sz val="9"/>
        <color rgb="FF000000"/>
        <rFont val="楷体"/>
        <charset val="134"/>
      </rPr>
      <t>欧洲</t>
    </r>
    <r>
      <rPr>
        <sz val="9"/>
        <color rgb="FF000000"/>
        <rFont val="Arial"/>
        <charset val="134"/>
      </rPr>
      <t>-</t>
    </r>
    <r>
      <rPr>
        <sz val="9"/>
        <color rgb="FF000000"/>
        <rFont val="楷体"/>
        <charset val="134"/>
      </rPr>
      <t>瑞士</t>
    </r>
  </si>
  <si>
    <t>汽车零部件</t>
  </si>
  <si>
    <r>
      <rPr>
        <sz val="9"/>
        <color rgb="FF000000"/>
        <rFont val="楷体"/>
        <charset val="134"/>
      </rPr>
      <t>阿里巴巴</t>
    </r>
    <r>
      <rPr>
        <sz val="9"/>
        <color rgb="FF000000"/>
        <rFont val="Arial"/>
        <charset val="134"/>
      </rPr>
      <t>,</t>
    </r>
    <r>
      <rPr>
        <sz val="9"/>
        <color rgb="FF000000"/>
        <rFont val="楷体"/>
        <charset val="134"/>
      </rPr>
      <t>招商局资本</t>
    </r>
    <r>
      <rPr>
        <sz val="9"/>
        <color rgb="FF000000"/>
        <rFont val="Arial"/>
        <charset val="134"/>
      </rPr>
      <t>,Hyundai Motor Company,Porsche</t>
    </r>
    <r>
      <rPr>
        <sz val="9"/>
        <color rgb="FF000000"/>
        <rFont val="楷体"/>
        <charset val="134"/>
      </rPr>
      <t>保时捷</t>
    </r>
    <r>
      <rPr>
        <sz val="9"/>
        <color rgb="FF000000"/>
        <rFont val="Arial"/>
        <charset val="134"/>
      </rPr>
      <t>, JVCKenwood Corp.</t>
    </r>
  </si>
  <si>
    <r>
      <rPr>
        <sz val="9"/>
        <color rgb="FF000000"/>
        <rFont val="Arial"/>
        <charset val="134"/>
      </rPr>
      <t>7.02</t>
    </r>
    <r>
      <rPr>
        <sz val="9"/>
        <color rgb="FF000000"/>
        <rFont val="楷体"/>
        <charset val="134"/>
      </rPr>
      <t>亿</t>
    </r>
  </si>
  <si>
    <t>Alessandro Dini:Chief Sales &amp; Marketing Officer,Vitaly Ponomarev:Founder &amp; CEO</t>
  </si>
  <si>
    <t>welcome@wayray.com</t>
  </si>
  <si>
    <r>
      <rPr>
        <sz val="9"/>
        <color rgb="FF000000"/>
        <rFont val="楷体"/>
        <charset val="134"/>
      </rPr>
      <t>阿里巴巴</t>
    </r>
    <r>
      <rPr>
        <sz val="9"/>
        <color rgb="FF000000"/>
        <rFont val="Arial"/>
        <charset val="134"/>
      </rPr>
      <t>,500 Startups,</t>
    </r>
    <r>
      <rPr>
        <sz val="9"/>
        <color rgb="FF000000"/>
        <rFont val="楷体"/>
        <charset val="134"/>
      </rPr>
      <t>英特尔投资</t>
    </r>
    <r>
      <rPr>
        <sz val="9"/>
        <color rgb="FF000000"/>
        <rFont val="Arial"/>
        <charset val="134"/>
      </rPr>
      <t>Intel Capital,Accel Partners,Y Combinator,Sequoia Capital</t>
    </r>
    <r>
      <rPr>
        <sz val="9"/>
        <color rgb="FF000000"/>
        <rFont val="楷体"/>
        <charset val="134"/>
      </rPr>
      <t>红杉</t>
    </r>
  </si>
  <si>
    <t>2015-12-31</t>
  </si>
  <si>
    <t>24季私享家</t>
  </si>
  <si>
    <r>
      <rPr>
        <sz val="9"/>
        <color rgb="FF000000"/>
        <rFont val="Arial"/>
        <charset val="134"/>
      </rPr>
      <t>24</t>
    </r>
    <r>
      <rPr>
        <sz val="9"/>
        <color rgb="FF000000"/>
        <rFont val="楷体"/>
        <charset val="134"/>
      </rPr>
      <t>季私享家</t>
    </r>
  </si>
  <si>
    <r>
      <rPr>
        <sz val="9"/>
        <color rgb="FF000000"/>
        <rFont val="Arial"/>
        <charset val="134"/>
      </rPr>
      <t>24</t>
    </r>
    <r>
      <rPr>
        <sz val="9"/>
        <color rgb="FF000000"/>
        <rFont val="楷体"/>
        <charset val="134"/>
      </rPr>
      <t>季私享家是一个集合各类精致生活内容的电商平台，聚集每个目的地具有匠心与技艺的生活家，通过发起人模式，以时令为维度，为追求生活品质的用户，提供场景化的体验产品和严选商品。浙江饭美科技有限公司旗下产品。</t>
    </r>
  </si>
  <si>
    <t>浙江饭美科技有限公司</t>
  </si>
  <si>
    <t>http://www.fanmei.com</t>
  </si>
  <si>
    <t>其他电商服务</t>
  </si>
  <si>
    <r>
      <rPr>
        <sz val="9"/>
        <color rgb="FF000000"/>
        <rFont val="Arial"/>
        <charset val="134"/>
      </rPr>
      <t>2500</t>
    </r>
    <r>
      <rPr>
        <sz val="9"/>
        <color rgb="FF000000"/>
        <rFont val="楷体"/>
        <charset val="134"/>
      </rPr>
      <t>万人民币</t>
    </r>
  </si>
  <si>
    <r>
      <rPr>
        <sz val="9"/>
        <color rgb="FF000000"/>
        <rFont val="楷体"/>
        <charset val="134"/>
      </rPr>
      <t>阿里巴巴</t>
    </r>
    <r>
      <rPr>
        <sz val="9"/>
        <color rgb="FF000000"/>
        <rFont val="Arial"/>
        <charset val="134"/>
      </rPr>
      <t>,</t>
    </r>
    <r>
      <rPr>
        <sz val="9"/>
        <color rgb="FF000000"/>
        <rFont val="楷体"/>
        <charset val="134"/>
      </rPr>
      <t>华媒控股</t>
    </r>
  </si>
  <si>
    <r>
      <rPr>
        <sz val="9"/>
        <color rgb="FF000000"/>
        <rFont val="Arial"/>
        <charset val="134"/>
      </rPr>
      <t>2500</t>
    </r>
    <r>
      <rPr>
        <sz val="9"/>
        <color rgb="FF000000"/>
        <rFont val="楷体"/>
        <charset val="134"/>
      </rPr>
      <t>万</t>
    </r>
  </si>
  <si>
    <r>
      <rPr>
        <sz val="9"/>
        <color rgb="FF000000"/>
        <rFont val="Arial"/>
        <charset val="134"/>
      </rPr>
      <t>10000</t>
    </r>
    <r>
      <rPr>
        <sz val="9"/>
        <color rgb="FF000000"/>
        <rFont val="楷体"/>
        <charset val="134"/>
      </rPr>
      <t>万元</t>
    </r>
  </si>
  <si>
    <r>
      <rPr>
        <sz val="9"/>
        <color rgb="FF000000"/>
        <rFont val="楷体"/>
        <charset val="134"/>
      </rPr>
      <t>朱建</t>
    </r>
    <r>
      <rPr>
        <sz val="9"/>
        <color rgb="FF000000"/>
        <rFont val="Arial"/>
        <charset val="134"/>
      </rPr>
      <t>:CEO</t>
    </r>
  </si>
  <si>
    <r>
      <rPr>
        <sz val="9"/>
        <color rgb="FF000000"/>
        <rFont val="楷体"/>
        <charset val="134"/>
      </rPr>
      <t>杭州市余杭区仓前街道文一西路</t>
    </r>
    <r>
      <rPr>
        <sz val="9"/>
        <color rgb="FF000000"/>
        <rFont val="Arial"/>
        <charset val="134"/>
      </rPr>
      <t>1324</t>
    </r>
    <r>
      <rPr>
        <sz val="9"/>
        <color rgb="FF000000"/>
        <rFont val="楷体"/>
        <charset val="134"/>
      </rPr>
      <t>号</t>
    </r>
    <r>
      <rPr>
        <sz val="9"/>
        <color rgb="FF000000"/>
        <rFont val="Arial"/>
        <charset val="134"/>
      </rPr>
      <t>3</t>
    </r>
    <r>
      <rPr>
        <sz val="9"/>
        <color rgb="FF000000"/>
        <rFont val="楷体"/>
        <charset val="134"/>
      </rPr>
      <t>号楼</t>
    </r>
    <r>
      <rPr>
        <sz val="9"/>
        <color rgb="FF000000"/>
        <rFont val="Arial"/>
        <charset val="134"/>
      </rPr>
      <t>11</t>
    </r>
    <r>
      <rPr>
        <sz val="9"/>
        <color rgb="FF000000"/>
        <rFont val="楷体"/>
        <charset val="134"/>
      </rPr>
      <t>层</t>
    </r>
    <r>
      <rPr>
        <sz val="9"/>
        <color rgb="FF000000"/>
        <rFont val="Arial"/>
        <charset val="134"/>
      </rPr>
      <t>1101</t>
    </r>
    <r>
      <rPr>
        <sz val="9"/>
        <color rgb="FF000000"/>
        <rFont val="楷体"/>
        <charset val="134"/>
      </rPr>
      <t>室</t>
    </r>
  </si>
  <si>
    <t>2023-04-14</t>
  </si>
  <si>
    <t>寒武纪</t>
  </si>
  <si>
    <r>
      <rPr>
        <sz val="9"/>
        <color rgb="FF000000"/>
        <rFont val="楷体"/>
        <charset val="134"/>
      </rPr>
      <t>寒武纪专注于人工智能芯片产品的研发与技术创新，致力于打造人工智能领域的核心处理器芯片。提供云边端一体、软硬件协同、训练推理融合、具备统一生态的系列化智能芯片产品和平台化基础系统软件。产品广泛应用于服务器厂商和产业公司，面向互联网、金融、交通、能源、电力和制造等领域的复杂</t>
    </r>
    <r>
      <rPr>
        <sz val="9"/>
        <color rgb="FF000000"/>
        <rFont val="Arial"/>
        <charset val="134"/>
      </rPr>
      <t xml:space="preserve"> AI </t>
    </r>
    <r>
      <rPr>
        <sz val="9"/>
        <color rgb="FF000000"/>
        <rFont val="楷体"/>
        <charset val="134"/>
      </rPr>
      <t>应用场景提供充裕算力，推动人工智能赋能产业升级。</t>
    </r>
  </si>
  <si>
    <t>中科寒武纪科技股份有限公司</t>
  </si>
  <si>
    <t>http://www.cambricon.com/</t>
  </si>
  <si>
    <r>
      <rPr>
        <sz val="9"/>
        <color rgb="FF000000"/>
        <rFont val="Arial"/>
        <charset val="134"/>
      </rPr>
      <t>16.72</t>
    </r>
    <r>
      <rPr>
        <sz val="9"/>
        <color rgb="FF000000"/>
        <rFont val="楷体"/>
        <charset val="134"/>
      </rPr>
      <t>亿人民币</t>
    </r>
  </si>
  <si>
    <r>
      <rPr>
        <sz val="9"/>
        <color rgb="FF000000"/>
        <rFont val="Arial"/>
        <charset val="134"/>
      </rPr>
      <t>JPMorgan</t>
    </r>
    <r>
      <rPr>
        <sz val="9"/>
        <color rgb="FF000000"/>
        <rFont val="楷体"/>
        <charset val="134"/>
      </rPr>
      <t>摩根大通</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国泰君安</t>
    </r>
    <r>
      <rPr>
        <sz val="9"/>
        <color rgb="FF000000"/>
        <rFont val="Arial"/>
        <charset val="134"/>
      </rPr>
      <t>,</t>
    </r>
    <r>
      <rPr>
        <sz val="9"/>
        <color rgb="FF000000"/>
        <rFont val="楷体"/>
        <charset val="134"/>
      </rPr>
      <t>东方财富网</t>
    </r>
    <r>
      <rPr>
        <sz val="9"/>
        <color rgb="FF000000"/>
        <rFont val="Arial"/>
        <charset val="134"/>
      </rPr>
      <t>,</t>
    </r>
    <r>
      <rPr>
        <sz val="9"/>
        <color rgb="FF000000"/>
        <rFont val="楷体"/>
        <charset val="134"/>
      </rPr>
      <t>瑞华控股</t>
    </r>
    <r>
      <rPr>
        <sz val="9"/>
        <color rgb="FF000000"/>
        <rFont val="Arial"/>
        <charset val="134"/>
      </rPr>
      <t>,</t>
    </r>
    <r>
      <rPr>
        <sz val="9"/>
        <color rgb="FF000000"/>
        <rFont val="楷体"/>
        <charset val="134"/>
      </rPr>
      <t>银河投资</t>
    </r>
    <r>
      <rPr>
        <sz val="9"/>
        <color rgb="FF000000"/>
        <rFont val="Arial"/>
        <charset val="134"/>
      </rPr>
      <t>(</t>
    </r>
    <r>
      <rPr>
        <sz val="9"/>
        <color rgb="FF000000"/>
        <rFont val="楷体"/>
        <charset val="134"/>
      </rPr>
      <t>银河资本</t>
    </r>
    <r>
      <rPr>
        <sz val="9"/>
        <color rgb="FF000000"/>
        <rFont val="Arial"/>
        <charset val="134"/>
      </rPr>
      <t>),</t>
    </r>
    <r>
      <rPr>
        <sz val="9"/>
        <color rgb="FF000000"/>
        <rFont val="楷体"/>
        <charset val="134"/>
      </rPr>
      <t>证大资产</t>
    </r>
    <r>
      <rPr>
        <sz val="9"/>
        <color rgb="FF000000"/>
        <rFont val="Arial"/>
        <charset val="134"/>
      </rPr>
      <t>,UBS</t>
    </r>
    <r>
      <rPr>
        <sz val="9"/>
        <color rgb="FF000000"/>
        <rFont val="楷体"/>
        <charset val="134"/>
      </rPr>
      <t>瑞银</t>
    </r>
    <r>
      <rPr>
        <sz val="9"/>
        <color rgb="FF000000"/>
        <rFont val="Arial"/>
        <charset val="134"/>
      </rPr>
      <t>,</t>
    </r>
    <r>
      <rPr>
        <sz val="9"/>
        <color rgb="FF000000"/>
        <rFont val="楷体"/>
        <charset val="134"/>
      </rPr>
      <t>南方资产</t>
    </r>
    <r>
      <rPr>
        <sz val="9"/>
        <color rgb="FF000000"/>
        <rFont val="Arial"/>
        <charset val="134"/>
      </rPr>
      <t>,</t>
    </r>
    <r>
      <rPr>
        <sz val="9"/>
        <color rgb="FF000000"/>
        <rFont val="楷体"/>
        <charset val="134"/>
      </rPr>
      <t>财通基金</t>
    </r>
    <r>
      <rPr>
        <sz val="9"/>
        <color rgb="FF000000"/>
        <rFont val="Arial"/>
        <charset val="134"/>
      </rPr>
      <t>,</t>
    </r>
    <r>
      <rPr>
        <sz val="9"/>
        <color rgb="FF000000"/>
        <rFont val="楷体"/>
        <charset val="134"/>
      </rPr>
      <t>诺德基金</t>
    </r>
    <r>
      <rPr>
        <sz val="9"/>
        <color rgb="FF000000"/>
        <rFont val="Arial"/>
        <charset val="134"/>
      </rPr>
      <t>,</t>
    </r>
    <r>
      <rPr>
        <sz val="9"/>
        <color rgb="FF000000"/>
        <rFont val="楷体"/>
        <charset val="134"/>
      </rPr>
      <t>华商基金</t>
    </r>
    <r>
      <rPr>
        <sz val="9"/>
        <color rgb="FF000000"/>
        <rFont val="Arial"/>
        <charset val="134"/>
      </rPr>
      <t>,</t>
    </r>
    <r>
      <rPr>
        <sz val="9"/>
        <color rgb="FF000000"/>
        <rFont val="楷体"/>
        <charset val="134"/>
      </rPr>
      <t>富荣基金</t>
    </r>
    <r>
      <rPr>
        <sz val="9"/>
        <color rgb="FF000000"/>
        <rFont val="Arial"/>
        <charset val="134"/>
      </rPr>
      <t>,</t>
    </r>
    <r>
      <rPr>
        <sz val="9"/>
        <color rgb="FF000000"/>
        <rFont val="楷体"/>
        <charset val="134"/>
      </rPr>
      <t>聚鸣投资</t>
    </r>
  </si>
  <si>
    <r>
      <rPr>
        <sz val="9"/>
        <color rgb="FF000000"/>
        <rFont val="Arial"/>
        <charset val="134"/>
      </rPr>
      <t>69.72</t>
    </r>
    <r>
      <rPr>
        <sz val="9"/>
        <color rgb="FF000000"/>
        <rFont val="楷体"/>
        <charset val="134"/>
      </rPr>
      <t>亿</t>
    </r>
  </si>
  <si>
    <r>
      <rPr>
        <sz val="9"/>
        <color rgb="FF000000"/>
        <rFont val="Arial"/>
        <charset val="134"/>
      </rPr>
      <t>83.6</t>
    </r>
    <r>
      <rPr>
        <sz val="9"/>
        <color rgb="FF000000"/>
        <rFont val="楷体"/>
        <charset val="134"/>
      </rPr>
      <t>亿元</t>
    </r>
  </si>
  <si>
    <r>
      <rPr>
        <sz val="9"/>
        <color rgb="FF000000"/>
        <rFont val="楷体"/>
        <charset val="134"/>
      </rPr>
      <t>陈天石</t>
    </r>
    <r>
      <rPr>
        <sz val="9"/>
        <color rgb="FF000000"/>
        <rFont val="Arial"/>
        <charset val="134"/>
      </rPr>
      <t>:CEO,</t>
    </r>
    <r>
      <rPr>
        <sz val="9"/>
        <color rgb="FF000000"/>
        <rFont val="楷体"/>
        <charset val="134"/>
      </rPr>
      <t>陈云霁</t>
    </r>
    <r>
      <rPr>
        <sz val="9"/>
        <color rgb="FF000000"/>
        <rFont val="Arial"/>
        <charset val="134"/>
      </rPr>
      <t>:</t>
    </r>
    <r>
      <rPr>
        <sz val="9"/>
        <color rgb="FF000000"/>
        <rFont val="楷体"/>
        <charset val="134"/>
      </rPr>
      <t>联合创始人</t>
    </r>
  </si>
  <si>
    <r>
      <rPr>
        <sz val="9"/>
        <color rgb="FF000000"/>
        <rFont val="楷体"/>
        <charset val="134"/>
      </rPr>
      <t>北京市海淀区知春路</t>
    </r>
    <r>
      <rPr>
        <sz val="9"/>
        <color rgb="FF000000"/>
        <rFont val="Arial"/>
        <charset val="134"/>
      </rPr>
      <t>7</t>
    </r>
    <r>
      <rPr>
        <sz val="9"/>
        <color rgb="FF000000"/>
        <rFont val="楷体"/>
        <charset val="134"/>
      </rPr>
      <t>号致真大厦</t>
    </r>
    <r>
      <rPr>
        <sz val="9"/>
        <color rgb="FF000000"/>
        <rFont val="Arial"/>
        <charset val="134"/>
      </rPr>
      <t>D</t>
    </r>
    <r>
      <rPr>
        <sz val="9"/>
        <color rgb="FF000000"/>
        <rFont val="楷体"/>
        <charset val="134"/>
      </rPr>
      <t>座</t>
    </r>
    <r>
      <rPr>
        <sz val="9"/>
        <color rgb="FF000000"/>
        <rFont val="Arial"/>
        <charset val="134"/>
      </rPr>
      <t>11</t>
    </r>
    <r>
      <rPr>
        <sz val="9"/>
        <color rgb="FF000000"/>
        <rFont val="楷体"/>
        <charset val="134"/>
      </rPr>
      <t>层</t>
    </r>
  </si>
  <si>
    <t>86-10-83030003</t>
  </si>
  <si>
    <t>info@cambricon.com</t>
  </si>
  <si>
    <r>
      <rPr>
        <sz val="9"/>
        <color rgb="FF000000"/>
        <rFont val="Arial"/>
        <charset val="134"/>
      </rPr>
      <t>25.8</t>
    </r>
    <r>
      <rPr>
        <sz val="9"/>
        <color rgb="FF000000"/>
        <rFont val="楷体"/>
        <charset val="134"/>
      </rPr>
      <t>亿人民币</t>
    </r>
  </si>
  <si>
    <r>
      <rPr>
        <sz val="9"/>
        <color rgb="FF000000"/>
        <rFont val="楷体"/>
        <charset val="134"/>
      </rPr>
      <t>阿里巴巴</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金石投资</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国科投资</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中国国有资本风险投资基金（国风投基金）</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国投创业</t>
    </r>
    <r>
      <rPr>
        <sz val="9"/>
        <color rgb="FF000000"/>
        <rFont val="Arial"/>
        <charset val="134"/>
      </rPr>
      <t>,</t>
    </r>
    <r>
      <rPr>
        <sz val="9"/>
        <color rgb="FF000000"/>
        <rFont val="楷体"/>
        <charset val="134"/>
      </rPr>
      <t>国新科创基金（国新基金）</t>
    </r>
    <r>
      <rPr>
        <sz val="9"/>
        <color rgb="FF000000"/>
        <rFont val="Arial"/>
        <charset val="134"/>
      </rPr>
      <t>,</t>
    </r>
    <r>
      <rPr>
        <sz val="9"/>
        <color rgb="FF000000"/>
        <rFont val="楷体"/>
        <charset val="134"/>
      </rPr>
      <t>中科院创投</t>
    </r>
    <r>
      <rPr>
        <sz val="9"/>
        <color rgb="FF000000"/>
        <rFont val="Arial"/>
        <charset val="134"/>
      </rPr>
      <t>,</t>
    </r>
    <r>
      <rPr>
        <sz val="9"/>
        <color rgb="FF000000"/>
        <rFont val="楷体"/>
        <charset val="134"/>
      </rPr>
      <t>中科图灵</t>
    </r>
    <r>
      <rPr>
        <sz val="9"/>
        <color rgb="FF000000"/>
        <rFont val="Arial"/>
        <charset val="134"/>
      </rPr>
      <t>,</t>
    </r>
    <r>
      <rPr>
        <sz val="9"/>
        <color rgb="FF000000"/>
        <rFont val="楷体"/>
        <charset val="134"/>
      </rPr>
      <t>国新启迪</t>
    </r>
  </si>
  <si>
    <r>
      <rPr>
        <sz val="9"/>
        <color rgb="FF000000"/>
        <rFont val="Arial"/>
        <charset val="134"/>
      </rPr>
      <t>4000</t>
    </r>
    <r>
      <rPr>
        <sz val="9"/>
        <color rgb="FF000000"/>
        <rFont val="楷体"/>
        <charset val="134"/>
      </rPr>
      <t>万人民币</t>
    </r>
  </si>
  <si>
    <r>
      <rPr>
        <sz val="9"/>
        <color rgb="FF000000"/>
        <rFont val="楷体"/>
        <charset val="134"/>
      </rPr>
      <t>招商局资本</t>
    </r>
    <r>
      <rPr>
        <sz val="9"/>
        <color rgb="FF000000"/>
        <rFont val="Arial"/>
        <charset val="134"/>
      </rPr>
      <t>,</t>
    </r>
    <r>
      <rPr>
        <sz val="9"/>
        <color rgb="FF000000"/>
        <rFont val="楷体"/>
        <charset val="134"/>
      </rPr>
      <t>招银国际</t>
    </r>
  </si>
  <si>
    <r>
      <rPr>
        <sz val="9"/>
        <color rgb="FF000000"/>
        <rFont val="楷体"/>
        <charset val="134"/>
      </rPr>
      <t>招银国际</t>
    </r>
    <r>
      <rPr>
        <sz val="9"/>
        <color rgb="FF000000"/>
        <rFont val="Arial"/>
        <charset val="134"/>
      </rPr>
      <t>,</t>
    </r>
    <r>
      <rPr>
        <sz val="9"/>
        <color rgb="FF000000"/>
        <rFont val="楷体"/>
        <charset val="134"/>
      </rPr>
      <t>中国国有资本风险投资基金（国风投基金）</t>
    </r>
    <r>
      <rPr>
        <sz val="9"/>
        <color rgb="FF000000"/>
        <rFont val="Arial"/>
        <charset val="134"/>
      </rPr>
      <t>,</t>
    </r>
    <r>
      <rPr>
        <sz val="9"/>
        <color rgb="FF000000"/>
        <rFont val="楷体"/>
        <charset val="134"/>
      </rPr>
      <t>久友资本</t>
    </r>
  </si>
  <si>
    <r>
      <rPr>
        <sz val="9"/>
        <color rgb="FF000000"/>
        <rFont val="楷体"/>
        <charset val="134"/>
      </rPr>
      <t>阿里巴巴</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涌铧投资</t>
    </r>
    <r>
      <rPr>
        <sz val="9"/>
        <color rgb="FF000000"/>
        <rFont val="Arial"/>
        <charset val="134"/>
      </rPr>
      <t>,</t>
    </r>
    <r>
      <rPr>
        <sz val="9"/>
        <color rgb="FF000000"/>
        <rFont val="楷体"/>
        <charset val="134"/>
      </rPr>
      <t>国科投资</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国投创业</t>
    </r>
    <r>
      <rPr>
        <sz val="9"/>
        <color rgb="FF000000"/>
        <rFont val="Arial"/>
        <charset val="134"/>
      </rPr>
      <t>,</t>
    </r>
    <r>
      <rPr>
        <sz val="9"/>
        <color rgb="FF000000"/>
        <rFont val="楷体"/>
        <charset val="134"/>
      </rPr>
      <t>中科图灵</t>
    </r>
  </si>
  <si>
    <r>
      <rPr>
        <sz val="9"/>
        <color rgb="FF000000"/>
        <rFont val="楷体"/>
        <charset val="134"/>
      </rPr>
      <t>涌铧投资</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科大讯飞</t>
    </r>
  </si>
  <si>
    <t>中科院创投</t>
  </si>
  <si>
    <t>怪兽充电</t>
  </si>
  <si>
    <t>怪兽充电是一家新成立的充电宝租赁品牌，怪兽充电的产品是带有大容量电池的手机充电设备，采用桌面型单台充电宝形式，上海挚想科技有限公司旗下。</t>
  </si>
  <si>
    <t>上海挚想科技有限公司</t>
  </si>
  <si>
    <t>http://www.enmonster.com/</t>
  </si>
  <si>
    <t>2017-04</t>
  </si>
  <si>
    <r>
      <rPr>
        <sz val="9"/>
        <color rgb="FF000000"/>
        <rFont val="Arial"/>
        <charset val="134"/>
      </rPr>
      <t>44.36</t>
    </r>
    <r>
      <rPr>
        <sz val="9"/>
        <color rgb="FF000000"/>
        <rFont val="楷体"/>
        <charset val="134"/>
      </rPr>
      <t>亿</t>
    </r>
  </si>
  <si>
    <r>
      <rPr>
        <sz val="9"/>
        <color rgb="FF000000"/>
        <rFont val="楷体"/>
        <charset val="134"/>
      </rPr>
      <t>蔡光渊</t>
    </r>
    <r>
      <rPr>
        <sz val="9"/>
        <color rgb="FF000000"/>
        <rFont val="Arial"/>
        <charset val="134"/>
      </rPr>
      <t>:CEO</t>
    </r>
  </si>
  <si>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自由贸易试验区德堡路</t>
    </r>
    <r>
      <rPr>
        <sz val="9"/>
        <color rgb="FF000000"/>
        <rFont val="Arial"/>
        <charset val="134"/>
      </rPr>
      <t>38</t>
    </r>
    <r>
      <rPr>
        <sz val="9"/>
        <color rgb="FF000000"/>
        <rFont val="楷体"/>
        <charset val="134"/>
      </rPr>
      <t>号</t>
    </r>
    <r>
      <rPr>
        <sz val="9"/>
        <color rgb="FF000000"/>
        <rFont val="Arial"/>
        <charset val="134"/>
      </rPr>
      <t>2</t>
    </r>
    <r>
      <rPr>
        <sz val="9"/>
        <color rgb="FF000000"/>
        <rFont val="楷体"/>
        <charset val="134"/>
      </rPr>
      <t>幢二层</t>
    </r>
    <r>
      <rPr>
        <sz val="9"/>
        <color rgb="FF000000"/>
        <rFont val="Arial"/>
        <charset val="134"/>
      </rPr>
      <t>212-27</t>
    </r>
    <r>
      <rPr>
        <sz val="9"/>
        <color rgb="FF000000"/>
        <rFont val="楷体"/>
        <charset val="134"/>
      </rPr>
      <t>室</t>
    </r>
  </si>
  <si>
    <t>400-670-3303</t>
  </si>
  <si>
    <r>
      <rPr>
        <sz val="9"/>
        <color rgb="FF000000"/>
        <rFont val="楷体"/>
        <charset val="134"/>
      </rPr>
      <t>小米集团</t>
    </r>
    <r>
      <rPr>
        <sz val="9"/>
        <color rgb="FF000000"/>
        <rFont val="Arial"/>
        <charset val="134"/>
      </rPr>
      <t>,</t>
    </r>
    <r>
      <rPr>
        <sz val="9"/>
        <color rgb="FF000000"/>
        <rFont val="楷体"/>
        <charset val="134"/>
      </rPr>
      <t>高瓴投资</t>
    </r>
    <r>
      <rPr>
        <sz val="9"/>
        <color rgb="FF000000"/>
        <rFont val="Arial"/>
        <charset val="134"/>
      </rPr>
      <t>,Aspex Management</t>
    </r>
  </si>
  <si>
    <r>
      <rPr>
        <sz val="9"/>
        <color rgb="FF000000"/>
        <rFont val="Arial"/>
        <charset val="134"/>
      </rPr>
      <t>2.34</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</si>
  <si>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凯雷投资</t>
    </r>
    <r>
      <rPr>
        <sz val="9"/>
        <color rgb="FF000000"/>
        <rFont val="Arial"/>
        <charset val="134"/>
      </rPr>
      <t>,</t>
    </r>
    <r>
      <rPr>
        <sz val="9"/>
        <color rgb="FF000000"/>
        <rFont val="楷体"/>
        <charset val="134"/>
      </rPr>
      <t>高瓴投资</t>
    </r>
    <r>
      <rPr>
        <sz val="9"/>
        <color rgb="FF000000"/>
        <rFont val="Arial"/>
        <charset val="134"/>
      </rPr>
      <t>,CMC</t>
    </r>
    <r>
      <rPr>
        <sz val="9"/>
        <color rgb="FF000000"/>
        <rFont val="楷体"/>
        <charset val="134"/>
      </rPr>
      <t>资本</t>
    </r>
    <r>
      <rPr>
        <sz val="9"/>
        <color rgb="FF000000"/>
        <rFont val="Arial"/>
        <charset val="134"/>
      </rPr>
      <t>,InnoVen Capital</t>
    </r>
    <r>
      <rPr>
        <sz val="9"/>
        <color rgb="FF000000"/>
        <rFont val="楷体"/>
        <charset val="134"/>
      </rPr>
      <t>毅峰资本</t>
    </r>
  </si>
  <si>
    <r>
      <rPr>
        <sz val="9"/>
        <color rgb="FF000000"/>
        <rFont val="楷体"/>
        <charset val="134"/>
      </rPr>
      <t>顺为资本</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凡卓资本</t>
    </r>
    <r>
      <rPr>
        <sz val="9"/>
        <color rgb="FF000000"/>
        <rFont val="Arial"/>
        <charset val="134"/>
      </rPr>
      <t>(</t>
    </r>
    <r>
      <rPr>
        <sz val="9"/>
        <color rgb="FF000000"/>
        <rFont val="楷体"/>
        <charset val="134"/>
      </rPr>
      <t>小饭桌</t>
    </r>
    <r>
      <rPr>
        <sz val="9"/>
        <color rgb="FF000000"/>
        <rFont val="Arial"/>
        <charset val="134"/>
      </rPr>
      <t>),</t>
    </r>
    <r>
      <rPr>
        <sz val="9"/>
        <color rgb="FF000000"/>
        <rFont val="楷体"/>
        <charset val="134"/>
      </rPr>
      <t>尚珹资本</t>
    </r>
    <r>
      <rPr>
        <sz val="9"/>
        <color rgb="FF000000"/>
        <rFont val="Arial"/>
        <charset val="134"/>
      </rPr>
      <t>,</t>
    </r>
    <r>
      <rPr>
        <sz val="9"/>
        <color rgb="FF000000"/>
        <rFont val="楷体"/>
        <charset val="134"/>
      </rPr>
      <t>云九资本</t>
    </r>
    <r>
      <rPr>
        <sz val="9"/>
        <color rgb="FF000000"/>
        <rFont val="Arial"/>
        <charset val="134"/>
      </rPr>
      <t>,</t>
    </r>
    <r>
      <rPr>
        <sz val="9"/>
        <color rgb="FF000000"/>
        <rFont val="楷体"/>
        <charset val="134"/>
      </rPr>
      <t>中银国际</t>
    </r>
    <r>
      <rPr>
        <sz val="9"/>
        <color rgb="FF000000"/>
        <rFont val="Arial"/>
        <charset val="134"/>
      </rPr>
      <t>,</t>
    </r>
    <r>
      <rPr>
        <sz val="9"/>
        <color rgb="FF000000"/>
        <rFont val="楷体"/>
        <charset val="134"/>
      </rPr>
      <t>干嘉伟</t>
    </r>
  </si>
  <si>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干嘉伟</t>
    </r>
  </si>
  <si>
    <r>
      <rPr>
        <sz val="9"/>
        <color rgb="FF000000"/>
        <rFont val="楷体"/>
        <charset val="134"/>
      </rPr>
      <t>蓝驰创投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云九资本</t>
    </r>
    <r>
      <rPr>
        <sz val="9"/>
        <color rgb="FF000000"/>
        <rFont val="Arial"/>
        <charset val="134"/>
      </rPr>
      <t>,</t>
    </r>
    <r>
      <rPr>
        <sz val="9"/>
        <color rgb="FF000000"/>
        <rFont val="楷体"/>
        <charset val="134"/>
      </rPr>
      <t>紫米</t>
    </r>
  </si>
  <si>
    <r>
      <rPr>
        <sz val="9"/>
        <color rgb="FF000000"/>
        <rFont val="楷体"/>
        <charset val="134"/>
      </rPr>
      <t>蓝驰创投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云九资本</t>
    </r>
  </si>
  <si>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紫米</t>
    </r>
  </si>
  <si>
    <t>2021-06-11</t>
  </si>
  <si>
    <t>DeepMap</t>
  </si>
  <si>
    <r>
      <rPr>
        <sz val="9"/>
        <color rgb="FF000000"/>
        <rFont val="Arial"/>
        <charset val="134"/>
      </rPr>
      <t>DeepMap</t>
    </r>
    <r>
      <rPr>
        <sz val="9"/>
        <color rgb="FF000000"/>
        <rFont val="楷体"/>
        <charset val="134"/>
      </rPr>
      <t>是一家无人驾驶领域的新兴地图公司，专注于高精度地图解决方案的研发，其所提供的高清地图、实时定位软件以及其他必要基础数据都将推动无人驾驶技术的发展。</t>
    </r>
  </si>
  <si>
    <t>https://www.deepmap.ai/</t>
  </si>
  <si>
    <r>
      <rPr>
        <sz val="9"/>
        <color rgb="FF000000"/>
        <rFont val="楷体"/>
        <charset val="134"/>
      </rPr>
      <t>自动</t>
    </r>
    <r>
      <rPr>
        <sz val="9"/>
        <color rgb="FF000000"/>
        <rFont val="Arial"/>
        <charset val="134"/>
      </rPr>
      <t>/</t>
    </r>
    <r>
      <rPr>
        <sz val="9"/>
        <color rgb="FF000000"/>
        <rFont val="楷体"/>
        <charset val="134"/>
      </rPr>
      <t>无人驾驶</t>
    </r>
  </si>
  <si>
    <r>
      <rPr>
        <sz val="9"/>
        <color rgb="FF000000"/>
        <rFont val="Arial"/>
        <charset val="134"/>
      </rPr>
      <t>NVIDIA</t>
    </r>
    <r>
      <rPr>
        <sz val="9"/>
        <color rgb="FF000000"/>
        <rFont val="楷体"/>
        <charset val="134"/>
      </rPr>
      <t>英伟达</t>
    </r>
  </si>
  <si>
    <r>
      <rPr>
        <sz val="9"/>
        <color rgb="FF000000"/>
        <rFont val="Arial"/>
        <charset val="134"/>
      </rPr>
      <t>12.48</t>
    </r>
    <r>
      <rPr>
        <sz val="9"/>
        <color rgb="FF000000"/>
        <rFont val="楷体"/>
        <charset val="134"/>
      </rPr>
      <t>亿</t>
    </r>
  </si>
  <si>
    <r>
      <rPr>
        <sz val="9"/>
        <color rgb="FF000000"/>
        <rFont val="Arial"/>
        <charset val="134"/>
      </rPr>
      <t>James Wu</t>
    </r>
    <r>
      <rPr>
        <sz val="9"/>
        <color rgb="FF000000"/>
        <rFont val="楷体"/>
        <charset val="134"/>
      </rPr>
      <t>吴夏青</t>
    </r>
    <r>
      <rPr>
        <sz val="9"/>
        <color rgb="FF000000"/>
        <rFont val="Arial"/>
        <charset val="134"/>
      </rPr>
      <t>:CEO,Andrew Shaw:VP, Engineering,Calisa Cole:VP Marketing,Chirag Majithia:Software Engineer,Cindy M. K. Chang:Manager, Global Human Resources,Danny Liu:GM of APAC,Drew Fong:People Operations,James Wu:Co-Founder and CEO,Mark Wheeler:CTO,Pedro Guillen:Director of Talent,Richard Lucquet:Head of Solution Engineering &amp; Map Operations, VP,Wei Luo:COO &amp; Head of Product,Yuchong Ye:Software Engineer,Zhanxiang Liu:Software Engineer</t>
    </r>
  </si>
  <si>
    <r>
      <rPr>
        <sz val="9"/>
        <color rgb="FF000000"/>
        <rFont val="楷体"/>
        <charset val="134"/>
      </rPr>
      <t>阿里巴巴</t>
    </r>
    <r>
      <rPr>
        <sz val="9"/>
        <color rgb="FF000000"/>
        <rFont val="Arial"/>
        <charset val="134"/>
      </rPr>
      <t>,</t>
    </r>
    <r>
      <rPr>
        <sz val="9"/>
        <color rgb="FF000000"/>
        <rFont val="楷体"/>
        <charset val="134"/>
      </rPr>
      <t>滴滴出行</t>
    </r>
    <r>
      <rPr>
        <sz val="9"/>
        <color rgb="FF000000"/>
        <rFont val="Arial"/>
        <charset val="134"/>
      </rPr>
      <t>,</t>
    </r>
    <r>
      <rPr>
        <sz val="9"/>
        <color rgb="FF000000"/>
        <rFont val="楷体"/>
        <charset val="134"/>
      </rPr>
      <t>北汽产投</t>
    </r>
    <r>
      <rPr>
        <sz val="9"/>
        <color rgb="FF000000"/>
        <rFont val="Arial"/>
        <charset val="134"/>
      </rPr>
      <t>,NVIDIA</t>
    </r>
    <r>
      <rPr>
        <sz val="9"/>
        <color rgb="FF000000"/>
        <rFont val="楷体"/>
        <charset val="134"/>
      </rPr>
      <t>英伟达</t>
    </r>
    <r>
      <rPr>
        <sz val="9"/>
        <color rgb="FF000000"/>
        <rFont val="Arial"/>
        <charset val="134"/>
      </rPr>
      <t>,Robert Bosch Venture Capital</t>
    </r>
    <r>
      <rPr>
        <sz val="9"/>
        <color rgb="FF000000"/>
        <rFont val="楷体"/>
        <charset val="134"/>
      </rPr>
      <t>（博世海外）</t>
    </r>
  </si>
  <si>
    <r>
      <rPr>
        <sz val="9"/>
        <color rgb="FF000000"/>
        <rFont val="楷体"/>
        <charset val="134"/>
      </rPr>
      <t>金沙江创投</t>
    </r>
    <r>
      <rPr>
        <sz val="9"/>
        <color rgb="FF000000"/>
        <rFont val="Arial"/>
        <charset val="134"/>
      </rPr>
      <t>,Accel Partners,Andreessen Horowitz-a16z</t>
    </r>
  </si>
  <si>
    <t>2017-09-30</t>
  </si>
  <si>
    <t>MariaDB</t>
  </si>
  <si>
    <r>
      <rPr>
        <sz val="9"/>
        <color rgb="FF000000"/>
        <rFont val="Arial"/>
        <charset val="134"/>
      </rPr>
      <t>MariaDB</t>
    </r>
    <r>
      <rPr>
        <sz val="9"/>
        <color rgb="FF000000"/>
        <rFont val="楷体"/>
        <charset val="134"/>
      </rPr>
      <t>是一家从事开源数据库技术研发与推广的公司。公司的产品包括</t>
    </r>
    <r>
      <rPr>
        <sz val="9"/>
        <color rgb="FF000000"/>
        <rFont val="Arial"/>
        <charset val="134"/>
      </rPr>
      <t xml:space="preserve"> Maria DB  Server</t>
    </r>
    <r>
      <rPr>
        <sz val="9"/>
        <color rgb="FF000000"/>
        <rFont val="楷体"/>
        <charset val="134"/>
      </rPr>
      <t>、</t>
    </r>
    <r>
      <rPr>
        <sz val="9"/>
        <color rgb="FF000000"/>
        <rFont val="Arial"/>
        <charset val="134"/>
      </rPr>
      <t xml:space="preserve">MaxScale </t>
    </r>
    <r>
      <rPr>
        <sz val="9"/>
        <color rgb="FF000000"/>
        <rFont val="楷体"/>
        <charset val="134"/>
      </rPr>
      <t>数据库代理，</t>
    </r>
    <r>
      <rPr>
        <sz val="9"/>
        <color rgb="FF000000"/>
        <rFont val="Arial"/>
        <charset val="134"/>
      </rPr>
      <t xml:space="preserve">ColumnStore </t>
    </r>
    <r>
      <rPr>
        <sz val="9"/>
        <color rgb="FF000000"/>
        <rFont val="楷体"/>
        <charset val="134"/>
      </rPr>
      <t>分布式数据存储引擎、技术支持、培训等。</t>
    </r>
  </si>
  <si>
    <t>https://mariadb.com/</t>
  </si>
  <si>
    <t>2009-04</t>
  </si>
  <si>
    <r>
      <rPr>
        <sz val="9"/>
        <color rgb="FF000000"/>
        <rFont val="Arial"/>
        <charset val="134"/>
      </rPr>
      <t>2290</t>
    </r>
    <r>
      <rPr>
        <sz val="9"/>
        <color rgb="FF000000"/>
        <rFont val="楷体"/>
        <charset val="134"/>
      </rPr>
      <t>万欧元</t>
    </r>
  </si>
  <si>
    <r>
      <rPr>
        <sz val="9"/>
        <color rgb="FF000000"/>
        <rFont val="Arial"/>
        <charset val="134"/>
      </rPr>
      <t>3.54</t>
    </r>
    <r>
      <rPr>
        <sz val="9"/>
        <color rgb="FF000000"/>
        <rFont val="楷体"/>
        <charset val="134"/>
      </rPr>
      <t>亿</t>
    </r>
  </si>
  <si>
    <r>
      <rPr>
        <sz val="9"/>
        <color rgb="FF000000"/>
        <rFont val="Arial"/>
        <charset val="134"/>
      </rPr>
      <t>23.4</t>
    </r>
    <r>
      <rPr>
        <sz val="9"/>
        <color rgb="FF000000"/>
        <rFont val="楷体"/>
        <charset val="134"/>
      </rPr>
      <t>亿元</t>
    </r>
  </si>
  <si>
    <t>Alexey Vorovich:VP of Engineering,Amir Ameri:Consultant,Andrew McCabe:VP, Legal,Bill Flynn:VP, Sales Americas,Christine Napoli:CFO,Franz Aman:Chief Marketing Officer,Gregory Dorman:VP, Engineering, Distributed Systems and Analytics,Jags Ramnarayan:VP and General Manager, SkySQL,Jonathan Bakke:Chief Revenue Officer,Kirk Brown:Senior Systems Engineer,Laura Wang:VP of Digital and Marketing Operations,Max Mether:VP of Server Product Management,Michael Carney:VP, Sales EMEA,Michael Howard:CEO,Michael Widenius:Chief Server Architect,Robbie Mihalyi:SVP Engineering,Saravana Krishnamurthy:VP, Product Management,Sergei Golubchik:VP, Server Engineering,Steve Keil:EMEA Partner Manager,Conor McCarthy:Chief Financial Officer,Lewis Carr:Senior Director Product Marketing</t>
  </si>
  <si>
    <r>
      <rPr>
        <sz val="9"/>
        <color rgb="FF000000"/>
        <rFont val="Arial"/>
        <charset val="134"/>
      </rPr>
      <t>2700</t>
    </r>
    <r>
      <rPr>
        <sz val="9"/>
        <color rgb="FF000000"/>
        <rFont val="楷体"/>
        <charset val="134"/>
      </rPr>
      <t>万美元</t>
    </r>
  </si>
  <si>
    <t>EIB</t>
  </si>
  <si>
    <t>桥彼道Qupital</t>
  </si>
  <si>
    <r>
      <rPr>
        <sz val="9"/>
        <color rgb="FF000000"/>
        <rFont val="楷体"/>
        <charset val="134"/>
      </rPr>
      <t>桥彼道</t>
    </r>
    <r>
      <rPr>
        <sz val="9"/>
        <color rgb="FF000000"/>
        <rFont val="Arial"/>
        <charset val="134"/>
      </rPr>
      <t>Qupital</t>
    </r>
  </si>
  <si>
    <r>
      <rPr>
        <sz val="9"/>
        <color rgb="FF000000"/>
        <rFont val="楷体"/>
        <charset val="134"/>
      </rPr>
      <t>桥彼道成立于</t>
    </r>
    <r>
      <rPr>
        <sz val="9"/>
        <color rgb="FF000000"/>
        <rFont val="Arial"/>
        <charset val="134"/>
      </rPr>
      <t xml:space="preserve"> 2016</t>
    </r>
    <r>
      <rPr>
        <sz val="9"/>
        <color rgb="FF000000"/>
        <rFont val="楷体"/>
        <charset val="134"/>
      </rPr>
      <t>年，是一家总部设于香港的金融科技企业，在上海、深圳、广州、杭州及福州均设有办事处，公司利用大数据、机器学习及预测性分析等技术实施信贷决策及监测流程自动化，面向中小企业提供提供跨境电商贸易融资服务。</t>
    </r>
  </si>
  <si>
    <t>https://qupital.com</t>
  </si>
  <si>
    <r>
      <rPr>
        <sz val="9"/>
        <color rgb="FF000000"/>
        <rFont val="楷体"/>
        <charset val="134"/>
      </rPr>
      <t>金融</t>
    </r>
  </si>
  <si>
    <r>
      <rPr>
        <sz val="9"/>
        <color rgb="FF000000"/>
        <rFont val="楷体"/>
        <charset val="134"/>
      </rPr>
      <t>供应链金融</t>
    </r>
  </si>
  <si>
    <r>
      <t>1.5</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</si>
  <si>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花旗</t>
    </r>
    <r>
      <rPr>
        <sz val="9"/>
        <color rgb="FF000000"/>
        <rFont val="Arial"/>
        <charset val="134"/>
      </rPr>
      <t>Citi Ventures,MindWorks Ventures</t>
    </r>
    <r>
      <rPr>
        <sz val="9"/>
        <color rgb="FF000000"/>
        <rFont val="楷体"/>
        <charset val="134"/>
      </rPr>
      <t>概念资本</t>
    </r>
    <r>
      <rPr>
        <sz val="9"/>
        <color rgb="FF000000"/>
        <rFont val="Arial"/>
        <charset val="134"/>
      </rPr>
      <t>,</t>
    </r>
    <r>
      <rPr>
        <sz val="9"/>
        <color rgb="FF000000"/>
        <rFont val="楷体"/>
        <charset val="134"/>
      </rPr>
      <t>江苏瑞峰投资</t>
    </r>
    <r>
      <rPr>
        <sz val="9"/>
        <color rgb="FF000000"/>
        <rFont val="Arial"/>
        <charset val="134"/>
      </rPr>
      <t>,</t>
    </r>
    <r>
      <rPr>
        <sz val="9"/>
        <color rgb="FF000000"/>
        <rFont val="楷体"/>
        <charset val="134"/>
      </rPr>
      <t>大湾区共同家园发展基金</t>
    </r>
    <r>
      <rPr>
        <sz val="9"/>
        <color rgb="FF000000"/>
        <rFont val="Arial"/>
        <charset val="134"/>
      </rPr>
      <t>,</t>
    </r>
    <r>
      <rPr>
        <sz val="9"/>
        <color rgb="FF000000"/>
        <rFont val="楷体"/>
        <charset val="134"/>
      </rPr>
      <t>创科创投基金</t>
    </r>
  </si>
  <si>
    <r>
      <t>10.86</t>
    </r>
    <r>
      <rPr>
        <sz val="9"/>
        <color rgb="FF000000"/>
        <rFont val="楷体"/>
        <charset val="134"/>
      </rPr>
      <t>亿</t>
    </r>
  </si>
  <si>
    <r>
      <t>48.75</t>
    </r>
    <r>
      <rPr>
        <sz val="9"/>
        <color rgb="FF000000"/>
        <rFont val="楷体"/>
        <charset val="134"/>
      </rPr>
      <t>亿元</t>
    </r>
  </si>
  <si>
    <r>
      <rPr>
        <sz val="9"/>
        <color rgb="FF000000"/>
        <rFont val="楷体"/>
        <charset val="134"/>
      </rPr>
      <t>黄永东</t>
    </r>
    <r>
      <rPr>
        <sz val="9"/>
        <color rgb="FF000000"/>
        <rFont val="Arial"/>
        <charset val="134"/>
      </rPr>
      <t>:</t>
    </r>
    <r>
      <rPr>
        <sz val="9"/>
        <color rgb="FF000000"/>
        <rFont val="楷体"/>
        <charset val="134"/>
      </rPr>
      <t>创始人</t>
    </r>
  </si>
  <si>
    <r>
      <rPr>
        <sz val="9"/>
        <color rgb="FF000000"/>
        <rFont val="楷体"/>
        <charset val="134"/>
      </rPr>
      <t>戈壁创投</t>
    </r>
    <r>
      <rPr>
        <sz val="9"/>
        <color rgb="FF000000"/>
        <rFont val="Arial"/>
        <charset val="134"/>
      </rPr>
      <t>,MindWorks Ventures</t>
    </r>
    <r>
      <rPr>
        <sz val="9"/>
        <color rgb="FF000000"/>
        <rFont val="楷体"/>
        <charset val="134"/>
      </rPr>
      <t>概念资本</t>
    </r>
    <r>
      <rPr>
        <sz val="9"/>
        <color rgb="FF000000"/>
        <rFont val="Arial"/>
        <charset val="134"/>
      </rPr>
      <t>,</t>
    </r>
    <r>
      <rPr>
        <sz val="9"/>
        <color rgb="FF000000"/>
        <rFont val="楷体"/>
        <charset val="134"/>
      </rPr>
      <t>宜信财富</t>
    </r>
    <r>
      <rPr>
        <sz val="9"/>
        <color rgb="FF000000"/>
        <rFont val="Arial"/>
        <charset val="134"/>
      </rPr>
      <t>,</t>
    </r>
    <r>
      <rPr>
        <sz val="9"/>
        <color rgb="FF000000"/>
        <rFont val="楷体"/>
        <charset val="134"/>
      </rPr>
      <t>阿里巴巴创业者基金</t>
    </r>
  </si>
  <si>
    <r>
      <rPr>
        <sz val="9"/>
        <color rgb="FF000000"/>
        <rFont val="Arial"/>
        <charset val="134"/>
      </rPr>
      <t>MindWorks Ventures</t>
    </r>
    <r>
      <rPr>
        <sz val="9"/>
        <color rgb="FF000000"/>
        <rFont val="楷体"/>
        <charset val="134"/>
      </rPr>
      <t>概念资本</t>
    </r>
    <r>
      <rPr>
        <sz val="9"/>
        <color rgb="FF000000"/>
        <rFont val="Arial"/>
        <charset val="134"/>
      </rPr>
      <t>,</t>
    </r>
    <r>
      <rPr>
        <sz val="9"/>
        <color rgb="FF000000"/>
        <rFont val="楷体"/>
        <charset val="134"/>
      </rPr>
      <t>阿里巴巴创业者基金</t>
    </r>
    <r>
      <rPr>
        <sz val="9"/>
        <color rgb="FF000000"/>
        <rFont val="Arial"/>
        <charset val="134"/>
      </rPr>
      <t>,DRL Capital,Aria Group</t>
    </r>
  </si>
  <si>
    <t>2020-06-22</t>
  </si>
  <si>
    <t>盖得排行</t>
  </si>
  <si>
    <r>
      <rPr>
        <sz val="9"/>
        <color rgb="FF000000"/>
        <rFont val="楷体"/>
        <charset val="134"/>
      </rPr>
      <t>盖得排行是一个基于商品品牌排名的品牌门户网站，致力于客观、中立的商品品牌排名，为消费升级时代的中国居民提供有价值的消费参考意见。它是一个全品类的居民日用消费品大辞典，用户在购物前，可以在盖得</t>
    </r>
    <r>
      <rPr>
        <sz val="9"/>
        <color rgb="FF000000"/>
        <rFont val="Arial"/>
        <charset val="134"/>
      </rPr>
      <t>APP</t>
    </r>
    <r>
      <rPr>
        <sz val="9"/>
        <color rgb="FF000000"/>
        <rFont val="楷体"/>
        <charset val="134"/>
      </rPr>
      <t>、微信、网站，搜索某类商品的排名，为消费决策提供参考。同时，它也是一个媒体，每日更新各种有趣有用的的消费指南文章。</t>
    </r>
  </si>
  <si>
    <t>广州盖得排行信息科技有限公司</t>
  </si>
  <si>
    <t>https://guiderank-app.com/</t>
  </si>
  <si>
    <t>2016-05</t>
  </si>
  <si>
    <r>
      <rPr>
        <sz val="9"/>
        <color rgb="FF000000"/>
        <rFont val="Arial"/>
        <charset val="134"/>
      </rPr>
      <t>2.88</t>
    </r>
    <r>
      <rPr>
        <sz val="9"/>
        <color rgb="FF000000"/>
        <rFont val="楷体"/>
        <charset val="134"/>
      </rPr>
      <t>亿</t>
    </r>
  </si>
  <si>
    <r>
      <rPr>
        <sz val="9"/>
        <color rgb="FF000000"/>
        <rFont val="楷体"/>
        <charset val="134"/>
      </rPr>
      <t>李铁</t>
    </r>
    <r>
      <rPr>
        <sz val="9"/>
        <color rgb="FF000000"/>
        <rFont val="Arial"/>
        <charset val="134"/>
      </rPr>
      <t>:</t>
    </r>
    <r>
      <rPr>
        <sz val="9"/>
        <color rgb="FF000000"/>
        <rFont val="楷体"/>
        <charset val="134"/>
      </rPr>
      <t>创始人</t>
    </r>
  </si>
  <si>
    <r>
      <rPr>
        <sz val="9"/>
        <color rgb="FF000000"/>
        <rFont val="楷体"/>
        <charset val="134"/>
      </rPr>
      <t>广东省广州市番禺区番禺大道北</t>
    </r>
    <r>
      <rPr>
        <sz val="9"/>
        <color rgb="FF000000"/>
        <rFont val="Arial"/>
        <charset val="134"/>
      </rPr>
      <t>555</t>
    </r>
    <r>
      <rPr>
        <sz val="9"/>
        <color rgb="FF000000"/>
        <rFont val="楷体"/>
        <charset val="134"/>
      </rPr>
      <t>号节能科技园科技创新大厦</t>
    </r>
    <r>
      <rPr>
        <sz val="9"/>
        <color rgb="FF000000"/>
        <rFont val="Arial"/>
        <charset val="134"/>
      </rPr>
      <t>408</t>
    </r>
  </si>
  <si>
    <t>020-3921-8814</t>
  </si>
  <si>
    <t>mp@guiderank.org</t>
  </si>
  <si>
    <t>罗永浩</t>
  </si>
  <si>
    <r>
      <rPr>
        <sz val="9"/>
        <color rgb="FF000000"/>
        <rFont val="楷体"/>
        <charset val="134"/>
      </rPr>
      <t>赛富基金</t>
    </r>
    <r>
      <rPr>
        <sz val="9"/>
        <color rgb="FF000000"/>
        <rFont val="Arial"/>
        <charset val="134"/>
      </rPr>
      <t>SAIF Partners,</t>
    </r>
    <r>
      <rPr>
        <sz val="9"/>
        <color rgb="FF000000"/>
        <rFont val="楷体"/>
        <charset val="134"/>
      </rPr>
      <t>君盛投资</t>
    </r>
    <r>
      <rPr>
        <sz val="9"/>
        <color rgb="FF000000"/>
        <rFont val="Arial"/>
        <charset val="134"/>
      </rPr>
      <t>,</t>
    </r>
    <r>
      <rPr>
        <sz val="9"/>
        <color rgb="FF000000"/>
        <rFont val="楷体"/>
        <charset val="134"/>
      </rPr>
      <t>中银粤财</t>
    </r>
  </si>
  <si>
    <t>时间投资</t>
  </si>
  <si>
    <r>
      <rPr>
        <sz val="9"/>
        <color rgb="FF000000"/>
        <rFont val="楷体"/>
        <charset val="134"/>
      </rPr>
      <t>罗永浩</t>
    </r>
    <r>
      <rPr>
        <sz val="9"/>
        <color rgb="FF000000"/>
        <rFont val="Arial"/>
        <charset val="134"/>
      </rPr>
      <t>,</t>
    </r>
    <r>
      <rPr>
        <sz val="9"/>
        <color rgb="FF000000"/>
        <rFont val="楷体"/>
        <charset val="134"/>
      </rPr>
      <t>张小龙</t>
    </r>
    <r>
      <rPr>
        <sz val="9"/>
        <color rgb="FF000000"/>
        <rFont val="Arial"/>
        <charset val="134"/>
      </rPr>
      <t>,</t>
    </r>
    <r>
      <rPr>
        <sz val="9"/>
        <color rgb="FF000000"/>
        <rFont val="楷体"/>
        <charset val="134"/>
      </rPr>
      <t>黄斌</t>
    </r>
  </si>
  <si>
    <r>
      <rPr>
        <sz val="9"/>
        <color rgb="FF000000"/>
        <rFont val="Arial"/>
        <charset val="134"/>
      </rPr>
      <t>800</t>
    </r>
    <r>
      <rPr>
        <sz val="9"/>
        <color rgb="FF000000"/>
        <rFont val="楷体"/>
        <charset val="134"/>
      </rPr>
      <t>万人民币</t>
    </r>
  </si>
  <si>
    <t>君盛投资</t>
  </si>
  <si>
    <r>
      <rPr>
        <sz val="9"/>
        <color rgb="FF000000"/>
        <rFont val="楷体"/>
        <charset val="134"/>
      </rPr>
      <t>阿里巴巴</t>
    </r>
    <r>
      <rPr>
        <sz val="9"/>
        <color rgb="FF000000"/>
        <rFont val="Arial"/>
        <charset val="134"/>
      </rPr>
      <t>,</t>
    </r>
    <r>
      <rPr>
        <sz val="9"/>
        <color rgb="FF000000"/>
        <rFont val="楷体"/>
        <charset val="134"/>
      </rPr>
      <t>博雅天下</t>
    </r>
  </si>
  <si>
    <t>2017-05-25</t>
  </si>
  <si>
    <t>海尔家居</t>
  </si>
  <si>
    <r>
      <rPr>
        <sz val="9"/>
        <color rgb="FF000000"/>
        <rFont val="楷体"/>
        <charset val="134"/>
      </rPr>
      <t>海尔家居是一家以青岛海尔为主体的智能家庭平台，致力于推动从产品硬件到解决方案的转型，通过智慧家庭</t>
    </r>
    <r>
      <rPr>
        <sz val="9"/>
        <color rgb="FF000000"/>
        <rFont val="Arial"/>
        <charset val="134"/>
      </rPr>
      <t>U+</t>
    </r>
    <r>
      <rPr>
        <sz val="9"/>
        <color rgb="FF000000"/>
        <rFont val="楷体"/>
        <charset val="134"/>
      </rPr>
      <t>生活平台、互联工厂构建并联交互平台和生态圈，提供互联网时代美好生活解决方案，最终实现用户的全流程最佳交互、交易和交付体验。</t>
    </r>
  </si>
  <si>
    <t>青岛海骊住居科技股份有限公司</t>
  </si>
  <si>
    <t>http://www.haier.com/cn/</t>
  </si>
  <si>
    <t>2001-09</t>
  </si>
  <si>
    <r>
      <rPr>
        <sz val="9"/>
        <color rgb="FF000000"/>
        <rFont val="楷体"/>
        <charset val="134"/>
      </rPr>
      <t>山东</t>
    </r>
    <r>
      <rPr>
        <sz val="9"/>
        <color rgb="FF000000"/>
        <rFont val="Arial"/>
        <charset val="134"/>
      </rPr>
      <t>-</t>
    </r>
    <r>
      <rPr>
        <sz val="9"/>
        <color rgb="FF000000"/>
        <rFont val="楷体"/>
        <charset val="134"/>
      </rPr>
      <t>青岛</t>
    </r>
  </si>
  <si>
    <r>
      <rPr>
        <sz val="9"/>
        <color rgb="FF000000"/>
        <rFont val="Arial"/>
        <charset val="134"/>
      </rPr>
      <t>9.5</t>
    </r>
    <r>
      <rPr>
        <sz val="9"/>
        <color rgb="FF000000"/>
        <rFont val="楷体"/>
        <charset val="134"/>
      </rPr>
      <t>亿人民币</t>
    </r>
  </si>
  <si>
    <r>
      <rPr>
        <sz val="9"/>
        <color rgb="FF000000"/>
        <rFont val="楷体"/>
        <charset val="134"/>
      </rPr>
      <t>天风天睿</t>
    </r>
    <r>
      <rPr>
        <sz val="9"/>
        <color rgb="FF000000"/>
        <rFont val="Arial"/>
        <charset val="134"/>
      </rPr>
      <t>,</t>
    </r>
    <r>
      <rPr>
        <sz val="9"/>
        <color rgb="FF000000"/>
        <rFont val="楷体"/>
        <charset val="134"/>
      </rPr>
      <t>海融高新创投</t>
    </r>
    <r>
      <rPr>
        <sz val="9"/>
        <color rgb="FF000000"/>
        <rFont val="Arial"/>
        <charset val="134"/>
      </rPr>
      <t>,</t>
    </r>
    <r>
      <rPr>
        <sz val="9"/>
        <color rgb="FF000000"/>
        <rFont val="楷体"/>
        <charset val="134"/>
      </rPr>
      <t>光远资本</t>
    </r>
    <r>
      <rPr>
        <sz val="9"/>
        <color rgb="FF000000"/>
        <rFont val="Arial"/>
        <charset val="134"/>
      </rPr>
      <t>,</t>
    </r>
    <r>
      <rPr>
        <sz val="9"/>
        <color rgb="FF000000"/>
        <rFont val="楷体"/>
        <charset val="134"/>
      </rPr>
      <t>海创汇</t>
    </r>
  </si>
  <si>
    <r>
      <rPr>
        <sz val="9"/>
        <color rgb="FF000000"/>
        <rFont val="Arial"/>
        <charset val="134"/>
      </rPr>
      <t>33.16</t>
    </r>
    <r>
      <rPr>
        <sz val="9"/>
        <color rgb="FF000000"/>
        <rFont val="楷体"/>
        <charset val="134"/>
      </rPr>
      <t>亿</t>
    </r>
  </si>
  <si>
    <r>
      <rPr>
        <sz val="9"/>
        <color rgb="FF000000"/>
        <rFont val="Arial"/>
        <charset val="134"/>
      </rPr>
      <t>47.5</t>
    </r>
    <r>
      <rPr>
        <sz val="9"/>
        <color rgb="FF000000"/>
        <rFont val="楷体"/>
        <charset val="134"/>
      </rPr>
      <t>亿元</t>
    </r>
  </si>
  <si>
    <r>
      <rPr>
        <sz val="9"/>
        <color rgb="FF000000"/>
        <rFont val="楷体"/>
        <charset val="134"/>
      </rPr>
      <t>周云杰</t>
    </r>
    <r>
      <rPr>
        <sz val="9"/>
        <color rgb="FF000000"/>
        <rFont val="Arial"/>
        <charset val="134"/>
      </rPr>
      <t>:</t>
    </r>
    <r>
      <rPr>
        <sz val="9"/>
        <color rgb="FF000000"/>
        <rFont val="楷体"/>
        <charset val="134"/>
      </rPr>
      <t>董事长</t>
    </r>
  </si>
  <si>
    <t>高科技工业园海尔工业园内</t>
  </si>
  <si>
    <t>0532-5882-0788</t>
  </si>
  <si>
    <t>15666825277@163.com</t>
  </si>
  <si>
    <r>
      <rPr>
        <sz val="9"/>
        <color rgb="FF000000"/>
        <rFont val="Arial"/>
        <charset val="134"/>
      </rPr>
      <t>3.64</t>
    </r>
    <r>
      <rPr>
        <sz val="9"/>
        <color rgb="FF000000"/>
        <rFont val="楷体"/>
        <charset val="134"/>
      </rPr>
      <t>亿美元</t>
    </r>
  </si>
  <si>
    <t>2017-05-27</t>
  </si>
  <si>
    <t>联华超市</t>
  </si>
  <si>
    <t>联华超市是一家大型连锁综合超市品牌，目前形成了大型综合超市（大卖场）、超级市场、便利店等多元业态联动互补的竞争优势。</t>
  </si>
  <si>
    <t>杭州联华华商集团有限公司</t>
  </si>
  <si>
    <t>http://www.zjlianhua.com</t>
  </si>
  <si>
    <t>1997-04</t>
  </si>
  <si>
    <r>
      <rPr>
        <sz val="9"/>
        <color rgb="FF000000"/>
        <rFont val="Arial"/>
        <charset val="134"/>
      </rPr>
      <t>13.9</t>
    </r>
    <r>
      <rPr>
        <sz val="9"/>
        <color rgb="FF000000"/>
        <rFont val="楷体"/>
        <charset val="134"/>
      </rPr>
      <t>亿</t>
    </r>
  </si>
  <si>
    <r>
      <rPr>
        <sz val="9"/>
        <color rgb="FF000000"/>
        <rFont val="楷体"/>
        <charset val="134"/>
      </rPr>
      <t>真光路</t>
    </r>
    <r>
      <rPr>
        <sz val="9"/>
        <color rgb="FF000000"/>
        <rFont val="Arial"/>
        <charset val="134"/>
      </rPr>
      <t>1258</t>
    </r>
    <r>
      <rPr>
        <sz val="9"/>
        <color rgb="FF000000"/>
        <rFont val="楷体"/>
        <charset val="134"/>
      </rPr>
      <t>号</t>
    </r>
    <r>
      <rPr>
        <sz val="9"/>
        <color rgb="FF000000"/>
        <rFont val="Arial"/>
        <charset val="134"/>
      </rPr>
      <t>7</t>
    </r>
    <r>
      <rPr>
        <sz val="9"/>
        <color rgb="FF000000"/>
        <rFont val="楷体"/>
        <charset val="134"/>
      </rPr>
      <t>楼</t>
    </r>
    <r>
      <rPr>
        <sz val="9"/>
        <color rgb="FF000000"/>
        <rFont val="Arial"/>
        <charset val="134"/>
      </rPr>
      <t>713</t>
    </r>
    <r>
      <rPr>
        <sz val="9"/>
        <color rgb="FF000000"/>
        <rFont val="楷体"/>
        <charset val="134"/>
      </rPr>
      <t>室</t>
    </r>
  </si>
  <si>
    <t>02152629922</t>
  </si>
  <si>
    <t>lhgf@chinalh.com</t>
  </si>
  <si>
    <r>
      <rPr>
        <sz val="9"/>
        <color rgb="FF000000"/>
        <rFont val="Arial"/>
        <charset val="134"/>
      </rPr>
      <t>8.5</t>
    </r>
    <r>
      <rPr>
        <sz val="9"/>
        <color rgb="FF000000"/>
        <rFont val="楷体"/>
        <charset val="134"/>
      </rPr>
      <t>亿人民币</t>
    </r>
  </si>
  <si>
    <t>2018-05-03</t>
  </si>
  <si>
    <t>先声互联</t>
  </si>
  <si>
    <t>先声互联是一家智能硬件语音解决方案提供商，主要提供面向智能硬件的服务，帮助终端企业接入语音处理功能，完成非智能设备升级改造，为有人机交互和人人通信功能需求的用户，提供端云一体、软硬结合的一站式解决方案。</t>
  </si>
  <si>
    <t>北京先声互联科技有限公司</t>
  </si>
  <si>
    <t>2016-12</t>
  </si>
  <si>
    <r>
      <rPr>
        <sz val="9"/>
        <color rgb="FF000000"/>
        <rFont val="楷体"/>
        <charset val="134"/>
      </rPr>
      <t>付强</t>
    </r>
    <r>
      <rPr>
        <sz val="9"/>
        <color rgb="FF000000"/>
        <rFont val="Arial"/>
        <charset val="134"/>
      </rPr>
      <t>:CEO</t>
    </r>
  </si>
  <si>
    <r>
      <rPr>
        <sz val="9"/>
        <color rgb="FF000000"/>
        <rFont val="楷体"/>
        <charset val="134"/>
      </rPr>
      <t>北京市海淀区上地东路</t>
    </r>
    <r>
      <rPr>
        <sz val="9"/>
        <color rgb="FF000000"/>
        <rFont val="Arial"/>
        <charset val="134"/>
      </rPr>
      <t>35</t>
    </r>
    <r>
      <rPr>
        <sz val="9"/>
        <color rgb="FF000000"/>
        <rFont val="楷体"/>
        <charset val="134"/>
      </rPr>
      <t>号院颐泉汇</t>
    </r>
    <r>
      <rPr>
        <sz val="9"/>
        <color rgb="FF000000"/>
        <rFont val="Arial"/>
        <charset val="134"/>
      </rPr>
      <t>2-611;</t>
    </r>
    <r>
      <rPr>
        <sz val="9"/>
        <color rgb="FF000000"/>
        <rFont val="楷体"/>
        <charset val="134"/>
      </rPr>
      <t>上地东路</t>
    </r>
    <r>
      <rPr>
        <sz val="9"/>
        <color rgb="FF000000"/>
        <rFont val="Arial"/>
        <charset val="134"/>
      </rPr>
      <t>35</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2-611</t>
    </r>
  </si>
  <si>
    <t>010-82142900</t>
  </si>
  <si>
    <t>yzcao@soundconnect.cc</t>
  </si>
  <si>
    <t>2017-06-19</t>
  </si>
  <si>
    <t>Nonolive世讯科技</t>
  </si>
  <si>
    <r>
      <rPr>
        <sz val="9"/>
        <color rgb="FF000000"/>
        <rFont val="Arial"/>
        <charset val="134"/>
      </rPr>
      <t>Nonolive</t>
    </r>
    <r>
      <rPr>
        <sz val="9"/>
        <color rgb="FF000000"/>
        <rFont val="楷体"/>
        <charset val="134"/>
      </rPr>
      <t>世讯科技</t>
    </r>
  </si>
  <si>
    <r>
      <rPr>
        <sz val="9"/>
        <color rgb="FF000000"/>
        <rFont val="Arial"/>
        <charset val="134"/>
      </rPr>
      <t>Nonolive</t>
    </r>
    <r>
      <rPr>
        <sz val="9"/>
        <color rgb="FF000000"/>
        <rFont val="楷体"/>
        <charset val="134"/>
      </rPr>
      <t>是一家中国出海移动视频直播平台，于</t>
    </r>
    <r>
      <rPr>
        <sz val="9"/>
        <color rgb="FF000000"/>
        <rFont val="Arial"/>
        <charset val="134"/>
      </rPr>
      <t>2016</t>
    </r>
    <r>
      <rPr>
        <sz val="9"/>
        <color rgb="FF000000"/>
        <rFont val="楷体"/>
        <charset val="134"/>
      </rPr>
      <t>年</t>
    </r>
    <r>
      <rPr>
        <sz val="9"/>
        <color rgb="FF000000"/>
        <rFont val="Arial"/>
        <charset val="134"/>
      </rPr>
      <t>6</t>
    </r>
    <r>
      <rPr>
        <sz val="9"/>
        <color rgb="FF000000"/>
        <rFont val="楷体"/>
        <charset val="134"/>
      </rPr>
      <t>月初首先在印尼上线，产品覆盖</t>
    </r>
    <r>
      <rPr>
        <sz val="9"/>
        <color rgb="FF000000"/>
        <rFont val="Arial"/>
        <charset val="134"/>
      </rPr>
      <t>iOS</t>
    </r>
    <r>
      <rPr>
        <sz val="9"/>
        <color rgb="FF000000"/>
        <rFont val="楷体"/>
        <charset val="134"/>
      </rPr>
      <t>及</t>
    </r>
    <r>
      <rPr>
        <sz val="9"/>
        <color rgb="FF000000"/>
        <rFont val="Arial"/>
        <charset val="134"/>
      </rPr>
      <t>Android</t>
    </r>
    <r>
      <rPr>
        <sz val="9"/>
        <color rgb="FF000000"/>
        <rFont val="楷体"/>
        <charset val="134"/>
      </rPr>
      <t>。目前</t>
    </r>
    <r>
      <rPr>
        <sz val="9"/>
        <color rgb="FF000000"/>
        <rFont val="Arial"/>
        <charset val="134"/>
      </rPr>
      <t>Nonolive</t>
    </r>
    <r>
      <rPr>
        <sz val="9"/>
        <color rgb="FF000000"/>
        <rFont val="楷体"/>
        <charset val="134"/>
      </rPr>
      <t>直播平台共有数百名主播为海外用户提供唱歌、舞蹈、挑战等丰富的泛娱乐内容，隶属于广州世讯信息科技有限公司。</t>
    </r>
  </si>
  <si>
    <t>广州世讯信息科技有限公司</t>
  </si>
  <si>
    <t>http://www.nonolive.com</t>
  </si>
  <si>
    <r>
      <rPr>
        <sz val="9"/>
        <color rgb="FF000000"/>
        <rFont val="楷体"/>
        <charset val="134"/>
      </rPr>
      <t>阿里巴巴</t>
    </r>
    <r>
      <rPr>
        <sz val="9"/>
        <color rgb="FF000000"/>
        <rFont val="Arial"/>
        <charset val="134"/>
      </rPr>
      <t>,UCWEB</t>
    </r>
    <r>
      <rPr>
        <sz val="9"/>
        <color rgb="FF000000"/>
        <rFont val="楷体"/>
        <charset val="134"/>
      </rPr>
      <t>优视科技</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r>
      <rPr>
        <sz val="9"/>
        <color rgb="FF000000"/>
        <rFont val="Arial"/>
        <charset val="134"/>
      </rPr>
      <t>,</t>
    </r>
    <r>
      <rPr>
        <sz val="9"/>
        <color rgb="FF000000"/>
        <rFont val="楷体"/>
        <charset val="134"/>
      </rPr>
      <t>斗鱼</t>
    </r>
  </si>
  <si>
    <r>
      <rPr>
        <sz val="9"/>
        <color rgb="FF000000"/>
        <rFont val="Arial"/>
        <charset val="134"/>
      </rPr>
      <t>2.25</t>
    </r>
    <r>
      <rPr>
        <sz val="9"/>
        <color rgb="FF000000"/>
        <rFont val="楷体"/>
        <charset val="134"/>
      </rPr>
      <t>亿</t>
    </r>
  </si>
  <si>
    <r>
      <rPr>
        <sz val="9"/>
        <color rgb="FF000000"/>
        <rFont val="楷体"/>
        <charset val="134"/>
      </rPr>
      <t>苏振雄</t>
    </r>
    <r>
      <rPr>
        <sz val="9"/>
        <color rgb="FF000000"/>
        <rFont val="Arial"/>
        <charset val="134"/>
      </rPr>
      <t>:CEO</t>
    </r>
    <r>
      <rPr>
        <sz val="9"/>
        <color rgb="FF000000"/>
        <rFont val="楷体"/>
        <charset val="134"/>
      </rPr>
      <t>兼总经理</t>
    </r>
  </si>
  <si>
    <r>
      <rPr>
        <sz val="9"/>
        <color rgb="FF000000"/>
        <rFont val="楷体"/>
        <charset val="134"/>
      </rPr>
      <t>天河区天河东路</t>
    </r>
    <r>
      <rPr>
        <sz val="9"/>
        <color rgb="FF000000"/>
        <rFont val="Arial"/>
        <charset val="134"/>
      </rPr>
      <t>18-24</t>
    </r>
    <r>
      <rPr>
        <sz val="9"/>
        <color rgb="FF000000"/>
        <rFont val="楷体"/>
        <charset val="134"/>
      </rPr>
      <t>号三层</t>
    </r>
    <r>
      <rPr>
        <sz val="9"/>
        <color rgb="FF000000"/>
        <rFont val="Arial"/>
        <charset val="134"/>
      </rPr>
      <t>C67-22</t>
    </r>
    <r>
      <rPr>
        <sz val="9"/>
        <color rgb="FF000000"/>
        <rFont val="楷体"/>
        <charset val="134"/>
      </rPr>
      <t>房</t>
    </r>
  </si>
  <si>
    <t>020-8962-9473</t>
  </si>
  <si>
    <r>
      <rPr>
        <sz val="9"/>
        <color rgb="FF000000"/>
        <rFont val="Arial"/>
        <charset val="134"/>
      </rPr>
      <t>YY</t>
    </r>
    <r>
      <rPr>
        <sz val="9"/>
        <color rgb="FF000000"/>
        <rFont val="楷体"/>
        <charset val="134"/>
      </rPr>
      <t>欢聚集团</t>
    </r>
    <r>
      <rPr>
        <sz val="9"/>
        <color rgb="FF000000"/>
        <rFont val="Arial"/>
        <charset val="134"/>
      </rPr>
      <t>,</t>
    </r>
    <r>
      <rPr>
        <sz val="9"/>
        <color rgb="FF000000"/>
        <rFont val="楷体"/>
        <charset val="134"/>
      </rPr>
      <t>亦联资本</t>
    </r>
    <r>
      <rPr>
        <sz val="9"/>
        <color rgb="FF000000"/>
        <rFont val="Arial"/>
        <charset val="134"/>
      </rPr>
      <t>,</t>
    </r>
    <r>
      <rPr>
        <sz val="9"/>
        <color rgb="FF000000"/>
        <rFont val="楷体"/>
        <charset val="134"/>
      </rPr>
      <t>深圳城蓝资产</t>
    </r>
  </si>
  <si>
    <t>2021-08-18</t>
  </si>
  <si>
    <t>华栖云</t>
  </si>
  <si>
    <r>
      <rPr>
        <sz val="9"/>
        <color rgb="FF000000"/>
        <rFont val="楷体"/>
        <charset val="134"/>
      </rPr>
      <t>华栖云是一家提供媒体云服务的公司。面向媒体及大视频行业，构建混合云平台，提供媒体云服务及云集成解决方案。包括为媒体混合云平台基础资源业务、媒体上云专家服务、媒体生产公有云服务及专属云方案、媒体互动电商</t>
    </r>
    <r>
      <rPr>
        <sz val="9"/>
        <color rgb="FF000000"/>
        <rFont val="Arial"/>
        <charset val="134"/>
      </rPr>
      <t>/</t>
    </r>
    <r>
      <rPr>
        <sz val="9"/>
        <color rgb="FF000000"/>
        <rFont val="楷体"/>
        <charset val="134"/>
      </rPr>
      <t>大数据业务。</t>
    </r>
  </si>
  <si>
    <t>成都华栖云科技有限公司</t>
  </si>
  <si>
    <t>https://www.chinamcloud.com/</t>
  </si>
  <si>
    <t>2016-08</t>
  </si>
  <si>
    <r>
      <rPr>
        <sz val="9"/>
        <color rgb="FF000000"/>
        <rFont val="楷体"/>
        <charset val="134"/>
      </rPr>
      <t>浙大友创</t>
    </r>
    <r>
      <rPr>
        <sz val="9"/>
        <color rgb="FF000000"/>
        <rFont val="Arial"/>
        <charset val="134"/>
      </rPr>
      <t>,</t>
    </r>
    <r>
      <rPr>
        <sz val="9"/>
        <color rgb="FF000000"/>
        <rFont val="楷体"/>
        <charset val="134"/>
      </rPr>
      <t>商汤科技</t>
    </r>
    <r>
      <rPr>
        <sz val="9"/>
        <color rgb="FF000000"/>
        <rFont val="Arial"/>
        <charset val="134"/>
      </rPr>
      <t>,</t>
    </r>
    <r>
      <rPr>
        <sz val="9"/>
        <color rgb="FF000000"/>
        <rFont val="楷体"/>
        <charset val="134"/>
      </rPr>
      <t>前海天和</t>
    </r>
  </si>
  <si>
    <r>
      <rPr>
        <sz val="9"/>
        <color rgb="FF000000"/>
        <rFont val="Arial"/>
        <charset val="134"/>
      </rPr>
      <t>1.33</t>
    </r>
    <r>
      <rPr>
        <sz val="9"/>
        <color rgb="FF000000"/>
        <rFont val="楷体"/>
        <charset val="134"/>
      </rPr>
      <t>亿</t>
    </r>
  </si>
  <si>
    <r>
      <rPr>
        <sz val="9"/>
        <color rgb="FF000000"/>
        <rFont val="Arial"/>
        <charset val="134"/>
      </rPr>
      <t>11</t>
    </r>
    <r>
      <rPr>
        <sz val="9"/>
        <color rgb="FF000000"/>
        <rFont val="楷体"/>
        <charset val="134"/>
      </rPr>
      <t>亿元</t>
    </r>
  </si>
  <si>
    <r>
      <rPr>
        <sz val="9"/>
        <color rgb="FF000000"/>
        <rFont val="楷体"/>
        <charset val="134"/>
      </rPr>
      <t>沈余银</t>
    </r>
    <r>
      <rPr>
        <sz val="9"/>
        <color rgb="FF000000"/>
        <rFont val="Arial"/>
        <charset val="134"/>
      </rPr>
      <t>:</t>
    </r>
    <r>
      <rPr>
        <sz val="9"/>
        <color rgb="FF000000"/>
        <rFont val="楷体"/>
        <charset val="134"/>
      </rPr>
      <t>董事长</t>
    </r>
  </si>
  <si>
    <r>
      <rPr>
        <sz val="9"/>
        <color rgb="FF000000"/>
        <rFont val="楷体"/>
        <charset val="134"/>
      </rPr>
      <t>高新区天府五街</t>
    </r>
    <r>
      <rPr>
        <sz val="9"/>
        <color rgb="FF000000"/>
        <rFont val="Arial"/>
        <charset val="134"/>
      </rPr>
      <t>200</t>
    </r>
    <r>
      <rPr>
        <sz val="9"/>
        <color rgb="FF000000"/>
        <rFont val="楷体"/>
        <charset val="134"/>
      </rPr>
      <t>号菁蓉国际广场</t>
    </r>
    <r>
      <rPr>
        <sz val="9"/>
        <color rgb="FF000000"/>
        <rFont val="Arial"/>
        <charset val="134"/>
      </rPr>
      <t>4A-9F</t>
    </r>
  </si>
  <si>
    <t>400-900-7730</t>
  </si>
  <si>
    <t>contact@chinamcloud.com</t>
  </si>
  <si>
    <t>朴盈国视基金</t>
  </si>
  <si>
    <t>2021-12-15</t>
  </si>
  <si>
    <t>探迹科技</t>
  </si>
  <si>
    <r>
      <rPr>
        <sz val="9"/>
        <color rgb="FF000000"/>
        <rFont val="楷体"/>
        <charset val="134"/>
      </rPr>
      <t>探迹是专业的智能销售服务提供商，致力于用大数据和人工智能（</t>
    </r>
    <r>
      <rPr>
        <sz val="9"/>
        <color rgb="FF000000"/>
        <rFont val="Arial"/>
        <charset val="134"/>
      </rPr>
      <t>AI</t>
    </r>
    <r>
      <rPr>
        <sz val="9"/>
        <color rgb="FF000000"/>
        <rFont val="楷体"/>
        <charset val="134"/>
      </rPr>
      <t>）技术帮助企业全面提升销售效率。通过不断挖掘和分析全网信息，探迹已构建出覆盖全网超一亿家企业的全量知识图谱，并在此基础上结合</t>
    </r>
    <r>
      <rPr>
        <sz val="9"/>
        <color rgb="FF000000"/>
        <rFont val="Arial"/>
        <charset val="134"/>
      </rPr>
      <t>NLP</t>
    </r>
    <r>
      <rPr>
        <sz val="9"/>
        <color rgb="FF000000"/>
        <rFont val="楷体"/>
        <charset val="134"/>
      </rPr>
      <t>、机器学习算法等人工智能技术，为</t>
    </r>
    <r>
      <rPr>
        <sz val="9"/>
        <color rgb="FF000000"/>
        <rFont val="Arial"/>
        <charset val="134"/>
      </rPr>
      <t>To B</t>
    </r>
    <r>
      <rPr>
        <sz val="9"/>
        <color rgb="FF000000"/>
        <rFont val="楷体"/>
        <charset val="134"/>
      </rPr>
      <t>企业提供从线索挖掘、商机触达、客户管理到成单分析的全流程智能销售服务，帮助</t>
    </r>
    <r>
      <rPr>
        <sz val="9"/>
        <color rgb="FF000000"/>
        <rFont val="Arial"/>
        <charset val="134"/>
      </rPr>
      <t>To B</t>
    </r>
    <r>
      <rPr>
        <sz val="9"/>
        <color rgb="FF000000"/>
        <rFont val="楷体"/>
        <charset val="134"/>
      </rPr>
      <t>企业解决在寻找、联系、管理客户时遇到的销售难题，让企业高效获取精准销售线索，降低获客成本，从而全面提升销售效率和业绩。</t>
    </r>
  </si>
  <si>
    <t>广州探迹科技有限公司</t>
  </si>
  <si>
    <t>https://www.tungee.com/</t>
  </si>
  <si>
    <t>2016-06</t>
  </si>
  <si>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九合创投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凯辉基金</t>
    </r>
  </si>
  <si>
    <r>
      <rPr>
        <sz val="9"/>
        <color rgb="FF000000"/>
        <rFont val="Arial"/>
        <charset val="134"/>
      </rPr>
      <t>4.93</t>
    </r>
    <r>
      <rPr>
        <sz val="9"/>
        <color rgb="FF000000"/>
        <rFont val="楷体"/>
        <charset val="134"/>
      </rPr>
      <t>亿</t>
    </r>
  </si>
  <si>
    <r>
      <rPr>
        <sz val="9"/>
        <color rgb="FF000000"/>
        <rFont val="Arial"/>
        <charset val="134"/>
      </rPr>
      <t>18</t>
    </r>
    <r>
      <rPr>
        <sz val="9"/>
        <color rgb="FF000000"/>
        <rFont val="楷体"/>
        <charset val="134"/>
      </rPr>
      <t>亿元</t>
    </r>
  </si>
  <si>
    <r>
      <rPr>
        <sz val="9"/>
        <color rgb="FF000000"/>
        <rFont val="楷体"/>
        <charset val="134"/>
      </rPr>
      <t>翁淑蓁</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黎展</t>
    </r>
    <r>
      <rPr>
        <sz val="9"/>
        <color rgb="FF000000"/>
        <rFont val="Arial"/>
        <charset val="134"/>
      </rPr>
      <t>:</t>
    </r>
    <r>
      <rPr>
        <sz val="9"/>
        <color rgb="FF000000"/>
        <rFont val="楷体"/>
        <charset val="134"/>
      </rPr>
      <t>董事长兼总经理</t>
    </r>
  </si>
  <si>
    <r>
      <rPr>
        <sz val="9"/>
        <color rgb="FF000000"/>
        <rFont val="楷体"/>
        <charset val="134"/>
      </rPr>
      <t>广州市番禺区大学城中二横路</t>
    </r>
    <r>
      <rPr>
        <sz val="9"/>
        <color rgb="FF000000"/>
        <rFont val="Arial"/>
        <charset val="134"/>
      </rPr>
      <t>26</t>
    </r>
    <r>
      <rPr>
        <sz val="9"/>
        <color rgb="FF000000"/>
        <rFont val="楷体"/>
        <charset val="134"/>
      </rPr>
      <t>号研发大楼</t>
    </r>
    <r>
      <rPr>
        <sz val="9"/>
        <color rgb="FF000000"/>
        <rFont val="Arial"/>
        <charset val="134"/>
      </rPr>
      <t>5</t>
    </r>
    <r>
      <rPr>
        <sz val="9"/>
        <color rgb="FF000000"/>
        <rFont val="楷体"/>
        <charset val="134"/>
      </rPr>
      <t>层</t>
    </r>
  </si>
  <si>
    <t>020-3113-6465</t>
  </si>
  <si>
    <t>service@tungee.com</t>
  </si>
  <si>
    <r>
      <rPr>
        <sz val="9"/>
        <color rgb="FF000000"/>
        <rFont val="楷体"/>
        <charset val="134"/>
      </rPr>
      <t>红杉资本中国</t>
    </r>
    <r>
      <rPr>
        <sz val="9"/>
        <color rgb="FF000000"/>
        <rFont val="Arial"/>
        <charset val="134"/>
      </rPr>
      <t>,</t>
    </r>
    <r>
      <rPr>
        <sz val="9"/>
        <color rgb="FF000000"/>
        <rFont val="楷体"/>
        <charset val="134"/>
      </rPr>
      <t>启明创投</t>
    </r>
  </si>
  <si>
    <r>
      <rPr>
        <sz val="9"/>
        <color rgb="FF000000"/>
        <rFont val="楷体"/>
        <charset val="134"/>
      </rPr>
      <t>启明创投</t>
    </r>
    <r>
      <rPr>
        <sz val="9"/>
        <color rgb="FF000000"/>
        <rFont val="Arial"/>
        <charset val="134"/>
      </rPr>
      <t>,</t>
    </r>
    <r>
      <rPr>
        <sz val="9"/>
        <color rgb="FF000000"/>
        <rFont val="楷体"/>
        <charset val="134"/>
      </rPr>
      <t>阿里巴巴</t>
    </r>
  </si>
  <si>
    <r>
      <rPr>
        <sz val="9"/>
        <color rgb="FF000000"/>
        <rFont val="楷体"/>
        <charset val="134"/>
      </rPr>
      <t>九合创投</t>
    </r>
    <r>
      <rPr>
        <sz val="9"/>
        <color rgb="FF000000"/>
        <rFont val="Arial"/>
        <charset val="134"/>
      </rPr>
      <t>,</t>
    </r>
    <r>
      <rPr>
        <sz val="9"/>
        <color rgb="FF000000"/>
        <rFont val="楷体"/>
        <charset val="134"/>
      </rPr>
      <t>英诺天使基金</t>
    </r>
    <r>
      <rPr>
        <sz val="9"/>
        <color rgb="FF000000"/>
        <rFont val="Arial"/>
        <charset val="134"/>
      </rPr>
      <t>,</t>
    </r>
    <r>
      <rPr>
        <sz val="9"/>
        <color rgb="FF000000"/>
        <rFont val="楷体"/>
        <charset val="134"/>
      </rPr>
      <t>臻云创投</t>
    </r>
    <r>
      <rPr>
        <sz val="9"/>
        <color rgb="FF000000"/>
        <rFont val="Arial"/>
        <charset val="134"/>
      </rPr>
      <t>,</t>
    </r>
    <r>
      <rPr>
        <sz val="9"/>
        <color rgb="FF000000"/>
        <rFont val="楷体"/>
        <charset val="134"/>
      </rPr>
      <t>宏利创投</t>
    </r>
  </si>
  <si>
    <t>2017-11-20</t>
  </si>
  <si>
    <t>大润发</t>
  </si>
  <si>
    <r>
      <rPr>
        <sz val="9"/>
        <color rgb="FF000000"/>
        <rFont val="楷体"/>
        <charset val="134"/>
      </rPr>
      <t>大润发是一个</t>
    </r>
    <r>
      <rPr>
        <sz val="9"/>
        <color rgb="FF000000"/>
        <rFont val="Arial"/>
        <charset val="134"/>
      </rPr>
      <t>O2O</t>
    </r>
    <r>
      <rPr>
        <sz val="9"/>
        <color rgb="FF000000"/>
        <rFont val="楷体"/>
        <charset val="134"/>
      </rPr>
      <t>电商平台，专注于生鲜食品、日用杂品、家纺棉布等产品的销售，拥有独立的销售平台及私人仓储，为客户提供会员制、积分优惠、快递送货上门等服务，隶属于康成投资（中国）有限公司。</t>
    </r>
  </si>
  <si>
    <t>康成投资（中国）有限公司</t>
  </si>
  <si>
    <t>http://www.rt-mart.com.cn/</t>
  </si>
  <si>
    <t>2005-03</t>
  </si>
  <si>
    <r>
      <rPr>
        <sz val="9"/>
        <color rgb="FF000000"/>
        <rFont val="Arial"/>
        <charset val="134"/>
      </rPr>
      <t>224</t>
    </r>
    <r>
      <rPr>
        <sz val="9"/>
        <color rgb="FF000000"/>
        <rFont val="楷体"/>
        <charset val="134"/>
      </rPr>
      <t>亿港元</t>
    </r>
  </si>
  <si>
    <r>
      <rPr>
        <sz val="9"/>
        <color rgb="FF000000"/>
        <rFont val="Arial"/>
        <charset val="134"/>
      </rPr>
      <t>179.2</t>
    </r>
    <r>
      <rPr>
        <sz val="9"/>
        <color rgb="FF000000"/>
        <rFont val="楷体"/>
        <charset val="134"/>
      </rPr>
      <t>亿</t>
    </r>
  </si>
  <si>
    <r>
      <rPr>
        <sz val="9"/>
        <color rgb="FF000000"/>
        <rFont val="Arial"/>
        <charset val="134"/>
      </rPr>
      <t>499.2</t>
    </r>
    <r>
      <rPr>
        <sz val="9"/>
        <color rgb="FF000000"/>
        <rFont val="楷体"/>
        <charset val="134"/>
      </rPr>
      <t>亿元</t>
    </r>
  </si>
  <si>
    <r>
      <rPr>
        <sz val="9"/>
        <color rgb="FF000000"/>
        <rFont val="楷体"/>
        <charset val="134"/>
      </rPr>
      <t>黄明端</t>
    </r>
    <r>
      <rPr>
        <sz val="9"/>
        <color rgb="FF000000"/>
        <rFont val="Arial"/>
        <charset val="134"/>
      </rPr>
      <t>:CEO</t>
    </r>
  </si>
  <si>
    <r>
      <rPr>
        <sz val="9"/>
        <color rgb="FF000000"/>
        <rFont val="楷体"/>
        <charset val="134"/>
      </rPr>
      <t>广东省广州市黄埔区大沙地东路</t>
    </r>
    <r>
      <rPr>
        <sz val="9"/>
        <color rgb="FF000000"/>
        <rFont val="Arial"/>
        <charset val="134"/>
      </rPr>
      <t>403</t>
    </r>
    <r>
      <rPr>
        <sz val="9"/>
        <color rgb="FF000000"/>
        <rFont val="楷体"/>
        <charset val="134"/>
      </rPr>
      <t>号步东商业大厦</t>
    </r>
  </si>
  <si>
    <t>020-2610-0749</t>
  </si>
  <si>
    <t>fn18@mail.rt-mart.com.cn</t>
  </si>
  <si>
    <t>龙图信息</t>
  </si>
  <si>
    <t>龙图信息是一家税务领域软件业领域的企业，致力于把基于先进信息技术的最佳出口退税业务管理实践普及到客户的管理与业务创新活动中，全面提供业务管理软件、服务与解决方案，向全国范围内的企业用户和代理服务机构提供相关的管理咨询、实施与技术服务等。</t>
  </si>
  <si>
    <t>大连龙图信息技术股份有限公司</t>
  </si>
  <si>
    <t>http://www.taxrefund.com.cn</t>
  </si>
  <si>
    <t>2002-06</t>
  </si>
  <si>
    <r>
      <rPr>
        <sz val="9"/>
        <color rgb="FF000000"/>
        <rFont val="楷体"/>
        <charset val="134"/>
      </rPr>
      <t>辽宁</t>
    </r>
    <r>
      <rPr>
        <sz val="9"/>
        <color rgb="FF000000"/>
        <rFont val="Arial"/>
        <charset val="134"/>
      </rPr>
      <t>-</t>
    </r>
    <r>
      <rPr>
        <sz val="9"/>
        <color rgb="FF000000"/>
        <rFont val="楷体"/>
        <charset val="134"/>
      </rPr>
      <t>大连</t>
    </r>
  </si>
  <si>
    <t>财税服务</t>
  </si>
  <si>
    <r>
      <rPr>
        <sz val="9"/>
        <color rgb="FF000000"/>
        <rFont val="Arial"/>
        <charset val="134"/>
      </rPr>
      <t>2</t>
    </r>
    <r>
      <rPr>
        <sz val="9"/>
        <color rgb="FF000000"/>
        <rFont val="楷体"/>
        <charset val="134"/>
      </rPr>
      <t>亿</t>
    </r>
  </si>
  <si>
    <r>
      <rPr>
        <sz val="9"/>
        <color rgb="FF000000"/>
        <rFont val="Arial"/>
        <charset val="134"/>
      </rPr>
      <t>2</t>
    </r>
    <r>
      <rPr>
        <sz val="9"/>
        <color rgb="FF000000"/>
        <rFont val="楷体"/>
        <charset val="134"/>
      </rPr>
      <t>亿元</t>
    </r>
  </si>
  <si>
    <r>
      <rPr>
        <sz val="9"/>
        <color rgb="FF000000"/>
        <rFont val="楷体"/>
        <charset val="134"/>
      </rPr>
      <t>赵昕国</t>
    </r>
    <r>
      <rPr>
        <sz val="9"/>
        <color rgb="FF000000"/>
        <rFont val="Arial"/>
        <charset val="134"/>
      </rPr>
      <t>:CEO</t>
    </r>
  </si>
  <si>
    <r>
      <rPr>
        <sz val="9"/>
        <color rgb="FF000000"/>
        <rFont val="楷体"/>
        <charset val="134"/>
      </rPr>
      <t>辽宁省大连市高新技术产业园区黄浦路</t>
    </r>
    <r>
      <rPr>
        <sz val="9"/>
        <color rgb="FF000000"/>
        <rFont val="Arial"/>
        <charset val="134"/>
      </rPr>
      <t>701</t>
    </r>
    <r>
      <rPr>
        <sz val="9"/>
        <color rgb="FF000000"/>
        <rFont val="楷体"/>
        <charset val="134"/>
      </rPr>
      <t>号</t>
    </r>
    <r>
      <rPr>
        <sz val="9"/>
        <color rgb="FF000000"/>
        <rFont val="Arial"/>
        <charset val="134"/>
      </rPr>
      <t>13</t>
    </r>
    <r>
      <rPr>
        <sz val="9"/>
        <color rgb="FF000000"/>
        <rFont val="楷体"/>
        <charset val="134"/>
      </rPr>
      <t>层</t>
    </r>
    <r>
      <rPr>
        <sz val="9"/>
        <color rgb="FF000000"/>
        <rFont val="Arial"/>
        <charset val="134"/>
      </rPr>
      <t>1</t>
    </r>
    <r>
      <rPr>
        <sz val="9"/>
        <color rgb="FF000000"/>
        <rFont val="楷体"/>
        <charset val="134"/>
      </rPr>
      <t>号、</t>
    </r>
    <r>
      <rPr>
        <sz val="9"/>
        <color rgb="FF000000"/>
        <rFont val="Arial"/>
        <charset val="134"/>
      </rPr>
      <t>2</t>
    </r>
    <r>
      <rPr>
        <sz val="9"/>
        <color rgb="FF000000"/>
        <rFont val="楷体"/>
        <charset val="134"/>
      </rPr>
      <t>号</t>
    </r>
    <r>
      <rPr>
        <sz val="9"/>
        <color rgb="FF000000"/>
        <rFont val="Arial"/>
        <charset val="134"/>
      </rPr>
      <t>1</t>
    </r>
    <r>
      <rPr>
        <sz val="9"/>
        <color rgb="FF000000"/>
        <rFont val="楷体"/>
        <charset val="134"/>
      </rPr>
      <t>室、</t>
    </r>
    <r>
      <rPr>
        <sz val="9"/>
        <color rgb="FF000000"/>
        <rFont val="Arial"/>
        <charset val="134"/>
      </rPr>
      <t>3</t>
    </r>
    <r>
      <rPr>
        <sz val="9"/>
        <color rgb="FF000000"/>
        <rFont val="楷体"/>
        <charset val="134"/>
      </rPr>
      <t>号</t>
    </r>
  </si>
  <si>
    <t>0411-3994-0613</t>
  </si>
  <si>
    <t>zhaoy@taxrefund.com.cn</t>
  </si>
  <si>
    <t>2021-12-27</t>
  </si>
  <si>
    <t>百望云</t>
  </si>
  <si>
    <r>
      <rPr>
        <sz val="9"/>
        <color rgb="FF000000"/>
        <rFont val="楷体"/>
        <charset val="134"/>
      </rPr>
      <t>百望云是一家电子发票</t>
    </r>
    <r>
      <rPr>
        <sz val="9"/>
        <color rgb="FF000000"/>
        <rFont val="Arial"/>
        <charset val="134"/>
      </rPr>
      <t>SaaS</t>
    </r>
    <r>
      <rPr>
        <sz val="9"/>
        <color rgb="FF000000"/>
        <rFont val="楷体"/>
        <charset val="134"/>
      </rPr>
      <t>服务提供商，主要为大型集团用户提供从销项开票、进项抵扣到纳税申报的涉税业务全案服务，为中小微企业提供百望增值税管理云平台，致力于打造企业与商业伙伴连接、交易、协作的网络平台。</t>
    </r>
  </si>
  <si>
    <t>百望股份有限公司</t>
  </si>
  <si>
    <t>http://www.baiwang.com/</t>
  </si>
  <si>
    <r>
      <rPr>
        <sz val="9"/>
        <color rgb="FF000000"/>
        <rFont val="Arial"/>
        <charset val="134"/>
      </rPr>
      <t>4.31</t>
    </r>
    <r>
      <rPr>
        <sz val="9"/>
        <color rgb="FF000000"/>
        <rFont val="楷体"/>
        <charset val="134"/>
      </rPr>
      <t>亿人民币</t>
    </r>
  </si>
  <si>
    <r>
      <rPr>
        <sz val="9"/>
        <color rgb="FF000000"/>
        <rFont val="楷体"/>
        <charset val="134"/>
      </rPr>
      <t>复星集团</t>
    </r>
    <r>
      <rPr>
        <sz val="9"/>
        <color rgb="FF000000"/>
        <rFont val="Arial"/>
        <charset val="134"/>
      </rPr>
      <t>,</t>
    </r>
    <r>
      <rPr>
        <sz val="9"/>
        <color rgb="FF000000"/>
        <rFont val="楷体"/>
        <charset val="134"/>
      </rPr>
      <t>大众资本</t>
    </r>
    <r>
      <rPr>
        <sz val="9"/>
        <color rgb="FF000000"/>
        <rFont val="Arial"/>
        <charset val="134"/>
      </rPr>
      <t>,</t>
    </r>
    <r>
      <rPr>
        <sz val="9"/>
        <color rgb="FF000000"/>
        <rFont val="楷体"/>
        <charset val="134"/>
      </rPr>
      <t>玖兆投资</t>
    </r>
  </si>
  <si>
    <r>
      <rPr>
        <sz val="9"/>
        <color rgb="FF000000"/>
        <rFont val="Arial"/>
        <charset val="134"/>
      </rPr>
      <t>20.94</t>
    </r>
    <r>
      <rPr>
        <sz val="9"/>
        <color rgb="FF000000"/>
        <rFont val="楷体"/>
        <charset val="134"/>
      </rPr>
      <t>亿</t>
    </r>
  </si>
  <si>
    <r>
      <rPr>
        <sz val="9"/>
        <color rgb="FF000000"/>
        <rFont val="楷体"/>
        <charset val="134"/>
      </rPr>
      <t>陈杰</t>
    </r>
    <r>
      <rPr>
        <sz val="9"/>
        <color rgb="FF000000"/>
        <rFont val="Arial"/>
        <charset val="134"/>
      </rPr>
      <t>:CEO</t>
    </r>
  </si>
  <si>
    <r>
      <rPr>
        <sz val="9"/>
        <color rgb="FF000000"/>
        <rFont val="楷体"/>
        <charset val="134"/>
      </rPr>
      <t>北京市海淀区马连洼北路</t>
    </r>
    <r>
      <rPr>
        <sz val="9"/>
        <color rgb="FF000000"/>
        <rFont val="Arial"/>
        <charset val="134"/>
      </rPr>
      <t>59</t>
    </r>
    <r>
      <rPr>
        <sz val="9"/>
        <color rgb="FF000000"/>
        <rFont val="楷体"/>
        <charset val="134"/>
      </rPr>
      <t>号亿城国际中心</t>
    </r>
    <r>
      <rPr>
        <sz val="9"/>
        <color rgb="FF000000"/>
        <rFont val="Arial"/>
        <charset val="134"/>
      </rPr>
      <t>7</t>
    </r>
    <r>
      <rPr>
        <sz val="9"/>
        <color rgb="FF000000"/>
        <rFont val="楷体"/>
        <charset val="134"/>
      </rPr>
      <t>层</t>
    </r>
  </si>
  <si>
    <t>400-8512-366</t>
  </si>
  <si>
    <t>market@baiwang.com</t>
  </si>
  <si>
    <r>
      <rPr>
        <sz val="9"/>
        <color rgb="FF000000"/>
        <rFont val="Arial"/>
        <charset val="134"/>
      </rPr>
      <t>6.43</t>
    </r>
    <r>
      <rPr>
        <sz val="9"/>
        <color rgb="FF000000"/>
        <rFont val="楷体"/>
        <charset val="134"/>
      </rPr>
      <t>亿人民币</t>
    </r>
  </si>
  <si>
    <t>星元创新资本</t>
  </si>
  <si>
    <r>
      <rPr>
        <sz val="9"/>
        <color rgb="FF000000"/>
        <rFont val="Arial"/>
        <charset val="134"/>
      </rPr>
      <t>6.02</t>
    </r>
    <r>
      <rPr>
        <sz val="9"/>
        <color rgb="FF000000"/>
        <rFont val="楷体"/>
        <charset val="134"/>
      </rPr>
      <t>亿人民币</t>
    </r>
  </si>
  <si>
    <r>
      <rPr>
        <sz val="9"/>
        <color rgb="FF000000"/>
        <rFont val="楷体"/>
        <charset val="134"/>
      </rPr>
      <t>深创投</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国中资本</t>
    </r>
    <r>
      <rPr>
        <sz val="9"/>
        <color rgb="FF000000"/>
        <rFont val="Arial"/>
        <charset val="134"/>
      </rPr>
      <t>,</t>
    </r>
    <r>
      <rPr>
        <sz val="9"/>
        <color rgb="FF000000"/>
        <rFont val="楷体"/>
        <charset val="134"/>
      </rPr>
      <t>大湾区共同家园发展基金</t>
    </r>
  </si>
  <si>
    <r>
      <rPr>
        <sz val="9"/>
        <color rgb="FF000000"/>
        <rFont val="Arial"/>
        <charset val="134"/>
      </rPr>
      <t>4.18</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</si>
  <si>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复星集团</t>
    </r>
    <r>
      <rPr>
        <sz val="9"/>
        <color rgb="FF000000"/>
        <rFont val="Arial"/>
        <charset val="134"/>
      </rPr>
      <t>,</t>
    </r>
    <r>
      <rPr>
        <sz val="9"/>
        <color rgb="FF000000"/>
        <rFont val="楷体"/>
        <charset val="134"/>
      </rPr>
      <t>复星创富</t>
    </r>
  </si>
  <si>
    <t>2014-02-01</t>
  </si>
  <si>
    <t>百越文化</t>
  </si>
  <si>
    <t>百越文化，致力于培育年轻观众、输出越剧艺术、促进戏剧文化交流、拓展文化艺术产业，创编大型综合越剧秀、驻场演出等。</t>
  </si>
  <si>
    <t>百越文化创意有限公司</t>
  </si>
  <si>
    <t>艺术</t>
  </si>
  <si>
    <r>
      <rPr>
        <sz val="9"/>
        <color rgb="FF000000"/>
        <rFont val="楷体"/>
        <charset val="134"/>
      </rPr>
      <t>茅威涛</t>
    </r>
    <r>
      <rPr>
        <sz val="9"/>
        <color rgb="FF000000"/>
        <rFont val="Arial"/>
        <charset val="134"/>
      </rPr>
      <t>:</t>
    </r>
    <r>
      <rPr>
        <sz val="9"/>
        <color rgb="FF000000"/>
        <rFont val="楷体"/>
        <charset val="134"/>
      </rPr>
      <t>创始人</t>
    </r>
  </si>
  <si>
    <r>
      <rPr>
        <sz val="9"/>
        <color rgb="FF000000"/>
        <rFont val="楷体"/>
        <charset val="134"/>
      </rPr>
      <t>杭州市西湖区教工路</t>
    </r>
    <r>
      <rPr>
        <sz val="9"/>
        <color rgb="FF000000"/>
        <rFont val="Arial"/>
        <charset val="134"/>
      </rPr>
      <t>95</t>
    </r>
    <r>
      <rPr>
        <sz val="9"/>
        <color rgb="FF000000"/>
        <rFont val="楷体"/>
        <charset val="134"/>
      </rPr>
      <t>号</t>
    </r>
    <r>
      <rPr>
        <sz val="9"/>
        <color rgb="FF000000"/>
        <rFont val="Arial"/>
        <charset val="134"/>
      </rPr>
      <t>201-206</t>
    </r>
    <r>
      <rPr>
        <sz val="9"/>
        <color rgb="FF000000"/>
        <rFont val="楷体"/>
        <charset val="134"/>
      </rPr>
      <t>室</t>
    </r>
  </si>
  <si>
    <t>0571-87763838</t>
  </si>
  <si>
    <t>2016-11-30</t>
  </si>
  <si>
    <t>猫宁电商</t>
  </si>
  <si>
    <r>
      <rPr>
        <sz val="9"/>
        <color rgb="FF000000"/>
        <rFont val="楷体"/>
        <charset val="134"/>
      </rPr>
      <t>通过基于</t>
    </r>
    <r>
      <rPr>
        <sz val="9"/>
        <color rgb="FF000000"/>
        <rFont val="Arial"/>
        <charset val="134"/>
      </rPr>
      <t>C2B</t>
    </r>
    <r>
      <rPr>
        <sz val="9"/>
        <color rgb="FF000000"/>
        <rFont val="楷体"/>
        <charset val="134"/>
      </rPr>
      <t>反向驱动的产品包销定制的业务拓展以及供应链管理能力，提升对品牌商的服务能力和对消费者需求的快速响应能力。猫宁电商还将创新</t>
    </r>
    <r>
      <rPr>
        <sz val="9"/>
        <color rgb="FF000000"/>
        <rFont val="Arial"/>
        <charset val="134"/>
      </rPr>
      <t>O2O</t>
    </r>
    <r>
      <rPr>
        <sz val="9"/>
        <color rgb="FF000000"/>
        <rFont val="楷体"/>
        <charset val="134"/>
      </rPr>
      <t>运营模式，强化对中小零售商、消费者的服务品质提升。</t>
    </r>
  </si>
  <si>
    <t>重庆猫宁电子商务有限公司</t>
  </si>
  <si>
    <t>2016-11</t>
  </si>
  <si>
    <r>
      <rPr>
        <sz val="9"/>
        <color rgb="FF000000"/>
        <rFont val="楷体"/>
        <charset val="134"/>
      </rPr>
      <t>重庆</t>
    </r>
    <r>
      <rPr>
        <sz val="9"/>
        <color rgb="FF000000"/>
        <rFont val="Arial"/>
        <charset val="134"/>
      </rPr>
      <t>-</t>
    </r>
    <r>
      <rPr>
        <sz val="9"/>
        <color rgb="FF000000"/>
        <rFont val="楷体"/>
        <charset val="134"/>
      </rPr>
      <t>渝北区</t>
    </r>
  </si>
  <si>
    <r>
      <rPr>
        <sz val="9"/>
        <color rgb="FF000000"/>
        <rFont val="楷体"/>
        <charset val="134"/>
      </rPr>
      <t>阿里巴巴</t>
    </r>
    <r>
      <rPr>
        <sz val="9"/>
        <color rgb="FF000000"/>
        <rFont val="Arial"/>
        <charset val="134"/>
      </rPr>
      <t>,</t>
    </r>
    <r>
      <rPr>
        <sz val="9"/>
        <color rgb="FF000000"/>
        <rFont val="楷体"/>
        <charset val="134"/>
      </rPr>
      <t>苏宁</t>
    </r>
  </si>
  <si>
    <r>
      <rPr>
        <sz val="9"/>
        <color rgb="FF000000"/>
        <rFont val="Arial"/>
        <charset val="134"/>
      </rPr>
      <t>10</t>
    </r>
    <r>
      <rPr>
        <sz val="9"/>
        <color rgb="FF000000"/>
        <rFont val="楷体"/>
        <charset val="134"/>
      </rPr>
      <t>亿</t>
    </r>
  </si>
  <si>
    <r>
      <rPr>
        <sz val="9"/>
        <color rgb="FF000000"/>
        <rFont val="Arial"/>
        <charset val="134"/>
      </rPr>
      <t>50</t>
    </r>
    <r>
      <rPr>
        <sz val="9"/>
        <color rgb="FF000000"/>
        <rFont val="楷体"/>
        <charset val="134"/>
      </rPr>
      <t>亿元</t>
    </r>
  </si>
  <si>
    <r>
      <rPr>
        <sz val="9"/>
        <color rgb="FF000000"/>
        <rFont val="楷体"/>
        <charset val="134"/>
      </rPr>
      <t>侯恩龙</t>
    </r>
    <r>
      <rPr>
        <sz val="9"/>
        <color rgb="FF000000"/>
        <rFont val="Arial"/>
        <charset val="134"/>
      </rPr>
      <t xml:space="preserve"> :</t>
    </r>
    <r>
      <rPr>
        <sz val="9"/>
        <color rgb="FF000000"/>
        <rFont val="楷体"/>
        <charset val="134"/>
      </rPr>
      <t>创始人</t>
    </r>
  </si>
  <si>
    <r>
      <rPr>
        <sz val="9"/>
        <color rgb="FF000000"/>
        <rFont val="楷体"/>
        <charset val="134"/>
      </rPr>
      <t>重庆市渝北区龙兴镇迎龙大道</t>
    </r>
    <r>
      <rPr>
        <sz val="9"/>
        <color rgb="FF000000"/>
        <rFont val="Arial"/>
        <charset val="134"/>
      </rPr>
      <t>19</t>
    </r>
    <r>
      <rPr>
        <sz val="9"/>
        <color rgb="FF000000"/>
        <rFont val="楷体"/>
        <charset val="134"/>
      </rPr>
      <t>号</t>
    </r>
  </si>
  <si>
    <t>023-89068800</t>
  </si>
  <si>
    <t>chongqingcw@cnsuning.com</t>
  </si>
  <si>
    <t>2016-12-06</t>
  </si>
  <si>
    <t>Showtime Analytics</t>
  </si>
  <si>
    <r>
      <rPr>
        <sz val="9"/>
        <color rgb="FF000000"/>
        <rFont val="Arial"/>
        <charset val="134"/>
      </rPr>
      <t>Showtime Analytics</t>
    </r>
    <r>
      <rPr>
        <sz val="9"/>
        <color rgb="FF000000"/>
        <rFont val="楷体"/>
        <charset val="134"/>
      </rPr>
      <t>是一家爱尔兰影院数据服务商，总部位于都柏林，专门为影院提供数据分析产品和服务，通过数据为影院管理提供决策支持，客户遍布全球</t>
    </r>
    <r>
      <rPr>
        <sz val="9"/>
        <color rgb="FF000000"/>
        <rFont val="Arial"/>
        <charset val="134"/>
      </rPr>
      <t>60</t>
    </r>
    <r>
      <rPr>
        <sz val="9"/>
        <color rgb="FF000000"/>
        <rFont val="楷体"/>
        <charset val="134"/>
      </rPr>
      <t>多个国家，以连锁院线为主。</t>
    </r>
  </si>
  <si>
    <t>https://showtimeanalytics.com/</t>
  </si>
  <si>
    <t>2014-04</t>
  </si>
  <si>
    <r>
      <rPr>
        <sz val="9"/>
        <color rgb="FF000000"/>
        <rFont val="楷体"/>
        <charset val="134"/>
      </rPr>
      <t>欧洲</t>
    </r>
    <r>
      <rPr>
        <sz val="9"/>
        <color rgb="FF000000"/>
        <rFont val="Arial"/>
        <charset val="134"/>
      </rPr>
      <t>-</t>
    </r>
    <r>
      <rPr>
        <sz val="9"/>
        <color rgb="FF000000"/>
        <rFont val="楷体"/>
        <charset val="134"/>
      </rPr>
      <t>爱尔兰</t>
    </r>
  </si>
  <si>
    <r>
      <rPr>
        <sz val="9"/>
        <color rgb="FF000000"/>
        <rFont val="Arial"/>
        <charset val="134"/>
      </rPr>
      <t>780</t>
    </r>
    <r>
      <rPr>
        <sz val="9"/>
        <color rgb="FF000000"/>
        <rFont val="楷体"/>
        <charset val="134"/>
      </rPr>
      <t>万</t>
    </r>
  </si>
  <si>
    <r>
      <rPr>
        <sz val="9"/>
        <color rgb="FF000000"/>
        <rFont val="Arial"/>
        <charset val="134"/>
      </rPr>
      <t>3250</t>
    </r>
    <r>
      <rPr>
        <sz val="9"/>
        <color rgb="FF000000"/>
        <rFont val="楷体"/>
        <charset val="134"/>
      </rPr>
      <t>万元</t>
    </r>
  </si>
  <si>
    <t>Jolyon Spurling:Co-Founder &amp; Product Strategy,Mark de Quervain:Director of Client Service and Strategy,Paul Lynch:CTO,Richie Power:CEO &amp; Co-Founder</t>
  </si>
  <si>
    <t>2016-11-22</t>
  </si>
  <si>
    <t>宁波泽泰</t>
  </si>
  <si>
    <r>
      <rPr>
        <sz val="9"/>
        <color rgb="FF000000"/>
        <rFont val="楷体"/>
        <charset val="134"/>
      </rPr>
      <t>宁波泽泰网络，负责生鲜店的建店服务和日常线上运营</t>
    </r>
    <r>
      <rPr>
        <sz val="9"/>
        <color rgb="FF000000"/>
        <rFont val="Arial"/>
        <charset val="134"/>
      </rPr>
      <t>(</t>
    </r>
    <r>
      <rPr>
        <sz val="9"/>
        <color rgb="FF000000"/>
        <rFont val="楷体"/>
        <charset val="134"/>
      </rPr>
      <t>包括</t>
    </r>
    <r>
      <rPr>
        <sz val="9"/>
        <color rgb="FF000000"/>
        <rFont val="Arial"/>
        <charset val="134"/>
      </rPr>
      <t>App</t>
    </r>
    <r>
      <rPr>
        <sz val="9"/>
        <color rgb="FF000000"/>
        <rFont val="楷体"/>
        <charset val="134"/>
      </rPr>
      <t>运营、物流履约运营以及其他鲜生店业务运营</t>
    </r>
    <r>
      <rPr>
        <sz val="9"/>
        <color rgb="FF000000"/>
        <rFont val="Arial"/>
        <charset val="134"/>
      </rPr>
      <t>)</t>
    </r>
    <r>
      <rPr>
        <sz val="9"/>
        <color rgb="FF000000"/>
        <rFont val="楷体"/>
        <charset val="134"/>
      </rPr>
      <t>，隶属宁波泽泰网络技术有限公司。</t>
    </r>
  </si>
  <si>
    <t>宁波泽泰网络技术有限公司</t>
  </si>
  <si>
    <r>
      <rPr>
        <sz val="9"/>
        <color rgb="FF000000"/>
        <rFont val="楷体"/>
        <charset val="134"/>
      </rPr>
      <t>阿里巴巴</t>
    </r>
    <r>
      <rPr>
        <sz val="9"/>
        <color rgb="FF000000"/>
        <rFont val="Arial"/>
        <charset val="134"/>
      </rPr>
      <t>,</t>
    </r>
    <r>
      <rPr>
        <sz val="9"/>
        <color rgb="FF000000"/>
        <rFont val="楷体"/>
        <charset val="134"/>
      </rPr>
      <t>三江购物</t>
    </r>
  </si>
  <si>
    <r>
      <rPr>
        <sz val="9"/>
        <color rgb="FF000000"/>
        <rFont val="Arial"/>
        <charset val="134"/>
      </rPr>
      <t>2.5</t>
    </r>
    <r>
      <rPr>
        <sz val="9"/>
        <color rgb="FF000000"/>
        <rFont val="楷体"/>
        <charset val="134"/>
      </rPr>
      <t>亿元</t>
    </r>
  </si>
  <si>
    <r>
      <rPr>
        <sz val="9"/>
        <color rgb="FF000000"/>
        <rFont val="楷体"/>
        <charset val="134"/>
      </rPr>
      <t>陈冬青</t>
    </r>
    <r>
      <rPr>
        <sz val="9"/>
        <color rgb="FF000000"/>
        <rFont val="Arial"/>
        <charset val="134"/>
      </rPr>
      <t>:</t>
    </r>
    <r>
      <rPr>
        <sz val="9"/>
        <color rgb="FF000000"/>
        <rFont val="楷体"/>
        <charset val="134"/>
      </rPr>
      <t>创始人</t>
    </r>
  </si>
  <si>
    <r>
      <rPr>
        <sz val="9"/>
        <color rgb="FF000000"/>
        <rFont val="楷体"/>
        <charset val="134"/>
      </rPr>
      <t>宁波市海曙区环城西路北段</t>
    </r>
    <r>
      <rPr>
        <sz val="9"/>
        <color rgb="FF000000"/>
        <rFont val="Arial"/>
        <charset val="134"/>
      </rPr>
      <t>197</t>
    </r>
    <r>
      <rPr>
        <sz val="9"/>
        <color rgb="FF000000"/>
        <rFont val="楷体"/>
        <charset val="134"/>
      </rPr>
      <t>号二楼</t>
    </r>
    <r>
      <rPr>
        <sz val="9"/>
        <color rgb="FF000000"/>
        <rFont val="Arial"/>
        <charset val="134"/>
      </rPr>
      <t xml:space="preserve"> </t>
    </r>
  </si>
  <si>
    <t>2016-03-30</t>
  </si>
  <si>
    <t>ENJOYZ足球装备网</t>
  </si>
  <si>
    <r>
      <rPr>
        <sz val="9"/>
        <color rgb="FF000000"/>
        <rFont val="Arial"/>
        <charset val="134"/>
      </rPr>
      <t>ENJOYZ</t>
    </r>
    <r>
      <rPr>
        <sz val="9"/>
        <color rgb="FF000000"/>
        <rFont val="楷体"/>
        <charset val="134"/>
      </rPr>
      <t>足球装备网</t>
    </r>
  </si>
  <si>
    <r>
      <rPr>
        <sz val="9"/>
        <color rgb="FF000000"/>
        <rFont val="Arial"/>
        <charset val="134"/>
      </rPr>
      <t>ENJOYZ</t>
    </r>
    <r>
      <rPr>
        <sz val="9"/>
        <color rgb="FF000000"/>
        <rFont val="楷体"/>
        <charset val="134"/>
      </rPr>
      <t>足球装备网是厦门享动网络科技有限公司旗下专业的中文足球装备垂直门户和社区，是足球圈用户十分喜好的中文足球装备网站。</t>
    </r>
    <r>
      <rPr>
        <sz val="9"/>
        <color rgb="FF000000"/>
        <rFont val="Arial"/>
        <charset val="134"/>
      </rPr>
      <t>ENJOYZ</t>
    </r>
    <r>
      <rPr>
        <sz val="9"/>
        <color rgb="FF000000"/>
        <rFont val="楷体"/>
        <charset val="134"/>
      </rPr>
      <t>足球装备网旨在为足球爱好者提供更好的足球内容资讯和产品评测，努力为足球文化的推广而服务。</t>
    </r>
  </si>
  <si>
    <t>厦门享动网络科技有限公司</t>
  </si>
  <si>
    <t>http://www.enjoyz.com/</t>
  </si>
  <si>
    <t>体育用品及装备</t>
  </si>
  <si>
    <r>
      <rPr>
        <sz val="9"/>
        <color rgb="FF000000"/>
        <rFont val="Arial"/>
        <charset val="134"/>
      </rPr>
      <t>105</t>
    </r>
    <r>
      <rPr>
        <sz val="9"/>
        <color rgb="FF000000"/>
        <rFont val="楷体"/>
        <charset val="134"/>
      </rPr>
      <t>万人民币</t>
    </r>
  </si>
  <si>
    <r>
      <rPr>
        <sz val="9"/>
        <color rgb="FF000000"/>
        <rFont val="楷体"/>
        <charset val="134"/>
      </rPr>
      <t>阿里巴巴</t>
    </r>
    <r>
      <rPr>
        <sz val="9"/>
        <color rgb="FF000000"/>
        <rFont val="Arial"/>
        <charset val="134"/>
      </rPr>
      <t>,</t>
    </r>
    <r>
      <rPr>
        <sz val="9"/>
        <color rgb="FF000000"/>
        <rFont val="楷体"/>
        <charset val="134"/>
      </rPr>
      <t>顾伟基</t>
    </r>
    <r>
      <rPr>
        <sz val="9"/>
        <color rgb="FF000000"/>
        <rFont val="Arial"/>
        <charset val="134"/>
      </rPr>
      <t xml:space="preserve">  ,</t>
    </r>
    <r>
      <rPr>
        <sz val="9"/>
        <color rgb="FF000000"/>
        <rFont val="楷体"/>
        <charset val="134"/>
      </rPr>
      <t>吴嘉喆</t>
    </r>
    <r>
      <rPr>
        <sz val="9"/>
        <color rgb="FF000000"/>
        <rFont val="Arial"/>
        <charset val="134"/>
      </rPr>
      <t xml:space="preserve"> ,</t>
    </r>
    <r>
      <rPr>
        <sz val="9"/>
        <color rgb="FF000000"/>
        <rFont val="楷体"/>
        <charset val="134"/>
      </rPr>
      <t>林涛</t>
    </r>
  </si>
  <si>
    <r>
      <rPr>
        <sz val="9"/>
        <color rgb="FF000000"/>
        <rFont val="Arial"/>
        <charset val="134"/>
      </rPr>
      <t>105</t>
    </r>
    <r>
      <rPr>
        <sz val="9"/>
        <color rgb="FF000000"/>
        <rFont val="楷体"/>
        <charset val="134"/>
      </rPr>
      <t>万</t>
    </r>
  </si>
  <si>
    <r>
      <rPr>
        <sz val="9"/>
        <color rgb="FF000000"/>
        <rFont val="Arial"/>
        <charset val="134"/>
      </rPr>
      <t>525</t>
    </r>
    <r>
      <rPr>
        <sz val="9"/>
        <color rgb="FF000000"/>
        <rFont val="楷体"/>
        <charset val="134"/>
      </rPr>
      <t>万元</t>
    </r>
  </si>
  <si>
    <r>
      <rPr>
        <sz val="9"/>
        <color rgb="FF000000"/>
        <rFont val="楷体"/>
        <charset val="134"/>
      </rPr>
      <t>顾伟基</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郑建明</t>
    </r>
    <r>
      <rPr>
        <sz val="9"/>
        <color rgb="FF000000"/>
        <rFont val="Arial"/>
        <charset val="134"/>
      </rPr>
      <t>:CEO</t>
    </r>
  </si>
  <si>
    <r>
      <rPr>
        <sz val="9"/>
        <color rgb="FF000000"/>
        <rFont val="楷体"/>
        <charset val="134"/>
      </rPr>
      <t>海景路</t>
    </r>
    <r>
      <rPr>
        <sz val="9"/>
        <color rgb="FF000000"/>
        <rFont val="Arial"/>
        <charset val="134"/>
      </rPr>
      <t>268</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201</t>
    </r>
    <r>
      <rPr>
        <sz val="9"/>
        <color rgb="FF000000"/>
        <rFont val="楷体"/>
        <charset val="134"/>
      </rPr>
      <t>单元之五十六</t>
    </r>
  </si>
  <si>
    <t>SMG上海文广</t>
  </si>
  <si>
    <r>
      <rPr>
        <sz val="9"/>
        <color rgb="FF000000"/>
        <rFont val="Arial"/>
        <charset val="134"/>
      </rPr>
      <t>SMG</t>
    </r>
    <r>
      <rPr>
        <sz val="9"/>
        <color rgb="FF000000"/>
        <rFont val="楷体"/>
        <charset val="134"/>
      </rPr>
      <t>上海文广</t>
    </r>
  </si>
  <si>
    <r>
      <rPr>
        <sz val="9"/>
        <color rgb="FF000000"/>
        <rFont val="楷体"/>
        <charset val="134"/>
      </rPr>
      <t>上海广播电视台、上海文化广播影视集团有限公司（英文统称</t>
    </r>
    <r>
      <rPr>
        <sz val="9"/>
        <color rgb="FF000000"/>
        <rFont val="Arial"/>
        <charset val="134"/>
      </rPr>
      <t>Shanghai Media Group</t>
    </r>
    <r>
      <rPr>
        <sz val="9"/>
        <color rgb="FF000000"/>
        <rFont val="楷体"/>
        <charset val="134"/>
      </rPr>
      <t>，简称</t>
    </r>
    <r>
      <rPr>
        <sz val="9"/>
        <color rgb="FF000000"/>
        <rFont val="Arial"/>
        <charset val="134"/>
      </rPr>
      <t>“SMG”</t>
    </r>
    <r>
      <rPr>
        <sz val="9"/>
        <color rgb="FF000000"/>
        <rFont val="楷体"/>
        <charset val="134"/>
      </rPr>
      <t>）是中国目前产业门类最多、产业规模最大的省级新型主流媒体及综合文化产业集团，由原上海文化广播影视集团和上海广播电视台、上海东方传媒集团有限公司于</t>
    </r>
    <r>
      <rPr>
        <sz val="9"/>
        <color rgb="FF000000"/>
        <rFont val="Arial"/>
        <charset val="134"/>
      </rPr>
      <t>2014</t>
    </r>
    <r>
      <rPr>
        <sz val="9"/>
        <color rgb="FF000000"/>
        <rFont val="楷体"/>
        <charset val="134"/>
      </rPr>
      <t>年</t>
    </r>
    <r>
      <rPr>
        <sz val="9"/>
        <color rgb="FF000000"/>
        <rFont val="Arial"/>
        <charset val="134"/>
      </rPr>
      <t>3</t>
    </r>
    <r>
      <rPr>
        <sz val="9"/>
        <color rgb="FF000000"/>
        <rFont val="楷体"/>
        <charset val="134"/>
      </rPr>
      <t>月</t>
    </r>
    <r>
      <rPr>
        <sz val="9"/>
        <color rgb="FF000000"/>
        <rFont val="Arial"/>
        <charset val="134"/>
      </rPr>
      <t>31</t>
    </r>
    <r>
      <rPr>
        <sz val="9"/>
        <color rgb="FF000000"/>
        <rFont val="楷体"/>
        <charset val="134"/>
      </rPr>
      <t>日整合而成。截至</t>
    </r>
    <r>
      <rPr>
        <sz val="9"/>
        <color rgb="FF000000"/>
        <rFont val="Arial"/>
        <charset val="134"/>
      </rPr>
      <t>2015</t>
    </r>
    <r>
      <rPr>
        <sz val="9"/>
        <color rgb="FF000000"/>
        <rFont val="楷体"/>
        <charset val="134"/>
      </rPr>
      <t>年底，</t>
    </r>
    <r>
      <rPr>
        <sz val="9"/>
        <color rgb="FF000000"/>
        <rFont val="Arial"/>
        <charset val="134"/>
      </rPr>
      <t>SMG</t>
    </r>
    <r>
      <rPr>
        <sz val="9"/>
        <color rgb="FF000000"/>
        <rFont val="楷体"/>
        <charset val="134"/>
      </rPr>
      <t>共有职能部门</t>
    </r>
    <r>
      <rPr>
        <sz val="9"/>
        <color rgb="FF000000"/>
        <rFont val="Arial"/>
        <charset val="134"/>
      </rPr>
      <t>13</t>
    </r>
    <r>
      <rPr>
        <sz val="9"/>
        <color rgb="FF000000"/>
        <rFont val="楷体"/>
        <charset val="134"/>
      </rPr>
      <t>个，直属事业部</t>
    </r>
    <r>
      <rPr>
        <sz val="9"/>
        <color rgb="FF000000"/>
        <rFont val="Arial"/>
        <charset val="134"/>
      </rPr>
      <t>8</t>
    </r>
    <r>
      <rPr>
        <sz val="9"/>
        <color rgb="FF000000"/>
        <rFont val="楷体"/>
        <charset val="134"/>
      </rPr>
      <t>个，一级子公司</t>
    </r>
    <r>
      <rPr>
        <sz val="9"/>
        <color rgb="FF000000"/>
        <rFont val="Arial"/>
        <charset val="134"/>
      </rPr>
      <t>15</t>
    </r>
    <r>
      <rPr>
        <sz val="9"/>
        <color rgb="FF000000"/>
        <rFont val="楷体"/>
        <charset val="134"/>
      </rPr>
      <t>家（含</t>
    </r>
    <r>
      <rPr>
        <sz val="9"/>
        <color rgb="FF000000"/>
        <rFont val="Arial"/>
        <charset val="134"/>
      </rPr>
      <t>1</t>
    </r>
    <r>
      <rPr>
        <sz val="9"/>
        <color rgb="FF000000"/>
        <rFont val="楷体"/>
        <charset val="134"/>
      </rPr>
      <t>个上市公司</t>
    </r>
    <r>
      <rPr>
        <sz val="9"/>
        <color rgb="FF000000"/>
        <rFont val="Arial"/>
        <charset val="134"/>
      </rPr>
      <t>——</t>
    </r>
    <r>
      <rPr>
        <sz val="9"/>
        <color rgb="FF000000"/>
        <rFont val="楷体"/>
        <charset val="134"/>
      </rPr>
      <t>上海东方明珠新媒体股份有限公司），二级子公司</t>
    </r>
    <r>
      <rPr>
        <sz val="9"/>
        <color rgb="FF000000"/>
        <rFont val="Arial"/>
        <charset val="134"/>
      </rPr>
      <t>82</t>
    </r>
    <r>
      <rPr>
        <sz val="9"/>
        <color rgb="FF000000"/>
        <rFont val="楷体"/>
        <charset val="134"/>
      </rPr>
      <t>家，三级子公司</t>
    </r>
    <r>
      <rPr>
        <sz val="9"/>
        <color rgb="FF000000"/>
        <rFont val="Arial"/>
        <charset val="134"/>
      </rPr>
      <t>4</t>
    </r>
    <r>
      <rPr>
        <sz val="9"/>
        <color rgb="FF000000"/>
        <rFont val="楷体"/>
        <charset val="134"/>
      </rPr>
      <t>家，共有从业人员</t>
    </r>
    <r>
      <rPr>
        <sz val="9"/>
        <color rgb="FF000000"/>
        <rFont val="Arial"/>
        <charset val="134"/>
      </rPr>
      <t>16000</t>
    </r>
    <r>
      <rPr>
        <sz val="9"/>
        <color rgb="FF000000"/>
        <rFont val="楷体"/>
        <charset val="134"/>
      </rPr>
      <t>余人，总资产达</t>
    </r>
    <r>
      <rPr>
        <sz val="9"/>
        <color rgb="FF000000"/>
        <rFont val="Arial"/>
        <charset val="134"/>
      </rPr>
      <t>597</t>
    </r>
    <r>
      <rPr>
        <sz val="9"/>
        <color rgb="FF000000"/>
        <rFont val="楷体"/>
        <charset val="134"/>
      </rPr>
      <t>亿元。业务涵盖媒体运营及网络传输、内容制作及版权、互联网新媒体、现场演艺、文化旅游及地产、文化投资、电子商务等领域。</t>
    </r>
  </si>
  <si>
    <t>上海文化广播影视集团有限公司</t>
  </si>
  <si>
    <t>http://www.smg.cn</t>
  </si>
  <si>
    <r>
      <rPr>
        <sz val="9"/>
        <color rgb="FF000000"/>
        <rFont val="Arial"/>
        <charset val="134"/>
      </rPr>
      <t>1.94</t>
    </r>
    <r>
      <rPr>
        <sz val="9"/>
        <color rgb="FF000000"/>
        <rFont val="楷体"/>
        <charset val="134"/>
      </rPr>
      <t>亿美元</t>
    </r>
  </si>
  <si>
    <r>
      <rPr>
        <sz val="9"/>
        <color rgb="FF000000"/>
        <rFont val="Arial"/>
        <charset val="134"/>
      </rPr>
      <t>12.58</t>
    </r>
    <r>
      <rPr>
        <sz val="9"/>
        <color rgb="FF000000"/>
        <rFont val="楷体"/>
        <charset val="134"/>
      </rPr>
      <t>亿</t>
    </r>
  </si>
  <si>
    <r>
      <rPr>
        <sz val="9"/>
        <color rgb="FF000000"/>
        <rFont val="Arial"/>
        <charset val="134"/>
      </rPr>
      <t>62.92</t>
    </r>
    <r>
      <rPr>
        <sz val="9"/>
        <color rgb="FF000000"/>
        <rFont val="楷体"/>
        <charset val="134"/>
      </rPr>
      <t>亿元</t>
    </r>
  </si>
  <si>
    <r>
      <rPr>
        <sz val="9"/>
        <color rgb="FF000000"/>
        <rFont val="楷体"/>
        <charset val="134"/>
      </rPr>
      <t>王建军</t>
    </r>
    <r>
      <rPr>
        <sz val="9"/>
        <color rgb="FF000000"/>
        <rFont val="Arial"/>
        <charset val="134"/>
      </rPr>
      <t>:</t>
    </r>
    <r>
      <rPr>
        <sz val="9"/>
        <color rgb="FF000000"/>
        <rFont val="楷体"/>
        <charset val="134"/>
      </rPr>
      <t>董事兼总经理</t>
    </r>
  </si>
  <si>
    <r>
      <rPr>
        <sz val="9"/>
        <color rgb="FF000000"/>
        <rFont val="楷体"/>
        <charset val="134"/>
      </rPr>
      <t>威海路</t>
    </r>
    <r>
      <rPr>
        <sz val="9"/>
        <color rgb="FF000000"/>
        <rFont val="Arial"/>
        <charset val="134"/>
      </rPr>
      <t>298</t>
    </r>
    <r>
      <rPr>
        <sz val="9"/>
        <color rgb="FF000000"/>
        <rFont val="楷体"/>
        <charset val="134"/>
      </rPr>
      <t>号</t>
    </r>
  </si>
  <si>
    <t>021-2200-5899</t>
  </si>
  <si>
    <t>chenlin@smg.cn</t>
  </si>
  <si>
    <t>2015-06-24</t>
  </si>
  <si>
    <t>沃天下</t>
  </si>
  <si>
    <t>沃天下，主要产品为，立体仓库，智能仓储系统，智能仓储机器人，隶属于广东沃天下供应链管理有限公司。</t>
  </si>
  <si>
    <t>广东沃天下供应链管理有限公司</t>
  </si>
  <si>
    <t>http://www.gdworld.cn/</t>
  </si>
  <si>
    <r>
      <rPr>
        <sz val="9"/>
        <color rgb="FF000000"/>
        <rFont val="Arial"/>
        <charset val="134"/>
      </rPr>
      <t>550</t>
    </r>
    <r>
      <rPr>
        <sz val="9"/>
        <color rgb="FF000000"/>
        <rFont val="楷体"/>
        <charset val="134"/>
      </rPr>
      <t>万人民币</t>
    </r>
  </si>
  <si>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易凯资本</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),Welkin</t>
    </r>
    <r>
      <rPr>
        <sz val="9"/>
        <color rgb="FF000000"/>
        <rFont val="楷体"/>
        <charset val="134"/>
      </rPr>
      <t>汇勤资本</t>
    </r>
  </si>
  <si>
    <r>
      <rPr>
        <sz val="9"/>
        <color rgb="FF000000"/>
        <rFont val="Arial"/>
        <charset val="134"/>
      </rPr>
      <t>550</t>
    </r>
    <r>
      <rPr>
        <sz val="9"/>
        <color rgb="FF000000"/>
        <rFont val="楷体"/>
        <charset val="134"/>
      </rPr>
      <t>万</t>
    </r>
  </si>
  <si>
    <r>
      <rPr>
        <sz val="9"/>
        <color rgb="FF000000"/>
        <rFont val="Arial"/>
        <charset val="134"/>
      </rPr>
      <t>2750</t>
    </r>
    <r>
      <rPr>
        <sz val="9"/>
        <color rgb="FF000000"/>
        <rFont val="楷体"/>
        <charset val="134"/>
      </rPr>
      <t>万元</t>
    </r>
  </si>
  <si>
    <r>
      <rPr>
        <sz val="9"/>
        <color rgb="FF000000"/>
        <rFont val="楷体"/>
        <charset val="134"/>
      </rPr>
      <t>贺鸿鸣</t>
    </r>
    <r>
      <rPr>
        <sz val="9"/>
        <color rgb="FF000000"/>
        <rFont val="Arial"/>
        <charset val="134"/>
      </rPr>
      <t>:</t>
    </r>
    <r>
      <rPr>
        <sz val="9"/>
        <color rgb="FF000000"/>
        <rFont val="楷体"/>
        <charset val="134"/>
      </rPr>
      <t>创始人</t>
    </r>
  </si>
  <si>
    <r>
      <rPr>
        <sz val="9"/>
        <color rgb="FF000000"/>
        <rFont val="楷体"/>
        <charset val="134"/>
      </rPr>
      <t>广州市海珠区宸悦路</t>
    </r>
    <r>
      <rPr>
        <sz val="9"/>
        <color rgb="FF000000"/>
        <rFont val="Arial"/>
        <charset val="134"/>
      </rPr>
      <t>26</t>
    </r>
    <r>
      <rPr>
        <sz val="9"/>
        <color rgb="FF000000"/>
        <rFont val="楷体"/>
        <charset val="134"/>
      </rPr>
      <t>号保利叁悦广场</t>
    </r>
    <r>
      <rPr>
        <sz val="9"/>
        <color rgb="FF000000"/>
        <rFont val="Arial"/>
        <charset val="134"/>
      </rPr>
      <t>B</t>
    </r>
    <r>
      <rPr>
        <sz val="9"/>
        <color rgb="FF000000"/>
        <rFont val="楷体"/>
        <charset val="134"/>
      </rPr>
      <t>塔</t>
    </r>
    <r>
      <rPr>
        <sz val="9"/>
        <color rgb="FF000000"/>
        <rFont val="Arial"/>
        <charset val="134"/>
      </rPr>
      <t>707</t>
    </r>
  </si>
  <si>
    <t>020-88888888</t>
  </si>
  <si>
    <t>hr@egohaitao.com</t>
  </si>
  <si>
    <t>日日顺物流</t>
  </si>
  <si>
    <r>
      <rPr>
        <sz val="9"/>
        <color rgb="FF000000"/>
        <rFont val="楷体"/>
        <charset val="134"/>
      </rPr>
      <t>日日顺物流，是国家</t>
    </r>
    <r>
      <rPr>
        <sz val="9"/>
        <color rgb="FF000000"/>
        <rFont val="Arial"/>
        <charset val="134"/>
      </rPr>
      <t>5A</t>
    </r>
    <r>
      <rPr>
        <sz val="9"/>
        <color rgb="FF000000"/>
        <rFont val="楷体"/>
        <charset val="134"/>
      </rPr>
      <t>级物流企业和</t>
    </r>
    <r>
      <rPr>
        <sz val="9"/>
        <color rgb="FF000000"/>
        <rFont val="Arial"/>
        <charset val="134"/>
      </rPr>
      <t>3A</t>
    </r>
    <r>
      <rPr>
        <sz val="9"/>
        <color rgb="FF000000"/>
        <rFont val="楷体"/>
        <charset val="134"/>
      </rPr>
      <t>级信用企业，日日顺物流依托先进的管理理念和物流技术、整合全球的一流网络资源，搭建起开放的专业化、标准化、智能化，以大件全流程为核心的多元化综合物流平台。目前已经为家电、家具、卫浴、健身器材及互补行业客户及用户提供全品类、全渠道、全流程、一体化物流服务。</t>
    </r>
  </si>
  <si>
    <t>日日顺供应链科技股份有限公司</t>
  </si>
  <si>
    <t>https://www.rrswl.com/</t>
  </si>
  <si>
    <r>
      <rPr>
        <sz val="9"/>
        <color rgb="FF000000"/>
        <rFont val="楷体"/>
        <charset val="134"/>
      </rPr>
      <t>中投公司</t>
    </r>
    <r>
      <rPr>
        <sz val="9"/>
        <color rgb="FF000000"/>
        <rFont val="Arial"/>
        <charset val="134"/>
      </rPr>
      <t>,</t>
    </r>
    <r>
      <rPr>
        <sz val="9"/>
        <color rgb="FF000000"/>
        <rFont val="楷体"/>
        <charset val="134"/>
      </rPr>
      <t>天壹资本</t>
    </r>
    <r>
      <rPr>
        <sz val="9"/>
        <color rgb="FF000000"/>
        <rFont val="Arial"/>
        <charset val="134"/>
      </rPr>
      <t>,</t>
    </r>
    <r>
      <rPr>
        <sz val="9"/>
        <color rgb="FF000000"/>
        <rFont val="楷体"/>
        <charset val="134"/>
      </rPr>
      <t>金镒资本</t>
    </r>
    <r>
      <rPr>
        <sz val="9"/>
        <color rgb="FF000000"/>
        <rFont val="Arial"/>
        <charset val="134"/>
      </rPr>
      <t>,</t>
    </r>
    <r>
      <rPr>
        <sz val="9"/>
        <color rgb="FF000000"/>
        <rFont val="楷体"/>
        <charset val="134"/>
      </rPr>
      <t>普罗资本</t>
    </r>
  </si>
  <si>
    <r>
      <rPr>
        <sz val="9"/>
        <color rgb="FF000000"/>
        <rFont val="Arial"/>
        <charset val="134"/>
      </rPr>
      <t>25</t>
    </r>
    <r>
      <rPr>
        <sz val="9"/>
        <color rgb="FF000000"/>
        <rFont val="楷体"/>
        <charset val="134"/>
      </rPr>
      <t>亿</t>
    </r>
  </si>
  <si>
    <r>
      <rPr>
        <sz val="9"/>
        <color rgb="FF000000"/>
        <rFont val="Arial"/>
        <charset val="134"/>
      </rPr>
      <t>113</t>
    </r>
    <r>
      <rPr>
        <sz val="9"/>
        <color rgb="FF000000"/>
        <rFont val="楷体"/>
        <charset val="134"/>
      </rPr>
      <t>亿元</t>
    </r>
  </si>
  <si>
    <r>
      <rPr>
        <sz val="9"/>
        <color rgb="FF000000"/>
        <rFont val="楷体"/>
        <charset val="134"/>
      </rPr>
      <t>解居志</t>
    </r>
    <r>
      <rPr>
        <sz val="9"/>
        <color rgb="FF000000"/>
        <rFont val="Arial"/>
        <charset val="134"/>
      </rPr>
      <t>:</t>
    </r>
    <r>
      <rPr>
        <sz val="9"/>
        <color rgb="FF000000"/>
        <rFont val="楷体"/>
        <charset val="134"/>
      </rPr>
      <t>董事</t>
    </r>
    <r>
      <rPr>
        <sz val="9"/>
        <color rgb="FF000000"/>
        <rFont val="Arial"/>
        <charset val="134"/>
      </rPr>
      <t>,</t>
    </r>
    <r>
      <rPr>
        <sz val="9"/>
        <color rgb="FF000000"/>
        <rFont val="楷体"/>
        <charset val="134"/>
      </rPr>
      <t>王正刚</t>
    </r>
    <r>
      <rPr>
        <sz val="9"/>
        <color rgb="FF000000"/>
        <rFont val="Arial"/>
        <charset val="134"/>
      </rPr>
      <t>:CEO,</t>
    </r>
    <r>
      <rPr>
        <sz val="9"/>
        <color rgb="FF000000"/>
        <rFont val="楷体"/>
        <charset val="134"/>
      </rPr>
      <t>冯贞远</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李安</t>
    </r>
    <r>
      <rPr>
        <sz val="9"/>
        <color rgb="FF000000"/>
        <rFont val="Arial"/>
        <charset val="134"/>
      </rPr>
      <t>:CFO,</t>
    </r>
    <r>
      <rPr>
        <sz val="9"/>
        <color rgb="FF000000"/>
        <rFont val="楷体"/>
        <charset val="134"/>
      </rPr>
      <t>于贞超</t>
    </r>
    <r>
      <rPr>
        <sz val="9"/>
        <color rgb="FF000000"/>
        <rFont val="Arial"/>
        <charset val="134"/>
      </rPr>
      <t>:</t>
    </r>
    <r>
      <rPr>
        <sz val="9"/>
        <color rgb="FF000000"/>
        <rFont val="楷体"/>
        <charset val="134"/>
      </rPr>
      <t>副总经理</t>
    </r>
  </si>
  <si>
    <t>青岛崂山区海尔工业园创牌大楼</t>
  </si>
  <si>
    <t>400-800-9999</t>
  </si>
  <si>
    <t>caninana@haier.com</t>
  </si>
  <si>
    <r>
      <rPr>
        <sz val="9"/>
        <color rgb="FF000000"/>
        <rFont val="Arial"/>
        <charset val="134"/>
      </rPr>
      <t>9</t>
    </r>
    <r>
      <rPr>
        <sz val="9"/>
        <color rgb="FF000000"/>
        <rFont val="楷体"/>
        <charset val="134"/>
      </rPr>
      <t>亿人民币</t>
    </r>
  </si>
  <si>
    <r>
      <rPr>
        <sz val="9"/>
        <color rgb="FF000000"/>
        <rFont val="Arial"/>
        <charset val="134"/>
      </rPr>
      <t>Stonebridge Capital,</t>
    </r>
    <r>
      <rPr>
        <sz val="9"/>
        <color rgb="FF000000"/>
        <rFont val="楷体"/>
        <charset val="134"/>
      </rPr>
      <t>中国太平</t>
    </r>
    <r>
      <rPr>
        <sz val="9"/>
        <color rgb="FF000000"/>
        <rFont val="Arial"/>
        <charset val="134"/>
      </rPr>
      <t>,</t>
    </r>
    <r>
      <rPr>
        <sz val="9"/>
        <color rgb="FF000000"/>
        <rFont val="楷体"/>
        <charset val="134"/>
      </rPr>
      <t>越秀产业基金</t>
    </r>
    <r>
      <rPr>
        <sz val="9"/>
        <color rgb="FF000000"/>
        <rFont val="Arial"/>
        <charset val="134"/>
      </rPr>
      <t>,</t>
    </r>
    <r>
      <rPr>
        <sz val="9"/>
        <color rgb="FF000000"/>
        <rFont val="楷体"/>
        <charset val="134"/>
      </rPr>
      <t>泰康保险</t>
    </r>
    <r>
      <rPr>
        <sz val="9"/>
        <color rgb="FF000000"/>
        <rFont val="Arial"/>
        <charset val="134"/>
      </rPr>
      <t>,Broad Street</t>
    </r>
  </si>
  <si>
    <t>2018-04-20</t>
  </si>
  <si>
    <t>中天微</t>
  </si>
  <si>
    <r>
      <rPr>
        <sz val="9"/>
        <color rgb="FF000000"/>
        <rFont val="楷体"/>
        <charset val="134"/>
      </rPr>
      <t>中天微是一家嵌入式</t>
    </r>
    <r>
      <rPr>
        <sz val="9"/>
        <color rgb="FF000000"/>
        <rFont val="Arial"/>
        <charset val="134"/>
      </rPr>
      <t>CPU</t>
    </r>
    <r>
      <rPr>
        <sz val="9"/>
        <color rgb="FF000000"/>
        <rFont val="楷体"/>
        <charset val="134"/>
      </rPr>
      <t>、芯片架构授权服务商，致力于</t>
    </r>
    <r>
      <rPr>
        <sz val="9"/>
        <color rgb="FF000000"/>
        <rFont val="Arial"/>
        <charset val="134"/>
      </rPr>
      <t>32</t>
    </r>
    <r>
      <rPr>
        <sz val="9"/>
        <color rgb="FF000000"/>
        <rFont val="楷体"/>
        <charset val="134"/>
      </rPr>
      <t>位高性能低功耗嵌入式</t>
    </r>
    <r>
      <rPr>
        <sz val="9"/>
        <color rgb="FF000000"/>
        <rFont val="Arial"/>
        <charset val="134"/>
      </rPr>
      <t>CPU</t>
    </r>
    <r>
      <rPr>
        <sz val="9"/>
        <color rgb="FF000000"/>
        <rFont val="楷体"/>
        <charset val="134"/>
      </rPr>
      <t>、以芯片架构授权为核心业务的集成电路设计公司，中天微系统拥有针对各种嵌入式应用场景的</t>
    </r>
    <r>
      <rPr>
        <sz val="9"/>
        <color rgb="FF000000"/>
        <rFont val="Arial"/>
        <charset val="134"/>
      </rPr>
      <t>CPU</t>
    </r>
    <r>
      <rPr>
        <sz val="9"/>
        <color rgb="FF000000"/>
        <rFont val="楷体"/>
        <charset val="134"/>
      </rPr>
      <t>技术发展路线图，隶属于杭州中天微系统有限公司。</t>
    </r>
  </si>
  <si>
    <t>杭州中天微系统有限公司</t>
  </si>
  <si>
    <t>http://www.c-sky.com/</t>
  </si>
  <si>
    <t>2001-10</t>
  </si>
  <si>
    <r>
      <rPr>
        <sz val="9"/>
        <color rgb="FF000000"/>
        <rFont val="楷体"/>
        <charset val="134"/>
      </rPr>
      <t>严晓浪</t>
    </r>
    <r>
      <rPr>
        <sz val="9"/>
        <color rgb="FF000000"/>
        <rFont val="Arial"/>
        <charset val="134"/>
      </rPr>
      <t>:</t>
    </r>
    <r>
      <rPr>
        <sz val="9"/>
        <color rgb="FF000000"/>
        <rFont val="楷体"/>
        <charset val="134"/>
      </rPr>
      <t>董事长</t>
    </r>
  </si>
  <si>
    <r>
      <rPr>
        <sz val="9"/>
        <color rgb="FF000000"/>
        <rFont val="楷体"/>
        <charset val="134"/>
      </rPr>
      <t>西湖区西斗门路</t>
    </r>
    <r>
      <rPr>
        <sz val="9"/>
        <color rgb="FF000000"/>
        <rFont val="Arial"/>
        <charset val="134"/>
      </rPr>
      <t>3</t>
    </r>
    <r>
      <rPr>
        <sz val="9"/>
        <color rgb="FF000000"/>
        <rFont val="楷体"/>
        <charset val="134"/>
      </rPr>
      <t>号天堂软件园区</t>
    </r>
  </si>
  <si>
    <t>0571-8815-7059</t>
  </si>
  <si>
    <t>chengyan_fu@c-sky.com</t>
  </si>
  <si>
    <t>2010-12-24</t>
  </si>
  <si>
    <t>莫耶瓷业</t>
  </si>
  <si>
    <r>
      <rPr>
        <sz val="9"/>
        <color rgb="FF000000"/>
        <rFont val="楷体"/>
        <charset val="134"/>
      </rPr>
      <t>莫耶瓷业是一家陶瓷制品生产商，公司拥有陶瓷台灯、吊灯、吸顶灯、壁灯、落地灯等五大系列</t>
    </r>
    <r>
      <rPr>
        <sz val="9"/>
        <color rgb="FF000000"/>
        <rFont val="Arial"/>
        <charset val="134"/>
      </rPr>
      <t>300</t>
    </r>
    <r>
      <rPr>
        <sz val="9"/>
        <color rgb="FF000000"/>
        <rFont val="楷体"/>
        <charset val="134"/>
      </rPr>
      <t>余款产品，覆盖了家居陶瓷的各个领域，包括家居装饰、日用陶瓷、茶具、餐具、商务礼品等。适用于酒店、会所、别墅等高端空间及家居装饰。</t>
    </r>
  </si>
  <si>
    <t>莫耶瓷业（上海）有限公司</t>
  </si>
  <si>
    <t>传统制造</t>
  </si>
  <si>
    <t>轻工制造</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</si>
  <si>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阿里巴巴</t>
    </r>
    <r>
      <rPr>
        <sz val="9"/>
        <color rgb="FF000000"/>
        <rFont val="Arial"/>
        <charset val="134"/>
      </rPr>
      <t>,GE Ventures</t>
    </r>
    <r>
      <rPr>
        <sz val="9"/>
        <color rgb="FF000000"/>
        <rFont val="楷体"/>
        <charset val="134"/>
      </rPr>
      <t>通用电气</t>
    </r>
  </si>
  <si>
    <r>
      <rPr>
        <sz val="9"/>
        <color rgb="FF000000"/>
        <rFont val="楷体"/>
        <charset val="134"/>
      </rPr>
      <t>牟文建</t>
    </r>
    <r>
      <rPr>
        <sz val="9"/>
        <color rgb="FF000000"/>
        <rFont val="Arial"/>
        <charset val="134"/>
      </rPr>
      <t>:</t>
    </r>
    <r>
      <rPr>
        <sz val="9"/>
        <color rgb="FF000000"/>
        <rFont val="楷体"/>
        <charset val="134"/>
      </rPr>
      <t>董事长</t>
    </r>
  </si>
  <si>
    <r>
      <rPr>
        <sz val="9"/>
        <color rgb="FF000000"/>
        <rFont val="楷体"/>
        <charset val="134"/>
      </rPr>
      <t>怒江北路</t>
    </r>
    <r>
      <rPr>
        <sz val="9"/>
        <color rgb="FF000000"/>
        <rFont val="Arial"/>
        <charset val="134"/>
      </rPr>
      <t>561</t>
    </r>
    <r>
      <rPr>
        <sz val="9"/>
        <color rgb="FF000000"/>
        <rFont val="楷体"/>
        <charset val="134"/>
      </rPr>
      <t>弄</t>
    </r>
    <r>
      <rPr>
        <sz val="9"/>
        <color rgb="FF000000"/>
        <rFont val="Arial"/>
        <charset val="134"/>
      </rPr>
      <t>10</t>
    </r>
    <r>
      <rPr>
        <sz val="9"/>
        <color rgb="FF000000"/>
        <rFont val="楷体"/>
        <charset val="134"/>
      </rPr>
      <t>号</t>
    </r>
    <r>
      <rPr>
        <sz val="9"/>
        <color rgb="FF000000"/>
        <rFont val="Arial"/>
        <charset val="134"/>
      </rPr>
      <t>1</t>
    </r>
    <r>
      <rPr>
        <sz val="9"/>
        <color rgb="FF000000"/>
        <rFont val="楷体"/>
        <charset val="134"/>
      </rPr>
      <t>楼西侧</t>
    </r>
    <r>
      <rPr>
        <sz val="9"/>
        <color rgb="FF000000"/>
        <rFont val="Arial"/>
        <charset val="134"/>
      </rPr>
      <t>101</t>
    </r>
    <r>
      <rPr>
        <sz val="9"/>
        <color rgb="FF000000"/>
        <rFont val="楷体"/>
        <charset val="134"/>
      </rPr>
      <t>室</t>
    </r>
  </si>
  <si>
    <t xml:space="preserve">021-5120-8986 </t>
  </si>
  <si>
    <t>jiayuanyuan@moiidea.com</t>
  </si>
  <si>
    <t>2023-03-23</t>
  </si>
  <si>
    <t>趣头条</t>
  </si>
  <si>
    <t>趣头条是一个以娱乐生活为主体内容的资讯聚合平台。平台内容包含生活、娱乐、社会、养生、时尚等内容资讯信息，并通过大数据人工智能算法和云计算等技术，分析用户的兴趣爱好，为用户智能推荐其感兴趣的内容。对于有写作爱好的用户，可以在线申请成为自媒体，书写文章供其他用户阅读。</t>
  </si>
  <si>
    <t>上海基分文化传播有限公司</t>
  </si>
  <si>
    <t>http://www.qutoutiao.net/</t>
  </si>
  <si>
    <r>
      <rPr>
        <sz val="9"/>
        <color rgb="FF000000"/>
        <rFont val="Arial"/>
        <charset val="134"/>
      </rPr>
      <t>48.22</t>
    </r>
    <r>
      <rPr>
        <sz val="9"/>
        <color rgb="FF000000"/>
        <rFont val="楷体"/>
        <charset val="134"/>
      </rPr>
      <t>亿</t>
    </r>
  </si>
  <si>
    <r>
      <rPr>
        <sz val="9"/>
        <color rgb="FF000000"/>
        <rFont val="楷体"/>
        <charset val="134"/>
      </rPr>
      <t>谭思亮</t>
    </r>
    <r>
      <rPr>
        <sz val="9"/>
        <color rgb="FF000000"/>
        <rFont val="Arial"/>
        <charset val="134"/>
      </rPr>
      <t>:</t>
    </r>
    <r>
      <rPr>
        <sz val="9"/>
        <color rgb="FF000000"/>
        <rFont val="楷体"/>
        <charset val="134"/>
      </rPr>
      <t>创始人兼董事长兼</t>
    </r>
    <r>
      <rPr>
        <sz val="9"/>
        <color rgb="FF000000"/>
        <rFont val="Arial"/>
        <charset val="134"/>
      </rPr>
      <t>CEO,</t>
    </r>
    <r>
      <rPr>
        <sz val="9"/>
        <color rgb="FF000000"/>
        <rFont val="楷体"/>
        <charset val="134"/>
      </rPr>
      <t>陈思晖</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李磊</t>
    </r>
    <r>
      <rPr>
        <sz val="9"/>
        <color rgb="FF000000"/>
        <rFont val="Arial"/>
        <charset val="134"/>
      </rPr>
      <t>:CEO</t>
    </r>
  </si>
  <si>
    <r>
      <rPr>
        <sz val="9"/>
        <color rgb="FF000000"/>
        <rFont val="楷体"/>
        <charset val="134"/>
      </rPr>
      <t>浦东新区申江路</t>
    </r>
    <r>
      <rPr>
        <sz val="9"/>
        <color rgb="FF000000"/>
        <rFont val="Arial"/>
        <charset val="134"/>
      </rPr>
      <t>5005</t>
    </r>
    <r>
      <rPr>
        <sz val="9"/>
        <color rgb="FF000000"/>
        <rFont val="楷体"/>
        <charset val="134"/>
      </rPr>
      <t>弄星创科技广场</t>
    </r>
    <r>
      <rPr>
        <sz val="9"/>
        <color rgb="FF000000"/>
        <rFont val="Arial"/>
        <charset val="134"/>
      </rPr>
      <t>C</t>
    </r>
    <r>
      <rPr>
        <sz val="9"/>
        <color rgb="FF000000"/>
        <rFont val="楷体"/>
        <charset val="134"/>
      </rPr>
      <t>栋</t>
    </r>
    <r>
      <rPr>
        <sz val="9"/>
        <color rgb="FF000000"/>
        <rFont val="Arial"/>
        <charset val="134"/>
      </rPr>
      <t>11</t>
    </r>
    <r>
      <rPr>
        <sz val="9"/>
        <color rgb="FF000000"/>
        <rFont val="楷体"/>
        <charset val="134"/>
      </rPr>
      <t>层</t>
    </r>
    <r>
      <rPr>
        <sz val="9"/>
        <color rgb="FF000000"/>
        <rFont val="Arial"/>
        <charset val="134"/>
      </rPr>
      <t>;</t>
    </r>
    <r>
      <rPr>
        <sz val="9"/>
        <color rgb="FF000000"/>
        <rFont val="楷体"/>
        <charset val="134"/>
      </rPr>
      <t>上海市浦东新区</t>
    </r>
    <r>
      <rPr>
        <sz val="9"/>
        <color rgb="FF000000"/>
        <rFont val="Arial"/>
        <charset val="134"/>
      </rPr>
      <t xml:space="preserve"> </t>
    </r>
    <r>
      <rPr>
        <sz val="9"/>
        <color rgb="FF000000"/>
        <rFont val="楷体"/>
        <charset val="134"/>
      </rPr>
      <t>申江路</t>
    </r>
    <r>
      <rPr>
        <sz val="9"/>
        <color rgb="FF000000"/>
        <rFont val="Arial"/>
        <charset val="134"/>
      </rPr>
      <t>5005</t>
    </r>
    <r>
      <rPr>
        <sz val="9"/>
        <color rgb="FF000000"/>
        <rFont val="楷体"/>
        <charset val="134"/>
      </rPr>
      <t>弄星创科技广场</t>
    </r>
    <r>
      <rPr>
        <sz val="9"/>
        <color rgb="FF000000"/>
        <rFont val="Arial"/>
        <charset val="134"/>
      </rPr>
      <t>C</t>
    </r>
    <r>
      <rPr>
        <sz val="9"/>
        <color rgb="FF000000"/>
        <rFont val="楷体"/>
        <charset val="134"/>
      </rPr>
      <t>栋</t>
    </r>
    <r>
      <rPr>
        <sz val="9"/>
        <color rgb="FF000000"/>
        <rFont val="Arial"/>
        <charset val="134"/>
      </rPr>
      <t>11</t>
    </r>
    <r>
      <rPr>
        <sz val="9"/>
        <color rgb="FF000000"/>
        <rFont val="楷体"/>
        <charset val="134"/>
      </rPr>
      <t>层</t>
    </r>
  </si>
  <si>
    <t>021-6110-6511</t>
  </si>
  <si>
    <t>bd@qutoutiao.net</t>
  </si>
  <si>
    <t>澎湃新闻</t>
  </si>
  <si>
    <r>
      <rPr>
        <sz val="9"/>
        <color rgb="FF000000"/>
        <rFont val="Arial"/>
        <charset val="134"/>
      </rPr>
      <t>1.71</t>
    </r>
    <r>
      <rPr>
        <sz val="9"/>
        <color rgb="FF000000"/>
        <rFont val="楷体"/>
        <charset val="134"/>
      </rPr>
      <t>亿美元</t>
    </r>
  </si>
  <si>
    <r>
      <rPr>
        <sz val="9"/>
        <color rgb="FF000000"/>
        <rFont val="Arial"/>
        <charset val="134"/>
      </rPr>
      <t>1.29</t>
    </r>
    <r>
      <rPr>
        <sz val="9"/>
        <color rgb="FF000000"/>
        <rFont val="楷体"/>
        <charset val="134"/>
      </rPr>
      <t>亿美元</t>
    </r>
  </si>
  <si>
    <t>人民网</t>
  </si>
  <si>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尚珹资本</t>
    </r>
    <r>
      <rPr>
        <sz val="9"/>
        <color rgb="FF000000"/>
        <rFont val="Arial"/>
        <charset val="134"/>
      </rPr>
      <t>,</t>
    </r>
    <r>
      <rPr>
        <sz val="9"/>
        <color rgb="FF000000"/>
        <rFont val="楷体"/>
        <charset val="134"/>
      </rPr>
      <t>新番资本</t>
    </r>
    <r>
      <rPr>
        <sz val="9"/>
        <color rgb="FF000000"/>
        <rFont val="Arial"/>
        <charset val="134"/>
      </rPr>
      <t>,</t>
    </r>
    <r>
      <rPr>
        <sz val="9"/>
        <color rgb="FF000000"/>
        <rFont val="楷体"/>
        <charset val="134"/>
      </rPr>
      <t>创伴投资</t>
    </r>
    <r>
      <rPr>
        <sz val="9"/>
        <color rgb="FF000000"/>
        <rFont val="Arial"/>
        <charset val="134"/>
      </rPr>
      <t>,</t>
    </r>
    <r>
      <rPr>
        <sz val="9"/>
        <color rgb="FF000000"/>
        <rFont val="楷体"/>
        <charset val="134"/>
      </rPr>
      <t>华新投资</t>
    </r>
  </si>
  <si>
    <r>
      <rPr>
        <sz val="9"/>
        <color rgb="FF000000"/>
        <rFont val="楷体"/>
        <charset val="134"/>
      </rPr>
      <t>成为资本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红点中国</t>
    </r>
  </si>
  <si>
    <t>天津益信资产</t>
  </si>
  <si>
    <t>2020-12-15</t>
  </si>
  <si>
    <t>神州优车集团</t>
  </si>
  <si>
    <t>神州优车集团是一家中国出行和汽车领域的综合服务平台。该公司聚焦出行和汽车领域的全产业链和人车生态圈，致力于构建中国的汽车电商平台。旗下有神州租车、神州专车、神州买买车、神州车闪贷四大板块。</t>
  </si>
  <si>
    <t>神州优车股份有限公司</t>
  </si>
  <si>
    <t>http://www.ucarinc.com</t>
  </si>
  <si>
    <t>汽车综合服务</t>
  </si>
  <si>
    <r>
      <rPr>
        <sz val="9"/>
        <color rgb="FF000000"/>
        <rFont val="Arial"/>
        <charset val="134"/>
      </rPr>
      <t>17.71</t>
    </r>
    <r>
      <rPr>
        <sz val="9"/>
        <color rgb="FF000000"/>
        <rFont val="楷体"/>
        <charset val="134"/>
      </rPr>
      <t>亿港元</t>
    </r>
  </si>
  <si>
    <t>神州租车</t>
  </si>
  <si>
    <r>
      <rPr>
        <sz val="9"/>
        <color rgb="FF000000"/>
        <rFont val="Arial"/>
        <charset val="134"/>
      </rPr>
      <t>149.26</t>
    </r>
    <r>
      <rPr>
        <sz val="9"/>
        <color rgb="FF000000"/>
        <rFont val="楷体"/>
        <charset val="134"/>
      </rPr>
      <t>亿</t>
    </r>
  </si>
  <si>
    <r>
      <rPr>
        <sz val="9"/>
        <color rgb="FF000000"/>
        <rFont val="Arial"/>
        <charset val="134"/>
      </rPr>
      <t>70.84</t>
    </r>
    <r>
      <rPr>
        <sz val="9"/>
        <color rgb="FF000000"/>
        <rFont val="楷体"/>
        <charset val="134"/>
      </rPr>
      <t>亿元</t>
    </r>
  </si>
  <si>
    <r>
      <rPr>
        <sz val="9"/>
        <color rgb="FF000000"/>
        <rFont val="楷体"/>
        <charset val="134"/>
      </rPr>
      <t>陆正耀</t>
    </r>
    <r>
      <rPr>
        <sz val="9"/>
        <color rgb="FF000000"/>
        <rFont val="Arial"/>
        <charset val="134"/>
      </rPr>
      <t>:</t>
    </r>
    <r>
      <rPr>
        <sz val="9"/>
        <color rgb="FF000000"/>
        <rFont val="楷体"/>
        <charset val="134"/>
      </rPr>
      <t>董事长兼</t>
    </r>
    <r>
      <rPr>
        <sz val="9"/>
        <color rgb="FF000000"/>
        <rFont val="Arial"/>
        <charset val="134"/>
      </rPr>
      <t>CEO</t>
    </r>
  </si>
  <si>
    <r>
      <rPr>
        <sz val="9"/>
        <color rgb="FF000000"/>
        <rFont val="楷体"/>
        <charset val="134"/>
      </rPr>
      <t>中关村东路</t>
    </r>
    <r>
      <rPr>
        <sz val="9"/>
        <color rgb="FF000000"/>
        <rFont val="Arial"/>
        <charset val="134"/>
      </rPr>
      <t>118</t>
    </r>
    <r>
      <rPr>
        <sz val="9"/>
        <color rgb="FF000000"/>
        <rFont val="楷体"/>
        <charset val="134"/>
      </rPr>
      <t>号神州优车总部基地</t>
    </r>
  </si>
  <si>
    <t>010-5972-9091</t>
  </si>
  <si>
    <t>ir@ucarinc.com</t>
  </si>
  <si>
    <t>人保资本</t>
  </si>
  <si>
    <r>
      <rPr>
        <sz val="9"/>
        <color rgb="FF000000"/>
        <rFont val="Arial"/>
        <charset val="134"/>
      </rPr>
      <t>21.29</t>
    </r>
    <r>
      <rPr>
        <sz val="9"/>
        <color rgb="FF000000"/>
        <rFont val="楷体"/>
        <charset val="134"/>
      </rPr>
      <t>亿人民币</t>
    </r>
  </si>
  <si>
    <r>
      <rPr>
        <sz val="9"/>
        <color rgb="FF000000"/>
        <rFont val="楷体"/>
        <charset val="134"/>
      </rPr>
      <t>尚颀资本</t>
    </r>
    <r>
      <rPr>
        <sz val="9"/>
        <color rgb="FF000000"/>
        <rFont val="Arial"/>
        <charset val="134"/>
      </rPr>
      <t>,</t>
    </r>
    <r>
      <rPr>
        <sz val="9"/>
        <color rgb="FF000000"/>
        <rFont val="楷体"/>
        <charset val="134"/>
      </rPr>
      <t>招商致远资本</t>
    </r>
    <r>
      <rPr>
        <sz val="9"/>
        <color rgb="FF000000"/>
        <rFont val="Arial"/>
        <charset val="134"/>
      </rPr>
      <t>,</t>
    </r>
    <r>
      <rPr>
        <sz val="9"/>
        <color rgb="FF000000"/>
        <rFont val="楷体"/>
        <charset val="134"/>
      </rPr>
      <t>浦发银行</t>
    </r>
    <r>
      <rPr>
        <sz val="9"/>
        <color rgb="FF000000"/>
        <rFont val="Arial"/>
        <charset val="134"/>
      </rPr>
      <t>,</t>
    </r>
    <r>
      <rPr>
        <sz val="9"/>
        <color rgb="FF000000"/>
        <rFont val="楷体"/>
        <charset val="134"/>
      </rPr>
      <t>浙银资本</t>
    </r>
  </si>
  <si>
    <r>
      <rPr>
        <sz val="9"/>
        <color rgb="FF000000"/>
        <rFont val="Arial"/>
        <charset val="134"/>
      </rPr>
      <t>36.8</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</si>
  <si>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云岭投资</t>
    </r>
  </si>
  <si>
    <r>
      <rPr>
        <sz val="9"/>
        <color rgb="FF000000"/>
        <rFont val="楷体"/>
        <charset val="134"/>
      </rPr>
      <t>兴业资管</t>
    </r>
    <r>
      <rPr>
        <sz val="9"/>
        <color rgb="FF000000"/>
        <rFont val="Arial"/>
        <charset val="134"/>
      </rPr>
      <t>-</t>
    </r>
    <r>
      <rPr>
        <sz val="9"/>
        <color rgb="FF000000"/>
        <rFont val="楷体"/>
        <charset val="134"/>
      </rPr>
      <t>兴业证券</t>
    </r>
    <r>
      <rPr>
        <sz val="9"/>
        <color rgb="FF000000"/>
        <rFont val="Arial"/>
        <charset val="134"/>
      </rPr>
      <t>,</t>
    </r>
    <r>
      <rPr>
        <sz val="9"/>
        <color rgb="FF000000"/>
        <rFont val="楷体"/>
        <charset val="134"/>
      </rPr>
      <t>新华资本</t>
    </r>
    <r>
      <rPr>
        <sz val="9"/>
        <color rgb="FF000000"/>
        <rFont val="Arial"/>
        <charset val="134"/>
      </rPr>
      <t>-</t>
    </r>
    <r>
      <rPr>
        <sz val="9"/>
        <color rgb="FF000000"/>
        <rFont val="楷体"/>
        <charset val="134"/>
      </rPr>
      <t>新华信托</t>
    </r>
    <r>
      <rPr>
        <sz val="9"/>
        <color rgb="FF000000"/>
        <rFont val="Arial"/>
        <charset val="134"/>
      </rPr>
      <t>,</t>
    </r>
    <r>
      <rPr>
        <sz val="9"/>
        <color rgb="FF000000"/>
        <rFont val="楷体"/>
        <charset val="134"/>
      </rPr>
      <t>中国诚通</t>
    </r>
  </si>
  <si>
    <r>
      <rPr>
        <sz val="9"/>
        <color rgb="FF000000"/>
        <rFont val="楷体"/>
        <charset val="134"/>
      </rPr>
      <t>君联资本</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神州租车</t>
    </r>
  </si>
  <si>
    <t>2020-08-13</t>
  </si>
  <si>
    <t>千方科技</t>
  </si>
  <si>
    <t>千方科技是一家智能交通数据服务商，专注于研发和提供行业技术和产品，业务覆盖城市交通、公路交通、轨道交通、民航等领域，致力于形成从产品到解决方案、从云端数据到出行者、从硬件基础设施到软件智慧中枢的完整产业链。</t>
  </si>
  <si>
    <t>北京千方信息科技集团有限公司</t>
  </si>
  <si>
    <t>http://www.ctfo.com/</t>
  </si>
  <si>
    <r>
      <rPr>
        <sz val="9"/>
        <color rgb="FF000000"/>
        <rFont val="Arial"/>
        <charset val="134"/>
      </rPr>
      <t>19</t>
    </r>
    <r>
      <rPr>
        <sz val="9"/>
        <color rgb="FF000000"/>
        <rFont val="楷体"/>
        <charset val="134"/>
      </rPr>
      <t>亿人民币</t>
    </r>
  </si>
  <si>
    <r>
      <rPr>
        <sz val="9"/>
        <color rgb="FF000000"/>
        <rFont val="楷体"/>
        <charset val="134"/>
      </rPr>
      <t>中信证券</t>
    </r>
    <r>
      <rPr>
        <sz val="9"/>
        <color rgb="FF000000"/>
        <rFont val="Arial"/>
        <charset val="134"/>
      </rPr>
      <t>,</t>
    </r>
    <r>
      <rPr>
        <sz val="9"/>
        <color rgb="FF000000"/>
        <rFont val="楷体"/>
        <charset val="134"/>
      </rPr>
      <t>盈科资本</t>
    </r>
    <r>
      <rPr>
        <sz val="9"/>
        <color rgb="FF000000"/>
        <rFont val="Arial"/>
        <charset val="134"/>
      </rPr>
      <t>,</t>
    </r>
    <r>
      <rPr>
        <sz val="9"/>
        <color rgb="FF000000"/>
        <rFont val="楷体"/>
        <charset val="134"/>
      </rPr>
      <t>招商致远资本</t>
    </r>
    <r>
      <rPr>
        <sz val="9"/>
        <color rgb="FF000000"/>
        <rFont val="Arial"/>
        <charset val="134"/>
      </rPr>
      <t>,</t>
    </r>
    <r>
      <rPr>
        <sz val="9"/>
        <color rgb="FF000000"/>
        <rFont val="楷体"/>
        <charset val="134"/>
      </rPr>
      <t>大正投资集团</t>
    </r>
    <r>
      <rPr>
        <sz val="9"/>
        <color rgb="FF000000"/>
        <rFont val="Arial"/>
        <charset val="134"/>
      </rPr>
      <t>,</t>
    </r>
    <r>
      <rPr>
        <sz val="9"/>
        <color rgb="FF000000"/>
        <rFont val="楷体"/>
        <charset val="134"/>
      </rPr>
      <t>建投华文</t>
    </r>
    <r>
      <rPr>
        <sz val="9"/>
        <color rgb="FF000000"/>
        <rFont val="Arial"/>
        <charset val="134"/>
      </rPr>
      <t>,</t>
    </r>
    <r>
      <rPr>
        <sz val="9"/>
        <color rgb="FF000000"/>
        <rFont val="楷体"/>
        <charset val="134"/>
      </rPr>
      <t>九泰基金</t>
    </r>
    <r>
      <rPr>
        <sz val="9"/>
        <color rgb="FF000000"/>
        <rFont val="Arial"/>
        <charset val="134"/>
      </rPr>
      <t>,</t>
    </r>
    <r>
      <rPr>
        <sz val="9"/>
        <color rgb="FF000000"/>
        <rFont val="楷体"/>
        <charset val="134"/>
      </rPr>
      <t>平安证券</t>
    </r>
    <r>
      <rPr>
        <sz val="9"/>
        <color rgb="FF000000"/>
        <rFont val="Arial"/>
        <charset val="134"/>
      </rPr>
      <t>,</t>
    </r>
    <r>
      <rPr>
        <sz val="9"/>
        <color rgb="FF000000"/>
        <rFont val="楷体"/>
        <charset val="134"/>
      </rPr>
      <t>红塔红土基金</t>
    </r>
    <r>
      <rPr>
        <sz val="9"/>
        <color rgb="FF000000"/>
        <rFont val="Arial"/>
        <charset val="134"/>
      </rPr>
      <t>,</t>
    </r>
    <r>
      <rPr>
        <sz val="9"/>
        <color rgb="FF000000"/>
        <rFont val="楷体"/>
        <charset val="134"/>
      </rPr>
      <t>中意资产</t>
    </r>
    <r>
      <rPr>
        <sz val="9"/>
        <color rgb="FF000000"/>
        <rFont val="Arial"/>
        <charset val="134"/>
      </rPr>
      <t>,</t>
    </r>
    <r>
      <rPr>
        <sz val="9"/>
        <color rgb="FF000000"/>
        <rFont val="楷体"/>
        <charset val="134"/>
      </rPr>
      <t>业如金控</t>
    </r>
  </si>
  <si>
    <r>
      <rPr>
        <sz val="9"/>
        <color rgb="FF000000"/>
        <rFont val="Arial"/>
        <charset val="134"/>
      </rPr>
      <t>55.95</t>
    </r>
    <r>
      <rPr>
        <sz val="9"/>
        <color rgb="FF000000"/>
        <rFont val="楷体"/>
        <charset val="134"/>
      </rPr>
      <t>亿</t>
    </r>
  </si>
  <si>
    <r>
      <rPr>
        <sz val="9"/>
        <color rgb="FF000000"/>
        <rFont val="Arial"/>
        <charset val="134"/>
      </rPr>
      <t>95</t>
    </r>
    <r>
      <rPr>
        <sz val="9"/>
        <color rgb="FF000000"/>
        <rFont val="楷体"/>
        <charset val="134"/>
      </rPr>
      <t>亿元</t>
    </r>
  </si>
  <si>
    <r>
      <rPr>
        <sz val="9"/>
        <color rgb="FF000000"/>
        <rFont val="楷体"/>
        <charset val="134"/>
      </rPr>
      <t>夏曙东</t>
    </r>
    <r>
      <rPr>
        <sz val="9"/>
        <color rgb="FF000000"/>
        <rFont val="Arial"/>
        <charset val="134"/>
      </rPr>
      <t>:</t>
    </r>
    <r>
      <rPr>
        <sz val="9"/>
        <color rgb="FF000000"/>
        <rFont val="楷体"/>
        <charset val="134"/>
      </rPr>
      <t>董事长</t>
    </r>
  </si>
  <si>
    <r>
      <rPr>
        <sz val="9"/>
        <color rgb="FF000000"/>
        <rFont val="楷体"/>
        <charset val="134"/>
      </rPr>
      <t>东北旺西路</t>
    </r>
    <r>
      <rPr>
        <sz val="9"/>
        <color rgb="FF000000"/>
        <rFont val="Arial"/>
        <charset val="134"/>
      </rPr>
      <t>8</t>
    </r>
    <r>
      <rPr>
        <sz val="9"/>
        <color rgb="FF000000"/>
        <rFont val="楷体"/>
        <charset val="134"/>
      </rPr>
      <t>号中关村软件园一期</t>
    </r>
    <r>
      <rPr>
        <sz val="9"/>
        <color rgb="FF000000"/>
        <rFont val="Arial"/>
        <charset val="134"/>
      </rPr>
      <t>27</t>
    </r>
    <r>
      <rPr>
        <sz val="9"/>
        <color rgb="FF000000"/>
        <rFont val="楷体"/>
        <charset val="134"/>
      </rPr>
      <t>号楼</t>
    </r>
    <r>
      <rPr>
        <sz val="9"/>
        <color rgb="FF000000"/>
        <rFont val="Arial"/>
        <charset val="134"/>
      </rPr>
      <t>B</t>
    </r>
    <r>
      <rPr>
        <sz val="9"/>
        <color rgb="FF000000"/>
        <rFont val="楷体"/>
        <charset val="134"/>
      </rPr>
      <t>座</t>
    </r>
    <r>
      <rPr>
        <sz val="9"/>
        <color rgb="FF000000"/>
        <rFont val="Arial"/>
        <charset val="134"/>
      </rPr>
      <t>503</t>
    </r>
    <r>
      <rPr>
        <sz val="9"/>
        <color rgb="FF000000"/>
        <rFont val="楷体"/>
        <charset val="134"/>
      </rPr>
      <t>号</t>
    </r>
  </si>
  <si>
    <t>010-6195-9999</t>
  </si>
  <si>
    <t>zhud@ctfo.com</t>
  </si>
  <si>
    <r>
      <rPr>
        <sz val="9"/>
        <color rgb="FF000000"/>
        <rFont val="Arial"/>
        <charset val="134"/>
      </rPr>
      <t>35.95</t>
    </r>
    <r>
      <rPr>
        <sz val="9"/>
        <color rgb="FF000000"/>
        <rFont val="楷体"/>
        <charset val="134"/>
      </rPr>
      <t>亿人民币</t>
    </r>
  </si>
  <si>
    <t>2020-03-31</t>
  </si>
  <si>
    <t>时代凌宇</t>
  </si>
  <si>
    <r>
      <rPr>
        <sz val="9"/>
        <color rgb="FF000000"/>
        <rFont val="楷体"/>
        <charset val="134"/>
      </rPr>
      <t>时代凌宇是一家以</t>
    </r>
    <r>
      <rPr>
        <sz val="9"/>
        <color rgb="FF000000"/>
        <rFont val="Arial"/>
        <charset val="134"/>
      </rPr>
      <t>IBA</t>
    </r>
    <r>
      <rPr>
        <sz val="9"/>
        <color rgb="FF000000"/>
        <rFont val="楷体"/>
        <charset val="134"/>
      </rPr>
      <t>（物联网、大数据、人工智能）融合为核心技术的智慧城市解决方案提供商，国家高新技术企业，成立于</t>
    </r>
    <r>
      <rPr>
        <sz val="9"/>
        <color rgb="FF000000"/>
        <rFont val="Arial"/>
        <charset val="134"/>
      </rPr>
      <t>2007</t>
    </r>
    <r>
      <rPr>
        <sz val="9"/>
        <color rgb="FF000000"/>
        <rFont val="楷体"/>
        <charset val="134"/>
      </rPr>
      <t>年。公司立足于新型智慧城市专业领域，融合物联网、云计算、大数据、移动互联、</t>
    </r>
    <r>
      <rPr>
        <sz val="9"/>
        <color rgb="FF000000"/>
        <rFont val="Arial"/>
        <charset val="134"/>
      </rPr>
      <t>GIS</t>
    </r>
    <r>
      <rPr>
        <sz val="9"/>
        <color rgb="FF000000"/>
        <rFont val="楷体"/>
        <charset val="134"/>
      </rPr>
      <t>、</t>
    </r>
    <r>
      <rPr>
        <sz val="9"/>
        <color rgb="FF000000"/>
        <rFont val="Arial"/>
        <charset val="134"/>
      </rPr>
      <t>AI</t>
    </r>
    <r>
      <rPr>
        <sz val="9"/>
        <color rgb="FF000000"/>
        <rFont val="楷体"/>
        <charset val="134"/>
      </rPr>
      <t>等新一代信息技术，在城市综合管理、城市安全与应急、智慧园区与智能建筑等细分领域形成了一系列成熟的解决方案，为客户提供从信息系统咨询设计、软硬件开发与部署、系统集成与实施、运行维护与升级的全流程服务。</t>
    </r>
  </si>
  <si>
    <t>北京时代凌宇科技股份有限公司</t>
  </si>
  <si>
    <t>http://www.timeloit.com</t>
  </si>
  <si>
    <r>
      <rPr>
        <sz val="9"/>
        <color rgb="FF000000"/>
        <rFont val="Arial"/>
        <charset val="134"/>
      </rPr>
      <t>4</t>
    </r>
    <r>
      <rPr>
        <sz val="9"/>
        <color rgb="FF000000"/>
        <rFont val="楷体"/>
        <charset val="134"/>
      </rPr>
      <t>亿</t>
    </r>
  </si>
  <si>
    <r>
      <rPr>
        <sz val="9"/>
        <color rgb="FF000000"/>
        <rFont val="楷体"/>
        <charset val="134"/>
      </rPr>
      <t>黄孝斌</t>
    </r>
    <r>
      <rPr>
        <sz val="9"/>
        <color rgb="FF000000"/>
        <rFont val="Arial"/>
        <charset val="134"/>
      </rPr>
      <t>:</t>
    </r>
    <r>
      <rPr>
        <sz val="9"/>
        <color rgb="FF000000"/>
        <rFont val="楷体"/>
        <charset val="134"/>
      </rPr>
      <t>董事长</t>
    </r>
  </si>
  <si>
    <r>
      <rPr>
        <sz val="9"/>
        <color rgb="FF000000"/>
        <rFont val="楷体"/>
        <charset val="134"/>
      </rPr>
      <t>北京市朝阳区容创路</t>
    </r>
    <r>
      <rPr>
        <sz val="9"/>
        <color rgb="FF000000"/>
        <rFont val="Arial"/>
        <charset val="134"/>
      </rPr>
      <t>17</t>
    </r>
    <r>
      <rPr>
        <sz val="9"/>
        <color rgb="FF000000"/>
        <rFont val="楷体"/>
        <charset val="134"/>
      </rPr>
      <t>号时代凌宇大厦</t>
    </r>
  </si>
  <si>
    <t>010-8293-3988</t>
  </si>
  <si>
    <t>loithr@timeloit.com</t>
  </si>
  <si>
    <r>
      <rPr>
        <sz val="9"/>
        <color rgb="FF000000"/>
        <rFont val="楷体"/>
        <charset val="134"/>
      </rPr>
      <t>国开金融</t>
    </r>
    <r>
      <rPr>
        <sz val="9"/>
        <color rgb="FF000000"/>
        <rFont val="Arial"/>
        <charset val="134"/>
      </rPr>
      <t>,</t>
    </r>
    <r>
      <rPr>
        <sz val="9"/>
        <color rgb="FF000000"/>
        <rFont val="楷体"/>
        <charset val="134"/>
      </rPr>
      <t>建投华科</t>
    </r>
    <r>
      <rPr>
        <sz val="9"/>
        <color rgb="FF000000"/>
        <rFont val="Arial"/>
        <charset val="134"/>
      </rPr>
      <t>,</t>
    </r>
    <r>
      <rPr>
        <sz val="9"/>
        <color rgb="FF000000"/>
        <rFont val="楷体"/>
        <charset val="134"/>
      </rPr>
      <t>北京中关村创投</t>
    </r>
  </si>
  <si>
    <t>2021-01-07</t>
  </si>
  <si>
    <t>魔点科技</t>
  </si>
  <si>
    <r>
      <rPr>
        <sz val="9"/>
        <color rgb="FF000000"/>
        <rFont val="楷体"/>
        <charset val="134"/>
      </rPr>
      <t>魔点科技是一家将先进的人工智能技术与行业应用相结合的科技型企业，深耕智能办公、智慧校园和智慧社区等领域。凭借领先的产品化能力和高效的数据服务水平，魔点坚持用互联网、</t>
    </r>
    <r>
      <rPr>
        <sz val="9"/>
        <color rgb="FF000000"/>
        <rFont val="Arial"/>
        <charset val="134"/>
      </rPr>
      <t>AI</t>
    </r>
    <r>
      <rPr>
        <sz val="9"/>
        <color rgb="FF000000"/>
        <rFont val="楷体"/>
        <charset val="134"/>
      </rPr>
      <t>思维打造智能硬件，着重打造</t>
    </r>
    <r>
      <rPr>
        <sz val="9"/>
        <color rgb="FF000000"/>
        <rFont val="Arial"/>
        <charset val="134"/>
      </rPr>
      <t>“</t>
    </r>
    <r>
      <rPr>
        <sz val="9"/>
        <color rgb="FF000000"/>
        <rFont val="楷体"/>
        <charset val="134"/>
      </rPr>
      <t>智连</t>
    </r>
    <r>
      <rPr>
        <sz val="9"/>
        <color rgb="FF000000"/>
        <rFont val="Arial"/>
        <charset val="134"/>
      </rPr>
      <t>”</t>
    </r>
    <r>
      <rPr>
        <sz val="9"/>
        <color rgb="FF000000"/>
        <rFont val="楷体"/>
        <charset val="134"/>
      </rPr>
      <t>能力，实现</t>
    </r>
    <r>
      <rPr>
        <sz val="9"/>
        <color rgb="FF000000"/>
        <rFont val="Arial"/>
        <charset val="134"/>
      </rPr>
      <t>“</t>
    </r>
    <r>
      <rPr>
        <sz val="9"/>
        <color rgb="FF000000"/>
        <rFont val="楷体"/>
        <charset val="134"/>
      </rPr>
      <t>人、物、组织</t>
    </r>
    <r>
      <rPr>
        <sz val="9"/>
        <color rgb="FF000000"/>
        <rFont val="Arial"/>
        <charset val="134"/>
      </rPr>
      <t>”</t>
    </r>
    <r>
      <rPr>
        <sz val="9"/>
        <color rgb="FF000000"/>
        <rFont val="楷体"/>
        <charset val="134"/>
      </rPr>
      <t>以及生态的智能连接，助推人工智能技术场景化落地，让科技服务于人，让数据创造价值。同时，依托</t>
    </r>
    <r>
      <rPr>
        <sz val="9"/>
        <color rgb="FF000000"/>
        <rFont val="Arial"/>
        <charset val="134"/>
      </rPr>
      <t xml:space="preserve"> “</t>
    </r>
    <r>
      <rPr>
        <sz val="9"/>
        <color rgb="FF000000"/>
        <rFont val="楷体"/>
        <charset val="134"/>
      </rPr>
      <t>云</t>
    </r>
    <r>
      <rPr>
        <sz val="9"/>
        <color rgb="FF000000"/>
        <rFont val="Arial"/>
        <charset val="134"/>
      </rPr>
      <t>+</t>
    </r>
    <r>
      <rPr>
        <sz val="9"/>
        <color rgb="FF000000"/>
        <rFont val="楷体"/>
        <charset val="134"/>
      </rPr>
      <t>端</t>
    </r>
    <r>
      <rPr>
        <sz val="9"/>
        <color rgb="FF000000"/>
        <rFont val="Arial"/>
        <charset val="134"/>
      </rPr>
      <t>”</t>
    </r>
    <r>
      <rPr>
        <sz val="9"/>
        <color rgb="FF000000"/>
        <rFont val="楷体"/>
        <charset val="134"/>
      </rPr>
      <t>开放</t>
    </r>
    <r>
      <rPr>
        <sz val="9"/>
        <color rgb="FF000000"/>
        <rFont val="Arial"/>
        <charset val="134"/>
      </rPr>
      <t>OpenAPI</t>
    </r>
    <r>
      <rPr>
        <sz val="9"/>
        <color rgb="FF000000"/>
        <rFont val="楷体"/>
        <charset val="134"/>
      </rPr>
      <t>的核心模式，魔点赋能各行业实现数字化升级。截至目前，已累计有超过</t>
    </r>
    <r>
      <rPr>
        <sz val="9"/>
        <color rgb="FF000000"/>
        <rFont val="Arial"/>
        <charset val="134"/>
      </rPr>
      <t>20</t>
    </r>
    <r>
      <rPr>
        <sz val="9"/>
        <color rgb="FF000000"/>
        <rFont val="楷体"/>
        <charset val="134"/>
      </rPr>
      <t>万家企业客户选择了魔点的产品及服务。</t>
    </r>
  </si>
  <si>
    <t>杭州魔点科技有限公司</t>
  </si>
  <si>
    <t>http://www.moredian.com/</t>
  </si>
  <si>
    <r>
      <rPr>
        <sz val="9"/>
        <color rgb="FF000000"/>
        <rFont val="Arial"/>
        <charset val="134"/>
      </rPr>
      <t>3.4</t>
    </r>
    <r>
      <rPr>
        <sz val="9"/>
        <color rgb="FF000000"/>
        <rFont val="楷体"/>
        <charset val="134"/>
      </rPr>
      <t>亿</t>
    </r>
  </si>
  <si>
    <r>
      <rPr>
        <sz val="9"/>
        <color rgb="FF000000"/>
        <rFont val="楷体"/>
        <charset val="134"/>
      </rPr>
      <t>肖传宝</t>
    </r>
    <r>
      <rPr>
        <sz val="9"/>
        <color rgb="FF000000"/>
        <rFont val="Arial"/>
        <charset val="134"/>
      </rPr>
      <t xml:space="preserve"> :CEO</t>
    </r>
  </si>
  <si>
    <r>
      <rPr>
        <sz val="9"/>
        <color rgb="FF000000"/>
        <rFont val="楷体"/>
        <charset val="134"/>
      </rPr>
      <t>杭州市余杭区高教路</t>
    </r>
    <r>
      <rPr>
        <sz val="9"/>
        <color rgb="FF000000"/>
        <rFont val="Arial"/>
        <charset val="134"/>
      </rPr>
      <t>959</t>
    </r>
    <r>
      <rPr>
        <sz val="9"/>
        <color rgb="FF000000"/>
        <rFont val="楷体"/>
        <charset val="134"/>
      </rPr>
      <t>号未来</t>
    </r>
    <r>
      <rPr>
        <sz val="9"/>
        <color rgb="FF000000"/>
        <rFont val="Arial"/>
        <charset val="134"/>
      </rPr>
      <t>Park</t>
    </r>
    <r>
      <rPr>
        <sz val="9"/>
        <color rgb="FF000000"/>
        <rFont val="楷体"/>
        <charset val="134"/>
      </rPr>
      <t>园区</t>
    </r>
    <r>
      <rPr>
        <sz val="9"/>
        <color rgb="FF000000"/>
        <rFont val="Arial"/>
        <charset val="134"/>
      </rPr>
      <t>3</t>
    </r>
    <r>
      <rPr>
        <sz val="9"/>
        <color rgb="FF000000"/>
        <rFont val="楷体"/>
        <charset val="134"/>
      </rPr>
      <t>号楼</t>
    </r>
    <r>
      <rPr>
        <sz val="9"/>
        <color rgb="FF000000"/>
        <rFont val="Arial"/>
        <charset val="134"/>
      </rPr>
      <t>7A</t>
    </r>
  </si>
  <si>
    <t>400-033-7675</t>
  </si>
  <si>
    <t>marketing@moredian.com</t>
  </si>
  <si>
    <r>
      <rPr>
        <sz val="9"/>
        <color rgb="FF000000"/>
        <rFont val="楷体"/>
        <charset val="134"/>
      </rPr>
      <t>同创伟业</t>
    </r>
    <r>
      <rPr>
        <sz val="9"/>
        <color rgb="FF000000"/>
        <rFont val="Arial"/>
        <charset val="134"/>
      </rPr>
      <t>,</t>
    </r>
    <r>
      <rPr>
        <sz val="9"/>
        <color rgb="FF000000"/>
        <rFont val="楷体"/>
        <charset val="134"/>
      </rPr>
      <t>浙大联创投资</t>
    </r>
    <r>
      <rPr>
        <sz val="9"/>
        <color rgb="FF000000"/>
        <rFont val="Arial"/>
        <charset val="134"/>
      </rPr>
      <t>,</t>
    </r>
    <r>
      <rPr>
        <sz val="9"/>
        <color rgb="FF000000"/>
        <rFont val="楷体"/>
        <charset val="134"/>
      </rPr>
      <t>陆石投资</t>
    </r>
  </si>
  <si>
    <r>
      <rPr>
        <sz val="9"/>
        <color rgb="FF000000"/>
        <rFont val="Arial"/>
        <charset val="134"/>
      </rPr>
      <t>Pre-B</t>
    </r>
    <r>
      <rPr>
        <sz val="9"/>
        <color rgb="FF000000"/>
        <rFont val="楷体"/>
        <charset val="134"/>
      </rPr>
      <t>轮</t>
    </r>
  </si>
  <si>
    <r>
      <rPr>
        <sz val="9"/>
        <color rgb="FF000000"/>
        <rFont val="楷体"/>
        <charset val="134"/>
      </rPr>
      <t>浙大联创投资</t>
    </r>
    <r>
      <rPr>
        <sz val="9"/>
        <color rgb="FF000000"/>
        <rFont val="Arial"/>
        <charset val="134"/>
      </rPr>
      <t>,</t>
    </r>
    <r>
      <rPr>
        <sz val="9"/>
        <color rgb="FF000000"/>
        <rFont val="楷体"/>
        <charset val="134"/>
      </rPr>
      <t>陆石投资</t>
    </r>
  </si>
  <si>
    <r>
      <rPr>
        <sz val="9"/>
        <color rgb="FF000000"/>
        <rFont val="楷体"/>
        <charset val="134"/>
      </rPr>
      <t>鼎聚投资</t>
    </r>
    <r>
      <rPr>
        <sz val="9"/>
        <color rgb="FF000000"/>
        <rFont val="Arial"/>
        <charset val="134"/>
      </rPr>
      <t>,</t>
    </r>
    <r>
      <rPr>
        <sz val="9"/>
        <color rgb="FF000000"/>
        <rFont val="楷体"/>
        <charset val="134"/>
      </rPr>
      <t>浙大联创投资</t>
    </r>
    <r>
      <rPr>
        <sz val="9"/>
        <color rgb="FF000000"/>
        <rFont val="Arial"/>
        <charset val="134"/>
      </rPr>
      <t>,</t>
    </r>
    <r>
      <rPr>
        <sz val="9"/>
        <color rgb="FF000000"/>
        <rFont val="楷体"/>
        <charset val="134"/>
      </rPr>
      <t>银盈资本</t>
    </r>
    <r>
      <rPr>
        <sz val="9"/>
        <color rgb="FF000000"/>
        <rFont val="Arial"/>
        <charset val="134"/>
      </rPr>
      <t>,</t>
    </r>
    <r>
      <rPr>
        <sz val="9"/>
        <color rgb="FF000000"/>
        <rFont val="楷体"/>
        <charset val="134"/>
      </rPr>
      <t>依图科技</t>
    </r>
  </si>
  <si>
    <r>
      <rPr>
        <sz val="9"/>
        <color rgb="FF000000"/>
        <rFont val="楷体"/>
        <charset val="134"/>
      </rPr>
      <t>阿里巴巴</t>
    </r>
    <r>
      <rPr>
        <sz val="9"/>
        <color rgb="FF000000"/>
        <rFont val="Arial"/>
        <charset val="134"/>
      </rPr>
      <t>,</t>
    </r>
    <r>
      <rPr>
        <sz val="9"/>
        <color rgb="FF000000"/>
        <rFont val="楷体"/>
        <charset val="134"/>
      </rPr>
      <t>浙大联创投资</t>
    </r>
  </si>
  <si>
    <t>2016-09-26</t>
  </si>
  <si>
    <t>政采云网络</t>
  </si>
  <si>
    <t>政采云是政府采购云计算服务平台的简称，以互联网为基础，充分运用云计算和大数据技术，以政府采购电子化交易和管理为重点，涉及政府采购全流程、各领域、多用户，集政府采购网上交易、网上监管和网上服务为一体的综合性云服务平台。</t>
  </si>
  <si>
    <t>政采云有限公司</t>
  </si>
  <si>
    <t>https://www.zcy.gov.cn/</t>
  </si>
  <si>
    <r>
      <rPr>
        <sz val="9"/>
        <color rgb="FF000000"/>
        <rFont val="楷体"/>
        <charset val="134"/>
      </rPr>
      <t>钱国兴</t>
    </r>
    <r>
      <rPr>
        <sz val="9"/>
        <color rgb="FF000000"/>
        <rFont val="Arial"/>
        <charset val="134"/>
      </rPr>
      <t xml:space="preserve"> :</t>
    </r>
    <r>
      <rPr>
        <sz val="9"/>
        <color rgb="FF000000"/>
        <rFont val="楷体"/>
        <charset val="134"/>
      </rPr>
      <t>创始人</t>
    </r>
  </si>
  <si>
    <r>
      <rPr>
        <sz val="9"/>
        <color rgb="FF000000"/>
        <rFont val="楷体"/>
        <charset val="134"/>
      </rPr>
      <t>西湖区转塘科技经济区块</t>
    </r>
    <r>
      <rPr>
        <sz val="9"/>
        <color rgb="FF000000"/>
        <rFont val="Arial"/>
        <charset val="134"/>
      </rPr>
      <t>9</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2</t>
    </r>
    <r>
      <rPr>
        <sz val="9"/>
        <color rgb="FF000000"/>
        <rFont val="楷体"/>
        <charset val="134"/>
      </rPr>
      <t>区</t>
    </r>
    <r>
      <rPr>
        <sz val="9"/>
        <color rgb="FF000000"/>
        <rFont val="Arial"/>
        <charset val="134"/>
      </rPr>
      <t>5</t>
    </r>
    <r>
      <rPr>
        <sz val="9"/>
        <color rgb="FF000000"/>
        <rFont val="楷体"/>
        <charset val="134"/>
      </rPr>
      <t>楼</t>
    </r>
  </si>
  <si>
    <t>400-881-7190</t>
  </si>
  <si>
    <t>public@cai-inc.com</t>
  </si>
  <si>
    <t>单立人喜剧</t>
  </si>
  <si>
    <r>
      <rPr>
        <sz val="9"/>
        <color rgb="FF000000"/>
        <rFont val="楷体"/>
        <charset val="134"/>
      </rPr>
      <t>单立人喜剧</t>
    </r>
  </si>
  <si>
    <r>
      <rPr>
        <sz val="9"/>
        <color rgb="FF000000"/>
        <rFont val="楷体"/>
        <charset val="134"/>
      </rPr>
      <t>单立人喜剧是成立于北京的一家从事喜剧内容生产与推广的公司，打造以喜剧为核心的现场演出、线下活动、音频节目等产品，并长期为影视综项目提供喜剧内容策划与编创服务，致力于成为中国喜剧一流品牌。</t>
    </r>
  </si>
  <si>
    <t>北京单立人文化传媒有限公司</t>
  </si>
  <si>
    <t>http://www.danlirencomedy.cn/sy</t>
  </si>
  <si>
    <t>2017-01</t>
  </si>
  <si>
    <r>
      <rPr>
        <sz val="9"/>
        <color rgb="FF000000"/>
        <rFont val="楷体"/>
        <charset val="134"/>
      </rPr>
      <t>北京</t>
    </r>
    <r>
      <rPr>
        <sz val="9"/>
        <color rgb="FF000000"/>
        <rFont val="Arial"/>
        <charset val="134"/>
      </rPr>
      <t>-</t>
    </r>
    <r>
      <rPr>
        <sz val="9"/>
        <color rgb="FF000000"/>
        <rFont val="楷体"/>
        <charset val="134"/>
      </rPr>
      <t>密云区</t>
    </r>
  </si>
  <si>
    <r>
      <rPr>
        <sz val="9"/>
        <color rgb="FF000000"/>
        <rFont val="楷体"/>
        <charset val="134"/>
      </rPr>
      <t>文娱传媒</t>
    </r>
  </si>
  <si>
    <r>
      <rPr>
        <sz val="9"/>
        <color rgb="FF000000"/>
        <rFont val="楷体"/>
        <charset val="134"/>
      </rPr>
      <t>演艺</t>
    </r>
  </si>
  <si>
    <r>
      <t>1.12</t>
    </r>
    <r>
      <rPr>
        <sz val="9"/>
        <color rgb="FF000000"/>
        <rFont val="楷体"/>
        <charset val="134"/>
      </rPr>
      <t>亿</t>
    </r>
  </si>
  <si>
    <r>
      <rPr>
        <sz val="9"/>
        <color rgb="FF000000"/>
        <rFont val="楷体"/>
        <charset val="134"/>
      </rPr>
      <t>石介甫</t>
    </r>
    <r>
      <rPr>
        <sz val="9"/>
        <color rgb="FF000000"/>
        <rFont val="Arial"/>
        <charset val="134"/>
      </rPr>
      <t>:</t>
    </r>
    <r>
      <rPr>
        <sz val="9"/>
        <color rgb="FF000000"/>
        <rFont val="楷体"/>
        <charset val="134"/>
      </rPr>
      <t>创始人</t>
    </r>
  </si>
  <si>
    <r>
      <rPr>
        <sz val="9"/>
        <color rgb="FF000000"/>
        <rFont val="楷体"/>
        <charset val="134"/>
      </rPr>
      <t>北京市密云区鼓楼东大街</t>
    </r>
    <r>
      <rPr>
        <sz val="9"/>
        <color rgb="FF000000"/>
        <rFont val="Arial"/>
        <charset val="134"/>
      </rPr>
      <t>3</t>
    </r>
    <r>
      <rPr>
        <sz val="9"/>
        <color rgb="FF000000"/>
        <rFont val="楷体"/>
        <charset val="134"/>
      </rPr>
      <t>号山水大厦</t>
    </r>
    <r>
      <rPr>
        <sz val="9"/>
        <color rgb="FF000000"/>
        <rFont val="Arial"/>
        <charset val="134"/>
      </rPr>
      <t>3</t>
    </r>
    <r>
      <rPr>
        <sz val="9"/>
        <color rgb="FF000000"/>
        <rFont val="楷体"/>
        <charset val="134"/>
      </rPr>
      <t>层</t>
    </r>
    <r>
      <rPr>
        <sz val="9"/>
        <color rgb="FF000000"/>
        <rFont val="Arial"/>
        <charset val="134"/>
      </rPr>
      <t>313</t>
    </r>
    <r>
      <rPr>
        <sz val="9"/>
        <color rgb="FF000000"/>
        <rFont val="楷体"/>
        <charset val="134"/>
      </rPr>
      <t>室</t>
    </r>
    <r>
      <rPr>
        <sz val="9"/>
        <color rgb="FF000000"/>
        <rFont val="Arial"/>
        <charset val="134"/>
      </rPr>
      <t>-1690(</t>
    </r>
    <r>
      <rPr>
        <sz val="9"/>
        <color rgb="FF000000"/>
        <rFont val="楷体"/>
        <charset val="134"/>
      </rPr>
      <t>云创谷经济开发中心集中办公区</t>
    </r>
    <r>
      <rPr>
        <sz val="9"/>
        <color rgb="FF000000"/>
        <rFont val="Arial"/>
        <charset val="134"/>
      </rPr>
      <t>)</t>
    </r>
  </si>
  <si>
    <t>原子创投</t>
  </si>
  <si>
    <t>2020-11-02</t>
  </si>
  <si>
    <t>中金公司是一家中外合资投资银行，致力于为客户提供高质量金融增值服务，建立了以研究为基础，投资银行、股票业务、固定收益、财富管理和投资管理全方位发展的业务结构。</t>
  </si>
  <si>
    <t>中国国际金融股份有限公司</t>
  </si>
  <si>
    <t>http://www.cicc.com/index_cn.xhtml</t>
  </si>
  <si>
    <t>1995-07</t>
  </si>
  <si>
    <t>金融综合服务</t>
  </si>
  <si>
    <r>
      <rPr>
        <sz val="9"/>
        <color rgb="FF000000"/>
        <rFont val="Arial"/>
        <charset val="134"/>
      </rPr>
      <t>132</t>
    </r>
    <r>
      <rPr>
        <sz val="9"/>
        <color rgb="FF000000"/>
        <rFont val="楷体"/>
        <charset val="134"/>
      </rPr>
      <t>亿人民币</t>
    </r>
  </si>
  <si>
    <r>
      <rPr>
        <sz val="9"/>
        <color rgb="FF000000"/>
        <rFont val="Arial"/>
        <charset val="134"/>
      </rPr>
      <t>201.4</t>
    </r>
    <r>
      <rPr>
        <sz val="9"/>
        <color rgb="FF000000"/>
        <rFont val="楷体"/>
        <charset val="134"/>
      </rPr>
      <t>亿</t>
    </r>
  </si>
  <si>
    <r>
      <rPr>
        <sz val="9"/>
        <color rgb="FF000000"/>
        <rFont val="Arial"/>
        <charset val="134"/>
      </rPr>
      <t>1388.1</t>
    </r>
    <r>
      <rPr>
        <sz val="9"/>
        <color rgb="FF000000"/>
        <rFont val="楷体"/>
        <charset val="134"/>
      </rPr>
      <t>亿元</t>
    </r>
  </si>
  <si>
    <r>
      <rPr>
        <sz val="9"/>
        <color rgb="FF000000"/>
        <rFont val="楷体"/>
        <charset val="134"/>
      </rPr>
      <t>建国门外大街</t>
    </r>
    <r>
      <rPr>
        <sz val="9"/>
        <color rgb="FF000000"/>
        <rFont val="Arial"/>
        <charset val="134"/>
      </rPr>
      <t>1</t>
    </r>
    <r>
      <rPr>
        <sz val="9"/>
        <color rgb="FF000000"/>
        <rFont val="楷体"/>
        <charset val="134"/>
      </rPr>
      <t>号国贸大厦</t>
    </r>
    <r>
      <rPr>
        <sz val="9"/>
        <color rgb="FF000000"/>
        <rFont val="Arial"/>
        <charset val="134"/>
      </rPr>
      <t>2</t>
    </r>
    <r>
      <rPr>
        <sz val="9"/>
        <color rgb="FF000000"/>
        <rFont val="楷体"/>
        <charset val="134"/>
      </rPr>
      <t>座</t>
    </r>
    <r>
      <rPr>
        <sz val="9"/>
        <color rgb="FF000000"/>
        <rFont val="Arial"/>
        <charset val="134"/>
      </rPr>
      <t>27</t>
    </r>
    <r>
      <rPr>
        <sz val="9"/>
        <color rgb="FF000000"/>
        <rFont val="楷体"/>
        <charset val="134"/>
      </rPr>
      <t>层及</t>
    </r>
    <r>
      <rPr>
        <sz val="9"/>
        <color rgb="FF000000"/>
        <rFont val="Arial"/>
        <charset val="134"/>
      </rPr>
      <t>28</t>
    </r>
    <r>
      <rPr>
        <sz val="9"/>
        <color rgb="FF000000"/>
        <rFont val="楷体"/>
        <charset val="134"/>
      </rPr>
      <t>层</t>
    </r>
  </si>
  <si>
    <t>010-6505-1166</t>
  </si>
  <si>
    <t>yingqun.shi@cicc.com.cn</t>
  </si>
  <si>
    <r>
      <rPr>
        <sz val="9"/>
        <color rgb="FF000000"/>
        <rFont val="Arial"/>
        <charset val="134"/>
      </rPr>
      <t>28.6</t>
    </r>
    <r>
      <rPr>
        <sz val="9"/>
        <color rgb="FF000000"/>
        <rFont val="楷体"/>
        <charset val="134"/>
      </rPr>
      <t>亿港元</t>
    </r>
  </si>
  <si>
    <r>
      <rPr>
        <sz val="9"/>
        <color rgb="FF000000"/>
        <rFont val="Arial"/>
        <charset val="134"/>
      </rPr>
      <t>54.9</t>
    </r>
    <r>
      <rPr>
        <sz val="9"/>
        <color rgb="FF000000"/>
        <rFont val="楷体"/>
        <charset val="134"/>
      </rPr>
      <t>亿港元</t>
    </r>
  </si>
  <si>
    <r>
      <rPr>
        <sz val="9"/>
        <color rgb="FF000000"/>
        <rFont val="Arial"/>
        <charset val="134"/>
      </rPr>
      <t>Morgan Stanley</t>
    </r>
    <r>
      <rPr>
        <sz val="9"/>
        <color rgb="FF000000"/>
        <rFont val="楷体"/>
        <charset val="134"/>
      </rPr>
      <t>摩根士丹利</t>
    </r>
    <r>
      <rPr>
        <sz val="9"/>
        <color rgb="FF000000"/>
        <rFont val="Arial"/>
        <charset val="134"/>
      </rPr>
      <t>,GIC</t>
    </r>
    <r>
      <rPr>
        <sz val="9"/>
        <color rgb="FF000000"/>
        <rFont val="楷体"/>
        <charset val="134"/>
      </rPr>
      <t>新加坡政府投资公司</t>
    </r>
    <r>
      <rPr>
        <sz val="9"/>
        <color rgb="FF000000"/>
        <rFont val="Arial"/>
        <charset val="134"/>
      </rPr>
      <t>,KKR,TPG</t>
    </r>
    <r>
      <rPr>
        <sz val="9"/>
        <color rgb="FF000000"/>
        <rFont val="楷体"/>
        <charset val="134"/>
      </rPr>
      <t>德太资本</t>
    </r>
  </si>
  <si>
    <t>2017-09-27</t>
  </si>
  <si>
    <t>新华都</t>
  </si>
  <si>
    <r>
      <rPr>
        <sz val="9"/>
        <color rgb="FF000000"/>
        <rFont val="楷体"/>
        <charset val="134"/>
      </rPr>
      <t>新华都是一家零售业企业，主要从事大卖场、综合超市及百货的连锁经营；产品与服务主要包含</t>
    </r>
    <r>
      <rPr>
        <sz val="9"/>
        <color rgb="FF000000"/>
        <rFont val="Arial"/>
        <charset val="134"/>
      </rPr>
      <t>:</t>
    </r>
    <r>
      <rPr>
        <sz val="9"/>
        <color rgb="FF000000"/>
        <rFont val="楷体"/>
        <charset val="134"/>
      </rPr>
      <t>生鲜类、食品类、日用品、百货类、租赁类促销服务类以及信息服务类等。</t>
    </r>
  </si>
  <si>
    <t>新华都购物广场股份有限公司</t>
  </si>
  <si>
    <t>http://www.nhd-mart.com/</t>
  </si>
  <si>
    <r>
      <rPr>
        <sz val="9"/>
        <color rgb="FF000000"/>
        <rFont val="楷体"/>
        <charset val="134"/>
      </rPr>
      <t>福建</t>
    </r>
    <r>
      <rPr>
        <sz val="9"/>
        <color rgb="FF000000"/>
        <rFont val="Arial"/>
        <charset val="134"/>
      </rPr>
      <t>-</t>
    </r>
    <r>
      <rPr>
        <sz val="9"/>
        <color rgb="FF000000"/>
        <rFont val="楷体"/>
        <charset val="134"/>
      </rPr>
      <t>福州</t>
    </r>
  </si>
  <si>
    <t>休闲娱乐</t>
  </si>
  <si>
    <r>
      <rPr>
        <sz val="9"/>
        <color rgb="FF000000"/>
        <rFont val="楷体"/>
        <charset val="134"/>
      </rPr>
      <t>阿里巴巴</t>
    </r>
    <r>
      <rPr>
        <sz val="9"/>
        <color rgb="FF000000"/>
        <rFont val="Arial"/>
        <charset val="134"/>
      </rPr>
      <t>,</t>
    </r>
    <r>
      <rPr>
        <sz val="9"/>
        <color rgb="FF000000"/>
        <rFont val="楷体"/>
        <charset val="134"/>
      </rPr>
      <t>杭州瀚云</t>
    </r>
  </si>
  <si>
    <r>
      <rPr>
        <sz val="9"/>
        <color rgb="FF000000"/>
        <rFont val="Arial"/>
        <charset val="134"/>
      </rPr>
      <t>4.22</t>
    </r>
    <r>
      <rPr>
        <sz val="9"/>
        <color rgb="FF000000"/>
        <rFont val="楷体"/>
        <charset val="134"/>
      </rPr>
      <t>亿</t>
    </r>
  </si>
  <si>
    <r>
      <rPr>
        <sz val="9"/>
        <color rgb="FF000000"/>
        <rFont val="楷体"/>
        <charset val="134"/>
      </rPr>
      <t>金志国</t>
    </r>
    <r>
      <rPr>
        <sz val="9"/>
        <color rgb="FF000000"/>
        <rFont val="Arial"/>
        <charset val="134"/>
      </rPr>
      <t>:</t>
    </r>
    <r>
      <rPr>
        <sz val="9"/>
        <color rgb="FF000000"/>
        <rFont val="楷体"/>
        <charset val="134"/>
      </rPr>
      <t>董事长</t>
    </r>
  </si>
  <si>
    <r>
      <rPr>
        <sz val="9"/>
        <color rgb="FF000000"/>
        <rFont val="楷体"/>
        <charset val="134"/>
      </rPr>
      <t>五四路</t>
    </r>
    <r>
      <rPr>
        <sz val="9"/>
        <color rgb="FF000000"/>
        <rFont val="Arial"/>
        <charset val="134"/>
      </rPr>
      <t>162</t>
    </r>
    <r>
      <rPr>
        <sz val="9"/>
        <color rgb="FF000000"/>
        <rFont val="楷体"/>
        <charset val="134"/>
      </rPr>
      <t>号华城国际北楼</t>
    </r>
    <r>
      <rPr>
        <sz val="9"/>
        <color rgb="FF000000"/>
        <rFont val="Arial"/>
        <charset val="134"/>
      </rPr>
      <t>7</t>
    </r>
    <r>
      <rPr>
        <sz val="9"/>
        <color rgb="FF000000"/>
        <rFont val="楷体"/>
        <charset val="134"/>
      </rPr>
      <t>层</t>
    </r>
  </si>
  <si>
    <t>0591-8630-6666</t>
  </si>
  <si>
    <r>
      <rPr>
        <sz val="9"/>
        <color rgb="FF000000"/>
        <rFont val="Arial"/>
        <charset val="134"/>
      </rPr>
      <t>3.22</t>
    </r>
    <r>
      <rPr>
        <sz val="9"/>
        <color rgb="FF000000"/>
        <rFont val="楷体"/>
        <charset val="134"/>
      </rPr>
      <t>亿人民币</t>
    </r>
  </si>
  <si>
    <t>2019-04-23</t>
  </si>
  <si>
    <t>商帆</t>
  </si>
  <si>
    <t>商帆是一家零售业管理软件开发商，业务主要涉及时尚鞋服行业移动化产品的研发、实施和服务等。致力于帮助零售企业提高零售业绩，提供店铺管理商品信息查询和跟踪回访服务等。</t>
  </si>
  <si>
    <t>上海商帆信息科技有限公司</t>
  </si>
  <si>
    <t>http://www.bizvane.com</t>
  </si>
  <si>
    <r>
      <rPr>
        <sz val="9"/>
        <color rgb="FF000000"/>
        <rFont val="Arial"/>
        <charset val="134"/>
      </rPr>
      <t>9000</t>
    </r>
    <r>
      <rPr>
        <sz val="9"/>
        <color rgb="FF000000"/>
        <rFont val="楷体"/>
        <charset val="134"/>
      </rPr>
      <t>万</t>
    </r>
  </si>
  <si>
    <r>
      <rPr>
        <sz val="9"/>
        <color rgb="FF000000"/>
        <rFont val="楷体"/>
        <charset val="134"/>
      </rPr>
      <t>张国庆</t>
    </r>
    <r>
      <rPr>
        <sz val="9"/>
        <color rgb="FF000000"/>
        <rFont val="Arial"/>
        <charset val="134"/>
      </rPr>
      <t>:CEO,</t>
    </r>
    <r>
      <rPr>
        <sz val="9"/>
        <color rgb="FF000000"/>
        <rFont val="楷体"/>
        <charset val="134"/>
      </rPr>
      <t>孙一晖</t>
    </r>
    <r>
      <rPr>
        <sz val="9"/>
        <color rgb="FF000000"/>
        <rFont val="Arial"/>
        <charset val="134"/>
      </rPr>
      <t>:</t>
    </r>
    <r>
      <rPr>
        <sz val="9"/>
        <color rgb="FF000000"/>
        <rFont val="楷体"/>
        <charset val="134"/>
      </rPr>
      <t>联合创始人</t>
    </r>
  </si>
  <si>
    <r>
      <rPr>
        <sz val="9"/>
        <color rgb="FF000000"/>
        <rFont val="楷体"/>
        <charset val="134"/>
      </rPr>
      <t>上海市徐汇区乐山路</t>
    </r>
    <r>
      <rPr>
        <sz val="9"/>
        <color rgb="FF000000"/>
        <rFont val="Arial"/>
        <charset val="134"/>
      </rPr>
      <t>33</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407</t>
    </r>
    <r>
      <rPr>
        <sz val="9"/>
        <color rgb="FF000000"/>
        <rFont val="楷体"/>
        <charset val="134"/>
      </rPr>
      <t>室</t>
    </r>
    <r>
      <rPr>
        <sz val="9"/>
        <color rgb="FF000000"/>
        <rFont val="Arial"/>
        <charset val="134"/>
      </rPr>
      <t>;</t>
    </r>
    <r>
      <rPr>
        <sz val="9"/>
        <color rgb="FF000000"/>
        <rFont val="楷体"/>
        <charset val="134"/>
      </rPr>
      <t>乐山路</t>
    </r>
    <r>
      <rPr>
        <sz val="9"/>
        <color rgb="FF000000"/>
        <rFont val="Arial"/>
        <charset val="134"/>
      </rPr>
      <t>33</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407</t>
    </r>
    <r>
      <rPr>
        <sz val="9"/>
        <color rgb="FF000000"/>
        <rFont val="楷体"/>
        <charset val="134"/>
      </rPr>
      <t>室</t>
    </r>
  </si>
  <si>
    <t>021-3388-5695;021—33885695</t>
  </si>
  <si>
    <t>helen@bizvane.com</t>
  </si>
  <si>
    <r>
      <rPr>
        <sz val="9"/>
        <color rgb="FF000000"/>
        <rFont val="Arial"/>
        <charset val="134"/>
      </rPr>
      <t>Ventech China</t>
    </r>
    <r>
      <rPr>
        <sz val="9"/>
        <color rgb="FF000000"/>
        <rFont val="楷体"/>
        <charset val="134"/>
      </rPr>
      <t>银泰资本</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势安资本</t>
    </r>
  </si>
  <si>
    <r>
      <rPr>
        <sz val="9"/>
        <color rgb="FF000000"/>
        <rFont val="楷体"/>
        <charset val="134"/>
      </rPr>
      <t>一方投资</t>
    </r>
    <r>
      <rPr>
        <sz val="9"/>
        <color rgb="FF000000"/>
        <rFont val="Arial"/>
        <charset val="134"/>
      </rPr>
      <t>(</t>
    </r>
    <r>
      <rPr>
        <sz val="9"/>
        <color rgb="FF000000"/>
        <rFont val="楷体"/>
        <charset val="134"/>
      </rPr>
      <t>一方集团</t>
    </r>
    <r>
      <rPr>
        <sz val="9"/>
        <color rgb="FF000000"/>
        <rFont val="Arial"/>
        <charset val="134"/>
      </rPr>
      <t>),</t>
    </r>
    <r>
      <rPr>
        <sz val="9"/>
        <color rgb="FF000000"/>
        <rFont val="楷体"/>
        <charset val="134"/>
      </rPr>
      <t>创世伙伴资本</t>
    </r>
  </si>
  <si>
    <t>2021-01-28</t>
  </si>
  <si>
    <t>造易软件</t>
  </si>
  <si>
    <r>
      <rPr>
        <sz val="9"/>
        <color rgb="FF000000"/>
        <rFont val="楷体"/>
        <charset val="134"/>
      </rPr>
      <t>造易软件</t>
    </r>
  </si>
  <si>
    <r>
      <rPr>
        <sz val="9"/>
        <color rgb="FF000000"/>
        <rFont val="楷体"/>
        <charset val="134"/>
      </rPr>
      <t>造易软件致力于为规模化定制家具企业提供专业信息化解决方案服务。公司从定制橱柜到定制衣柜，发展到再包含定制门窗和定制卫浴的全屋定制解决方案。如今公司业务涵盖：营销和客户管理、快速一阶全屋设计、面向工业制造精确二阶设计、漫游</t>
    </r>
    <r>
      <rPr>
        <sz val="9"/>
        <color rgb="FF000000"/>
        <rFont val="Arial"/>
        <charset val="134"/>
      </rPr>
      <t>VR</t>
    </r>
    <r>
      <rPr>
        <sz val="9"/>
        <color rgb="FF000000"/>
        <rFont val="楷体"/>
        <charset val="134"/>
      </rPr>
      <t>展示系统、生产数据定义系统</t>
    </r>
    <r>
      <rPr>
        <sz val="9"/>
        <color rgb="FF000000"/>
        <rFont val="Arial"/>
        <charset val="134"/>
      </rPr>
      <t>PDM</t>
    </r>
    <r>
      <rPr>
        <sz val="9"/>
        <color rgb="FF000000"/>
        <rFont val="楷体"/>
        <charset val="134"/>
      </rPr>
      <t>、生产过程控制系统</t>
    </r>
    <r>
      <rPr>
        <sz val="9"/>
        <color rgb="FF000000"/>
        <rFont val="Arial"/>
        <charset val="134"/>
      </rPr>
      <t>MES</t>
    </r>
    <r>
      <rPr>
        <sz val="9"/>
        <color rgb="FF000000"/>
        <rFont val="楷体"/>
        <charset val="134"/>
      </rPr>
      <t>等</t>
    </r>
    <r>
      <rPr>
        <sz val="9"/>
        <color rgb="FF000000"/>
        <rFont val="Arial"/>
        <charset val="134"/>
      </rPr>
      <t>“</t>
    </r>
    <r>
      <rPr>
        <sz val="9"/>
        <color rgb="FF000000"/>
        <rFont val="楷体"/>
        <charset val="134"/>
      </rPr>
      <t>销售</t>
    </r>
    <r>
      <rPr>
        <sz val="9"/>
        <color rgb="FF000000"/>
        <rFont val="Arial"/>
        <charset val="134"/>
      </rPr>
      <t>+</t>
    </r>
    <r>
      <rPr>
        <sz val="9"/>
        <color rgb="FF000000"/>
        <rFont val="楷体"/>
        <charset val="134"/>
      </rPr>
      <t>制造</t>
    </r>
    <r>
      <rPr>
        <sz val="9"/>
        <color rgb="FF000000"/>
        <rFont val="Arial"/>
        <charset val="134"/>
      </rPr>
      <t>”</t>
    </r>
    <r>
      <rPr>
        <sz val="9"/>
        <color rgb="FF000000"/>
        <rFont val="楷体"/>
        <charset val="134"/>
      </rPr>
      <t>兼顾的一体化系统。</t>
    </r>
  </si>
  <si>
    <t>成都造易软件有限责任公司</t>
  </si>
  <si>
    <t>http://www.kzowee.com</t>
  </si>
  <si>
    <t>2006-04</t>
  </si>
  <si>
    <r>
      <t>1</t>
    </r>
    <r>
      <rPr>
        <sz val="9"/>
        <color rgb="FF000000"/>
        <rFont val="楷体"/>
        <charset val="134"/>
      </rPr>
      <t>亿</t>
    </r>
  </si>
  <si>
    <r>
      <rPr>
        <sz val="9"/>
        <color rgb="FF000000"/>
        <rFont val="楷体"/>
        <charset val="134"/>
      </rPr>
      <t>胡鹏</t>
    </r>
    <r>
      <rPr>
        <sz val="9"/>
        <color rgb="FF000000"/>
        <rFont val="Arial"/>
        <charset val="134"/>
      </rPr>
      <t>:</t>
    </r>
    <r>
      <rPr>
        <sz val="9"/>
        <color rgb="FF000000"/>
        <rFont val="楷体"/>
        <charset val="134"/>
      </rPr>
      <t>商务总监</t>
    </r>
    <r>
      <rPr>
        <sz val="9"/>
        <color rgb="FF000000"/>
        <rFont val="Arial"/>
        <charset val="134"/>
      </rPr>
      <t>,</t>
    </r>
    <r>
      <rPr>
        <sz val="9"/>
        <color rgb="FF000000"/>
        <rFont val="楷体"/>
        <charset val="134"/>
      </rPr>
      <t>胡鹏</t>
    </r>
    <r>
      <rPr>
        <sz val="9"/>
        <color rgb="FF000000"/>
        <rFont val="Arial"/>
        <charset val="134"/>
      </rPr>
      <t>:</t>
    </r>
    <r>
      <rPr>
        <sz val="9"/>
        <color rgb="FF000000"/>
        <rFont val="楷体"/>
        <charset val="134"/>
      </rPr>
      <t>商务总监</t>
    </r>
    <r>
      <rPr>
        <sz val="9"/>
        <color rgb="FF000000"/>
        <rFont val="Arial"/>
        <charset val="134"/>
      </rPr>
      <t>,</t>
    </r>
    <r>
      <rPr>
        <sz val="9"/>
        <color rgb="FF000000"/>
        <rFont val="楷体"/>
        <charset val="134"/>
      </rPr>
      <t>胡鹏</t>
    </r>
    <r>
      <rPr>
        <sz val="9"/>
        <color rgb="FF000000"/>
        <rFont val="Arial"/>
        <charset val="134"/>
      </rPr>
      <t>:</t>
    </r>
    <r>
      <rPr>
        <sz val="9"/>
        <color rgb="FF000000"/>
        <rFont val="楷体"/>
        <charset val="134"/>
      </rPr>
      <t>商务总监</t>
    </r>
  </si>
  <si>
    <r>
      <rPr>
        <sz val="9"/>
        <color rgb="FF000000"/>
        <rFont val="楷体"/>
        <charset val="134"/>
      </rPr>
      <t>成都市武侯区武青南路</t>
    </r>
    <r>
      <rPr>
        <sz val="9"/>
        <color rgb="FF000000"/>
        <rFont val="Arial"/>
        <charset val="134"/>
      </rPr>
      <t>33</t>
    </r>
    <r>
      <rPr>
        <sz val="9"/>
        <color rgb="FF000000"/>
        <rFont val="楷体"/>
        <charset val="134"/>
      </rPr>
      <t>号</t>
    </r>
  </si>
  <si>
    <t xml:space="preserve">028-8537-1672 </t>
  </si>
  <si>
    <t>zhb@kzowee.com</t>
  </si>
  <si>
    <t>2017-10-23</t>
  </si>
  <si>
    <t>东方股份</t>
  </si>
  <si>
    <t>东方股份是一个旅游商贸流通企业集团，以连锁超市及精品百货经营（商品销售）为公司的核心业务，其他包括酒店业、旅游业、物业管理以及农产品加工与配送等。</t>
  </si>
  <si>
    <t>浙江衢州东方集团股份有限公司</t>
  </si>
  <si>
    <t>http://www.qzdfjt.com/</t>
  </si>
  <si>
    <t>2000-07</t>
  </si>
  <si>
    <r>
      <rPr>
        <sz val="9"/>
        <color rgb="FF000000"/>
        <rFont val="楷体"/>
        <charset val="134"/>
      </rPr>
      <t>浙江</t>
    </r>
    <r>
      <rPr>
        <sz val="9"/>
        <color rgb="FF000000"/>
        <rFont val="Arial"/>
        <charset val="134"/>
      </rPr>
      <t>-</t>
    </r>
    <r>
      <rPr>
        <sz val="9"/>
        <color rgb="FF000000"/>
        <rFont val="楷体"/>
        <charset val="134"/>
      </rPr>
      <t>衢州</t>
    </r>
  </si>
  <si>
    <t>其他生活服务</t>
  </si>
  <si>
    <r>
      <rPr>
        <sz val="9"/>
        <color rgb="FF000000"/>
        <rFont val="Arial"/>
        <charset val="134"/>
      </rPr>
      <t>1.41</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</si>
  <si>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银泰商业集团</t>
    </r>
  </si>
  <si>
    <r>
      <rPr>
        <sz val="9"/>
        <color rgb="FF000000"/>
        <rFont val="Arial"/>
        <charset val="134"/>
      </rPr>
      <t>2.41</t>
    </r>
    <r>
      <rPr>
        <sz val="9"/>
        <color rgb="FF000000"/>
        <rFont val="楷体"/>
        <charset val="134"/>
      </rPr>
      <t>亿</t>
    </r>
  </si>
  <si>
    <r>
      <rPr>
        <sz val="9"/>
        <color rgb="FF000000"/>
        <rFont val="Arial"/>
        <charset val="134"/>
      </rPr>
      <t>7.05</t>
    </r>
    <r>
      <rPr>
        <sz val="9"/>
        <color rgb="FF000000"/>
        <rFont val="楷体"/>
        <charset val="134"/>
      </rPr>
      <t>亿元</t>
    </r>
  </si>
  <si>
    <r>
      <rPr>
        <sz val="9"/>
        <color rgb="FF000000"/>
        <rFont val="楷体"/>
        <charset val="134"/>
      </rPr>
      <t>潘廉耻</t>
    </r>
    <r>
      <rPr>
        <sz val="9"/>
        <color rgb="FF000000"/>
        <rFont val="Arial"/>
        <charset val="134"/>
      </rPr>
      <t>:</t>
    </r>
    <r>
      <rPr>
        <sz val="9"/>
        <color rgb="FF000000"/>
        <rFont val="楷体"/>
        <charset val="134"/>
      </rPr>
      <t>董事长</t>
    </r>
  </si>
  <si>
    <r>
      <rPr>
        <sz val="9"/>
        <color rgb="FF000000"/>
        <rFont val="楷体"/>
        <charset val="134"/>
      </rPr>
      <t>浙江省衢州市柯城区上街</t>
    </r>
    <r>
      <rPr>
        <sz val="9"/>
        <color rgb="FF000000"/>
        <rFont val="Arial"/>
        <charset val="134"/>
      </rPr>
      <t>96</t>
    </r>
    <r>
      <rPr>
        <sz val="9"/>
        <color rgb="FF000000"/>
        <rFont val="楷体"/>
        <charset val="134"/>
      </rPr>
      <t>号</t>
    </r>
    <r>
      <rPr>
        <sz val="9"/>
        <color rgb="FF000000"/>
        <rFont val="Arial"/>
        <charset val="134"/>
      </rPr>
      <t xml:space="preserve"> </t>
    </r>
    <r>
      <rPr>
        <sz val="9"/>
        <color rgb="FF000000"/>
        <rFont val="楷体"/>
        <charset val="134"/>
      </rPr>
      <t>东方集团办公大楼</t>
    </r>
  </si>
  <si>
    <t>0570-303-5118</t>
  </si>
  <si>
    <t>qzorientalhotel@163.com</t>
  </si>
  <si>
    <t>2022-08-26</t>
  </si>
  <si>
    <t>nreal太若科技</t>
  </si>
  <si>
    <r>
      <rPr>
        <sz val="9"/>
        <color rgb="FF000000"/>
        <rFont val="Arial"/>
        <charset val="134"/>
      </rPr>
      <t>nreal</t>
    </r>
    <r>
      <rPr>
        <sz val="9"/>
        <color rgb="FF000000"/>
        <rFont val="楷体"/>
        <charset val="134"/>
      </rPr>
      <t>太若科技</t>
    </r>
  </si>
  <si>
    <r>
      <rPr>
        <sz val="9"/>
        <color rgb="FF000000"/>
        <rFont val="Arial"/>
        <charset val="134"/>
      </rPr>
      <t>nreal</t>
    </r>
    <r>
      <rPr>
        <sz val="9"/>
        <color rgb="FF000000"/>
        <rFont val="楷体"/>
        <charset val="134"/>
      </rPr>
      <t>太若科技是一家</t>
    </r>
    <r>
      <rPr>
        <sz val="9"/>
        <color rgb="FF000000"/>
        <rFont val="Arial"/>
        <charset val="134"/>
      </rPr>
      <t>AR/MR</t>
    </r>
    <r>
      <rPr>
        <sz val="9"/>
        <color rgb="FF000000"/>
        <rFont val="楷体"/>
        <charset val="134"/>
      </rPr>
      <t>设备研发商，致力于消费级</t>
    </r>
    <r>
      <rPr>
        <sz val="9"/>
        <color rgb="FF000000"/>
        <rFont val="Arial"/>
        <charset val="134"/>
      </rPr>
      <t>MR</t>
    </r>
    <r>
      <rPr>
        <sz val="9"/>
        <color rgb="FF000000"/>
        <rFont val="楷体"/>
        <charset val="134"/>
      </rPr>
      <t>（混合现实）智能眼镜的研发，主攻方向为光学显示和视觉相关技术，后者包括空间定位和场景识别等，旗下产品有</t>
    </r>
    <r>
      <rPr>
        <sz val="9"/>
        <color rgb="FF000000"/>
        <rFont val="Arial"/>
        <charset val="134"/>
      </rPr>
      <t>nreal light</t>
    </r>
    <r>
      <rPr>
        <sz val="9"/>
        <color rgb="FF000000"/>
        <rFont val="楷体"/>
        <charset val="134"/>
      </rPr>
      <t>混合现实眼镜等。</t>
    </r>
  </si>
  <si>
    <t>深圳太若科技有限公司</t>
  </si>
  <si>
    <t>http://www.nreal.ai/</t>
  </si>
  <si>
    <t>IICOMBINED</t>
  </si>
  <si>
    <r>
      <rPr>
        <sz val="9"/>
        <color rgb="FF000000"/>
        <rFont val="Arial"/>
        <charset val="134"/>
      </rPr>
      <t>23.69</t>
    </r>
    <r>
      <rPr>
        <sz val="9"/>
        <color rgb="FF000000"/>
        <rFont val="楷体"/>
        <charset val="134"/>
      </rPr>
      <t>亿</t>
    </r>
  </si>
  <si>
    <r>
      <rPr>
        <sz val="9"/>
        <color rgb="FF000000"/>
        <rFont val="楷体"/>
        <charset val="134"/>
      </rPr>
      <t>徐驰</t>
    </r>
    <r>
      <rPr>
        <sz val="9"/>
        <color rgb="FF000000"/>
        <rFont val="Arial"/>
        <charset val="134"/>
      </rPr>
      <t>:</t>
    </r>
    <r>
      <rPr>
        <sz val="9"/>
        <color rgb="FF000000"/>
        <rFont val="楷体"/>
        <charset val="134"/>
      </rPr>
      <t>创始人</t>
    </r>
  </si>
  <si>
    <r>
      <rPr>
        <sz val="9"/>
        <color rgb="FF000000"/>
        <rFont val="楷体"/>
        <charset val="134"/>
      </rPr>
      <t>深圳市福田区园岭街道华林社区八卦二路八卦岭工业区</t>
    </r>
    <r>
      <rPr>
        <sz val="9"/>
        <color rgb="FF000000"/>
        <rFont val="Arial"/>
        <charset val="134"/>
      </rPr>
      <t>543</t>
    </r>
    <r>
      <rPr>
        <sz val="9"/>
        <color rgb="FF000000"/>
        <rFont val="楷体"/>
        <charset val="134"/>
      </rPr>
      <t>栋</t>
    </r>
    <r>
      <rPr>
        <sz val="9"/>
        <color rgb="FF000000"/>
        <rFont val="Arial"/>
        <charset val="134"/>
      </rPr>
      <t>50</t>
    </r>
  </si>
  <si>
    <t>187-0107-0064</t>
  </si>
  <si>
    <t>llian@nreal.ai</t>
  </si>
  <si>
    <r>
      <rPr>
        <sz val="9"/>
        <color rgb="FF000000"/>
        <rFont val="楷体"/>
        <charset val="134"/>
      </rPr>
      <t>红杉资本中国</t>
    </r>
    <r>
      <rPr>
        <sz val="9"/>
        <color rgb="FF000000"/>
        <rFont val="Arial"/>
        <charset val="134"/>
      </rPr>
      <t>,</t>
    </r>
    <r>
      <rPr>
        <sz val="9"/>
        <color rgb="FF000000"/>
        <rFont val="楷体"/>
        <charset val="134"/>
      </rPr>
      <t>云锋基金</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高瓴创投</t>
    </r>
  </si>
  <si>
    <t>中金资本</t>
  </si>
  <si>
    <r>
      <rPr>
        <sz val="9"/>
        <color rgb="FF000000"/>
        <rFont val="楷体"/>
        <charset val="134"/>
      </rPr>
      <t>红杉资本中国</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快手</t>
    </r>
    <r>
      <rPr>
        <sz val="9"/>
        <color rgb="FF000000"/>
        <rFont val="Arial"/>
        <charset val="134"/>
      </rPr>
      <t>,</t>
    </r>
    <r>
      <rPr>
        <sz val="9"/>
        <color rgb="FF000000"/>
        <rFont val="楷体"/>
        <charset val="134"/>
      </rPr>
      <t>中电中金基金</t>
    </r>
    <r>
      <rPr>
        <sz val="9"/>
        <color rgb="FF000000"/>
        <rFont val="Arial"/>
        <charset val="134"/>
      </rPr>
      <t>,</t>
    </r>
    <r>
      <rPr>
        <sz val="9"/>
        <color rgb="FF000000"/>
        <rFont val="楷体"/>
        <charset val="134"/>
      </rPr>
      <t>高瓴创投</t>
    </r>
  </si>
  <si>
    <r>
      <rPr>
        <sz val="9"/>
        <color rgb="FF000000"/>
        <rFont val="Arial"/>
        <charset val="134"/>
      </rPr>
      <t>1600</t>
    </r>
    <r>
      <rPr>
        <sz val="9"/>
        <color rgb="FF000000"/>
        <rFont val="楷体"/>
        <charset val="134"/>
      </rPr>
      <t>万美元</t>
    </r>
  </si>
  <si>
    <r>
      <rPr>
        <sz val="9"/>
        <color rgb="FF000000"/>
        <rFont val="楷体"/>
        <charset val="134"/>
      </rPr>
      <t>顺为资本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爱奇艺</t>
    </r>
    <r>
      <rPr>
        <sz val="9"/>
        <color rgb="FF000000"/>
        <rFont val="Arial"/>
        <charset val="134"/>
      </rPr>
      <t>,</t>
    </r>
    <r>
      <rPr>
        <sz val="9"/>
        <color rgb="FF000000"/>
        <rFont val="楷体"/>
        <charset val="134"/>
      </rPr>
      <t>光大控股</t>
    </r>
  </si>
  <si>
    <r>
      <rPr>
        <sz val="9"/>
        <color rgb="FF000000"/>
        <rFont val="楷体"/>
        <charset val="134"/>
      </rPr>
      <t>顺为资本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爱奇艺</t>
    </r>
    <r>
      <rPr>
        <sz val="9"/>
        <color rgb="FF000000"/>
        <rFont val="Arial"/>
        <charset val="134"/>
      </rPr>
      <t>,</t>
    </r>
    <r>
      <rPr>
        <sz val="9"/>
        <color rgb="FF000000"/>
        <rFont val="楷体"/>
        <charset val="134"/>
      </rPr>
      <t>洪泰智造</t>
    </r>
    <r>
      <rPr>
        <sz val="9"/>
        <color rgb="FF000000"/>
        <rFont val="Arial"/>
        <charset val="134"/>
      </rPr>
      <t>,</t>
    </r>
    <r>
      <rPr>
        <sz val="9"/>
        <color rgb="FF000000"/>
        <rFont val="楷体"/>
        <charset val="134"/>
      </rPr>
      <t>新松投资</t>
    </r>
  </si>
  <si>
    <t>洪泰智造</t>
  </si>
  <si>
    <r>
      <rPr>
        <sz val="9"/>
        <color rgb="FF000000"/>
        <rFont val="楷体"/>
        <charset val="134"/>
      </rPr>
      <t>顺为资本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新松投资</t>
    </r>
  </si>
  <si>
    <t>2022-01-14</t>
  </si>
  <si>
    <t>翱捷科技ASR</t>
  </si>
  <si>
    <r>
      <rPr>
        <sz val="9"/>
        <color rgb="FF000000"/>
        <rFont val="楷体"/>
        <charset val="134"/>
      </rPr>
      <t>翱捷科技</t>
    </r>
    <r>
      <rPr>
        <sz val="9"/>
        <color rgb="FF000000"/>
        <rFont val="Arial"/>
        <charset val="134"/>
      </rPr>
      <t>ASR</t>
    </r>
  </si>
  <si>
    <r>
      <rPr>
        <sz val="9"/>
        <color rgb="FF000000"/>
        <rFont val="楷体"/>
        <charset val="134"/>
      </rPr>
      <t>翱捷科技（上海）有限公司（以下简称</t>
    </r>
    <r>
      <rPr>
        <sz val="9"/>
        <color rgb="FF000000"/>
        <rFont val="Arial"/>
        <charset val="134"/>
      </rPr>
      <t>“ASR”</t>
    </r>
    <r>
      <rPr>
        <sz val="9"/>
        <color rgb="FF000000"/>
        <rFont val="楷体"/>
        <charset val="134"/>
      </rPr>
      <t>）成立于</t>
    </r>
    <r>
      <rPr>
        <sz val="9"/>
        <color rgb="FF000000"/>
        <rFont val="Arial"/>
        <charset val="134"/>
      </rPr>
      <t>2015</t>
    </r>
    <r>
      <rPr>
        <sz val="9"/>
        <color rgb="FF000000"/>
        <rFont val="楷体"/>
        <charset val="134"/>
      </rPr>
      <t>年</t>
    </r>
    <r>
      <rPr>
        <sz val="9"/>
        <color rgb="FF000000"/>
        <rFont val="Arial"/>
        <charset val="134"/>
      </rPr>
      <t>4</t>
    </r>
    <r>
      <rPr>
        <sz val="9"/>
        <color rgb="FF000000"/>
        <rFont val="楷体"/>
        <charset val="134"/>
      </rPr>
      <t>月，是一家专注于移动智能通讯终端</t>
    </r>
    <r>
      <rPr>
        <sz val="9"/>
        <color rgb="FF000000"/>
        <rFont val="Arial"/>
        <charset val="134"/>
      </rPr>
      <t>SoC</t>
    </r>
    <r>
      <rPr>
        <sz val="9"/>
        <color rgb="FF000000"/>
        <rFont val="楷体"/>
        <charset val="134"/>
      </rPr>
      <t>、物联网、卫星导航及其他消费类电子芯片平台型公司，产品线覆盖</t>
    </r>
    <r>
      <rPr>
        <sz val="9"/>
        <color rgb="FF000000"/>
        <rFont val="Arial"/>
        <charset val="134"/>
      </rPr>
      <t>2G</t>
    </r>
    <r>
      <rPr>
        <sz val="9"/>
        <color rgb="FF000000"/>
        <rFont val="楷体"/>
        <charset val="134"/>
      </rPr>
      <t>、</t>
    </r>
    <r>
      <rPr>
        <sz val="9"/>
        <color rgb="FF000000"/>
        <rFont val="Arial"/>
        <charset val="134"/>
      </rPr>
      <t>3G</t>
    </r>
    <r>
      <rPr>
        <sz val="9"/>
        <color rgb="FF000000"/>
        <rFont val="楷体"/>
        <charset val="134"/>
      </rPr>
      <t>、</t>
    </r>
    <r>
      <rPr>
        <sz val="9"/>
        <color rgb="FF000000"/>
        <rFont val="Arial"/>
        <charset val="134"/>
      </rPr>
      <t>4G</t>
    </r>
    <r>
      <rPr>
        <sz val="9"/>
        <color rgb="FF000000"/>
        <rFont val="楷体"/>
        <charset val="134"/>
      </rPr>
      <t>、</t>
    </r>
    <r>
      <rPr>
        <sz val="9"/>
        <color rgb="FF000000"/>
        <rFont val="Arial"/>
        <charset val="134"/>
      </rPr>
      <t>5G</t>
    </r>
    <r>
      <rPr>
        <sz val="9"/>
        <color rgb="FF000000"/>
        <rFont val="楷体"/>
        <charset val="134"/>
      </rPr>
      <t>以及</t>
    </r>
    <r>
      <rPr>
        <sz val="9"/>
        <color rgb="FF000000"/>
        <rFont val="Arial"/>
        <charset val="134"/>
      </rPr>
      <t>IoT</t>
    </r>
    <r>
      <rPr>
        <sz val="9"/>
        <color rgb="FF000000"/>
        <rFont val="楷体"/>
        <charset val="134"/>
      </rPr>
      <t>在内的多制式通讯标准，提供完善的系统芯片</t>
    </r>
    <r>
      <rPr>
        <sz val="9"/>
        <color rgb="FF000000"/>
        <rFont val="Arial"/>
        <charset val="134"/>
      </rPr>
      <t>SoC</t>
    </r>
    <r>
      <rPr>
        <sz val="9"/>
        <color rgb="FF000000"/>
        <rFont val="楷体"/>
        <charset val="134"/>
      </rPr>
      <t>解决方案。</t>
    </r>
    <r>
      <rPr>
        <sz val="9"/>
        <color rgb="FF000000"/>
        <rFont val="Arial"/>
        <charset val="134"/>
      </rPr>
      <t>ASR</t>
    </r>
    <r>
      <rPr>
        <sz val="9"/>
        <color rgb="FF000000"/>
        <rFont val="楷体"/>
        <charset val="134"/>
      </rPr>
      <t>作为一家高科技公司，经过连续几年的产品研发，以及对</t>
    </r>
    <r>
      <rPr>
        <sz val="9"/>
        <color rgb="FF000000"/>
        <rFont val="Arial"/>
        <charset val="134"/>
      </rPr>
      <t>Marvell</t>
    </r>
    <r>
      <rPr>
        <sz val="9"/>
        <color rgb="FF000000"/>
        <rFont val="楷体"/>
        <charset val="134"/>
      </rPr>
      <t>移动芯片部门的收购和技术整合，</t>
    </r>
    <r>
      <rPr>
        <sz val="9"/>
        <color rgb="FF000000"/>
        <rFont val="Arial"/>
        <charset val="134"/>
      </rPr>
      <t>ASR</t>
    </r>
    <r>
      <rPr>
        <sz val="9"/>
        <color rgb="FF000000"/>
        <rFont val="楷体"/>
        <charset val="134"/>
      </rPr>
      <t>已具备完整、强大的移动智能终端芯片和物联网芯片的研发和产业化能力。随着市场的成熟，公司将持续加大物联网和</t>
    </r>
    <r>
      <rPr>
        <sz val="9"/>
        <color rgb="FF000000"/>
        <rFont val="Arial"/>
        <charset val="134"/>
      </rPr>
      <t>5G</t>
    </r>
    <r>
      <rPr>
        <sz val="9"/>
        <color rgb="FF000000"/>
        <rFont val="楷体"/>
        <charset val="134"/>
      </rPr>
      <t>领域的投资，为移动通讯、物联网和智能终端市场提供更优秀的产品方案和高效的技术支持</t>
    </r>
  </si>
  <si>
    <t>翱捷科技股份有限公司</t>
  </si>
  <si>
    <t>http://www.asrmicro.com/asrweb/</t>
  </si>
  <si>
    <r>
      <rPr>
        <sz val="9"/>
        <color rgb="FF000000"/>
        <rFont val="Arial"/>
        <charset val="134"/>
      </rPr>
      <t>65.46</t>
    </r>
    <r>
      <rPr>
        <sz val="9"/>
        <color rgb="FF000000"/>
        <rFont val="楷体"/>
        <charset val="134"/>
      </rPr>
      <t>亿人民币</t>
    </r>
  </si>
  <si>
    <r>
      <rPr>
        <sz val="9"/>
        <color rgb="FF000000"/>
        <rFont val="Arial"/>
        <charset val="134"/>
      </rPr>
      <t>99.94</t>
    </r>
    <r>
      <rPr>
        <sz val="9"/>
        <color rgb="FF000000"/>
        <rFont val="楷体"/>
        <charset val="134"/>
      </rPr>
      <t>亿</t>
    </r>
  </si>
  <si>
    <r>
      <rPr>
        <sz val="9"/>
        <color rgb="FF000000"/>
        <rFont val="Arial"/>
        <charset val="134"/>
      </rPr>
      <t>688.27</t>
    </r>
    <r>
      <rPr>
        <sz val="9"/>
        <color rgb="FF000000"/>
        <rFont val="楷体"/>
        <charset val="134"/>
      </rPr>
      <t>亿元</t>
    </r>
  </si>
  <si>
    <r>
      <rPr>
        <sz val="9"/>
        <color rgb="FF000000"/>
        <rFont val="楷体"/>
        <charset val="134"/>
      </rPr>
      <t>戴保家</t>
    </r>
    <r>
      <rPr>
        <sz val="9"/>
        <color rgb="FF000000"/>
        <rFont val="Arial"/>
        <charset val="134"/>
      </rPr>
      <t>:</t>
    </r>
    <r>
      <rPr>
        <sz val="9"/>
        <color rgb="FF000000"/>
        <rFont val="楷体"/>
        <charset val="134"/>
      </rPr>
      <t>董事长</t>
    </r>
  </si>
  <si>
    <r>
      <rPr>
        <sz val="9"/>
        <color rgb="FF000000"/>
        <rFont val="楷体"/>
        <charset val="134"/>
      </rPr>
      <t>上海市浦东新区张江高科技园区科苑路</t>
    </r>
    <r>
      <rPr>
        <sz val="9"/>
        <color rgb="FF000000"/>
        <rFont val="Arial"/>
        <charset val="134"/>
      </rPr>
      <t>399</t>
    </r>
    <r>
      <rPr>
        <sz val="9"/>
        <color rgb="FF000000"/>
        <rFont val="楷体"/>
        <charset val="134"/>
      </rPr>
      <t>号</t>
    </r>
    <r>
      <rPr>
        <sz val="9"/>
        <color rgb="FF000000"/>
        <rFont val="Arial"/>
        <charset val="134"/>
      </rPr>
      <t>10</t>
    </r>
    <r>
      <rPr>
        <sz val="9"/>
        <color rgb="FF000000"/>
        <rFont val="楷体"/>
        <charset val="134"/>
      </rPr>
      <t>号楼</t>
    </r>
    <r>
      <rPr>
        <sz val="9"/>
        <color rgb="FF000000"/>
        <rFont val="Arial"/>
        <charset val="134"/>
      </rPr>
      <t>9F</t>
    </r>
  </si>
  <si>
    <t>021-6033-6588-8329</t>
  </si>
  <si>
    <t>SUPPORT@asrmicro.com</t>
  </si>
  <si>
    <r>
      <rPr>
        <sz val="9"/>
        <color rgb="FF000000"/>
        <rFont val="楷体"/>
        <charset val="134"/>
      </rPr>
      <t>红杉资本中国</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上海科创投集团</t>
    </r>
    <r>
      <rPr>
        <sz val="9"/>
        <color rgb="FF000000"/>
        <rFont val="Arial"/>
        <charset val="134"/>
      </rPr>
      <t>(</t>
    </r>
    <r>
      <rPr>
        <sz val="9"/>
        <color rgb="FF000000"/>
        <rFont val="楷体"/>
        <charset val="134"/>
      </rPr>
      <t>上海科创</t>
    </r>
    <r>
      <rPr>
        <sz val="9"/>
        <color rgb="FF000000"/>
        <rFont val="Arial"/>
        <charset val="134"/>
      </rPr>
      <t>),</t>
    </r>
    <r>
      <rPr>
        <sz val="9"/>
        <color rgb="FF000000"/>
        <rFont val="楷体"/>
        <charset val="134"/>
      </rPr>
      <t>国家集成电路产业投资基金</t>
    </r>
    <r>
      <rPr>
        <sz val="9"/>
        <color rgb="FF000000"/>
        <rFont val="Arial"/>
        <charset val="134"/>
      </rPr>
      <t>,</t>
    </r>
    <r>
      <rPr>
        <sz val="9"/>
        <color rgb="FF000000"/>
        <rFont val="楷体"/>
        <charset val="134"/>
      </rPr>
      <t>浦东科创</t>
    </r>
    <r>
      <rPr>
        <sz val="9"/>
        <color rgb="FF000000"/>
        <rFont val="Arial"/>
        <charset val="134"/>
      </rPr>
      <t>,</t>
    </r>
    <r>
      <rPr>
        <sz val="9"/>
        <color rgb="FF000000"/>
        <rFont val="楷体"/>
        <charset val="134"/>
      </rPr>
      <t>张江集团</t>
    </r>
    <r>
      <rPr>
        <sz val="9"/>
        <color rgb="FF000000"/>
        <rFont val="Arial"/>
        <charset val="134"/>
      </rPr>
      <t>,</t>
    </r>
    <r>
      <rPr>
        <sz val="9"/>
        <color rgb="FF000000"/>
        <rFont val="楷体"/>
        <charset val="134"/>
      </rPr>
      <t>上海自贸区基金</t>
    </r>
    <r>
      <rPr>
        <sz val="9"/>
        <color rgb="FF000000"/>
        <rFont val="Arial"/>
        <charset val="134"/>
      </rPr>
      <t>,</t>
    </r>
    <r>
      <rPr>
        <sz val="9"/>
        <color rgb="FF000000"/>
        <rFont val="楷体"/>
        <charset val="134"/>
      </rPr>
      <t>中国互联网投资基金</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上海半导体装备材料基金</t>
    </r>
    <r>
      <rPr>
        <sz val="9"/>
        <color rgb="FF000000"/>
        <rFont val="Arial"/>
        <charset val="134"/>
      </rPr>
      <t>,</t>
    </r>
    <r>
      <rPr>
        <sz val="9"/>
        <color rgb="FF000000"/>
        <rFont val="楷体"/>
        <charset val="134"/>
      </rPr>
      <t>华安控股集团</t>
    </r>
    <r>
      <rPr>
        <sz val="9"/>
        <color rgb="FF000000"/>
        <rFont val="Arial"/>
        <charset val="134"/>
      </rPr>
      <t>,</t>
    </r>
    <r>
      <rPr>
        <sz val="9"/>
        <color rgb="FF000000"/>
        <rFont val="楷体"/>
        <charset val="134"/>
      </rPr>
      <t>湖畔国际</t>
    </r>
    <r>
      <rPr>
        <sz val="9"/>
        <color rgb="FF000000"/>
        <rFont val="Arial"/>
        <charset val="134"/>
      </rPr>
      <t>,</t>
    </r>
    <r>
      <rPr>
        <sz val="9"/>
        <color rgb="FF000000"/>
        <rFont val="楷体"/>
        <charset val="134"/>
      </rPr>
      <t>红杉宽带数字产业基金</t>
    </r>
  </si>
  <si>
    <r>
      <rPr>
        <sz val="9"/>
        <color rgb="FF000000"/>
        <rFont val="楷体"/>
        <charset val="134"/>
      </rPr>
      <t>兴业资管</t>
    </r>
    <r>
      <rPr>
        <sz val="9"/>
        <color rgb="FF000000"/>
        <rFont val="Arial"/>
        <charset val="134"/>
      </rPr>
      <t>-</t>
    </r>
    <r>
      <rPr>
        <sz val="9"/>
        <color rgb="FF000000"/>
        <rFont val="楷体"/>
        <charset val="134"/>
      </rPr>
      <t>兴业证券</t>
    </r>
    <r>
      <rPr>
        <sz val="9"/>
        <color rgb="FF000000"/>
        <rFont val="Arial"/>
        <charset val="134"/>
      </rPr>
      <t>,</t>
    </r>
    <r>
      <rPr>
        <sz val="9"/>
        <color rgb="FF000000"/>
        <rFont val="楷体"/>
        <charset val="134"/>
      </rPr>
      <t>弘信资本</t>
    </r>
    <r>
      <rPr>
        <sz val="9"/>
        <color rgb="FF000000"/>
        <rFont val="Arial"/>
        <charset val="134"/>
      </rPr>
      <t>,</t>
    </r>
    <r>
      <rPr>
        <sz val="9"/>
        <color rgb="FF000000"/>
        <rFont val="楷体"/>
        <charset val="134"/>
      </rPr>
      <t>久有股权基金</t>
    </r>
    <r>
      <rPr>
        <sz val="9"/>
        <color rgb="FF000000"/>
        <rFont val="Arial"/>
        <charset val="134"/>
      </rPr>
      <t>,</t>
    </r>
    <r>
      <rPr>
        <sz val="9"/>
        <color rgb="FF000000"/>
        <rFont val="楷体"/>
        <charset val="134"/>
      </rPr>
      <t>小米长江产业基金</t>
    </r>
    <r>
      <rPr>
        <sz val="9"/>
        <color rgb="FF000000"/>
        <rFont val="Arial"/>
        <charset val="134"/>
      </rPr>
      <t>,</t>
    </r>
    <r>
      <rPr>
        <sz val="9"/>
        <color rgb="FF000000"/>
        <rFont val="楷体"/>
        <charset val="134"/>
      </rPr>
      <t>元禾璞华</t>
    </r>
  </si>
  <si>
    <t>安芯投资</t>
  </si>
  <si>
    <r>
      <rPr>
        <sz val="9"/>
        <color rgb="FF000000"/>
        <rFont val="楷体"/>
        <charset val="134"/>
      </rPr>
      <t>朗玛峰创投</t>
    </r>
    <r>
      <rPr>
        <sz val="9"/>
        <color rgb="FF000000"/>
        <rFont val="Arial"/>
        <charset val="134"/>
      </rPr>
      <t>,</t>
    </r>
    <r>
      <rPr>
        <sz val="9"/>
        <color rgb="FF000000"/>
        <rFont val="楷体"/>
        <charset val="134"/>
      </rPr>
      <t>普续资本</t>
    </r>
    <r>
      <rPr>
        <sz val="9"/>
        <color rgb="FF000000"/>
        <rFont val="Arial"/>
        <charset val="134"/>
      </rPr>
      <t>,</t>
    </r>
    <r>
      <rPr>
        <sz val="9"/>
        <color rgb="FF000000"/>
        <rFont val="楷体"/>
        <charset val="134"/>
      </rPr>
      <t>上海自贸区基金</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</si>
  <si>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四川双马</t>
    </r>
  </si>
  <si>
    <r>
      <rPr>
        <sz val="9"/>
        <color rgb="FF000000"/>
        <rFont val="楷体"/>
        <charset val="134"/>
      </rPr>
      <t>深创投</t>
    </r>
    <r>
      <rPr>
        <sz val="9"/>
        <color rgb="FF000000"/>
        <rFont val="Arial"/>
        <charset val="134"/>
      </rPr>
      <t>,</t>
    </r>
    <r>
      <rPr>
        <sz val="9"/>
        <color rgb="FF000000"/>
        <rFont val="楷体"/>
        <charset val="134"/>
      </rPr>
      <t>阿里巴巴</t>
    </r>
  </si>
  <si>
    <r>
      <rPr>
        <sz val="9"/>
        <color rgb="FF000000"/>
        <rFont val="楷体"/>
        <charset val="134"/>
      </rPr>
      <t>华登国际</t>
    </r>
    <r>
      <rPr>
        <sz val="9"/>
        <color rgb="FF000000"/>
        <rFont val="Arial"/>
        <charset val="134"/>
      </rPr>
      <t>,</t>
    </r>
    <r>
      <rPr>
        <sz val="9"/>
        <color rgb="FF000000"/>
        <rFont val="楷体"/>
        <charset val="134"/>
      </rPr>
      <t>新星纽士达创投</t>
    </r>
  </si>
  <si>
    <r>
      <rPr>
        <sz val="9"/>
        <color rgb="FF000000"/>
        <rFont val="楷体"/>
        <charset val="134"/>
      </rPr>
      <t>浦科投资</t>
    </r>
    <r>
      <rPr>
        <sz val="9"/>
        <color rgb="FF000000"/>
        <rFont val="Arial"/>
        <charset val="134"/>
      </rPr>
      <t>/</t>
    </r>
    <r>
      <rPr>
        <sz val="9"/>
        <color rgb="FF000000"/>
        <rFont val="楷体"/>
        <charset val="134"/>
      </rPr>
      <t>浦东科投</t>
    </r>
    <r>
      <rPr>
        <sz val="9"/>
        <color rgb="FF000000"/>
        <rFont val="Arial"/>
        <charset val="134"/>
      </rPr>
      <t>,</t>
    </r>
    <r>
      <rPr>
        <sz val="9"/>
        <color rgb="FF000000"/>
        <rFont val="楷体"/>
        <charset val="134"/>
      </rPr>
      <t>武岳峰资本</t>
    </r>
  </si>
  <si>
    <t>2020-11-10</t>
  </si>
  <si>
    <t>万达电影</t>
  </si>
  <si>
    <r>
      <rPr>
        <sz val="9"/>
        <color rgb="FF000000"/>
        <rFont val="楷体"/>
        <charset val="134"/>
      </rPr>
      <t>万达电影是一家隶属于万达集团的电影公司，自</t>
    </r>
    <r>
      <rPr>
        <sz val="9"/>
        <color rgb="FF000000"/>
        <rFont val="Arial"/>
        <charset val="134"/>
      </rPr>
      <t>2004</t>
    </r>
    <r>
      <rPr>
        <sz val="9"/>
        <color rgb="FF000000"/>
        <rFont val="楷体"/>
        <charset val="134"/>
      </rPr>
      <t>年起投巨资在全国各地兴建国际高标准、现代化的多厅电影城，开拓终端电影市场，打造电影终端连锁服务品牌的核心竞争力。</t>
    </r>
  </si>
  <si>
    <t>万达电影股份有限公司</t>
  </si>
  <si>
    <t>http://www.wandafilm.com</t>
  </si>
  <si>
    <t>2005-01</t>
  </si>
  <si>
    <r>
      <rPr>
        <sz val="9"/>
        <color rgb="FF000000"/>
        <rFont val="楷体"/>
        <charset val="134"/>
      </rPr>
      <t>中信证券</t>
    </r>
    <r>
      <rPr>
        <sz val="9"/>
        <color rgb="FF000000"/>
        <rFont val="Arial"/>
        <charset val="134"/>
      </rPr>
      <t>,UBS</t>
    </r>
    <r>
      <rPr>
        <sz val="9"/>
        <color rgb="FF000000"/>
        <rFont val="楷体"/>
        <charset val="134"/>
      </rPr>
      <t>瑞银</t>
    </r>
    <r>
      <rPr>
        <sz val="9"/>
        <color rgb="FF000000"/>
        <rFont val="Arial"/>
        <charset val="134"/>
      </rPr>
      <t>,</t>
    </r>
    <r>
      <rPr>
        <sz val="9"/>
        <color rgb="FF000000"/>
        <rFont val="楷体"/>
        <charset val="134"/>
      </rPr>
      <t>财通基金</t>
    </r>
    <r>
      <rPr>
        <sz val="9"/>
        <color rgb="FF000000"/>
        <rFont val="Arial"/>
        <charset val="134"/>
      </rPr>
      <t>,</t>
    </r>
    <r>
      <rPr>
        <sz val="9"/>
        <color rgb="FF000000"/>
        <rFont val="楷体"/>
        <charset val="134"/>
      </rPr>
      <t>高毅资产</t>
    </r>
    <r>
      <rPr>
        <sz val="9"/>
        <color rgb="FF000000"/>
        <rFont val="Arial"/>
        <charset val="134"/>
      </rPr>
      <t>,</t>
    </r>
    <r>
      <rPr>
        <sz val="9"/>
        <color rgb="FF000000"/>
        <rFont val="楷体"/>
        <charset val="134"/>
      </rPr>
      <t>兴全基金</t>
    </r>
    <r>
      <rPr>
        <sz val="9"/>
        <color rgb="FF000000"/>
        <rFont val="Arial"/>
        <charset val="134"/>
      </rPr>
      <t>,</t>
    </r>
    <r>
      <rPr>
        <sz val="9"/>
        <color rgb="FF000000"/>
        <rFont val="楷体"/>
        <charset val="134"/>
      </rPr>
      <t>华安未来资产</t>
    </r>
  </si>
  <si>
    <r>
      <rPr>
        <sz val="9"/>
        <color rgb="FF000000"/>
        <rFont val="Arial"/>
        <charset val="134"/>
      </rPr>
      <t>237.47</t>
    </r>
    <r>
      <rPr>
        <sz val="9"/>
        <color rgb="FF000000"/>
        <rFont val="楷体"/>
        <charset val="134"/>
      </rPr>
      <t>亿</t>
    </r>
  </si>
  <si>
    <r>
      <rPr>
        <sz val="9"/>
        <color rgb="FF000000"/>
        <rFont val="Arial"/>
        <charset val="134"/>
      </rPr>
      <t>150</t>
    </r>
    <r>
      <rPr>
        <sz val="9"/>
        <color rgb="FF000000"/>
        <rFont val="楷体"/>
        <charset val="134"/>
      </rPr>
      <t>亿元</t>
    </r>
  </si>
  <si>
    <r>
      <rPr>
        <sz val="9"/>
        <color rgb="FF000000"/>
        <rFont val="楷体"/>
        <charset val="134"/>
      </rPr>
      <t>张霖</t>
    </r>
    <r>
      <rPr>
        <sz val="9"/>
        <color rgb="FF000000"/>
        <rFont val="Arial"/>
        <charset val="134"/>
      </rPr>
      <t>:CEO,</t>
    </r>
    <r>
      <rPr>
        <sz val="9"/>
        <color rgb="FF000000"/>
        <rFont val="楷体"/>
        <charset val="134"/>
      </rPr>
      <t>王健林</t>
    </r>
    <r>
      <rPr>
        <sz val="9"/>
        <color rgb="FF000000"/>
        <rFont val="Arial"/>
        <charset val="134"/>
      </rPr>
      <t>:</t>
    </r>
    <r>
      <rPr>
        <sz val="9"/>
        <color rgb="FF000000"/>
        <rFont val="楷体"/>
        <charset val="134"/>
      </rPr>
      <t>创始人兼董事长</t>
    </r>
  </si>
  <si>
    <r>
      <rPr>
        <sz val="9"/>
        <color rgb="FF000000"/>
        <rFont val="楷体"/>
        <charset val="134"/>
      </rPr>
      <t>北京市朝阳区建国路</t>
    </r>
    <r>
      <rPr>
        <sz val="9"/>
        <color rgb="FF000000"/>
        <rFont val="Arial"/>
        <charset val="134"/>
      </rPr>
      <t>93</t>
    </r>
    <r>
      <rPr>
        <sz val="9"/>
        <color rgb="FF000000"/>
        <rFont val="楷体"/>
        <charset val="134"/>
      </rPr>
      <t>号万达广场</t>
    </r>
    <r>
      <rPr>
        <sz val="9"/>
        <color rgb="FF000000"/>
        <rFont val="Arial"/>
        <charset val="134"/>
      </rPr>
      <t>B</t>
    </r>
    <r>
      <rPr>
        <sz val="9"/>
        <color rgb="FF000000"/>
        <rFont val="楷体"/>
        <charset val="134"/>
      </rPr>
      <t>座</t>
    </r>
    <r>
      <rPr>
        <sz val="9"/>
        <color rgb="FF000000"/>
        <rFont val="Arial"/>
        <charset val="134"/>
      </rPr>
      <t>11</t>
    </r>
    <r>
      <rPr>
        <sz val="9"/>
        <color rgb="FF000000"/>
        <rFont val="楷体"/>
        <charset val="134"/>
      </rPr>
      <t>层</t>
    </r>
  </si>
  <si>
    <t>400-080-6060</t>
  </si>
  <si>
    <t>zhaojun39@wanda.com.cn</t>
  </si>
  <si>
    <r>
      <rPr>
        <sz val="9"/>
        <color rgb="FF000000"/>
        <rFont val="Arial"/>
        <charset val="134"/>
      </rPr>
      <t>105.24</t>
    </r>
    <r>
      <rPr>
        <sz val="9"/>
        <color rgb="FF000000"/>
        <rFont val="楷体"/>
        <charset val="134"/>
      </rPr>
      <t>亿人民币</t>
    </r>
  </si>
  <si>
    <r>
      <rPr>
        <sz val="9"/>
        <color rgb="FF000000"/>
        <rFont val="楷体"/>
        <charset val="134"/>
      </rPr>
      <t>万达集团</t>
    </r>
    <r>
      <rPr>
        <sz val="9"/>
        <color rgb="FF000000"/>
        <rFont val="Arial"/>
        <charset val="134"/>
      </rPr>
      <t>,</t>
    </r>
    <r>
      <rPr>
        <sz val="9"/>
        <color rgb="FF000000"/>
        <rFont val="楷体"/>
        <charset val="134"/>
      </rPr>
      <t>小村资本</t>
    </r>
    <r>
      <rPr>
        <sz val="9"/>
        <color rgb="FF000000"/>
        <rFont val="Arial"/>
        <charset val="134"/>
      </rPr>
      <t>,</t>
    </r>
    <r>
      <rPr>
        <sz val="9"/>
        <color rgb="FF000000"/>
        <rFont val="楷体"/>
        <charset val="134"/>
      </rPr>
      <t>泛海控股</t>
    </r>
    <r>
      <rPr>
        <sz val="9"/>
        <color rgb="FF000000"/>
        <rFont val="Arial"/>
        <charset val="134"/>
      </rPr>
      <t>,</t>
    </r>
    <r>
      <rPr>
        <sz val="9"/>
        <color rgb="FF000000"/>
        <rFont val="楷体"/>
        <charset val="134"/>
      </rPr>
      <t>胡莱游戏</t>
    </r>
    <r>
      <rPr>
        <sz val="9"/>
        <color rgb="FF000000"/>
        <rFont val="Arial"/>
        <charset val="134"/>
      </rPr>
      <t>,</t>
    </r>
    <r>
      <rPr>
        <sz val="9"/>
        <color rgb="FF000000"/>
        <rFont val="楷体"/>
        <charset val="134"/>
      </rPr>
      <t>一方投资</t>
    </r>
    <r>
      <rPr>
        <sz val="9"/>
        <color rgb="FF000000"/>
        <rFont val="Arial"/>
        <charset val="134"/>
      </rPr>
      <t>(</t>
    </r>
    <r>
      <rPr>
        <sz val="9"/>
        <color rgb="FF000000"/>
        <rFont val="楷体"/>
        <charset val="134"/>
      </rPr>
      <t>一方集团</t>
    </r>
    <r>
      <rPr>
        <sz val="9"/>
        <color rgb="FF000000"/>
        <rFont val="Arial"/>
        <charset val="134"/>
      </rPr>
      <t>),</t>
    </r>
    <r>
      <rPr>
        <sz val="9"/>
        <color rgb="FF000000"/>
        <rFont val="楷体"/>
        <charset val="134"/>
      </rPr>
      <t>信达风</t>
    </r>
    <r>
      <rPr>
        <sz val="9"/>
        <color rgb="FF000000"/>
        <rFont val="Arial"/>
        <charset val="134"/>
      </rPr>
      <t>,</t>
    </r>
    <r>
      <rPr>
        <sz val="9"/>
        <color rgb="FF000000"/>
        <rFont val="楷体"/>
        <charset val="134"/>
      </rPr>
      <t>浦银国际</t>
    </r>
  </si>
  <si>
    <r>
      <rPr>
        <sz val="9"/>
        <color rgb="FF000000"/>
        <rFont val="Arial"/>
        <charset val="134"/>
      </rPr>
      <t>78</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</si>
  <si>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文投控股</t>
    </r>
  </si>
  <si>
    <r>
      <rPr>
        <sz val="9"/>
        <color rgb="FF000000"/>
        <rFont val="Arial"/>
        <charset val="134"/>
      </rPr>
      <t>8463</t>
    </r>
    <r>
      <rPr>
        <sz val="9"/>
        <color rgb="FF000000"/>
        <rFont val="楷体"/>
        <charset val="134"/>
      </rPr>
      <t>万人民币</t>
    </r>
  </si>
  <si>
    <t>华策影视</t>
  </si>
  <si>
    <r>
      <rPr>
        <sz val="9"/>
        <color rgb="FF000000"/>
        <rFont val="Arial"/>
        <charset val="134"/>
      </rPr>
      <t>10.58</t>
    </r>
    <r>
      <rPr>
        <sz val="9"/>
        <color rgb="FF000000"/>
        <rFont val="楷体"/>
        <charset val="134"/>
      </rPr>
      <t>亿人民币</t>
    </r>
  </si>
  <si>
    <t>泛海控股</t>
  </si>
  <si>
    <r>
      <rPr>
        <sz val="9"/>
        <color rgb="FF000000"/>
        <rFont val="Arial"/>
        <charset val="134"/>
      </rPr>
      <t>12.8</t>
    </r>
    <r>
      <rPr>
        <sz val="9"/>
        <color rgb="FF000000"/>
        <rFont val="楷体"/>
        <charset val="134"/>
      </rPr>
      <t>亿人民币</t>
    </r>
  </si>
  <si>
    <t>2021-11-02</t>
  </si>
  <si>
    <t>叠境数字</t>
  </si>
  <si>
    <r>
      <rPr>
        <sz val="9"/>
        <color rgb="FF000000"/>
        <rFont val="楷体"/>
        <charset val="134"/>
      </rPr>
      <t>叠境数字</t>
    </r>
  </si>
  <si>
    <r>
      <rPr>
        <sz val="9"/>
        <color rgb="FF000000"/>
        <rFont val="楷体"/>
        <charset val="134"/>
      </rPr>
      <t>叠境数字是一家光场内容技术服务商，致力于将光场技术和人工智能研究成果应用到虚拟现实、增强现实、</t>
    </r>
    <r>
      <rPr>
        <sz val="9"/>
        <color rgb="FF000000"/>
        <rFont val="Arial"/>
        <charset val="134"/>
      </rPr>
      <t>3D</t>
    </r>
    <r>
      <rPr>
        <sz val="9"/>
        <color rgb="FF000000"/>
        <rFont val="楷体"/>
        <charset val="134"/>
      </rPr>
      <t>成像等领域，为企业提供一整套以光场采集、处理、显示为核心解决方案。</t>
    </r>
  </si>
  <si>
    <t>叠境数字科技（上海）有限公司</t>
  </si>
  <si>
    <t>http://www.plex-vr.com</t>
  </si>
  <si>
    <r>
      <t>AR/VR</t>
    </r>
    <r>
      <rPr>
        <sz val="9"/>
        <color rgb="FF000000"/>
        <rFont val="楷体"/>
        <charset val="134"/>
      </rPr>
      <t>设备</t>
    </r>
  </si>
  <si>
    <r>
      <t>A+</t>
    </r>
    <r>
      <rPr>
        <sz val="9"/>
        <color rgb="FF000000"/>
        <rFont val="楷体"/>
        <charset val="134"/>
      </rPr>
      <t>轮</t>
    </r>
  </si>
  <si>
    <r>
      <t>2000</t>
    </r>
    <r>
      <rPr>
        <sz val="9"/>
        <color rgb="FF000000"/>
        <rFont val="楷体"/>
        <charset val="134"/>
      </rPr>
      <t>万美元</t>
    </r>
  </si>
  <si>
    <r>
      <t>6.05</t>
    </r>
    <r>
      <rPr>
        <sz val="9"/>
        <color rgb="FF000000"/>
        <rFont val="楷体"/>
        <charset val="134"/>
      </rPr>
      <t>亿</t>
    </r>
  </si>
  <si>
    <r>
      <t>6.5</t>
    </r>
    <r>
      <rPr>
        <sz val="9"/>
        <color rgb="FF000000"/>
        <rFont val="楷体"/>
        <charset val="134"/>
      </rPr>
      <t>亿元</t>
    </r>
  </si>
  <si>
    <r>
      <rPr>
        <sz val="9"/>
        <color rgb="FF000000"/>
        <rFont val="楷体"/>
        <charset val="134"/>
      </rPr>
      <t>虞启铭</t>
    </r>
    <r>
      <rPr>
        <sz val="9"/>
        <color rgb="FF000000"/>
        <rFont val="Arial"/>
        <charset val="134"/>
      </rPr>
      <t xml:space="preserve"> :</t>
    </r>
    <r>
      <rPr>
        <sz val="9"/>
        <color rgb="FF000000"/>
        <rFont val="楷体"/>
        <charset val="134"/>
      </rPr>
      <t>董事长</t>
    </r>
  </si>
  <si>
    <r>
      <rPr>
        <sz val="9"/>
        <color rgb="FF000000"/>
        <rFont val="楷体"/>
        <charset val="134"/>
      </rPr>
      <t>上海市浦东新区环科路</t>
    </r>
    <r>
      <rPr>
        <sz val="9"/>
        <color rgb="FF000000"/>
        <rFont val="Arial"/>
        <charset val="134"/>
      </rPr>
      <t>515</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14</t>
    </r>
    <r>
      <rPr>
        <sz val="9"/>
        <color rgb="FF000000"/>
        <rFont val="楷体"/>
        <charset val="134"/>
      </rPr>
      <t>层</t>
    </r>
  </si>
  <si>
    <t>info@dgene.com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</si>
  <si>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</si>
  <si>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楷体"/>
        <charset val="134"/>
      </rPr>
      <t>金沙江创投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赛富基金</t>
    </r>
    <r>
      <rPr>
        <sz val="9"/>
        <color rgb="FF000000"/>
        <rFont val="Arial"/>
        <charset val="134"/>
      </rPr>
      <t>SAIF Partners</t>
    </r>
  </si>
  <si>
    <t>上海联合投资</t>
  </si>
  <si>
    <t>2018-02-02</t>
  </si>
  <si>
    <t>赶街网</t>
  </si>
  <si>
    <t>赶街网是一个城乡一体化综合电商服务平台，致力于在农村植入、普及、推广电子商务，并以此为核心延伸物流配送等服务。</t>
  </si>
  <si>
    <t>浙江赶街电子商务有限公司</t>
  </si>
  <si>
    <t>http://www.51ganjie.cn/</t>
  </si>
  <si>
    <r>
      <rPr>
        <sz val="9"/>
        <color rgb="FF000000"/>
        <rFont val="楷体"/>
        <charset val="134"/>
      </rPr>
      <t>浙江</t>
    </r>
    <r>
      <rPr>
        <sz val="9"/>
        <color rgb="FF000000"/>
        <rFont val="Arial"/>
        <charset val="134"/>
      </rPr>
      <t>-</t>
    </r>
    <r>
      <rPr>
        <sz val="9"/>
        <color rgb="FF000000"/>
        <rFont val="楷体"/>
        <charset val="134"/>
      </rPr>
      <t>丽水</t>
    </r>
  </si>
  <si>
    <t>农业电商</t>
  </si>
  <si>
    <r>
      <rPr>
        <sz val="9"/>
        <color rgb="FF000000"/>
        <rFont val="楷体"/>
        <charset val="134"/>
      </rPr>
      <t>阿里巴巴</t>
    </r>
    <r>
      <rPr>
        <sz val="9"/>
        <color rgb="FF000000"/>
        <rFont val="Arial"/>
        <charset val="134"/>
      </rPr>
      <t>,</t>
    </r>
    <r>
      <rPr>
        <sz val="9"/>
        <color rgb="FF000000"/>
        <rFont val="楷体"/>
        <charset val="134"/>
      </rPr>
      <t>西投控股</t>
    </r>
  </si>
  <si>
    <r>
      <rPr>
        <sz val="9"/>
        <color rgb="FF000000"/>
        <rFont val="楷体"/>
        <charset val="134"/>
      </rPr>
      <t>潘东明</t>
    </r>
    <r>
      <rPr>
        <sz val="9"/>
        <color rgb="FF000000"/>
        <rFont val="Arial"/>
        <charset val="134"/>
      </rPr>
      <t>:</t>
    </r>
    <r>
      <rPr>
        <sz val="9"/>
        <color rgb="FF000000"/>
        <rFont val="楷体"/>
        <charset val="134"/>
      </rPr>
      <t>董事长</t>
    </r>
  </si>
  <si>
    <r>
      <rPr>
        <sz val="9"/>
        <color rgb="FF000000"/>
        <rFont val="楷体"/>
        <charset val="134"/>
      </rPr>
      <t>浙江遂昌县妙高街道龙谷路</t>
    </r>
    <r>
      <rPr>
        <sz val="9"/>
        <color rgb="FF000000"/>
        <rFont val="Arial"/>
        <charset val="134"/>
      </rPr>
      <t>A6</t>
    </r>
    <r>
      <rPr>
        <sz val="9"/>
        <color rgb="FF000000"/>
        <rFont val="楷体"/>
        <charset val="134"/>
      </rPr>
      <t>号一楼</t>
    </r>
  </si>
  <si>
    <t>0578-855-8928</t>
  </si>
  <si>
    <t>gj@51ganjie.com</t>
  </si>
  <si>
    <t>2020-05-29</t>
  </si>
  <si>
    <t>企加云</t>
  </si>
  <si>
    <r>
      <rPr>
        <sz val="9"/>
        <color rgb="FF000000"/>
        <rFont val="楷体"/>
        <charset val="134"/>
      </rPr>
      <t>企加云是一家新零售解决方案提供商，致力于为泛零售企业及传统企业提供新零售落地方案，实现互联网数字化转型。为企业提供全渠道会员养成方法论咨询培训等一站式解决方案，并提供企业</t>
    </r>
    <r>
      <rPr>
        <sz val="9"/>
        <color rgb="FF000000"/>
        <rFont val="Arial"/>
        <charset val="134"/>
      </rPr>
      <t>IT</t>
    </r>
    <r>
      <rPr>
        <sz val="9"/>
        <color rgb="FF000000"/>
        <rFont val="楷体"/>
        <charset val="134"/>
      </rPr>
      <t>云化、营销投放等多项增值业务，帮助建设数据管理中台，实现用户数据的全生命周期管理和智能预测等。</t>
    </r>
  </si>
  <si>
    <t>埃森哲企云科技（杭州）有限公司</t>
  </si>
  <si>
    <t>http://itrigger.cn/</t>
  </si>
  <si>
    <t>2017-07</t>
  </si>
  <si>
    <r>
      <rPr>
        <sz val="9"/>
        <color rgb="FF000000"/>
        <rFont val="楷体"/>
        <charset val="134"/>
      </rPr>
      <t>埃森哲</t>
    </r>
    <r>
      <rPr>
        <sz val="9"/>
        <color rgb="FF000000"/>
        <rFont val="Arial"/>
        <charset val="134"/>
      </rPr>
      <t>Accenture</t>
    </r>
  </si>
  <si>
    <r>
      <rPr>
        <sz val="9"/>
        <color rgb="FF000000"/>
        <rFont val="Arial"/>
        <charset val="134"/>
      </rPr>
      <t>1</t>
    </r>
    <r>
      <rPr>
        <sz val="9"/>
        <color rgb="FF000000"/>
        <rFont val="楷体"/>
        <charset val="134"/>
      </rPr>
      <t>亿</t>
    </r>
  </si>
  <si>
    <r>
      <rPr>
        <sz val="9"/>
        <color rgb="FF000000"/>
        <rFont val="楷体"/>
        <charset val="134"/>
      </rPr>
      <t>喻思成</t>
    </r>
    <r>
      <rPr>
        <sz val="9"/>
        <color rgb="FF000000"/>
        <rFont val="Arial"/>
        <charset val="134"/>
      </rPr>
      <t>:</t>
    </r>
    <r>
      <rPr>
        <sz val="9"/>
        <color rgb="FF000000"/>
        <rFont val="楷体"/>
        <charset val="134"/>
      </rPr>
      <t>创始人</t>
    </r>
  </si>
  <si>
    <r>
      <rPr>
        <sz val="9"/>
        <color rgb="FF000000"/>
        <rFont val="楷体"/>
        <charset val="134"/>
      </rPr>
      <t>浙江省杭州市滨江区滨安路</t>
    </r>
    <r>
      <rPr>
        <sz val="9"/>
        <color rgb="FF000000"/>
        <rFont val="Arial"/>
        <charset val="134"/>
      </rPr>
      <t>1197</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560</t>
    </r>
    <r>
      <rPr>
        <sz val="9"/>
        <color rgb="FF000000"/>
        <rFont val="楷体"/>
        <charset val="134"/>
      </rPr>
      <t>室</t>
    </r>
    <r>
      <rPr>
        <sz val="9"/>
        <color rgb="FF000000"/>
        <rFont val="Arial"/>
        <charset val="134"/>
      </rPr>
      <t>;</t>
    </r>
    <r>
      <rPr>
        <sz val="9"/>
        <color rgb="FF000000"/>
        <rFont val="楷体"/>
        <charset val="134"/>
      </rPr>
      <t>浙江省杭州市滨江区聚光中心</t>
    </r>
    <r>
      <rPr>
        <sz val="9"/>
        <color rgb="FF000000"/>
        <rFont val="Arial"/>
        <charset val="134"/>
      </rPr>
      <t>B</t>
    </r>
    <r>
      <rPr>
        <sz val="9"/>
        <color rgb="FF000000"/>
        <rFont val="楷体"/>
        <charset val="134"/>
      </rPr>
      <t>座</t>
    </r>
    <r>
      <rPr>
        <sz val="9"/>
        <color rgb="FF000000"/>
        <rFont val="Arial"/>
        <charset val="134"/>
      </rPr>
      <t>1202</t>
    </r>
    <r>
      <rPr>
        <sz val="9"/>
        <color rgb="FF000000"/>
        <rFont val="楷体"/>
        <charset val="134"/>
      </rPr>
      <t>室</t>
    </r>
  </si>
  <si>
    <t>0575 - 2883-4534</t>
  </si>
  <si>
    <t>contact@qijiayun.com‍</t>
  </si>
  <si>
    <r>
      <rPr>
        <sz val="9"/>
        <color rgb="FF000000"/>
        <rFont val="楷体"/>
        <charset val="134"/>
      </rPr>
      <t>阿里巴巴</t>
    </r>
    <r>
      <rPr>
        <sz val="9"/>
        <color rgb="FF000000"/>
        <rFont val="Arial"/>
        <charset val="134"/>
      </rPr>
      <t>,</t>
    </r>
    <r>
      <rPr>
        <sz val="9"/>
        <color rgb="FF000000"/>
        <rFont val="楷体"/>
        <charset val="134"/>
      </rPr>
      <t>银杏谷资本</t>
    </r>
    <r>
      <rPr>
        <sz val="9"/>
        <color rgb="FF000000"/>
        <rFont val="Arial"/>
        <charset val="134"/>
      </rPr>
      <t>,</t>
    </r>
    <r>
      <rPr>
        <sz val="9"/>
        <color rgb="FF000000"/>
        <rFont val="楷体"/>
        <charset val="134"/>
      </rPr>
      <t>元璟资本</t>
    </r>
  </si>
  <si>
    <t>2022-03-01</t>
  </si>
  <si>
    <t>奥哲</t>
  </si>
  <si>
    <r>
      <rPr>
        <sz val="9"/>
        <color rgb="FF000000"/>
        <rFont val="楷体"/>
        <charset val="134"/>
      </rPr>
      <t>奥哲是一家数字化平台服务商，通过低代码技术助力企业与组织实现数字化升级。旗下拥有氚云、奥哲</t>
    </r>
    <r>
      <rPr>
        <sz val="9"/>
        <color rgb="FF000000"/>
        <rFont val="Arial"/>
        <charset val="134"/>
      </rPr>
      <t>·</t>
    </r>
    <r>
      <rPr>
        <sz val="9"/>
        <color rgb="FF000000"/>
        <rFont val="楷体"/>
        <charset val="134"/>
      </rPr>
      <t>云枢、奥哲</t>
    </r>
    <r>
      <rPr>
        <sz val="9"/>
        <color rgb="FF000000"/>
        <rFont val="Arial"/>
        <charset val="134"/>
      </rPr>
      <t>·H3 BPM</t>
    </r>
    <r>
      <rPr>
        <sz val="9"/>
        <color rgb="FF000000"/>
        <rFont val="楷体"/>
        <charset val="134"/>
      </rPr>
      <t>三款核心产品，目前已服务超过</t>
    </r>
    <r>
      <rPr>
        <sz val="9"/>
        <color rgb="FF000000"/>
        <rFont val="Arial"/>
        <charset val="134"/>
      </rPr>
      <t>10</t>
    </r>
    <r>
      <rPr>
        <sz val="9"/>
        <color rgb="FF000000"/>
        <rFont val="楷体"/>
        <charset val="134"/>
      </rPr>
      <t>万家企业组织，包括</t>
    </r>
    <r>
      <rPr>
        <sz val="9"/>
        <color rgb="FF000000"/>
        <rFont val="Arial"/>
        <charset val="134"/>
      </rPr>
      <t>40%</t>
    </r>
    <r>
      <rPr>
        <sz val="9"/>
        <color rgb="FF000000"/>
        <rFont val="楷体"/>
        <charset val="134"/>
      </rPr>
      <t>中国</t>
    </r>
    <r>
      <rPr>
        <sz val="9"/>
        <color rgb="FF000000"/>
        <rFont val="Arial"/>
        <charset val="134"/>
      </rPr>
      <t>500</t>
    </r>
    <r>
      <rPr>
        <sz val="9"/>
        <color rgb="FF000000"/>
        <rFont val="楷体"/>
        <charset val="134"/>
      </rPr>
      <t>强企业、</t>
    </r>
    <r>
      <rPr>
        <sz val="9"/>
        <color rgb="FF000000"/>
        <rFont val="Arial"/>
        <charset val="134"/>
      </rPr>
      <t>500+</t>
    </r>
    <r>
      <rPr>
        <sz val="9"/>
        <color rgb="FF000000"/>
        <rFont val="楷体"/>
        <charset val="134"/>
      </rPr>
      <t>大型集团企业，已获得包括阿里、高榕资本在内的多轮资本投资。</t>
    </r>
  </si>
  <si>
    <t>深圳奥哲网络科技有限公司</t>
  </si>
  <si>
    <t>http://www.authine.com/</t>
  </si>
  <si>
    <r>
      <rPr>
        <sz val="9"/>
        <color rgb="FF000000"/>
        <rFont val="楷体"/>
        <charset val="134"/>
      </rPr>
      <t>东方富海</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麦星投资</t>
    </r>
    <r>
      <rPr>
        <sz val="9"/>
        <color rgb="FF000000"/>
        <rFont val="Arial"/>
        <charset val="134"/>
      </rPr>
      <t>,</t>
    </r>
    <r>
      <rPr>
        <sz val="9"/>
        <color rgb="FF000000"/>
        <rFont val="楷体"/>
        <charset val="134"/>
      </rPr>
      <t>华泰创新</t>
    </r>
    <r>
      <rPr>
        <sz val="9"/>
        <color rgb="FF000000"/>
        <rFont val="Arial"/>
        <charset val="134"/>
      </rPr>
      <t>,</t>
    </r>
    <r>
      <rPr>
        <sz val="9"/>
        <color rgb="FF000000"/>
        <rFont val="楷体"/>
        <charset val="134"/>
      </rPr>
      <t>钧山资本</t>
    </r>
  </si>
  <si>
    <r>
      <rPr>
        <sz val="9"/>
        <color rgb="FF000000"/>
        <rFont val="Arial"/>
        <charset val="134"/>
      </rPr>
      <t>8.9</t>
    </r>
    <r>
      <rPr>
        <sz val="9"/>
        <color rgb="FF000000"/>
        <rFont val="楷体"/>
        <charset val="134"/>
      </rPr>
      <t>亿</t>
    </r>
  </si>
  <si>
    <r>
      <rPr>
        <sz val="9"/>
        <color rgb="FF000000"/>
        <rFont val="楷体"/>
        <charset val="134"/>
      </rPr>
      <t>徐平俊</t>
    </r>
    <r>
      <rPr>
        <sz val="9"/>
        <color rgb="FF000000"/>
        <rFont val="Arial"/>
        <charset val="134"/>
      </rPr>
      <t>:</t>
    </r>
    <r>
      <rPr>
        <sz val="9"/>
        <color rgb="FF000000"/>
        <rFont val="楷体"/>
        <charset val="134"/>
      </rPr>
      <t>创始人</t>
    </r>
  </si>
  <si>
    <r>
      <rPr>
        <sz val="9"/>
        <color rgb="FF000000"/>
        <rFont val="楷体"/>
        <charset val="134"/>
      </rPr>
      <t>深圳市南山区科兴科学园</t>
    </r>
    <r>
      <rPr>
        <sz val="9"/>
        <color rgb="FF000000"/>
        <rFont val="Arial"/>
        <charset val="134"/>
      </rPr>
      <t>B4</t>
    </r>
    <r>
      <rPr>
        <sz val="9"/>
        <color rgb="FF000000"/>
        <rFont val="楷体"/>
        <charset val="134"/>
      </rPr>
      <t>单元</t>
    </r>
    <r>
      <rPr>
        <sz val="9"/>
        <color rgb="FF000000"/>
        <rFont val="Arial"/>
        <charset val="134"/>
      </rPr>
      <t>6</t>
    </r>
    <r>
      <rPr>
        <sz val="9"/>
        <color rgb="FF000000"/>
        <rFont val="楷体"/>
        <charset val="134"/>
      </rPr>
      <t>层</t>
    </r>
  </si>
  <si>
    <t>400-889-8625</t>
  </si>
  <si>
    <t>market@authine.com</t>
  </si>
  <si>
    <r>
      <rPr>
        <sz val="9"/>
        <color rgb="FF000000"/>
        <rFont val="楷体"/>
        <charset val="134"/>
      </rPr>
      <t>华创资本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宜信财富</t>
    </r>
    <r>
      <rPr>
        <sz val="9"/>
        <color rgb="FF000000"/>
        <rFont val="Arial"/>
        <charset val="134"/>
      </rPr>
      <t>,</t>
    </r>
    <r>
      <rPr>
        <sz val="9"/>
        <color rgb="FF000000"/>
        <rFont val="楷体"/>
        <charset val="134"/>
      </rPr>
      <t>华泰创新</t>
    </r>
  </si>
  <si>
    <t>高榕资本</t>
  </si>
  <si>
    <t>加法股权投资</t>
  </si>
  <si>
    <t>2018-02-09</t>
  </si>
  <si>
    <t>浩鲸科技</t>
  </si>
  <si>
    <r>
      <rPr>
        <sz val="9"/>
        <color rgb="FF000000"/>
        <rFont val="楷体"/>
        <charset val="134"/>
      </rPr>
      <t>浩鲸科技是一家全球领先的数据智能科技公司，致力于帮助全球企业客户实现向数字经济的跨越。公司成立于</t>
    </r>
    <r>
      <rPr>
        <sz val="9"/>
        <color rgb="FF000000"/>
        <rFont val="Arial"/>
        <charset val="134"/>
      </rPr>
      <t>2003</t>
    </r>
    <r>
      <rPr>
        <sz val="9"/>
        <color rgb="FF000000"/>
        <rFont val="楷体"/>
        <charset val="134"/>
      </rPr>
      <t>年，迄今已为</t>
    </r>
    <r>
      <rPr>
        <sz val="9"/>
        <color rgb="FF000000"/>
        <rFont val="Arial"/>
        <charset val="134"/>
      </rPr>
      <t>80</t>
    </r>
    <r>
      <rPr>
        <sz val="9"/>
        <color rgb="FF000000"/>
        <rFont val="楷体"/>
        <charset val="134"/>
      </rPr>
      <t>多个国家和地区的电信、公共部门及其他行业客户提供优质的解决方案和产品服务。在云、数据、人工智能方面的技术积累，发挥自身在复杂场景下系统构建的经验优势，沉淀打造自主化、高可信的全栈云</t>
    </r>
    <r>
      <rPr>
        <sz val="9"/>
        <color rgb="FF000000"/>
        <rFont val="Arial"/>
        <charset val="134"/>
      </rPr>
      <t>+</t>
    </r>
    <r>
      <rPr>
        <sz val="9"/>
        <color rgb="FF000000"/>
        <rFont val="楷体"/>
        <charset val="134"/>
      </rPr>
      <t>数智融合能力体系；另一方面充分汲取互联网领域技术和业务创新的思维逻辑，为数字化转型提供先进的方法论、工具及行业经验，降低数字化技术的使用门槛，加速行业数字化转型进程。</t>
    </r>
  </si>
  <si>
    <t>浩鲸云计算科技股份有限公司</t>
  </si>
  <si>
    <t>https://www.iwhalecloud.com/</t>
  </si>
  <si>
    <t>2003-02</t>
  </si>
  <si>
    <r>
      <rPr>
        <sz val="9"/>
        <color rgb="FF000000"/>
        <rFont val="Arial"/>
        <charset val="134"/>
      </rPr>
      <t>12.23</t>
    </r>
    <r>
      <rPr>
        <sz val="9"/>
        <color rgb="FF000000"/>
        <rFont val="楷体"/>
        <charset val="134"/>
      </rPr>
      <t>亿人民币</t>
    </r>
  </si>
  <si>
    <r>
      <rPr>
        <sz val="9"/>
        <color rgb="FF000000"/>
        <rFont val="Arial"/>
        <charset val="134"/>
      </rPr>
      <t>13.23</t>
    </r>
    <r>
      <rPr>
        <sz val="9"/>
        <color rgb="FF000000"/>
        <rFont val="楷体"/>
        <charset val="134"/>
      </rPr>
      <t>亿</t>
    </r>
  </si>
  <si>
    <r>
      <rPr>
        <sz val="9"/>
        <color rgb="FF000000"/>
        <rFont val="Arial"/>
        <charset val="134"/>
      </rPr>
      <t>61.165</t>
    </r>
    <r>
      <rPr>
        <sz val="9"/>
        <color rgb="FF000000"/>
        <rFont val="楷体"/>
        <charset val="134"/>
      </rPr>
      <t>亿元</t>
    </r>
  </si>
  <si>
    <r>
      <rPr>
        <sz val="9"/>
        <color rgb="FF000000"/>
        <rFont val="楷体"/>
        <charset val="134"/>
      </rPr>
      <t>鲍钟峻</t>
    </r>
    <r>
      <rPr>
        <sz val="9"/>
        <color rgb="FF000000"/>
        <rFont val="Arial"/>
        <charset val="134"/>
      </rPr>
      <t>:</t>
    </r>
    <r>
      <rPr>
        <sz val="9"/>
        <color rgb="FF000000"/>
        <rFont val="楷体"/>
        <charset val="134"/>
      </rPr>
      <t>董事长兼</t>
    </r>
    <r>
      <rPr>
        <sz val="9"/>
        <color rgb="FF000000"/>
        <rFont val="Arial"/>
        <charset val="134"/>
      </rPr>
      <t xml:space="preserve">CEO	</t>
    </r>
  </si>
  <si>
    <r>
      <rPr>
        <sz val="9"/>
        <color rgb="FF000000"/>
        <rFont val="楷体"/>
        <charset val="134"/>
      </rPr>
      <t>南京市雨花台区紫荆花路</t>
    </r>
    <r>
      <rPr>
        <sz val="9"/>
        <color rgb="FF000000"/>
        <rFont val="Arial"/>
        <charset val="134"/>
      </rPr>
      <t>68</t>
    </r>
    <r>
      <rPr>
        <sz val="9"/>
        <color rgb="FF000000"/>
        <rFont val="楷体"/>
        <charset val="134"/>
      </rPr>
      <t>号</t>
    </r>
  </si>
  <si>
    <t xml:space="preserve"> 025-6666-9555</t>
  </si>
  <si>
    <t>ztesoft.com.cn</t>
  </si>
  <si>
    <t>2020-12-16</t>
  </si>
  <si>
    <t>恒玄科技</t>
  </si>
  <si>
    <r>
      <rPr>
        <sz val="9"/>
        <color rgb="FF000000"/>
        <rFont val="楷体"/>
        <charset val="134"/>
      </rPr>
      <t>恒玄科技是一家</t>
    </r>
    <r>
      <rPr>
        <sz val="9"/>
        <color rgb="FF000000"/>
        <rFont val="Arial"/>
        <charset val="134"/>
      </rPr>
      <t>SOC</t>
    </r>
    <r>
      <rPr>
        <sz val="9"/>
        <color rgb="FF000000"/>
        <rFont val="楷体"/>
        <charset val="134"/>
      </rPr>
      <t>芯片研发商，主要产品为具备</t>
    </r>
    <r>
      <rPr>
        <sz val="9"/>
        <color rgb="FF000000"/>
        <rFont val="Arial"/>
        <charset val="134"/>
      </rPr>
      <t>WIFI/BT</t>
    </r>
    <r>
      <rPr>
        <sz val="9"/>
        <color rgb="FF000000"/>
        <rFont val="楷体"/>
        <charset val="134"/>
      </rPr>
      <t>无线连接的音频系统级芯片，具有高集成度、低功耗、高性能的特点，产品广泛应用于移动手持、智能硬件、消费电子等领域。</t>
    </r>
  </si>
  <si>
    <t>恒玄科技（上海）股份有限公司</t>
  </si>
  <si>
    <t>http://www.bestechnic.com/</t>
  </si>
  <si>
    <r>
      <rPr>
        <sz val="9"/>
        <color rgb="FF000000"/>
        <rFont val="Arial"/>
        <charset val="134"/>
      </rPr>
      <t>468.99</t>
    </r>
    <r>
      <rPr>
        <sz val="9"/>
        <color rgb="FF000000"/>
        <rFont val="楷体"/>
        <charset val="134"/>
      </rPr>
      <t>亿元</t>
    </r>
  </si>
  <si>
    <r>
      <rPr>
        <sz val="9"/>
        <color rgb="FF000000"/>
        <rFont val="楷体"/>
        <charset val="134"/>
      </rPr>
      <t>张亮</t>
    </r>
    <r>
      <rPr>
        <sz val="9"/>
        <color rgb="FF000000"/>
        <rFont val="Arial"/>
        <charset val="134"/>
      </rPr>
      <t>:</t>
    </r>
    <r>
      <rPr>
        <sz val="9"/>
        <color rgb="FF000000"/>
        <rFont val="楷体"/>
        <charset val="134"/>
      </rPr>
      <t>董事长</t>
    </r>
  </si>
  <si>
    <r>
      <rPr>
        <sz val="9"/>
        <color rgb="FF000000"/>
        <rFont val="楷体"/>
        <charset val="134"/>
      </rPr>
      <t>中国（上海）自由贸易试验区美盛路</t>
    </r>
    <r>
      <rPr>
        <sz val="9"/>
        <color rgb="FF000000"/>
        <rFont val="Arial"/>
        <charset val="134"/>
      </rPr>
      <t>171</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6</t>
    </r>
    <r>
      <rPr>
        <sz val="9"/>
        <color rgb="FF000000"/>
        <rFont val="楷体"/>
        <charset val="134"/>
      </rPr>
      <t>层</t>
    </r>
    <r>
      <rPr>
        <sz val="9"/>
        <color rgb="FF000000"/>
        <rFont val="Arial"/>
        <charset val="134"/>
      </rPr>
      <t>647</t>
    </r>
    <r>
      <rPr>
        <sz val="9"/>
        <color rgb="FF000000"/>
        <rFont val="楷体"/>
        <charset val="134"/>
      </rPr>
      <t>室</t>
    </r>
  </si>
  <si>
    <t>021-6886-7870</t>
  </si>
  <si>
    <t xml:space="preserve"> hr@bestechnic.com</t>
  </si>
  <si>
    <r>
      <rPr>
        <sz val="9"/>
        <color rgb="FF000000"/>
        <rFont val="楷体"/>
        <charset val="134"/>
      </rPr>
      <t>深创投</t>
    </r>
    <r>
      <rPr>
        <sz val="9"/>
        <color rgb="FF000000"/>
        <rFont val="Arial"/>
        <charset val="134"/>
      </rPr>
      <t>,</t>
    </r>
    <r>
      <rPr>
        <sz val="9"/>
        <color rgb="FF000000"/>
        <rFont val="楷体"/>
        <charset val="134"/>
      </rPr>
      <t>林楠资本</t>
    </r>
  </si>
  <si>
    <r>
      <rPr>
        <sz val="9"/>
        <color rgb="FF000000"/>
        <rFont val="楷体"/>
        <charset val="134"/>
      </rPr>
      <t>阿里巴巴</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君度投资</t>
    </r>
    <r>
      <rPr>
        <sz val="9"/>
        <color rgb="FF000000"/>
        <rFont val="Arial"/>
        <charset val="134"/>
      </rPr>
      <t>,</t>
    </r>
    <r>
      <rPr>
        <sz val="9"/>
        <color rgb="FF000000"/>
        <rFont val="楷体"/>
        <charset val="134"/>
      </rPr>
      <t>小米长江产业基金</t>
    </r>
    <r>
      <rPr>
        <sz val="9"/>
        <color rgb="FF000000"/>
        <rFont val="Arial"/>
        <charset val="134"/>
      </rPr>
      <t>,</t>
    </r>
    <r>
      <rPr>
        <sz val="9"/>
        <color rgb="FF000000"/>
        <rFont val="楷体"/>
        <charset val="134"/>
      </rPr>
      <t>深圳安创科技投资</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</si>
  <si>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璞华资本</t>
    </r>
    <r>
      <rPr>
        <sz val="9"/>
        <color rgb="FF000000"/>
        <rFont val="Arial"/>
        <charset val="134"/>
      </rPr>
      <t>,</t>
    </r>
    <r>
      <rPr>
        <sz val="9"/>
        <color rgb="FF000000"/>
        <rFont val="楷体"/>
        <charset val="134"/>
      </rPr>
      <t>清控银杏创投</t>
    </r>
    <r>
      <rPr>
        <sz val="9"/>
        <color rgb="FF000000"/>
        <rFont val="Arial"/>
        <charset val="134"/>
      </rPr>
      <t>,</t>
    </r>
    <r>
      <rPr>
        <sz val="9"/>
        <color rgb="FF000000"/>
        <rFont val="楷体"/>
        <charset val="134"/>
      </rPr>
      <t>仁馨资本</t>
    </r>
    <r>
      <rPr>
        <sz val="9"/>
        <color rgb="FF000000"/>
        <rFont val="Arial"/>
        <charset val="134"/>
      </rPr>
      <t>,</t>
    </r>
    <r>
      <rPr>
        <sz val="9"/>
        <color rgb="FF000000"/>
        <rFont val="楷体"/>
        <charset val="134"/>
      </rPr>
      <t>北京集成电路产业基金</t>
    </r>
  </si>
  <si>
    <t>中国铁塔</t>
  </si>
  <si>
    <r>
      <rPr>
        <sz val="9"/>
        <color rgb="FF000000"/>
        <rFont val="楷体"/>
        <charset val="134"/>
      </rPr>
      <t>中国铁塔是一家大型通信基础设施综合服务企业，主要从事通信铁塔等基站配套设施和室内分布系统的建设、维护和运营。是由中国电信、中国移动和中国联通共同出资成立，旗下拥有铁塔总量约</t>
    </r>
    <r>
      <rPr>
        <sz val="9"/>
        <color rgb="FF000000"/>
        <rFont val="Arial"/>
        <charset val="134"/>
      </rPr>
      <t>170</t>
    </r>
    <r>
      <rPr>
        <sz val="9"/>
        <color rgb="FF000000"/>
        <rFont val="楷体"/>
        <charset val="134"/>
      </rPr>
      <t>万座。</t>
    </r>
  </si>
  <si>
    <t>中国铁塔股份有限公司</t>
  </si>
  <si>
    <t>http://www.tower.com.cn</t>
  </si>
  <si>
    <r>
      <rPr>
        <sz val="9"/>
        <color rgb="FF000000"/>
        <rFont val="Arial"/>
        <charset val="134"/>
      </rPr>
      <t>543</t>
    </r>
    <r>
      <rPr>
        <sz val="9"/>
        <color rgb="FF000000"/>
        <rFont val="楷体"/>
        <charset val="134"/>
      </rPr>
      <t>亿港元</t>
    </r>
  </si>
  <si>
    <r>
      <rPr>
        <sz val="9"/>
        <color rgb="FF000000"/>
        <rFont val="Arial"/>
        <charset val="134"/>
      </rPr>
      <t>441.9</t>
    </r>
    <r>
      <rPr>
        <sz val="9"/>
        <color rgb="FF000000"/>
        <rFont val="楷体"/>
        <charset val="134"/>
      </rPr>
      <t>亿</t>
    </r>
  </si>
  <si>
    <r>
      <rPr>
        <sz val="9"/>
        <color rgb="FF000000"/>
        <rFont val="Arial"/>
        <charset val="134"/>
      </rPr>
      <t>1752</t>
    </r>
    <r>
      <rPr>
        <sz val="9"/>
        <color rgb="FF000000"/>
        <rFont val="楷体"/>
        <charset val="134"/>
      </rPr>
      <t>亿元</t>
    </r>
  </si>
  <si>
    <r>
      <rPr>
        <sz val="9"/>
        <color rgb="FF000000"/>
        <rFont val="楷体"/>
        <charset val="134"/>
      </rPr>
      <t>刘爱力</t>
    </r>
    <r>
      <rPr>
        <sz val="9"/>
        <color rgb="FF000000"/>
        <rFont val="Arial"/>
        <charset val="134"/>
      </rPr>
      <t>:</t>
    </r>
    <r>
      <rPr>
        <sz val="9"/>
        <color rgb="FF000000"/>
        <rFont val="楷体"/>
        <charset val="134"/>
      </rPr>
      <t>董事长</t>
    </r>
  </si>
  <si>
    <r>
      <rPr>
        <sz val="9"/>
        <color rgb="FF000000"/>
        <rFont val="楷体"/>
        <charset val="134"/>
      </rPr>
      <t>北京市海淀区阜成路</t>
    </r>
    <r>
      <rPr>
        <sz val="9"/>
        <color rgb="FF000000"/>
        <rFont val="Arial"/>
        <charset val="134"/>
      </rPr>
      <t>73</t>
    </r>
    <r>
      <rPr>
        <sz val="9"/>
        <color rgb="FF000000"/>
        <rFont val="楷体"/>
        <charset val="134"/>
      </rPr>
      <t>号</t>
    </r>
    <r>
      <rPr>
        <sz val="9"/>
        <color rgb="FF000000"/>
        <rFont val="Arial"/>
        <charset val="134"/>
      </rPr>
      <t>19</t>
    </r>
    <r>
      <rPr>
        <sz val="9"/>
        <color rgb="FF000000"/>
        <rFont val="楷体"/>
        <charset val="134"/>
      </rPr>
      <t>层</t>
    </r>
  </si>
  <si>
    <t>010-68708693</t>
  </si>
  <si>
    <t>shengxz@chinatowercom.cn</t>
  </si>
  <si>
    <t>中油资本</t>
  </si>
  <si>
    <r>
      <rPr>
        <sz val="9"/>
        <color rgb="FF000000"/>
        <rFont val="楷体"/>
        <charset val="134"/>
      </rPr>
      <t>阿里巴巴</t>
    </r>
    <r>
      <rPr>
        <sz val="9"/>
        <color rgb="FF000000"/>
        <rFont val="Arial"/>
        <charset val="134"/>
      </rPr>
      <t>,</t>
    </r>
    <r>
      <rPr>
        <sz val="9"/>
        <color rgb="FF000000"/>
        <rFont val="楷体"/>
        <charset val="134"/>
      </rPr>
      <t>高瓴投资</t>
    </r>
  </si>
  <si>
    <t>2022-12-09</t>
  </si>
  <si>
    <t>清众科技</t>
  </si>
  <si>
    <r>
      <rPr>
        <sz val="9"/>
        <color rgb="FF000000"/>
        <rFont val="楷体"/>
        <charset val="134"/>
      </rPr>
      <t>清众科技</t>
    </r>
  </si>
  <si>
    <r>
      <rPr>
        <sz val="9"/>
        <color rgb="FF000000"/>
        <rFont val="楷体"/>
        <charset val="134"/>
      </rPr>
      <t>清众科技专注于大数据采集、处理、挖掘、可视化等应用和大数据安全技术研究，致力于成为数字城市的建设者和信息安全的守护者。服务的行业板块主要为政府及农业、旅游、交通、公安、通信、煤炭、金融、环保等多个行业，为其提供了多元化解决方案、数字应用产品及贴合行业发展的服务。</t>
    </r>
  </si>
  <si>
    <t>山西清众科技股份有限公司</t>
  </si>
  <si>
    <t>http://www.tizones.cn/</t>
  </si>
  <si>
    <r>
      <rPr>
        <sz val="9"/>
        <color rgb="FF000000"/>
        <rFont val="楷体"/>
        <charset val="134"/>
      </rPr>
      <t>山西</t>
    </r>
    <r>
      <rPr>
        <sz val="9"/>
        <color rgb="FF000000"/>
        <rFont val="Arial"/>
        <charset val="134"/>
      </rPr>
      <t>-</t>
    </r>
    <r>
      <rPr>
        <sz val="9"/>
        <color rgb="FF000000"/>
        <rFont val="楷体"/>
        <charset val="134"/>
      </rPr>
      <t>太原</t>
    </r>
  </si>
  <si>
    <r>
      <rPr>
        <sz val="9"/>
        <color rgb="FF000000"/>
        <rFont val="楷体"/>
        <charset val="134"/>
      </rPr>
      <t>新三板定增</t>
    </r>
  </si>
  <si>
    <r>
      <t>3002</t>
    </r>
    <r>
      <rPr>
        <sz val="9"/>
        <color rgb="FF000000"/>
        <rFont val="楷体"/>
        <charset val="134"/>
      </rPr>
      <t>万人民币</t>
    </r>
  </si>
  <si>
    <r>
      <t>1.3</t>
    </r>
    <r>
      <rPr>
        <sz val="9"/>
        <color rgb="FF000000"/>
        <rFont val="楷体"/>
        <charset val="134"/>
      </rPr>
      <t>亿</t>
    </r>
  </si>
  <si>
    <r>
      <t>1.501</t>
    </r>
    <r>
      <rPr>
        <sz val="9"/>
        <color rgb="FF000000"/>
        <rFont val="楷体"/>
        <charset val="134"/>
      </rPr>
      <t>亿元</t>
    </r>
  </si>
  <si>
    <r>
      <rPr>
        <sz val="9"/>
        <color rgb="FF000000"/>
        <rFont val="楷体"/>
        <charset val="134"/>
      </rPr>
      <t>王庆生</t>
    </r>
    <r>
      <rPr>
        <sz val="9"/>
        <color rgb="FF000000"/>
        <rFont val="Arial"/>
        <charset val="134"/>
      </rPr>
      <t xml:space="preserve"> :</t>
    </r>
    <r>
      <rPr>
        <sz val="9"/>
        <color rgb="FF000000"/>
        <rFont val="楷体"/>
        <charset val="134"/>
      </rPr>
      <t>董事长</t>
    </r>
    <r>
      <rPr>
        <sz val="9"/>
        <color rgb="FF000000"/>
        <rFont val="Arial"/>
        <charset val="134"/>
      </rPr>
      <t xml:space="preserve"> </t>
    </r>
  </si>
  <si>
    <r>
      <rPr>
        <sz val="9"/>
        <color rgb="FF000000"/>
        <rFont val="楷体"/>
        <charset val="134"/>
      </rPr>
      <t>太原高新区南中环街</t>
    </r>
    <r>
      <rPr>
        <sz val="9"/>
        <color rgb="FF000000"/>
        <rFont val="Arial"/>
        <charset val="134"/>
      </rPr>
      <t>529</t>
    </r>
    <r>
      <rPr>
        <sz val="9"/>
        <color rgb="FF000000"/>
        <rFont val="楷体"/>
        <charset val="134"/>
      </rPr>
      <t>号清控创新基地</t>
    </r>
    <r>
      <rPr>
        <sz val="9"/>
        <color rgb="FF000000"/>
        <rFont val="Arial"/>
        <charset val="134"/>
      </rPr>
      <t>A</t>
    </r>
    <r>
      <rPr>
        <sz val="9"/>
        <color rgb="FF000000"/>
        <rFont val="楷体"/>
        <charset val="134"/>
      </rPr>
      <t>座</t>
    </r>
    <r>
      <rPr>
        <sz val="9"/>
        <color rgb="FF000000"/>
        <rFont val="Arial"/>
        <charset val="134"/>
      </rPr>
      <t>7</t>
    </r>
    <r>
      <rPr>
        <sz val="9"/>
        <color rgb="FF000000"/>
        <rFont val="楷体"/>
        <charset val="134"/>
      </rPr>
      <t>层</t>
    </r>
  </si>
  <si>
    <t xml:space="preserve">0351-703-7033 </t>
  </si>
  <si>
    <t xml:space="preserve">sxthx@163.com </t>
  </si>
  <si>
    <t>2017-08-01</t>
  </si>
  <si>
    <t>书旗小说</t>
  </si>
  <si>
    <t>书旗小说是一款小说在线阅读工具，提供多种类小说的在线阅读服务，软件包含在线阅读、自动书签、智能搜索、阅读设置等多项功能，并且支持夜间模式及有声听书，小说覆盖古言、幻言、校园、都市等多个种类。</t>
  </si>
  <si>
    <t>广州阿里巴巴文学信息技术有限公司</t>
  </si>
  <si>
    <t>http://t.shuqi.com/</t>
  </si>
  <si>
    <t>2013-10</t>
  </si>
  <si>
    <r>
      <rPr>
        <sz val="9"/>
        <color rgb="FF000000"/>
        <rFont val="楷体"/>
        <charset val="134"/>
      </rPr>
      <t>黎直前</t>
    </r>
    <r>
      <rPr>
        <sz val="9"/>
        <color rgb="FF000000"/>
        <rFont val="Arial"/>
        <charset val="134"/>
      </rPr>
      <t>:CEO</t>
    </r>
  </si>
  <si>
    <r>
      <rPr>
        <sz val="9"/>
        <color rgb="FF000000"/>
        <rFont val="楷体"/>
        <charset val="134"/>
      </rPr>
      <t>广州市天河区黄埔大道西平云路</t>
    </r>
    <r>
      <rPr>
        <sz val="9"/>
        <color rgb="FF000000"/>
        <rFont val="Arial"/>
        <charset val="134"/>
      </rPr>
      <t>163</t>
    </r>
    <r>
      <rPr>
        <sz val="9"/>
        <color rgb="FF000000"/>
        <rFont val="楷体"/>
        <charset val="134"/>
      </rPr>
      <t>号广电平云广场</t>
    </r>
    <r>
      <rPr>
        <sz val="9"/>
        <color rgb="FF000000"/>
        <rFont val="Arial"/>
        <charset val="134"/>
      </rPr>
      <t>B</t>
    </r>
    <r>
      <rPr>
        <sz val="9"/>
        <color rgb="FF000000"/>
        <rFont val="楷体"/>
        <charset val="134"/>
      </rPr>
      <t>塔</t>
    </r>
    <r>
      <rPr>
        <sz val="9"/>
        <color rgb="FF000000"/>
        <rFont val="Arial"/>
        <charset val="134"/>
      </rPr>
      <t>13</t>
    </r>
    <r>
      <rPr>
        <sz val="9"/>
        <color rgb="FF000000"/>
        <rFont val="楷体"/>
        <charset val="134"/>
      </rPr>
      <t>层自编</t>
    </r>
    <r>
      <rPr>
        <sz val="9"/>
        <color rgb="FF000000"/>
        <rFont val="Arial"/>
        <charset val="134"/>
      </rPr>
      <t>03</t>
    </r>
    <r>
      <rPr>
        <sz val="9"/>
        <color rgb="FF000000"/>
        <rFont val="楷体"/>
        <charset val="134"/>
      </rPr>
      <t>单元（本住所限写字楼功能）</t>
    </r>
  </si>
  <si>
    <t>020-6682-4888</t>
  </si>
  <si>
    <t>xiechan.xc@alibaba-inc.com</t>
  </si>
  <si>
    <t>2017-12-26</t>
  </si>
  <si>
    <t>纽仕兰新云</t>
  </si>
  <si>
    <t>纽仕兰新云主要从事于进口贸易业务，将原产新西兰的乳制品（包括鲜奶、常温奶以及各类奶粉产品）在中国市场的线上及线下销售。</t>
  </si>
  <si>
    <t>纽仕兰新云（上海）电子商务有限公司</t>
  </si>
  <si>
    <t>http://www.thelandmilk.com/</t>
  </si>
  <si>
    <t>2015-10</t>
  </si>
  <si>
    <r>
      <rPr>
        <sz val="9"/>
        <color rgb="FF000000"/>
        <rFont val="Arial"/>
        <charset val="134"/>
      </rPr>
      <t>3.3</t>
    </r>
    <r>
      <rPr>
        <sz val="9"/>
        <color rgb="FF000000"/>
        <rFont val="楷体"/>
        <charset val="134"/>
      </rPr>
      <t>亿</t>
    </r>
  </si>
  <si>
    <r>
      <rPr>
        <sz val="9"/>
        <color rgb="FF000000"/>
        <rFont val="Arial"/>
        <charset val="134"/>
      </rPr>
      <t>6</t>
    </r>
    <r>
      <rPr>
        <sz val="9"/>
        <color rgb="FF000000"/>
        <rFont val="楷体"/>
        <charset val="134"/>
      </rPr>
      <t>亿元</t>
    </r>
  </si>
  <si>
    <r>
      <rPr>
        <sz val="9"/>
        <color rgb="FF000000"/>
        <rFont val="楷体"/>
        <charset val="134"/>
      </rPr>
      <t>盛文灏</t>
    </r>
    <r>
      <rPr>
        <sz val="9"/>
        <color rgb="FF000000"/>
        <rFont val="Arial"/>
        <charset val="134"/>
      </rPr>
      <t>:</t>
    </r>
    <r>
      <rPr>
        <sz val="9"/>
        <color rgb="FF000000"/>
        <rFont val="楷体"/>
        <charset val="134"/>
      </rPr>
      <t>总经理</t>
    </r>
  </si>
  <si>
    <r>
      <rPr>
        <sz val="9"/>
        <color rgb="FF000000"/>
        <rFont val="楷体"/>
        <charset val="134"/>
      </rPr>
      <t>上海市长宁区福泉北路</t>
    </r>
    <r>
      <rPr>
        <sz val="9"/>
        <color rgb="FF000000"/>
        <rFont val="Arial"/>
        <charset val="134"/>
      </rPr>
      <t>518</t>
    </r>
    <r>
      <rPr>
        <sz val="9"/>
        <color rgb="FF000000"/>
        <rFont val="楷体"/>
        <charset val="134"/>
      </rPr>
      <t>号</t>
    </r>
    <r>
      <rPr>
        <sz val="9"/>
        <color rgb="FF000000"/>
        <rFont val="Arial"/>
        <charset val="134"/>
      </rPr>
      <t>8</t>
    </r>
    <r>
      <rPr>
        <sz val="9"/>
        <color rgb="FF000000"/>
        <rFont val="楷体"/>
        <charset val="134"/>
      </rPr>
      <t>座</t>
    </r>
    <r>
      <rPr>
        <sz val="9"/>
        <color rgb="FF000000"/>
        <rFont val="Arial"/>
        <charset val="134"/>
      </rPr>
      <t>1</t>
    </r>
    <r>
      <rPr>
        <sz val="9"/>
        <color rgb="FF000000"/>
        <rFont val="楷体"/>
        <charset val="134"/>
      </rPr>
      <t>楼</t>
    </r>
  </si>
  <si>
    <t>400-625-6969</t>
  </si>
  <si>
    <t>sunjun@thelandmilk.com</t>
  </si>
  <si>
    <t>2022-02-09</t>
  </si>
  <si>
    <t>XpressBees</t>
  </si>
  <si>
    <r>
      <rPr>
        <sz val="9"/>
        <color rgb="FF000000"/>
        <rFont val="Arial"/>
        <charset val="134"/>
      </rPr>
      <t>XpressBees</t>
    </r>
    <r>
      <rPr>
        <sz val="9"/>
        <color rgb="FF000000"/>
        <rFont val="楷体"/>
        <charset val="134"/>
      </rPr>
      <t>是印度一家物流公司，业务涵盖最后一英里配送、逆向物流、款项收取、制造商直接出货相关的物流服务，并提供供应商管理、跨境服务、以及定制化的软件解决方案。</t>
    </r>
  </si>
  <si>
    <t>http://www.xpressbees.com/</t>
  </si>
  <si>
    <r>
      <rPr>
        <sz val="9"/>
        <color rgb="FF000000"/>
        <rFont val="Arial"/>
        <charset val="134"/>
      </rPr>
      <t>Norwest Venture Partners,TPG Growth</t>
    </r>
    <r>
      <rPr>
        <sz val="9"/>
        <color rgb="FF000000"/>
        <rFont val="楷体"/>
        <charset val="134"/>
      </rPr>
      <t>新桥资本</t>
    </r>
    <r>
      <rPr>
        <sz val="9"/>
        <color rgb="FF000000"/>
        <rFont val="Arial"/>
        <charset val="134"/>
      </rPr>
      <t>,Investcorp,Blackstone Growth,Chrys Capital</t>
    </r>
  </si>
  <si>
    <r>
      <rPr>
        <sz val="9"/>
        <color rgb="FF000000"/>
        <rFont val="Arial"/>
        <charset val="134"/>
      </rPr>
      <t>37.78</t>
    </r>
    <r>
      <rPr>
        <sz val="9"/>
        <color rgb="FF000000"/>
        <rFont val="楷体"/>
        <charset val="134"/>
      </rPr>
      <t>亿</t>
    </r>
  </si>
  <si>
    <r>
      <rPr>
        <sz val="9"/>
        <color rgb="FF000000"/>
        <rFont val="Arial"/>
        <charset val="134"/>
      </rPr>
      <t>78</t>
    </r>
    <r>
      <rPr>
        <sz val="9"/>
        <color rgb="FF000000"/>
        <rFont val="楷体"/>
        <charset val="134"/>
      </rPr>
      <t>亿元</t>
    </r>
  </si>
  <si>
    <t>Amitava Saha:Co-Founder &amp; CEO,Arun Singh:AVP and Head of Human Resources,Harshal Bhoi:Chief Business Officer,Rahul Agrawal:AVP and Head of Finance and Commercial,Vijendra Mani Yadav:Senior Executive Operations</t>
  </si>
  <si>
    <t xml:space="preserve"> customercare@xpressbees.com</t>
  </si>
  <si>
    <t>Gaja Capital,Investcorp,Northwest Venture Partners</t>
  </si>
  <si>
    <r>
      <rPr>
        <sz val="9"/>
        <color rgb="FF000000"/>
        <rFont val="Arial"/>
        <charset val="134"/>
      </rPr>
      <t>3.5</t>
    </r>
    <r>
      <rPr>
        <sz val="9"/>
        <color rgb="FF000000"/>
        <rFont val="楷体"/>
        <charset val="134"/>
      </rPr>
      <t>亿卢比</t>
    </r>
  </si>
  <si>
    <r>
      <rPr>
        <sz val="9"/>
        <color rgb="FF000000"/>
        <rFont val="Arial"/>
        <charset val="134"/>
      </rPr>
      <t>InnoVen Capital</t>
    </r>
    <r>
      <rPr>
        <sz val="9"/>
        <color rgb="FF000000"/>
        <rFont val="楷体"/>
        <charset val="134"/>
      </rPr>
      <t>毅峰资本</t>
    </r>
  </si>
  <si>
    <r>
      <rPr>
        <sz val="9"/>
        <color rgb="FF000000"/>
        <rFont val="Arial"/>
        <charset val="134"/>
      </rPr>
      <t>3500</t>
    </r>
    <r>
      <rPr>
        <sz val="9"/>
        <color rgb="FF000000"/>
        <rFont val="楷体"/>
        <charset val="134"/>
      </rPr>
      <t>万美元</t>
    </r>
  </si>
  <si>
    <t>未透露卢比</t>
  </si>
  <si>
    <t>Ridge Ventures( IDG Ventures USA)</t>
  </si>
  <si>
    <r>
      <rPr>
        <sz val="9"/>
        <color rgb="FF000000"/>
        <rFont val="Arial"/>
        <charset val="134"/>
      </rPr>
      <t>2038</t>
    </r>
    <r>
      <rPr>
        <sz val="9"/>
        <color rgb="FF000000"/>
        <rFont val="楷体"/>
        <charset val="134"/>
      </rPr>
      <t>万美元</t>
    </r>
  </si>
  <si>
    <r>
      <rPr>
        <sz val="9"/>
        <color rgb="FF000000"/>
        <rFont val="楷体"/>
        <charset val="134"/>
      </rPr>
      <t>祥峰投资</t>
    </r>
    <r>
      <rPr>
        <sz val="9"/>
        <color rgb="FF000000"/>
        <rFont val="Arial"/>
        <charset val="134"/>
      </rPr>
      <t>Vertex,</t>
    </r>
    <r>
      <rPr>
        <sz val="9"/>
        <color rgb="FF000000"/>
        <rFont val="楷体"/>
        <charset val="134"/>
      </rPr>
      <t>赛富基金</t>
    </r>
    <r>
      <rPr>
        <sz val="9"/>
        <color rgb="FF000000"/>
        <rFont val="Arial"/>
        <charset val="134"/>
      </rPr>
      <t>SAIF Partners,NEA</t>
    </r>
    <r>
      <rPr>
        <sz val="9"/>
        <color rgb="FF000000"/>
        <rFont val="楷体"/>
        <charset val="134"/>
      </rPr>
      <t>恩颐投资</t>
    </r>
    <r>
      <rPr>
        <sz val="9"/>
        <color rgb="FF000000"/>
        <rFont val="Arial"/>
        <charset val="134"/>
      </rPr>
      <t>-New Enterprise Associates,Valiant Capital Partners,Ridge Ventures( IDG Ventures USA)</t>
    </r>
  </si>
  <si>
    <t>滴水互助</t>
  </si>
  <si>
    <t>滴水互助是一家互助保险平台，滴水互助不是保险，而是会员之间相互帮助的公益社群。一人患病，众人均摊。加入滴水互助社群后，当互助事件发生时，社群会员向符合互助条件的会员进行单向捐赠或捐助行为，不能预期获得确定的风险保障。</t>
  </si>
  <si>
    <t>遵义诚铭网络有限公司</t>
  </si>
  <si>
    <r>
      <rPr>
        <sz val="9"/>
        <color rgb="FF000000"/>
        <rFont val="楷体"/>
        <charset val="134"/>
      </rPr>
      <t>贵州</t>
    </r>
    <r>
      <rPr>
        <sz val="9"/>
        <color rgb="FF000000"/>
        <rFont val="Arial"/>
        <charset val="134"/>
      </rPr>
      <t>-</t>
    </r>
    <r>
      <rPr>
        <sz val="9"/>
        <color rgb="FF000000"/>
        <rFont val="楷体"/>
        <charset val="134"/>
      </rPr>
      <t>遵义</t>
    </r>
  </si>
  <si>
    <t>保险</t>
  </si>
  <si>
    <r>
      <rPr>
        <sz val="9"/>
        <color rgb="FF000000"/>
        <rFont val="楷体"/>
        <charset val="134"/>
      </rPr>
      <t>阿里巴巴</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国美资本</t>
    </r>
  </si>
  <si>
    <r>
      <rPr>
        <sz val="9"/>
        <color rgb="FF000000"/>
        <rFont val="楷体"/>
        <charset val="134"/>
      </rPr>
      <t>黄利华</t>
    </r>
    <r>
      <rPr>
        <sz val="9"/>
        <color rgb="FF000000"/>
        <rFont val="Arial"/>
        <charset val="134"/>
      </rPr>
      <t>:</t>
    </r>
    <r>
      <rPr>
        <sz val="9"/>
        <color rgb="FF000000"/>
        <rFont val="楷体"/>
        <charset val="134"/>
      </rPr>
      <t>负责人</t>
    </r>
  </si>
  <si>
    <t>贵州省遵义市汇川区珠海路万豪国际</t>
  </si>
  <si>
    <t>400-6063-400</t>
  </si>
  <si>
    <t>dishuihuzhu@163.com</t>
  </si>
  <si>
    <t>小声说</t>
  </si>
  <si>
    <r>
      <rPr>
        <sz val="9"/>
        <color rgb="FF000000"/>
        <rFont val="楷体"/>
        <charset val="134"/>
      </rPr>
      <t>小声说是一款最有趣的匿名语音社交软件，在这里，学生党搞笑聊天，上班族解压交友，世界上的每个人，都在小声说出自己的独一无二的故事。</t>
    </r>
    <r>
      <rPr>
        <sz val="9"/>
        <color rgb="FF000000"/>
        <rFont val="Arial"/>
        <charset val="134"/>
      </rPr>
      <t xml:space="preserve">
</t>
    </r>
  </si>
  <si>
    <t>扬州合乐网络技术有限公司</t>
  </si>
  <si>
    <r>
      <rPr>
        <sz val="9"/>
        <color rgb="FF000000"/>
        <rFont val="楷体"/>
        <charset val="134"/>
      </rPr>
      <t>江苏</t>
    </r>
    <r>
      <rPr>
        <sz val="9"/>
        <color rgb="FF000000"/>
        <rFont val="Arial"/>
        <charset val="134"/>
      </rPr>
      <t>-</t>
    </r>
    <r>
      <rPr>
        <sz val="9"/>
        <color rgb="FF000000"/>
        <rFont val="楷体"/>
        <charset val="134"/>
      </rPr>
      <t>扬州</t>
    </r>
  </si>
  <si>
    <r>
      <rPr>
        <sz val="9"/>
        <color rgb="FF000000"/>
        <rFont val="楷体"/>
        <charset val="134"/>
      </rPr>
      <t>姚键</t>
    </r>
    <r>
      <rPr>
        <sz val="9"/>
        <color rgb="FF000000"/>
        <rFont val="Arial"/>
        <charset val="134"/>
      </rPr>
      <t>:</t>
    </r>
    <r>
      <rPr>
        <sz val="9"/>
        <color rgb="FF000000"/>
        <rFont val="楷体"/>
        <charset val="134"/>
      </rPr>
      <t>创始人</t>
    </r>
  </si>
  <si>
    <r>
      <rPr>
        <sz val="9"/>
        <color rgb="FF000000"/>
        <rFont val="楷体"/>
        <charset val="134"/>
      </rPr>
      <t>江苏省扬州信息服务产业基地内</t>
    </r>
    <r>
      <rPr>
        <sz val="9"/>
        <color rgb="FF000000"/>
        <rFont val="Arial"/>
        <charset val="134"/>
      </rPr>
      <t>12</t>
    </r>
    <r>
      <rPr>
        <sz val="9"/>
        <color rgb="FF000000"/>
        <rFont val="楷体"/>
        <charset val="134"/>
      </rPr>
      <t>号楼</t>
    </r>
    <r>
      <rPr>
        <sz val="9"/>
        <color rgb="FF000000"/>
        <rFont val="Arial"/>
        <charset val="134"/>
      </rPr>
      <t>A</t>
    </r>
    <r>
      <rPr>
        <sz val="9"/>
        <color rgb="FF000000"/>
        <rFont val="楷体"/>
        <charset val="134"/>
      </rPr>
      <t>区</t>
    </r>
    <r>
      <rPr>
        <sz val="9"/>
        <color rgb="FF000000"/>
        <rFont val="Arial"/>
        <charset val="134"/>
      </rPr>
      <t>3</t>
    </r>
    <r>
      <rPr>
        <sz val="9"/>
        <color rgb="FF000000"/>
        <rFont val="楷体"/>
        <charset val="134"/>
      </rPr>
      <t>层</t>
    </r>
  </si>
  <si>
    <t>2021-04-15</t>
  </si>
  <si>
    <t>爱用科技</t>
  </si>
  <si>
    <r>
      <rPr>
        <sz val="9"/>
        <color rgb="FF000000"/>
        <rFont val="楷体"/>
        <charset val="134"/>
      </rPr>
      <t>爱用科技</t>
    </r>
  </si>
  <si>
    <r>
      <rPr>
        <sz val="9"/>
        <color rgb="FF000000"/>
        <rFont val="楷体"/>
        <charset val="134"/>
      </rPr>
      <t>爱用科技是一家电子商务解决方案提供商，聚焦服务小微电商商家，以帮助用户提升企业效能、增强核心竞争力为使命，以创新为核心驱动，为用户提供覆盖管理、交易、营销、客服等各场景，打通</t>
    </r>
    <r>
      <rPr>
        <sz val="9"/>
        <color rgb="FF000000"/>
        <rFont val="Arial"/>
        <charset val="134"/>
      </rPr>
      <t>PC</t>
    </r>
    <r>
      <rPr>
        <sz val="9"/>
        <color rgb="FF000000"/>
        <rFont val="楷体"/>
        <charset val="134"/>
      </rPr>
      <t>和移动端的高效软件以及覆盖</t>
    </r>
    <r>
      <rPr>
        <sz val="9"/>
        <color rgb="FF000000"/>
        <rFont val="Arial"/>
        <charset val="134"/>
      </rPr>
      <t>7X24</t>
    </r>
    <r>
      <rPr>
        <sz val="9"/>
        <color rgb="FF000000"/>
        <rFont val="楷体"/>
        <charset val="134"/>
      </rPr>
      <t>小时的服务保障。经过多年发展，目前爱用科技已经构建起包括基于服务天猫、淘宝服务平台商家的小微电商业务，基于跨平台分销的电商链路通路业务，基于产业集群的供应链业务以及基于海外社媒及搜索引擎的跨境服务业务在内的，覆盖小微电商全领域、全形态的电商管理软件和应用服务体系。</t>
    </r>
  </si>
  <si>
    <t>上海爱用科技股份有限公司</t>
  </si>
  <si>
    <t>http://www.aiyongbao.com/</t>
  </si>
  <si>
    <t>2012-04</t>
  </si>
  <si>
    <r>
      <rPr>
        <sz val="9"/>
        <color rgb="FF000000"/>
        <rFont val="楷体"/>
        <charset val="134"/>
      </rPr>
      <t>上海</t>
    </r>
    <r>
      <rPr>
        <sz val="9"/>
        <color rgb="FF000000"/>
        <rFont val="Arial"/>
        <charset val="134"/>
      </rPr>
      <t>-</t>
    </r>
    <r>
      <rPr>
        <sz val="9"/>
        <color rgb="FF000000"/>
        <rFont val="楷体"/>
        <charset val="134"/>
      </rPr>
      <t>虹口区</t>
    </r>
  </si>
  <si>
    <r>
      <rPr>
        <sz val="9"/>
        <color rgb="FF000000"/>
        <rFont val="楷体"/>
        <charset val="134"/>
      </rPr>
      <t>电商零售</t>
    </r>
  </si>
  <si>
    <r>
      <rPr>
        <sz val="9"/>
        <color rgb="FF000000"/>
        <rFont val="楷体"/>
        <charset val="134"/>
      </rPr>
      <t>电商解决方案</t>
    </r>
  </si>
  <si>
    <r>
      <t>1.08</t>
    </r>
    <r>
      <rPr>
        <sz val="9"/>
        <color rgb="FF000000"/>
        <rFont val="楷体"/>
        <charset val="134"/>
      </rPr>
      <t>亿人民币</t>
    </r>
  </si>
  <si>
    <r>
      <t>2.28</t>
    </r>
    <r>
      <rPr>
        <sz val="9"/>
        <color rgb="FF000000"/>
        <rFont val="楷体"/>
        <charset val="134"/>
      </rPr>
      <t>亿</t>
    </r>
  </si>
  <si>
    <r>
      <t>5.4</t>
    </r>
    <r>
      <rPr>
        <sz val="9"/>
        <color rgb="FF000000"/>
        <rFont val="楷体"/>
        <charset val="134"/>
      </rPr>
      <t>亿元</t>
    </r>
  </si>
  <si>
    <r>
      <rPr>
        <sz val="9"/>
        <color rgb="FF000000"/>
        <rFont val="楷体"/>
        <charset val="134"/>
      </rPr>
      <t>康乐</t>
    </r>
    <r>
      <rPr>
        <sz val="9"/>
        <color rgb="FF000000"/>
        <rFont val="Arial"/>
        <charset val="134"/>
      </rPr>
      <t>:</t>
    </r>
    <r>
      <rPr>
        <sz val="9"/>
        <color rgb="FF000000"/>
        <rFont val="楷体"/>
        <charset val="134"/>
      </rPr>
      <t>董事长</t>
    </r>
  </si>
  <si>
    <r>
      <rPr>
        <sz val="9"/>
        <color rgb="FF000000"/>
        <rFont val="楷体"/>
        <charset val="134"/>
      </rPr>
      <t>上海市新二路</t>
    </r>
    <r>
      <rPr>
        <sz val="9"/>
        <color rgb="FF000000"/>
        <rFont val="Arial"/>
        <charset val="134"/>
      </rPr>
      <t>55</t>
    </r>
    <r>
      <rPr>
        <sz val="9"/>
        <color rgb="FF000000"/>
        <rFont val="楷体"/>
        <charset val="134"/>
      </rPr>
      <t>号裙楼三楼</t>
    </r>
  </si>
  <si>
    <t>137-6493-5656</t>
  </si>
  <si>
    <t>tp@aiyongtech.com</t>
  </si>
  <si>
    <r>
      <rPr>
        <sz val="9"/>
        <color rgb="FF000000"/>
        <rFont val="楷体"/>
        <charset val="134"/>
      </rPr>
      <t>华盖资本</t>
    </r>
    <r>
      <rPr>
        <sz val="9"/>
        <color rgb="FF000000"/>
        <rFont val="Arial"/>
        <charset val="134"/>
      </rPr>
      <t>,</t>
    </r>
    <r>
      <rPr>
        <sz val="9"/>
        <color rgb="FF000000"/>
        <rFont val="楷体"/>
        <charset val="134"/>
      </rPr>
      <t>卢婧</t>
    </r>
    <r>
      <rPr>
        <sz val="9"/>
        <color rgb="FF000000"/>
        <rFont val="Arial"/>
        <charset val="134"/>
      </rPr>
      <t>,</t>
    </r>
    <r>
      <rPr>
        <sz val="9"/>
        <color rgb="FF000000"/>
        <rFont val="楷体"/>
        <charset val="134"/>
      </rPr>
      <t>武海鹏</t>
    </r>
    <r>
      <rPr>
        <sz val="9"/>
        <color rgb="FF000000"/>
        <rFont val="Arial"/>
        <charset val="134"/>
      </rPr>
      <t>,</t>
    </r>
    <r>
      <rPr>
        <sz val="9"/>
        <color rgb="FF000000"/>
        <rFont val="楷体"/>
        <charset val="134"/>
      </rPr>
      <t>江树源</t>
    </r>
  </si>
  <si>
    <t>studio CANDYBOX</t>
  </si>
  <si>
    <r>
      <rPr>
        <sz val="9"/>
        <color rgb="FF000000"/>
        <rFont val="Arial"/>
        <charset val="134"/>
      </rPr>
      <t xml:space="preserve">studio CANDYBOX </t>
    </r>
    <r>
      <rPr>
        <sz val="9"/>
        <color rgb="FF000000"/>
        <rFont val="楷体"/>
        <charset val="134"/>
      </rPr>
      <t>是一家动画出资企划制作公司。主要业务为影视、剧场等动画作品的投资、策划及制作，并且经营动画发行、版权管理及周边产品开发业务，代表作品有《野良神</t>
    </r>
    <r>
      <rPr>
        <sz val="9"/>
        <color rgb="FF000000"/>
        <rFont val="Arial"/>
        <charset val="134"/>
      </rPr>
      <t>2</t>
    </r>
    <r>
      <rPr>
        <sz val="9"/>
        <color rgb="FF000000"/>
        <rFont val="楷体"/>
        <charset val="134"/>
      </rPr>
      <t>》、《将星乱》等。</t>
    </r>
  </si>
  <si>
    <t>http://www.studio-candybox.com/</t>
  </si>
  <si>
    <r>
      <rPr>
        <sz val="9"/>
        <color rgb="FF000000"/>
        <rFont val="Arial"/>
        <charset val="134"/>
      </rPr>
      <t>650</t>
    </r>
    <r>
      <rPr>
        <sz val="9"/>
        <color rgb="FF000000"/>
        <rFont val="楷体"/>
        <charset val="134"/>
      </rPr>
      <t>万</t>
    </r>
  </si>
  <si>
    <r>
      <rPr>
        <sz val="9"/>
        <color rgb="FF000000"/>
        <rFont val="楷体"/>
        <charset val="134"/>
      </rPr>
      <t>朱晓</t>
    </r>
    <r>
      <rPr>
        <sz val="9"/>
        <color rgb="FF000000"/>
        <rFont val="Arial"/>
        <charset val="134"/>
      </rPr>
      <t>:CEO</t>
    </r>
  </si>
  <si>
    <r>
      <rPr>
        <sz val="9"/>
        <color rgb="FF000000"/>
        <rFont val="楷体"/>
        <charset val="134"/>
      </rPr>
      <t>东京都三鹰市下连雀</t>
    </r>
    <r>
      <rPr>
        <sz val="9"/>
        <color rgb="FF000000"/>
        <rFont val="Arial"/>
        <charset val="134"/>
      </rPr>
      <t>3-32-4 GREENPARCO 2F 3F 4F</t>
    </r>
  </si>
  <si>
    <t>2020-11-30</t>
  </si>
  <si>
    <t>居然之家</t>
  </si>
  <si>
    <t>居然之家是一家装修服务提供商，旗下拥有家之尊、乐屋装饰、元洲装饰等多个品牌，平台以中高端产品为经营定位，业务范围涵盖室内设计和装修、家具建材销售、商业会展、跨境电商、城市综合体开发等领域。</t>
  </si>
  <si>
    <t>北京居然之家投资控股集团有限公司</t>
  </si>
  <si>
    <t>http://www.juran.com.cn/</t>
  </si>
  <si>
    <t>1999-02</t>
  </si>
  <si>
    <r>
      <rPr>
        <sz val="9"/>
        <color rgb="FF000000"/>
        <rFont val="楷体"/>
        <charset val="134"/>
      </rPr>
      <t>阿里巴巴</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顾家家居</t>
    </r>
  </si>
  <si>
    <r>
      <rPr>
        <sz val="9"/>
        <color rgb="FF000000"/>
        <rFont val="Arial"/>
        <charset val="134"/>
      </rPr>
      <t>170.93</t>
    </r>
    <r>
      <rPr>
        <sz val="9"/>
        <color rgb="FF000000"/>
        <rFont val="楷体"/>
        <charset val="134"/>
      </rPr>
      <t>亿</t>
    </r>
  </si>
  <si>
    <r>
      <rPr>
        <sz val="9"/>
        <color rgb="FF000000"/>
        <rFont val="Arial"/>
        <charset val="134"/>
      </rPr>
      <t>179.75</t>
    </r>
    <r>
      <rPr>
        <sz val="9"/>
        <color rgb="FF000000"/>
        <rFont val="楷体"/>
        <charset val="134"/>
      </rPr>
      <t>亿元</t>
    </r>
  </si>
  <si>
    <r>
      <rPr>
        <sz val="9"/>
        <color rgb="FF000000"/>
        <rFont val="楷体"/>
        <charset val="134"/>
      </rPr>
      <t>汪林朋</t>
    </r>
    <r>
      <rPr>
        <sz val="9"/>
        <color rgb="FF000000"/>
        <rFont val="Arial"/>
        <charset val="134"/>
      </rPr>
      <t>:</t>
    </r>
    <r>
      <rPr>
        <sz val="9"/>
        <color rgb="FF000000"/>
        <rFont val="楷体"/>
        <charset val="134"/>
      </rPr>
      <t>创始人</t>
    </r>
  </si>
  <si>
    <r>
      <rPr>
        <sz val="9"/>
        <color rgb="FF000000"/>
        <rFont val="楷体"/>
        <charset val="134"/>
      </rPr>
      <t>北京市朝阳区安外北四环东路</t>
    </r>
    <r>
      <rPr>
        <sz val="9"/>
        <color rgb="FF000000"/>
        <rFont val="Arial"/>
        <charset val="134"/>
      </rPr>
      <t>65</t>
    </r>
    <r>
      <rPr>
        <sz val="9"/>
        <color rgb="FF000000"/>
        <rFont val="楷体"/>
        <charset val="134"/>
      </rPr>
      <t>号</t>
    </r>
  </si>
  <si>
    <t>010-8409-8665</t>
  </si>
  <si>
    <t>wangyunwei@juran.com.cn</t>
  </si>
  <si>
    <r>
      <rPr>
        <sz val="9"/>
        <color rgb="FF000000"/>
        <rFont val="Arial"/>
        <charset val="134"/>
      </rPr>
      <t>1.98</t>
    </r>
    <r>
      <rPr>
        <sz val="9"/>
        <color rgb="FF000000"/>
        <rFont val="楷体"/>
        <charset val="134"/>
      </rPr>
      <t>亿人民币</t>
    </r>
  </si>
  <si>
    <t>顾家家居</t>
  </si>
  <si>
    <r>
      <rPr>
        <sz val="9"/>
        <color rgb="FF000000"/>
        <rFont val="Arial"/>
        <charset val="134"/>
      </rPr>
      <t>130</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</si>
  <si>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九鼎投资</t>
    </r>
    <r>
      <rPr>
        <sz val="9"/>
        <color rgb="FF000000"/>
        <rFont val="Arial"/>
        <charset val="134"/>
      </rPr>
      <t>,</t>
    </r>
    <r>
      <rPr>
        <sz val="9"/>
        <color rgb="FF000000"/>
        <rFont val="楷体"/>
        <charset val="134"/>
      </rPr>
      <t>诺亚控股</t>
    </r>
    <r>
      <rPr>
        <sz val="9"/>
        <color rgb="FF000000"/>
        <rFont val="Arial"/>
        <charset val="134"/>
      </rPr>
      <t>,</t>
    </r>
    <r>
      <rPr>
        <sz val="9"/>
        <color rgb="FF000000"/>
        <rFont val="楷体"/>
        <charset val="134"/>
      </rPr>
      <t>博睿创投</t>
    </r>
    <r>
      <rPr>
        <sz val="9"/>
        <color rgb="FF000000"/>
        <rFont val="Arial"/>
        <charset val="134"/>
      </rPr>
      <t>,</t>
    </r>
    <r>
      <rPr>
        <sz val="9"/>
        <color rgb="FF000000"/>
        <rFont val="楷体"/>
        <charset val="134"/>
      </rPr>
      <t>泰康保险</t>
    </r>
    <r>
      <rPr>
        <sz val="9"/>
        <color rgb="FF000000"/>
        <rFont val="Arial"/>
        <charset val="134"/>
      </rPr>
      <t>,</t>
    </r>
    <r>
      <rPr>
        <sz val="9"/>
        <color rgb="FF000000"/>
        <rFont val="楷体"/>
        <charset val="134"/>
      </rPr>
      <t>加华资本</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新番资本</t>
    </r>
    <r>
      <rPr>
        <sz val="9"/>
        <color rgb="FF000000"/>
        <rFont val="Arial"/>
        <charset val="134"/>
      </rPr>
      <t>,</t>
    </r>
    <r>
      <rPr>
        <sz val="9"/>
        <color rgb="FF000000"/>
        <rFont val="楷体"/>
        <charset val="134"/>
      </rPr>
      <t>华联长山兴</t>
    </r>
  </si>
  <si>
    <t>2019-08-01</t>
  </si>
  <si>
    <t>Paytm Mall</t>
  </si>
  <si>
    <r>
      <rPr>
        <sz val="9"/>
        <color rgb="FF000000"/>
        <rFont val="Arial"/>
        <charset val="134"/>
      </rPr>
      <t>Paytm Mall</t>
    </r>
    <r>
      <rPr>
        <sz val="9"/>
        <color rgb="FF000000"/>
        <rFont val="楷体"/>
        <charset val="134"/>
      </rPr>
      <t>是一个印度电商平台，产品涵盖食物、服饰、家居用品、电器、健身器材、玩具等品类，通过筛选优质的物流公司和供货商，致力于为用户带来更好的消费体验。</t>
    </r>
  </si>
  <si>
    <t>https://paytmmall.com/</t>
  </si>
  <si>
    <t>eBay</t>
  </si>
  <si>
    <r>
      <rPr>
        <sz val="9"/>
        <color rgb="FF000000"/>
        <rFont val="Arial"/>
        <charset val="134"/>
      </rPr>
      <t>123.83</t>
    </r>
    <r>
      <rPr>
        <sz val="9"/>
        <color rgb="FF000000"/>
        <rFont val="楷体"/>
        <charset val="134"/>
      </rPr>
      <t>亿</t>
    </r>
  </si>
  <si>
    <t>Abhishek Rajan:Chief Operating Officer,Anshul Nigam:Technical Lead,Sonal Dixit:Key Account Manager,Vijay Shekhar Sharma:Founder</t>
  </si>
  <si>
    <r>
      <rPr>
        <sz val="9"/>
        <color rgb="FF000000"/>
        <rFont val="楷体"/>
        <charset val="134"/>
      </rPr>
      <t>阿里巴巴</t>
    </r>
    <r>
      <rPr>
        <sz val="9"/>
        <color rgb="FF000000"/>
        <rFont val="Arial"/>
        <charset val="134"/>
      </rPr>
      <t>,SoftBank capital,</t>
    </r>
    <r>
      <rPr>
        <sz val="9"/>
        <color rgb="FF000000"/>
        <rFont val="楷体"/>
        <charset val="134"/>
      </rPr>
      <t>蚂蚁集团</t>
    </r>
  </si>
  <si>
    <r>
      <rPr>
        <sz val="9"/>
        <color rgb="FF000000"/>
        <rFont val="楷体"/>
        <charset val="134"/>
      </rPr>
      <t>淡马锡</t>
    </r>
    <r>
      <rPr>
        <sz val="9"/>
        <color rgb="FF000000"/>
        <rFont val="Arial"/>
        <charset val="134"/>
      </rPr>
      <t>Temasek,SoftBank capital,</t>
    </r>
    <r>
      <rPr>
        <sz val="9"/>
        <color rgb="FF000000"/>
        <rFont val="楷体"/>
        <charset val="134"/>
      </rPr>
      <t>春华资本</t>
    </r>
    <r>
      <rPr>
        <sz val="9"/>
        <color rgb="FF000000"/>
        <rFont val="Arial"/>
        <charset val="134"/>
      </rPr>
      <t>Primavera</t>
    </r>
  </si>
  <si>
    <r>
      <rPr>
        <sz val="9"/>
        <color rgb="FF000000"/>
        <rFont val="楷体"/>
        <charset val="134"/>
      </rPr>
      <t>阿里巴巴</t>
    </r>
    <r>
      <rPr>
        <sz val="9"/>
        <color rgb="FF000000"/>
        <rFont val="Arial"/>
        <charset val="134"/>
      </rPr>
      <t>,</t>
    </r>
    <r>
      <rPr>
        <sz val="9"/>
        <color rgb="FF000000"/>
        <rFont val="楷体"/>
        <charset val="134"/>
      </rPr>
      <t>赛富基金</t>
    </r>
    <r>
      <rPr>
        <sz val="9"/>
        <color rgb="FF000000"/>
        <rFont val="Arial"/>
        <charset val="134"/>
      </rPr>
      <t>SAIF Partners</t>
    </r>
  </si>
  <si>
    <t>2019-01-11</t>
  </si>
  <si>
    <t>优点科技</t>
  </si>
  <si>
    <t>深圳市优点科技有限公司是一家专注于智能门锁及安防领域的物联网服务平台。公司通过自主研发、行业整合、投资并购等方式，致力于打造一个行业领先、体验独特的智能家居生态系统。</t>
  </si>
  <si>
    <t>深圳市优点科技有限公司</t>
  </si>
  <si>
    <t>http://www.youdianhome.com</t>
  </si>
  <si>
    <t>电子设备</t>
  </si>
  <si>
    <r>
      <rPr>
        <sz val="9"/>
        <color rgb="FF000000"/>
        <rFont val="Arial"/>
        <charset val="134"/>
      </rPr>
      <t>8.8</t>
    </r>
    <r>
      <rPr>
        <sz val="9"/>
        <color rgb="FF000000"/>
        <rFont val="楷体"/>
        <charset val="134"/>
      </rPr>
      <t>亿</t>
    </r>
  </si>
  <si>
    <r>
      <rPr>
        <sz val="9"/>
        <color rgb="FF000000"/>
        <rFont val="楷体"/>
        <charset val="134"/>
      </rPr>
      <t>刘江峰</t>
    </r>
    <r>
      <rPr>
        <sz val="9"/>
        <color rgb="FF000000"/>
        <rFont val="Arial"/>
        <charset val="134"/>
      </rPr>
      <t>:CEO</t>
    </r>
  </si>
  <si>
    <r>
      <rPr>
        <sz val="9"/>
        <color rgb="FF000000"/>
        <rFont val="楷体"/>
        <charset val="134"/>
      </rPr>
      <t>深圳市南山区清华信息港科研楼</t>
    </r>
    <r>
      <rPr>
        <sz val="9"/>
        <color rgb="FF000000"/>
        <rFont val="Arial"/>
        <charset val="134"/>
      </rPr>
      <t>302</t>
    </r>
  </si>
  <si>
    <t>400-002-9889</t>
  </si>
  <si>
    <t>hr@youdianhome.com</t>
  </si>
  <si>
    <r>
      <rPr>
        <sz val="9"/>
        <color rgb="FF000000"/>
        <rFont val="Arial"/>
        <charset val="134"/>
      </rPr>
      <t>1.4</t>
    </r>
    <r>
      <rPr>
        <sz val="9"/>
        <color rgb="FF000000"/>
        <rFont val="楷体"/>
        <charset val="134"/>
      </rPr>
      <t>亿人民币</t>
    </r>
  </si>
  <si>
    <r>
      <rPr>
        <sz val="9"/>
        <color rgb="FF000000"/>
        <rFont val="楷体"/>
        <charset val="134"/>
      </rPr>
      <t>北极光创投</t>
    </r>
    <r>
      <rPr>
        <sz val="9"/>
        <color rgb="FF000000"/>
        <rFont val="Arial"/>
        <charset val="134"/>
      </rPr>
      <t>,</t>
    </r>
    <r>
      <rPr>
        <sz val="9"/>
        <color rgb="FF000000"/>
        <rFont val="楷体"/>
        <charset val="134"/>
      </rPr>
      <t>富士康</t>
    </r>
    <r>
      <rPr>
        <sz val="9"/>
        <color rgb="FF000000"/>
        <rFont val="Arial"/>
        <charset val="134"/>
      </rPr>
      <t>Foxconn</t>
    </r>
  </si>
  <si>
    <r>
      <rPr>
        <sz val="9"/>
        <color rgb="FF000000"/>
        <rFont val="楷体"/>
        <charset val="134"/>
      </rPr>
      <t>明势资本</t>
    </r>
    <r>
      <rPr>
        <sz val="9"/>
        <color rgb="FF000000"/>
        <rFont val="Arial"/>
        <charset val="134"/>
      </rPr>
      <t>,</t>
    </r>
    <r>
      <rPr>
        <sz val="9"/>
        <color rgb="FF000000"/>
        <rFont val="楷体"/>
        <charset val="134"/>
      </rPr>
      <t>梅花创投</t>
    </r>
  </si>
  <si>
    <r>
      <rPr>
        <sz val="9"/>
        <color rgb="FF000000"/>
        <rFont val="楷体"/>
        <charset val="134"/>
      </rPr>
      <t>锤子科技</t>
    </r>
    <r>
      <rPr>
        <sz val="9"/>
        <color rgb="FF000000"/>
        <rFont val="Arial"/>
        <charset val="134"/>
      </rPr>
      <t>,</t>
    </r>
    <r>
      <rPr>
        <sz val="9"/>
        <color rgb="FF000000"/>
        <rFont val="楷体"/>
        <charset val="134"/>
      </rPr>
      <t>黑鲨科技</t>
    </r>
  </si>
  <si>
    <t>2018-07-19</t>
  </si>
  <si>
    <t>苏宁体育</t>
  </si>
  <si>
    <r>
      <rPr>
        <sz val="9"/>
        <color rgb="FF000000"/>
        <rFont val="楷体"/>
        <charset val="134"/>
      </rPr>
      <t>苏宁体育是苏宁控股旗下除零售、地产、金融、投资、文创以外新设的第六大产业板块，以提供</t>
    </r>
    <r>
      <rPr>
        <sz val="9"/>
        <color rgb="FF000000"/>
        <rFont val="Arial"/>
        <charset val="134"/>
      </rPr>
      <t>“</t>
    </r>
    <r>
      <rPr>
        <sz val="9"/>
        <color rgb="FF000000"/>
        <rFont val="楷体"/>
        <charset val="134"/>
      </rPr>
      <t>高品质的体育产品和服务</t>
    </r>
    <r>
      <rPr>
        <sz val="9"/>
        <color rgb="FF000000"/>
        <rFont val="Arial"/>
        <charset val="134"/>
      </rPr>
      <t>”</t>
    </r>
    <r>
      <rPr>
        <sz val="9"/>
        <color rgb="FF000000"/>
        <rFont val="楷体"/>
        <charset val="134"/>
      </rPr>
      <t>为宗旨，以整合体育资源、打造中国产业链最完整的国际化体育集团为目标，布局体育全产业链生态圈。</t>
    </r>
  </si>
  <si>
    <t>江苏苏宁体育产业有限公司</t>
  </si>
  <si>
    <r>
      <rPr>
        <sz val="9"/>
        <color rgb="FF000000"/>
        <rFont val="Arial"/>
        <charset val="134"/>
      </rPr>
      <t>6.21</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</si>
  <si>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民生银行</t>
    </r>
    <r>
      <rPr>
        <sz val="9"/>
        <color rgb="FF000000"/>
        <rFont val="Arial"/>
        <charset val="134"/>
      </rPr>
      <t>(</t>
    </r>
    <r>
      <rPr>
        <sz val="9"/>
        <color rgb="FF000000"/>
        <rFont val="楷体"/>
        <charset val="134"/>
      </rPr>
      <t>民银国际</t>
    </r>
    <r>
      <rPr>
        <sz val="9"/>
        <color rgb="FF000000"/>
        <rFont val="Arial"/>
        <charset val="134"/>
      </rPr>
      <t>),</t>
    </r>
    <r>
      <rPr>
        <sz val="9"/>
        <color rgb="FF000000"/>
        <rFont val="楷体"/>
        <charset val="134"/>
      </rPr>
      <t>农银国际</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商汤科技</t>
    </r>
    <r>
      <rPr>
        <sz val="9"/>
        <color rgb="FF000000"/>
        <rFont val="Arial"/>
        <charset val="134"/>
      </rPr>
      <t>,</t>
    </r>
    <r>
      <rPr>
        <sz val="9"/>
        <color rgb="FF000000"/>
        <rFont val="楷体"/>
        <charset val="134"/>
      </rPr>
      <t>恒大集团</t>
    </r>
    <r>
      <rPr>
        <sz val="9"/>
        <color rgb="FF000000"/>
        <rFont val="Arial"/>
        <charset val="134"/>
      </rPr>
      <t>,</t>
    </r>
    <r>
      <rPr>
        <sz val="9"/>
        <color rgb="FF000000"/>
        <rFont val="楷体"/>
        <charset val="134"/>
      </rPr>
      <t>新普科技</t>
    </r>
    <r>
      <rPr>
        <sz val="9"/>
        <color rgb="FF000000"/>
        <rFont val="Arial"/>
        <charset val="134"/>
      </rPr>
      <t>,</t>
    </r>
    <r>
      <rPr>
        <sz val="9"/>
        <color rgb="FF000000"/>
        <rFont val="楷体"/>
        <charset val="134"/>
      </rPr>
      <t>江苏省体育产业投资基金</t>
    </r>
    <r>
      <rPr>
        <sz val="9"/>
        <color rgb="FF000000"/>
        <rFont val="Arial"/>
        <charset val="134"/>
      </rPr>
      <t>,</t>
    </r>
    <r>
      <rPr>
        <sz val="9"/>
        <color rgb="FF000000"/>
        <rFont val="楷体"/>
        <charset val="134"/>
      </rPr>
      <t>浙江省体育产业基金</t>
    </r>
  </si>
  <si>
    <r>
      <rPr>
        <sz val="9"/>
        <color rgb="FF000000"/>
        <rFont val="Arial"/>
        <charset val="134"/>
      </rPr>
      <t>40.37</t>
    </r>
    <r>
      <rPr>
        <sz val="9"/>
        <color rgb="FF000000"/>
        <rFont val="楷体"/>
        <charset val="134"/>
      </rPr>
      <t>亿</t>
    </r>
  </si>
  <si>
    <r>
      <rPr>
        <sz val="9"/>
        <color rgb="FF000000"/>
        <rFont val="楷体"/>
        <charset val="134"/>
      </rPr>
      <t>陈艳</t>
    </r>
    <r>
      <rPr>
        <sz val="9"/>
        <color rgb="FF000000"/>
        <rFont val="Arial"/>
        <charset val="134"/>
      </rPr>
      <t>:</t>
    </r>
    <r>
      <rPr>
        <sz val="9"/>
        <color rgb="FF000000"/>
        <rFont val="楷体"/>
        <charset val="134"/>
      </rPr>
      <t>创始人</t>
    </r>
  </si>
  <si>
    <r>
      <rPr>
        <sz val="9"/>
        <color rgb="FF000000"/>
        <rFont val="楷体"/>
        <charset val="134"/>
      </rPr>
      <t>南京市雨花经济开发区三鸿路</t>
    </r>
    <r>
      <rPr>
        <sz val="9"/>
        <color rgb="FF000000"/>
        <rFont val="Arial"/>
        <charset val="134"/>
      </rPr>
      <t>6</t>
    </r>
    <r>
      <rPr>
        <sz val="9"/>
        <color rgb="FF000000"/>
        <rFont val="楷体"/>
        <charset val="134"/>
      </rPr>
      <t>号</t>
    </r>
    <r>
      <rPr>
        <sz val="9"/>
        <color rgb="FF000000"/>
        <rFont val="Arial"/>
        <charset val="134"/>
      </rPr>
      <t>6</t>
    </r>
    <r>
      <rPr>
        <sz val="9"/>
        <color rgb="FF000000"/>
        <rFont val="楷体"/>
        <charset val="134"/>
      </rPr>
      <t>幢</t>
    </r>
    <r>
      <rPr>
        <sz val="9"/>
        <color rgb="FF000000"/>
        <rFont val="Arial"/>
        <charset val="134"/>
      </rPr>
      <t>316</t>
    </r>
    <r>
      <rPr>
        <sz val="9"/>
        <color rgb="FF000000"/>
        <rFont val="楷体"/>
        <charset val="134"/>
      </rPr>
      <t>室</t>
    </r>
  </si>
  <si>
    <t>025-6699-6699</t>
  </si>
  <si>
    <t>15120607@suning-sports.com</t>
  </si>
  <si>
    <t>NewTV</t>
  </si>
  <si>
    <r>
      <rPr>
        <sz val="9"/>
        <color rgb="FF000000"/>
        <rFont val="Arial"/>
        <charset val="134"/>
      </rPr>
      <t>NewTV</t>
    </r>
    <r>
      <rPr>
        <sz val="9"/>
        <color rgb="FF000000"/>
        <rFont val="楷体"/>
        <charset val="134"/>
      </rPr>
      <t>是一家短视频制作商，其打造的剧集长度和</t>
    </r>
    <r>
      <rPr>
        <sz val="9"/>
        <color rgb="FF000000"/>
        <rFont val="Arial"/>
        <charset val="134"/>
      </rPr>
      <t>YouTube</t>
    </r>
    <r>
      <rPr>
        <sz val="9"/>
        <color rgb="FF000000"/>
        <rFont val="楷体"/>
        <charset val="134"/>
      </rPr>
      <t>的视频差不多，但成本却几乎和</t>
    </r>
    <r>
      <rPr>
        <sz val="9"/>
        <color rgb="FF000000"/>
        <rFont val="Arial"/>
        <charset val="134"/>
      </rPr>
      <t>Netflix</t>
    </r>
    <r>
      <rPr>
        <sz val="9"/>
        <color rgb="FF000000"/>
        <rFont val="楷体"/>
        <charset val="134"/>
      </rPr>
      <t>的剧集相当。</t>
    </r>
  </si>
  <si>
    <t>http://newtv.org/</t>
  </si>
  <si>
    <r>
      <rPr>
        <sz val="9"/>
        <color rgb="FF000000"/>
        <rFont val="楷体"/>
        <charset val="134"/>
      </rPr>
      <t>阿里巴巴</t>
    </r>
    <r>
      <rPr>
        <sz val="9"/>
        <color rgb="FF000000"/>
        <rFont val="Arial"/>
        <charset val="134"/>
      </rPr>
      <t>,The Walt Disney Company</t>
    </r>
    <r>
      <rPr>
        <sz val="9"/>
        <color rgb="FF000000"/>
        <rFont val="楷体"/>
        <charset val="134"/>
      </rPr>
      <t>迪士尼</t>
    </r>
    <r>
      <rPr>
        <sz val="9"/>
        <color rgb="FF000000"/>
        <rFont val="Arial"/>
        <charset val="134"/>
      </rPr>
      <t>,NBC Universal(NBC</t>
    </r>
    <r>
      <rPr>
        <sz val="9"/>
        <color rgb="FF000000"/>
        <rFont val="楷体"/>
        <charset val="134"/>
      </rPr>
      <t>环球</t>
    </r>
    <r>
      <rPr>
        <sz val="9"/>
        <color rgb="FF000000"/>
        <rFont val="Arial"/>
        <charset val="134"/>
      </rPr>
      <t>)</t>
    </r>
  </si>
  <si>
    <r>
      <rPr>
        <sz val="9"/>
        <color rgb="FF000000"/>
        <rFont val="Arial"/>
        <charset val="134"/>
      </rPr>
      <t>117</t>
    </r>
    <r>
      <rPr>
        <sz val="9"/>
        <color rgb="FF000000"/>
        <rFont val="楷体"/>
        <charset val="134"/>
      </rPr>
      <t>亿</t>
    </r>
  </si>
  <si>
    <r>
      <rPr>
        <sz val="9"/>
        <color rgb="FF000000"/>
        <rFont val="Arial"/>
        <charset val="134"/>
      </rPr>
      <t>325</t>
    </r>
    <r>
      <rPr>
        <sz val="9"/>
        <color rgb="FF000000"/>
        <rFont val="楷体"/>
        <charset val="134"/>
      </rPr>
      <t>亿元</t>
    </r>
  </si>
  <si>
    <r>
      <rPr>
        <sz val="9"/>
        <color rgb="FF000000"/>
        <rFont val="Arial"/>
        <charset val="134"/>
      </rPr>
      <t>8</t>
    </r>
    <r>
      <rPr>
        <sz val="9"/>
        <color rgb="FF000000"/>
        <rFont val="楷体"/>
        <charset val="134"/>
      </rPr>
      <t>亿美元</t>
    </r>
  </si>
  <si>
    <r>
      <rPr>
        <sz val="9"/>
        <color rgb="FF000000"/>
        <rFont val="Arial"/>
        <charset val="134"/>
      </rPr>
      <t>Warner Bros.</t>
    </r>
    <r>
      <rPr>
        <sz val="9"/>
        <color rgb="FF000000"/>
        <rFont val="楷体"/>
        <charset val="134"/>
      </rPr>
      <t>华纳兄弟</t>
    </r>
    <r>
      <rPr>
        <sz val="9"/>
        <color rgb="FF000000"/>
        <rFont val="Arial"/>
        <charset val="134"/>
      </rPr>
      <t>,21</t>
    </r>
    <r>
      <rPr>
        <sz val="9"/>
        <color rgb="FF000000"/>
        <rFont val="楷体"/>
        <charset val="134"/>
      </rPr>
      <t>世纪福克斯</t>
    </r>
  </si>
  <si>
    <t>2018-05-22</t>
  </si>
  <si>
    <t>ORDRE.com</t>
  </si>
  <si>
    <r>
      <rPr>
        <sz val="9"/>
        <color rgb="FF000000"/>
        <rFont val="Arial"/>
        <charset val="134"/>
      </rPr>
      <t>Ordre</t>
    </r>
    <r>
      <rPr>
        <sz val="9"/>
        <color rgb="FF000000"/>
        <rFont val="楷体"/>
        <charset val="134"/>
      </rPr>
      <t>是一家旨在通过数字订购平台来优化奢侈品市场批发的初创公司。</t>
    </r>
    <r>
      <rPr>
        <sz val="9"/>
        <color rgb="FF000000"/>
        <rFont val="Arial"/>
        <charset val="134"/>
      </rPr>
      <t>Ordre</t>
    </r>
    <r>
      <rPr>
        <sz val="9"/>
        <color rgb="FF000000"/>
        <rFont val="楷体"/>
        <charset val="134"/>
      </rPr>
      <t>主打</t>
    </r>
    <r>
      <rPr>
        <sz val="9"/>
        <color rgb="FF000000"/>
        <rFont val="Arial"/>
        <charset val="134"/>
      </rPr>
      <t>360</t>
    </r>
    <r>
      <rPr>
        <sz val="9"/>
        <color rgb="FF000000"/>
        <rFont val="楷体"/>
        <charset val="134"/>
      </rPr>
      <t>度全景服装和虚拟现实时装秀，消除了亲身前往时尚周和陈列室的需要。</t>
    </r>
    <r>
      <rPr>
        <sz val="9"/>
        <color rgb="FF000000"/>
        <rFont val="Arial"/>
        <charset val="134"/>
      </rPr>
      <t>Ordre</t>
    </r>
    <r>
      <rPr>
        <sz val="9"/>
        <color rgb="FF000000"/>
        <rFont val="楷体"/>
        <charset val="134"/>
      </rPr>
      <t>吸引力的关键在于三维激光扫描工具的发展，其允许设计者拍摄高分辨率的</t>
    </r>
    <r>
      <rPr>
        <sz val="9"/>
        <color rgb="FF000000"/>
        <rFont val="Arial"/>
        <charset val="134"/>
      </rPr>
      <t>360</t>
    </r>
    <r>
      <rPr>
        <sz val="9"/>
        <color rgb="FF000000"/>
        <rFont val="楷体"/>
        <charset val="134"/>
      </rPr>
      <t>度全景图像。网站上的买家也可以使用</t>
    </r>
    <r>
      <rPr>
        <sz val="9"/>
        <color rgb="FF000000"/>
        <rFont val="Arial"/>
        <charset val="134"/>
      </rPr>
      <t>VR</t>
    </r>
    <r>
      <rPr>
        <sz val="9"/>
        <color rgb="FF000000"/>
        <rFont val="楷体"/>
        <charset val="134"/>
      </rPr>
      <t>头显观看时装表演，仿佛自己坐在时装秀前排一样。</t>
    </r>
  </si>
  <si>
    <t>https://www.ordre.com/en</t>
  </si>
  <si>
    <r>
      <rPr>
        <sz val="9"/>
        <color rgb="FF000000"/>
        <rFont val="楷体"/>
        <charset val="134"/>
      </rPr>
      <t>欧洲</t>
    </r>
    <r>
      <rPr>
        <sz val="9"/>
        <color rgb="FF000000"/>
        <rFont val="Arial"/>
        <charset val="134"/>
      </rPr>
      <t>-</t>
    </r>
    <r>
      <rPr>
        <sz val="9"/>
        <color rgb="FF000000"/>
        <rFont val="楷体"/>
        <charset val="134"/>
      </rPr>
      <t>法国</t>
    </r>
  </si>
  <si>
    <t>设计及创意</t>
  </si>
  <si>
    <r>
      <rPr>
        <sz val="9"/>
        <color rgb="FF000000"/>
        <rFont val="Arial"/>
        <charset val="134"/>
      </rPr>
      <t>Simon Lock	:</t>
    </r>
    <r>
      <rPr>
        <sz val="9"/>
        <color rgb="FF000000"/>
        <rFont val="楷体"/>
        <charset val="134"/>
      </rPr>
      <t>创始人</t>
    </r>
    <r>
      <rPr>
        <sz val="9"/>
        <color rgb="FF000000"/>
        <rFont val="Arial"/>
        <charset val="134"/>
      </rPr>
      <t>,Jason Furo:Team Member</t>
    </r>
  </si>
  <si>
    <t>CL Capital ,Chailease</t>
  </si>
  <si>
    <t>2021-12-20</t>
  </si>
  <si>
    <r>
      <t>Cars24</t>
    </r>
    <r>
      <rPr>
        <sz val="9"/>
        <color rgb="FF000000"/>
        <rFont val="楷体"/>
        <charset val="134"/>
      </rPr>
      <t>是一家二手车交易平台。</t>
    </r>
    <r>
      <rPr>
        <sz val="9"/>
        <color rgb="FF000000"/>
        <rFont val="Arial"/>
        <charset val="134"/>
      </rPr>
      <t>Cars24</t>
    </r>
    <r>
      <rPr>
        <sz val="9"/>
        <color rgb="FF000000"/>
        <rFont val="楷体"/>
        <charset val="134"/>
      </rPr>
      <t>在高度摩擦和不透明的二手车市场中提供快速、便利和安全的服务。其使命是彻底改变二手车在印度的销售方式。</t>
    </r>
    <r>
      <rPr>
        <sz val="9"/>
        <color rgb="FF000000"/>
        <rFont val="Arial"/>
        <charset val="134"/>
      </rPr>
      <t>CARS24</t>
    </r>
    <r>
      <rPr>
        <sz val="9"/>
        <color rgb="FF000000"/>
        <rFont val="楷体"/>
        <charset val="134"/>
      </rPr>
      <t>为车主创造了一种高效可靠的方式，以最优惠的价格销售二手车。</t>
    </r>
  </si>
  <si>
    <t>https://www.cars24.com/</t>
  </si>
  <si>
    <r>
      <rPr>
        <sz val="9"/>
        <color rgb="FF000000"/>
        <rFont val="楷体"/>
        <charset val="134"/>
      </rPr>
      <t>二手车</t>
    </r>
  </si>
  <si>
    <r>
      <t>G</t>
    </r>
    <r>
      <rPr>
        <sz val="9"/>
        <color rgb="FF000000"/>
        <rFont val="楷体"/>
        <charset val="134"/>
      </rPr>
      <t>轮</t>
    </r>
  </si>
  <si>
    <r>
      <t>4</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</si>
  <si>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,DST Global,</t>
    </r>
    <r>
      <rPr>
        <sz val="9"/>
        <color rgb="FF000000"/>
        <rFont val="楷体"/>
        <charset val="134"/>
      </rPr>
      <t>软银愿景基金</t>
    </r>
    <r>
      <rPr>
        <sz val="9"/>
        <color rgb="FF000000"/>
        <rFont val="Arial"/>
        <charset val="134"/>
      </rPr>
      <t>,Alpha Wave Global,Raptor Group,Exor Seeds,Moore Strategic Ventures</t>
    </r>
  </si>
  <si>
    <r>
      <t>89.8</t>
    </r>
    <r>
      <rPr>
        <sz val="9"/>
        <color rgb="FF000000"/>
        <rFont val="楷体"/>
        <charset val="134"/>
      </rPr>
      <t>亿</t>
    </r>
  </si>
  <si>
    <r>
      <t>214.5</t>
    </r>
    <r>
      <rPr>
        <sz val="9"/>
        <color rgb="FF000000"/>
        <rFont val="楷体"/>
        <charset val="134"/>
      </rPr>
      <t>亿元</t>
    </r>
  </si>
  <si>
    <t>Abhinav Gupta:Vice President,Ayush Agrawal:Director - Business Ops,Gajendra Jangid:Co-Founder and CMO,Kingshuk Mitra:Senior General Manager,Marut Singh:CTO,Mehul Agrawal:Co-Founder &amp; COO,Ruchit Agarwal:Co-Founder and Chief Financial Officer,Vikram Chopra:CEO and Co-Founder,Jayesh Sanghrajka:Audit Committee Member</t>
  </si>
  <si>
    <r>
      <rPr>
        <sz val="9"/>
        <color rgb="FF000000"/>
        <rFont val="楷体"/>
        <charset val="134"/>
      </rPr>
      <t>腾讯投资</t>
    </r>
    <r>
      <rPr>
        <sz val="9"/>
        <color rgb="FF000000"/>
        <rFont val="Arial"/>
        <charset val="134"/>
      </rPr>
      <t>,DST Global,Moore Venture Partners,</t>
    </r>
    <r>
      <rPr>
        <sz val="9"/>
        <color rgb="FF000000"/>
        <rFont val="楷体"/>
        <charset val="134"/>
      </rPr>
      <t>软银愿景基金</t>
    </r>
    <r>
      <rPr>
        <sz val="9"/>
        <color rgb="FF000000"/>
        <rFont val="Arial"/>
        <charset val="134"/>
      </rPr>
      <t>,Alpha Wave Global,Exor Seeds</t>
    </r>
  </si>
  <si>
    <t>DST Global</t>
  </si>
  <si>
    <r>
      <rPr>
        <sz val="9"/>
        <color rgb="FF000000"/>
        <rFont val="Arial"/>
        <charset val="134"/>
      </rPr>
      <t>1</t>
    </r>
    <r>
      <rPr>
        <sz val="9"/>
        <color rgb="FF000000"/>
        <rFont val="楷体"/>
        <charset val="134"/>
      </rPr>
      <t>亿卢比</t>
    </r>
  </si>
  <si>
    <t>Vivriti Capital</t>
  </si>
  <si>
    <r>
      <rPr>
        <sz val="9"/>
        <color rgb="FF000000"/>
        <rFont val="Arial"/>
        <charset val="134"/>
      </rPr>
      <t>31.17</t>
    </r>
    <r>
      <rPr>
        <sz val="9"/>
        <color rgb="FF000000"/>
        <rFont val="楷体"/>
        <charset val="134"/>
      </rPr>
      <t>亿卢比</t>
    </r>
  </si>
  <si>
    <t>Global Car Group</t>
  </si>
  <si>
    <r>
      <rPr>
        <sz val="9"/>
        <color rgb="FF000000"/>
        <rFont val="Arial"/>
        <charset val="134"/>
      </rPr>
      <t>DST Global,Sequoia Capital</t>
    </r>
    <r>
      <rPr>
        <sz val="9"/>
        <color rgb="FF000000"/>
        <rFont val="楷体"/>
        <charset val="134"/>
      </rPr>
      <t>红杉</t>
    </r>
    <r>
      <rPr>
        <sz val="9"/>
        <color rgb="FF000000"/>
        <rFont val="Arial"/>
        <charset val="134"/>
      </rPr>
      <t>,Unbound,KCK Global,Moore Strategic Ventures,Agnelli Family,Partners Fund</t>
    </r>
  </si>
  <si>
    <r>
      <rPr>
        <sz val="9"/>
        <color rgb="FF000000"/>
        <rFont val="Arial"/>
        <charset val="134"/>
      </rPr>
      <t>5200</t>
    </r>
    <r>
      <rPr>
        <sz val="9"/>
        <color rgb="FF000000"/>
        <rFont val="楷体"/>
        <charset val="134"/>
      </rPr>
      <t>万美元</t>
    </r>
  </si>
  <si>
    <r>
      <rPr>
        <sz val="9"/>
        <color rgb="FF000000"/>
        <rFont val="Arial"/>
        <charset val="134"/>
      </rPr>
      <t>Sequoia Capital</t>
    </r>
    <r>
      <rPr>
        <sz val="9"/>
        <color rgb="FF000000"/>
        <rFont val="楷体"/>
        <charset val="134"/>
      </rPr>
      <t>红杉</t>
    </r>
    <r>
      <rPr>
        <sz val="9"/>
        <color rgb="FF000000"/>
        <rFont val="Arial"/>
        <charset val="134"/>
      </rPr>
      <t>,Exor Seeds,KCK FZE,Scott Bankcraft Kapnick,Freemark holdings,Euler Capital,Kingsway FCI</t>
    </r>
  </si>
  <si>
    <r>
      <rPr>
        <sz val="9"/>
        <color rgb="FF000000"/>
        <rFont val="Arial"/>
        <charset val="134"/>
      </rPr>
      <t>Sequoia Capital</t>
    </r>
    <r>
      <rPr>
        <sz val="9"/>
        <color rgb="FF000000"/>
        <rFont val="楷体"/>
        <charset val="134"/>
      </rPr>
      <t>红杉</t>
    </r>
    <r>
      <rPr>
        <sz val="9"/>
        <color rgb="FF000000"/>
        <rFont val="Arial"/>
        <charset val="134"/>
      </rPr>
      <t>,KCK Global Limited,Kingsway FCI</t>
    </r>
    <r>
      <rPr>
        <sz val="9"/>
        <color rgb="FF000000"/>
        <rFont val="楷体"/>
        <charset val="134"/>
      </rPr>
      <t>基金</t>
    </r>
  </si>
  <si>
    <t>500 Startups,Regent Street Partners,Philipp Freise,Vendebita Trading Ltd.,Asia Venture Group Ltd.</t>
  </si>
  <si>
    <t>2018-06-26</t>
  </si>
  <si>
    <t>万达影视</t>
  </si>
  <si>
    <t>万达影视是一家影视行业综合服务提供商，集电影、电视剧的开发、投资、制作等多方位影视功能为一体，同时也涉及宣传、营销、发行等业务。致力于海外影视业务的发展，旗下代表作品有《催眠大师》、《寻龙诀》等，致力于为用户提供优质的影视作品。</t>
  </si>
  <si>
    <t>万达影视传媒有限公司</t>
  </si>
  <si>
    <t>http://www.wandamedia.cn/</t>
  </si>
  <si>
    <r>
      <rPr>
        <sz val="9"/>
        <color rgb="FF000000"/>
        <rFont val="Arial"/>
        <charset val="134"/>
      </rPr>
      <t>116</t>
    </r>
    <r>
      <rPr>
        <sz val="9"/>
        <color rgb="FF000000"/>
        <rFont val="楷体"/>
        <charset val="134"/>
      </rPr>
      <t>亿人民币</t>
    </r>
  </si>
  <si>
    <r>
      <rPr>
        <sz val="9"/>
        <color rgb="FF000000"/>
        <rFont val="Arial"/>
        <charset val="134"/>
      </rPr>
      <t>128.43</t>
    </r>
    <r>
      <rPr>
        <sz val="9"/>
        <color rgb="FF000000"/>
        <rFont val="楷体"/>
        <charset val="134"/>
      </rPr>
      <t>亿</t>
    </r>
  </si>
  <si>
    <r>
      <rPr>
        <sz val="9"/>
        <color rgb="FF000000"/>
        <rFont val="Arial"/>
        <charset val="134"/>
      </rPr>
      <t>580</t>
    </r>
    <r>
      <rPr>
        <sz val="9"/>
        <color rgb="FF000000"/>
        <rFont val="楷体"/>
        <charset val="134"/>
      </rPr>
      <t>亿元</t>
    </r>
  </si>
  <si>
    <r>
      <rPr>
        <sz val="9"/>
        <color rgb="FF000000"/>
        <rFont val="楷体"/>
        <charset val="134"/>
      </rPr>
      <t>张霖</t>
    </r>
    <r>
      <rPr>
        <sz val="9"/>
        <color rgb="FF000000"/>
        <rFont val="Arial"/>
        <charset val="134"/>
      </rPr>
      <t>:CEO,</t>
    </r>
    <r>
      <rPr>
        <sz val="9"/>
        <color rgb="FF000000"/>
        <rFont val="楷体"/>
        <charset val="134"/>
      </rPr>
      <t>姜伟</t>
    </r>
    <r>
      <rPr>
        <sz val="9"/>
        <color rgb="FF000000"/>
        <rFont val="Arial"/>
        <charset val="134"/>
      </rPr>
      <t>:</t>
    </r>
    <r>
      <rPr>
        <sz val="9"/>
        <color rgb="FF000000"/>
        <rFont val="楷体"/>
        <charset val="134"/>
      </rPr>
      <t>总经理</t>
    </r>
  </si>
  <si>
    <r>
      <rPr>
        <sz val="9"/>
        <color rgb="FF000000"/>
        <rFont val="楷体"/>
        <charset val="134"/>
      </rPr>
      <t>北京市朝阳区建国路</t>
    </r>
    <r>
      <rPr>
        <sz val="9"/>
        <color rgb="FF000000"/>
        <rFont val="Arial"/>
        <charset val="134"/>
      </rPr>
      <t>93</t>
    </r>
    <r>
      <rPr>
        <sz val="9"/>
        <color rgb="FF000000"/>
        <rFont val="楷体"/>
        <charset val="134"/>
      </rPr>
      <t>号院</t>
    </r>
    <r>
      <rPr>
        <sz val="9"/>
        <color rgb="FF000000"/>
        <rFont val="Arial"/>
        <charset val="134"/>
      </rPr>
      <t>12</t>
    </r>
    <r>
      <rPr>
        <sz val="9"/>
        <color rgb="FF000000"/>
        <rFont val="楷体"/>
        <charset val="134"/>
      </rPr>
      <t>号楼</t>
    </r>
    <r>
      <rPr>
        <sz val="9"/>
        <color rgb="FF000000"/>
        <rFont val="Arial"/>
        <charset val="134"/>
      </rPr>
      <t>4</t>
    </r>
    <r>
      <rPr>
        <sz val="9"/>
        <color rgb="FF000000"/>
        <rFont val="楷体"/>
        <charset val="134"/>
      </rPr>
      <t>层</t>
    </r>
    <r>
      <rPr>
        <sz val="9"/>
        <color rgb="FF000000"/>
        <rFont val="Arial"/>
        <charset val="134"/>
      </rPr>
      <t>501</t>
    </r>
  </si>
  <si>
    <t>010-5960-5115</t>
  </si>
  <si>
    <t>wdyshr@wanda.com.cn</t>
  </si>
  <si>
    <t>2021-01-25</t>
  </si>
  <si>
    <t>爱施德</t>
  </si>
  <si>
    <t>爱施德是一家智能终端销售服务提供商，围绕移动通讯终端产品、数码电子消费产品、通信服务、移动互联网、金融等领域，形成了智能终端产品、通信服务、金融服务和电商平台四大业务板块。</t>
  </si>
  <si>
    <t>深圳市爱施德股份有限公司</t>
  </si>
  <si>
    <t>http://www.aisidi.com/</t>
  </si>
  <si>
    <r>
      <rPr>
        <sz val="9"/>
        <color rgb="FF000000"/>
        <rFont val="Arial"/>
        <charset val="134"/>
      </rPr>
      <t>4900</t>
    </r>
    <r>
      <rPr>
        <sz val="9"/>
        <color rgb="FF000000"/>
        <rFont val="楷体"/>
        <charset val="134"/>
      </rPr>
      <t>万美元</t>
    </r>
  </si>
  <si>
    <r>
      <rPr>
        <sz val="9"/>
        <color rgb="FF000000"/>
        <rFont val="Arial"/>
        <charset val="134"/>
      </rPr>
      <t>29.69</t>
    </r>
    <r>
      <rPr>
        <sz val="9"/>
        <color rgb="FF000000"/>
        <rFont val="楷体"/>
        <charset val="134"/>
      </rPr>
      <t>亿</t>
    </r>
  </si>
  <si>
    <r>
      <rPr>
        <sz val="9"/>
        <color rgb="FF000000"/>
        <rFont val="Arial"/>
        <charset val="134"/>
      </rPr>
      <t>15.925</t>
    </r>
    <r>
      <rPr>
        <sz val="9"/>
        <color rgb="FF000000"/>
        <rFont val="楷体"/>
        <charset val="134"/>
      </rPr>
      <t>亿元</t>
    </r>
  </si>
  <si>
    <r>
      <rPr>
        <sz val="9"/>
        <color rgb="FF000000"/>
        <rFont val="楷体"/>
        <charset val="134"/>
      </rPr>
      <t>黄文辉</t>
    </r>
    <r>
      <rPr>
        <sz val="9"/>
        <color rgb="FF000000"/>
        <rFont val="Arial"/>
        <charset val="134"/>
      </rPr>
      <t>:</t>
    </r>
    <r>
      <rPr>
        <sz val="9"/>
        <color rgb="FF000000"/>
        <rFont val="楷体"/>
        <charset val="134"/>
      </rPr>
      <t>董事长</t>
    </r>
  </si>
  <si>
    <r>
      <rPr>
        <sz val="9"/>
        <color rgb="FF000000"/>
        <rFont val="楷体"/>
        <charset val="134"/>
      </rPr>
      <t>深圳市福田区泰然大道东泰然劲松大厦</t>
    </r>
    <r>
      <rPr>
        <sz val="9"/>
        <color rgb="FF000000"/>
        <rFont val="Arial"/>
        <charset val="134"/>
      </rPr>
      <t>20F</t>
    </r>
  </si>
  <si>
    <t>0755-2151-9888</t>
  </si>
  <si>
    <r>
      <rPr>
        <sz val="9"/>
        <color rgb="FF000000"/>
        <rFont val="Arial"/>
        <charset val="134"/>
      </rPr>
      <t>22.5</t>
    </r>
    <r>
      <rPr>
        <sz val="9"/>
        <color rgb="FF000000"/>
        <rFont val="楷体"/>
        <charset val="134"/>
      </rPr>
      <t>亿人民币</t>
    </r>
  </si>
  <si>
    <t>2021-04-21</t>
  </si>
  <si>
    <t>Trendyol Group</t>
  </si>
  <si>
    <r>
      <rPr>
        <sz val="9"/>
        <color rgb="FF000000"/>
        <rFont val="Arial"/>
        <charset val="134"/>
      </rPr>
      <t>Trendyol Group</t>
    </r>
    <r>
      <rPr>
        <sz val="9"/>
        <color rgb="FF000000"/>
        <rFont val="楷体"/>
        <charset val="134"/>
      </rPr>
      <t>是土耳其最大的移动商务公司，曼娜地区每年销售超过</t>
    </r>
    <r>
      <rPr>
        <sz val="9"/>
        <color rgb="FF000000"/>
        <rFont val="Arial"/>
        <charset val="134"/>
      </rPr>
      <t>3500</t>
    </r>
    <r>
      <rPr>
        <sz val="9"/>
        <color rgb="FF000000"/>
        <rFont val="楷体"/>
        <charset val="134"/>
      </rPr>
      <t>万件商品。</t>
    </r>
  </si>
  <si>
    <t>http://www.trendyol.com/</t>
  </si>
  <si>
    <r>
      <rPr>
        <sz val="9"/>
        <color rgb="FF000000"/>
        <rFont val="楷体"/>
        <charset val="134"/>
      </rPr>
      <t>欧洲</t>
    </r>
    <r>
      <rPr>
        <sz val="9"/>
        <color rgb="FF000000"/>
        <rFont val="Arial"/>
        <charset val="134"/>
      </rPr>
      <t>-</t>
    </r>
    <r>
      <rPr>
        <sz val="9"/>
        <color rgb="FF000000"/>
        <rFont val="楷体"/>
        <charset val="134"/>
      </rPr>
      <t>土耳其</t>
    </r>
  </si>
  <si>
    <r>
      <rPr>
        <sz val="9"/>
        <color rgb="FF000000"/>
        <rFont val="Arial"/>
        <charset val="134"/>
      </rPr>
      <t>80.39</t>
    </r>
    <r>
      <rPr>
        <sz val="9"/>
        <color rgb="FF000000"/>
        <rFont val="楷体"/>
        <charset val="134"/>
      </rPr>
      <t>亿</t>
    </r>
  </si>
  <si>
    <r>
      <rPr>
        <sz val="9"/>
        <color rgb="FF000000"/>
        <rFont val="Arial"/>
        <charset val="134"/>
      </rPr>
      <t>113.75</t>
    </r>
    <r>
      <rPr>
        <sz val="9"/>
        <color rgb="FF000000"/>
        <rFont val="楷体"/>
        <charset val="134"/>
      </rPr>
      <t>亿元</t>
    </r>
  </si>
  <si>
    <t>Anıl Durmus:System Engineer,Begum Tekin:Managing Partner,Cenk Çivici:Chief Technology Officer,Demet Suzan Mutlu:CEO &amp; Founder,Evren Ucok:Founder and Executive Chairman,Yiğit Darçın:Director Of Engineering</t>
  </si>
  <si>
    <r>
      <rPr>
        <sz val="9"/>
        <color rgb="FF000000"/>
        <rFont val="Arial"/>
        <charset val="134"/>
      </rPr>
      <t>Kleiner Perkins Caufield &amp; Byers(KPCB</t>
    </r>
    <r>
      <rPr>
        <sz val="9"/>
        <color rgb="FF000000"/>
        <rFont val="楷体"/>
        <charset val="134"/>
      </rPr>
      <t>全球</t>
    </r>
    <r>
      <rPr>
        <sz val="9"/>
        <color rgb="FF000000"/>
        <rFont val="Arial"/>
        <charset val="134"/>
      </rPr>
      <t>),Tiger Global</t>
    </r>
    <r>
      <rPr>
        <sz val="9"/>
        <color rgb="FF000000"/>
        <rFont val="楷体"/>
        <charset val="134"/>
      </rPr>
      <t>老虎海外</t>
    </r>
  </si>
  <si>
    <r>
      <rPr>
        <sz val="9"/>
        <color rgb="FF000000"/>
        <rFont val="Arial"/>
        <charset val="134"/>
      </rPr>
      <t>910</t>
    </r>
    <r>
      <rPr>
        <sz val="9"/>
        <color rgb="FF000000"/>
        <rFont val="楷体"/>
        <charset val="134"/>
      </rPr>
      <t>万美元</t>
    </r>
  </si>
  <si>
    <r>
      <rPr>
        <sz val="9"/>
        <color rgb="FF000000"/>
        <rFont val="Arial"/>
        <charset val="134"/>
      </rPr>
      <t>Tiger Global</t>
    </r>
    <r>
      <rPr>
        <sz val="9"/>
        <color rgb="FF000000"/>
        <rFont val="楷体"/>
        <charset val="134"/>
      </rPr>
      <t>老虎海外</t>
    </r>
  </si>
  <si>
    <r>
      <rPr>
        <sz val="9"/>
        <color rgb="FF000000"/>
        <rFont val="Arial"/>
        <charset val="134"/>
      </rPr>
      <t>220</t>
    </r>
    <r>
      <rPr>
        <sz val="9"/>
        <color rgb="FF000000"/>
        <rFont val="楷体"/>
        <charset val="134"/>
      </rPr>
      <t>万欧元</t>
    </r>
  </si>
  <si>
    <t>2019-03-15</t>
  </si>
  <si>
    <t>华人文化集团CMC</t>
  </si>
  <si>
    <r>
      <rPr>
        <sz val="9"/>
        <color rgb="FF000000"/>
        <rFont val="楷体"/>
        <charset val="134"/>
      </rPr>
      <t>华人文化集团</t>
    </r>
    <r>
      <rPr>
        <sz val="9"/>
        <color rgb="FF000000"/>
        <rFont val="Arial"/>
        <charset val="134"/>
      </rPr>
      <t>CMC</t>
    </r>
  </si>
  <si>
    <r>
      <rPr>
        <sz val="9"/>
        <color rgb="FF000000"/>
        <rFont val="楷体"/>
        <charset val="134"/>
      </rPr>
      <t>华人文化集团公司（</t>
    </r>
    <r>
      <rPr>
        <sz val="9"/>
        <color rgb="FF000000"/>
        <rFont val="Arial"/>
        <charset val="134"/>
      </rPr>
      <t>CMC Inc.</t>
    </r>
    <r>
      <rPr>
        <sz val="9"/>
        <color rgb="FF000000"/>
        <rFont val="楷体"/>
        <charset val="134"/>
      </rPr>
      <t>，原名华人文化控股集团</t>
    </r>
    <r>
      <rPr>
        <sz val="9"/>
        <color rgb="FF000000"/>
        <rFont val="Arial"/>
        <charset val="134"/>
      </rPr>
      <t>CMC Holdings</t>
    </r>
    <r>
      <rPr>
        <sz val="9"/>
        <color rgb="FF000000"/>
        <rFont val="楷体"/>
        <charset val="134"/>
      </rPr>
      <t>）是一家大型媒体与娱乐产业机构，秉承对品质内容和创新技术的信仰，在内容与平台、线上与线下、境内与境外推进战略布局和运营。近</t>
    </r>
    <r>
      <rPr>
        <sz val="9"/>
        <color rgb="FF000000"/>
        <rFont val="Arial"/>
        <charset val="134"/>
      </rPr>
      <t>3</t>
    </r>
    <r>
      <rPr>
        <sz val="9"/>
        <color rgb="FF000000"/>
        <rFont val="楷体"/>
        <charset val="134"/>
      </rPr>
      <t>年来，公司汇聚了一系列头部内容资源，同时积极探索和孵化互联网媒体平台和现场娱乐集群，形成了独特的生态体系及价值资源。</t>
    </r>
  </si>
  <si>
    <t>华人文化有限责任公司</t>
  </si>
  <si>
    <r>
      <rPr>
        <sz val="9"/>
        <color rgb="FF000000"/>
        <rFont val="楷体"/>
        <charset val="134"/>
      </rPr>
      <t>尚颀资本</t>
    </r>
    <r>
      <rPr>
        <sz val="9"/>
        <color rgb="FF000000"/>
        <rFont val="Arial"/>
        <charset val="134"/>
      </rPr>
      <t>,</t>
    </r>
    <r>
      <rPr>
        <sz val="9"/>
        <color rgb="FF000000"/>
        <rFont val="楷体"/>
        <charset val="134"/>
      </rPr>
      <t>瑞力投资</t>
    </r>
    <r>
      <rPr>
        <sz val="9"/>
        <color rgb="FF000000"/>
        <rFont val="Arial"/>
        <charset val="134"/>
      </rPr>
      <t>,</t>
    </r>
    <r>
      <rPr>
        <sz val="9"/>
        <color rgb="FF000000"/>
        <rFont val="楷体"/>
        <charset val="134"/>
      </rPr>
      <t>博裕资本</t>
    </r>
  </si>
  <si>
    <r>
      <rPr>
        <sz val="9"/>
        <color rgb="FF000000"/>
        <rFont val="Arial"/>
        <charset val="134"/>
      </rPr>
      <t>100.2</t>
    </r>
    <r>
      <rPr>
        <sz val="9"/>
        <color rgb="FF000000"/>
        <rFont val="楷体"/>
        <charset val="134"/>
      </rPr>
      <t>亿</t>
    </r>
  </si>
  <si>
    <r>
      <rPr>
        <sz val="9"/>
        <color rgb="FF000000"/>
        <rFont val="楷体"/>
        <charset val="134"/>
      </rPr>
      <t>黎瑞刚</t>
    </r>
    <r>
      <rPr>
        <sz val="9"/>
        <color rgb="FF000000"/>
        <rFont val="Arial"/>
        <charset val="134"/>
      </rPr>
      <t>:</t>
    </r>
    <r>
      <rPr>
        <sz val="9"/>
        <color rgb="FF000000"/>
        <rFont val="楷体"/>
        <charset val="134"/>
      </rPr>
      <t>创始人</t>
    </r>
  </si>
  <si>
    <r>
      <rPr>
        <sz val="9"/>
        <color rgb="FF000000"/>
        <rFont val="楷体"/>
        <charset val="134"/>
      </rPr>
      <t>苏州工业园区苏虹东路</t>
    </r>
    <r>
      <rPr>
        <sz val="9"/>
        <color rgb="FF000000"/>
        <rFont val="Arial"/>
        <charset val="134"/>
      </rPr>
      <t>183</t>
    </r>
    <r>
      <rPr>
        <sz val="9"/>
        <color rgb="FF000000"/>
        <rFont val="楷体"/>
        <charset val="134"/>
      </rPr>
      <t>号东沙湖股权投资中心</t>
    </r>
    <r>
      <rPr>
        <sz val="9"/>
        <color rgb="FF000000"/>
        <rFont val="Arial"/>
        <charset val="134"/>
      </rPr>
      <t>19</t>
    </r>
    <r>
      <rPr>
        <sz val="9"/>
        <color rgb="FF000000"/>
        <rFont val="楷体"/>
        <charset val="134"/>
      </rPr>
      <t>栋</t>
    </r>
    <r>
      <rPr>
        <sz val="9"/>
        <color rgb="FF000000"/>
        <rFont val="Arial"/>
        <charset val="134"/>
      </rPr>
      <t>215</t>
    </r>
    <r>
      <rPr>
        <sz val="9"/>
        <color rgb="FF000000"/>
        <rFont val="楷体"/>
        <charset val="134"/>
      </rPr>
      <t>室</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</si>
  <si>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万科集团</t>
    </r>
    <r>
      <rPr>
        <sz val="9"/>
        <color rgb="FF000000"/>
        <rFont val="Arial"/>
        <charset val="134"/>
      </rPr>
      <t>,</t>
    </r>
    <r>
      <rPr>
        <sz val="9"/>
        <color rgb="FF000000"/>
        <rFont val="楷体"/>
        <charset val="134"/>
      </rPr>
      <t>招银国际</t>
    </r>
  </si>
  <si>
    <t>2022-04-04</t>
  </si>
  <si>
    <t>Moneybox</t>
  </si>
  <si>
    <r>
      <rPr>
        <sz val="9"/>
        <color rgb="FF000000"/>
        <rFont val="Arial"/>
        <charset val="134"/>
      </rPr>
      <t>Moneybox</t>
    </r>
    <r>
      <rPr>
        <sz val="9"/>
        <color rgb="FF000000"/>
        <rFont val="楷体"/>
        <charset val="134"/>
      </rPr>
      <t>是一个互联网投资理财服务平台，主要服务于千禧一代，能够与用户的银行账户关联并具有自动进行支付、零钱投资等功能，投资的对象主要是用户的</t>
    </r>
    <r>
      <rPr>
        <sz val="9"/>
        <color rgb="FF000000"/>
        <rFont val="Arial"/>
        <charset val="134"/>
      </rPr>
      <t>ISA</t>
    </r>
    <r>
      <rPr>
        <sz val="9"/>
        <color rgb="FF000000"/>
        <rFont val="楷体"/>
        <charset val="134"/>
      </rPr>
      <t>账户，进而满足用户投资理财需求。</t>
    </r>
  </si>
  <si>
    <t>https://www.moneyboxapp.com/</t>
  </si>
  <si>
    <t>投融资</t>
  </si>
  <si>
    <r>
      <rPr>
        <sz val="9"/>
        <color rgb="FF000000"/>
        <rFont val="Arial"/>
        <charset val="134"/>
      </rPr>
      <t>3500</t>
    </r>
    <r>
      <rPr>
        <sz val="9"/>
        <color rgb="FF000000"/>
        <rFont val="楷体"/>
        <charset val="134"/>
      </rPr>
      <t>万英镑</t>
    </r>
  </si>
  <si>
    <t xml:space="preserve"> Fidelity,Polar Capital</t>
  </si>
  <si>
    <r>
      <rPr>
        <sz val="9"/>
        <color rgb="FF000000"/>
        <rFont val="Arial"/>
        <charset val="134"/>
      </rPr>
      <t>7.25</t>
    </r>
    <r>
      <rPr>
        <sz val="9"/>
        <color rgb="FF000000"/>
        <rFont val="楷体"/>
        <charset val="134"/>
      </rPr>
      <t>亿</t>
    </r>
  </si>
  <si>
    <r>
      <rPr>
        <sz val="9"/>
        <color rgb="FF000000"/>
        <rFont val="Arial"/>
        <charset val="134"/>
      </rPr>
      <t>15.4</t>
    </r>
    <r>
      <rPr>
        <sz val="9"/>
        <color rgb="FF000000"/>
        <rFont val="楷体"/>
        <charset val="134"/>
      </rPr>
      <t>亿元</t>
    </r>
  </si>
  <si>
    <t>Ben Stanway:Co-Founder &amp; Co-CEO,Caroline Murphree:Managing Director - Savings, Investing &amp; Retirement,Charlie Mortimer:Co-founder &amp; Co-CEO,Charlotte Oates:Head of Marketing,Chuen- Hing Lee:Director of API Development,Frances Salter:Head of User Insight,Jay Swanston:Chief Platform Officer,Jon Leigh:Director of Platform &amp; Infrastructure,Karen Kerrigan:Chief Operating Officer,Richard Davis:Engineering Lead,Smith Forte:Chief Product Officer</t>
  </si>
  <si>
    <r>
      <rPr>
        <sz val="9"/>
        <color rgb="FF000000"/>
        <rFont val="Arial"/>
        <charset val="134"/>
      </rPr>
      <t>3000</t>
    </r>
    <r>
      <rPr>
        <sz val="9"/>
        <color rgb="FF000000"/>
        <rFont val="楷体"/>
        <charset val="134"/>
      </rPr>
      <t>万英镑</t>
    </r>
  </si>
  <si>
    <t>Breega Capital,Eight Roads Ventures,CNP</t>
  </si>
  <si>
    <r>
      <rPr>
        <sz val="9"/>
        <color rgb="FF000000"/>
        <rFont val="Arial"/>
        <charset val="134"/>
      </rPr>
      <t>1867</t>
    </r>
    <r>
      <rPr>
        <sz val="9"/>
        <color rgb="FF000000"/>
        <rFont val="楷体"/>
        <charset val="134"/>
      </rPr>
      <t>万美元</t>
    </r>
  </si>
  <si>
    <r>
      <rPr>
        <sz val="9"/>
        <color rgb="FF000000"/>
        <rFont val="楷体"/>
        <charset val="134"/>
      </rPr>
      <t>阿里巴巴</t>
    </r>
    <r>
      <rPr>
        <sz val="9"/>
        <color rgb="FF000000"/>
        <rFont val="Arial"/>
        <charset val="134"/>
      </rPr>
      <t>,Samos Investments,Eight Roads Ventures,Oxford Capital</t>
    </r>
  </si>
  <si>
    <r>
      <rPr>
        <sz val="9"/>
        <color rgb="FF000000"/>
        <rFont val="Arial"/>
        <charset val="134"/>
      </rPr>
      <t>180</t>
    </r>
    <r>
      <rPr>
        <sz val="9"/>
        <color rgb="FF000000"/>
        <rFont val="楷体"/>
        <charset val="134"/>
      </rPr>
      <t>万美元</t>
    </r>
  </si>
  <si>
    <t>Oxford Capital</t>
  </si>
  <si>
    <t>Samos Investments</t>
  </si>
  <si>
    <t>2018-07-10</t>
  </si>
  <si>
    <t>SMARTRAC</t>
  </si>
  <si>
    <r>
      <rPr>
        <sz val="9"/>
        <color rgb="FF000000"/>
        <rFont val="Arial"/>
        <charset val="134"/>
      </rPr>
      <t>SMARTRAC</t>
    </r>
    <r>
      <rPr>
        <sz val="9"/>
        <color rgb="FF000000"/>
        <rFont val="楷体"/>
        <charset val="134"/>
      </rPr>
      <t>是荷兰一家宽带用</t>
    </r>
    <r>
      <rPr>
        <sz val="9"/>
        <color rgb="FF000000"/>
        <rFont val="Arial"/>
        <charset val="134"/>
      </rPr>
      <t>RFID</t>
    </r>
    <r>
      <rPr>
        <sz val="9"/>
        <color rgb="FF000000"/>
        <rFont val="楷体"/>
        <charset val="134"/>
      </rPr>
      <t>组件研发商，专注于零售、汽车、保健和其他行业的</t>
    </r>
    <r>
      <rPr>
        <sz val="9"/>
        <color rgb="FF000000"/>
        <rFont val="Arial"/>
        <charset val="134"/>
      </rPr>
      <t>RFID</t>
    </r>
    <r>
      <rPr>
        <sz val="9"/>
        <color rgb="FF000000"/>
        <rFont val="楷体"/>
        <charset val="134"/>
      </rPr>
      <t>及物联网方案开发，产品可应用于公共运输、门禁管理、</t>
    </r>
    <r>
      <rPr>
        <sz val="9"/>
        <color rgb="FF000000"/>
        <rFont val="Arial"/>
        <charset val="134"/>
      </rPr>
      <t>RFID</t>
    </r>
    <r>
      <rPr>
        <sz val="9"/>
        <color rgb="FF000000"/>
        <rFont val="楷体"/>
        <charset val="134"/>
      </rPr>
      <t>汽车防盗、动物识别、工业和物流等领域。</t>
    </r>
  </si>
  <si>
    <t>http://www.smartrac-group.com/</t>
  </si>
  <si>
    <r>
      <rPr>
        <sz val="9"/>
        <color rgb="FF000000"/>
        <rFont val="楷体"/>
        <charset val="134"/>
      </rPr>
      <t>欧洲</t>
    </r>
    <r>
      <rPr>
        <sz val="9"/>
        <color rgb="FF000000"/>
        <rFont val="Arial"/>
        <charset val="134"/>
      </rPr>
      <t>-</t>
    </r>
    <r>
      <rPr>
        <sz val="9"/>
        <color rgb="FF000000"/>
        <rFont val="楷体"/>
        <charset val="134"/>
      </rPr>
      <t>荷兰</t>
    </r>
  </si>
  <si>
    <t>Gerd Wolfram:Senior Vice President and Head of systems and solutions,Marina Jovanovic:SVP, Corporate Business Development</t>
  </si>
  <si>
    <t>2022-08-19</t>
  </si>
  <si>
    <t>驿栈网络</t>
  </si>
  <si>
    <r>
      <rPr>
        <sz val="9"/>
        <color rgb="FF000000"/>
        <rFont val="楷体"/>
        <charset val="134"/>
      </rPr>
      <t>驿栈网络</t>
    </r>
  </si>
  <si>
    <r>
      <rPr>
        <sz val="9"/>
        <color rgb="FF000000"/>
        <rFont val="楷体"/>
        <charset val="134"/>
      </rPr>
      <t>驿栈网络是一个面向社区、校园的第三方末端物流服务平台，主要为用户提供包裹代收、代寄、派送等物流服务，致力于为消费者提供多元化的最后一公里服务，解决快件投递难的问题。</t>
    </r>
    <r>
      <rPr>
        <sz val="9"/>
        <color rgb="FF000000"/>
        <rFont val="Arial"/>
        <charset val="134"/>
      </rPr>
      <t xml:space="preserve">
</t>
    </r>
  </si>
  <si>
    <t>浙江驿栈网络科技有限公司</t>
  </si>
  <si>
    <r>
      <rPr>
        <sz val="9"/>
        <color rgb="FF000000"/>
        <rFont val="楷体"/>
        <charset val="134"/>
      </rPr>
      <t>其他物流</t>
    </r>
  </si>
  <si>
    <r>
      <t>32.67</t>
    </r>
    <r>
      <rPr>
        <sz val="9"/>
        <color rgb="FF000000"/>
        <rFont val="楷体"/>
        <charset val="134"/>
      </rPr>
      <t>亿</t>
    </r>
  </si>
  <si>
    <r>
      <rPr>
        <sz val="9"/>
        <color rgb="FF000000"/>
        <rFont val="楷体"/>
        <charset val="134"/>
      </rPr>
      <t>万霖</t>
    </r>
    <r>
      <rPr>
        <sz val="9"/>
        <color rgb="FF000000"/>
        <rFont val="Arial"/>
        <charset val="134"/>
      </rPr>
      <t>:</t>
    </r>
    <r>
      <rPr>
        <sz val="9"/>
        <color rgb="FF000000"/>
        <rFont val="楷体"/>
        <charset val="134"/>
      </rPr>
      <t>董事长</t>
    </r>
  </si>
  <si>
    <r>
      <rPr>
        <sz val="9"/>
        <color rgb="FF000000"/>
        <rFont val="楷体"/>
        <charset val="134"/>
      </rPr>
      <t>浙江省杭州市余杭区五常街道文一西路</t>
    </r>
    <r>
      <rPr>
        <sz val="9"/>
        <color rgb="FF000000"/>
        <rFont val="Arial"/>
        <charset val="134"/>
      </rPr>
      <t>969</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5</t>
    </r>
    <r>
      <rPr>
        <sz val="9"/>
        <color rgb="FF000000"/>
        <rFont val="楷体"/>
        <charset val="134"/>
      </rPr>
      <t>层</t>
    </r>
    <r>
      <rPr>
        <sz val="9"/>
        <color rgb="FF000000"/>
        <rFont val="Arial"/>
        <charset val="134"/>
      </rPr>
      <t>515</t>
    </r>
    <r>
      <rPr>
        <sz val="9"/>
        <color rgb="FF000000"/>
        <rFont val="楷体"/>
        <charset val="134"/>
      </rPr>
      <t>室</t>
    </r>
  </si>
  <si>
    <r>
      <rPr>
        <sz val="9"/>
        <color rgb="FF000000"/>
        <rFont val="Arial"/>
        <charset val="134"/>
      </rPr>
      <t>31.67</t>
    </r>
    <r>
      <rPr>
        <sz val="9"/>
        <color rgb="FF000000"/>
        <rFont val="楷体"/>
        <charset val="134"/>
      </rPr>
      <t>亿人民币</t>
    </r>
  </si>
  <si>
    <r>
      <rPr>
        <sz val="9"/>
        <color rgb="FF000000"/>
        <rFont val="楷体"/>
        <charset val="134"/>
      </rPr>
      <t>圆通速递</t>
    </r>
    <r>
      <rPr>
        <sz val="9"/>
        <color rgb="FF000000"/>
        <rFont val="Arial"/>
        <charset val="134"/>
      </rPr>
      <t>,</t>
    </r>
    <r>
      <rPr>
        <sz val="9"/>
        <color rgb="FF000000"/>
        <rFont val="楷体"/>
        <charset val="134"/>
      </rPr>
      <t>申通快递</t>
    </r>
    <r>
      <rPr>
        <sz val="9"/>
        <color rgb="FF000000"/>
        <rFont val="Arial"/>
        <charset val="134"/>
      </rPr>
      <t>,</t>
    </r>
    <r>
      <rPr>
        <sz val="9"/>
        <color rgb="FF000000"/>
        <rFont val="楷体"/>
        <charset val="134"/>
      </rPr>
      <t>百世物流</t>
    </r>
    <r>
      <rPr>
        <sz val="9"/>
        <color rgb="FF000000"/>
        <rFont val="Arial"/>
        <charset val="134"/>
      </rPr>
      <t>,</t>
    </r>
    <r>
      <rPr>
        <sz val="9"/>
        <color rgb="FF000000"/>
        <rFont val="楷体"/>
        <charset val="134"/>
      </rPr>
      <t>中通快递</t>
    </r>
  </si>
  <si>
    <t>2018-07-25</t>
  </si>
  <si>
    <t>En-trak</t>
  </si>
  <si>
    <r>
      <rPr>
        <sz val="9"/>
        <color rgb="FF000000"/>
        <rFont val="Arial"/>
        <charset val="134"/>
      </rPr>
      <t>En-trak</t>
    </r>
    <r>
      <rPr>
        <sz val="9"/>
        <color rgb="FF000000"/>
        <rFont val="楷体"/>
        <charset val="134"/>
      </rPr>
      <t>是智慧楼宇物联网研发商。</t>
    </r>
    <r>
      <rPr>
        <sz val="9"/>
        <color rgb="FF000000"/>
        <rFont val="Arial"/>
        <charset val="134"/>
      </rPr>
      <t>En-trak</t>
    </r>
    <r>
      <rPr>
        <sz val="9"/>
        <color rgb="FF000000"/>
        <rFont val="楷体"/>
        <charset val="134"/>
      </rPr>
      <t>集合智能照控、电力、水、天然气、室内空气质量、</t>
    </r>
    <r>
      <rPr>
        <sz val="9"/>
        <color rgb="FF000000"/>
        <rFont val="Arial"/>
        <charset val="134"/>
      </rPr>
      <t>EV</t>
    </r>
    <r>
      <rPr>
        <sz val="9"/>
        <color rgb="FF000000"/>
        <rFont val="楷体"/>
        <charset val="134"/>
      </rPr>
      <t>充电、太阳能和风力发电，能搜集及综合不同楼宇数据，让客户管理和优化办公室和楼宇资源，协助提升工作效率及履行监管要求。</t>
    </r>
  </si>
  <si>
    <t>其他企业服务</t>
  </si>
  <si>
    <r>
      <rPr>
        <sz val="9"/>
        <color rgb="FF000000"/>
        <rFont val="楷体"/>
        <charset val="134"/>
      </rPr>
      <t>阿里巴巴</t>
    </r>
    <r>
      <rPr>
        <sz val="9"/>
        <color rgb="FF000000"/>
        <rFont val="Arial"/>
        <charset val="134"/>
      </rPr>
      <t>,</t>
    </r>
    <r>
      <rPr>
        <sz val="9"/>
        <color rgb="FF000000"/>
        <rFont val="楷体"/>
        <charset val="134"/>
      </rPr>
      <t>阿里巴巴创业者基金</t>
    </r>
    <r>
      <rPr>
        <sz val="9"/>
        <color rgb="FF000000"/>
        <rFont val="Arial"/>
        <charset val="134"/>
      </rPr>
      <t>,CLP Innovation Ventures Limited</t>
    </r>
  </si>
  <si>
    <t>2019-04-30</t>
  </si>
  <si>
    <t>Bus365中国公路客票网</t>
  </si>
  <si>
    <r>
      <rPr>
        <sz val="9"/>
        <color rgb="FF000000"/>
        <rFont val="Arial"/>
        <charset val="134"/>
      </rPr>
      <t>Bus365</t>
    </r>
    <r>
      <rPr>
        <sz val="9"/>
        <color rgb="FF000000"/>
        <rFont val="楷体"/>
        <charset val="134"/>
      </rPr>
      <t>中国公路客票网</t>
    </r>
  </si>
  <si>
    <r>
      <rPr>
        <sz val="9"/>
        <color rgb="FF000000"/>
        <rFont val="Arial"/>
        <charset val="134"/>
      </rPr>
      <t>Bus365</t>
    </r>
    <r>
      <rPr>
        <sz val="9"/>
        <color rgb="FF000000"/>
        <rFont val="楷体"/>
        <charset val="134"/>
      </rPr>
      <t>中国公路客票网是一家车票查询与在线预订平台，主要为有出行需求的用户提供长途汽车票、火车票等在线预订服务。用户只需登陆官网输入始发地、目的地、出发日期等相关信息即可查询并完成预订。此外，还提供景点门票查询、周边游产品推荐等相关服务。</t>
    </r>
  </si>
  <si>
    <t>盛威时代科技股份有限公司</t>
  </si>
  <si>
    <t>http://www.bus365.com/</t>
  </si>
  <si>
    <r>
      <rPr>
        <sz val="9"/>
        <color rgb="FF000000"/>
        <rFont val="楷体"/>
        <charset val="134"/>
      </rPr>
      <t>东方证券</t>
    </r>
    <r>
      <rPr>
        <sz val="9"/>
        <color rgb="FF000000"/>
        <rFont val="Arial"/>
        <charset val="134"/>
      </rPr>
      <t>(</t>
    </r>
    <r>
      <rPr>
        <sz val="9"/>
        <color rgb="FF000000"/>
        <rFont val="楷体"/>
        <charset val="134"/>
      </rPr>
      <t>东方星晖</t>
    </r>
    <r>
      <rPr>
        <sz val="9"/>
        <color rgb="FF000000"/>
        <rFont val="Arial"/>
        <charset val="134"/>
      </rPr>
      <t>),</t>
    </r>
    <r>
      <rPr>
        <sz val="9"/>
        <color rgb="FF000000"/>
        <rFont val="楷体"/>
        <charset val="134"/>
      </rPr>
      <t>建元基金</t>
    </r>
    <r>
      <rPr>
        <sz val="9"/>
        <color rgb="FF000000"/>
        <rFont val="Arial"/>
        <charset val="134"/>
      </rPr>
      <t>,</t>
    </r>
    <r>
      <rPr>
        <sz val="9"/>
        <color rgb="FF000000"/>
        <rFont val="楷体"/>
        <charset val="134"/>
      </rPr>
      <t>海岱柱石</t>
    </r>
  </si>
  <si>
    <r>
      <rPr>
        <sz val="9"/>
        <color rgb="FF000000"/>
        <rFont val="Arial"/>
        <charset val="134"/>
      </rPr>
      <t>3.81</t>
    </r>
    <r>
      <rPr>
        <sz val="9"/>
        <color rgb="FF000000"/>
        <rFont val="楷体"/>
        <charset val="134"/>
      </rPr>
      <t>亿</t>
    </r>
  </si>
  <si>
    <r>
      <rPr>
        <sz val="9"/>
        <color rgb="FF000000"/>
        <rFont val="楷体"/>
        <charset val="134"/>
      </rPr>
      <t>姜生喜</t>
    </r>
    <r>
      <rPr>
        <sz val="9"/>
        <color rgb="FF000000"/>
        <rFont val="Arial"/>
        <charset val="134"/>
      </rPr>
      <t>:</t>
    </r>
    <r>
      <rPr>
        <sz val="9"/>
        <color rgb="FF000000"/>
        <rFont val="楷体"/>
        <charset val="134"/>
      </rPr>
      <t>董事长</t>
    </r>
  </si>
  <si>
    <r>
      <rPr>
        <sz val="9"/>
        <color rgb="FF000000"/>
        <rFont val="楷体"/>
        <charset val="134"/>
      </rPr>
      <t>北京市海淀区上地东路一号盈创动力大厦</t>
    </r>
    <r>
      <rPr>
        <sz val="9"/>
        <color rgb="FF000000"/>
        <rFont val="Arial"/>
        <charset val="134"/>
      </rPr>
      <t>E</t>
    </r>
    <r>
      <rPr>
        <sz val="9"/>
        <color rgb="FF000000"/>
        <rFont val="楷体"/>
        <charset val="134"/>
      </rPr>
      <t>座西区</t>
    </r>
    <r>
      <rPr>
        <sz val="9"/>
        <color rgb="FF000000"/>
        <rFont val="Arial"/>
        <charset val="134"/>
      </rPr>
      <t>7</t>
    </r>
    <r>
      <rPr>
        <sz val="9"/>
        <color rgb="FF000000"/>
        <rFont val="楷体"/>
        <charset val="134"/>
      </rPr>
      <t>层</t>
    </r>
  </si>
  <si>
    <t>400-088-4365</t>
  </si>
  <si>
    <t>4009984365@bus365.com</t>
  </si>
  <si>
    <r>
      <rPr>
        <sz val="9"/>
        <color rgb="FF000000"/>
        <rFont val="楷体"/>
        <charset val="134"/>
      </rPr>
      <t>阿里巴巴</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再石资本</t>
    </r>
    <r>
      <rPr>
        <sz val="9"/>
        <color rgb="FF000000"/>
        <rFont val="Arial"/>
        <charset val="134"/>
      </rPr>
      <t>,</t>
    </r>
    <r>
      <rPr>
        <sz val="9"/>
        <color rgb="FF000000"/>
        <rFont val="楷体"/>
        <charset val="134"/>
      </rPr>
      <t>淡水泉投资</t>
    </r>
    <r>
      <rPr>
        <sz val="9"/>
        <color rgb="FF000000"/>
        <rFont val="Arial"/>
        <charset val="134"/>
      </rPr>
      <t>,</t>
    </r>
    <r>
      <rPr>
        <sz val="9"/>
        <color rgb="FF000000"/>
        <rFont val="楷体"/>
        <charset val="134"/>
      </rPr>
      <t>国开科创</t>
    </r>
  </si>
  <si>
    <r>
      <rPr>
        <sz val="9"/>
        <color rgb="FF000000"/>
        <rFont val="楷体"/>
        <charset val="134"/>
      </rPr>
      <t>阿里巴巴</t>
    </r>
    <r>
      <rPr>
        <sz val="9"/>
        <color rgb="FF000000"/>
        <rFont val="Arial"/>
        <charset val="134"/>
      </rPr>
      <t>,ASLAN</t>
    </r>
    <r>
      <rPr>
        <sz val="9"/>
        <color rgb="FF000000"/>
        <rFont val="楷体"/>
        <charset val="134"/>
      </rPr>
      <t>阿斯兰</t>
    </r>
    <r>
      <rPr>
        <sz val="9"/>
        <color rgb="FF000000"/>
        <rFont val="Arial"/>
        <charset val="134"/>
      </rPr>
      <t>,</t>
    </r>
    <r>
      <rPr>
        <sz val="9"/>
        <color rgb="FF000000"/>
        <rFont val="楷体"/>
        <charset val="134"/>
      </rPr>
      <t>飞猪</t>
    </r>
    <r>
      <rPr>
        <sz val="9"/>
        <color rgb="FF000000"/>
        <rFont val="Arial"/>
        <charset val="134"/>
      </rPr>
      <t>,</t>
    </r>
    <r>
      <rPr>
        <sz val="9"/>
        <color rgb="FF000000"/>
        <rFont val="楷体"/>
        <charset val="134"/>
      </rPr>
      <t>海岱柱石投资</t>
    </r>
  </si>
  <si>
    <r>
      <rPr>
        <sz val="9"/>
        <color rgb="FF000000"/>
        <rFont val="楷体"/>
        <charset val="134"/>
      </rPr>
      <t>创世资本</t>
    </r>
    <r>
      <rPr>
        <sz val="9"/>
        <color rgb="FF000000"/>
        <rFont val="Arial"/>
        <charset val="134"/>
      </rPr>
      <t>,</t>
    </r>
    <r>
      <rPr>
        <sz val="9"/>
        <color rgb="FF000000"/>
        <rFont val="楷体"/>
        <charset val="134"/>
      </rPr>
      <t>盈创动力</t>
    </r>
  </si>
  <si>
    <t>2021-03-31</t>
  </si>
  <si>
    <t>十荟团</t>
  </si>
  <si>
    <r>
      <rPr>
        <sz val="9"/>
        <color rgb="FF000000"/>
        <rFont val="楷体"/>
        <charset val="134"/>
      </rPr>
      <t>十荟团是一个社区团购电商平台，通过微信小程序形态，</t>
    </r>
    <r>
      <rPr>
        <sz val="9"/>
        <color rgb="FF000000"/>
        <rFont val="Arial"/>
        <charset val="134"/>
      </rPr>
      <t xml:space="preserve"> </t>
    </r>
    <r>
      <rPr>
        <sz val="9"/>
        <color rgb="FF000000"/>
        <rFont val="楷体"/>
        <charset val="134"/>
      </rPr>
      <t>基于城市社区</t>
    </r>
    <r>
      <rPr>
        <sz val="9"/>
        <color rgb="FF000000"/>
        <rFont val="Arial"/>
        <charset val="134"/>
      </rPr>
      <t>/</t>
    </r>
    <r>
      <rPr>
        <sz val="9"/>
        <color rgb="FF000000"/>
        <rFont val="楷体"/>
        <charset val="134"/>
      </rPr>
      <t>小区，为社区家庭带来新鲜美味的产地食材以及日用品等。由有好东西创始人陈郢，和原爱鲜蜂高级副总裁王鹏二人联合创始，并出任联席</t>
    </r>
    <r>
      <rPr>
        <sz val="9"/>
        <color rgb="FF000000"/>
        <rFont val="Arial"/>
        <charset val="134"/>
      </rPr>
      <t>CEO</t>
    </r>
    <r>
      <rPr>
        <sz val="9"/>
        <color rgb="FF000000"/>
        <rFont val="楷体"/>
        <charset val="134"/>
      </rPr>
      <t>。</t>
    </r>
  </si>
  <si>
    <t>北京十荟科技有限公司</t>
  </si>
  <si>
    <t>http://www.nicetuan.net/</t>
  </si>
  <si>
    <t>2018-08</t>
  </si>
  <si>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阿里巴巴</t>
    </r>
    <r>
      <rPr>
        <sz val="9"/>
        <color rgb="FF000000"/>
        <rFont val="Arial"/>
        <charset val="134"/>
      </rPr>
      <t>,DST Global,Dragoneer Investment Group,</t>
    </r>
    <r>
      <rPr>
        <sz val="9"/>
        <color rgb="FF000000"/>
        <rFont val="楷体"/>
        <charset val="134"/>
      </rPr>
      <t>昆仑资本</t>
    </r>
    <r>
      <rPr>
        <sz val="9"/>
        <color rgb="FF000000"/>
        <rFont val="Arial"/>
        <charset val="134"/>
      </rPr>
      <t>,JenerationCapital</t>
    </r>
    <r>
      <rPr>
        <sz val="9"/>
        <color rgb="FF000000"/>
        <rFont val="楷体"/>
        <charset val="134"/>
      </rPr>
      <t>时代资本</t>
    </r>
    <r>
      <rPr>
        <sz val="9"/>
        <color rgb="FF000000"/>
        <rFont val="Arial"/>
        <charset val="134"/>
      </rPr>
      <t>,</t>
    </r>
    <r>
      <rPr>
        <sz val="9"/>
        <color rgb="FF000000"/>
        <rFont val="楷体"/>
        <charset val="134"/>
      </rPr>
      <t>晨曦创投</t>
    </r>
    <r>
      <rPr>
        <sz val="9"/>
        <color rgb="FF000000"/>
        <rFont val="Arial"/>
        <charset val="134"/>
      </rPr>
      <t>,</t>
    </r>
    <r>
      <rPr>
        <sz val="9"/>
        <color rgb="FF000000"/>
        <rFont val="楷体"/>
        <charset val="134"/>
      </rPr>
      <t>高鹄资本</t>
    </r>
    <r>
      <rPr>
        <sz val="9"/>
        <color rgb="FF000000"/>
        <rFont val="Arial"/>
        <charset val="134"/>
      </rPr>
      <t>,the D.E.Shaw Group,Franchise Capital</t>
    </r>
  </si>
  <si>
    <r>
      <rPr>
        <sz val="9"/>
        <color rgb="FF000000"/>
        <rFont val="Arial"/>
        <charset val="134"/>
      </rPr>
      <t>80.67</t>
    </r>
    <r>
      <rPr>
        <sz val="9"/>
        <color rgb="FF000000"/>
        <rFont val="楷体"/>
        <charset val="134"/>
      </rPr>
      <t>亿</t>
    </r>
  </si>
  <si>
    <r>
      <rPr>
        <sz val="9"/>
        <color rgb="FF000000"/>
        <rFont val="楷体"/>
        <charset val="134"/>
      </rPr>
      <t>王鹏</t>
    </r>
    <r>
      <rPr>
        <sz val="9"/>
        <color rgb="FF000000"/>
        <rFont val="Arial"/>
        <charset val="134"/>
      </rPr>
      <t>:CEO,</t>
    </r>
    <r>
      <rPr>
        <sz val="9"/>
        <color rgb="FF000000"/>
        <rFont val="楷体"/>
        <charset val="134"/>
      </rPr>
      <t>陈郢</t>
    </r>
    <r>
      <rPr>
        <sz val="9"/>
        <color rgb="FF000000"/>
        <rFont val="Arial"/>
        <charset val="134"/>
      </rPr>
      <t>:</t>
    </r>
    <r>
      <rPr>
        <sz val="9"/>
        <color rgb="FF000000"/>
        <rFont val="楷体"/>
        <charset val="134"/>
      </rPr>
      <t>联席</t>
    </r>
    <r>
      <rPr>
        <sz val="9"/>
        <color rgb="FF000000"/>
        <rFont val="Arial"/>
        <charset val="134"/>
      </rPr>
      <t>CEO</t>
    </r>
  </si>
  <si>
    <r>
      <rPr>
        <sz val="9"/>
        <color rgb="FF000000"/>
        <rFont val="楷体"/>
        <charset val="134"/>
      </rPr>
      <t>北京市朝阳区东三环北路东方东路</t>
    </r>
    <r>
      <rPr>
        <sz val="9"/>
        <color rgb="FF000000"/>
        <rFont val="Arial"/>
        <charset val="134"/>
      </rPr>
      <t>9</t>
    </r>
    <r>
      <rPr>
        <sz val="9"/>
        <color rgb="FF000000"/>
        <rFont val="楷体"/>
        <charset val="134"/>
      </rPr>
      <t>号</t>
    </r>
    <r>
      <rPr>
        <sz val="9"/>
        <color rgb="FF000000"/>
        <rFont val="Arial"/>
        <charset val="134"/>
      </rPr>
      <t>b</t>
    </r>
    <r>
      <rPr>
        <sz val="9"/>
        <color rgb="FF000000"/>
        <rFont val="楷体"/>
        <charset val="134"/>
      </rPr>
      <t>幢三层</t>
    </r>
  </si>
  <si>
    <t>010-5774-8176</t>
  </si>
  <si>
    <t>38829875@qq.com</t>
  </si>
  <si>
    <r>
      <rPr>
        <sz val="9"/>
        <color rgb="FF000000"/>
        <rFont val="Arial"/>
        <charset val="134"/>
      </rPr>
      <t>1.96</t>
    </r>
    <r>
      <rPr>
        <sz val="9"/>
        <color rgb="FF000000"/>
        <rFont val="楷体"/>
        <charset val="134"/>
      </rPr>
      <t>亿美元</t>
    </r>
  </si>
  <si>
    <r>
      <rPr>
        <sz val="9"/>
        <color rgb="FF000000"/>
        <rFont val="楷体"/>
        <charset val="134"/>
      </rPr>
      <t>启明创投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昆仑资本</t>
    </r>
    <r>
      <rPr>
        <sz val="9"/>
        <color rgb="FF000000"/>
        <rFont val="Arial"/>
        <charset val="134"/>
      </rPr>
      <t>,JenerationCapital</t>
    </r>
    <r>
      <rPr>
        <sz val="9"/>
        <color rgb="FF000000"/>
        <rFont val="楷体"/>
        <charset val="134"/>
      </rPr>
      <t>时代资本</t>
    </r>
    <r>
      <rPr>
        <sz val="9"/>
        <color rgb="FF000000"/>
        <rFont val="Arial"/>
        <charset val="134"/>
      </rPr>
      <t>,</t>
    </r>
    <r>
      <rPr>
        <sz val="9"/>
        <color rgb="FF000000"/>
        <rFont val="楷体"/>
        <charset val="134"/>
      </rPr>
      <t>高鹄资本</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渶策资本</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</si>
  <si>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民生银行</t>
    </r>
    <r>
      <rPr>
        <sz val="9"/>
        <color rgb="FF000000"/>
        <rFont val="Arial"/>
        <charset val="134"/>
      </rPr>
      <t>(</t>
    </r>
    <r>
      <rPr>
        <sz val="9"/>
        <color rgb="FF000000"/>
        <rFont val="楷体"/>
        <charset val="134"/>
      </rPr>
      <t>民银国际</t>
    </r>
    <r>
      <rPr>
        <sz val="9"/>
        <color rgb="FF000000"/>
        <rFont val="Arial"/>
        <charset val="134"/>
      </rPr>
      <t>),</t>
    </r>
    <r>
      <rPr>
        <sz val="9"/>
        <color rgb="FF000000"/>
        <rFont val="楷体"/>
        <charset val="134"/>
      </rPr>
      <t>渶策资本</t>
    </r>
  </si>
  <si>
    <r>
      <rPr>
        <sz val="9"/>
        <color rgb="FF000000"/>
        <rFont val="Arial"/>
        <charset val="134"/>
      </rPr>
      <t>8140</t>
    </r>
    <r>
      <rPr>
        <sz val="9"/>
        <color rgb="FF000000"/>
        <rFont val="楷体"/>
        <charset val="134"/>
      </rPr>
      <t>万美元</t>
    </r>
  </si>
  <si>
    <r>
      <rPr>
        <sz val="9"/>
        <color rgb="FF000000"/>
        <rFont val="楷体"/>
        <charset val="134"/>
      </rPr>
      <t>启明创投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高鹄资本</t>
    </r>
    <r>
      <rPr>
        <sz val="9"/>
        <color rgb="FF000000"/>
        <rFont val="Arial"/>
        <charset val="134"/>
      </rPr>
      <t>,</t>
    </r>
    <r>
      <rPr>
        <sz val="9"/>
        <color rgb="FF000000"/>
        <rFont val="楷体"/>
        <charset val="134"/>
      </rPr>
      <t>渶策资本</t>
    </r>
  </si>
  <si>
    <r>
      <rPr>
        <sz val="9"/>
        <color rgb="FF000000"/>
        <rFont val="Arial"/>
        <charset val="134"/>
      </rPr>
      <t>8830</t>
    </r>
    <r>
      <rPr>
        <sz val="9"/>
        <color rgb="FF000000"/>
        <rFont val="楷体"/>
        <charset val="134"/>
      </rPr>
      <t>万美元</t>
    </r>
  </si>
  <si>
    <r>
      <rPr>
        <sz val="9"/>
        <color rgb="FF000000"/>
        <rFont val="楷体"/>
        <charset val="134"/>
      </rPr>
      <t>真格基金</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渶策资本</t>
    </r>
  </si>
  <si>
    <t>你我您社区购</t>
  </si>
  <si>
    <r>
      <rPr>
        <sz val="9"/>
        <color rgb="FF000000"/>
        <rFont val="楷体"/>
        <charset val="134"/>
      </rPr>
      <t>真格基金</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有好东西</t>
    </r>
  </si>
  <si>
    <t>2020-10-19</t>
  </si>
  <si>
    <t>高鑫零售</t>
  </si>
  <si>
    <r>
      <rPr>
        <sz val="9"/>
        <color rgb="FF000000"/>
        <rFont val="楷体"/>
        <charset val="134"/>
      </rPr>
      <t>高鑫零售是一家大卖场运营商，通过线下连锁加盟，线上自建网络平台等模式进行产品销售，主要运营百货类、家纺及餐桌用品等，以</t>
    </r>
    <r>
      <rPr>
        <sz val="9"/>
        <color rgb="FF000000"/>
        <rFont val="Arial"/>
        <charset val="134"/>
      </rPr>
      <t>“</t>
    </r>
    <r>
      <rPr>
        <sz val="9"/>
        <color rgb="FF000000"/>
        <rFont val="楷体"/>
        <charset val="134"/>
      </rPr>
      <t>欧尚</t>
    </r>
    <r>
      <rPr>
        <sz val="9"/>
        <color rgb="FF000000"/>
        <rFont val="Arial"/>
        <charset val="134"/>
      </rPr>
      <t>”</t>
    </r>
    <r>
      <rPr>
        <sz val="9"/>
        <color rgb="FF000000"/>
        <rFont val="楷体"/>
        <charset val="134"/>
      </rPr>
      <t>及</t>
    </r>
    <r>
      <rPr>
        <sz val="9"/>
        <color rgb="FF000000"/>
        <rFont val="Arial"/>
        <charset val="134"/>
      </rPr>
      <t>“</t>
    </r>
    <r>
      <rPr>
        <sz val="9"/>
        <color rgb="FF000000"/>
        <rFont val="楷体"/>
        <charset val="134"/>
      </rPr>
      <t>大润发</t>
    </r>
    <r>
      <rPr>
        <sz val="9"/>
        <color rgb="FF000000"/>
        <rFont val="Arial"/>
        <charset val="134"/>
      </rPr>
      <t>”</t>
    </r>
    <r>
      <rPr>
        <sz val="9"/>
        <color rgb="FF000000"/>
        <rFont val="楷体"/>
        <charset val="134"/>
      </rPr>
      <t>两大知名品牌经营大卖场业务。</t>
    </r>
  </si>
  <si>
    <t>高鑫零售有限公司</t>
  </si>
  <si>
    <t>http://www.sunartretail.com/en/global/home.php</t>
  </si>
  <si>
    <t>2000-12</t>
  </si>
  <si>
    <r>
      <rPr>
        <sz val="9"/>
        <color rgb="FF000000"/>
        <rFont val="Arial"/>
        <charset val="134"/>
      </rPr>
      <t>36</t>
    </r>
    <r>
      <rPr>
        <sz val="9"/>
        <color rgb="FF000000"/>
        <rFont val="楷体"/>
        <charset val="134"/>
      </rPr>
      <t>亿美元</t>
    </r>
  </si>
  <si>
    <r>
      <rPr>
        <sz val="9"/>
        <color rgb="FF000000"/>
        <rFont val="Arial"/>
        <charset val="134"/>
      </rPr>
      <t>475.7</t>
    </r>
    <r>
      <rPr>
        <sz val="9"/>
        <color rgb="FF000000"/>
        <rFont val="楷体"/>
        <charset val="134"/>
      </rPr>
      <t>亿</t>
    </r>
  </si>
  <si>
    <r>
      <rPr>
        <sz val="9"/>
        <color rgb="FF000000"/>
        <rFont val="Arial"/>
        <charset val="134"/>
      </rPr>
      <t>1170</t>
    </r>
    <r>
      <rPr>
        <sz val="9"/>
        <color rgb="FF000000"/>
        <rFont val="楷体"/>
        <charset val="134"/>
      </rPr>
      <t>亿元</t>
    </r>
  </si>
  <si>
    <r>
      <rPr>
        <sz val="9"/>
        <color rgb="FF000000"/>
        <rFont val="楷体"/>
        <charset val="134"/>
      </rPr>
      <t>林小海</t>
    </r>
    <r>
      <rPr>
        <sz val="9"/>
        <color rgb="FF000000"/>
        <rFont val="Arial"/>
        <charset val="134"/>
      </rPr>
      <t>:CEO</t>
    </r>
  </si>
  <si>
    <r>
      <rPr>
        <sz val="9"/>
        <color rgb="FF000000"/>
        <rFont val="楷体"/>
        <charset val="134"/>
      </rPr>
      <t>香港皇后大道东</t>
    </r>
    <r>
      <rPr>
        <sz val="9"/>
        <color rgb="FF000000"/>
        <rFont val="Arial"/>
        <charset val="134"/>
      </rPr>
      <t>183</t>
    </r>
    <r>
      <rPr>
        <sz val="9"/>
        <color rgb="FF000000"/>
        <rFont val="楷体"/>
        <charset val="134"/>
      </rPr>
      <t>号合和中心</t>
    </r>
    <r>
      <rPr>
        <sz val="9"/>
        <color rgb="FF000000"/>
        <rFont val="Arial"/>
        <charset val="134"/>
      </rPr>
      <t>54</t>
    </r>
    <r>
      <rPr>
        <sz val="9"/>
        <color rgb="FF000000"/>
        <rFont val="楷体"/>
        <charset val="134"/>
      </rPr>
      <t>楼</t>
    </r>
  </si>
  <si>
    <t>852-02980-1888</t>
  </si>
  <si>
    <t>gu.xiaobei@auchan.com</t>
  </si>
  <si>
    <r>
      <rPr>
        <sz val="9"/>
        <color rgb="FF000000"/>
        <rFont val="Arial"/>
        <charset val="134"/>
      </rPr>
      <t>28.8</t>
    </r>
    <r>
      <rPr>
        <sz val="9"/>
        <color rgb="FF000000"/>
        <rFont val="楷体"/>
        <charset val="134"/>
      </rPr>
      <t>亿美元</t>
    </r>
  </si>
  <si>
    <r>
      <rPr>
        <sz val="9"/>
        <color rgb="FF000000"/>
        <rFont val="Arial"/>
        <charset val="134"/>
      </rPr>
      <t>68.12</t>
    </r>
    <r>
      <rPr>
        <sz val="9"/>
        <color rgb="FF000000"/>
        <rFont val="楷体"/>
        <charset val="134"/>
      </rPr>
      <t>亿港元</t>
    </r>
  </si>
  <si>
    <t>2019-01-31</t>
  </si>
  <si>
    <t>阿里本地生活服务</t>
  </si>
  <si>
    <r>
      <rPr>
        <sz val="9"/>
        <color rgb="FF000000"/>
        <rFont val="楷体"/>
        <charset val="134"/>
      </rPr>
      <t>阿里本地生活服务公司成立于</t>
    </r>
    <r>
      <rPr>
        <sz val="9"/>
        <color rgb="FF000000"/>
        <rFont val="Arial"/>
        <charset val="134"/>
      </rPr>
      <t>2018</t>
    </r>
    <r>
      <rPr>
        <sz val="9"/>
        <color rgb="FF000000"/>
        <rFont val="楷体"/>
        <charset val="134"/>
      </rPr>
      <t>年，将由饿了么和口碑两大业务合并组成，在新零售、会员体系、营销、物流、金融等领域，围绕城市生活产生无限的想象空间，最终将数字化的本地服务延展到人们日常生活的方方面面。</t>
    </r>
  </si>
  <si>
    <t>2018-10</t>
  </si>
  <si>
    <r>
      <rPr>
        <sz val="9"/>
        <color rgb="FF000000"/>
        <rFont val="Arial"/>
        <charset val="134"/>
      </rPr>
      <t>30</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</si>
  <si>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软银中国资本</t>
    </r>
  </si>
  <si>
    <r>
      <rPr>
        <sz val="9"/>
        <color rgb="FF000000"/>
        <rFont val="Arial"/>
        <charset val="134"/>
      </rPr>
      <t>195</t>
    </r>
    <r>
      <rPr>
        <sz val="9"/>
        <color rgb="FF000000"/>
        <rFont val="楷体"/>
        <charset val="134"/>
      </rPr>
      <t>亿</t>
    </r>
  </si>
  <si>
    <r>
      <rPr>
        <sz val="9"/>
        <color rgb="FF000000"/>
        <rFont val="Arial"/>
        <charset val="134"/>
      </rPr>
      <t>975</t>
    </r>
    <r>
      <rPr>
        <sz val="9"/>
        <color rgb="FF000000"/>
        <rFont val="楷体"/>
        <charset val="134"/>
      </rPr>
      <t>亿元</t>
    </r>
  </si>
  <si>
    <r>
      <rPr>
        <sz val="9"/>
        <color rgb="FF000000"/>
        <rFont val="楷体"/>
        <charset val="134"/>
      </rPr>
      <t>王磊</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胡晓明</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李永和</t>
    </r>
    <r>
      <rPr>
        <sz val="9"/>
        <color rgb="FF000000"/>
        <rFont val="Arial"/>
        <charset val="134"/>
      </rPr>
      <t>:CEO</t>
    </r>
  </si>
  <si>
    <t>阿里巴巴园区</t>
  </si>
  <si>
    <t>2021-12-12</t>
  </si>
  <si>
    <t>T11生鲜超市</t>
  </si>
  <si>
    <r>
      <t>T11</t>
    </r>
    <r>
      <rPr>
        <sz val="9"/>
        <color rgb="FF000000"/>
        <rFont val="楷体"/>
        <charset val="134"/>
      </rPr>
      <t>生鲜超市</t>
    </r>
  </si>
  <si>
    <r>
      <t>T11</t>
    </r>
    <r>
      <rPr>
        <sz val="9"/>
        <color rgb="FF000000"/>
        <rFont val="楷体"/>
        <charset val="134"/>
      </rPr>
      <t>生鲜超市是甄选全球优质商品，满足消费者品质生活需求的线上线下一体化全渠道零售商，以生鲜、</t>
    </r>
    <r>
      <rPr>
        <sz val="9"/>
        <color rgb="FF000000"/>
        <rFont val="Arial"/>
        <charset val="134"/>
      </rPr>
      <t xml:space="preserve"> </t>
    </r>
    <r>
      <rPr>
        <sz val="9"/>
        <color rgb="FF000000"/>
        <rFont val="楷体"/>
        <charset val="134"/>
      </rPr>
      <t>一般食品为主，同时经营中</t>
    </r>
    <r>
      <rPr>
        <sz val="9"/>
        <color rgb="FF000000"/>
        <rFont val="Arial"/>
        <charset val="134"/>
      </rPr>
      <t>/</t>
    </r>
    <r>
      <rPr>
        <sz val="9"/>
        <color rgb="FF000000"/>
        <rFont val="楷体"/>
        <charset val="134"/>
      </rPr>
      <t>西餐、日料、烘焙、咖啡、酒水、日用百货等品类。涵盖家庭餐厨、洗化、职场</t>
    </r>
    <r>
      <rPr>
        <sz val="9"/>
        <color rgb="FF000000"/>
        <rFont val="Arial"/>
        <charset val="134"/>
      </rPr>
      <t>/</t>
    </r>
    <r>
      <rPr>
        <sz val="9"/>
        <color rgb="FF000000"/>
        <rFont val="楷体"/>
        <charset val="134"/>
      </rPr>
      <t>休闲轻餐购物等生活领域的线上线下一体化，全渠道品质生活超市。</t>
    </r>
  </si>
  <si>
    <t>北京锦益网络科技有限公司</t>
  </si>
  <si>
    <t>http://www.myt11.com/</t>
  </si>
  <si>
    <t>2018-05</t>
  </si>
  <si>
    <r>
      <rPr>
        <sz val="9"/>
        <color rgb="FF000000"/>
        <rFont val="楷体"/>
        <charset val="134"/>
      </rPr>
      <t>生鲜</t>
    </r>
  </si>
  <si>
    <r>
      <t>1</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</si>
  <si>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和玉资本</t>
    </r>
    <r>
      <rPr>
        <sz val="9"/>
        <color rgb="FF000000"/>
        <rFont val="Arial"/>
        <charset val="134"/>
      </rPr>
      <t>,</t>
    </r>
    <r>
      <rPr>
        <sz val="9"/>
        <color rgb="FF000000"/>
        <rFont val="楷体"/>
        <charset val="134"/>
      </rPr>
      <t>鸿为资本</t>
    </r>
  </si>
  <si>
    <r>
      <t>11.45</t>
    </r>
    <r>
      <rPr>
        <sz val="9"/>
        <color rgb="FF000000"/>
        <rFont val="楷体"/>
        <charset val="134"/>
      </rPr>
      <t>亿</t>
    </r>
  </si>
  <si>
    <r>
      <t>65</t>
    </r>
    <r>
      <rPr>
        <sz val="9"/>
        <color rgb="FF000000"/>
        <rFont val="楷体"/>
        <charset val="134"/>
      </rPr>
      <t>亿元</t>
    </r>
  </si>
  <si>
    <r>
      <rPr>
        <sz val="9"/>
        <color rgb="FF000000"/>
        <rFont val="楷体"/>
        <charset val="134"/>
      </rPr>
      <t>杜勇</t>
    </r>
    <r>
      <rPr>
        <sz val="9"/>
        <color rgb="FF000000"/>
        <rFont val="Arial"/>
        <charset val="134"/>
      </rPr>
      <t>:</t>
    </r>
    <r>
      <rPr>
        <sz val="9"/>
        <color rgb="FF000000"/>
        <rFont val="楷体"/>
        <charset val="134"/>
      </rPr>
      <t>董事长</t>
    </r>
  </si>
  <si>
    <r>
      <rPr>
        <sz val="9"/>
        <color rgb="FF000000"/>
        <rFont val="楷体"/>
        <charset val="134"/>
      </rPr>
      <t>北京市朝阳区东大桥路</t>
    </r>
    <r>
      <rPr>
        <sz val="9"/>
        <color rgb="FF000000"/>
        <rFont val="Arial"/>
        <charset val="134"/>
      </rPr>
      <t>12</t>
    </r>
    <r>
      <rPr>
        <sz val="9"/>
        <color rgb="FF000000"/>
        <rFont val="楷体"/>
        <charset val="134"/>
      </rPr>
      <t>号</t>
    </r>
    <r>
      <rPr>
        <sz val="9"/>
        <color rgb="FF000000"/>
        <rFont val="Arial"/>
        <charset val="134"/>
      </rPr>
      <t>1</t>
    </r>
    <r>
      <rPr>
        <sz val="9"/>
        <color rgb="FF000000"/>
        <rFont val="楷体"/>
        <charset val="134"/>
      </rPr>
      <t>幢二层</t>
    </r>
    <r>
      <rPr>
        <sz val="9"/>
        <color rgb="FF000000"/>
        <rFont val="Arial"/>
        <charset val="134"/>
      </rPr>
      <t>202</t>
    </r>
    <r>
      <rPr>
        <sz val="9"/>
        <color rgb="FF000000"/>
        <rFont val="楷体"/>
        <charset val="134"/>
      </rPr>
      <t>室</t>
    </r>
  </si>
  <si>
    <t>400-688-8511</t>
  </si>
  <si>
    <t>t11kf@myt11.com</t>
  </si>
  <si>
    <t>和玉资本</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</si>
  <si>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远望资本</t>
    </r>
    <r>
      <rPr>
        <sz val="9"/>
        <color rgb="FF000000"/>
        <rFont val="Arial"/>
        <charset val="134"/>
      </rPr>
      <t>,</t>
    </r>
    <r>
      <rPr>
        <sz val="9"/>
        <color rgb="FF000000"/>
        <rFont val="楷体"/>
        <charset val="134"/>
      </rPr>
      <t>国美资本</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壹叁资本</t>
    </r>
  </si>
  <si>
    <t>2022-08-15</t>
  </si>
  <si>
    <t>享道出行</t>
  </si>
  <si>
    <t>享道出行是上汽集团投资组建的一家互联网专车服务平台。公司利用移动互联网和大数据技术，创新交通出行服务模式，整合市场资源，搭建起商务用车的信息服务平台，为用户提供电动化、网联化、智能化、共享化的商务专车用车体验。</t>
  </si>
  <si>
    <t>上海赛可出行科技服务有限公司</t>
  </si>
  <si>
    <t>https://www.saicmobility.com/</t>
  </si>
  <si>
    <t>2018-04</t>
  </si>
  <si>
    <r>
      <rPr>
        <sz val="9"/>
        <color rgb="FF000000"/>
        <rFont val="Arial"/>
        <charset val="134"/>
      </rPr>
      <t>Momenta,</t>
    </r>
    <r>
      <rPr>
        <sz val="9"/>
        <color rgb="FF000000"/>
        <rFont val="楷体"/>
        <charset val="134"/>
      </rPr>
      <t>上汽集团</t>
    </r>
    <r>
      <rPr>
        <sz val="9"/>
        <color rgb="FF000000"/>
        <rFont val="Arial"/>
        <charset val="134"/>
      </rPr>
      <t>,</t>
    </r>
    <r>
      <rPr>
        <sz val="9"/>
        <color rgb="FF000000"/>
        <rFont val="楷体"/>
        <charset val="134"/>
      </rPr>
      <t>高行管理咨询</t>
    </r>
  </si>
  <si>
    <r>
      <rPr>
        <sz val="9"/>
        <color rgb="FF000000"/>
        <rFont val="Arial"/>
        <charset val="134"/>
      </rPr>
      <t>13.3</t>
    </r>
    <r>
      <rPr>
        <sz val="9"/>
        <color rgb="FF000000"/>
        <rFont val="楷体"/>
        <charset val="134"/>
      </rPr>
      <t>亿</t>
    </r>
  </si>
  <si>
    <r>
      <rPr>
        <sz val="9"/>
        <color rgb="FF000000"/>
        <rFont val="楷体"/>
        <charset val="134"/>
      </rPr>
      <t>冯戟</t>
    </r>
    <r>
      <rPr>
        <sz val="9"/>
        <color rgb="FF000000"/>
        <rFont val="Arial"/>
        <charset val="134"/>
      </rPr>
      <t>:CEO</t>
    </r>
  </si>
  <si>
    <r>
      <rPr>
        <sz val="9"/>
        <color rgb="FF000000"/>
        <rFont val="楷体"/>
        <charset val="134"/>
      </rPr>
      <t>上海市静安区威海路</t>
    </r>
    <r>
      <rPr>
        <sz val="9"/>
        <color rgb="FF000000"/>
        <rFont val="Arial"/>
        <charset val="134"/>
      </rPr>
      <t>567</t>
    </r>
    <r>
      <rPr>
        <sz val="9"/>
        <color rgb="FF000000"/>
        <rFont val="楷体"/>
        <charset val="134"/>
      </rPr>
      <t>号</t>
    </r>
    <r>
      <rPr>
        <sz val="9"/>
        <color rgb="FF000000"/>
        <rFont val="Arial"/>
        <charset val="134"/>
      </rPr>
      <t>15A</t>
    </r>
  </si>
  <si>
    <t>400-821-8866</t>
  </si>
  <si>
    <t>BD@saicmobility.com</t>
  </si>
  <si>
    <r>
      <t>3</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</si>
  <si>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宁德时代</t>
    </r>
  </si>
  <si>
    <t>尚颀资本</t>
  </si>
  <si>
    <t>2018-11-09</t>
  </si>
  <si>
    <t>喜士多</t>
  </si>
  <si>
    <r>
      <rPr>
        <sz val="9"/>
        <color rgb="FF000000"/>
        <rFont val="楷体"/>
        <charset val="134"/>
      </rPr>
      <t>喜士多是一个便利店连锁品牌，主营休闲食品、现做熟食、酒水饮料、日用品等全品类商品，提供加盟、鲜食承包、设备租赁等服务，拥有直营店及加盟店等相关网点近千家，覆盖华东、华南等地区。</t>
    </r>
    <r>
      <rPr>
        <sz val="9"/>
        <color rgb="FF000000"/>
        <rFont val="Arial"/>
        <charset val="134"/>
      </rPr>
      <t xml:space="preserve">
</t>
    </r>
  </si>
  <si>
    <t>上海喜士多便利连锁有限公司</t>
  </si>
  <si>
    <t>http://www.c-store.com.cn/</t>
  </si>
  <si>
    <t>2001-04</t>
  </si>
  <si>
    <r>
      <rPr>
        <sz val="9"/>
        <color rgb="FF000000"/>
        <rFont val="Arial"/>
        <charset val="134"/>
      </rPr>
      <t>5</t>
    </r>
    <r>
      <rPr>
        <sz val="9"/>
        <color rgb="FF000000"/>
        <rFont val="楷体"/>
        <charset val="134"/>
      </rPr>
      <t>亿</t>
    </r>
  </si>
  <si>
    <r>
      <rPr>
        <sz val="9"/>
        <color rgb="FF000000"/>
        <rFont val="Arial"/>
        <charset val="134"/>
      </rPr>
      <t>25</t>
    </r>
    <r>
      <rPr>
        <sz val="9"/>
        <color rgb="FF000000"/>
        <rFont val="楷体"/>
        <charset val="134"/>
      </rPr>
      <t>亿元</t>
    </r>
  </si>
  <si>
    <r>
      <rPr>
        <sz val="9"/>
        <color rgb="FF000000"/>
        <rFont val="楷体"/>
        <charset val="134"/>
      </rPr>
      <t>徐玲美</t>
    </r>
    <r>
      <rPr>
        <sz val="9"/>
        <color rgb="FF000000"/>
        <rFont val="Arial"/>
        <charset val="134"/>
      </rPr>
      <t>:CEO</t>
    </r>
  </si>
  <si>
    <r>
      <rPr>
        <sz val="9"/>
        <color rgb="FF000000"/>
        <rFont val="楷体"/>
        <charset val="134"/>
      </rPr>
      <t>江场三路</t>
    </r>
    <r>
      <rPr>
        <sz val="9"/>
        <color rgb="FF000000"/>
        <rFont val="Arial"/>
        <charset val="134"/>
      </rPr>
      <t>301</t>
    </r>
    <r>
      <rPr>
        <sz val="9"/>
        <color rgb="FF000000"/>
        <rFont val="楷体"/>
        <charset val="134"/>
      </rPr>
      <t>号</t>
    </r>
    <r>
      <rPr>
        <sz val="9"/>
        <color rgb="FF000000"/>
        <rFont val="Arial"/>
        <charset val="134"/>
      </rPr>
      <t>501</t>
    </r>
    <r>
      <rPr>
        <sz val="9"/>
        <color rgb="FF000000"/>
        <rFont val="楷体"/>
        <charset val="134"/>
      </rPr>
      <t>室</t>
    </r>
  </si>
  <si>
    <t>2005-08-10</t>
  </si>
  <si>
    <t>雅虎中国</t>
  </si>
  <si>
    <r>
      <rPr>
        <sz val="9"/>
        <color rgb="FF000000"/>
        <rFont val="楷体"/>
        <charset val="134"/>
      </rPr>
      <t>雅虎是曾经的全球第一门户搜索网站，业务遍及</t>
    </r>
    <r>
      <rPr>
        <sz val="9"/>
        <color rgb="FF000000"/>
        <rFont val="Arial"/>
        <charset val="134"/>
      </rPr>
      <t>24</t>
    </r>
    <r>
      <rPr>
        <sz val="9"/>
        <color rgb="FF000000"/>
        <rFont val="楷体"/>
        <charset val="134"/>
      </rPr>
      <t>个国家和地区，为全球超过</t>
    </r>
    <r>
      <rPr>
        <sz val="9"/>
        <color rgb="FF000000"/>
        <rFont val="Arial"/>
        <charset val="134"/>
      </rPr>
      <t>5</t>
    </r>
    <r>
      <rPr>
        <sz val="9"/>
        <color rgb="FF000000"/>
        <rFont val="楷体"/>
        <charset val="134"/>
      </rPr>
      <t>亿的独立用户提供多元化的网络服务。</t>
    </r>
    <r>
      <rPr>
        <sz val="9"/>
        <color rgb="FF000000"/>
        <rFont val="Arial"/>
        <charset val="134"/>
      </rPr>
      <t>1999</t>
    </r>
    <r>
      <rPr>
        <sz val="9"/>
        <color rgb="FF000000"/>
        <rFont val="楷体"/>
        <charset val="134"/>
      </rPr>
      <t>年</t>
    </r>
    <r>
      <rPr>
        <sz val="9"/>
        <color rgb="FF000000"/>
        <rFont val="Arial"/>
        <charset val="134"/>
      </rPr>
      <t>9</t>
    </r>
    <r>
      <rPr>
        <sz val="9"/>
        <color rgb="FF000000"/>
        <rFont val="楷体"/>
        <charset val="134"/>
      </rPr>
      <t>月，中国雅虎网站开通。</t>
    </r>
    <r>
      <rPr>
        <sz val="9"/>
        <color rgb="FF000000"/>
        <rFont val="Arial"/>
        <charset val="134"/>
      </rPr>
      <t>2005</t>
    </r>
    <r>
      <rPr>
        <sz val="9"/>
        <color rgb="FF000000"/>
        <rFont val="楷体"/>
        <charset val="134"/>
      </rPr>
      <t>年</t>
    </r>
    <r>
      <rPr>
        <sz val="9"/>
        <color rgb="FF000000"/>
        <rFont val="Arial"/>
        <charset val="134"/>
      </rPr>
      <t>8</t>
    </r>
    <r>
      <rPr>
        <sz val="9"/>
        <color rgb="FF000000"/>
        <rFont val="楷体"/>
        <charset val="134"/>
      </rPr>
      <t>月，中国雅虎由阿里巴巴集团全资收购。</t>
    </r>
    <r>
      <rPr>
        <sz val="9"/>
        <color rgb="FF000000"/>
        <rFont val="Arial"/>
        <charset val="134"/>
      </rPr>
      <t>2005</t>
    </r>
    <r>
      <rPr>
        <sz val="9"/>
        <color rgb="FF000000"/>
        <rFont val="楷体"/>
        <charset val="134"/>
      </rPr>
      <t>年</t>
    </r>
    <r>
      <rPr>
        <sz val="9"/>
        <color rgb="FF000000"/>
        <rFont val="Arial"/>
        <charset val="134"/>
      </rPr>
      <t>10</t>
    </r>
    <r>
      <rPr>
        <sz val="9"/>
        <color rgb="FF000000"/>
        <rFont val="楷体"/>
        <charset val="134"/>
      </rPr>
      <t>月、阿里巴巴和雅虎全球达成战略合作，并更名为阿里巴巴雅虎。</t>
    </r>
  </si>
  <si>
    <t>阿里巴巴（中国）网络技术有限公司</t>
  </si>
  <si>
    <t>1999-09</t>
  </si>
  <si>
    <r>
      <rPr>
        <sz val="9"/>
        <color rgb="FF000000"/>
        <rFont val="楷体"/>
        <charset val="134"/>
      </rPr>
      <t>浙江省杭州市滨江区网商路</t>
    </r>
    <r>
      <rPr>
        <sz val="9"/>
        <color rgb="FF000000"/>
        <rFont val="Arial"/>
        <charset val="134"/>
      </rPr>
      <t>699</t>
    </r>
    <r>
      <rPr>
        <sz val="9"/>
        <color rgb="FF000000"/>
        <rFont val="楷体"/>
        <charset val="134"/>
      </rPr>
      <t>号</t>
    </r>
  </si>
  <si>
    <t>云粒智慧</t>
  </si>
  <si>
    <t>云粒智慧是一家政企数字化转型服务提供商，以云计算、大数据、物联网、人工智能、区块链为核心技术，聚焦政务、金融、交通、制造、生态环境等领域，致力于提供新技术赋能的应用软件和服务。</t>
  </si>
  <si>
    <t>云粒智慧科技有限公司</t>
  </si>
  <si>
    <t>https://www.yunlizhihui.com/#/</t>
  </si>
  <si>
    <t>2018-06</t>
  </si>
  <si>
    <r>
      <rPr>
        <sz val="9"/>
        <color rgb="FF000000"/>
        <rFont val="楷体"/>
        <charset val="134"/>
      </rPr>
      <t>鼎晖投资</t>
    </r>
    <r>
      <rPr>
        <sz val="9"/>
        <color rgb="FF000000"/>
        <rFont val="Arial"/>
        <charset val="134"/>
      </rPr>
      <t>,</t>
    </r>
    <r>
      <rPr>
        <sz val="9"/>
        <color rgb="FF000000"/>
        <rFont val="楷体"/>
        <charset val="134"/>
      </rPr>
      <t>火山石资本</t>
    </r>
  </si>
  <si>
    <r>
      <rPr>
        <sz val="9"/>
        <color rgb="FF000000"/>
        <rFont val="楷体"/>
        <charset val="134"/>
      </rPr>
      <t>胡晓明</t>
    </r>
    <r>
      <rPr>
        <sz val="9"/>
        <color rgb="FF000000"/>
        <rFont val="Arial"/>
        <charset val="134"/>
      </rPr>
      <t>:</t>
    </r>
    <r>
      <rPr>
        <sz val="9"/>
        <color rgb="FF000000"/>
        <rFont val="楷体"/>
        <charset val="134"/>
      </rPr>
      <t>副董事长</t>
    </r>
  </si>
  <si>
    <r>
      <rPr>
        <sz val="9"/>
        <color rgb="FF000000"/>
        <rFont val="楷体"/>
        <charset val="134"/>
      </rPr>
      <t>北京市西城区阜成门外大街甲</t>
    </r>
    <r>
      <rPr>
        <sz val="9"/>
        <color rgb="FF000000"/>
        <rFont val="Arial"/>
        <charset val="134"/>
      </rPr>
      <t>28</t>
    </r>
    <r>
      <rPr>
        <sz val="9"/>
        <color rgb="FF000000"/>
        <rFont val="楷体"/>
        <charset val="134"/>
      </rPr>
      <t>号西楼</t>
    </r>
    <r>
      <rPr>
        <sz val="9"/>
        <color rgb="FF000000"/>
        <rFont val="Arial"/>
        <charset val="134"/>
      </rPr>
      <t>13</t>
    </r>
    <r>
      <rPr>
        <sz val="9"/>
        <color rgb="FF000000"/>
        <rFont val="楷体"/>
        <charset val="134"/>
      </rPr>
      <t>层</t>
    </r>
    <r>
      <rPr>
        <sz val="9"/>
        <color rgb="FF000000"/>
        <rFont val="Arial"/>
        <charset val="134"/>
      </rPr>
      <t>06</t>
    </r>
    <r>
      <rPr>
        <sz val="9"/>
        <color rgb="FF000000"/>
        <rFont val="楷体"/>
        <charset val="134"/>
      </rPr>
      <t>室</t>
    </r>
  </si>
  <si>
    <t>2018-12-27</t>
  </si>
  <si>
    <t>pickupp</t>
  </si>
  <si>
    <r>
      <rPr>
        <sz val="9"/>
        <color rgb="FF000000"/>
        <rFont val="Arial"/>
        <charset val="134"/>
      </rPr>
      <t>pickupp</t>
    </r>
    <r>
      <rPr>
        <sz val="9"/>
        <color rgb="FF000000"/>
        <rFont val="楷体"/>
        <charset val="134"/>
      </rPr>
      <t>是一家即日送达平台，</t>
    </r>
    <r>
      <rPr>
        <sz val="9"/>
        <color rgb="FF000000"/>
        <rFont val="Arial"/>
        <charset val="134"/>
      </rPr>
      <t>Pickupp</t>
    </r>
    <r>
      <rPr>
        <sz val="9"/>
        <color rgb="FF000000"/>
        <rFont val="楷体"/>
        <charset val="134"/>
      </rPr>
      <t>已经在新加坡和马来西亚开展业务。</t>
    </r>
  </si>
  <si>
    <t>http://pickupp.io/</t>
  </si>
  <si>
    <r>
      <rPr>
        <sz val="9"/>
        <color rgb="FF000000"/>
        <rFont val="楷体"/>
        <charset val="134"/>
      </rPr>
      <t>阿里巴巴</t>
    </r>
    <r>
      <rPr>
        <sz val="9"/>
        <color rgb="FF000000"/>
        <rFont val="Arial"/>
        <charset val="134"/>
      </rPr>
      <t>,Axis Capital,Spark Ventures</t>
    </r>
  </si>
  <si>
    <r>
      <rPr>
        <sz val="9"/>
        <color rgb="FF000000"/>
        <rFont val="Arial"/>
        <charset val="134"/>
      </rPr>
      <t>Eric San:</t>
    </r>
    <r>
      <rPr>
        <sz val="9"/>
        <color rgb="FF000000"/>
        <rFont val="楷体"/>
        <charset val="134"/>
      </rPr>
      <t>联合创始人</t>
    </r>
  </si>
  <si>
    <t>hk@pickupp.io</t>
  </si>
  <si>
    <t>2018-11-28</t>
  </si>
  <si>
    <t>逸刻新零售</t>
  </si>
  <si>
    <t>逸刻新零售是百联集团与阿里巴巴合作的新零售项目，业务方向将以发展小业态为主，做前置仓生鲜便利店，以及新型便利店等。</t>
  </si>
  <si>
    <t>上海逸刻新零售网络科技有限公司</t>
  </si>
  <si>
    <t>2018-11</t>
  </si>
  <si>
    <r>
      <rPr>
        <sz val="9"/>
        <color rgb="FF000000"/>
        <rFont val="Arial"/>
        <charset val="134"/>
      </rPr>
      <t>4.3</t>
    </r>
    <r>
      <rPr>
        <sz val="9"/>
        <color rgb="FF000000"/>
        <rFont val="楷体"/>
        <charset val="134"/>
      </rPr>
      <t>亿</t>
    </r>
  </si>
  <si>
    <r>
      <rPr>
        <sz val="9"/>
        <color rgb="FF000000"/>
        <rFont val="楷体"/>
        <charset val="134"/>
      </rPr>
      <t>叶永明</t>
    </r>
    <r>
      <rPr>
        <sz val="9"/>
        <color rgb="FF000000"/>
        <rFont val="Arial"/>
        <charset val="134"/>
      </rPr>
      <t>:</t>
    </r>
    <r>
      <rPr>
        <sz val="9"/>
        <color rgb="FF000000"/>
        <rFont val="楷体"/>
        <charset val="134"/>
      </rPr>
      <t>董事长</t>
    </r>
  </si>
  <si>
    <r>
      <rPr>
        <sz val="9"/>
        <color rgb="FF000000"/>
        <rFont val="楷体"/>
        <charset val="134"/>
      </rPr>
      <t>上海市静安区广中西路</t>
    </r>
    <r>
      <rPr>
        <sz val="9"/>
        <color rgb="FF000000"/>
        <rFont val="Arial"/>
        <charset val="134"/>
      </rPr>
      <t>699</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10</t>
    </r>
    <r>
      <rPr>
        <sz val="9"/>
        <color rgb="FF000000"/>
        <rFont val="楷体"/>
        <charset val="134"/>
      </rPr>
      <t>层</t>
    </r>
  </si>
  <si>
    <t>2018-08-28</t>
  </si>
  <si>
    <t>呦吼互娱</t>
  </si>
  <si>
    <r>
      <rPr>
        <sz val="9"/>
        <color rgb="FF000000"/>
        <rFont val="楷体"/>
        <charset val="134"/>
      </rPr>
      <t>呦吼互娱是一家</t>
    </r>
    <r>
      <rPr>
        <sz val="9"/>
        <color rgb="FF000000"/>
        <rFont val="Arial"/>
        <charset val="134"/>
      </rPr>
      <t>PGC</t>
    </r>
    <r>
      <rPr>
        <sz val="9"/>
        <color rgb="FF000000"/>
        <rFont val="楷体"/>
        <charset val="134"/>
      </rPr>
      <t>创意制作联盟平台，集合了内容研发创意行业大佬及金牌制作力量，致力于打造电商平台</t>
    </r>
    <r>
      <rPr>
        <sz val="9"/>
        <color rgb="FF000000"/>
        <rFont val="Arial"/>
        <charset val="134"/>
      </rPr>
      <t>PGC</t>
    </r>
    <r>
      <rPr>
        <sz val="9"/>
        <color rgb="FF000000"/>
        <rFont val="楷体"/>
        <charset val="134"/>
      </rPr>
      <t>内容的优质创意及分发平台，主营业务为电商视频内容（包括综艺节目、短视频策划、直播等）的创意策划、商务开发、项目分发、管理。</t>
    </r>
  </si>
  <si>
    <t>北京呦吼互娱文化传播有限责任公司</t>
  </si>
  <si>
    <r>
      <rPr>
        <sz val="9"/>
        <color rgb="FF000000"/>
        <rFont val="楷体"/>
        <charset val="134"/>
      </rPr>
      <t>欧阳常林</t>
    </r>
    <r>
      <rPr>
        <sz val="9"/>
        <color rgb="FF000000"/>
        <rFont val="Arial"/>
        <charset val="134"/>
      </rPr>
      <t>:</t>
    </r>
    <r>
      <rPr>
        <sz val="9"/>
        <color rgb="FF000000"/>
        <rFont val="楷体"/>
        <charset val="134"/>
      </rPr>
      <t>创始人</t>
    </r>
  </si>
  <si>
    <r>
      <rPr>
        <sz val="9"/>
        <color rgb="FF000000"/>
        <rFont val="楷体"/>
        <charset val="134"/>
      </rPr>
      <t>北京市大兴区北兴路</t>
    </r>
    <r>
      <rPr>
        <sz val="9"/>
        <color rgb="FF000000"/>
        <rFont val="Arial"/>
        <charset val="134"/>
      </rPr>
      <t>(</t>
    </r>
    <r>
      <rPr>
        <sz val="9"/>
        <color rgb="FF000000"/>
        <rFont val="楷体"/>
        <charset val="134"/>
      </rPr>
      <t>东段</t>
    </r>
    <r>
      <rPr>
        <sz val="9"/>
        <color rgb="FF000000"/>
        <rFont val="Arial"/>
        <charset val="134"/>
      </rPr>
      <t>)2</t>
    </r>
    <r>
      <rPr>
        <sz val="9"/>
        <color rgb="FF000000"/>
        <rFont val="楷体"/>
        <charset val="134"/>
      </rPr>
      <t>号</t>
    </r>
    <r>
      <rPr>
        <sz val="9"/>
        <color rgb="FF000000"/>
        <rFont val="Arial"/>
        <charset val="134"/>
      </rPr>
      <t>1</t>
    </r>
    <r>
      <rPr>
        <sz val="9"/>
        <color rgb="FF000000"/>
        <rFont val="楷体"/>
        <charset val="134"/>
      </rPr>
      <t>幢一层</t>
    </r>
    <r>
      <rPr>
        <sz val="9"/>
        <color rgb="FF000000"/>
        <rFont val="Arial"/>
        <charset val="134"/>
      </rPr>
      <t>132</t>
    </r>
    <r>
      <rPr>
        <sz val="9"/>
        <color rgb="FF000000"/>
        <rFont val="楷体"/>
        <charset val="134"/>
      </rPr>
      <t>室</t>
    </r>
  </si>
  <si>
    <r>
      <rPr>
        <sz val="9"/>
        <color rgb="FF000000"/>
        <rFont val="楷体"/>
        <charset val="134"/>
      </rPr>
      <t>博恩天娱</t>
    </r>
    <r>
      <rPr>
        <sz val="9"/>
        <color rgb="FF000000"/>
        <rFont val="Arial"/>
        <charset val="134"/>
      </rPr>
      <t>,</t>
    </r>
    <r>
      <rPr>
        <sz val="9"/>
        <color rgb="FF000000"/>
        <rFont val="楷体"/>
        <charset val="134"/>
      </rPr>
      <t>天娱传媒</t>
    </r>
  </si>
  <si>
    <t>2019-01-08</t>
  </si>
  <si>
    <t>DataArtisans</t>
  </si>
  <si>
    <r>
      <rPr>
        <sz val="9"/>
        <color rgb="FF000000"/>
        <rFont val="Arial"/>
        <charset val="134"/>
      </rPr>
      <t>Data Artisan</t>
    </r>
    <r>
      <rPr>
        <sz val="9"/>
        <color rgb="FF000000"/>
        <rFont val="楷体"/>
        <charset val="134"/>
      </rPr>
      <t>成立于</t>
    </r>
    <r>
      <rPr>
        <sz val="9"/>
        <color rgb="FF000000"/>
        <rFont val="Arial"/>
        <charset val="134"/>
      </rPr>
      <t>2014</t>
    </r>
    <r>
      <rPr>
        <sz val="9"/>
        <color rgb="FF000000"/>
        <rFont val="楷体"/>
        <charset val="134"/>
      </rPr>
      <t>年，专门提供为公司企业部署大规模数据处理解决方案的服务。该公司的解决方案可以实时管理和部署这类数据，以便客户更合理更快速地做出决策。</t>
    </r>
    <r>
      <rPr>
        <sz val="9"/>
        <color rgb="FF000000"/>
        <rFont val="Arial"/>
        <charset val="134"/>
      </rPr>
      <t>Data Artisans</t>
    </r>
    <r>
      <rPr>
        <sz val="9"/>
        <color rgb="FF000000"/>
        <rFont val="楷体"/>
        <charset val="134"/>
      </rPr>
      <t>由开源数据流处理技术</t>
    </r>
    <r>
      <rPr>
        <sz val="9"/>
        <color rgb="FF000000"/>
        <rFont val="Arial"/>
        <charset val="134"/>
      </rPr>
      <t>Apache Fink</t>
    </r>
    <r>
      <rPr>
        <sz val="9"/>
        <color rgb="FF000000"/>
        <rFont val="楷体"/>
        <charset val="134"/>
      </rPr>
      <t>的几位开发者创办。</t>
    </r>
  </si>
  <si>
    <t>https://data-artisans.com/</t>
  </si>
  <si>
    <r>
      <rPr>
        <sz val="9"/>
        <color rgb="FF000000"/>
        <rFont val="Arial"/>
        <charset val="134"/>
      </rPr>
      <t>1.03</t>
    </r>
    <r>
      <rPr>
        <sz val="9"/>
        <color rgb="FF000000"/>
        <rFont val="楷体"/>
        <charset val="134"/>
      </rPr>
      <t>亿美元</t>
    </r>
  </si>
  <si>
    <r>
      <rPr>
        <sz val="9"/>
        <color rgb="FF000000"/>
        <rFont val="Arial"/>
        <charset val="134"/>
      </rPr>
      <t>7.22</t>
    </r>
    <r>
      <rPr>
        <sz val="9"/>
        <color rgb="FF000000"/>
        <rFont val="楷体"/>
        <charset val="134"/>
      </rPr>
      <t>亿</t>
    </r>
  </si>
  <si>
    <r>
      <rPr>
        <sz val="9"/>
        <color rgb="FF000000"/>
        <rFont val="Arial"/>
        <charset val="134"/>
      </rPr>
      <t>33.5725</t>
    </r>
    <r>
      <rPr>
        <sz val="9"/>
        <color rgb="FF000000"/>
        <rFont val="楷体"/>
        <charset val="134"/>
      </rPr>
      <t>亿元</t>
    </r>
  </si>
  <si>
    <t>Agata Nowojska:HR Manager,Aleksey Pak:Software Engineer,Aljoscha Krettek:Co-Founder &amp; Software Engineer,Anastasiia Vasiliuk:Event Manager Assistant,Andrey Zagrebin:Software Engineer,Ann Thueland:Head of Marketing,Cameron Wood:Site Reliability Engineer,Chesnay Schepler:Software Engineer,Christina Sonnenberg-Westeson:Office Manager,David Anderson:Training Coordinator,David Anderson:User Education,Dawid Wysakowicz:Software Engineer,Eugene Lee:Director of Sales,Florian Schmidt:Software Engineer,Gary Yao:Software Engineer,Holger Temme:Head of WW Sales &amp; Field Operations,Igal Schilman:Software Engineer,Jeff Bean:Technical Evangelist,Johannes Dillmann:Software Engineer,Kai Gerecke:Head of Operations,Kirth Lammens:Site Reliability Engineer,Konstantin Knauf:Solutions Architect,Kostas Kloudas:Software Engineer,Kostas Tzoumas:Co-founder and CEO,Laura Cuttiford:Events Manager,Markos Sfikas:Marketing Manager,Nico Kruber:Software Engineer,Olivia Waligora:Senior Customer Experience Manager,Patrick Lucas:Senior Data Engineer,Peter Brucia:Enterprise Sales Director,Piotr Nowojski:Software Engineer,Robert Metzger:Co-Founder &amp; Engineering Lead,Seth Wiesman:Solutions Architect,Stefan Richter:Software Engineer,Stephan Ewen:CTO,Till Rohrmann:Senior Staff Engineer,Timo Walther:Software Engineer,Tzu-Li Tai:Senior Software Engineer,Ufuk Celebi:Co-Founder, Staff Engineer, Engineering Lead,Yara Greuter:Operations,Zu So:Recruitment Assistant,Vladimir Jandreski:Head of Product</t>
  </si>
  <si>
    <r>
      <rPr>
        <sz val="9"/>
        <color rgb="FF000000"/>
        <rFont val="Arial"/>
        <charset val="134"/>
      </rPr>
      <t>550</t>
    </r>
    <r>
      <rPr>
        <sz val="9"/>
        <color rgb="FF000000"/>
        <rFont val="楷体"/>
        <charset val="134"/>
      </rPr>
      <t>万欧元</t>
    </r>
  </si>
  <si>
    <r>
      <rPr>
        <sz val="9"/>
        <color rgb="FF000000"/>
        <rFont val="Arial"/>
        <charset val="134"/>
      </rPr>
      <t>100</t>
    </r>
    <r>
      <rPr>
        <sz val="9"/>
        <color rgb="FF000000"/>
        <rFont val="楷体"/>
        <charset val="134"/>
      </rPr>
      <t>万欧元</t>
    </r>
  </si>
  <si>
    <t>btov Partners</t>
  </si>
  <si>
    <t>2021-07-06</t>
  </si>
  <si>
    <t>苏宁易购</t>
  </si>
  <si>
    <r>
      <rPr>
        <sz val="9"/>
        <color rgb="FF000000"/>
        <rFont val="楷体"/>
        <charset val="134"/>
      </rPr>
      <t>苏宁易购是一个综合类电商平台，主要以</t>
    </r>
    <r>
      <rPr>
        <sz val="9"/>
        <color rgb="FF000000"/>
        <rFont val="Arial"/>
        <charset val="134"/>
      </rPr>
      <t>3C</t>
    </r>
    <r>
      <rPr>
        <sz val="9"/>
        <color rgb="FF000000"/>
        <rFont val="楷体"/>
        <charset val="134"/>
      </rPr>
      <t>电器为主，涵盖手机电脑、家用电器、数码汽车、生活家装以及母婴美妆等商品品类，为用户提供优惠资讯、穿搭指南、生活导购、限时折扣、本地生活团购消费等服务；旗下拥有苏宁易购无人</t>
    </r>
    <r>
      <rPr>
        <sz val="9"/>
        <color rgb="FF000000"/>
        <rFont val="Arial"/>
        <charset val="134"/>
      </rPr>
      <t>Biu</t>
    </r>
    <r>
      <rPr>
        <sz val="9"/>
        <color rgb="FF000000"/>
        <rFont val="楷体"/>
        <charset val="134"/>
      </rPr>
      <t>店、苏宁易购汽车超市、零售云门店、苏宁小店、苏鲜生精品超等项目。</t>
    </r>
  </si>
  <si>
    <t>苏宁易购集团股份有限公司</t>
  </si>
  <si>
    <t>https://www.suning.com/</t>
  </si>
  <si>
    <t>1996-05</t>
  </si>
  <si>
    <r>
      <rPr>
        <sz val="9"/>
        <color rgb="FF000000"/>
        <rFont val="Arial"/>
        <charset val="134"/>
      </rPr>
      <t>88.3</t>
    </r>
    <r>
      <rPr>
        <sz val="9"/>
        <color rgb="FF000000"/>
        <rFont val="楷体"/>
        <charset val="134"/>
      </rPr>
      <t>亿人民币</t>
    </r>
  </si>
  <si>
    <r>
      <rPr>
        <sz val="9"/>
        <color rgb="FF000000"/>
        <rFont val="楷体"/>
        <charset val="134"/>
      </rPr>
      <t>阿里巴巴</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海尔</t>
    </r>
    <r>
      <rPr>
        <sz val="9"/>
        <color rgb="FF000000"/>
        <rFont val="Arial"/>
        <charset val="134"/>
      </rPr>
      <t>,</t>
    </r>
    <r>
      <rPr>
        <sz val="9"/>
        <color rgb="FF000000"/>
        <rFont val="楷体"/>
        <charset val="134"/>
      </rPr>
      <t>美的集团</t>
    </r>
    <r>
      <rPr>
        <sz val="9"/>
        <color rgb="FF000000"/>
        <rFont val="Arial"/>
        <charset val="134"/>
      </rPr>
      <t>,</t>
    </r>
    <r>
      <rPr>
        <sz val="9"/>
        <color rgb="FF000000"/>
        <rFont val="楷体"/>
        <charset val="134"/>
      </rPr>
      <t>华泰证券</t>
    </r>
    <r>
      <rPr>
        <sz val="9"/>
        <color rgb="FF000000"/>
        <rFont val="Arial"/>
        <charset val="134"/>
      </rPr>
      <t>,</t>
    </r>
    <r>
      <rPr>
        <sz val="9"/>
        <color rgb="FF000000"/>
        <rFont val="楷体"/>
        <charset val="134"/>
      </rPr>
      <t>江苏省国资</t>
    </r>
    <r>
      <rPr>
        <sz val="9"/>
        <color rgb="FF000000"/>
        <rFont val="Arial"/>
        <charset val="134"/>
      </rPr>
      <t>,</t>
    </r>
    <r>
      <rPr>
        <sz val="9"/>
        <color rgb="FF000000"/>
        <rFont val="楷体"/>
        <charset val="134"/>
      </rPr>
      <t>南京市国资</t>
    </r>
  </si>
  <si>
    <r>
      <rPr>
        <sz val="9"/>
        <color rgb="FF000000"/>
        <rFont val="Arial"/>
        <charset val="134"/>
      </rPr>
      <t>805.71</t>
    </r>
    <r>
      <rPr>
        <sz val="9"/>
        <color rgb="FF000000"/>
        <rFont val="楷体"/>
        <charset val="134"/>
      </rPr>
      <t>亿</t>
    </r>
  </si>
  <si>
    <r>
      <rPr>
        <sz val="9"/>
        <color rgb="FF000000"/>
        <rFont val="Arial"/>
        <charset val="134"/>
      </rPr>
      <t>520.6368</t>
    </r>
    <r>
      <rPr>
        <sz val="9"/>
        <color rgb="FF000000"/>
        <rFont val="楷体"/>
        <charset val="134"/>
      </rPr>
      <t>亿元</t>
    </r>
  </si>
  <si>
    <r>
      <rPr>
        <sz val="9"/>
        <color rgb="FF000000"/>
        <rFont val="楷体"/>
        <charset val="134"/>
      </rPr>
      <t>张康阳</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张近东</t>
    </r>
    <r>
      <rPr>
        <sz val="9"/>
        <color rgb="FF000000"/>
        <rFont val="Arial"/>
        <charset val="134"/>
      </rPr>
      <t>:</t>
    </r>
    <r>
      <rPr>
        <sz val="9"/>
        <color rgb="FF000000"/>
        <rFont val="楷体"/>
        <charset val="134"/>
      </rPr>
      <t>董事长</t>
    </r>
  </si>
  <si>
    <r>
      <rPr>
        <sz val="9"/>
        <color rgb="FF000000"/>
        <rFont val="楷体"/>
        <charset val="134"/>
      </rPr>
      <t>南京市山西路</t>
    </r>
    <r>
      <rPr>
        <sz val="9"/>
        <color rgb="FF000000"/>
        <rFont val="Arial"/>
        <charset val="134"/>
      </rPr>
      <t>8</t>
    </r>
    <r>
      <rPr>
        <sz val="9"/>
        <color rgb="FF000000"/>
        <rFont val="楷体"/>
        <charset val="134"/>
      </rPr>
      <t>号金山大厦</t>
    </r>
    <r>
      <rPr>
        <sz val="9"/>
        <color rgb="FF000000"/>
        <rFont val="Arial"/>
        <charset val="134"/>
      </rPr>
      <t>1-5</t>
    </r>
    <r>
      <rPr>
        <sz val="9"/>
        <color rgb="FF000000"/>
        <rFont val="楷体"/>
        <charset val="134"/>
      </rPr>
      <t>层</t>
    </r>
  </si>
  <si>
    <r>
      <rPr>
        <sz val="9"/>
        <color rgb="FF000000"/>
        <rFont val="Arial"/>
        <charset val="134"/>
      </rPr>
      <t>148</t>
    </r>
    <r>
      <rPr>
        <sz val="9"/>
        <color rgb="FF000000"/>
        <rFont val="楷体"/>
        <charset val="134"/>
      </rPr>
      <t>亿人民币</t>
    </r>
  </si>
  <si>
    <r>
      <rPr>
        <sz val="9"/>
        <color rgb="FF000000"/>
        <rFont val="楷体"/>
        <charset val="134"/>
      </rPr>
      <t>鲲鹏资本</t>
    </r>
    <r>
      <rPr>
        <sz val="9"/>
        <color rgb="FF000000"/>
        <rFont val="Arial"/>
        <charset val="134"/>
      </rPr>
      <t>,</t>
    </r>
    <r>
      <rPr>
        <sz val="9"/>
        <color rgb="FF000000"/>
        <rFont val="楷体"/>
        <charset val="134"/>
      </rPr>
      <t>深国际</t>
    </r>
  </si>
  <si>
    <r>
      <rPr>
        <sz val="9"/>
        <color rgb="FF000000"/>
        <rFont val="Arial"/>
        <charset val="134"/>
      </rPr>
      <t>282.33</t>
    </r>
    <r>
      <rPr>
        <sz val="9"/>
        <color rgb="FF000000"/>
        <rFont val="楷体"/>
        <charset val="134"/>
      </rPr>
      <t>亿人民币</t>
    </r>
  </si>
  <si>
    <r>
      <rPr>
        <sz val="9"/>
        <color rgb="FF000000"/>
        <rFont val="Arial"/>
        <charset val="134"/>
      </rPr>
      <t>283</t>
    </r>
    <r>
      <rPr>
        <sz val="9"/>
        <color rgb="FF000000"/>
        <rFont val="楷体"/>
        <charset val="134"/>
      </rPr>
      <t>亿人民币</t>
    </r>
  </si>
  <si>
    <r>
      <rPr>
        <sz val="9"/>
        <color rgb="FF000000"/>
        <rFont val="Arial"/>
        <charset val="134"/>
      </rPr>
      <t>4.08</t>
    </r>
    <r>
      <rPr>
        <sz val="9"/>
        <color rgb="FF000000"/>
        <rFont val="楷体"/>
        <charset val="134"/>
      </rPr>
      <t>亿人民币</t>
    </r>
  </si>
  <si>
    <t>KKTV</t>
  </si>
  <si>
    <r>
      <rPr>
        <sz val="9"/>
        <color rgb="FF000000"/>
        <rFont val="Arial"/>
        <charset val="134"/>
      </rPr>
      <t>KKTV—</t>
    </r>
    <r>
      <rPr>
        <sz val="9"/>
        <color rgb="FF000000"/>
        <rFont val="楷体"/>
        <charset val="134"/>
      </rPr>
      <t>康佳旗下互联网智能电视品牌，打造线上专属、极致体验、高性价比智能电视，隶属于安徽开开视界电子商务有限公司。</t>
    </r>
    <r>
      <rPr>
        <sz val="9"/>
        <color rgb="FF000000"/>
        <rFont val="Arial"/>
        <charset val="134"/>
      </rPr>
      <t xml:space="preserve">
</t>
    </r>
  </si>
  <si>
    <t>安徽开开视界电子商务有限公司</t>
  </si>
  <si>
    <r>
      <rPr>
        <sz val="9"/>
        <color rgb="FF000000"/>
        <rFont val="楷体"/>
        <charset val="134"/>
      </rPr>
      <t>安徽</t>
    </r>
    <r>
      <rPr>
        <sz val="9"/>
        <color rgb="FF000000"/>
        <rFont val="Arial"/>
        <charset val="134"/>
      </rPr>
      <t>-</t>
    </r>
    <r>
      <rPr>
        <sz val="9"/>
        <color rgb="FF000000"/>
        <rFont val="楷体"/>
        <charset val="134"/>
      </rPr>
      <t>滁州</t>
    </r>
  </si>
  <si>
    <r>
      <rPr>
        <sz val="9"/>
        <color rgb="FF000000"/>
        <rFont val="楷体"/>
        <charset val="134"/>
      </rPr>
      <t>常东</t>
    </r>
    <r>
      <rPr>
        <sz val="9"/>
        <color rgb="FF000000"/>
        <rFont val="Arial"/>
        <charset val="134"/>
      </rPr>
      <t>:</t>
    </r>
    <r>
      <rPr>
        <sz val="9"/>
        <color rgb="FF000000"/>
        <rFont val="楷体"/>
        <charset val="134"/>
      </rPr>
      <t>董事长</t>
    </r>
  </si>
  <si>
    <r>
      <rPr>
        <sz val="9"/>
        <color rgb="FF000000"/>
        <rFont val="楷体"/>
        <charset val="134"/>
      </rPr>
      <t>安徽省滁州市全椒路</t>
    </r>
    <r>
      <rPr>
        <sz val="9"/>
        <color rgb="FF000000"/>
        <rFont val="Arial"/>
        <charset val="134"/>
      </rPr>
      <t>155</t>
    </r>
    <r>
      <rPr>
        <sz val="9"/>
        <color rgb="FF000000"/>
        <rFont val="楷体"/>
        <charset val="134"/>
      </rPr>
      <t>号</t>
    </r>
  </si>
  <si>
    <t>2021-08-06</t>
  </si>
  <si>
    <t>Bukalapak</t>
  </si>
  <si>
    <r>
      <rPr>
        <sz val="9"/>
        <color rgb="FF000000"/>
        <rFont val="Arial"/>
        <charset val="134"/>
      </rPr>
      <t>Bukalapak</t>
    </r>
    <r>
      <rPr>
        <sz val="9"/>
        <color rgb="FF000000"/>
        <rFont val="楷体"/>
        <charset val="134"/>
      </rPr>
      <t>是一个印尼本地电商平台，产品涵盖家电家具、数码产品、美妆个护、男女服饰等多品类，用户购买商品后，等待货物邮寄上门，支付成功即完成订单，支持线上及线下支付；用户可通过官网及</t>
    </r>
    <r>
      <rPr>
        <sz val="9"/>
        <color rgb="FF000000"/>
        <rFont val="Arial"/>
        <charset val="134"/>
      </rPr>
      <t>APP</t>
    </r>
    <r>
      <rPr>
        <sz val="9"/>
        <color rgb="FF000000"/>
        <rFont val="楷体"/>
        <charset val="134"/>
      </rPr>
      <t>获取服务。</t>
    </r>
  </si>
  <si>
    <t>http://bukalapak.com/</t>
  </si>
  <si>
    <r>
      <rPr>
        <sz val="9"/>
        <color rgb="FF000000"/>
        <rFont val="Arial"/>
        <charset val="134"/>
      </rPr>
      <t>111.8</t>
    </r>
    <r>
      <rPr>
        <sz val="9"/>
        <color rgb="FF000000"/>
        <rFont val="楷体"/>
        <charset val="134"/>
      </rPr>
      <t>亿</t>
    </r>
  </si>
  <si>
    <r>
      <rPr>
        <sz val="9"/>
        <color rgb="FF000000"/>
        <rFont val="Arial"/>
        <charset val="134"/>
      </rPr>
      <t>487.5</t>
    </r>
    <r>
      <rPr>
        <sz val="9"/>
        <color rgb="FF000000"/>
        <rFont val="楷体"/>
        <charset val="134"/>
      </rPr>
      <t>亿元</t>
    </r>
  </si>
  <si>
    <t>Fajrin Rasyid:President,Ichsan Rahardianto:AVP Engineering,Malik Krishna:Head of Program Management,Pandu Furwani:SEO Manager Virtual Products &amp; Games,Teddy Oetomo:President,Willix Halim:Interim CEO</t>
  </si>
  <si>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蚂蚁集团</t>
    </r>
    <r>
      <rPr>
        <sz val="9"/>
        <color rgb="FF000000"/>
        <rFont val="Arial"/>
        <charset val="134"/>
      </rPr>
      <t>,Emtek Group,Mirae Asset-Naver Asia Growth Fund</t>
    </r>
  </si>
  <si>
    <t>500 Startups,Emtek Group</t>
  </si>
  <si>
    <t>500 Startups,GREE Ventures,Emtek Group,aucfan Co.,IREP</t>
  </si>
  <si>
    <t>2019-01-23</t>
  </si>
  <si>
    <t>居然新零售</t>
  </si>
  <si>
    <r>
      <rPr>
        <sz val="9"/>
        <color rgb="FF000000"/>
        <rFont val="楷体"/>
        <charset val="134"/>
      </rPr>
      <t>居然新零售是一家家居零售商，是居然之家集团适应互联网时代商业零售业的发展趋势，主动从</t>
    </r>
    <r>
      <rPr>
        <sz val="9"/>
        <color rgb="FF000000"/>
        <rFont val="Arial"/>
        <charset val="134"/>
      </rPr>
      <t>“</t>
    </r>
    <r>
      <rPr>
        <sz val="9"/>
        <color rgb="FF000000"/>
        <rFont val="楷体"/>
        <charset val="134"/>
      </rPr>
      <t>大家居</t>
    </r>
    <r>
      <rPr>
        <sz val="9"/>
        <color rgb="FF000000"/>
        <rFont val="Arial"/>
        <charset val="134"/>
      </rPr>
      <t>”</t>
    </r>
    <r>
      <rPr>
        <sz val="9"/>
        <color rgb="FF000000"/>
        <rFont val="楷体"/>
        <charset val="134"/>
      </rPr>
      <t>向</t>
    </r>
    <r>
      <rPr>
        <sz val="9"/>
        <color rgb="FF000000"/>
        <rFont val="Arial"/>
        <charset val="134"/>
      </rPr>
      <t>“</t>
    </r>
    <r>
      <rPr>
        <sz val="9"/>
        <color rgb="FF000000"/>
        <rFont val="楷体"/>
        <charset val="134"/>
      </rPr>
      <t>大消费</t>
    </r>
    <r>
      <rPr>
        <sz val="9"/>
        <color rgb="FF000000"/>
        <rFont val="Arial"/>
        <charset val="134"/>
      </rPr>
      <t>”</t>
    </r>
    <r>
      <rPr>
        <sz val="9"/>
        <color rgb="FF000000"/>
        <rFont val="楷体"/>
        <charset val="134"/>
      </rPr>
      <t>转型升级而进行的商业模式创新。</t>
    </r>
  </si>
  <si>
    <t>北京居然之家家居连锁有限公司</t>
  </si>
  <si>
    <t>http://www.juran.com.cn/node/125</t>
  </si>
  <si>
    <t>家居家纺</t>
  </si>
  <si>
    <r>
      <rPr>
        <sz val="9"/>
        <color rgb="FF000000"/>
        <rFont val="Arial"/>
        <charset val="134"/>
      </rPr>
      <t>363</t>
    </r>
    <r>
      <rPr>
        <sz val="9"/>
        <color rgb="FF000000"/>
        <rFont val="楷体"/>
        <charset val="134"/>
      </rPr>
      <t>亿人民币</t>
    </r>
  </si>
  <si>
    <t>中商集团</t>
  </si>
  <si>
    <r>
      <rPr>
        <sz val="9"/>
        <color rgb="FF000000"/>
        <rFont val="Arial"/>
        <charset val="134"/>
      </rPr>
      <t>417.53</t>
    </r>
    <r>
      <rPr>
        <sz val="9"/>
        <color rgb="FF000000"/>
        <rFont val="楷体"/>
        <charset val="134"/>
      </rPr>
      <t>亿</t>
    </r>
  </si>
  <si>
    <r>
      <rPr>
        <sz val="9"/>
        <color rgb="FF000000"/>
        <rFont val="Arial"/>
        <charset val="134"/>
      </rPr>
      <t>1815</t>
    </r>
    <r>
      <rPr>
        <sz val="9"/>
        <color rgb="FF000000"/>
        <rFont val="楷体"/>
        <charset val="134"/>
      </rPr>
      <t>亿元</t>
    </r>
  </si>
  <si>
    <r>
      <rPr>
        <sz val="9"/>
        <color rgb="FF000000"/>
        <rFont val="楷体"/>
        <charset val="134"/>
      </rPr>
      <t>北京市东城区东直门南大街甲</t>
    </r>
    <r>
      <rPr>
        <sz val="9"/>
        <color rgb="FF000000"/>
        <rFont val="Arial"/>
        <charset val="134"/>
      </rPr>
      <t>3</t>
    </r>
    <r>
      <rPr>
        <sz val="9"/>
        <color rgb="FF000000"/>
        <rFont val="楷体"/>
        <charset val="134"/>
      </rPr>
      <t>号</t>
    </r>
    <r>
      <rPr>
        <sz val="9"/>
        <color rgb="FF000000"/>
        <rFont val="Arial"/>
        <charset val="134"/>
      </rPr>
      <t>16</t>
    </r>
    <r>
      <rPr>
        <sz val="9"/>
        <color rgb="FF000000"/>
        <rFont val="楷体"/>
        <charset val="134"/>
      </rPr>
      <t>层</t>
    </r>
    <r>
      <rPr>
        <sz val="9"/>
        <color rgb="FF000000"/>
        <rFont val="Arial"/>
        <charset val="134"/>
      </rPr>
      <t>1601</t>
    </r>
  </si>
  <si>
    <r>
      <rPr>
        <sz val="9"/>
        <color rgb="FF000000"/>
        <rFont val="Arial"/>
        <charset val="134"/>
      </rPr>
      <t>54.53</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</si>
  <si>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九鼎投资</t>
    </r>
    <r>
      <rPr>
        <sz val="9"/>
        <color rgb="FF000000"/>
        <rFont val="Arial"/>
        <charset val="134"/>
      </rPr>
      <t>,</t>
    </r>
    <r>
      <rPr>
        <sz val="9"/>
        <color rgb="FF000000"/>
        <rFont val="楷体"/>
        <charset val="134"/>
      </rPr>
      <t>约瑟投资</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泰康保险</t>
    </r>
    <r>
      <rPr>
        <sz val="9"/>
        <color rgb="FF000000"/>
        <rFont val="Arial"/>
        <charset val="134"/>
      </rPr>
      <t>,</t>
    </r>
    <r>
      <rPr>
        <sz val="9"/>
        <color rgb="FF000000"/>
        <rFont val="楷体"/>
        <charset val="134"/>
      </rPr>
      <t>加华资本</t>
    </r>
    <r>
      <rPr>
        <sz val="9"/>
        <color rgb="FF000000"/>
        <rFont val="Arial"/>
        <charset val="134"/>
      </rPr>
      <t>,</t>
    </r>
    <r>
      <rPr>
        <sz val="9"/>
        <color rgb="FF000000"/>
        <rFont val="楷体"/>
        <charset val="134"/>
      </rPr>
      <t>博裕资本</t>
    </r>
  </si>
  <si>
    <t>2021-11-11</t>
  </si>
  <si>
    <r>
      <t xml:space="preserve">Sandbox VR </t>
    </r>
    <r>
      <rPr>
        <sz val="9"/>
        <color rgb="FF000000"/>
        <rFont val="楷体"/>
        <charset val="134"/>
      </rPr>
      <t>是在商场和影院提供线下街机式</t>
    </r>
    <r>
      <rPr>
        <sz val="9"/>
        <color rgb="FF000000"/>
        <rFont val="Arial"/>
        <charset val="134"/>
      </rPr>
      <t>VR</t>
    </r>
    <r>
      <rPr>
        <sz val="9"/>
        <color rgb="FF000000"/>
        <rFont val="楷体"/>
        <charset val="134"/>
      </rPr>
      <t>体验的体验中心，</t>
    </r>
    <r>
      <rPr>
        <sz val="9"/>
        <color rgb="FF000000"/>
        <rFont val="Arial"/>
        <charset val="134"/>
      </rPr>
      <t>Sandbox VR</t>
    </r>
    <r>
      <rPr>
        <sz val="9"/>
        <color rgb="FF000000"/>
        <rFont val="楷体"/>
        <charset val="134"/>
      </rPr>
      <t>有自研线下</t>
    </r>
    <r>
      <rPr>
        <sz val="9"/>
        <color rgb="FF000000"/>
        <rFont val="Arial"/>
        <charset val="134"/>
      </rPr>
      <t>VR</t>
    </r>
    <r>
      <rPr>
        <sz val="9"/>
        <color rgb="FF000000"/>
        <rFont val="楷体"/>
        <charset val="134"/>
      </rPr>
      <t>体验，同时正在全球六座城市运营着</t>
    </r>
    <r>
      <rPr>
        <sz val="9"/>
        <color rgb="FF000000"/>
        <rFont val="Arial"/>
        <charset val="134"/>
      </rPr>
      <t>VR</t>
    </r>
    <r>
      <rPr>
        <sz val="9"/>
        <color rgb="FF000000"/>
        <rFont val="楷体"/>
        <charset val="134"/>
      </rPr>
      <t>线下中心，包括加州圣马特奥、温哥华和香港。他们主要为玩家提供了一个自由漫游式空间，并允许其在多人</t>
    </r>
    <r>
      <rPr>
        <sz val="9"/>
        <color rgb="FF000000"/>
        <rFont val="Arial"/>
        <charset val="134"/>
      </rPr>
      <t>VR</t>
    </r>
    <r>
      <rPr>
        <sz val="9"/>
        <color rgb="FF000000"/>
        <rFont val="楷体"/>
        <charset val="134"/>
      </rPr>
      <t>体验中共同对抗僵尸，外星人和亡灵海盗。</t>
    </r>
  </si>
  <si>
    <t>https://sandboxvr.com/</t>
  </si>
  <si>
    <r>
      <t>3700</t>
    </r>
    <r>
      <rPr>
        <sz val="9"/>
        <color rgb="FF000000"/>
        <rFont val="楷体"/>
        <charset val="134"/>
      </rPr>
      <t>万美元</t>
    </r>
  </si>
  <si>
    <r>
      <rPr>
        <sz val="9"/>
        <color rgb="FF000000"/>
        <rFont val="楷体"/>
        <charset val="134"/>
      </rPr>
      <t>阿里巴巴</t>
    </r>
    <r>
      <rPr>
        <sz val="9"/>
        <color rgb="FF000000"/>
        <rFont val="Arial"/>
        <charset val="134"/>
      </rPr>
      <t>,Andreessen Horowitz-a16z,Craft Ventures</t>
    </r>
  </si>
  <si>
    <r>
      <t>7.54</t>
    </r>
    <r>
      <rPr>
        <sz val="9"/>
        <color rgb="FF000000"/>
        <rFont val="楷体"/>
        <charset val="134"/>
      </rPr>
      <t>亿</t>
    </r>
  </si>
  <si>
    <r>
      <t>12.025</t>
    </r>
    <r>
      <rPr>
        <sz val="9"/>
        <color rgb="FF000000"/>
        <rFont val="楷体"/>
        <charset val="134"/>
      </rPr>
      <t>亿元</t>
    </r>
  </si>
  <si>
    <t>Andreessen Horowitz-a16z,David Sacks,Rich Kleiman,Dreamers Fund</t>
  </si>
  <si>
    <r>
      <rPr>
        <sz val="9"/>
        <color rgb="FF000000"/>
        <rFont val="Arial"/>
        <charset val="134"/>
      </rPr>
      <t>6800</t>
    </r>
    <r>
      <rPr>
        <sz val="9"/>
        <color rgb="FF000000"/>
        <rFont val="楷体"/>
        <charset val="134"/>
      </rPr>
      <t>万美元</t>
    </r>
  </si>
  <si>
    <r>
      <rPr>
        <sz val="9"/>
        <color rgb="FF000000"/>
        <rFont val="楷体"/>
        <charset val="134"/>
      </rPr>
      <t>阿里巴巴</t>
    </r>
    <r>
      <rPr>
        <sz val="9"/>
        <color rgb="FF000000"/>
        <rFont val="Arial"/>
        <charset val="134"/>
      </rPr>
      <t>,TriplePoint Capital,CRCM Ventures,</t>
    </r>
    <r>
      <rPr>
        <sz val="9"/>
        <color rgb="FF000000"/>
        <rFont val="楷体"/>
        <charset val="134"/>
      </rPr>
      <t>安德森</t>
    </r>
    <r>
      <rPr>
        <sz val="9"/>
        <color rgb="FF000000"/>
        <rFont val="Arial"/>
        <charset val="134"/>
      </rPr>
      <t>·</t>
    </r>
    <r>
      <rPr>
        <sz val="9"/>
        <color rgb="FF000000"/>
        <rFont val="楷体"/>
        <charset val="134"/>
      </rPr>
      <t>霍洛维茨基金</t>
    </r>
    <r>
      <rPr>
        <sz val="9"/>
        <color rgb="FF000000"/>
        <rFont val="Arial"/>
        <charset val="134"/>
      </rPr>
      <t>,Floodgate Ventures,</t>
    </r>
    <r>
      <rPr>
        <sz val="9"/>
        <color rgb="FF000000"/>
        <rFont val="楷体"/>
        <charset val="134"/>
      </rPr>
      <t>斯坦福大学</t>
    </r>
  </si>
  <si>
    <t>2019-03-18</t>
  </si>
  <si>
    <t>匠多多</t>
  </si>
  <si>
    <r>
      <rPr>
        <sz val="9"/>
        <color rgb="FF000000"/>
        <rFont val="楷体"/>
        <charset val="134"/>
      </rPr>
      <t>匠多多旗下品牌灯保姆是一家灯饰安装、清洗保养的综合性品牌，提供：各种酒店、公寓、家庭用灯具的安装清洗保养及维修等服务，目前我们的服务网络已经遍布国内</t>
    </r>
    <r>
      <rPr>
        <sz val="9"/>
        <color rgb="FF000000"/>
        <rFont val="Arial"/>
        <charset val="134"/>
      </rPr>
      <t>304</t>
    </r>
    <r>
      <rPr>
        <sz val="9"/>
        <color rgb="FF000000"/>
        <rFont val="楷体"/>
        <charset val="134"/>
      </rPr>
      <t>个城市和地区，基本覆盖国内三线及以</t>
    </r>
    <r>
      <rPr>
        <sz val="9"/>
        <color rgb="FF000000"/>
        <rFont val="Arial"/>
        <charset val="134"/>
      </rPr>
      <t xml:space="preserve"> </t>
    </r>
    <r>
      <rPr>
        <sz val="9"/>
        <color rgb="FF000000"/>
        <rFont val="楷体"/>
        <charset val="134"/>
      </rPr>
      <t>上级别城市和区域。</t>
    </r>
  </si>
  <si>
    <t>河南匠多多信息科技有限公司</t>
  </si>
  <si>
    <t>http://www.jdd516.com/</t>
  </si>
  <si>
    <r>
      <rPr>
        <sz val="9"/>
        <color rgb="FF000000"/>
        <rFont val="楷体"/>
        <charset val="134"/>
      </rPr>
      <t>河南</t>
    </r>
    <r>
      <rPr>
        <sz val="9"/>
        <color rgb="FF000000"/>
        <rFont val="Arial"/>
        <charset val="134"/>
      </rPr>
      <t>-</t>
    </r>
    <r>
      <rPr>
        <sz val="9"/>
        <color rgb="FF000000"/>
        <rFont val="楷体"/>
        <charset val="134"/>
      </rPr>
      <t>郑州</t>
    </r>
  </si>
  <si>
    <r>
      <rPr>
        <sz val="9"/>
        <color rgb="FF000000"/>
        <rFont val="楷体"/>
        <charset val="134"/>
      </rPr>
      <t>河南省国家大学科技园</t>
    </r>
    <r>
      <rPr>
        <sz val="9"/>
        <color rgb="FF000000"/>
        <rFont val="Arial"/>
        <charset val="134"/>
      </rPr>
      <t>(</t>
    </r>
    <r>
      <rPr>
        <sz val="9"/>
        <color rgb="FF000000"/>
        <rFont val="楷体"/>
        <charset val="134"/>
      </rPr>
      <t>东区</t>
    </r>
    <r>
      <rPr>
        <sz val="9"/>
        <color rgb="FF000000"/>
        <rFont val="Arial"/>
        <charset val="134"/>
      </rPr>
      <t>)10</t>
    </r>
    <r>
      <rPr>
        <sz val="9"/>
        <color rgb="FF000000"/>
        <rFont val="楷体"/>
        <charset val="134"/>
      </rPr>
      <t>号楼</t>
    </r>
    <r>
      <rPr>
        <sz val="9"/>
        <color rgb="FF000000"/>
        <rFont val="Arial"/>
        <charset val="134"/>
      </rPr>
      <t>2</t>
    </r>
    <r>
      <rPr>
        <sz val="9"/>
        <color rgb="FF000000"/>
        <rFont val="楷体"/>
        <charset val="134"/>
      </rPr>
      <t>层</t>
    </r>
  </si>
  <si>
    <t xml:space="preserve">400-0123-863 </t>
  </si>
  <si>
    <t>dengbaomu@163.com</t>
  </si>
  <si>
    <t>2021-02-26</t>
  </si>
  <si>
    <t>菜划算</t>
  </si>
  <si>
    <r>
      <rPr>
        <sz val="9"/>
        <color rgb="FF000000"/>
        <rFont val="楷体"/>
        <charset val="134"/>
      </rPr>
      <t>菜划算</t>
    </r>
  </si>
  <si>
    <r>
      <rPr>
        <sz val="9"/>
        <color rgb="FF000000"/>
        <rFont val="楷体"/>
        <charset val="134"/>
      </rPr>
      <t>菜划算致力于提升中国家庭生活品质，以国内优秀的供应链和先进互联网技术驱动的社区生鲜团购平台。</t>
    </r>
  </si>
  <si>
    <t>杭州菜划算网络科技有限公司</t>
  </si>
  <si>
    <r>
      <t>6000</t>
    </r>
    <r>
      <rPr>
        <sz val="9"/>
        <color rgb="FF000000"/>
        <rFont val="楷体"/>
        <charset val="134"/>
      </rPr>
      <t>万</t>
    </r>
  </si>
  <si>
    <r>
      <t>2</t>
    </r>
    <r>
      <rPr>
        <sz val="9"/>
        <color rgb="FF000000"/>
        <rFont val="楷体"/>
        <charset val="134"/>
      </rPr>
      <t>亿元</t>
    </r>
  </si>
  <si>
    <r>
      <rPr>
        <sz val="9"/>
        <color rgb="FF000000"/>
        <rFont val="楷体"/>
        <charset val="134"/>
      </rPr>
      <t>卓伟珠</t>
    </r>
    <r>
      <rPr>
        <sz val="9"/>
        <color rgb="FF000000"/>
        <rFont val="Arial"/>
        <charset val="134"/>
      </rPr>
      <t>:CEO</t>
    </r>
  </si>
  <si>
    <r>
      <rPr>
        <sz val="9"/>
        <color rgb="FF000000"/>
        <rFont val="楷体"/>
        <charset val="134"/>
      </rPr>
      <t>浙江省杭州市滨江区长河街道泰安路</t>
    </r>
    <r>
      <rPr>
        <sz val="9"/>
        <color rgb="FF000000"/>
        <rFont val="Arial"/>
        <charset val="134"/>
      </rPr>
      <t>239</t>
    </r>
    <r>
      <rPr>
        <sz val="9"/>
        <color rgb="FF000000"/>
        <rFont val="楷体"/>
        <charset val="134"/>
      </rPr>
      <t>号</t>
    </r>
    <r>
      <rPr>
        <sz val="9"/>
        <color rgb="FF000000"/>
        <rFont val="Arial"/>
        <charset val="134"/>
      </rPr>
      <t>8</t>
    </r>
    <r>
      <rPr>
        <sz val="9"/>
        <color rgb="FF000000"/>
        <rFont val="楷体"/>
        <charset val="134"/>
      </rPr>
      <t>层</t>
    </r>
    <r>
      <rPr>
        <sz val="9"/>
        <color rgb="FF000000"/>
        <rFont val="Arial"/>
        <charset val="134"/>
      </rPr>
      <t>803</t>
    </r>
    <r>
      <rPr>
        <sz val="9"/>
        <color rgb="FF000000"/>
        <rFont val="楷体"/>
        <charset val="134"/>
      </rPr>
      <t>室</t>
    </r>
  </si>
  <si>
    <t>熊猫资本</t>
  </si>
  <si>
    <t>2019-09-26</t>
  </si>
  <si>
    <t>友品购购</t>
  </si>
  <si>
    <t>友品购购是一个一站式购物服务平台。创新性地采用了社群新零售模式，整合海内外供应链资源，打造具有优势的供应链体系，从货源、营销、培训、物流、客服，全面赋能商户。致力于助力商户私域化流量运营，实现一键播货、一件代发。商品涵盖范围广，衣食住行全覆盖，每天还有大量优惠折扣活动。是浙江桉熊网络科技有限公司旗下的产品。</t>
  </si>
  <si>
    <t>浙江桉熊网络科技有限公司</t>
  </si>
  <si>
    <t>https://www.yiupin.com/</t>
  </si>
  <si>
    <r>
      <rPr>
        <sz val="9"/>
        <color rgb="FF000000"/>
        <rFont val="楷体"/>
        <charset val="134"/>
      </rPr>
      <t>刘佳宁</t>
    </r>
    <r>
      <rPr>
        <sz val="9"/>
        <color rgb="FF000000"/>
        <rFont val="Arial"/>
        <charset val="134"/>
      </rPr>
      <t>:CEO</t>
    </r>
  </si>
  <si>
    <r>
      <rPr>
        <sz val="9"/>
        <color rgb="FF000000"/>
        <rFont val="楷体"/>
        <charset val="134"/>
      </rPr>
      <t>浙江省杭州市萧山区市北开发区建设四路</t>
    </r>
    <r>
      <rPr>
        <sz val="9"/>
        <color rgb="FF000000"/>
        <rFont val="Arial"/>
        <charset val="134"/>
      </rPr>
      <t>111</t>
    </r>
    <r>
      <rPr>
        <sz val="9"/>
        <color rgb="FF000000"/>
        <rFont val="楷体"/>
        <charset val="134"/>
      </rPr>
      <t>号</t>
    </r>
  </si>
  <si>
    <t>yewuhezuo@yiupin.com</t>
  </si>
  <si>
    <t>2021-11-17</t>
  </si>
  <si>
    <t>大众出行</t>
  </si>
  <si>
    <r>
      <rPr>
        <sz val="9"/>
        <color rgb="FF000000"/>
        <rFont val="楷体"/>
        <charset val="134"/>
      </rPr>
      <t>大众出行</t>
    </r>
  </si>
  <si>
    <r>
      <rPr>
        <sz val="9"/>
        <color rgb="FF000000"/>
        <rFont val="楷体"/>
        <charset val="134"/>
      </rPr>
      <t>大众出行是一款智能专车出行服务平台，提供按照舒适、商务、豪华三种不同的起步价的专车服务，支持包括支付宝、微信、银联、交通卡在内的多种支付手段，用户可以根据自己的需求一键发布约车，是上海大众出行信息技术股份有限公司旗下产品。</t>
    </r>
    <r>
      <rPr>
        <sz val="9"/>
        <color rgb="FF000000"/>
        <rFont val="Arial"/>
        <charset val="134"/>
      </rPr>
      <t xml:space="preserve">
</t>
    </r>
  </si>
  <si>
    <t>上海大众出行信息技术股份有限公司</t>
  </si>
  <si>
    <t>https://www.letzgo.com.cn/</t>
  </si>
  <si>
    <r>
      <rPr>
        <sz val="9"/>
        <color rgb="FF000000"/>
        <rFont val="楷体"/>
        <charset val="134"/>
      </rPr>
      <t>交通出行</t>
    </r>
  </si>
  <si>
    <r>
      <t>4000</t>
    </r>
    <r>
      <rPr>
        <sz val="9"/>
        <color rgb="FF000000"/>
        <rFont val="楷体"/>
        <charset val="134"/>
      </rPr>
      <t>万人民币</t>
    </r>
  </si>
  <si>
    <r>
      <t>4000</t>
    </r>
    <r>
      <rPr>
        <sz val="9"/>
        <color rgb="FF000000"/>
        <rFont val="楷体"/>
        <charset val="134"/>
      </rPr>
      <t>万</t>
    </r>
  </si>
  <si>
    <r>
      <t>4</t>
    </r>
    <r>
      <rPr>
        <sz val="9"/>
        <color rgb="FF000000"/>
        <rFont val="楷体"/>
        <charset val="134"/>
      </rPr>
      <t>亿元</t>
    </r>
  </si>
  <si>
    <r>
      <rPr>
        <sz val="9"/>
        <color rgb="FF000000"/>
        <rFont val="楷体"/>
        <charset val="134"/>
      </rPr>
      <t>林裔</t>
    </r>
    <r>
      <rPr>
        <sz val="9"/>
        <color rgb="FF000000"/>
        <rFont val="Arial"/>
        <charset val="134"/>
      </rPr>
      <t>:</t>
    </r>
    <r>
      <rPr>
        <sz val="9"/>
        <color rgb="FF000000"/>
        <rFont val="楷体"/>
        <charset val="134"/>
      </rPr>
      <t>总经理</t>
    </r>
  </si>
  <si>
    <r>
      <rPr>
        <sz val="9"/>
        <color rgb="FF000000"/>
        <rFont val="楷体"/>
        <charset val="134"/>
      </rPr>
      <t>中国（上海）自由贸易试验区北张家浜路</t>
    </r>
    <r>
      <rPr>
        <sz val="9"/>
        <color rgb="FF000000"/>
        <rFont val="Arial"/>
        <charset val="134"/>
      </rPr>
      <t>128</t>
    </r>
    <r>
      <rPr>
        <sz val="9"/>
        <color rgb="FF000000"/>
        <rFont val="楷体"/>
        <charset val="134"/>
      </rPr>
      <t>号</t>
    </r>
    <r>
      <rPr>
        <sz val="9"/>
        <color rgb="FF000000"/>
        <rFont val="Arial"/>
        <charset val="134"/>
      </rPr>
      <t>2047</t>
    </r>
    <r>
      <rPr>
        <sz val="9"/>
        <color rgb="FF000000"/>
        <rFont val="楷体"/>
        <charset val="134"/>
      </rPr>
      <t>室</t>
    </r>
  </si>
  <si>
    <t>021-6428-6860</t>
  </si>
  <si>
    <t>ls@letzgo.com.cn</t>
  </si>
  <si>
    <t>2022-09-05</t>
  </si>
  <si>
    <t>洪九果品</t>
  </si>
  <si>
    <t>洪九果品主要从事全球顶级水果基地的共建与顶级水果资源的整合，拥有覆盖全国的多种销售渠道，并致力于打造品牌水果供应商和果品供应链品牌服务商。</t>
  </si>
  <si>
    <t>重庆洪九果品股份有限公司</t>
  </si>
  <si>
    <t>http://www.hjfruit.com/</t>
  </si>
  <si>
    <t>2002-10</t>
  </si>
  <si>
    <r>
      <rPr>
        <sz val="9"/>
        <color rgb="FF000000"/>
        <rFont val="Arial"/>
        <charset val="134"/>
      </rPr>
      <t>4.97</t>
    </r>
    <r>
      <rPr>
        <sz val="9"/>
        <color rgb="FF000000"/>
        <rFont val="楷体"/>
        <charset val="134"/>
      </rPr>
      <t>亿港元</t>
    </r>
  </si>
  <si>
    <r>
      <rPr>
        <sz val="9"/>
        <color rgb="FF000000"/>
        <rFont val="Arial"/>
        <charset val="134"/>
      </rPr>
      <t>16.97</t>
    </r>
    <r>
      <rPr>
        <sz val="9"/>
        <color rgb="FF000000"/>
        <rFont val="楷体"/>
        <charset val="134"/>
      </rPr>
      <t>亿</t>
    </r>
  </si>
  <si>
    <r>
      <rPr>
        <sz val="9"/>
        <color rgb="FF000000"/>
        <rFont val="Arial"/>
        <charset val="134"/>
      </rPr>
      <t>149.44</t>
    </r>
    <r>
      <rPr>
        <sz val="9"/>
        <color rgb="FF000000"/>
        <rFont val="楷体"/>
        <charset val="134"/>
      </rPr>
      <t>亿元</t>
    </r>
  </si>
  <si>
    <r>
      <rPr>
        <sz val="9"/>
        <color rgb="FF000000"/>
        <rFont val="楷体"/>
        <charset val="134"/>
      </rPr>
      <t>邓洪九</t>
    </r>
    <r>
      <rPr>
        <sz val="9"/>
        <color rgb="FF000000"/>
        <rFont val="Arial"/>
        <charset val="134"/>
      </rPr>
      <t>:</t>
    </r>
    <r>
      <rPr>
        <sz val="9"/>
        <color rgb="FF000000"/>
        <rFont val="楷体"/>
        <charset val="134"/>
      </rPr>
      <t>董事长</t>
    </r>
  </si>
  <si>
    <r>
      <rPr>
        <sz val="9"/>
        <color rgb="FF000000"/>
        <rFont val="楷体"/>
        <charset val="134"/>
      </rPr>
      <t>重庆市渝北区东湖南路</t>
    </r>
    <r>
      <rPr>
        <sz val="9"/>
        <color rgb="FF000000"/>
        <rFont val="Arial"/>
        <charset val="134"/>
      </rPr>
      <t>3</t>
    </r>
    <r>
      <rPr>
        <sz val="9"/>
        <color rgb="FF000000"/>
        <rFont val="楷体"/>
        <charset val="134"/>
      </rPr>
      <t>号中铁峰汇</t>
    </r>
    <r>
      <rPr>
        <sz val="9"/>
        <color rgb="FF000000"/>
        <rFont val="Arial"/>
        <charset val="134"/>
      </rPr>
      <t>B</t>
    </r>
    <r>
      <rPr>
        <sz val="9"/>
        <color rgb="FF000000"/>
        <rFont val="楷体"/>
        <charset val="134"/>
      </rPr>
      <t>座</t>
    </r>
    <r>
      <rPr>
        <sz val="9"/>
        <color rgb="FF000000"/>
        <rFont val="Arial"/>
        <charset val="134"/>
      </rPr>
      <t>22</t>
    </r>
    <r>
      <rPr>
        <sz val="9"/>
        <color rgb="FF000000"/>
        <rFont val="楷体"/>
        <charset val="134"/>
      </rPr>
      <t>层</t>
    </r>
  </si>
  <si>
    <t>023-6706-4616</t>
  </si>
  <si>
    <r>
      <rPr>
        <sz val="9"/>
        <color rgb="FF000000"/>
        <rFont val="Arial"/>
        <charset val="134"/>
      </rPr>
      <t>2600</t>
    </r>
    <r>
      <rPr>
        <sz val="9"/>
        <color rgb="FF000000"/>
        <rFont val="楷体"/>
        <charset val="134"/>
      </rPr>
      <t>万美元</t>
    </r>
  </si>
  <si>
    <r>
      <rPr>
        <sz val="9"/>
        <color rgb="FF000000"/>
        <rFont val="楷体"/>
        <charset val="134"/>
      </rPr>
      <t>广发证券</t>
    </r>
    <r>
      <rPr>
        <sz val="9"/>
        <color rgb="FF000000"/>
        <rFont val="Arial"/>
        <charset val="134"/>
      </rPr>
      <t>,</t>
    </r>
    <r>
      <rPr>
        <sz val="9"/>
        <color rgb="FF000000"/>
        <rFont val="楷体"/>
        <charset val="134"/>
      </rPr>
      <t>南方基金</t>
    </r>
  </si>
  <si>
    <r>
      <rPr>
        <sz val="9"/>
        <color rgb="FF000000"/>
        <rFont val="楷体"/>
        <charset val="134"/>
      </rPr>
      <t>阿里巴巴</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中信国际资产</t>
    </r>
    <r>
      <rPr>
        <sz val="9"/>
        <color rgb="FF000000"/>
        <rFont val="Arial"/>
        <charset val="134"/>
      </rPr>
      <t>,</t>
    </r>
    <r>
      <rPr>
        <sz val="9"/>
        <color rgb="FF000000"/>
        <rFont val="楷体"/>
        <charset val="134"/>
      </rPr>
      <t>招垦资本</t>
    </r>
  </si>
  <si>
    <r>
      <rPr>
        <sz val="9"/>
        <color rgb="FF000000"/>
        <rFont val="楷体"/>
        <charset val="134"/>
      </rPr>
      <t>阿里巴巴</t>
    </r>
    <r>
      <rPr>
        <sz val="9"/>
        <color rgb="FF000000"/>
        <rFont val="Arial"/>
        <charset val="134"/>
      </rPr>
      <t>,</t>
    </r>
    <r>
      <rPr>
        <sz val="9"/>
        <color rgb="FF000000"/>
        <rFont val="楷体"/>
        <charset val="134"/>
      </rPr>
      <t>凯联资本</t>
    </r>
    <r>
      <rPr>
        <sz val="9"/>
        <color rgb="FF000000"/>
        <rFont val="Arial"/>
        <charset val="134"/>
      </rPr>
      <t>,</t>
    </r>
    <r>
      <rPr>
        <sz val="9"/>
        <color rgb="FF000000"/>
        <rFont val="楷体"/>
        <charset val="134"/>
      </rPr>
      <t>海南省农垦投资控股集团有限公司</t>
    </r>
    <r>
      <rPr>
        <sz val="9"/>
        <color rgb="FF000000"/>
        <rFont val="Arial"/>
        <charset val="134"/>
      </rPr>
      <t>,</t>
    </r>
    <r>
      <rPr>
        <sz val="9"/>
        <color rgb="FF000000"/>
        <rFont val="楷体"/>
        <charset val="134"/>
      </rPr>
      <t>招垦资本</t>
    </r>
  </si>
  <si>
    <r>
      <rPr>
        <sz val="9"/>
        <color rgb="FF000000"/>
        <rFont val="楷体"/>
        <charset val="134"/>
      </rPr>
      <t>深创投</t>
    </r>
    <r>
      <rPr>
        <sz val="9"/>
        <color rgb="FF000000"/>
        <rFont val="Arial"/>
        <charset val="134"/>
      </rPr>
      <t>,</t>
    </r>
    <r>
      <rPr>
        <sz val="9"/>
        <color rgb="FF000000"/>
        <rFont val="楷体"/>
        <charset val="134"/>
      </rPr>
      <t>招商局资本</t>
    </r>
    <r>
      <rPr>
        <sz val="9"/>
        <color rgb="FF000000"/>
        <rFont val="Arial"/>
        <charset val="134"/>
      </rPr>
      <t>,</t>
    </r>
    <r>
      <rPr>
        <sz val="9"/>
        <color rgb="FF000000"/>
        <rFont val="楷体"/>
        <charset val="134"/>
      </rPr>
      <t>阳光保险</t>
    </r>
  </si>
  <si>
    <r>
      <rPr>
        <sz val="9"/>
        <color rgb="FF000000"/>
        <rFont val="楷体"/>
        <charset val="134"/>
      </rPr>
      <t>中信建投资本</t>
    </r>
    <r>
      <rPr>
        <sz val="9"/>
        <color rgb="FF000000"/>
        <rFont val="Arial"/>
        <charset val="134"/>
      </rPr>
      <t>,</t>
    </r>
    <r>
      <rPr>
        <sz val="9"/>
        <color rgb="FF000000"/>
        <rFont val="楷体"/>
        <charset val="134"/>
      </rPr>
      <t>逸百年资本</t>
    </r>
    <r>
      <rPr>
        <sz val="9"/>
        <color rgb="FF000000"/>
        <rFont val="Arial"/>
        <charset val="134"/>
      </rPr>
      <t>,</t>
    </r>
    <r>
      <rPr>
        <sz val="9"/>
        <color rgb="FF000000"/>
        <rFont val="楷体"/>
        <charset val="134"/>
      </rPr>
      <t>丰会投资</t>
    </r>
    <r>
      <rPr>
        <sz val="9"/>
        <color rgb="FF000000"/>
        <rFont val="Arial"/>
        <charset val="134"/>
      </rPr>
      <t>,</t>
    </r>
    <r>
      <rPr>
        <sz val="9"/>
        <color rgb="FF000000"/>
        <rFont val="楷体"/>
        <charset val="134"/>
      </rPr>
      <t>重庆产业引导基金</t>
    </r>
  </si>
  <si>
    <t>2019-05-28</t>
  </si>
  <si>
    <t>VMate</t>
  </si>
  <si>
    <r>
      <rPr>
        <sz val="9"/>
        <color rgb="FF000000"/>
        <rFont val="Arial"/>
        <charset val="134"/>
      </rPr>
      <t>VMate</t>
    </r>
    <r>
      <rPr>
        <sz val="9"/>
        <color rgb="FF000000"/>
        <rFont val="楷体"/>
        <charset val="134"/>
      </rPr>
      <t>是一家印度短视频社区，面向年轻用户提供短视频</t>
    </r>
    <r>
      <rPr>
        <sz val="9"/>
        <color rgb="FF000000"/>
        <rFont val="Arial"/>
        <charset val="134"/>
      </rPr>
      <t>UGC</t>
    </r>
    <r>
      <rPr>
        <sz val="9"/>
        <color rgb="FF000000"/>
        <rFont val="楷体"/>
        <charset val="134"/>
      </rPr>
      <t>内容社区，主打普通人的生活纪录和分享，用户可以在线分享视频并下载其他用户的视频。</t>
    </r>
  </si>
  <si>
    <t>http://www.vmate.com/</t>
  </si>
  <si>
    <r>
      <rPr>
        <sz val="9"/>
        <color rgb="FF000000"/>
        <rFont val="Arial"/>
        <charset val="134"/>
      </rPr>
      <t>19.5</t>
    </r>
    <r>
      <rPr>
        <sz val="9"/>
        <color rgb="FF000000"/>
        <rFont val="楷体"/>
        <charset val="134"/>
      </rPr>
      <t>亿</t>
    </r>
  </si>
  <si>
    <t>Cheng Daofang:CEO</t>
  </si>
  <si>
    <t>2019-06-23</t>
  </si>
  <si>
    <t>华泰证券</t>
  </si>
  <si>
    <t>华泰证券是一家综合类证券服务公司，以投资银行业务、证券经纪业务、资产管理业务为核心，为用户提供开户、业务办理查询、炒股咨询与代理服务。</t>
  </si>
  <si>
    <t>华泰证券股份有限公司</t>
  </si>
  <si>
    <t>http://www.htsc.com.cn/htzq/index/index.jsp</t>
  </si>
  <si>
    <t>1991-04</t>
  </si>
  <si>
    <r>
      <rPr>
        <sz val="9"/>
        <color rgb="FF000000"/>
        <rFont val="Arial"/>
        <charset val="134"/>
      </rPr>
      <t>16.92</t>
    </r>
    <r>
      <rPr>
        <sz val="9"/>
        <color rgb="FF000000"/>
        <rFont val="楷体"/>
        <charset val="134"/>
      </rPr>
      <t>亿美元</t>
    </r>
  </si>
  <si>
    <r>
      <rPr>
        <sz val="9"/>
        <color rgb="FF000000"/>
        <rFont val="Arial"/>
        <charset val="134"/>
      </rPr>
      <t>709.46</t>
    </r>
    <r>
      <rPr>
        <sz val="9"/>
        <color rgb="FF000000"/>
        <rFont val="楷体"/>
        <charset val="134"/>
      </rPr>
      <t>亿</t>
    </r>
  </si>
  <si>
    <r>
      <rPr>
        <sz val="9"/>
        <color rgb="FF000000"/>
        <rFont val="Arial"/>
        <charset val="134"/>
      </rPr>
      <t>549.9</t>
    </r>
    <r>
      <rPr>
        <sz val="9"/>
        <color rgb="FF000000"/>
        <rFont val="楷体"/>
        <charset val="134"/>
      </rPr>
      <t>亿元</t>
    </r>
  </si>
  <si>
    <r>
      <rPr>
        <sz val="9"/>
        <color rgb="FF000000"/>
        <rFont val="楷体"/>
        <charset val="134"/>
      </rPr>
      <t>周易</t>
    </r>
    <r>
      <rPr>
        <sz val="9"/>
        <color rgb="FF000000"/>
        <rFont val="Arial"/>
        <charset val="134"/>
      </rPr>
      <t>:</t>
    </r>
    <r>
      <rPr>
        <sz val="9"/>
        <color rgb="FF000000"/>
        <rFont val="楷体"/>
        <charset val="134"/>
      </rPr>
      <t>董事长</t>
    </r>
  </si>
  <si>
    <r>
      <rPr>
        <sz val="9"/>
        <color rgb="FF000000"/>
        <rFont val="楷体"/>
        <charset val="134"/>
      </rPr>
      <t>江苏省南京市江东中路</t>
    </r>
    <r>
      <rPr>
        <sz val="9"/>
        <color rgb="FF000000"/>
        <rFont val="Arial"/>
        <charset val="134"/>
      </rPr>
      <t>228</t>
    </r>
    <r>
      <rPr>
        <sz val="9"/>
        <color rgb="FF000000"/>
        <rFont val="楷体"/>
        <charset val="134"/>
      </rPr>
      <t>号</t>
    </r>
  </si>
  <si>
    <t>025-8338-9999</t>
  </si>
  <si>
    <t>95597@htsc.com</t>
  </si>
  <si>
    <r>
      <rPr>
        <sz val="9"/>
        <color rgb="FF000000"/>
        <rFont val="Arial"/>
        <charset val="134"/>
      </rPr>
      <t>142</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</si>
  <si>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江苏高投</t>
    </r>
    <r>
      <rPr>
        <sz val="9"/>
        <color rgb="FF000000"/>
        <rFont val="Arial"/>
        <charset val="134"/>
      </rPr>
      <t>,</t>
    </r>
    <r>
      <rPr>
        <sz val="9"/>
        <color rgb="FF000000"/>
        <rFont val="楷体"/>
        <charset val="134"/>
      </rPr>
      <t>安信乾宏</t>
    </r>
    <r>
      <rPr>
        <sz val="9"/>
        <color rgb="FF000000"/>
        <rFont val="Arial"/>
        <charset val="134"/>
      </rPr>
      <t>-</t>
    </r>
    <r>
      <rPr>
        <sz val="9"/>
        <color rgb="FF000000"/>
        <rFont val="楷体"/>
        <charset val="134"/>
      </rPr>
      <t>安信证券</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江苏苏豪</t>
    </r>
  </si>
  <si>
    <r>
      <rPr>
        <sz val="9"/>
        <color rgb="FF000000"/>
        <rFont val="楷体"/>
        <charset val="134"/>
      </rPr>
      <t>三胞集团</t>
    </r>
    <r>
      <rPr>
        <sz val="9"/>
        <color rgb="FF000000"/>
        <rFont val="Arial"/>
        <charset val="134"/>
      </rPr>
      <t>,</t>
    </r>
    <r>
      <rPr>
        <sz val="9"/>
        <color rgb="FF000000"/>
        <rFont val="楷体"/>
        <charset val="134"/>
      </rPr>
      <t>鼎峰资本</t>
    </r>
    <r>
      <rPr>
        <sz val="9"/>
        <color rgb="FF000000"/>
        <rFont val="Arial"/>
        <charset val="134"/>
      </rPr>
      <t>,</t>
    </r>
    <r>
      <rPr>
        <sz val="9"/>
        <color rgb="FF000000"/>
        <rFont val="楷体"/>
        <charset val="134"/>
      </rPr>
      <t>江苏交通控股</t>
    </r>
  </si>
  <si>
    <r>
      <rPr>
        <sz val="9"/>
        <color rgb="FF000000"/>
        <rFont val="Arial"/>
        <charset val="134"/>
      </rPr>
      <t>347.2</t>
    </r>
    <r>
      <rPr>
        <sz val="9"/>
        <color rgb="FF000000"/>
        <rFont val="楷体"/>
        <charset val="134"/>
      </rPr>
      <t>亿港元</t>
    </r>
  </si>
  <si>
    <r>
      <rPr>
        <sz val="9"/>
        <color rgb="FF000000"/>
        <rFont val="楷体"/>
        <charset val="134"/>
      </rPr>
      <t>新华资本</t>
    </r>
    <r>
      <rPr>
        <sz val="9"/>
        <color rgb="FF000000"/>
        <rFont val="Arial"/>
        <charset val="134"/>
      </rPr>
      <t>-</t>
    </r>
    <r>
      <rPr>
        <sz val="9"/>
        <color rgb="FF000000"/>
        <rFont val="楷体"/>
        <charset val="134"/>
      </rPr>
      <t>新华信托</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平安资产</t>
    </r>
    <r>
      <rPr>
        <sz val="9"/>
        <color rgb="FF000000"/>
        <rFont val="Arial"/>
        <charset val="134"/>
      </rPr>
      <t>,</t>
    </r>
    <r>
      <rPr>
        <sz val="9"/>
        <color rgb="FF000000"/>
        <rFont val="楷体"/>
        <charset val="134"/>
      </rPr>
      <t>惠理投资</t>
    </r>
    <r>
      <rPr>
        <sz val="9"/>
        <color rgb="FF000000"/>
        <rFont val="Arial"/>
        <charset val="134"/>
      </rPr>
      <t>,</t>
    </r>
    <r>
      <rPr>
        <sz val="9"/>
        <color rgb="FF000000"/>
        <rFont val="楷体"/>
        <charset val="134"/>
      </rPr>
      <t>工商银行</t>
    </r>
    <r>
      <rPr>
        <sz val="9"/>
        <color rgb="FF000000"/>
        <rFont val="Arial"/>
        <charset val="134"/>
      </rPr>
      <t>,</t>
    </r>
    <r>
      <rPr>
        <sz val="9"/>
        <color rgb="FF000000"/>
        <rFont val="楷体"/>
        <charset val="134"/>
      </rPr>
      <t>丁磊</t>
    </r>
    <r>
      <rPr>
        <sz val="9"/>
        <color rgb="FF000000"/>
        <rFont val="Arial"/>
        <charset val="134"/>
      </rPr>
      <t>,</t>
    </r>
    <r>
      <rPr>
        <sz val="9"/>
        <color rgb="FF000000"/>
        <rFont val="楷体"/>
        <charset val="134"/>
      </rPr>
      <t>富邦人寿</t>
    </r>
  </si>
  <si>
    <t>高瓴投资</t>
  </si>
  <si>
    <r>
      <rPr>
        <sz val="9"/>
        <color rgb="FF000000"/>
        <rFont val="Arial"/>
        <charset val="134"/>
      </rPr>
      <t>156.91</t>
    </r>
    <r>
      <rPr>
        <sz val="9"/>
        <color rgb="FF000000"/>
        <rFont val="楷体"/>
        <charset val="134"/>
      </rPr>
      <t>亿人民币</t>
    </r>
  </si>
  <si>
    <r>
      <rPr>
        <sz val="9"/>
        <color rgb="FF000000"/>
        <rFont val="楷体"/>
        <charset val="134"/>
      </rPr>
      <t>江苏高科技投资集团</t>
    </r>
    <r>
      <rPr>
        <sz val="9"/>
        <color rgb="FF000000"/>
        <rFont val="Arial"/>
        <charset val="134"/>
      </rPr>
      <t>(</t>
    </r>
    <r>
      <rPr>
        <sz val="9"/>
        <color rgb="FF000000"/>
        <rFont val="楷体"/>
        <charset val="134"/>
      </rPr>
      <t>高投集团</t>
    </r>
    <r>
      <rPr>
        <sz val="9"/>
        <color rgb="FF000000"/>
        <rFont val="Arial"/>
        <charset val="134"/>
      </rPr>
      <t>)</t>
    </r>
  </si>
  <si>
    <r>
      <rPr>
        <sz val="9"/>
        <color rgb="FF000000"/>
        <rFont val="楷体"/>
        <charset val="134"/>
      </rPr>
      <t>南京钢铁</t>
    </r>
    <r>
      <rPr>
        <sz val="9"/>
        <color rgb="FF000000"/>
        <rFont val="Arial"/>
        <charset val="134"/>
      </rPr>
      <t>,</t>
    </r>
    <r>
      <rPr>
        <sz val="9"/>
        <color rgb="FF000000"/>
        <rFont val="楷体"/>
        <charset val="134"/>
      </rPr>
      <t>海澜集团</t>
    </r>
    <r>
      <rPr>
        <sz val="9"/>
        <color rgb="FF000000"/>
        <rFont val="Arial"/>
        <charset val="134"/>
      </rPr>
      <t>,</t>
    </r>
    <r>
      <rPr>
        <sz val="9"/>
        <color rgb="FF000000"/>
        <rFont val="楷体"/>
        <charset val="134"/>
      </rPr>
      <t>华西股份</t>
    </r>
    <r>
      <rPr>
        <sz val="9"/>
        <color rgb="FF000000"/>
        <rFont val="Arial"/>
        <charset val="134"/>
      </rPr>
      <t>,</t>
    </r>
    <r>
      <rPr>
        <sz val="9"/>
        <color rgb="FF000000"/>
        <rFont val="楷体"/>
        <charset val="134"/>
      </rPr>
      <t>金城集团</t>
    </r>
  </si>
  <si>
    <t>2023-07-28</t>
  </si>
  <si>
    <t>T3出行</t>
  </si>
  <si>
    <r>
      <rPr>
        <sz val="9"/>
        <color rgb="FF000000"/>
        <rFont val="Arial"/>
        <charset val="134"/>
      </rPr>
      <t>T3</t>
    </r>
    <r>
      <rPr>
        <sz val="9"/>
        <color rgb="FF000000"/>
        <rFont val="楷体"/>
        <charset val="134"/>
      </rPr>
      <t>出行</t>
    </r>
  </si>
  <si>
    <r>
      <rPr>
        <sz val="9"/>
        <color rgb="FF000000"/>
        <rFont val="Arial"/>
        <charset val="134"/>
      </rPr>
      <t>T3</t>
    </r>
    <r>
      <rPr>
        <sz val="9"/>
        <color rgb="FF000000"/>
        <rFont val="楷体"/>
        <charset val="134"/>
      </rPr>
      <t>出行是一个智慧出行服务商，通过功能强大的出行平台、与地方交通企业密切的合作、充分整合的服务资源、定制化的产品，致力为用户提供</t>
    </r>
    <r>
      <rPr>
        <sz val="9"/>
        <color rgb="FF000000"/>
        <rFont val="Arial"/>
        <charset val="134"/>
      </rPr>
      <t>“</t>
    </r>
    <r>
      <rPr>
        <sz val="9"/>
        <color rgb="FF000000"/>
        <rFont val="楷体"/>
        <charset val="134"/>
      </rPr>
      <t>安全、便捷、品质</t>
    </r>
    <r>
      <rPr>
        <sz val="9"/>
        <color rgb="FF000000"/>
        <rFont val="Arial"/>
        <charset val="134"/>
      </rPr>
      <t xml:space="preserve">” </t>
    </r>
    <r>
      <rPr>
        <sz val="9"/>
        <color rgb="FF000000"/>
        <rFont val="楷体"/>
        <charset val="134"/>
      </rPr>
      <t>出行服务，南京领行科技股份有限公司旗下服务品牌。</t>
    </r>
  </si>
  <si>
    <t>南京领行科技股份有限公司</t>
  </si>
  <si>
    <t>https://www.t3go.cn/</t>
  </si>
  <si>
    <t>2019-04</t>
  </si>
  <si>
    <t>洪泰基金</t>
  </si>
  <si>
    <r>
      <rPr>
        <sz val="9"/>
        <color rgb="FF000000"/>
        <rFont val="Arial"/>
        <charset val="134"/>
      </rPr>
      <t>110</t>
    </r>
    <r>
      <rPr>
        <sz val="9"/>
        <color rgb="FF000000"/>
        <rFont val="楷体"/>
        <charset val="134"/>
      </rPr>
      <t>亿</t>
    </r>
  </si>
  <si>
    <r>
      <rPr>
        <sz val="9"/>
        <color rgb="FF000000"/>
        <rFont val="Arial"/>
        <charset val="134"/>
      </rPr>
      <t>380</t>
    </r>
    <r>
      <rPr>
        <sz val="9"/>
        <color rgb="FF000000"/>
        <rFont val="楷体"/>
        <charset val="134"/>
      </rPr>
      <t>亿元</t>
    </r>
  </si>
  <si>
    <r>
      <rPr>
        <sz val="9"/>
        <color rgb="FF000000"/>
        <rFont val="楷体"/>
        <charset val="134"/>
      </rPr>
      <t>崔大勇</t>
    </r>
    <r>
      <rPr>
        <sz val="9"/>
        <color rgb="FF000000"/>
        <rFont val="Arial"/>
        <charset val="134"/>
      </rPr>
      <t>:CEO</t>
    </r>
  </si>
  <si>
    <r>
      <rPr>
        <sz val="9"/>
        <color rgb="FF000000"/>
        <rFont val="楷体"/>
        <charset val="134"/>
      </rPr>
      <t>南京市江宁区苏源大道</t>
    </r>
    <r>
      <rPr>
        <sz val="9"/>
        <color rgb="FF000000"/>
        <rFont val="Arial"/>
        <charset val="134"/>
      </rPr>
      <t>19</t>
    </r>
    <r>
      <rPr>
        <sz val="9"/>
        <color rgb="FF000000"/>
        <rFont val="楷体"/>
        <charset val="134"/>
      </rPr>
      <t>号九龙湖国际企业总部园</t>
    </r>
    <r>
      <rPr>
        <sz val="9"/>
        <color rgb="FF000000"/>
        <rFont val="Arial"/>
        <charset val="134"/>
      </rPr>
      <t>B4</t>
    </r>
    <r>
      <rPr>
        <sz val="9"/>
        <color rgb="FF000000"/>
        <rFont val="楷体"/>
        <charset val="134"/>
      </rPr>
      <t>栋</t>
    </r>
    <r>
      <rPr>
        <sz val="9"/>
        <color rgb="FF000000"/>
        <rFont val="Arial"/>
        <charset val="134"/>
      </rPr>
      <t>2</t>
    </r>
    <r>
      <rPr>
        <sz val="9"/>
        <color rgb="FF000000"/>
        <rFont val="楷体"/>
        <charset val="134"/>
      </rPr>
      <t>层（江宁开发区）</t>
    </r>
  </si>
  <si>
    <t>025-6683-7881</t>
  </si>
  <si>
    <t>hr@t3go.cn</t>
  </si>
  <si>
    <r>
      <t>77</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</si>
  <si>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同程旅游</t>
    </r>
    <r>
      <rPr>
        <sz val="9"/>
        <color rgb="FF000000"/>
        <rFont val="Arial"/>
        <charset val="134"/>
      </rPr>
      <t>,</t>
    </r>
    <r>
      <rPr>
        <sz val="9"/>
        <color rgb="FF000000"/>
        <rFont val="楷体"/>
        <charset val="134"/>
      </rPr>
      <t>鸿为资本</t>
    </r>
    <r>
      <rPr>
        <sz val="9"/>
        <color rgb="FF000000"/>
        <rFont val="Arial"/>
        <charset val="134"/>
      </rPr>
      <t>,</t>
    </r>
    <r>
      <rPr>
        <sz val="9"/>
        <color rgb="FF000000"/>
        <rFont val="楷体"/>
        <charset val="134"/>
      </rPr>
      <t>德载厚资本</t>
    </r>
    <r>
      <rPr>
        <sz val="9"/>
        <color rgb="FF000000"/>
        <rFont val="Arial"/>
        <charset val="134"/>
      </rPr>
      <t>,</t>
    </r>
    <r>
      <rPr>
        <sz val="9"/>
        <color rgb="FF000000"/>
        <rFont val="楷体"/>
        <charset val="134"/>
      </rPr>
      <t>一汽</t>
    </r>
    <r>
      <rPr>
        <sz val="9"/>
        <color rgb="FF000000"/>
        <rFont val="Arial"/>
        <charset val="134"/>
      </rPr>
      <t>,</t>
    </r>
    <r>
      <rPr>
        <sz val="9"/>
        <color rgb="FF000000"/>
        <rFont val="楷体"/>
        <charset val="134"/>
      </rPr>
      <t>东风汽车</t>
    </r>
    <r>
      <rPr>
        <sz val="9"/>
        <color rgb="FF000000"/>
        <rFont val="Arial"/>
        <charset val="134"/>
      </rPr>
      <t>,</t>
    </r>
    <r>
      <rPr>
        <sz val="9"/>
        <color rgb="FF000000"/>
        <rFont val="楷体"/>
        <charset val="134"/>
      </rPr>
      <t>长安汽车</t>
    </r>
    <r>
      <rPr>
        <sz val="9"/>
        <color rgb="FF000000"/>
        <rFont val="Arial"/>
        <charset val="134"/>
      </rPr>
      <t>,</t>
    </r>
    <r>
      <rPr>
        <sz val="9"/>
        <color rgb="FF000000"/>
        <rFont val="楷体"/>
        <charset val="134"/>
      </rPr>
      <t>应通科技</t>
    </r>
    <r>
      <rPr>
        <sz val="9"/>
        <color rgb="FF000000"/>
        <rFont val="Arial"/>
        <charset val="134"/>
      </rPr>
      <t>,</t>
    </r>
    <r>
      <rPr>
        <sz val="9"/>
        <color rgb="FF000000"/>
        <rFont val="楷体"/>
        <charset val="134"/>
      </rPr>
      <t>中信联合体</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</si>
  <si>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一汽</t>
    </r>
    <r>
      <rPr>
        <sz val="9"/>
        <color rgb="FF000000"/>
        <rFont val="Arial"/>
        <charset val="134"/>
      </rPr>
      <t>,</t>
    </r>
    <r>
      <rPr>
        <sz val="9"/>
        <color rgb="FF000000"/>
        <rFont val="楷体"/>
        <charset val="134"/>
      </rPr>
      <t>东风汽车</t>
    </r>
    <r>
      <rPr>
        <sz val="9"/>
        <color rgb="FF000000"/>
        <rFont val="Arial"/>
        <charset val="134"/>
      </rPr>
      <t>,</t>
    </r>
    <r>
      <rPr>
        <sz val="9"/>
        <color rgb="FF000000"/>
        <rFont val="楷体"/>
        <charset val="134"/>
      </rPr>
      <t>长安汽车</t>
    </r>
    <r>
      <rPr>
        <sz val="9"/>
        <color rgb="FF000000"/>
        <rFont val="Arial"/>
        <charset val="134"/>
      </rPr>
      <t>,</t>
    </r>
    <r>
      <rPr>
        <sz val="9"/>
        <color rgb="FF000000"/>
        <rFont val="楷体"/>
        <charset val="134"/>
      </rPr>
      <t>荣巽</t>
    </r>
    <r>
      <rPr>
        <sz val="9"/>
        <color rgb="FF000000"/>
        <rFont val="Arial"/>
        <charset val="134"/>
      </rPr>
      <t>,</t>
    </r>
    <r>
      <rPr>
        <sz val="9"/>
        <color rgb="FF000000"/>
        <rFont val="楷体"/>
        <charset val="134"/>
      </rPr>
      <t>南京领行</t>
    </r>
    <r>
      <rPr>
        <sz val="9"/>
        <color rgb="FF000000"/>
        <rFont val="Arial"/>
        <charset val="134"/>
      </rPr>
      <t>,</t>
    </r>
    <r>
      <rPr>
        <sz val="9"/>
        <color rgb="FF000000"/>
        <rFont val="楷体"/>
        <charset val="134"/>
      </rPr>
      <t>无锡飞叶</t>
    </r>
    <r>
      <rPr>
        <sz val="9"/>
        <color rgb="FF000000"/>
        <rFont val="Arial"/>
        <charset val="134"/>
      </rPr>
      <t>,</t>
    </r>
    <r>
      <rPr>
        <sz val="9"/>
        <color rgb="FF000000"/>
        <rFont val="楷体"/>
        <charset val="134"/>
      </rPr>
      <t>南京恒创</t>
    </r>
  </si>
  <si>
    <t>2018-10-31</t>
  </si>
  <si>
    <t>平头哥半导体</t>
  </si>
  <si>
    <r>
      <rPr>
        <sz val="9"/>
        <color rgb="FF000000"/>
        <rFont val="楷体"/>
        <charset val="134"/>
      </rPr>
      <t>平头哥半导体是一家</t>
    </r>
    <r>
      <rPr>
        <sz val="9"/>
        <color rgb="FF000000"/>
        <rFont val="Arial"/>
        <charset val="134"/>
      </rPr>
      <t>AI</t>
    </r>
    <r>
      <rPr>
        <sz val="9"/>
        <color rgb="FF000000"/>
        <rFont val="楷体"/>
        <charset val="134"/>
      </rPr>
      <t>芯片研发商，基于自然语言处理、人机自然交互、量子计算、机器学习等技术手段，专注于芯片技术的研发、革新及应用。其产品主要包括阿里神经网络芯片</t>
    </r>
    <r>
      <rPr>
        <sz val="9"/>
        <color rgb="FF000000"/>
        <rFont val="Arial"/>
        <charset val="134"/>
      </rPr>
      <t>Ali-NPU</t>
    </r>
    <r>
      <rPr>
        <sz val="9"/>
        <color rgb="FF000000"/>
        <rFont val="楷体"/>
        <charset val="134"/>
      </rPr>
      <t>和终端嵌入式芯片两类，前者可运用在阿里数据中心、城市大脑、工业大脑等云端数据场景，拥有</t>
    </r>
    <r>
      <rPr>
        <sz val="9"/>
        <color rgb="FF000000"/>
        <rFont val="Arial"/>
        <charset val="134"/>
      </rPr>
      <t>10</t>
    </r>
    <r>
      <rPr>
        <sz val="9"/>
        <color rgb="FF000000"/>
        <rFont val="楷体"/>
        <charset val="134"/>
      </rPr>
      <t>倍深度学习推理性能；后者则面向城市发展、工业制造等领域。</t>
    </r>
  </si>
  <si>
    <t>平头哥半导体有限公司</t>
  </si>
  <si>
    <t>https://www.t-head.cn/</t>
  </si>
  <si>
    <r>
      <rPr>
        <sz val="9"/>
        <color rgb="FF000000"/>
        <rFont val="楷体"/>
        <charset val="134"/>
      </rPr>
      <t>浙江省杭州市余杭区五常街道文一西路</t>
    </r>
    <r>
      <rPr>
        <sz val="9"/>
        <color rgb="FF000000"/>
        <rFont val="Arial"/>
        <charset val="134"/>
      </rPr>
      <t>969</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5</t>
    </r>
    <r>
      <rPr>
        <sz val="9"/>
        <color rgb="FF000000"/>
        <rFont val="楷体"/>
        <charset val="134"/>
      </rPr>
      <t>层</t>
    </r>
    <r>
      <rPr>
        <sz val="9"/>
        <color rgb="FF000000"/>
        <rFont val="Arial"/>
        <charset val="134"/>
      </rPr>
      <t>543</t>
    </r>
    <r>
      <rPr>
        <sz val="9"/>
        <color rgb="FF000000"/>
        <rFont val="楷体"/>
        <charset val="134"/>
      </rPr>
      <t>室</t>
    </r>
  </si>
  <si>
    <t>gsll@service.alibaba.com</t>
  </si>
  <si>
    <t>2021-06-02</t>
  </si>
  <si>
    <t>行云创新</t>
  </si>
  <si>
    <r>
      <rPr>
        <sz val="9"/>
        <color rgb="FF000000"/>
        <rFont val="楷体"/>
        <charset val="134"/>
      </rPr>
      <t>行云创新</t>
    </r>
  </si>
  <si>
    <r>
      <rPr>
        <sz val="9"/>
        <color rgb="FF000000"/>
        <rFont val="楷体"/>
        <charset val="134"/>
      </rPr>
      <t>行云创新是一个软件开发工具和服务平台，提供一套基于</t>
    </r>
    <r>
      <rPr>
        <sz val="9"/>
        <color rgb="FF000000"/>
        <rFont val="Arial"/>
        <charset val="134"/>
      </rPr>
      <t>web</t>
    </r>
    <r>
      <rPr>
        <sz val="9"/>
        <color rgb="FF000000"/>
        <rFont val="楷体"/>
        <charset val="134"/>
      </rPr>
      <t>的软件开发工具平台，打通和简化软件开发的每个流程，可以让开发者在一张网页，完成可视化架构、编写测试代码、应用部署、销售等所有软件开发流程，从而</t>
    </r>
    <r>
      <rPr>
        <sz val="9"/>
        <color rgb="FF000000"/>
        <rFont val="Arial"/>
        <charset val="134"/>
      </rPr>
      <t xml:space="preserve"> </t>
    </r>
    <r>
      <rPr>
        <sz val="9"/>
        <color rgb="FF000000"/>
        <rFont val="楷体"/>
        <charset val="134"/>
      </rPr>
      <t>提高</t>
    </r>
    <r>
      <rPr>
        <sz val="9"/>
        <color rgb="FF000000"/>
        <rFont val="Arial"/>
        <charset val="134"/>
      </rPr>
      <t>15~50%</t>
    </r>
    <r>
      <rPr>
        <sz val="9"/>
        <color rgb="FF000000"/>
        <rFont val="楷体"/>
        <charset val="134"/>
      </rPr>
      <t>及以上的开发效率</t>
    </r>
    <r>
      <rPr>
        <sz val="9"/>
        <color rgb="FF000000"/>
        <rFont val="Arial"/>
        <charset val="134"/>
      </rPr>
      <t xml:space="preserve"> </t>
    </r>
    <r>
      <rPr>
        <sz val="9"/>
        <color rgb="FF000000"/>
        <rFont val="楷体"/>
        <charset val="134"/>
      </rPr>
      <t>。依此吸引开发者形成社区和生态，并</t>
    </r>
    <r>
      <rPr>
        <sz val="9"/>
        <color rgb="FF000000"/>
        <rFont val="Arial"/>
        <charset val="134"/>
      </rPr>
      <t xml:space="preserve"> </t>
    </r>
    <r>
      <rPr>
        <sz val="9"/>
        <color rgb="FF000000"/>
        <rFont val="楷体"/>
        <charset val="134"/>
      </rPr>
      <t>基于庞大开发者流量，</t>
    </r>
    <r>
      <rPr>
        <sz val="9"/>
        <color rgb="FF000000"/>
        <rFont val="Arial"/>
        <charset val="134"/>
      </rPr>
      <t xml:space="preserve"> </t>
    </r>
    <r>
      <rPr>
        <sz val="9"/>
        <color rgb="FF000000"/>
        <rFont val="楷体"/>
        <charset val="134"/>
      </rPr>
      <t>成为云服务、技术应用等产品的流量入口，进而产生更大的商业价值。</t>
    </r>
  </si>
  <si>
    <t>深圳行云创新科技有限公司</t>
  </si>
  <si>
    <t>http://cloudtogo.cn/</t>
  </si>
  <si>
    <r>
      <rPr>
        <sz val="9"/>
        <color rgb="FF000000"/>
        <rFont val="楷体"/>
        <charset val="134"/>
      </rPr>
      <t>开发者服务</t>
    </r>
  </si>
  <si>
    <r>
      <t>1.4</t>
    </r>
    <r>
      <rPr>
        <sz val="9"/>
        <color rgb="FF000000"/>
        <rFont val="楷体"/>
        <charset val="134"/>
      </rPr>
      <t>亿</t>
    </r>
  </si>
  <si>
    <r>
      <rPr>
        <sz val="9"/>
        <color rgb="FF000000"/>
        <rFont val="楷体"/>
        <charset val="134"/>
      </rPr>
      <t>吴笛</t>
    </r>
    <r>
      <rPr>
        <sz val="9"/>
        <color rgb="FF000000"/>
        <rFont val="Arial"/>
        <charset val="134"/>
      </rPr>
      <t>:CEO,</t>
    </r>
    <r>
      <rPr>
        <sz val="9"/>
        <color rgb="FF000000"/>
        <rFont val="楷体"/>
        <charset val="134"/>
      </rPr>
      <t>马洪喜</t>
    </r>
    <r>
      <rPr>
        <sz val="9"/>
        <color rgb="FF000000"/>
        <rFont val="Arial"/>
        <charset val="134"/>
      </rPr>
      <t>:CTO</t>
    </r>
  </si>
  <si>
    <r>
      <rPr>
        <sz val="9"/>
        <color rgb="FF000000"/>
        <rFont val="楷体"/>
        <charset val="134"/>
      </rPr>
      <t>深圳市南山区粤海街道科技中三路国人通信大厦</t>
    </r>
    <r>
      <rPr>
        <sz val="9"/>
        <color rgb="FF000000"/>
        <rFont val="Arial"/>
        <charset val="134"/>
      </rPr>
      <t>B</t>
    </r>
    <r>
      <rPr>
        <sz val="9"/>
        <color rgb="FF000000"/>
        <rFont val="楷体"/>
        <charset val="134"/>
      </rPr>
      <t>座</t>
    </r>
    <r>
      <rPr>
        <sz val="9"/>
        <color rgb="FF000000"/>
        <rFont val="Arial"/>
        <charset val="134"/>
      </rPr>
      <t>2102</t>
    </r>
  </si>
  <si>
    <t>0755-8695-5652</t>
  </si>
  <si>
    <t>marketing@cloudtogo.cn</t>
  </si>
  <si>
    <t>正轩投资</t>
  </si>
  <si>
    <t>国投东兴</t>
  </si>
  <si>
    <t>2022-07-26</t>
  </si>
  <si>
    <r>
      <t>Cabana</t>
    </r>
    <r>
      <rPr>
        <sz val="9"/>
        <color rgb="FF000000"/>
        <rFont val="楷体"/>
        <charset val="134"/>
      </rPr>
      <t>是一家新兴家具渠道品牌。专注于中高端现代家具的渠道品牌</t>
    </r>
    <r>
      <rPr>
        <sz val="9"/>
        <color rgb="FF000000"/>
        <rFont val="Arial"/>
        <charset val="134"/>
      </rPr>
      <t>,</t>
    </r>
    <r>
      <rPr>
        <sz val="9"/>
        <color rgb="FF000000"/>
        <rFont val="楷体"/>
        <charset val="134"/>
      </rPr>
      <t>销售来自全球的现代设计家具、灯具及时尚品牌</t>
    </r>
    <r>
      <rPr>
        <sz val="9"/>
        <color rgb="FF000000"/>
        <rFont val="Arial"/>
        <charset val="134"/>
      </rPr>
      <t>,</t>
    </r>
    <r>
      <rPr>
        <sz val="9"/>
        <color rgb="FF000000"/>
        <rFont val="楷体"/>
        <charset val="134"/>
      </rPr>
      <t>致力于提供兼具审美及耐</t>
    </r>
    <r>
      <rPr>
        <sz val="9"/>
        <color rgb="FF000000"/>
        <rFont val="宋体"/>
        <charset val="134"/>
      </rPr>
      <t>⽤</t>
    </r>
    <r>
      <rPr>
        <sz val="9"/>
        <color rgb="FF000000"/>
        <rFont val="楷体"/>
        <charset val="134"/>
      </rPr>
      <t>品质的信赖之选。</t>
    </r>
  </si>
  <si>
    <t>北京寰宜商贸有限公司</t>
  </si>
  <si>
    <t>http://www.homecabana.com/</t>
  </si>
  <si>
    <r>
      <rPr>
        <sz val="9"/>
        <color rgb="FF000000"/>
        <rFont val="楷体"/>
        <charset val="134"/>
      </rPr>
      <t>家居家纺</t>
    </r>
  </si>
  <si>
    <r>
      <rPr>
        <sz val="9"/>
        <color rgb="FF000000"/>
        <rFont val="楷体"/>
        <charset val="134"/>
      </rPr>
      <t>未透露美元</t>
    </r>
  </si>
  <si>
    <r>
      <rPr>
        <sz val="9"/>
        <color rgb="FF000000"/>
        <rFont val="楷体"/>
        <charset val="134"/>
      </rPr>
      <t>阿里巴巴</t>
    </r>
    <r>
      <rPr>
        <sz val="9"/>
        <color rgb="FF000000"/>
        <rFont val="Arial"/>
        <charset val="134"/>
      </rPr>
      <t>,</t>
    </r>
    <r>
      <rPr>
        <sz val="9"/>
        <color rgb="FF000000"/>
        <rFont val="楷体"/>
        <charset val="134"/>
      </rPr>
      <t>保碧基金</t>
    </r>
    <r>
      <rPr>
        <sz val="9"/>
        <color rgb="FF000000"/>
        <rFont val="Arial"/>
        <charset val="134"/>
      </rPr>
      <t>,</t>
    </r>
    <r>
      <rPr>
        <sz val="9"/>
        <color rgb="FF000000"/>
        <rFont val="楷体"/>
        <charset val="134"/>
      </rPr>
      <t>雅戈尔时尚</t>
    </r>
    <r>
      <rPr>
        <sz val="9"/>
        <color rgb="FF000000"/>
        <rFont val="Arial"/>
        <charset val="134"/>
      </rPr>
      <t>,</t>
    </r>
    <r>
      <rPr>
        <sz val="9"/>
        <color rgb="FF000000"/>
        <rFont val="楷体"/>
        <charset val="134"/>
      </rPr>
      <t>树海投资</t>
    </r>
    <r>
      <rPr>
        <sz val="9"/>
        <color rgb="FF000000"/>
        <rFont val="Arial"/>
        <charset val="134"/>
      </rPr>
      <t>,</t>
    </r>
    <r>
      <rPr>
        <sz val="9"/>
        <color rgb="FF000000"/>
        <rFont val="楷体"/>
        <charset val="134"/>
      </rPr>
      <t>奥牛资本</t>
    </r>
  </si>
  <si>
    <r>
      <t>1.9</t>
    </r>
    <r>
      <rPr>
        <sz val="9"/>
        <color rgb="FF000000"/>
        <rFont val="楷体"/>
        <charset val="134"/>
      </rPr>
      <t>亿</t>
    </r>
  </si>
  <si>
    <r>
      <rPr>
        <sz val="9"/>
        <color rgb="FF000000"/>
        <rFont val="楷体"/>
        <charset val="134"/>
      </rPr>
      <t>北京市朝阳区三里屯路</t>
    </r>
    <r>
      <rPr>
        <sz val="9"/>
        <color rgb="FF000000"/>
        <rFont val="Arial"/>
        <charset val="134"/>
      </rPr>
      <t>11</t>
    </r>
    <r>
      <rPr>
        <sz val="9"/>
        <color rgb="FF000000"/>
        <rFont val="楷体"/>
        <charset val="134"/>
      </rPr>
      <t>号院</t>
    </r>
    <r>
      <rPr>
        <sz val="9"/>
        <color rgb="FF000000"/>
        <rFont val="Arial"/>
        <charset val="134"/>
      </rPr>
      <t>7</t>
    </r>
    <r>
      <rPr>
        <sz val="9"/>
        <color rgb="FF000000"/>
        <rFont val="楷体"/>
        <charset val="134"/>
      </rPr>
      <t>号楼三层</t>
    </r>
    <r>
      <rPr>
        <sz val="9"/>
        <color rgb="FF000000"/>
        <rFont val="Arial"/>
        <charset val="134"/>
      </rPr>
      <t>N7-30</t>
    </r>
    <r>
      <rPr>
        <sz val="9"/>
        <color rgb="FF000000"/>
        <rFont val="楷体"/>
        <charset val="134"/>
      </rPr>
      <t>单元</t>
    </r>
  </si>
  <si>
    <t>info@mingus.cn</t>
  </si>
  <si>
    <r>
      <rPr>
        <sz val="9"/>
        <color rgb="FF000000"/>
        <rFont val="楷体"/>
        <charset val="134"/>
      </rPr>
      <t>红杉资本中国</t>
    </r>
    <r>
      <rPr>
        <sz val="9"/>
        <color rgb="FF000000"/>
        <rFont val="Arial"/>
        <charset val="134"/>
      </rPr>
      <t>,</t>
    </r>
    <r>
      <rPr>
        <sz val="9"/>
        <color rgb="FF000000"/>
        <rFont val="楷体"/>
        <charset val="134"/>
      </rPr>
      <t>壹叁资本</t>
    </r>
    <r>
      <rPr>
        <sz val="9"/>
        <color rgb="FF000000"/>
        <rFont val="Arial"/>
        <charset val="134"/>
      </rPr>
      <t>,</t>
    </r>
    <r>
      <rPr>
        <sz val="9"/>
        <color rgb="FF000000"/>
        <rFont val="楷体"/>
        <charset val="134"/>
      </rPr>
      <t>保碧基金</t>
    </r>
  </si>
  <si>
    <t>Craft Ventures,Goldcrest Capital,Travis VanderZanden,Sunny Madra</t>
  </si>
  <si>
    <r>
      <rPr>
        <sz val="9"/>
        <color rgb="FF000000"/>
        <rFont val="楷体"/>
        <charset val="134"/>
      </rPr>
      <t>青山资本</t>
    </r>
    <r>
      <rPr>
        <sz val="9"/>
        <color rgb="FF000000"/>
        <rFont val="Arial"/>
        <charset val="134"/>
      </rPr>
      <t>,</t>
    </r>
    <r>
      <rPr>
        <sz val="9"/>
        <color rgb="FF000000"/>
        <rFont val="楷体"/>
        <charset val="134"/>
      </rPr>
      <t>发现创投</t>
    </r>
  </si>
  <si>
    <t>七熹投资</t>
  </si>
  <si>
    <t>2023-04-07</t>
  </si>
  <si>
    <t>元戎启行</t>
  </si>
  <si>
    <r>
      <rPr>
        <sz val="9"/>
        <color rgb="FF000000"/>
        <rFont val="楷体"/>
        <charset val="134"/>
      </rPr>
      <t>元戎启行是一家国际化的</t>
    </r>
    <r>
      <rPr>
        <sz val="9"/>
        <color rgb="FF000000"/>
        <rFont val="Arial"/>
        <charset val="134"/>
      </rPr>
      <t>L4</t>
    </r>
    <r>
      <rPr>
        <sz val="9"/>
        <color rgb="FF000000"/>
        <rFont val="楷体"/>
        <charset val="134"/>
      </rPr>
      <t>级自动驾驶全栈解决方案提供商，为车企、</t>
    </r>
    <r>
      <rPr>
        <sz val="9"/>
        <color rgb="FF000000"/>
        <rFont val="Arial"/>
        <charset val="134"/>
      </rPr>
      <t>Tier1</t>
    </r>
    <r>
      <rPr>
        <sz val="9"/>
        <color rgb="FF000000"/>
        <rFont val="楷体"/>
        <charset val="134"/>
      </rPr>
      <t>、出行公司、物流企业等提供多应用场景、定制化的自动驾驶解决方案。元戎启行曾助力东风汽车集团有限公司技术中心完成自动驾驶直播活动，及第七届世界军人运动会期间的自动驾驶示范运营。元戎启行还与曹操出行、东风畅行、厦门远海码头进行了落地合作。元戎启行的物体感知算法在全球权威的机器视觉算法排行榜</t>
    </r>
    <r>
      <rPr>
        <sz val="9"/>
        <color rgb="FF000000"/>
        <rFont val="Arial"/>
        <charset val="134"/>
      </rPr>
      <t xml:space="preserve"> KITTI </t>
    </r>
    <r>
      <rPr>
        <sz val="9"/>
        <color rgb="FF000000"/>
        <rFont val="楷体"/>
        <charset val="134"/>
      </rPr>
      <t>上，获得过自行车类目标检测冠军，超过</t>
    </r>
    <r>
      <rPr>
        <sz val="9"/>
        <color rgb="FF000000"/>
        <rFont val="Arial"/>
        <charset val="134"/>
      </rPr>
      <t xml:space="preserve"> Apple</t>
    </r>
    <r>
      <rPr>
        <sz val="9"/>
        <color rgb="FF000000"/>
        <rFont val="楷体"/>
        <charset val="134"/>
      </rPr>
      <t>、</t>
    </r>
    <r>
      <rPr>
        <sz val="9"/>
        <color rgb="FF000000"/>
        <rFont val="Arial"/>
        <charset val="134"/>
      </rPr>
      <t xml:space="preserve">UberATG </t>
    </r>
    <r>
      <rPr>
        <sz val="9"/>
        <color rgb="FF000000"/>
        <rFont val="楷体"/>
        <charset val="134"/>
      </rPr>
      <t>等企业。其自主研发的高性能</t>
    </r>
    <r>
      <rPr>
        <sz val="9"/>
        <color rgb="FF000000"/>
        <rFont val="Arial"/>
        <charset val="134"/>
      </rPr>
      <t xml:space="preserve"> AI </t>
    </r>
    <r>
      <rPr>
        <sz val="9"/>
        <color rgb="FF000000"/>
        <rFont val="楷体"/>
        <charset val="134"/>
      </rPr>
      <t>推理引擎使得</t>
    </r>
    <r>
      <rPr>
        <sz val="9"/>
        <color rgb="FF000000"/>
        <rFont val="Arial"/>
        <charset val="134"/>
      </rPr>
      <t xml:space="preserve"> L4 </t>
    </r>
    <r>
      <rPr>
        <sz val="9"/>
        <color rgb="FF000000"/>
        <rFont val="楷体"/>
        <charset val="134"/>
      </rPr>
      <t>级自动驾驶也可运行于低成本、低功耗的计算平台。元戎启行研发的计算平台方案</t>
    </r>
    <r>
      <rPr>
        <sz val="9"/>
        <color rgb="FF000000"/>
        <rFont val="Arial"/>
        <charset val="134"/>
      </rPr>
      <t xml:space="preserve"> DeepRoute-Tite</t>
    </r>
    <r>
      <rPr>
        <sz val="9"/>
        <color rgb="FF000000"/>
        <rFont val="楷体"/>
        <charset val="134"/>
      </rPr>
      <t>，功耗仅为传统方案的九分之一，成本仅为传统方案的一半。目前，除了有数十辆自动驾驶车辆在深圳进行常规的技术路测外，元戎启行还在全国多地展开了测试运营合作。合作车队规模为武汉</t>
    </r>
    <r>
      <rPr>
        <sz val="9"/>
        <color rgb="FF000000"/>
        <rFont val="Arial"/>
        <charset val="134"/>
      </rPr>
      <t>26</t>
    </r>
    <r>
      <rPr>
        <sz val="9"/>
        <color rgb="FF000000"/>
        <rFont val="楷体"/>
        <charset val="134"/>
      </rPr>
      <t>辆（规划），杭州</t>
    </r>
    <r>
      <rPr>
        <sz val="9"/>
        <color rgb="FF000000"/>
        <rFont val="Arial"/>
        <charset val="134"/>
      </rPr>
      <t>10</t>
    </r>
    <r>
      <rPr>
        <sz val="9"/>
        <color rgb="FF000000"/>
        <rFont val="楷体"/>
        <charset val="134"/>
      </rPr>
      <t>辆（规划），厦门</t>
    </r>
    <r>
      <rPr>
        <sz val="9"/>
        <color rgb="FF000000"/>
        <rFont val="Arial"/>
        <charset val="134"/>
      </rPr>
      <t>6</t>
    </r>
    <r>
      <rPr>
        <sz val="9"/>
        <color rgb="FF000000"/>
        <rFont val="楷体"/>
        <charset val="134"/>
      </rPr>
      <t>辆（无人集卡）。车型包括东风</t>
    </r>
    <r>
      <rPr>
        <sz val="9"/>
        <color rgb="FF000000"/>
        <rFont val="Arial"/>
        <charset val="134"/>
      </rPr>
      <t>E70</t>
    </r>
    <r>
      <rPr>
        <sz val="9"/>
        <color rgb="FF000000"/>
        <rFont val="楷体"/>
        <charset val="134"/>
      </rPr>
      <t>（后装）、吉利几何</t>
    </r>
    <r>
      <rPr>
        <sz val="9"/>
        <color rgb="FF000000"/>
        <rFont val="Arial"/>
        <charset val="134"/>
      </rPr>
      <t>A</t>
    </r>
    <r>
      <rPr>
        <sz val="9"/>
        <color rgb="FF000000"/>
        <rFont val="楷体"/>
        <charset val="134"/>
      </rPr>
      <t>（后装）、东风商用车无人集卡（前装）。运营车队已分别获得杭州、武汉、深圳等地的测试牌照。</t>
    </r>
  </si>
  <si>
    <t>深圳元戎启行科技有限公司</t>
  </si>
  <si>
    <t>https://www.deeproute.ai/</t>
  </si>
  <si>
    <t>2019-02</t>
  </si>
  <si>
    <r>
      <rPr>
        <sz val="9"/>
        <color rgb="FF000000"/>
        <rFont val="楷体"/>
        <charset val="134"/>
      </rPr>
      <t>基石资本</t>
    </r>
    <r>
      <rPr>
        <sz val="9"/>
        <color rgb="FF000000"/>
        <rFont val="Arial"/>
        <charset val="134"/>
      </rPr>
      <t>,</t>
    </r>
    <r>
      <rPr>
        <sz val="9"/>
        <color rgb="FF000000"/>
        <rFont val="楷体"/>
        <charset val="134"/>
      </rPr>
      <t>交银国际</t>
    </r>
    <r>
      <rPr>
        <sz val="9"/>
        <color rgb="FF000000"/>
        <rFont val="Arial"/>
        <charset val="134"/>
      </rPr>
      <t>,</t>
    </r>
    <r>
      <rPr>
        <sz val="9"/>
        <color rgb="FF000000"/>
        <rFont val="楷体"/>
        <charset val="134"/>
      </rPr>
      <t>东风资管</t>
    </r>
  </si>
  <si>
    <r>
      <rPr>
        <sz val="9"/>
        <color rgb="FF000000"/>
        <rFont val="楷体"/>
        <charset val="134"/>
      </rPr>
      <t>周光</t>
    </r>
    <r>
      <rPr>
        <sz val="9"/>
        <color rgb="FF000000"/>
        <rFont val="Arial"/>
        <charset val="134"/>
      </rPr>
      <t>:</t>
    </r>
    <r>
      <rPr>
        <sz val="9"/>
        <color rgb="FF000000"/>
        <rFont val="楷体"/>
        <charset val="134"/>
      </rPr>
      <t>联合创始人</t>
    </r>
  </si>
  <si>
    <r>
      <rPr>
        <sz val="9"/>
        <color rgb="FF000000"/>
        <rFont val="楷体"/>
        <charset val="134"/>
      </rPr>
      <t>深圳市福田区槟榔道</t>
    </r>
    <r>
      <rPr>
        <sz val="9"/>
        <color rgb="FF000000"/>
        <rFont val="Arial"/>
        <charset val="134"/>
      </rPr>
      <t>3</t>
    </r>
    <r>
      <rPr>
        <sz val="9"/>
        <color rgb="FF000000"/>
        <rFont val="楷体"/>
        <charset val="134"/>
      </rPr>
      <t>号深港国际科技园</t>
    </r>
    <r>
      <rPr>
        <sz val="9"/>
        <color rgb="FF000000"/>
        <rFont val="Arial"/>
        <charset val="134"/>
      </rPr>
      <t>C</t>
    </r>
    <r>
      <rPr>
        <sz val="9"/>
        <color rgb="FF000000"/>
        <rFont val="楷体"/>
        <charset val="134"/>
      </rPr>
      <t>栋</t>
    </r>
    <r>
      <rPr>
        <sz val="9"/>
        <color rgb="FF000000"/>
        <rFont val="Arial"/>
        <charset val="134"/>
      </rPr>
      <t>7-8</t>
    </r>
    <r>
      <rPr>
        <sz val="9"/>
        <color rgb="FF000000"/>
        <rFont val="楷体"/>
        <charset val="134"/>
      </rPr>
      <t>层</t>
    </r>
  </si>
  <si>
    <t>press@deeproute.ai</t>
  </si>
  <si>
    <r>
      <t>3</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</si>
  <si>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复星锐正资本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耀途资本</t>
    </r>
    <r>
      <rPr>
        <sz val="9"/>
        <color rgb="FF000000"/>
        <rFont val="Arial"/>
        <charset val="134"/>
      </rPr>
      <t>,JenerationCapital</t>
    </r>
    <r>
      <rPr>
        <sz val="9"/>
        <color rgb="FF000000"/>
        <rFont val="楷体"/>
        <charset val="134"/>
      </rPr>
      <t>时代资本</t>
    </r>
    <r>
      <rPr>
        <sz val="9"/>
        <color rgb="FF000000"/>
        <rFont val="Arial"/>
        <charset val="134"/>
      </rPr>
      <t>,</t>
    </r>
    <r>
      <rPr>
        <sz val="9"/>
        <color rgb="FF000000"/>
        <rFont val="楷体"/>
        <charset val="134"/>
      </rPr>
      <t>吉利旗下产业基金</t>
    </r>
  </si>
  <si>
    <r>
      <rPr>
        <sz val="9"/>
        <color rgb="FF000000"/>
        <rFont val="楷体"/>
        <charset val="134"/>
      </rPr>
      <t>东方富海</t>
    </r>
    <r>
      <rPr>
        <sz val="9"/>
        <color rgb="FF000000"/>
        <rFont val="Arial"/>
        <charset val="134"/>
      </rPr>
      <t>,</t>
    </r>
    <r>
      <rPr>
        <sz val="9"/>
        <color rgb="FF000000"/>
        <rFont val="楷体"/>
        <charset val="134"/>
      </rPr>
      <t>复星锐正资本</t>
    </r>
    <r>
      <rPr>
        <sz val="9"/>
        <color rgb="FF000000"/>
        <rFont val="Arial"/>
        <charset val="134"/>
      </rPr>
      <t>,</t>
    </r>
    <r>
      <rPr>
        <sz val="9"/>
        <color rgb="FF000000"/>
        <rFont val="楷体"/>
        <charset val="134"/>
      </rPr>
      <t>众合瑞民</t>
    </r>
  </si>
  <si>
    <r>
      <rPr>
        <sz val="9"/>
        <color rgb="FF000000"/>
        <rFont val="Arial"/>
        <charset val="134"/>
      </rPr>
      <t>Ventech China</t>
    </r>
    <r>
      <rPr>
        <sz val="9"/>
        <color rgb="FF000000"/>
        <rFont val="楷体"/>
        <charset val="134"/>
      </rPr>
      <t>银泰资本</t>
    </r>
    <r>
      <rPr>
        <sz val="9"/>
        <color rgb="FF000000"/>
        <rFont val="Arial"/>
        <charset val="134"/>
      </rPr>
      <t>,</t>
    </r>
    <r>
      <rPr>
        <sz val="9"/>
        <color rgb="FF000000"/>
        <rFont val="楷体"/>
        <charset val="134"/>
      </rPr>
      <t>松禾资本</t>
    </r>
    <r>
      <rPr>
        <sz val="9"/>
        <color rgb="FF000000"/>
        <rFont val="Arial"/>
        <charset val="134"/>
      </rPr>
      <t>,</t>
    </r>
    <r>
      <rPr>
        <sz val="9"/>
        <color rgb="FF000000"/>
        <rFont val="楷体"/>
        <charset val="134"/>
      </rPr>
      <t>复星锐正资本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松禾远望</t>
    </r>
  </si>
  <si>
    <t>2022-02-17</t>
  </si>
  <si>
    <t>长鑫存储</t>
  </si>
  <si>
    <r>
      <rPr>
        <sz val="9"/>
        <color rgb="FF000000"/>
        <rFont val="楷体"/>
        <charset val="134"/>
      </rPr>
      <t>长鑫存储</t>
    </r>
  </si>
  <si>
    <r>
      <rPr>
        <sz val="9"/>
        <color rgb="FF000000"/>
        <rFont val="楷体"/>
        <charset val="134"/>
      </rPr>
      <t>长鑫存储</t>
    </r>
    <r>
      <rPr>
        <sz val="9"/>
        <color rgb="FF000000"/>
        <rFont val="Arial"/>
        <charset val="134"/>
      </rPr>
      <t>(</t>
    </r>
    <r>
      <rPr>
        <sz val="9"/>
        <color rgb="FF000000"/>
        <rFont val="楷体"/>
        <charset val="134"/>
      </rPr>
      <t>睿力集成</t>
    </r>
    <r>
      <rPr>
        <sz val="9"/>
        <color rgb="FF000000"/>
        <rFont val="Arial"/>
        <charset val="134"/>
      </rPr>
      <t>)</t>
    </r>
    <r>
      <rPr>
        <sz val="9"/>
        <color rgb="FF000000"/>
        <rFont val="楷体"/>
        <charset val="134"/>
      </rPr>
      <t>是一家一体化存储器制造商，专业从事动态随机存取存储芯片</t>
    </r>
    <r>
      <rPr>
        <sz val="9"/>
        <color rgb="FF000000"/>
        <rFont val="Arial"/>
        <charset val="134"/>
      </rPr>
      <t>(DRAM)</t>
    </r>
    <r>
      <rPr>
        <sz val="9"/>
        <color rgb="FF000000"/>
        <rFont val="楷体"/>
        <charset val="134"/>
      </rPr>
      <t>的设计、研发、生产和销售，目前已建成第一座</t>
    </r>
    <r>
      <rPr>
        <sz val="9"/>
        <color rgb="FF000000"/>
        <rFont val="Arial"/>
        <charset val="134"/>
      </rPr>
      <t>12</t>
    </r>
    <r>
      <rPr>
        <sz val="9"/>
        <color rgb="FF000000"/>
        <rFont val="楷体"/>
        <charset val="134"/>
      </rPr>
      <t>英寸晶圆厂并投产。</t>
    </r>
    <r>
      <rPr>
        <sz val="9"/>
        <color rgb="FF000000"/>
        <rFont val="Arial"/>
        <charset val="134"/>
      </rPr>
      <t xml:space="preserve">DRAM </t>
    </r>
    <r>
      <rPr>
        <sz val="9"/>
        <color rgb="FF000000"/>
        <rFont val="楷体"/>
        <charset val="134"/>
      </rPr>
      <t>产品广泛应用于移动终端、电脑、服务器、人工智能、虚拟现实和物联网等领域，市场需求巨大并持续增长。</t>
    </r>
  </si>
  <si>
    <t>长鑫存储技术有限公司</t>
  </si>
  <si>
    <t>https://www.cxmt.com/</t>
  </si>
  <si>
    <t>2017-11</t>
  </si>
  <si>
    <r>
      <rPr>
        <sz val="9"/>
        <color rgb="FF000000"/>
        <rFont val="楷体"/>
        <charset val="134"/>
      </rPr>
      <t>安徽</t>
    </r>
    <r>
      <rPr>
        <sz val="9"/>
        <color rgb="FF000000"/>
        <rFont val="Arial"/>
        <charset val="134"/>
      </rPr>
      <t>-</t>
    </r>
    <r>
      <rPr>
        <sz val="9"/>
        <color rgb="FF000000"/>
        <rFont val="楷体"/>
        <charset val="134"/>
      </rPr>
      <t>合肥</t>
    </r>
  </si>
  <si>
    <r>
      <rPr>
        <sz val="9"/>
        <color rgb="FF000000"/>
        <rFont val="楷体"/>
        <charset val="134"/>
      </rPr>
      <t>集成电路</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</si>
  <si>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华登国际</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中邮资本</t>
    </r>
    <r>
      <rPr>
        <sz val="9"/>
        <color rgb="FF000000"/>
        <rFont val="Arial"/>
        <charset val="134"/>
      </rPr>
      <t>(</t>
    </r>
    <r>
      <rPr>
        <sz val="9"/>
        <color rgb="FF000000"/>
        <rFont val="楷体"/>
        <charset val="134"/>
      </rPr>
      <t>中国邮政</t>
    </r>
    <r>
      <rPr>
        <sz val="9"/>
        <color rgb="FF000000"/>
        <rFont val="Arial"/>
        <charset val="134"/>
      </rPr>
      <t>),</t>
    </r>
    <r>
      <rPr>
        <sz val="9"/>
        <color rgb="FF000000"/>
        <rFont val="楷体"/>
        <charset val="134"/>
      </rPr>
      <t>建信资本</t>
    </r>
    <r>
      <rPr>
        <sz val="9"/>
        <color rgb="FF000000"/>
        <rFont val="Arial"/>
        <charset val="134"/>
      </rPr>
      <t>,</t>
    </r>
    <r>
      <rPr>
        <sz val="9"/>
        <color rgb="FF000000"/>
        <rFont val="楷体"/>
        <charset val="134"/>
      </rPr>
      <t>人保资本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君和资本</t>
    </r>
    <r>
      <rPr>
        <sz val="9"/>
        <color rgb="FF000000"/>
        <rFont val="Arial"/>
        <charset val="134"/>
      </rPr>
      <t>,</t>
    </r>
    <r>
      <rPr>
        <sz val="9"/>
        <color rgb="FF000000"/>
        <rFont val="楷体"/>
        <charset val="134"/>
      </rPr>
      <t>水木资本</t>
    </r>
    <r>
      <rPr>
        <sz val="9"/>
        <color rgb="FF000000"/>
        <rFont val="Arial"/>
        <charset val="134"/>
      </rPr>
      <t>,</t>
    </r>
    <r>
      <rPr>
        <sz val="9"/>
        <color rgb="FF000000"/>
        <rFont val="楷体"/>
        <charset val="134"/>
      </rPr>
      <t>深投控</t>
    </r>
    <r>
      <rPr>
        <sz val="9"/>
        <color rgb="FF000000"/>
        <rFont val="Arial"/>
        <charset val="134"/>
      </rPr>
      <t>,</t>
    </r>
    <r>
      <rPr>
        <sz val="9"/>
        <color rgb="FF000000"/>
        <rFont val="楷体"/>
        <charset val="134"/>
      </rPr>
      <t>大湾区共同家园发展基金</t>
    </r>
    <r>
      <rPr>
        <sz val="9"/>
        <color rgb="FF000000"/>
        <rFont val="Arial"/>
        <charset val="134"/>
      </rPr>
      <t>,</t>
    </r>
    <r>
      <rPr>
        <sz val="9"/>
        <color rgb="FF000000"/>
        <rFont val="楷体"/>
        <charset val="134"/>
      </rPr>
      <t>和谐健康</t>
    </r>
    <r>
      <rPr>
        <sz val="9"/>
        <color rgb="FF000000"/>
        <rFont val="Arial"/>
        <charset val="134"/>
      </rPr>
      <t>,</t>
    </r>
    <r>
      <rPr>
        <sz val="9"/>
        <color rgb="FF000000"/>
        <rFont val="楷体"/>
        <charset val="134"/>
      </rPr>
      <t>东方资管</t>
    </r>
  </si>
  <si>
    <r>
      <t>189.5</t>
    </r>
    <r>
      <rPr>
        <sz val="9"/>
        <color rgb="FF000000"/>
        <rFont val="楷体"/>
        <charset val="134"/>
      </rPr>
      <t>亿</t>
    </r>
  </si>
  <si>
    <r>
      <t>580</t>
    </r>
    <r>
      <rPr>
        <sz val="9"/>
        <color rgb="FF000000"/>
        <rFont val="楷体"/>
        <charset val="134"/>
      </rPr>
      <t>亿元</t>
    </r>
  </si>
  <si>
    <r>
      <rPr>
        <sz val="9"/>
        <color rgb="FF000000"/>
        <rFont val="楷体"/>
        <charset val="134"/>
      </rPr>
      <t>朱一明</t>
    </r>
    <r>
      <rPr>
        <sz val="9"/>
        <color rgb="FF000000"/>
        <rFont val="Arial"/>
        <charset val="134"/>
      </rPr>
      <t>:</t>
    </r>
    <r>
      <rPr>
        <sz val="9"/>
        <color rgb="FF000000"/>
        <rFont val="楷体"/>
        <charset val="134"/>
      </rPr>
      <t>董事长</t>
    </r>
  </si>
  <si>
    <r>
      <rPr>
        <sz val="9"/>
        <color rgb="FF000000"/>
        <rFont val="楷体"/>
        <charset val="134"/>
      </rPr>
      <t>安徽省合肥市经济开发区空港工业园兴业大道</t>
    </r>
    <r>
      <rPr>
        <sz val="9"/>
        <color rgb="FF000000"/>
        <rFont val="Arial"/>
        <charset val="134"/>
      </rPr>
      <t>388</t>
    </r>
    <r>
      <rPr>
        <sz val="9"/>
        <color rgb="FF000000"/>
        <rFont val="楷体"/>
        <charset val="134"/>
      </rPr>
      <t>号</t>
    </r>
  </si>
  <si>
    <t>ContactUs@cxmt.com</t>
  </si>
  <si>
    <r>
      <rPr>
        <sz val="9"/>
        <color rgb="FF000000"/>
        <rFont val="楷体"/>
        <charset val="134"/>
      </rPr>
      <t>招商局资本</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美的集团</t>
    </r>
    <r>
      <rPr>
        <sz val="9"/>
        <color rgb="FF000000"/>
        <rFont val="Arial"/>
        <charset val="134"/>
      </rPr>
      <t>,</t>
    </r>
    <r>
      <rPr>
        <sz val="9"/>
        <color rgb="FF000000"/>
        <rFont val="楷体"/>
        <charset val="134"/>
      </rPr>
      <t>高信资本</t>
    </r>
    <r>
      <rPr>
        <sz val="9"/>
        <color rgb="FF000000"/>
        <rFont val="Arial"/>
        <charset val="134"/>
      </rPr>
      <t>,</t>
    </r>
    <r>
      <rPr>
        <sz val="9"/>
        <color rgb="FF000000"/>
        <rFont val="楷体"/>
        <charset val="134"/>
      </rPr>
      <t>燕园创新投</t>
    </r>
    <r>
      <rPr>
        <sz val="9"/>
        <color rgb="FF000000"/>
        <rFont val="Arial"/>
        <charset val="134"/>
      </rPr>
      <t>,</t>
    </r>
    <r>
      <rPr>
        <sz val="9"/>
        <color rgb="FF000000"/>
        <rFont val="楷体"/>
        <charset val="134"/>
      </rPr>
      <t>安元基金</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恒旭资本</t>
    </r>
    <r>
      <rPr>
        <sz val="9"/>
        <color rgb="FF000000"/>
        <rFont val="Arial"/>
        <charset val="134"/>
      </rPr>
      <t>,</t>
    </r>
    <r>
      <rPr>
        <sz val="9"/>
        <color rgb="FF000000"/>
        <rFont val="楷体"/>
        <charset val="134"/>
      </rPr>
      <t>诺延资本</t>
    </r>
    <r>
      <rPr>
        <sz val="9"/>
        <color rgb="FF000000"/>
        <rFont val="Arial"/>
        <charset val="134"/>
      </rPr>
      <t>,</t>
    </r>
    <r>
      <rPr>
        <sz val="9"/>
        <color rgb="FF000000"/>
        <rFont val="楷体"/>
        <charset val="134"/>
      </rPr>
      <t>兰璞创投</t>
    </r>
    <r>
      <rPr>
        <sz val="9"/>
        <color rgb="FF000000"/>
        <rFont val="Arial"/>
        <charset val="134"/>
      </rPr>
      <t>,</t>
    </r>
    <r>
      <rPr>
        <sz val="9"/>
        <color rgb="FF000000"/>
        <rFont val="楷体"/>
        <charset val="134"/>
      </rPr>
      <t>兆易创新</t>
    </r>
    <r>
      <rPr>
        <sz val="9"/>
        <color rgb="FF000000"/>
        <rFont val="Arial"/>
        <charset val="134"/>
      </rPr>
      <t>,</t>
    </r>
    <r>
      <rPr>
        <sz val="9"/>
        <color rgb="FF000000"/>
        <rFont val="楷体"/>
        <charset val="134"/>
      </rPr>
      <t>安徽省担保集团</t>
    </r>
    <r>
      <rPr>
        <sz val="9"/>
        <color rgb="FF000000"/>
        <rFont val="Arial"/>
        <charset val="134"/>
      </rPr>
      <t>,</t>
    </r>
    <r>
      <rPr>
        <sz val="9"/>
        <color rgb="FF000000"/>
        <rFont val="楷体"/>
        <charset val="134"/>
      </rPr>
      <t>华富嘉业</t>
    </r>
  </si>
  <si>
    <r>
      <rPr>
        <sz val="9"/>
        <color rgb="FF000000"/>
        <rFont val="Arial"/>
        <charset val="134"/>
      </rPr>
      <t>156.5</t>
    </r>
    <r>
      <rPr>
        <sz val="9"/>
        <color rgb="FF000000"/>
        <rFont val="楷体"/>
        <charset val="134"/>
      </rPr>
      <t>亿人民币</t>
    </r>
  </si>
  <si>
    <r>
      <rPr>
        <sz val="9"/>
        <color rgb="FF000000"/>
        <rFont val="楷体"/>
        <charset val="134"/>
      </rPr>
      <t>君联资本</t>
    </r>
    <r>
      <rPr>
        <sz val="9"/>
        <color rgb="FF000000"/>
        <rFont val="Arial"/>
        <charset val="134"/>
      </rPr>
      <t>,</t>
    </r>
    <r>
      <rPr>
        <sz val="9"/>
        <color rgb="FF000000"/>
        <rFont val="楷体"/>
        <charset val="134"/>
      </rPr>
      <t>国家集成电路产业投资基金</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招商致远资本</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国开装备基金</t>
    </r>
    <r>
      <rPr>
        <sz val="9"/>
        <color rgb="FF000000"/>
        <rFont val="Arial"/>
        <charset val="134"/>
      </rPr>
      <t>,</t>
    </r>
    <r>
      <rPr>
        <sz val="9"/>
        <color rgb="FF000000"/>
        <rFont val="楷体"/>
        <charset val="134"/>
      </rPr>
      <t>中国农业银行</t>
    </r>
    <r>
      <rPr>
        <sz val="9"/>
        <color rgb="FF000000"/>
        <rFont val="Arial"/>
        <charset val="134"/>
      </rPr>
      <t>,</t>
    </r>
    <r>
      <rPr>
        <sz val="9"/>
        <color rgb="FF000000"/>
        <rFont val="楷体"/>
        <charset val="134"/>
      </rPr>
      <t>图灵资管</t>
    </r>
    <r>
      <rPr>
        <sz val="9"/>
        <color rgb="FF000000"/>
        <rFont val="Arial"/>
        <charset val="134"/>
      </rPr>
      <t>,</t>
    </r>
    <r>
      <rPr>
        <sz val="9"/>
        <color rgb="FF000000"/>
        <rFont val="楷体"/>
        <charset val="134"/>
      </rPr>
      <t>皖投集团</t>
    </r>
    <r>
      <rPr>
        <sz val="9"/>
        <color rgb="FF000000"/>
        <rFont val="Arial"/>
        <charset val="134"/>
      </rPr>
      <t>,</t>
    </r>
    <r>
      <rPr>
        <sz val="9"/>
        <color rgb="FF000000"/>
        <rFont val="楷体"/>
        <charset val="134"/>
      </rPr>
      <t>小米长江产业基金</t>
    </r>
    <r>
      <rPr>
        <sz val="9"/>
        <color rgb="FF000000"/>
        <rFont val="Arial"/>
        <charset val="134"/>
      </rPr>
      <t>,</t>
    </r>
    <r>
      <rPr>
        <sz val="9"/>
        <color rgb="FF000000"/>
        <rFont val="楷体"/>
        <charset val="134"/>
      </rPr>
      <t>兆易创新</t>
    </r>
    <r>
      <rPr>
        <sz val="9"/>
        <color rgb="FF000000"/>
        <rFont val="Arial"/>
        <charset val="134"/>
      </rPr>
      <t>,</t>
    </r>
    <r>
      <rPr>
        <sz val="9"/>
        <color rgb="FF000000"/>
        <rFont val="楷体"/>
        <charset val="134"/>
      </rPr>
      <t>徽商银行</t>
    </r>
    <r>
      <rPr>
        <sz val="9"/>
        <color rgb="FF000000"/>
        <rFont val="Arial"/>
        <charset val="134"/>
      </rPr>
      <t>,</t>
    </r>
    <r>
      <rPr>
        <sz val="9"/>
        <color rgb="FF000000"/>
        <rFont val="楷体"/>
        <charset val="134"/>
      </rPr>
      <t>锋盛股权投资</t>
    </r>
  </si>
  <si>
    <t>2019-11-20</t>
  </si>
  <si>
    <t>新鲜严选天鲜配</t>
  </si>
  <si>
    <r>
      <rPr>
        <sz val="9"/>
        <color rgb="FF000000"/>
        <rFont val="楷体"/>
        <charset val="134"/>
      </rPr>
      <t>新鲜严选天鲜配是一家</t>
    </r>
    <r>
      <rPr>
        <sz val="9"/>
        <color rgb="FF000000"/>
        <rFont val="Arial"/>
        <charset val="134"/>
      </rPr>
      <t>O2O</t>
    </r>
    <r>
      <rPr>
        <sz val="9"/>
        <color rgb="FF000000"/>
        <rFont val="楷体"/>
        <charset val="134"/>
      </rPr>
      <t>智能订奶平台，与蒙牛乳品合作，与阿里巴巴旗下的淘宝、天猫技术合作，打造了消费者通过线上平台订奶，线下智能冰柜取奶的新零售模式，为消费者带来全新</t>
    </r>
    <r>
      <rPr>
        <sz val="9"/>
        <color rgb="FF000000"/>
        <rFont val="Arial"/>
        <charset val="134"/>
      </rPr>
      <t>O2O</t>
    </r>
    <r>
      <rPr>
        <sz val="9"/>
        <color rgb="FF000000"/>
        <rFont val="楷体"/>
        <charset val="134"/>
      </rPr>
      <t>鲜奶配送新体验！</t>
    </r>
    <r>
      <rPr>
        <sz val="9"/>
        <color rgb="FF000000"/>
        <rFont val="Arial"/>
        <charset val="134"/>
      </rPr>
      <t xml:space="preserve"> </t>
    </r>
    <r>
      <rPr>
        <sz val="9"/>
        <color rgb="FF000000"/>
        <rFont val="楷体"/>
        <charset val="134"/>
      </rPr>
      <t>天鲜配，斥重资变传统奶箱为消费者家楼下的智能冰柜，并通过全程冷链运输模式，最大化的保证牛奶的新鲜口感和鲜活营养，全方位迭代升级牛奶消费</t>
    </r>
  </si>
  <si>
    <t>天鲜配（上海）科技有限公司</t>
  </si>
  <si>
    <t>https://www.txp-life.com/</t>
  </si>
  <si>
    <t>2018-07</t>
  </si>
  <si>
    <r>
      <rPr>
        <sz val="9"/>
        <color rgb="FF000000"/>
        <rFont val="楷体"/>
        <charset val="134"/>
      </rPr>
      <t>上海</t>
    </r>
    <r>
      <rPr>
        <sz val="9"/>
        <color rgb="FF000000"/>
        <rFont val="Arial"/>
        <charset val="134"/>
      </rPr>
      <t>-</t>
    </r>
    <r>
      <rPr>
        <sz val="9"/>
        <color rgb="FF000000"/>
        <rFont val="楷体"/>
        <charset val="134"/>
      </rPr>
      <t>崇明区</t>
    </r>
  </si>
  <si>
    <r>
      <rPr>
        <sz val="9"/>
        <color rgb="FF000000"/>
        <rFont val="楷体"/>
        <charset val="134"/>
      </rPr>
      <t>罗彦</t>
    </r>
    <r>
      <rPr>
        <sz val="9"/>
        <color rgb="FF000000"/>
        <rFont val="Arial"/>
        <charset val="134"/>
      </rPr>
      <t>:</t>
    </r>
    <r>
      <rPr>
        <sz val="9"/>
        <color rgb="FF000000"/>
        <rFont val="楷体"/>
        <charset val="134"/>
      </rPr>
      <t>董事长</t>
    </r>
  </si>
  <si>
    <r>
      <rPr>
        <sz val="9"/>
        <color rgb="FF000000"/>
        <rFont val="楷体"/>
        <charset val="134"/>
      </rPr>
      <t>上海市崇明区城桥镇官山路</t>
    </r>
    <r>
      <rPr>
        <sz val="9"/>
        <color rgb="FF000000"/>
        <rFont val="Arial"/>
        <charset val="134"/>
      </rPr>
      <t>199</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301</t>
    </r>
    <r>
      <rPr>
        <sz val="9"/>
        <color rgb="FF000000"/>
        <rFont val="楷体"/>
        <charset val="134"/>
      </rPr>
      <t>室</t>
    </r>
  </si>
  <si>
    <t>021-6898-0667</t>
  </si>
  <si>
    <t>2019-12-06</t>
  </si>
  <si>
    <t>Area28 Technologies</t>
  </si>
  <si>
    <r>
      <rPr>
        <sz val="9"/>
        <color rgb="FF000000"/>
        <rFont val="Arial"/>
        <charset val="134"/>
      </rPr>
      <t>Area28 Technologies</t>
    </r>
    <r>
      <rPr>
        <sz val="9"/>
        <color rgb="FF000000"/>
        <rFont val="楷体"/>
        <charset val="134"/>
      </rPr>
      <t>是一家中国香港的游戏开发服务提供商，致力于打造</t>
    </r>
    <r>
      <rPr>
        <sz val="9"/>
        <color rgb="FF000000"/>
        <rFont val="Arial"/>
        <charset val="134"/>
      </rPr>
      <t>“</t>
    </r>
    <r>
      <rPr>
        <sz val="9"/>
        <color rgb="FF000000"/>
        <rFont val="楷体"/>
        <charset val="134"/>
      </rPr>
      <t>世界上第一个基于云的协作平台和游戏引擎，让游戏开发团队能够实时连接和创造</t>
    </r>
    <r>
      <rPr>
        <sz val="9"/>
        <color rgb="FF000000"/>
        <rFont val="Arial"/>
        <charset val="134"/>
      </rPr>
      <t>”</t>
    </r>
    <r>
      <rPr>
        <sz val="9"/>
        <color rgb="FF000000"/>
        <rFont val="楷体"/>
        <charset val="134"/>
      </rPr>
      <t>。</t>
    </r>
  </si>
  <si>
    <t>https://area28.io/</t>
  </si>
  <si>
    <r>
      <rPr>
        <sz val="9"/>
        <color rgb="FF000000"/>
        <rFont val="Arial"/>
        <charset val="134"/>
      </rPr>
      <t>215</t>
    </r>
    <r>
      <rPr>
        <sz val="9"/>
        <color rgb="FF000000"/>
        <rFont val="楷体"/>
        <charset val="134"/>
      </rPr>
      <t>万美元</t>
    </r>
  </si>
  <si>
    <r>
      <rPr>
        <sz val="9"/>
        <color rgb="FF000000"/>
        <rFont val="楷体"/>
        <charset val="134"/>
      </rPr>
      <t>阿里巴巴</t>
    </r>
    <r>
      <rPr>
        <sz val="9"/>
        <color rgb="FF000000"/>
        <rFont val="Arial"/>
        <charset val="134"/>
      </rPr>
      <t>,Bright Success Capital,Vectr Ventures,Apes Ventures,Ironfire Ventures</t>
    </r>
  </si>
  <si>
    <r>
      <rPr>
        <sz val="9"/>
        <color rgb="FF000000"/>
        <rFont val="Arial"/>
        <charset val="134"/>
      </rPr>
      <t>1397.5</t>
    </r>
    <r>
      <rPr>
        <sz val="9"/>
        <color rgb="FF000000"/>
        <rFont val="楷体"/>
        <charset val="134"/>
      </rPr>
      <t>万</t>
    </r>
  </si>
  <si>
    <r>
      <rPr>
        <sz val="9"/>
        <color rgb="FF000000"/>
        <rFont val="Arial"/>
        <charset val="134"/>
      </rPr>
      <t>6987.5</t>
    </r>
    <r>
      <rPr>
        <sz val="9"/>
        <color rgb="FF000000"/>
        <rFont val="楷体"/>
        <charset val="134"/>
      </rPr>
      <t>万元</t>
    </r>
  </si>
  <si>
    <t>2019-12-27</t>
  </si>
  <si>
    <t>昕动出行</t>
  </si>
  <si>
    <t>昕动出行是一家数据驱动的移动出行综合服务提供商，立足于粤港澳大湾区，计划走向全国，主要从事网约车、新能源汽车研发等相关业务。</t>
  </si>
  <si>
    <t>广东昕动出行科技有限公司</t>
  </si>
  <si>
    <t>2019-01</t>
  </si>
  <si>
    <r>
      <rPr>
        <sz val="9"/>
        <color rgb="FF000000"/>
        <rFont val="Arial"/>
        <charset val="134"/>
      </rPr>
      <t>1500</t>
    </r>
    <r>
      <rPr>
        <sz val="9"/>
        <color rgb="FF000000"/>
        <rFont val="楷体"/>
        <charset val="134"/>
      </rPr>
      <t>万</t>
    </r>
  </si>
  <si>
    <r>
      <rPr>
        <sz val="9"/>
        <color rgb="FF000000"/>
        <rFont val="楷体"/>
        <charset val="134"/>
      </rPr>
      <t>陈正仁</t>
    </r>
    <r>
      <rPr>
        <sz val="9"/>
        <color rgb="FF000000"/>
        <rFont val="Arial"/>
        <charset val="134"/>
      </rPr>
      <t>:</t>
    </r>
    <r>
      <rPr>
        <sz val="9"/>
        <color rgb="FF000000"/>
        <rFont val="楷体"/>
        <charset val="134"/>
      </rPr>
      <t>董事长</t>
    </r>
  </si>
  <si>
    <r>
      <rPr>
        <sz val="9"/>
        <color rgb="FF000000"/>
        <rFont val="楷体"/>
        <charset val="134"/>
      </rPr>
      <t>广州市黄埔区坑田大街</t>
    </r>
    <r>
      <rPr>
        <sz val="9"/>
        <color rgb="FF000000"/>
        <rFont val="Arial"/>
        <charset val="134"/>
      </rPr>
      <t>32</t>
    </r>
    <r>
      <rPr>
        <sz val="9"/>
        <color rgb="FF000000"/>
        <rFont val="楷体"/>
        <charset val="134"/>
      </rPr>
      <t>号鱼珠智谷</t>
    </r>
    <r>
      <rPr>
        <sz val="9"/>
        <color rgb="FF000000"/>
        <rFont val="Arial"/>
        <charset val="134"/>
      </rPr>
      <t>E-PARK</t>
    </r>
    <r>
      <rPr>
        <sz val="9"/>
        <color rgb="FF000000"/>
        <rFont val="楷体"/>
        <charset val="134"/>
      </rPr>
      <t>创意园</t>
    </r>
    <r>
      <rPr>
        <sz val="9"/>
        <color rgb="FF000000"/>
        <rFont val="Arial"/>
        <charset val="134"/>
      </rPr>
      <t>A07</t>
    </r>
    <r>
      <rPr>
        <sz val="9"/>
        <color rgb="FF000000"/>
        <rFont val="楷体"/>
        <charset val="134"/>
      </rPr>
      <t>号</t>
    </r>
  </si>
  <si>
    <t>Quibi</t>
  </si>
  <si>
    <r>
      <rPr>
        <sz val="9"/>
        <color rgb="FF000000"/>
        <rFont val="Arial"/>
        <charset val="134"/>
      </rPr>
      <t>Quibi</t>
    </r>
    <r>
      <rPr>
        <sz val="9"/>
        <color rgb="FF000000"/>
        <rFont val="楷体"/>
        <charset val="134"/>
      </rPr>
      <t>是美国一家短视频制作及新闻资讯内容提供商，该公司主营短视频制作以及新闻资讯提供内容，其制作的短视频时长在</t>
    </r>
    <r>
      <rPr>
        <sz val="9"/>
        <color rgb="FF000000"/>
        <rFont val="Arial"/>
        <charset val="134"/>
      </rPr>
      <t>10</t>
    </r>
    <r>
      <rPr>
        <sz val="9"/>
        <color rgb="FF000000"/>
        <rFont val="楷体"/>
        <charset val="134"/>
      </rPr>
      <t>分钟左右，并且用户可在平台查看体育、生活等方面的资讯内容。</t>
    </r>
  </si>
  <si>
    <t>https://quibi.com/</t>
  </si>
  <si>
    <t>2018-01</t>
  </si>
  <si>
    <t>Roku</t>
  </si>
  <si>
    <r>
      <rPr>
        <sz val="9"/>
        <color rgb="FF000000"/>
        <rFont val="Arial"/>
        <charset val="134"/>
      </rPr>
      <t>191.75</t>
    </r>
    <r>
      <rPr>
        <sz val="9"/>
        <color rgb="FF000000"/>
        <rFont val="楷体"/>
        <charset val="134"/>
      </rPr>
      <t>亿</t>
    </r>
  </si>
  <si>
    <t>Meg Whitman:CEO,Jeffrey Katzenberg:Founder &amp; Chairman of the Board</t>
  </si>
  <si>
    <r>
      <rPr>
        <sz val="9"/>
        <color rgb="FF000000"/>
        <rFont val="楷体"/>
        <charset val="134"/>
      </rPr>
      <t>阿里巴巴</t>
    </r>
    <r>
      <rPr>
        <sz val="9"/>
        <color rgb="FF000000"/>
        <rFont val="Arial"/>
        <charset val="134"/>
      </rPr>
      <t>,</t>
    </r>
    <r>
      <rPr>
        <sz val="9"/>
        <color rgb="FF000000"/>
        <rFont val="楷体"/>
        <charset val="134"/>
      </rPr>
      <t>天马创投</t>
    </r>
    <r>
      <rPr>
        <sz val="9"/>
        <color rgb="FF000000"/>
        <rFont val="Arial"/>
        <charset val="134"/>
      </rPr>
      <t>Pegasus Tech Ventures,WndrCo</t>
    </r>
  </si>
  <si>
    <r>
      <rPr>
        <sz val="9"/>
        <color rgb="FF000000"/>
        <rFont val="Arial"/>
        <charset val="134"/>
      </rPr>
      <t>Warner Bros.</t>
    </r>
    <r>
      <rPr>
        <sz val="9"/>
        <color rgb="FF000000"/>
        <rFont val="楷体"/>
        <charset val="134"/>
      </rPr>
      <t>华纳兄弟</t>
    </r>
    <r>
      <rPr>
        <sz val="9"/>
        <color rgb="FF000000"/>
        <rFont val="Arial"/>
        <charset val="134"/>
      </rPr>
      <t>,21st Century Fox</t>
    </r>
  </si>
  <si>
    <t>瀚博半导体</t>
  </si>
  <si>
    <r>
      <rPr>
        <sz val="9"/>
        <color rgb="FF000000"/>
        <rFont val="楷体"/>
        <charset val="134"/>
      </rPr>
      <t>瀚博半导体</t>
    </r>
  </si>
  <si>
    <r>
      <rPr>
        <sz val="9"/>
        <color rgb="FF000000"/>
        <rFont val="楷体"/>
        <charset val="134"/>
      </rPr>
      <t>瀚博半导体是一家</t>
    </r>
    <r>
      <rPr>
        <sz val="9"/>
        <color rgb="FF000000"/>
        <rFont val="Arial"/>
        <charset val="134"/>
      </rPr>
      <t>AI</t>
    </r>
    <r>
      <rPr>
        <sz val="9"/>
        <color rgb="FF000000"/>
        <rFont val="楷体"/>
        <charset val="134"/>
      </rPr>
      <t>视觉芯片研发商，基于自主研发的人工智能及计算机视觉核心技术，可提供专用芯片设计以及相对应的软件开发平台产品，适用于智慧城市、智能安防、智慧教育、智能医疗等领域。瀚博的产品注重计算机视觉及视频处理的优化，提供丰富的特性，高效的性能</t>
    </r>
    <r>
      <rPr>
        <sz val="9"/>
        <color rgb="FF000000"/>
        <rFont val="Arial"/>
        <charset val="134"/>
      </rPr>
      <t>/</t>
    </r>
    <r>
      <rPr>
        <sz val="9"/>
        <color rgb="FF000000"/>
        <rFont val="楷体"/>
        <charset val="134"/>
      </rPr>
      <t>功耗；适用多个人工智能领域。产品覆盖从边到云，</t>
    </r>
    <r>
      <rPr>
        <sz val="9"/>
        <color rgb="FF000000"/>
        <rFont val="Arial"/>
        <charset val="134"/>
      </rPr>
      <t>SOC</t>
    </r>
    <r>
      <rPr>
        <sz val="9"/>
        <color rgb="FF000000"/>
        <rFont val="楷体"/>
        <charset val="134"/>
      </rPr>
      <t>及服务器市场。</t>
    </r>
  </si>
  <si>
    <t>瀚博半导体（上海）有限公司</t>
  </si>
  <si>
    <t>http://www.vastaitech.com/</t>
  </si>
  <si>
    <t>2018-12</t>
  </si>
  <si>
    <r>
      <t>16</t>
    </r>
    <r>
      <rPr>
        <sz val="9"/>
        <color rgb="FF000000"/>
        <rFont val="楷体"/>
        <charset val="134"/>
      </rPr>
      <t>亿人民币</t>
    </r>
  </si>
  <si>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韩国未来资产</t>
    </r>
    <r>
      <rPr>
        <sz val="9"/>
        <color rgb="FF000000"/>
        <rFont val="Arial"/>
        <charset val="134"/>
      </rPr>
      <t>Mirae Asset Venture Investment,</t>
    </r>
    <r>
      <rPr>
        <sz val="9"/>
        <color rgb="FF000000"/>
        <rFont val="楷体"/>
        <charset val="134"/>
      </rPr>
      <t>耀途资本</t>
    </r>
    <r>
      <rPr>
        <sz val="9"/>
        <color rgb="FF000000"/>
        <rFont val="Arial"/>
        <charset val="134"/>
      </rPr>
      <t>,</t>
    </r>
    <r>
      <rPr>
        <sz val="9"/>
        <color rgb="FF000000"/>
        <rFont val="楷体"/>
        <charset val="134"/>
      </rPr>
      <t>人保资本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国寿科创基金</t>
    </r>
    <r>
      <rPr>
        <sz val="9"/>
        <color rgb="FF000000"/>
        <rFont val="Arial"/>
        <charset val="134"/>
      </rPr>
      <t>,</t>
    </r>
    <r>
      <rPr>
        <sz val="9"/>
        <color rgb="FF000000"/>
        <rFont val="楷体"/>
        <charset val="134"/>
      </rPr>
      <t>慕华科创基金</t>
    </r>
    <r>
      <rPr>
        <sz val="9"/>
        <color rgb="FF000000"/>
        <rFont val="Arial"/>
        <charset val="134"/>
      </rPr>
      <t>,</t>
    </r>
    <r>
      <rPr>
        <sz val="9"/>
        <color rgb="FF000000"/>
        <rFont val="楷体"/>
        <charset val="134"/>
      </rPr>
      <t>元木资本</t>
    </r>
  </si>
  <si>
    <r>
      <t>24.25</t>
    </r>
    <r>
      <rPr>
        <sz val="9"/>
        <color rgb="FF000000"/>
        <rFont val="楷体"/>
        <charset val="134"/>
      </rPr>
      <t>亿</t>
    </r>
  </si>
  <si>
    <r>
      <t>96</t>
    </r>
    <r>
      <rPr>
        <sz val="9"/>
        <color rgb="FF000000"/>
        <rFont val="楷体"/>
        <charset val="134"/>
      </rPr>
      <t>亿元</t>
    </r>
  </si>
  <si>
    <r>
      <rPr>
        <sz val="9"/>
        <color rgb="FF000000"/>
        <rFont val="楷体"/>
        <charset val="134"/>
      </rPr>
      <t>钱军</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张磊</t>
    </r>
    <r>
      <rPr>
        <sz val="9"/>
        <color rgb="FF000000"/>
        <rFont val="Arial"/>
        <charset val="134"/>
      </rPr>
      <t xml:space="preserve">:CTO &amp; </t>
    </r>
    <r>
      <rPr>
        <sz val="9"/>
        <color rgb="FF000000"/>
        <rFont val="楷体"/>
        <charset val="134"/>
      </rPr>
      <t>总构架师</t>
    </r>
  </si>
  <si>
    <r>
      <rPr>
        <sz val="9"/>
        <color rgb="FF000000"/>
        <rFont val="楷体"/>
        <charset val="134"/>
      </rPr>
      <t>上海市浦东新区银冬路</t>
    </r>
    <r>
      <rPr>
        <sz val="9"/>
        <color rgb="FF000000"/>
        <rFont val="Arial"/>
        <charset val="134"/>
      </rPr>
      <t>491</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407</t>
    </r>
    <r>
      <rPr>
        <sz val="9"/>
        <color rgb="FF000000"/>
        <rFont val="楷体"/>
        <charset val="134"/>
      </rPr>
      <t>室</t>
    </r>
    <r>
      <rPr>
        <sz val="9"/>
        <color rgb="FF000000"/>
        <rFont val="Arial"/>
        <charset val="134"/>
      </rPr>
      <t>-408</t>
    </r>
    <r>
      <rPr>
        <sz val="9"/>
        <color rgb="FF000000"/>
        <rFont val="楷体"/>
        <charset val="134"/>
      </rPr>
      <t>室</t>
    </r>
  </si>
  <si>
    <t>021-6106-0282</t>
  </si>
  <si>
    <t>info@vastaitech.com</t>
  </si>
  <si>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耀途资本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天狼星资本</t>
    </r>
    <r>
      <rPr>
        <sz val="9"/>
        <color rgb="FF000000"/>
        <rFont val="Arial"/>
        <charset val="134"/>
      </rPr>
      <t>,</t>
    </r>
    <r>
      <rPr>
        <sz val="9"/>
        <color rgb="FF000000"/>
        <rFont val="楷体"/>
        <charset val="134"/>
      </rPr>
      <t>中国互联网投资基金</t>
    </r>
    <r>
      <rPr>
        <sz val="9"/>
        <color rgb="FF000000"/>
        <rFont val="Arial"/>
        <charset val="134"/>
      </rPr>
      <t>,</t>
    </r>
    <r>
      <rPr>
        <sz val="9"/>
        <color rgb="FF000000"/>
        <rFont val="楷体"/>
        <charset val="134"/>
      </rPr>
      <t>元木资本</t>
    </r>
  </si>
  <si>
    <r>
      <rPr>
        <sz val="9"/>
        <color rgb="FF000000"/>
        <rFont val="楷体"/>
        <charset val="134"/>
      </rPr>
      <t>真格基金</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耀途资本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天狼星资本</t>
    </r>
    <r>
      <rPr>
        <sz val="9"/>
        <color rgb="FF000000"/>
        <rFont val="Arial"/>
        <charset val="134"/>
      </rPr>
      <t>,</t>
    </r>
    <r>
      <rPr>
        <sz val="9"/>
        <color rgb="FF000000"/>
        <rFont val="楷体"/>
        <charset val="134"/>
      </rPr>
      <t>快手</t>
    </r>
  </si>
  <si>
    <t>易平方</t>
  </si>
  <si>
    <r>
      <rPr>
        <sz val="9"/>
        <color rgb="FF000000"/>
        <rFont val="楷体"/>
        <charset val="134"/>
      </rPr>
      <t>深圳市易平方网络科技有限公司作为康佳集团（证券代码：</t>
    </r>
    <r>
      <rPr>
        <sz val="9"/>
        <color rgb="FF000000"/>
        <rFont val="Arial"/>
        <charset val="134"/>
      </rPr>
      <t>000016</t>
    </r>
    <r>
      <rPr>
        <sz val="9"/>
        <color rgb="FF000000"/>
        <rFont val="楷体"/>
        <charset val="134"/>
      </rPr>
      <t>）旗下独立运营的子公司，是康佳互联网业务的运营主体。易平方是一家聚焦全媒体融合</t>
    </r>
    <r>
      <rPr>
        <sz val="9"/>
        <color rgb="FF000000"/>
        <rFont val="Arial"/>
        <charset val="134"/>
      </rPr>
      <t>+</t>
    </r>
    <r>
      <rPr>
        <sz val="9"/>
        <color rgb="FF000000"/>
        <rFont val="楷体"/>
        <charset val="134"/>
      </rPr>
      <t>多场景延伸、打造</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跨场景生态</t>
    </r>
    <r>
      <rPr>
        <sz val="9"/>
        <color rgb="FF000000"/>
        <rFont val="Arial"/>
        <charset val="134"/>
      </rPr>
      <t>”</t>
    </r>
    <r>
      <rPr>
        <sz val="9"/>
        <color rgb="FF000000"/>
        <rFont val="楷体"/>
        <charset val="134"/>
      </rPr>
      <t>营销新平台的科技公司，业务涵盖媒体广告、数字发行、场景营销等，是国内领先的物联网时代的跨场景商业和内容服务商。</t>
    </r>
  </si>
  <si>
    <t>重庆市易平方科技有限公司</t>
  </si>
  <si>
    <t>http://www.yiui.tv/</t>
  </si>
  <si>
    <t>其他工业</t>
  </si>
  <si>
    <r>
      <rPr>
        <sz val="9"/>
        <color rgb="FF000000"/>
        <rFont val="楷体"/>
        <charset val="134"/>
      </rPr>
      <t>曹士平</t>
    </r>
    <r>
      <rPr>
        <sz val="9"/>
        <color rgb="FF000000"/>
        <rFont val="Arial"/>
        <charset val="134"/>
      </rPr>
      <t>:</t>
    </r>
    <r>
      <rPr>
        <sz val="9"/>
        <color rgb="FF000000"/>
        <rFont val="楷体"/>
        <charset val="134"/>
      </rPr>
      <t>董事长</t>
    </r>
  </si>
  <si>
    <r>
      <rPr>
        <sz val="9"/>
        <color rgb="FF000000"/>
        <rFont val="楷体"/>
        <charset val="134"/>
      </rPr>
      <t>深圳市南山区粤海街道科技南十二路</t>
    </r>
    <r>
      <rPr>
        <sz val="9"/>
        <color rgb="FF000000"/>
        <rFont val="Arial"/>
        <charset val="134"/>
      </rPr>
      <t>28</t>
    </r>
    <r>
      <rPr>
        <sz val="9"/>
        <color rgb="FF000000"/>
        <rFont val="楷体"/>
        <charset val="134"/>
      </rPr>
      <t>号康佳研发大厦</t>
    </r>
    <r>
      <rPr>
        <sz val="9"/>
        <color rgb="FF000000"/>
        <rFont val="Arial"/>
        <charset val="134"/>
      </rPr>
      <t>21</t>
    </r>
    <r>
      <rPr>
        <sz val="9"/>
        <color rgb="FF000000"/>
        <rFont val="楷体"/>
        <charset val="134"/>
      </rPr>
      <t>层</t>
    </r>
    <r>
      <rPr>
        <sz val="9"/>
        <color rgb="FF000000"/>
        <rFont val="Arial"/>
        <charset val="134"/>
      </rPr>
      <t>A</t>
    </r>
    <r>
      <rPr>
        <sz val="9"/>
        <color rgb="FF000000"/>
        <rFont val="楷体"/>
        <charset val="134"/>
      </rPr>
      <t>区</t>
    </r>
  </si>
  <si>
    <t>139-2463-8060</t>
  </si>
  <si>
    <t>zhangyuxuan@konka.com</t>
  </si>
  <si>
    <t>2020-02-25</t>
  </si>
  <si>
    <t>Amwise Diagnostics</t>
  </si>
  <si>
    <r>
      <rPr>
        <sz val="9"/>
        <color rgb="FF000000"/>
        <rFont val="Arial"/>
        <charset val="134"/>
      </rPr>
      <t>Amwise Diagnostics</t>
    </r>
    <r>
      <rPr>
        <sz val="9"/>
        <color rgb="FF000000"/>
        <rFont val="楷体"/>
        <charset val="134"/>
      </rPr>
      <t>是一个亚洲乳腺癌精准医疗平台，透过专利的基因分析检测技术，协助医师与病人拟定合适的治疗策略，以达治疗最佳化、副作用最小化的个人医类应用。已完成全球唯一采用亚洲人种基因库发展而成的乳腺癌复发风险检测，为临床提供肿瘤精准检测方案。</t>
    </r>
  </si>
  <si>
    <t>https://www.amwisediagnostics.com/</t>
  </si>
  <si>
    <t>医疗信息化</t>
  </si>
  <si>
    <t>先声控股</t>
  </si>
  <si>
    <t>Xianlin Huang:Founder &amp; Chief Executive Officer</t>
  </si>
  <si>
    <r>
      <rPr>
        <sz val="9"/>
        <color rgb="FF000000"/>
        <rFont val="楷体"/>
        <charset val="134"/>
      </rPr>
      <t>阿里巴巴</t>
    </r>
    <r>
      <rPr>
        <sz val="9"/>
        <color rgb="FF000000"/>
        <rFont val="Arial"/>
        <charset val="134"/>
      </rPr>
      <t>,</t>
    </r>
    <r>
      <rPr>
        <sz val="9"/>
        <color rgb="FF000000"/>
        <rFont val="楷体"/>
        <charset val="134"/>
      </rPr>
      <t>美国中经合集团</t>
    </r>
    <r>
      <rPr>
        <sz val="9"/>
        <color rgb="FF000000"/>
        <rFont val="Arial"/>
        <charset val="134"/>
      </rPr>
      <t>,</t>
    </r>
    <r>
      <rPr>
        <sz val="9"/>
        <color rgb="FF000000"/>
        <rFont val="楷体"/>
        <charset val="134"/>
      </rPr>
      <t>印尼力宝集团</t>
    </r>
  </si>
  <si>
    <t>杰毅生物</t>
  </si>
  <si>
    <r>
      <rPr>
        <sz val="9"/>
        <color rgb="FF000000"/>
        <rFont val="楷体"/>
        <charset val="134"/>
      </rPr>
      <t>杰毅生物</t>
    </r>
  </si>
  <si>
    <r>
      <rPr>
        <sz val="9"/>
        <color rgb="FF000000"/>
        <rFont val="楷体"/>
        <charset val="134"/>
      </rPr>
      <t>杰毅生物是一家致力于进行产品研发、制造和销售用于大规模分析遗传变异、基因功能、病原微生物检测、人工智能一体化系统解决供应商。</t>
    </r>
  </si>
  <si>
    <t>杭州杰毅生物技术有限公司</t>
  </si>
  <si>
    <t>http://www.matridx.com/</t>
  </si>
  <si>
    <r>
      <rPr>
        <sz val="9"/>
        <color rgb="FF000000"/>
        <rFont val="楷体"/>
        <charset val="134"/>
      </rPr>
      <t>阿里巴巴</t>
    </r>
    <r>
      <rPr>
        <sz val="9"/>
        <color rgb="FF000000"/>
        <rFont val="Arial"/>
        <charset val="134"/>
      </rPr>
      <t>,</t>
    </r>
    <r>
      <rPr>
        <sz val="9"/>
        <color rgb="FF000000"/>
        <rFont val="楷体"/>
        <charset val="134"/>
      </rPr>
      <t>华泰紫金</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比邻星创投</t>
    </r>
  </si>
  <si>
    <r>
      <t>6.1</t>
    </r>
    <r>
      <rPr>
        <sz val="9"/>
        <color rgb="FF000000"/>
        <rFont val="楷体"/>
        <charset val="134"/>
      </rPr>
      <t>亿</t>
    </r>
  </si>
  <si>
    <r>
      <t>20</t>
    </r>
    <r>
      <rPr>
        <sz val="9"/>
        <color rgb="FF000000"/>
        <rFont val="楷体"/>
        <charset val="134"/>
      </rPr>
      <t>亿元</t>
    </r>
  </si>
  <si>
    <r>
      <rPr>
        <sz val="9"/>
        <color rgb="FF000000"/>
        <rFont val="楷体"/>
        <charset val="134"/>
      </rPr>
      <t>王珺</t>
    </r>
    <r>
      <rPr>
        <sz val="9"/>
        <color rgb="FF000000"/>
        <rFont val="Arial"/>
        <charset val="134"/>
      </rPr>
      <t>:CEO</t>
    </r>
  </si>
  <si>
    <r>
      <rPr>
        <sz val="9"/>
        <color rgb="FF000000"/>
        <rFont val="楷体"/>
        <charset val="134"/>
      </rPr>
      <t>浙江省杭州市余杭区良渚街道金昌路</t>
    </r>
    <r>
      <rPr>
        <sz val="9"/>
        <color rgb="FF000000"/>
        <rFont val="Arial"/>
        <charset val="134"/>
      </rPr>
      <t>2073</t>
    </r>
    <r>
      <rPr>
        <sz val="9"/>
        <color rgb="FF000000"/>
        <rFont val="楷体"/>
        <charset val="134"/>
      </rPr>
      <t>号</t>
    </r>
    <r>
      <rPr>
        <sz val="9"/>
        <color rgb="FF000000"/>
        <rFont val="Arial"/>
        <charset val="134"/>
      </rPr>
      <t>3</t>
    </r>
    <r>
      <rPr>
        <sz val="9"/>
        <color rgb="FF000000"/>
        <rFont val="楷体"/>
        <charset val="134"/>
      </rPr>
      <t>号楼</t>
    </r>
    <r>
      <rPr>
        <sz val="9"/>
        <color rgb="FF000000"/>
        <rFont val="Arial"/>
        <charset val="134"/>
      </rPr>
      <t>102</t>
    </r>
    <r>
      <rPr>
        <sz val="9"/>
        <color rgb="FF000000"/>
        <rFont val="楷体"/>
        <charset val="134"/>
      </rPr>
      <t>室</t>
    </r>
  </si>
  <si>
    <r>
      <rPr>
        <sz val="9"/>
        <color rgb="FF000000"/>
        <rFont val="楷体"/>
        <charset val="134"/>
      </rPr>
      <t>普华资本</t>
    </r>
    <r>
      <rPr>
        <sz val="9"/>
        <color rgb="FF000000"/>
        <rFont val="Arial"/>
        <charset val="134"/>
      </rPr>
      <t>,</t>
    </r>
    <r>
      <rPr>
        <sz val="9"/>
        <color rgb="FF000000"/>
        <rFont val="楷体"/>
        <charset val="134"/>
      </rPr>
      <t>辰德资本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比邻星创投</t>
    </r>
    <r>
      <rPr>
        <sz val="9"/>
        <color rgb="FF000000"/>
        <rFont val="Arial"/>
        <charset val="134"/>
      </rPr>
      <t>,</t>
    </r>
    <r>
      <rPr>
        <sz val="9"/>
        <color rgb="FF000000"/>
        <rFont val="楷体"/>
        <charset val="134"/>
      </rPr>
      <t>前海纳新</t>
    </r>
  </si>
  <si>
    <t>辰德资本</t>
  </si>
  <si>
    <r>
      <rPr>
        <sz val="9"/>
        <color rgb="FF000000"/>
        <rFont val="楷体"/>
        <charset val="134"/>
      </rPr>
      <t>普华资本</t>
    </r>
    <r>
      <rPr>
        <sz val="9"/>
        <color rgb="FF000000"/>
        <rFont val="Arial"/>
        <charset val="134"/>
      </rPr>
      <t>,</t>
    </r>
    <r>
      <rPr>
        <sz val="9"/>
        <color rgb="FF000000"/>
        <rFont val="楷体"/>
        <charset val="134"/>
      </rPr>
      <t>比邻星创投</t>
    </r>
  </si>
  <si>
    <t>2023-01-12</t>
  </si>
  <si>
    <r>
      <rPr>
        <sz val="9"/>
        <color rgb="FF000000"/>
        <rFont val="Arial"/>
        <charset val="134"/>
      </rPr>
      <t>Hotelmize</t>
    </r>
    <r>
      <rPr>
        <sz val="9"/>
        <color rgb="FF000000"/>
        <rFont val="楷体"/>
        <charset val="134"/>
      </rPr>
      <t>是一家英国酒店</t>
    </r>
    <r>
      <rPr>
        <sz val="9"/>
        <color rgb="FF000000"/>
        <rFont val="Arial"/>
        <charset val="134"/>
      </rPr>
      <t>AI</t>
    </r>
    <r>
      <rPr>
        <sz val="9"/>
        <color rgb="FF000000"/>
        <rFont val="楷体"/>
        <charset val="134"/>
      </rPr>
      <t>价格预测和收益优化技术开发商，主要为酒店分销商、批发商和旅行代理提供利润优化方案。通过人工智能跟踪预测酒店价格波动，并将酒店客房作为商品来帮助酒店分销商提高盈利能力。并为用户提供了商业智能和收益管理系统。</t>
    </r>
  </si>
  <si>
    <t>https://www.hotelmize.com/</t>
  </si>
  <si>
    <t>Flashpoint Venture Capital</t>
  </si>
  <si>
    <r>
      <rPr>
        <sz val="9"/>
        <color rgb="FF000000"/>
        <rFont val="Arial"/>
        <charset val="134"/>
      </rPr>
      <t>2.98</t>
    </r>
    <r>
      <rPr>
        <sz val="9"/>
        <color rgb="FF000000"/>
        <rFont val="楷体"/>
        <charset val="134"/>
      </rPr>
      <t>亿</t>
    </r>
  </si>
  <si>
    <r>
      <rPr>
        <sz val="9"/>
        <color rgb="FF000000"/>
        <rFont val="Arial"/>
        <charset val="134"/>
      </rPr>
      <t>3.9</t>
    </r>
    <r>
      <rPr>
        <sz val="9"/>
        <color rgb="FF000000"/>
        <rFont val="楷体"/>
        <charset val="134"/>
      </rPr>
      <t>亿元</t>
    </r>
  </si>
  <si>
    <t>Dor Krubiner:Founder &amp; CEO,Guy Levitan:CTO,Omry Litvak:Founder &amp; COO</t>
  </si>
  <si>
    <r>
      <rPr>
        <sz val="9"/>
        <color rgb="FF000000"/>
        <rFont val="楷体"/>
        <charset val="134"/>
      </rPr>
      <t>数千万美元</t>
    </r>
  </si>
  <si>
    <r>
      <rPr>
        <sz val="9"/>
        <color rgb="FF000000"/>
        <rFont val="楷体"/>
        <charset val="134"/>
      </rPr>
      <t>阿里巴巴</t>
    </r>
    <r>
      <rPr>
        <sz val="9"/>
        <color rgb="FF000000"/>
        <rFont val="Arial"/>
        <charset val="134"/>
      </rPr>
      <t>,</t>
    </r>
    <r>
      <rPr>
        <sz val="9"/>
        <color rgb="FF000000"/>
        <rFont val="楷体"/>
        <charset val="134"/>
      </rPr>
      <t>阿里巴巴创业者基金</t>
    </r>
    <r>
      <rPr>
        <sz val="9"/>
        <color rgb="FF000000"/>
        <rFont val="Arial"/>
        <charset val="134"/>
      </rPr>
      <t>,Brilliance Ventures</t>
    </r>
  </si>
  <si>
    <t>Investible</t>
  </si>
  <si>
    <t>2022-03-28</t>
  </si>
  <si>
    <t>中科微针</t>
  </si>
  <si>
    <r>
      <rPr>
        <sz val="9"/>
        <color rgb="FF000000"/>
        <rFont val="楷体"/>
        <charset val="134"/>
      </rPr>
      <t>中科微针</t>
    </r>
  </si>
  <si>
    <r>
      <rPr>
        <sz val="9"/>
        <color rgb="FF000000"/>
        <rFont val="楷体"/>
        <charset val="134"/>
      </rPr>
      <t>中科微针专注于聚合物微针透皮给药平台技术的研究及其在药品、医疗器械及大健康领域的创新及产业化工作。</t>
    </r>
  </si>
  <si>
    <t>中科微针（北京）科技有限公司</t>
  </si>
  <si>
    <t>http://www.casmn.com/</t>
  </si>
  <si>
    <r>
      <rPr>
        <sz val="9"/>
        <color rgb="FF000000"/>
        <rFont val="楷体"/>
        <charset val="134"/>
      </rPr>
      <t>医疗综合服务</t>
    </r>
  </si>
  <si>
    <r>
      <rPr>
        <sz val="9"/>
        <color rgb="FF000000"/>
        <rFont val="楷体"/>
        <charset val="134"/>
      </rPr>
      <t>阿里巴巴</t>
    </r>
    <r>
      <rPr>
        <sz val="9"/>
        <color rgb="FF000000"/>
        <rFont val="Arial"/>
        <charset val="134"/>
      </rPr>
      <t>,</t>
    </r>
    <r>
      <rPr>
        <sz val="9"/>
        <color rgb="FF000000"/>
        <rFont val="楷体"/>
        <charset val="134"/>
      </rPr>
      <t>涌铧投资</t>
    </r>
    <r>
      <rPr>
        <sz val="9"/>
        <color rgb="FF000000"/>
        <rFont val="Arial"/>
        <charset val="134"/>
      </rPr>
      <t>,</t>
    </r>
    <r>
      <rPr>
        <sz val="9"/>
        <color rgb="FF000000"/>
        <rFont val="楷体"/>
        <charset val="134"/>
      </rPr>
      <t>华泰紫金</t>
    </r>
    <r>
      <rPr>
        <sz val="9"/>
        <color rgb="FF000000"/>
        <rFont val="Arial"/>
        <charset val="134"/>
      </rPr>
      <t>,</t>
    </r>
    <r>
      <rPr>
        <sz val="9"/>
        <color rgb="FF000000"/>
        <rFont val="楷体"/>
        <charset val="134"/>
      </rPr>
      <t>金科君创</t>
    </r>
  </si>
  <si>
    <r>
      <t>8000</t>
    </r>
    <r>
      <rPr>
        <sz val="9"/>
        <color rgb="FF000000"/>
        <rFont val="楷体"/>
        <charset val="134"/>
      </rPr>
      <t>万</t>
    </r>
  </si>
  <si>
    <r>
      <rPr>
        <sz val="9"/>
        <color rgb="FF000000"/>
        <rFont val="楷体"/>
        <charset val="134"/>
      </rPr>
      <t>江林</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高云华</t>
    </r>
    <r>
      <rPr>
        <sz val="9"/>
        <color rgb="FF000000"/>
        <rFont val="Arial"/>
        <charset val="134"/>
      </rPr>
      <t>:</t>
    </r>
    <r>
      <rPr>
        <sz val="9"/>
        <color rgb="FF000000"/>
        <rFont val="楷体"/>
        <charset val="134"/>
      </rPr>
      <t>创始人</t>
    </r>
  </si>
  <si>
    <r>
      <rPr>
        <sz val="9"/>
        <color rgb="FF000000"/>
        <rFont val="楷体"/>
        <charset val="134"/>
      </rPr>
      <t>北京市大兴区生物医药基地天荣街</t>
    </r>
    <r>
      <rPr>
        <sz val="9"/>
        <color rgb="FF000000"/>
        <rFont val="Arial"/>
        <charset val="134"/>
      </rPr>
      <t>22</t>
    </r>
    <r>
      <rPr>
        <sz val="9"/>
        <color rgb="FF000000"/>
        <rFont val="楷体"/>
        <charset val="134"/>
      </rPr>
      <t>号</t>
    </r>
  </si>
  <si>
    <t>1396-264-6296</t>
  </si>
  <si>
    <t>jianglin@casmn.com</t>
  </si>
  <si>
    <t>重庆中科盈晖基金</t>
  </si>
  <si>
    <r>
      <rPr>
        <sz val="9"/>
        <color rgb="FF000000"/>
        <rFont val="楷体"/>
        <charset val="134"/>
      </rPr>
      <t>中科创星</t>
    </r>
    <r>
      <rPr>
        <sz val="9"/>
        <color rgb="FF000000"/>
        <rFont val="Arial"/>
        <charset val="134"/>
      </rPr>
      <t>,</t>
    </r>
    <r>
      <rPr>
        <sz val="9"/>
        <color rgb="FF000000"/>
        <rFont val="楷体"/>
        <charset val="134"/>
      </rPr>
      <t>中科院创投</t>
    </r>
  </si>
  <si>
    <t>2020-05-13</t>
  </si>
  <si>
    <t>飞象互联</t>
  </si>
  <si>
    <r>
      <rPr>
        <sz val="9"/>
        <color rgb="FF000000"/>
        <rFont val="楷体"/>
        <charset val="134"/>
      </rPr>
      <t>飞象互联</t>
    </r>
  </si>
  <si>
    <r>
      <rPr>
        <sz val="9"/>
        <color rgb="FF000000"/>
        <rFont val="楷体"/>
        <charset val="134"/>
      </rPr>
      <t>飞象互联是一家智能工业解决方案提供商，提供跨行业跨领域的一站式智能制造解决方案。同时为工业生态赋能，帮助各工业垂直领域从自动化、信息化到数字化、网络化，最终实现智能化的升级转型。</t>
    </r>
  </si>
  <si>
    <t>重庆飞象工业互联网有限公司</t>
  </si>
  <si>
    <t>http://www.feiiplat.com/</t>
  </si>
  <si>
    <r>
      <rPr>
        <sz val="9"/>
        <color rgb="FF000000"/>
        <rFont val="楷体"/>
        <charset val="134"/>
      </rPr>
      <t>重庆</t>
    </r>
    <r>
      <rPr>
        <sz val="9"/>
        <color rgb="FF000000"/>
        <rFont val="Arial"/>
        <charset val="134"/>
      </rPr>
      <t>-</t>
    </r>
    <r>
      <rPr>
        <sz val="9"/>
        <color rgb="FF000000"/>
        <rFont val="楷体"/>
        <charset val="134"/>
      </rPr>
      <t>南岸区</t>
    </r>
  </si>
  <si>
    <r>
      <rPr>
        <sz val="9"/>
        <color rgb="FF000000"/>
        <rFont val="楷体"/>
        <charset val="134"/>
      </rPr>
      <t>工业</t>
    </r>
    <r>
      <rPr>
        <sz val="9"/>
        <color rgb="FF000000"/>
        <rFont val="Arial"/>
        <charset val="134"/>
      </rPr>
      <t>4.0</t>
    </r>
  </si>
  <si>
    <r>
      <t>750</t>
    </r>
    <r>
      <rPr>
        <sz val="9"/>
        <color rgb="FF000000"/>
        <rFont val="楷体"/>
        <charset val="134"/>
      </rPr>
      <t>万人民币</t>
    </r>
  </si>
  <si>
    <r>
      <t>750</t>
    </r>
    <r>
      <rPr>
        <sz val="9"/>
        <color rgb="FF000000"/>
        <rFont val="楷体"/>
        <charset val="134"/>
      </rPr>
      <t>万</t>
    </r>
  </si>
  <si>
    <r>
      <t>3750</t>
    </r>
    <r>
      <rPr>
        <sz val="9"/>
        <color rgb="FF000000"/>
        <rFont val="楷体"/>
        <charset val="134"/>
      </rPr>
      <t>万元</t>
    </r>
  </si>
  <si>
    <r>
      <rPr>
        <sz val="9"/>
        <color rgb="FF000000"/>
        <rFont val="楷体"/>
        <charset val="134"/>
      </rPr>
      <t>重庆市南岸区广福大道</t>
    </r>
    <r>
      <rPr>
        <sz val="9"/>
        <color rgb="FF000000"/>
        <rFont val="Arial"/>
        <charset val="134"/>
      </rPr>
      <t>6</t>
    </r>
    <r>
      <rPr>
        <sz val="9"/>
        <color rgb="FF000000"/>
        <rFont val="楷体"/>
        <charset val="134"/>
      </rPr>
      <t>号附</t>
    </r>
    <r>
      <rPr>
        <sz val="9"/>
        <color rgb="FF000000"/>
        <rFont val="Arial"/>
        <charset val="134"/>
      </rPr>
      <t>23</t>
    </r>
    <r>
      <rPr>
        <sz val="9"/>
        <color rgb="FF000000"/>
        <rFont val="楷体"/>
        <charset val="134"/>
      </rPr>
      <t>号</t>
    </r>
  </si>
  <si>
    <t>023-6252-1309</t>
  </si>
  <si>
    <t>service@feiiplat.com</t>
  </si>
  <si>
    <t>2020-06-23</t>
  </si>
  <si>
    <t>衢州新闻网</t>
  </si>
  <si>
    <r>
      <rPr>
        <sz val="9"/>
        <color rgb="FF000000"/>
        <rFont val="楷体"/>
        <charset val="134"/>
      </rPr>
      <t>衢州新闻网</t>
    </r>
  </si>
  <si>
    <r>
      <rPr>
        <sz val="9"/>
        <color rgb="FF000000"/>
        <rFont val="楷体"/>
        <charset val="134"/>
      </rPr>
      <t>衢州新闻网立足高标准规划，高起点建设，主打新闻品牌，以文字、图片和音视频相结合，全方位报道衢州本地和国内外重大新闻信息，目前已开设了开设时政要闻、视频新闻、国内新闻、国际新闻、社会新闻、体育新闻、娱乐新闻等专栏。</t>
    </r>
    <r>
      <rPr>
        <sz val="9"/>
        <color rgb="FF000000"/>
        <rFont val="Arial"/>
        <charset val="134"/>
      </rPr>
      <t xml:space="preserve"> </t>
    </r>
    <r>
      <rPr>
        <sz val="9"/>
        <color rgb="FF000000"/>
        <rFont val="楷体"/>
        <charset val="134"/>
      </rPr>
      <t>此外，衢州新闻网还将推出数字报纸，让您在网上读到原汁原味的《衢州日报》、《衢州晚报》、《农家报》。衢州新闻网致力于打造资讯平台，汽车、房产、健康、时尚、教育、旅游、分类信息等频道，全方位关注市民生活中的各类需求。衢州新闻网还开设网络电视、论坛、博客、播客、手机报等互动频道，为市民提供休闲娱乐空间。</t>
    </r>
    <r>
      <rPr>
        <sz val="9"/>
        <color rgb="FF000000"/>
        <rFont val="Arial"/>
        <charset val="134"/>
      </rPr>
      <t xml:space="preserve">
</t>
    </r>
  </si>
  <si>
    <t>浙江信安数智科技有限公司</t>
  </si>
  <si>
    <t>http://qz828.com/</t>
  </si>
  <si>
    <r>
      <rPr>
        <sz val="9"/>
        <color rgb="FF000000"/>
        <rFont val="楷体"/>
        <charset val="134"/>
      </rPr>
      <t>媒体及阅读</t>
    </r>
  </si>
  <si>
    <r>
      <rPr>
        <sz val="9"/>
        <color rgb="FF000000"/>
        <rFont val="楷体"/>
        <charset val="134"/>
      </rPr>
      <t>阿里巴巴</t>
    </r>
    <r>
      <rPr>
        <sz val="9"/>
        <color rgb="FF000000"/>
        <rFont val="Arial"/>
        <charset val="134"/>
      </rPr>
      <t>,</t>
    </r>
    <r>
      <rPr>
        <sz val="9"/>
        <color rgb="FF000000"/>
        <rFont val="楷体"/>
        <charset val="134"/>
      </rPr>
      <t>太平洋保险</t>
    </r>
    <r>
      <rPr>
        <sz val="9"/>
        <color rgb="FF000000"/>
        <rFont val="Arial"/>
        <charset val="134"/>
      </rPr>
      <t>,</t>
    </r>
    <r>
      <rPr>
        <sz val="9"/>
        <color rgb="FF000000"/>
        <rFont val="楷体"/>
        <charset val="134"/>
      </rPr>
      <t>安恒信息</t>
    </r>
    <r>
      <rPr>
        <sz val="9"/>
        <color rgb="FF000000"/>
        <rFont val="Arial"/>
        <charset val="134"/>
      </rPr>
      <t>,</t>
    </r>
    <r>
      <rPr>
        <sz val="9"/>
        <color rgb="FF000000"/>
        <rFont val="楷体"/>
        <charset val="134"/>
      </rPr>
      <t>南威软件</t>
    </r>
  </si>
  <si>
    <r>
      <t>3000</t>
    </r>
    <r>
      <rPr>
        <sz val="9"/>
        <color rgb="FF000000"/>
        <rFont val="楷体"/>
        <charset val="134"/>
      </rPr>
      <t>万</t>
    </r>
  </si>
  <si>
    <r>
      <rPr>
        <sz val="9"/>
        <color rgb="FF000000"/>
        <rFont val="楷体"/>
        <charset val="134"/>
      </rPr>
      <t>浙江省衢州市三江东路</t>
    </r>
    <r>
      <rPr>
        <sz val="9"/>
        <color rgb="FF000000"/>
        <rFont val="Arial"/>
        <charset val="134"/>
      </rPr>
      <t>12</t>
    </r>
    <r>
      <rPr>
        <sz val="9"/>
        <color rgb="FF000000"/>
        <rFont val="楷体"/>
        <charset val="134"/>
      </rPr>
      <t>号</t>
    </r>
    <r>
      <rPr>
        <sz val="9"/>
        <color rgb="FF000000"/>
        <rFont val="Arial"/>
        <charset val="134"/>
      </rPr>
      <t>10</t>
    </r>
    <r>
      <rPr>
        <sz val="9"/>
        <color rgb="FF000000"/>
        <rFont val="楷体"/>
        <charset val="134"/>
      </rPr>
      <t>楼</t>
    </r>
  </si>
  <si>
    <t>0570-335-9003</t>
  </si>
  <si>
    <t>zjxaszkjyxgs@163.com</t>
  </si>
  <si>
    <t>2021-10-08</t>
  </si>
  <si>
    <t>飞腾信息</t>
  </si>
  <si>
    <r>
      <rPr>
        <sz val="9"/>
        <color rgb="FF000000"/>
        <rFont val="楷体"/>
        <charset val="134"/>
      </rPr>
      <t>飞腾信息</t>
    </r>
  </si>
  <si>
    <r>
      <rPr>
        <sz val="9"/>
        <color rgb="FF000000"/>
        <rFont val="楷体"/>
        <charset val="134"/>
      </rPr>
      <t>飞腾信息是一家芯片设计服务提供商，主要从事集成电路芯片的设计、生产、销售与服务，为用户提供</t>
    </r>
    <r>
      <rPr>
        <sz val="9"/>
        <color rgb="FF000000"/>
        <rFont val="Arial"/>
        <charset val="134"/>
      </rPr>
      <t>CPU</t>
    </r>
    <r>
      <rPr>
        <sz val="9"/>
        <color rgb="FF000000"/>
        <rFont val="楷体"/>
        <charset val="134"/>
      </rPr>
      <t>、</t>
    </r>
    <r>
      <rPr>
        <sz val="9"/>
        <color rgb="FF000000"/>
        <rFont val="Arial"/>
        <charset val="134"/>
      </rPr>
      <t>ASIC</t>
    </r>
    <r>
      <rPr>
        <sz val="9"/>
        <color rgb="FF000000"/>
        <rFont val="楷体"/>
        <charset val="134"/>
      </rPr>
      <t>、</t>
    </r>
    <r>
      <rPr>
        <sz val="9"/>
        <color rgb="FF000000"/>
        <rFont val="Arial"/>
        <charset val="134"/>
      </rPr>
      <t>SoC</t>
    </r>
    <r>
      <rPr>
        <sz val="9"/>
        <color rgb="FF000000"/>
        <rFont val="楷体"/>
        <charset val="134"/>
      </rPr>
      <t>等芯片产品、</t>
    </r>
    <r>
      <rPr>
        <sz val="9"/>
        <color rgb="FF000000"/>
        <rFont val="Arial"/>
        <charset val="134"/>
      </rPr>
      <t>IP</t>
    </r>
    <r>
      <rPr>
        <sz val="9"/>
        <color rgb="FF000000"/>
        <rFont val="楷体"/>
        <charset val="134"/>
      </rPr>
      <t>产品以及基于这些产品的系统级解决方案，广泛用于政府、电信、银行、能源、交通等领域。</t>
    </r>
  </si>
  <si>
    <t>飞腾信息技术有限公司</t>
  </si>
  <si>
    <t>http://www.phytium.com.cn/</t>
  </si>
  <si>
    <r>
      <rPr>
        <sz val="9"/>
        <color rgb="FF000000"/>
        <rFont val="楷体"/>
        <charset val="134"/>
      </rPr>
      <t>天津</t>
    </r>
    <r>
      <rPr>
        <sz val="9"/>
        <color rgb="FF000000"/>
        <rFont val="Arial"/>
        <charset val="134"/>
      </rPr>
      <t>-</t>
    </r>
    <r>
      <rPr>
        <sz val="9"/>
        <color rgb="FF000000"/>
        <rFont val="楷体"/>
        <charset val="134"/>
      </rPr>
      <t>滨海新区</t>
    </r>
  </si>
  <si>
    <r>
      <rPr>
        <sz val="9"/>
        <color rgb="FF000000"/>
        <rFont val="楷体"/>
        <charset val="134"/>
      </rPr>
      <t>阿里巴巴</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中国互联网投资基金</t>
    </r>
  </si>
  <si>
    <r>
      <t>1.5</t>
    </r>
    <r>
      <rPr>
        <sz val="9"/>
        <color rgb="FF000000"/>
        <rFont val="楷体"/>
        <charset val="134"/>
      </rPr>
      <t>亿</t>
    </r>
  </si>
  <si>
    <r>
      <rPr>
        <sz val="9"/>
        <color rgb="FF000000"/>
        <rFont val="楷体"/>
        <charset val="134"/>
      </rPr>
      <t>天津市滨海新区海洋高新技术开发区信安创业广场</t>
    </r>
    <r>
      <rPr>
        <sz val="9"/>
        <color rgb="FF000000"/>
        <rFont val="Arial"/>
        <charset val="134"/>
      </rPr>
      <t>5</t>
    </r>
    <r>
      <rPr>
        <sz val="9"/>
        <color rgb="FF000000"/>
        <rFont val="楷体"/>
        <charset val="134"/>
      </rPr>
      <t>号楼</t>
    </r>
    <r>
      <rPr>
        <sz val="9"/>
        <color rgb="FF000000"/>
        <rFont val="Arial"/>
        <charset val="134"/>
      </rPr>
      <t xml:space="preserve"> </t>
    </r>
  </si>
  <si>
    <t>022-5908-0100</t>
  </si>
  <si>
    <t>zhangya@phytium.com.cn</t>
  </si>
  <si>
    <t>中青恒辉资产</t>
  </si>
  <si>
    <t>昱林基金</t>
  </si>
  <si>
    <t>2020-09-07</t>
  </si>
  <si>
    <t>鑫蜂维</t>
  </si>
  <si>
    <r>
      <rPr>
        <sz val="9"/>
        <color rgb="FF000000"/>
        <rFont val="楷体"/>
        <charset val="134"/>
      </rPr>
      <t>鑫蜂维是一家一站式企业管理解决方案提供商，主要以企业（组织）数字化转型升级为核心，为国内外大中小企业及组织提供基于钉钉这一数字化操作系统的数字化组织打造服务，帮助企业内修云端办公室、外建公司流量池，解决组织在线和业务在线的</t>
    </r>
    <r>
      <rPr>
        <sz val="9"/>
        <color rgb="FF000000"/>
        <rFont val="Arial"/>
        <charset val="134"/>
      </rPr>
      <t>“</t>
    </r>
    <r>
      <rPr>
        <sz val="9"/>
        <color rgb="FF000000"/>
        <rFont val="楷体"/>
        <charset val="134"/>
      </rPr>
      <t>最后一公里</t>
    </r>
    <r>
      <rPr>
        <sz val="9"/>
        <color rgb="FF000000"/>
        <rFont val="Arial"/>
        <charset val="134"/>
      </rPr>
      <t>”</t>
    </r>
    <r>
      <rPr>
        <sz val="9"/>
        <color rgb="FF000000"/>
        <rFont val="楷体"/>
        <charset val="134"/>
      </rPr>
      <t>，以助力企业（组织）高效成功实现数字化。</t>
    </r>
  </si>
  <si>
    <t>杭州鑫蜂维网络科技有限公司</t>
  </si>
  <si>
    <t>http://www.forwe.vip/</t>
  </si>
  <si>
    <t>至临资本</t>
  </si>
  <si>
    <r>
      <rPr>
        <sz val="9"/>
        <color rgb="FF000000"/>
        <rFont val="楷体"/>
        <charset val="134"/>
      </rPr>
      <t>浙江省杭州市余杭区高教路</t>
    </r>
    <r>
      <rPr>
        <sz val="9"/>
        <color rgb="FF000000"/>
        <rFont val="Arial"/>
        <charset val="134"/>
      </rPr>
      <t>959</t>
    </r>
    <r>
      <rPr>
        <sz val="9"/>
        <color rgb="FF000000"/>
        <rFont val="楷体"/>
        <charset val="134"/>
      </rPr>
      <t>号阿里钉钉园区</t>
    </r>
    <r>
      <rPr>
        <sz val="9"/>
        <color rgb="FF000000"/>
        <rFont val="Arial"/>
        <charset val="134"/>
      </rPr>
      <t>4</t>
    </r>
    <r>
      <rPr>
        <sz val="9"/>
        <color rgb="FF000000"/>
        <rFont val="楷体"/>
        <charset val="134"/>
      </rPr>
      <t>幢</t>
    </r>
  </si>
  <si>
    <t xml:space="preserve"> 0571-2812-1818</t>
  </si>
  <si>
    <t>liuchao@coboeo.com</t>
  </si>
  <si>
    <t>2014-07-17</t>
  </si>
  <si>
    <t>海尔智家</t>
  </si>
  <si>
    <t>海尔智家是为全球用户定制美好生活解决方案的智慧家庭生态品牌商，总部位于中国青岛。公司设计、制造及销售包括冰箱、洗衣机、空调、热水器、厨电及小家电等种类齐全的智慧家电，同时还专注于渠道综合服务业务。</t>
  </si>
  <si>
    <t>海尔智家股份有限公司</t>
  </si>
  <si>
    <t>https://www.haier.com/smarthome/</t>
  </si>
  <si>
    <t>1994-03</t>
  </si>
  <si>
    <r>
      <rPr>
        <sz val="9"/>
        <color rgb="FF000000"/>
        <rFont val="Arial"/>
        <charset val="134"/>
      </rPr>
      <t>32.15</t>
    </r>
    <r>
      <rPr>
        <sz val="9"/>
        <color rgb="FF000000"/>
        <rFont val="楷体"/>
        <charset val="134"/>
      </rPr>
      <t>亿人民币</t>
    </r>
  </si>
  <si>
    <r>
      <rPr>
        <sz val="9"/>
        <color rgb="FF000000"/>
        <rFont val="Arial"/>
        <charset val="134"/>
      </rPr>
      <t>36.84</t>
    </r>
    <r>
      <rPr>
        <sz val="9"/>
        <color rgb="FF000000"/>
        <rFont val="楷体"/>
        <charset val="134"/>
      </rPr>
      <t>亿</t>
    </r>
  </si>
  <si>
    <r>
      <rPr>
        <sz val="9"/>
        <color rgb="FF000000"/>
        <rFont val="Arial"/>
        <charset val="134"/>
      </rPr>
      <t>160.75</t>
    </r>
    <r>
      <rPr>
        <sz val="9"/>
        <color rgb="FF000000"/>
        <rFont val="楷体"/>
        <charset val="134"/>
      </rPr>
      <t>亿元</t>
    </r>
  </si>
  <si>
    <r>
      <rPr>
        <sz val="9"/>
        <color rgb="FF000000"/>
        <rFont val="楷体"/>
        <charset val="134"/>
      </rPr>
      <t>梁海山</t>
    </r>
    <r>
      <rPr>
        <sz val="9"/>
        <color rgb="FF000000"/>
        <rFont val="Arial"/>
        <charset val="134"/>
      </rPr>
      <t>:</t>
    </r>
    <r>
      <rPr>
        <sz val="9"/>
        <color rgb="FF000000"/>
        <rFont val="楷体"/>
        <charset val="134"/>
      </rPr>
      <t>董事长</t>
    </r>
  </si>
  <si>
    <t>青岛市崂山区海尔工业园内</t>
  </si>
  <si>
    <t xml:space="preserve"> 0532-5577-4068</t>
  </si>
  <si>
    <t>haierqyg@haier.com</t>
  </si>
  <si>
    <r>
      <rPr>
        <sz val="9"/>
        <color rgb="FF000000"/>
        <rFont val="Arial"/>
        <charset val="134"/>
      </rPr>
      <t>3.69</t>
    </r>
    <r>
      <rPr>
        <sz val="9"/>
        <color rgb="FF000000"/>
        <rFont val="楷体"/>
        <charset val="134"/>
      </rPr>
      <t>亿人民币</t>
    </r>
  </si>
  <si>
    <t>2022-08-02</t>
  </si>
  <si>
    <t>智己汽车</t>
  </si>
  <si>
    <r>
      <rPr>
        <sz val="9"/>
        <color rgb="FF000000"/>
        <rFont val="楷体"/>
        <charset val="134"/>
      </rPr>
      <t>智己汽车是由上汽集团、浦东新区、阿里巴巴集团三方联合打造的高端智能纯电汽车品牌。通过人工智能、大数据让用户成为汽车价值链的核心驱动，打破用户与企业的边界，从底层打通整车与驾乘体验高度相关的</t>
    </r>
    <r>
      <rPr>
        <sz val="9"/>
        <color rgb="FF000000"/>
        <rFont val="Arial"/>
        <charset val="134"/>
      </rPr>
      <t>ECU</t>
    </r>
    <r>
      <rPr>
        <sz val="9"/>
        <color rgb="FF000000"/>
        <rFont val="楷体"/>
        <charset val="134"/>
      </rPr>
      <t>控制器，将客户场景和汽车感知充分融合，鼓励用户进行高度自定义，实现汽车智能化宽度和深度的全新突破。</t>
    </r>
  </si>
  <si>
    <t>智己汽车科技有限公司</t>
  </si>
  <si>
    <t>https://www.immotors.com/website/l7_detail</t>
  </si>
  <si>
    <t>2020-11</t>
  </si>
  <si>
    <r>
      <rPr>
        <sz val="9"/>
        <color rgb="FF000000"/>
        <rFont val="楷体"/>
        <charset val="134"/>
      </rPr>
      <t>中信证券</t>
    </r>
    <r>
      <rPr>
        <sz val="9"/>
        <color rgb="FF000000"/>
        <rFont val="Arial"/>
        <charset val="134"/>
      </rPr>
      <t>,</t>
    </r>
    <r>
      <rPr>
        <sz val="9"/>
        <color rgb="FF000000"/>
        <rFont val="楷体"/>
        <charset val="134"/>
      </rPr>
      <t>尚颀资本</t>
    </r>
    <r>
      <rPr>
        <sz val="9"/>
        <color rgb="FF000000"/>
        <rFont val="Arial"/>
        <charset val="134"/>
      </rPr>
      <t>,</t>
    </r>
    <r>
      <rPr>
        <sz val="9"/>
        <color rgb="FF000000"/>
        <rFont val="楷体"/>
        <charset val="134"/>
      </rPr>
      <t>交银国际</t>
    </r>
    <r>
      <rPr>
        <sz val="9"/>
        <color rgb="FF000000"/>
        <rFont val="Arial"/>
        <charset val="134"/>
      </rPr>
      <t>,</t>
    </r>
    <r>
      <rPr>
        <sz val="9"/>
        <color rgb="FF000000"/>
        <rFont val="楷体"/>
        <charset val="134"/>
      </rPr>
      <t>工商银行</t>
    </r>
    <r>
      <rPr>
        <sz val="9"/>
        <color rgb="FF000000"/>
        <rFont val="Arial"/>
        <charset val="134"/>
      </rPr>
      <t>,</t>
    </r>
    <r>
      <rPr>
        <sz val="9"/>
        <color rgb="FF000000"/>
        <rFont val="楷体"/>
        <charset val="134"/>
      </rPr>
      <t>中国国新</t>
    </r>
    <r>
      <rPr>
        <sz val="9"/>
        <color rgb="FF000000"/>
        <rFont val="Arial"/>
        <charset val="134"/>
      </rPr>
      <t>,</t>
    </r>
    <r>
      <rPr>
        <sz val="9"/>
        <color rgb="FF000000"/>
        <rFont val="楷体"/>
        <charset val="134"/>
      </rPr>
      <t>上汽集团</t>
    </r>
    <r>
      <rPr>
        <sz val="9"/>
        <color rgb="FF000000"/>
        <rFont val="Arial"/>
        <charset val="134"/>
      </rPr>
      <t>,</t>
    </r>
    <r>
      <rPr>
        <sz val="9"/>
        <color rgb="FF000000"/>
        <rFont val="楷体"/>
        <charset val="134"/>
      </rPr>
      <t>国家绿色发展基金</t>
    </r>
    <r>
      <rPr>
        <sz val="9"/>
        <color rgb="FF000000"/>
        <rFont val="Arial"/>
        <charset val="134"/>
      </rPr>
      <t>,</t>
    </r>
    <r>
      <rPr>
        <sz val="9"/>
        <color rgb="FF000000"/>
        <rFont val="楷体"/>
        <charset val="134"/>
      </rPr>
      <t>上海至辰</t>
    </r>
  </si>
  <si>
    <r>
      <rPr>
        <sz val="9"/>
        <color rgb="FF000000"/>
        <rFont val="Arial"/>
        <charset val="134"/>
      </rPr>
      <t>300</t>
    </r>
    <r>
      <rPr>
        <sz val="9"/>
        <color rgb="FF000000"/>
        <rFont val="楷体"/>
        <charset val="134"/>
      </rPr>
      <t>亿元</t>
    </r>
  </si>
  <si>
    <t>张江高科技园区</t>
  </si>
  <si>
    <r>
      <t>100</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</si>
  <si>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张江集团</t>
    </r>
    <r>
      <rPr>
        <sz val="9"/>
        <color rgb="FF000000"/>
        <rFont val="Arial"/>
        <charset val="134"/>
      </rPr>
      <t>,</t>
    </r>
    <r>
      <rPr>
        <sz val="9"/>
        <color rgb="FF000000"/>
        <rFont val="楷体"/>
        <charset val="134"/>
      </rPr>
      <t>恒旭资本</t>
    </r>
  </si>
  <si>
    <t>及时格子</t>
  </si>
  <si>
    <r>
      <rPr>
        <sz val="9"/>
        <color rgb="FF000000"/>
        <rFont val="楷体"/>
        <charset val="134"/>
      </rPr>
      <t>及时格子</t>
    </r>
  </si>
  <si>
    <r>
      <rPr>
        <sz val="9"/>
        <color rgb="FF000000"/>
        <rFont val="楷体"/>
        <charset val="134"/>
      </rPr>
      <t>及时格子是一家酒店无人售货机服务商，专注于帮助酒店进行客房体验服务提升，以强大的</t>
    </r>
    <r>
      <rPr>
        <sz val="9"/>
        <color rgb="FF000000"/>
        <rFont val="Arial"/>
        <charset val="134"/>
      </rPr>
      <t>IoT</t>
    </r>
    <r>
      <rPr>
        <sz val="9"/>
        <color rgb="FF000000"/>
        <rFont val="楷体"/>
        <charset val="134"/>
      </rPr>
      <t>智能硬件设备、</t>
    </r>
    <r>
      <rPr>
        <sz val="9"/>
        <color rgb="FF000000"/>
        <rFont val="Arial"/>
        <charset val="134"/>
      </rPr>
      <t>AI</t>
    </r>
    <r>
      <rPr>
        <sz val="9"/>
        <color rgb="FF000000"/>
        <rFont val="楷体"/>
        <charset val="134"/>
      </rPr>
      <t>智能营销分析系统、商品供应链体系、仓储物流服务和利益捆绑的深度服务模式</t>
    </r>
    <r>
      <rPr>
        <sz val="9"/>
        <color rgb="FF000000"/>
        <rFont val="Arial"/>
        <charset val="134"/>
      </rPr>
      <t>,</t>
    </r>
    <r>
      <rPr>
        <sz val="9"/>
        <color rgb="FF000000"/>
        <rFont val="楷体"/>
        <charset val="134"/>
      </rPr>
      <t>实现酒店在零资金、零时间、零人员投入下，立刻提升客房服务，并有效增加客房收入。</t>
    </r>
  </si>
  <si>
    <t>安徽简衣网络科技有限公司</t>
  </si>
  <si>
    <r>
      <rPr>
        <sz val="9"/>
        <color rgb="FF000000"/>
        <rFont val="楷体"/>
        <charset val="134"/>
      </rPr>
      <t>百货零售</t>
    </r>
  </si>
  <si>
    <r>
      <rPr>
        <sz val="9"/>
        <color rgb="FF000000"/>
        <rFont val="楷体"/>
        <charset val="134"/>
      </rPr>
      <t>阿里巴巴</t>
    </r>
    <r>
      <rPr>
        <sz val="9"/>
        <color rgb="FF000000"/>
        <rFont val="Arial"/>
        <charset val="134"/>
      </rPr>
      <t>,</t>
    </r>
    <r>
      <rPr>
        <sz val="9"/>
        <color rgb="FF000000"/>
        <rFont val="楷体"/>
        <charset val="134"/>
      </rPr>
      <t>安徽中兆投资</t>
    </r>
  </si>
  <si>
    <r>
      <t>8800</t>
    </r>
    <r>
      <rPr>
        <sz val="9"/>
        <color rgb="FF000000"/>
        <rFont val="楷体"/>
        <charset val="134"/>
      </rPr>
      <t>万</t>
    </r>
  </si>
  <si>
    <r>
      <rPr>
        <sz val="9"/>
        <color rgb="FF000000"/>
        <rFont val="楷体"/>
        <charset val="134"/>
      </rPr>
      <t>安徽省合肥市瑶海区佳海工业城</t>
    </r>
    <r>
      <rPr>
        <sz val="9"/>
        <color rgb="FF000000"/>
        <rFont val="Arial"/>
        <charset val="134"/>
      </rPr>
      <t>C</t>
    </r>
    <r>
      <rPr>
        <sz val="9"/>
        <color rgb="FF000000"/>
        <rFont val="楷体"/>
        <charset val="134"/>
      </rPr>
      <t>区</t>
    </r>
    <r>
      <rPr>
        <sz val="9"/>
        <color rgb="FF000000"/>
        <rFont val="Arial"/>
        <charset val="134"/>
      </rPr>
      <t>77</t>
    </r>
    <r>
      <rPr>
        <sz val="9"/>
        <color rgb="FF000000"/>
        <rFont val="楷体"/>
        <charset val="134"/>
      </rPr>
      <t>栋</t>
    </r>
  </si>
  <si>
    <t>400-0989-860</t>
  </si>
  <si>
    <t>2377138185@qq.com</t>
  </si>
  <si>
    <r>
      <rPr>
        <sz val="9"/>
        <color rgb="FF000000"/>
        <rFont val="Arial"/>
        <charset val="134"/>
      </rPr>
      <t>6800</t>
    </r>
    <r>
      <rPr>
        <sz val="9"/>
        <color rgb="FF000000"/>
        <rFont val="楷体"/>
        <charset val="134"/>
      </rPr>
      <t>万人民币</t>
    </r>
  </si>
  <si>
    <t>黑标创投</t>
  </si>
  <si>
    <t>2018-01-10</t>
  </si>
  <si>
    <t>三禾服装</t>
  </si>
  <si>
    <t>上海三禾服装是一家服装智能管理输送系统方案制造商，专注于为服装企业提供智能吊挂、悬挂输送、平面输送、服装分拣、悬挂服装智能立体仓储等解决方案。主要产品包括服装手动输送线、电动输送线、智能管理悬挂输送系统、智能管理平面输送系统、悬挂服装智能分拣系统等。</t>
  </si>
  <si>
    <t>上海三禾服装物流设备制造有限公司</t>
  </si>
  <si>
    <r>
      <rPr>
        <sz val="9"/>
        <color rgb="FF000000"/>
        <rFont val="楷体"/>
        <charset val="134"/>
      </rPr>
      <t>上海市青浦区练塘镇朱枫公路</t>
    </r>
    <r>
      <rPr>
        <sz val="9"/>
        <color rgb="FF000000"/>
        <rFont val="Arial"/>
        <charset val="134"/>
      </rPr>
      <t>6189</t>
    </r>
    <r>
      <rPr>
        <sz val="9"/>
        <color rgb="FF000000"/>
        <rFont val="楷体"/>
        <charset val="134"/>
      </rPr>
      <t>弄</t>
    </r>
    <r>
      <rPr>
        <sz val="9"/>
        <color rgb="FF000000"/>
        <rFont val="Arial"/>
        <charset val="134"/>
      </rPr>
      <t>31</t>
    </r>
    <r>
      <rPr>
        <sz val="9"/>
        <color rgb="FF000000"/>
        <rFont val="楷体"/>
        <charset val="134"/>
      </rPr>
      <t>号</t>
    </r>
  </si>
  <si>
    <t>021-5982-0801</t>
  </si>
  <si>
    <t>2021-01-15</t>
  </si>
  <si>
    <t>盒小马</t>
  </si>
  <si>
    <t>盒小马是一家生鲜产品精品超市，专注于销售新鲜产品的规模食品零售业务，由阿里巴巴和大润发超市联合打造，而后被大润发收购了全部股权。</t>
  </si>
  <si>
    <t>上海盒小马网络科技有限公司</t>
  </si>
  <si>
    <r>
      <rPr>
        <sz val="9"/>
        <color rgb="FF000000"/>
        <rFont val="Arial"/>
        <charset val="134"/>
      </rPr>
      <t>2550</t>
    </r>
    <r>
      <rPr>
        <sz val="9"/>
        <color rgb="FF000000"/>
        <rFont val="楷体"/>
        <charset val="134"/>
      </rPr>
      <t>万人民币</t>
    </r>
  </si>
  <si>
    <r>
      <rPr>
        <sz val="9"/>
        <color rgb="FF000000"/>
        <rFont val="Arial"/>
        <charset val="134"/>
      </rPr>
      <t>5100</t>
    </r>
    <r>
      <rPr>
        <sz val="9"/>
        <color rgb="FF000000"/>
        <rFont val="楷体"/>
        <charset val="134"/>
      </rPr>
      <t>万</t>
    </r>
  </si>
  <si>
    <r>
      <rPr>
        <sz val="9"/>
        <color rgb="FF000000"/>
        <rFont val="Arial"/>
        <charset val="134"/>
      </rPr>
      <t>1.275</t>
    </r>
    <r>
      <rPr>
        <sz val="9"/>
        <color rgb="FF000000"/>
        <rFont val="楷体"/>
        <charset val="134"/>
      </rPr>
      <t>亿元</t>
    </r>
  </si>
  <si>
    <r>
      <rPr>
        <sz val="9"/>
        <color rgb="FF000000"/>
        <rFont val="楷体"/>
        <charset val="134"/>
      </rPr>
      <t>上海市徐汇区龙腾大道</t>
    </r>
    <r>
      <rPr>
        <sz val="9"/>
        <color rgb="FF000000"/>
        <rFont val="Arial"/>
        <charset val="134"/>
      </rPr>
      <t>2879</t>
    </r>
    <r>
      <rPr>
        <sz val="9"/>
        <color rgb="FF000000"/>
        <rFont val="楷体"/>
        <charset val="134"/>
      </rPr>
      <t>号</t>
    </r>
    <r>
      <rPr>
        <sz val="9"/>
        <color rgb="FF000000"/>
        <rFont val="Arial"/>
        <charset val="134"/>
      </rPr>
      <t>3</t>
    </r>
    <r>
      <rPr>
        <sz val="9"/>
        <color rgb="FF000000"/>
        <rFont val="楷体"/>
        <charset val="134"/>
      </rPr>
      <t>楼</t>
    </r>
    <r>
      <rPr>
        <sz val="9"/>
        <color rgb="FF000000"/>
        <rFont val="Arial"/>
        <charset val="134"/>
      </rPr>
      <t>3750</t>
    </r>
    <r>
      <rPr>
        <sz val="9"/>
        <color rgb="FF000000"/>
        <rFont val="楷体"/>
        <charset val="134"/>
      </rPr>
      <t>室</t>
    </r>
  </si>
  <si>
    <t>021-36695577</t>
  </si>
  <si>
    <t>tingting.shi@feiniu.com</t>
  </si>
  <si>
    <r>
      <rPr>
        <sz val="9"/>
        <color rgb="FF000000"/>
        <rFont val="楷体"/>
        <charset val="134"/>
      </rPr>
      <t>阿里巴巴</t>
    </r>
    <r>
      <rPr>
        <sz val="9"/>
        <color rgb="FF000000"/>
        <rFont val="Arial"/>
        <charset val="134"/>
      </rPr>
      <t>,</t>
    </r>
    <r>
      <rPr>
        <sz val="9"/>
        <color rgb="FF000000"/>
        <rFont val="楷体"/>
        <charset val="134"/>
      </rPr>
      <t>高鑫零售</t>
    </r>
  </si>
  <si>
    <t>2022-03-14</t>
  </si>
  <si>
    <t>喜屏传媒</t>
  </si>
  <si>
    <r>
      <rPr>
        <sz val="9"/>
        <color rgb="FF000000"/>
        <rFont val="楷体"/>
        <charset val="134"/>
      </rPr>
      <t>喜屏传媒</t>
    </r>
  </si>
  <si>
    <r>
      <rPr>
        <sz val="9"/>
        <color rgb="FF000000"/>
        <rFont val="楷体"/>
        <charset val="134"/>
      </rPr>
      <t>是一家社区电梯广告服务商，通过自主研发的硬件设备以及线上广告投放平台，实现线下广告电商化、标准化、智能化投放，专注电梯广告，独特的服务型媒体模式，赋能物业，多方受益。</t>
    </r>
  </si>
  <si>
    <t>深圳喜屏文化传媒有限公司</t>
  </si>
  <si>
    <t>http://xiping.bianyichuanmei.com</t>
  </si>
  <si>
    <t>2019-09</t>
  </si>
  <si>
    <r>
      <rPr>
        <sz val="9"/>
        <color rgb="FF000000"/>
        <rFont val="楷体"/>
        <charset val="134"/>
      </rPr>
      <t>广告营销</t>
    </r>
  </si>
  <si>
    <r>
      <rPr>
        <sz val="9"/>
        <color rgb="FF000000"/>
        <rFont val="楷体"/>
        <charset val="134"/>
      </rPr>
      <t>传统广告</t>
    </r>
  </si>
  <si>
    <r>
      <rPr>
        <sz val="9"/>
        <color rgb="FF000000"/>
        <rFont val="楷体"/>
        <charset val="134"/>
      </rPr>
      <t>青松基金</t>
    </r>
    <r>
      <rPr>
        <sz val="9"/>
        <color rgb="FF000000"/>
        <rFont val="Arial"/>
        <charset val="134"/>
      </rPr>
      <t>,</t>
    </r>
    <r>
      <rPr>
        <sz val="9"/>
        <color rgb="FF000000"/>
        <rFont val="楷体"/>
        <charset val="134"/>
      </rPr>
      <t>阿里巴巴</t>
    </r>
  </si>
  <si>
    <r>
      <t>2.15</t>
    </r>
    <r>
      <rPr>
        <sz val="9"/>
        <color rgb="FF000000"/>
        <rFont val="楷体"/>
        <charset val="134"/>
      </rPr>
      <t>亿</t>
    </r>
  </si>
  <si>
    <r>
      <rPr>
        <sz val="9"/>
        <color rgb="FF000000"/>
        <rFont val="楷体"/>
        <charset val="134"/>
      </rPr>
      <t>姜东伟</t>
    </r>
    <r>
      <rPr>
        <sz val="9"/>
        <color rgb="FF000000"/>
        <rFont val="Arial"/>
        <charset val="134"/>
      </rPr>
      <t>:</t>
    </r>
    <r>
      <rPr>
        <sz val="9"/>
        <color rgb="FF000000"/>
        <rFont val="楷体"/>
        <charset val="134"/>
      </rPr>
      <t>创始人</t>
    </r>
  </si>
  <si>
    <r>
      <rPr>
        <sz val="9"/>
        <color rgb="FF000000"/>
        <rFont val="楷体"/>
        <charset val="134"/>
      </rPr>
      <t>北京市朝阳区阜通东大街</t>
    </r>
    <r>
      <rPr>
        <sz val="9"/>
        <color rgb="FF000000"/>
        <rFont val="Arial"/>
        <charset val="134"/>
      </rPr>
      <t>1</t>
    </r>
    <r>
      <rPr>
        <sz val="9"/>
        <color rgb="FF000000"/>
        <rFont val="楷体"/>
        <charset val="134"/>
      </rPr>
      <t>号院</t>
    </r>
    <r>
      <rPr>
        <sz val="9"/>
        <color rgb="FF000000"/>
        <rFont val="Arial"/>
        <charset val="134"/>
      </rPr>
      <t>6</t>
    </r>
    <r>
      <rPr>
        <sz val="9"/>
        <color rgb="FF000000"/>
        <rFont val="楷体"/>
        <charset val="134"/>
      </rPr>
      <t>号楼</t>
    </r>
    <r>
      <rPr>
        <sz val="9"/>
        <color rgb="FF000000"/>
        <rFont val="Arial"/>
        <charset val="134"/>
      </rPr>
      <t>7</t>
    </r>
    <r>
      <rPr>
        <sz val="9"/>
        <color rgb="FF000000"/>
        <rFont val="楷体"/>
        <charset val="134"/>
      </rPr>
      <t>层</t>
    </r>
    <r>
      <rPr>
        <sz val="9"/>
        <color rgb="FF000000"/>
        <rFont val="Arial"/>
        <charset val="134"/>
      </rPr>
      <t>3</t>
    </r>
    <r>
      <rPr>
        <sz val="9"/>
        <color rgb="FF000000"/>
        <rFont val="楷体"/>
        <charset val="134"/>
      </rPr>
      <t>单元</t>
    </r>
    <r>
      <rPr>
        <sz val="9"/>
        <color rgb="FF000000"/>
        <rFont val="Arial"/>
        <charset val="134"/>
      </rPr>
      <t>230810</t>
    </r>
  </si>
  <si>
    <t>137-1815-5350</t>
  </si>
  <si>
    <t>jiangdongwei@bianyichuanmei.com</t>
  </si>
  <si>
    <t>青松基金</t>
  </si>
  <si>
    <r>
      <rPr>
        <sz val="9"/>
        <color rgb="FF000000"/>
        <rFont val="楷体"/>
        <charset val="134"/>
      </rPr>
      <t>嘉实投资</t>
    </r>
    <r>
      <rPr>
        <sz val="9"/>
        <color rgb="FF000000"/>
        <rFont val="Arial"/>
        <charset val="134"/>
      </rPr>
      <t>-</t>
    </r>
    <r>
      <rPr>
        <sz val="9"/>
        <color rgb="FF000000"/>
        <rFont val="楷体"/>
        <charset val="134"/>
      </rPr>
      <t>嘉实基金</t>
    </r>
  </si>
  <si>
    <r>
      <rPr>
        <sz val="9"/>
        <color rgb="FF000000"/>
        <rFont val="楷体"/>
        <charset val="134"/>
      </rPr>
      <t>德同资本</t>
    </r>
    <r>
      <rPr>
        <sz val="9"/>
        <color rgb="FF000000"/>
        <rFont val="Arial"/>
        <charset val="134"/>
      </rPr>
      <t>,</t>
    </r>
    <r>
      <rPr>
        <sz val="9"/>
        <color rgb="FF000000"/>
        <rFont val="楷体"/>
        <charset val="134"/>
      </rPr>
      <t>广州日报集团</t>
    </r>
    <r>
      <rPr>
        <sz val="9"/>
        <color rgb="FF000000"/>
        <rFont val="Arial"/>
        <charset val="134"/>
      </rPr>
      <t>,</t>
    </r>
    <r>
      <rPr>
        <sz val="9"/>
        <color rgb="FF000000"/>
        <rFont val="楷体"/>
        <charset val="134"/>
      </rPr>
      <t>真成投资</t>
    </r>
  </si>
  <si>
    <r>
      <rPr>
        <sz val="9"/>
        <color rgb="FF000000"/>
        <rFont val="楷体"/>
        <charset val="134"/>
      </rPr>
      <t>德同资本</t>
    </r>
    <r>
      <rPr>
        <sz val="9"/>
        <color rgb="FF000000"/>
        <rFont val="Arial"/>
        <charset val="134"/>
      </rPr>
      <t>,</t>
    </r>
    <r>
      <rPr>
        <sz val="9"/>
        <color rgb="FF000000"/>
        <rFont val="楷体"/>
        <charset val="134"/>
      </rPr>
      <t>真成投资</t>
    </r>
  </si>
  <si>
    <t>视杏科技</t>
  </si>
  <si>
    <r>
      <rPr>
        <sz val="9"/>
        <color rgb="FF000000"/>
        <rFont val="楷体"/>
        <charset val="134"/>
      </rPr>
      <t>视杏科技</t>
    </r>
  </si>
  <si>
    <r>
      <rPr>
        <sz val="9"/>
        <color rgb="FF000000"/>
        <rFont val="楷体"/>
        <charset val="134"/>
      </rPr>
      <t>视杏科技是一家移动端</t>
    </r>
    <r>
      <rPr>
        <sz val="9"/>
        <color rgb="FF000000"/>
        <rFont val="Arial"/>
        <charset val="134"/>
      </rPr>
      <t>AR</t>
    </r>
    <r>
      <rPr>
        <sz val="9"/>
        <color rgb="FF000000"/>
        <rFont val="楷体"/>
        <charset val="134"/>
      </rPr>
      <t>技术研发商，致力于移动端</t>
    </r>
    <r>
      <rPr>
        <sz val="9"/>
        <color rgb="FF000000"/>
        <rFont val="Arial"/>
        <charset val="134"/>
      </rPr>
      <t>AR</t>
    </r>
    <r>
      <rPr>
        <sz val="9"/>
        <color rgb="FF000000"/>
        <rFont val="楷体"/>
        <charset val="134"/>
      </rPr>
      <t>视频制作和</t>
    </r>
    <r>
      <rPr>
        <sz val="9"/>
        <color rgb="FF000000"/>
        <rFont val="Arial"/>
        <charset val="134"/>
      </rPr>
      <t>AR</t>
    </r>
    <r>
      <rPr>
        <sz val="9"/>
        <color rgb="FF000000"/>
        <rFont val="楷体"/>
        <charset val="134"/>
      </rPr>
      <t>视频社区分享。提供用于移动视频处理的相关</t>
    </r>
    <r>
      <rPr>
        <sz val="9"/>
        <color rgb="FF000000"/>
        <rFont val="Arial"/>
        <charset val="134"/>
      </rPr>
      <t>SDK</t>
    </r>
    <r>
      <rPr>
        <sz val="9"/>
        <color rgb="FF000000"/>
        <rFont val="楷体"/>
        <charset val="134"/>
      </rPr>
      <t>产品、移动</t>
    </r>
    <r>
      <rPr>
        <sz val="9"/>
        <color rgb="FF000000"/>
        <rFont val="Arial"/>
        <charset val="134"/>
      </rPr>
      <t>AR</t>
    </r>
    <r>
      <rPr>
        <sz val="9"/>
        <color rgb="FF000000"/>
        <rFont val="楷体"/>
        <charset val="134"/>
      </rPr>
      <t>交互绘图引擎和用于影视后期视觉特效处理的技术框架。</t>
    </r>
  </si>
  <si>
    <t>杭州视杏科技有限公司</t>
  </si>
  <si>
    <r>
      <t>10000</t>
    </r>
    <r>
      <rPr>
        <sz val="9"/>
        <color rgb="FF000000"/>
        <rFont val="楷体"/>
        <charset val="134"/>
      </rPr>
      <t>万元</t>
    </r>
  </si>
  <si>
    <r>
      <rPr>
        <sz val="9"/>
        <color rgb="FF000000"/>
        <rFont val="楷体"/>
        <charset val="134"/>
      </rPr>
      <t>杭州市江干区九环路</t>
    </r>
    <r>
      <rPr>
        <sz val="9"/>
        <color rgb="FF000000"/>
        <rFont val="Arial"/>
        <charset val="134"/>
      </rPr>
      <t>9</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A233</t>
    </r>
    <r>
      <rPr>
        <sz val="9"/>
        <color rgb="FF000000"/>
        <rFont val="楷体"/>
        <charset val="134"/>
      </rPr>
      <t>室</t>
    </r>
  </si>
  <si>
    <t>189-5717-5111</t>
  </si>
  <si>
    <t>18957175111@163.com</t>
  </si>
  <si>
    <t>2023-07-18</t>
  </si>
  <si>
    <t>恒宇医疗</t>
  </si>
  <si>
    <r>
      <rPr>
        <sz val="9"/>
        <color rgb="FF000000"/>
        <rFont val="楷体"/>
        <charset val="134"/>
      </rPr>
      <t>恒宇医疗是一家专注于</t>
    </r>
    <r>
      <rPr>
        <sz val="9"/>
        <color rgb="FF000000"/>
        <rFont val="Arial"/>
        <charset val="134"/>
      </rPr>
      <t>OCT</t>
    </r>
    <r>
      <rPr>
        <sz val="9"/>
        <color rgb="FF000000"/>
        <rFont val="楷体"/>
        <charset val="134"/>
      </rPr>
      <t>影像设备技术研发、生产和销售的医疗器械高新技术企业，公司拥有完整的研发、生产、营销和服务网络体系，为医疗单位提供具有自主知识产权和核心制造工艺的心血管</t>
    </r>
    <r>
      <rPr>
        <sz val="9"/>
        <color rgb="FF000000"/>
        <rFont val="Arial"/>
        <charset val="134"/>
      </rPr>
      <t>OCT</t>
    </r>
    <r>
      <rPr>
        <sz val="9"/>
        <color rgb="FF000000"/>
        <rFont val="楷体"/>
        <charset val="134"/>
      </rPr>
      <t>影像系统以及</t>
    </r>
    <r>
      <rPr>
        <sz val="9"/>
        <color rgb="FF000000"/>
        <rFont val="Arial"/>
        <charset val="134"/>
      </rPr>
      <t>OCT</t>
    </r>
    <r>
      <rPr>
        <sz val="9"/>
        <color rgb="FF000000"/>
        <rFont val="楷体"/>
        <charset val="134"/>
      </rPr>
      <t>微血管造影等国内外行业领先产品。</t>
    </r>
  </si>
  <si>
    <t>天津恒宇医疗科技有限公司</t>
  </si>
  <si>
    <t>http://www.horimedcare.com/</t>
  </si>
  <si>
    <t>金汇通基金</t>
  </si>
  <si>
    <r>
      <rPr>
        <sz val="9"/>
        <color rgb="FF000000"/>
        <rFont val="Arial"/>
        <charset val="134"/>
      </rPr>
      <t>2.5</t>
    </r>
    <r>
      <rPr>
        <sz val="9"/>
        <color rgb="FF000000"/>
        <rFont val="楷体"/>
        <charset val="134"/>
      </rPr>
      <t>亿</t>
    </r>
  </si>
  <si>
    <r>
      <rPr>
        <sz val="9"/>
        <color rgb="FF000000"/>
        <rFont val="楷体"/>
        <charset val="134"/>
      </rPr>
      <t>天津自贸试验区</t>
    </r>
    <r>
      <rPr>
        <sz val="9"/>
        <color rgb="FF000000"/>
        <rFont val="Arial"/>
        <charset val="134"/>
      </rPr>
      <t>(</t>
    </r>
    <r>
      <rPr>
        <sz val="9"/>
        <color rgb="FF000000"/>
        <rFont val="楷体"/>
        <charset val="134"/>
      </rPr>
      <t>空港经济区</t>
    </r>
    <r>
      <rPr>
        <sz val="9"/>
        <color rgb="FF000000"/>
        <rFont val="Arial"/>
        <charset val="134"/>
      </rPr>
      <t>)</t>
    </r>
    <r>
      <rPr>
        <sz val="9"/>
        <color rgb="FF000000"/>
        <rFont val="楷体"/>
        <charset val="134"/>
      </rPr>
      <t>西八道</t>
    </r>
    <r>
      <rPr>
        <sz val="9"/>
        <color rgb="FF000000"/>
        <rFont val="Arial"/>
        <charset val="134"/>
      </rPr>
      <t>9</t>
    </r>
    <r>
      <rPr>
        <sz val="9"/>
        <color rgb="FF000000"/>
        <rFont val="楷体"/>
        <charset val="134"/>
      </rPr>
      <t>号厂房</t>
    </r>
    <r>
      <rPr>
        <sz val="9"/>
        <color rgb="FF000000"/>
        <rFont val="Arial"/>
        <charset val="134"/>
      </rPr>
      <t>1</t>
    </r>
    <r>
      <rPr>
        <sz val="9"/>
        <color rgb="FF000000"/>
        <rFont val="楷体"/>
        <charset val="134"/>
      </rPr>
      <t>三层东区</t>
    </r>
  </si>
  <si>
    <t>022-8481-9807</t>
  </si>
  <si>
    <t>liuzhiyong@horimedcare.com</t>
  </si>
  <si>
    <r>
      <rPr>
        <sz val="9"/>
        <color rgb="FF000000"/>
        <rFont val="楷体"/>
        <charset val="134"/>
      </rPr>
      <t>阿里巴巴</t>
    </r>
    <r>
      <rPr>
        <sz val="9"/>
        <color rgb="FF000000"/>
        <rFont val="Arial"/>
        <charset val="134"/>
      </rPr>
      <t>,</t>
    </r>
    <r>
      <rPr>
        <sz val="9"/>
        <color rgb="FF000000"/>
        <rFont val="楷体"/>
        <charset val="134"/>
      </rPr>
      <t>华泰紫金</t>
    </r>
    <r>
      <rPr>
        <sz val="9"/>
        <color rgb="FF000000"/>
        <rFont val="Arial"/>
        <charset val="134"/>
      </rPr>
      <t>,</t>
    </r>
    <r>
      <rPr>
        <sz val="9"/>
        <color rgb="FF000000"/>
        <rFont val="楷体"/>
        <charset val="134"/>
      </rPr>
      <t>天士力创投</t>
    </r>
  </si>
  <si>
    <t>光大控股</t>
  </si>
  <si>
    <t>证鸿基金</t>
  </si>
  <si>
    <t>2023-06-12</t>
  </si>
  <si>
    <t>JBD显耀显示</t>
  </si>
  <si>
    <r>
      <t>JBD</t>
    </r>
    <r>
      <rPr>
        <sz val="9"/>
        <color rgb="FF000000"/>
        <rFont val="楷体"/>
        <charset val="134"/>
      </rPr>
      <t>显耀显示</t>
    </r>
  </si>
  <si>
    <r>
      <t>JBD</t>
    </r>
    <r>
      <rPr>
        <sz val="9"/>
        <color rgb="FF000000"/>
        <rFont val="楷体"/>
        <charset val="134"/>
      </rPr>
      <t>显耀显示是一家</t>
    </r>
    <r>
      <rPr>
        <sz val="9"/>
        <color rgb="FF000000"/>
        <rFont val="Arial"/>
        <charset val="134"/>
      </rPr>
      <t>LED</t>
    </r>
    <r>
      <rPr>
        <sz val="9"/>
        <color rgb="FF000000"/>
        <rFont val="楷体"/>
        <charset val="134"/>
      </rPr>
      <t>微显示芯片研发商，致力于</t>
    </r>
    <r>
      <rPr>
        <sz val="9"/>
        <color rgb="FF000000"/>
        <rFont val="Arial"/>
        <charset val="134"/>
      </rPr>
      <t>micro LED</t>
    </r>
    <r>
      <rPr>
        <sz val="9"/>
        <color rgb="FF000000"/>
        <rFont val="楷体"/>
        <charset val="134"/>
      </rPr>
      <t>微显示芯片的研发及生产，产品具有高光效、高亮度、高帧频、高可靠性、低成本、尺寸小等各方面优势，是下一代信息显示产品的不可或缺的核心部件，在蓬勃兴起的</t>
    </r>
    <r>
      <rPr>
        <sz val="9"/>
        <color rgb="FF000000"/>
        <rFont val="Arial"/>
        <charset val="134"/>
      </rPr>
      <t>AR/VR</t>
    </r>
    <r>
      <rPr>
        <sz val="9"/>
        <color rgb="FF000000"/>
        <rFont val="楷体"/>
        <charset val="134"/>
      </rPr>
      <t>近眼投影及传统的家庭投影、办公室投影、商业投影、便携式投影等应用方面具有广泛的市场前景。</t>
    </r>
  </si>
  <si>
    <t>上海显耀显示科技有限公司</t>
  </si>
  <si>
    <t>http://www.jb-display.com.cn/</t>
  </si>
  <si>
    <r>
      <rPr>
        <sz val="9"/>
        <color rgb="FF000000"/>
        <rFont val="楷体"/>
        <charset val="134"/>
      </rPr>
      <t>上海</t>
    </r>
    <r>
      <rPr>
        <sz val="9"/>
        <color rgb="FF000000"/>
        <rFont val="Arial"/>
        <charset val="134"/>
      </rPr>
      <t>-</t>
    </r>
    <r>
      <rPr>
        <sz val="9"/>
        <color rgb="FF000000"/>
        <rFont val="楷体"/>
        <charset val="134"/>
      </rPr>
      <t>奉贤区</t>
    </r>
  </si>
  <si>
    <r>
      <rPr>
        <sz val="9"/>
        <color rgb="FF000000"/>
        <rFont val="楷体"/>
        <charset val="134"/>
      </rPr>
      <t>阿里巴巴</t>
    </r>
    <r>
      <rPr>
        <sz val="9"/>
        <color rgb="FF000000"/>
        <rFont val="Arial"/>
        <charset val="134"/>
      </rPr>
      <t>,</t>
    </r>
    <r>
      <rPr>
        <sz val="9"/>
        <color rgb="FF000000"/>
        <rFont val="楷体"/>
        <charset val="134"/>
      </rPr>
      <t>吉利控股</t>
    </r>
    <r>
      <rPr>
        <sz val="9"/>
        <color rgb="FF000000"/>
        <rFont val="Arial"/>
        <charset val="134"/>
      </rPr>
      <t>,</t>
    </r>
    <r>
      <rPr>
        <sz val="9"/>
        <color rgb="FF000000"/>
        <rFont val="楷体"/>
        <charset val="134"/>
      </rPr>
      <t>星源资本</t>
    </r>
  </si>
  <si>
    <r>
      <t>13.2</t>
    </r>
    <r>
      <rPr>
        <sz val="9"/>
        <color rgb="FF000000"/>
        <rFont val="楷体"/>
        <charset val="134"/>
      </rPr>
      <t>亿</t>
    </r>
  </si>
  <si>
    <r>
      <rPr>
        <sz val="9"/>
        <color rgb="FF000000"/>
        <rFont val="楷体"/>
        <charset val="134"/>
      </rPr>
      <t>上海市奉贤区金海公路</t>
    </r>
    <r>
      <rPr>
        <sz val="9"/>
        <color rgb="FF000000"/>
        <rFont val="Arial"/>
        <charset val="134"/>
      </rPr>
      <t>6055</t>
    </r>
    <r>
      <rPr>
        <sz val="9"/>
        <color rgb="FF000000"/>
        <rFont val="楷体"/>
        <charset val="134"/>
      </rPr>
      <t>号</t>
    </r>
    <r>
      <rPr>
        <sz val="9"/>
        <color rgb="FF000000"/>
        <rFont val="Arial"/>
        <charset val="134"/>
      </rPr>
      <t>11</t>
    </r>
    <r>
      <rPr>
        <sz val="9"/>
        <color rgb="FF000000"/>
        <rFont val="楷体"/>
        <charset val="134"/>
      </rPr>
      <t>幢</t>
    </r>
    <r>
      <rPr>
        <sz val="9"/>
        <color rgb="FF000000"/>
        <rFont val="Arial"/>
        <charset val="134"/>
      </rPr>
      <t>2299</t>
    </r>
    <r>
      <rPr>
        <sz val="9"/>
        <color rgb="FF000000"/>
        <rFont val="楷体"/>
        <charset val="134"/>
      </rPr>
      <t>室</t>
    </r>
  </si>
  <si>
    <t>021-6035-2087</t>
  </si>
  <si>
    <t>xiying_feng@jb-display.com</t>
  </si>
  <si>
    <r>
      <rPr>
        <sz val="9"/>
        <color rgb="FF000000"/>
        <rFont val="楷体"/>
        <charset val="134"/>
      </rPr>
      <t>上海科创投集团</t>
    </r>
    <r>
      <rPr>
        <sz val="9"/>
        <color rgb="FF000000"/>
        <rFont val="Arial"/>
        <charset val="134"/>
      </rPr>
      <t>(</t>
    </r>
    <r>
      <rPr>
        <sz val="9"/>
        <color rgb="FF000000"/>
        <rFont val="楷体"/>
        <charset val="134"/>
      </rPr>
      <t>上海科创</t>
    </r>
    <r>
      <rPr>
        <sz val="9"/>
        <color rgb="FF000000"/>
        <rFont val="Arial"/>
        <charset val="134"/>
      </rPr>
      <t>),</t>
    </r>
    <r>
      <rPr>
        <sz val="9"/>
        <color rgb="FF000000"/>
        <rFont val="楷体"/>
        <charset val="134"/>
      </rPr>
      <t>广发乾和</t>
    </r>
    <r>
      <rPr>
        <sz val="9"/>
        <color rgb="FF000000"/>
        <rFont val="Arial"/>
        <charset val="134"/>
      </rPr>
      <t>,</t>
    </r>
    <r>
      <rPr>
        <sz val="9"/>
        <color rgb="FF000000"/>
        <rFont val="楷体"/>
        <charset val="134"/>
      </rPr>
      <t>比亚迪</t>
    </r>
    <r>
      <rPr>
        <sz val="9"/>
        <color rgb="FF000000"/>
        <rFont val="Arial"/>
        <charset val="134"/>
      </rPr>
      <t>,</t>
    </r>
    <r>
      <rPr>
        <sz val="9"/>
        <color rgb="FF000000"/>
        <rFont val="楷体"/>
        <charset val="134"/>
      </rPr>
      <t>派诺资本</t>
    </r>
  </si>
  <si>
    <r>
      <rPr>
        <sz val="9"/>
        <color rgb="FF000000"/>
        <rFont val="楷体"/>
        <charset val="134"/>
      </rPr>
      <t>光速光合</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凯风创投</t>
    </r>
    <r>
      <rPr>
        <sz val="9"/>
        <color rgb="FF000000"/>
        <rFont val="Arial"/>
        <charset val="134"/>
      </rPr>
      <t>,</t>
    </r>
    <r>
      <rPr>
        <sz val="9"/>
        <color rgb="FF000000"/>
        <rFont val="楷体"/>
        <charset val="134"/>
      </rPr>
      <t>派诺资本</t>
    </r>
  </si>
  <si>
    <r>
      <rPr>
        <sz val="9"/>
        <color rgb="FF000000"/>
        <rFont val="Arial"/>
        <charset val="134"/>
      </rPr>
      <t>Samsung Ventures</t>
    </r>
    <r>
      <rPr>
        <sz val="9"/>
        <color rgb="FF000000"/>
        <rFont val="楷体"/>
        <charset val="134"/>
      </rPr>
      <t>三星</t>
    </r>
    <r>
      <rPr>
        <sz val="9"/>
        <color rgb="FF000000"/>
        <rFont val="Arial"/>
        <charset val="134"/>
      </rPr>
      <t>,</t>
    </r>
    <r>
      <rPr>
        <sz val="9"/>
        <color rgb="FF000000"/>
        <rFont val="楷体"/>
        <charset val="134"/>
      </rPr>
      <t>凯风创投</t>
    </r>
    <r>
      <rPr>
        <sz val="9"/>
        <color rgb="FF000000"/>
        <rFont val="Arial"/>
        <charset val="134"/>
      </rPr>
      <t>,</t>
    </r>
    <r>
      <rPr>
        <sz val="9"/>
        <color rgb="FF000000"/>
        <rFont val="楷体"/>
        <charset val="134"/>
      </rPr>
      <t>创谷投资</t>
    </r>
    <r>
      <rPr>
        <sz val="9"/>
        <color rgb="FF000000"/>
        <rFont val="Arial"/>
        <charset val="134"/>
      </rPr>
      <t>,</t>
    </r>
    <r>
      <rPr>
        <sz val="9"/>
        <color rgb="FF000000"/>
        <rFont val="楷体"/>
        <charset val="134"/>
      </rPr>
      <t>青鸟环宇</t>
    </r>
    <r>
      <rPr>
        <sz val="9"/>
        <color rgb="FF000000"/>
        <rFont val="Arial"/>
        <charset val="134"/>
      </rPr>
      <t>,</t>
    </r>
    <r>
      <rPr>
        <sz val="9"/>
        <color rgb="FF000000"/>
        <rFont val="楷体"/>
        <charset val="134"/>
      </rPr>
      <t>派诺资本</t>
    </r>
  </si>
  <si>
    <r>
      <rPr>
        <sz val="9"/>
        <color rgb="FF000000"/>
        <rFont val="楷体"/>
        <charset val="134"/>
      </rPr>
      <t>凯风创投</t>
    </r>
    <r>
      <rPr>
        <sz val="9"/>
        <color rgb="FF000000"/>
        <rFont val="Arial"/>
        <charset val="134"/>
      </rPr>
      <t>,</t>
    </r>
    <r>
      <rPr>
        <sz val="9"/>
        <color rgb="FF000000"/>
        <rFont val="楷体"/>
        <charset val="134"/>
      </rPr>
      <t>北大青鸟环宇</t>
    </r>
  </si>
  <si>
    <t>2021-03-08</t>
  </si>
  <si>
    <t>HungryNaki</t>
  </si>
  <si>
    <r>
      <rPr>
        <sz val="9"/>
        <color rgb="FF000000"/>
        <rFont val="Arial"/>
        <charset val="134"/>
      </rPr>
      <t>HungryNaki</t>
    </r>
    <r>
      <rPr>
        <sz val="9"/>
        <color rgb="FF000000"/>
        <rFont val="楷体"/>
        <charset val="134"/>
      </rPr>
      <t>是一个孟加拉国外卖服务平台，通过该平台人们可以按需即时订餐送餐，也可以提前订餐。</t>
    </r>
  </si>
  <si>
    <t>https://www.hungrynaki.com/</t>
  </si>
  <si>
    <r>
      <rPr>
        <sz val="9"/>
        <color rgb="FF000000"/>
        <rFont val="楷体"/>
        <charset val="134"/>
      </rPr>
      <t>亚洲</t>
    </r>
    <r>
      <rPr>
        <sz val="9"/>
        <color rgb="FF000000"/>
        <rFont val="Arial"/>
        <charset val="134"/>
      </rPr>
      <t>-</t>
    </r>
    <r>
      <rPr>
        <sz val="9"/>
        <color rgb="FF000000"/>
        <rFont val="楷体"/>
        <charset val="134"/>
      </rPr>
      <t>其他</t>
    </r>
  </si>
  <si>
    <t>Ahmad AD:CEO, Co-Founder,Ibrahim bin Mohiuddin:Deputy CEO &amp; Co Founder,Tausif Ahmad:COO, Co-Founder</t>
  </si>
  <si>
    <t>2021-12-14</t>
  </si>
  <si>
    <t>顺丰同城</t>
  </si>
  <si>
    <r>
      <rPr>
        <sz val="9"/>
        <color rgb="FF000000"/>
        <rFont val="楷体"/>
        <charset val="134"/>
      </rPr>
      <t>顺丰同城是一家第三方直营即时物流服务商，顺丰同城围绕</t>
    </r>
    <r>
      <rPr>
        <sz val="9"/>
        <color rgb="FF000000"/>
        <rFont val="Arial"/>
        <charset val="134"/>
      </rPr>
      <t>“</t>
    </r>
    <r>
      <rPr>
        <sz val="9"/>
        <color rgb="FF000000"/>
        <rFont val="楷体"/>
        <charset val="134"/>
      </rPr>
      <t>优质、高效、全场景</t>
    </r>
    <r>
      <rPr>
        <sz val="9"/>
        <color rgb="FF000000"/>
        <rFont val="Arial"/>
        <charset val="134"/>
      </rPr>
      <t>”</t>
    </r>
    <r>
      <rPr>
        <sz val="9"/>
        <color rgb="FF000000"/>
        <rFont val="楷体"/>
        <charset val="134"/>
      </rPr>
      <t>的价值主张，依托顺丰控股生态系统，打造成为中国具高品质和高效率的独立第三方即时配送服务平台，为全行业、全品类企业提供优质的同城即时物流服务；同时，通过新零售店配、</t>
    </r>
    <r>
      <rPr>
        <sz val="9"/>
        <color rgb="FF000000"/>
        <rFont val="Arial"/>
        <charset val="134"/>
      </rPr>
      <t>SAAS</t>
    </r>
    <r>
      <rPr>
        <sz val="9"/>
        <color rgb="FF000000"/>
        <rFont val="楷体"/>
        <charset val="134"/>
      </rPr>
      <t>等技术投入，对客户进行新零售赋能，促进新零售行业的加速发展。</t>
    </r>
  </si>
  <si>
    <t>杭州顺丰同城实业股份有限公司</t>
  </si>
  <si>
    <t>https://www.sf-cityrush.com/</t>
  </si>
  <si>
    <t>2019-06</t>
  </si>
  <si>
    <r>
      <rPr>
        <sz val="9"/>
        <color rgb="FF000000"/>
        <rFont val="Arial"/>
        <charset val="134"/>
      </rPr>
      <t>20.31</t>
    </r>
    <r>
      <rPr>
        <sz val="9"/>
        <color rgb="FF000000"/>
        <rFont val="楷体"/>
        <charset val="134"/>
      </rPr>
      <t>亿港元</t>
    </r>
  </si>
  <si>
    <r>
      <rPr>
        <sz val="9"/>
        <color rgb="FF000000"/>
        <rFont val="Arial"/>
        <charset val="134"/>
      </rPr>
      <t>32.41</t>
    </r>
    <r>
      <rPr>
        <sz val="9"/>
        <color rgb="FF000000"/>
        <rFont val="楷体"/>
        <charset val="134"/>
      </rPr>
      <t>亿</t>
    </r>
  </si>
  <si>
    <r>
      <rPr>
        <sz val="9"/>
        <color rgb="FF000000"/>
        <rFont val="Arial"/>
        <charset val="134"/>
      </rPr>
      <t>112</t>
    </r>
    <r>
      <rPr>
        <sz val="9"/>
        <color rgb="FF000000"/>
        <rFont val="楷体"/>
        <charset val="134"/>
      </rPr>
      <t>亿元</t>
    </r>
  </si>
  <si>
    <r>
      <rPr>
        <sz val="9"/>
        <color rgb="FF000000"/>
        <rFont val="楷体"/>
        <charset val="134"/>
      </rPr>
      <t>陈飞</t>
    </r>
    <r>
      <rPr>
        <sz val="9"/>
        <color rgb="FF000000"/>
        <rFont val="Arial"/>
        <charset val="134"/>
      </rPr>
      <t>:</t>
    </r>
    <r>
      <rPr>
        <sz val="9"/>
        <color rgb="FF000000"/>
        <rFont val="楷体"/>
        <charset val="134"/>
      </rPr>
      <t>董事长</t>
    </r>
  </si>
  <si>
    <r>
      <rPr>
        <sz val="9"/>
        <color rgb="FF000000"/>
        <rFont val="楷体"/>
        <charset val="134"/>
      </rPr>
      <t>浙江省杭州市拱墅区舟山东路</t>
    </r>
    <r>
      <rPr>
        <sz val="9"/>
        <color rgb="FF000000"/>
        <rFont val="Arial"/>
        <charset val="134"/>
      </rPr>
      <t>198</t>
    </r>
    <r>
      <rPr>
        <sz val="9"/>
        <color rgb="FF000000"/>
        <rFont val="楷体"/>
        <charset val="134"/>
      </rPr>
      <t>号宸创大厦</t>
    </r>
  </si>
  <si>
    <r>
      <rPr>
        <sz val="9"/>
        <color rgb="FF000000"/>
        <rFont val="Arial"/>
        <charset val="134"/>
      </rPr>
      <t>8.9</t>
    </r>
    <r>
      <rPr>
        <sz val="9"/>
        <color rgb="FF000000"/>
        <rFont val="楷体"/>
        <charset val="134"/>
      </rPr>
      <t>亿港元</t>
    </r>
  </si>
  <si>
    <r>
      <rPr>
        <sz val="9"/>
        <color rgb="FF000000"/>
        <rFont val="楷体"/>
        <charset val="134"/>
      </rPr>
      <t>阿里巴巴</t>
    </r>
    <r>
      <rPr>
        <sz val="9"/>
        <color rgb="FF000000"/>
        <rFont val="Arial"/>
        <charset val="134"/>
      </rPr>
      <t>,</t>
    </r>
    <r>
      <rPr>
        <sz val="9"/>
        <color rgb="FF000000"/>
        <rFont val="楷体"/>
        <charset val="134"/>
      </rPr>
      <t>哈啰</t>
    </r>
  </si>
  <si>
    <r>
      <rPr>
        <sz val="9"/>
        <color rgb="FF000000"/>
        <rFont val="Arial"/>
        <charset val="134"/>
      </rPr>
      <t>4.09</t>
    </r>
    <r>
      <rPr>
        <sz val="9"/>
        <color rgb="FF000000"/>
        <rFont val="楷体"/>
        <charset val="134"/>
      </rPr>
      <t>亿人民币</t>
    </r>
  </si>
  <si>
    <t>顺丰速运</t>
  </si>
  <si>
    <r>
      <rPr>
        <sz val="9"/>
        <color rgb="FF000000"/>
        <rFont val="楷体"/>
        <charset val="134"/>
      </rPr>
      <t>挚信资本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博润资本</t>
    </r>
    <r>
      <rPr>
        <sz val="9"/>
        <color rgb="FF000000"/>
        <rFont val="Arial"/>
        <charset val="134"/>
      </rPr>
      <t>,</t>
    </r>
    <r>
      <rPr>
        <sz val="9"/>
        <color rgb="FF000000"/>
        <rFont val="楷体"/>
        <charset val="134"/>
      </rPr>
      <t>新希望集团</t>
    </r>
    <r>
      <rPr>
        <sz val="9"/>
        <color rgb="FF000000"/>
        <rFont val="Arial"/>
        <charset val="134"/>
      </rPr>
      <t>,TB Bullet Fast Holdings</t>
    </r>
    <r>
      <rPr>
        <sz val="9"/>
        <color rgb="FF000000"/>
        <rFont val="楷体"/>
        <charset val="134"/>
      </rPr>
      <t>（</t>
    </r>
    <r>
      <rPr>
        <sz val="9"/>
        <color rgb="FF000000"/>
        <rFont val="Arial"/>
        <charset val="134"/>
      </rPr>
      <t>HK</t>
    </r>
    <r>
      <rPr>
        <sz val="9"/>
        <color rgb="FF000000"/>
        <rFont val="楷体"/>
        <charset val="134"/>
      </rPr>
      <t>）</t>
    </r>
    <r>
      <rPr>
        <sz val="9"/>
        <color rgb="FF000000"/>
        <rFont val="Arial"/>
        <charset val="134"/>
      </rPr>
      <t>Limited,Idea Flow Limited,Green Juice</t>
    </r>
    <r>
      <rPr>
        <sz val="9"/>
        <color rgb="FF000000"/>
        <rFont val="楷体"/>
        <charset val="134"/>
      </rPr>
      <t>Ⅱ</t>
    </r>
    <r>
      <rPr>
        <sz val="9"/>
        <color rgb="FF000000"/>
        <rFont val="Arial"/>
        <charset val="134"/>
      </rPr>
      <t>,Limited,Duckling Fund,L.P.,Nation Sky Investments Limited</t>
    </r>
  </si>
  <si>
    <r>
      <rPr>
        <sz val="9"/>
        <color rgb="FF000000"/>
        <rFont val="楷体"/>
        <charset val="134"/>
      </rPr>
      <t>君联资本</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中信资本</t>
    </r>
    <r>
      <rPr>
        <sz val="9"/>
        <color rgb="FF000000"/>
        <rFont val="Arial"/>
        <charset val="134"/>
      </rPr>
      <t>,</t>
    </r>
    <r>
      <rPr>
        <sz val="9"/>
        <color rgb="FF000000"/>
        <rFont val="楷体"/>
        <charset val="134"/>
      </rPr>
      <t>博润资本</t>
    </r>
    <r>
      <rPr>
        <sz val="9"/>
        <color rgb="FF000000"/>
        <rFont val="Arial"/>
        <charset val="134"/>
      </rPr>
      <t>,</t>
    </r>
    <r>
      <rPr>
        <sz val="9"/>
        <color rgb="FF000000"/>
        <rFont val="楷体"/>
        <charset val="134"/>
      </rPr>
      <t>新希望集团</t>
    </r>
  </si>
  <si>
    <t>2021-03-26</t>
  </si>
  <si>
    <t>小蜜蜂智慧</t>
  </si>
  <si>
    <r>
      <rPr>
        <sz val="9"/>
        <color rgb="FF000000"/>
        <rFont val="楷体"/>
        <charset val="134"/>
      </rPr>
      <t>小蜜蜂智慧</t>
    </r>
  </si>
  <si>
    <r>
      <rPr>
        <sz val="9"/>
        <color rgb="FF000000"/>
        <rFont val="楷体"/>
        <charset val="134"/>
      </rPr>
      <t>小蜜蜂智慧是国内领先的技术驱动型全渠道服销代运营平台，具备专业的全渠道代运营解决方案提供能力，已为数十位合作伙伴持续创造价值。</t>
    </r>
  </si>
  <si>
    <t>西安小蜜蜂智慧技术有限公司</t>
  </si>
  <si>
    <t>http://www.brilliantbee.cn/</t>
  </si>
  <si>
    <t>2017-06</t>
  </si>
  <si>
    <r>
      <rPr>
        <sz val="9"/>
        <color rgb="FF000000"/>
        <rFont val="楷体"/>
        <charset val="134"/>
      </rPr>
      <t>陕西</t>
    </r>
    <r>
      <rPr>
        <sz val="9"/>
        <color rgb="FF000000"/>
        <rFont val="Arial"/>
        <charset val="134"/>
      </rPr>
      <t>-</t>
    </r>
    <r>
      <rPr>
        <sz val="9"/>
        <color rgb="FF000000"/>
        <rFont val="楷体"/>
        <charset val="134"/>
      </rPr>
      <t>西安</t>
    </r>
  </si>
  <si>
    <r>
      <rPr>
        <sz val="9"/>
        <color rgb="FF000000"/>
        <rFont val="楷体"/>
        <charset val="134"/>
      </rPr>
      <t>陕西省西安市高新区丈八北路南段西侧国宾中央区</t>
    </r>
    <r>
      <rPr>
        <sz val="9"/>
        <color rgb="FF000000"/>
        <rFont val="Arial"/>
        <charset val="134"/>
      </rPr>
      <t>11</t>
    </r>
    <r>
      <rPr>
        <sz val="9"/>
        <color rgb="FF000000"/>
        <rFont val="楷体"/>
        <charset val="134"/>
      </rPr>
      <t>幢</t>
    </r>
    <r>
      <rPr>
        <sz val="9"/>
        <color rgb="FF000000"/>
        <rFont val="Arial"/>
        <charset val="134"/>
      </rPr>
      <t>7</t>
    </r>
    <r>
      <rPr>
        <sz val="9"/>
        <color rgb="FF000000"/>
        <rFont val="楷体"/>
        <charset val="134"/>
      </rPr>
      <t>层</t>
    </r>
  </si>
  <si>
    <t>029-8832-0066</t>
  </si>
  <si>
    <t>xiaomifeng@dingding.com</t>
  </si>
  <si>
    <t>2021-12-23</t>
  </si>
  <si>
    <t>KNOWIN潮流实验室</t>
  </si>
  <si>
    <r>
      <t>KNOWIN</t>
    </r>
    <r>
      <rPr>
        <sz val="9"/>
        <color rgb="FF000000"/>
        <rFont val="楷体"/>
        <charset val="134"/>
      </rPr>
      <t>潮流实验室</t>
    </r>
  </si>
  <si>
    <r>
      <t>KNOWIN</t>
    </r>
    <r>
      <rPr>
        <sz val="9"/>
        <color rgb="FF000000"/>
        <rFont val="楷体"/>
        <charset val="134"/>
      </rPr>
      <t>潮流实验室是一个运动品类垂直化社区电商平台，该平台致力于连接潮流文化品牌，为年轻人打造前沿的潮流时尚空间。</t>
    </r>
  </si>
  <si>
    <t>上海汐果体育用品有限公司</t>
  </si>
  <si>
    <t>http://www.buyog.cn/</t>
  </si>
  <si>
    <t>2018-02</t>
  </si>
  <si>
    <r>
      <rPr>
        <sz val="9"/>
        <color rgb="FF000000"/>
        <rFont val="楷体"/>
        <charset val="134"/>
      </rPr>
      <t>社区电商</t>
    </r>
  </si>
  <si>
    <r>
      <rPr>
        <sz val="9"/>
        <color rgb="FF000000"/>
        <rFont val="楷体"/>
        <charset val="134"/>
      </rPr>
      <t>真格基金</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云九资本</t>
    </r>
  </si>
  <si>
    <r>
      <t>6</t>
    </r>
    <r>
      <rPr>
        <sz val="9"/>
        <color rgb="FF000000"/>
        <rFont val="楷体"/>
        <charset val="134"/>
      </rPr>
      <t>亿</t>
    </r>
  </si>
  <si>
    <r>
      <rPr>
        <sz val="9"/>
        <color rgb="FF000000"/>
        <rFont val="楷体"/>
        <charset val="134"/>
      </rPr>
      <t>上海市普陀区曹杨路</t>
    </r>
    <r>
      <rPr>
        <sz val="9"/>
        <color rgb="FF000000"/>
        <rFont val="Arial"/>
        <charset val="134"/>
      </rPr>
      <t>1888</t>
    </r>
    <r>
      <rPr>
        <sz val="9"/>
        <color rgb="FF000000"/>
        <rFont val="楷体"/>
        <charset val="134"/>
      </rPr>
      <t>弄</t>
    </r>
    <r>
      <rPr>
        <sz val="9"/>
        <color rgb="FF000000"/>
        <rFont val="Arial"/>
        <charset val="134"/>
      </rPr>
      <t>11</t>
    </r>
    <r>
      <rPr>
        <sz val="9"/>
        <color rgb="FF000000"/>
        <rFont val="楷体"/>
        <charset val="134"/>
      </rPr>
      <t>号</t>
    </r>
    <r>
      <rPr>
        <sz val="9"/>
        <color rgb="FF000000"/>
        <rFont val="Arial"/>
        <charset val="134"/>
      </rPr>
      <t>3</t>
    </r>
    <r>
      <rPr>
        <sz val="9"/>
        <color rgb="FF000000"/>
        <rFont val="楷体"/>
        <charset val="134"/>
      </rPr>
      <t>楼</t>
    </r>
    <r>
      <rPr>
        <sz val="9"/>
        <color rgb="FF000000"/>
        <rFont val="Arial"/>
        <charset val="134"/>
      </rPr>
      <t>305</t>
    </r>
    <r>
      <rPr>
        <sz val="9"/>
        <color rgb="FF000000"/>
        <rFont val="楷体"/>
        <charset val="134"/>
      </rPr>
      <t>室</t>
    </r>
    <r>
      <rPr>
        <sz val="9"/>
        <color rgb="FF000000"/>
        <rFont val="Arial"/>
        <charset val="134"/>
      </rPr>
      <t>-J</t>
    </r>
  </si>
  <si>
    <t>185-1607-5536</t>
  </si>
  <si>
    <r>
      <rPr>
        <sz val="9"/>
        <color rgb="FF000000"/>
        <rFont val="楷体"/>
        <charset val="134"/>
      </rPr>
      <t>经纬创投</t>
    </r>
    <r>
      <rPr>
        <sz val="9"/>
        <color rgb="FF000000"/>
        <rFont val="Arial"/>
        <charset val="134"/>
      </rPr>
      <t>,</t>
    </r>
    <r>
      <rPr>
        <sz val="9"/>
        <color rgb="FF000000"/>
        <rFont val="楷体"/>
        <charset val="134"/>
      </rPr>
      <t>云九资本</t>
    </r>
  </si>
  <si>
    <t>2022-03-09</t>
  </si>
  <si>
    <t>法奥FAIR</t>
  </si>
  <si>
    <r>
      <rPr>
        <sz val="9"/>
        <color rgb="FF000000"/>
        <rFont val="楷体"/>
        <charset val="134"/>
      </rPr>
      <t>法奥</t>
    </r>
    <r>
      <rPr>
        <sz val="9"/>
        <color rgb="FF000000"/>
        <rFont val="Arial"/>
        <charset val="134"/>
      </rPr>
      <t>FAIR</t>
    </r>
  </si>
  <si>
    <r>
      <rPr>
        <sz val="9"/>
        <color rgb="FF000000"/>
        <rFont val="楷体"/>
        <charset val="134"/>
      </rPr>
      <t>法奥</t>
    </r>
    <r>
      <rPr>
        <sz val="9"/>
        <color rgb="FF000000"/>
        <rFont val="Arial"/>
        <charset val="134"/>
      </rPr>
      <t>FAIR</t>
    </r>
    <r>
      <rPr>
        <sz val="9"/>
        <color rgb="FF000000"/>
        <rFont val="楷体"/>
        <charset val="134"/>
      </rPr>
      <t>是一家实现全核心零部件自主研发的协作机器人公司，致力于为行业提供极致便利的深度智能系统解决方案，公司设计的自研减速机、伺服电机等核心部件获得了</t>
    </r>
    <r>
      <rPr>
        <sz val="9"/>
        <color rgb="FF000000"/>
        <rFont val="Arial"/>
        <charset val="134"/>
      </rPr>
      <t>3C</t>
    </r>
    <r>
      <rPr>
        <sz val="9"/>
        <color rgb="FF000000"/>
        <rFont val="楷体"/>
        <charset val="134"/>
      </rPr>
      <t>制造、工业、医疗、食品医药、康养等行业头部客户的认可。</t>
    </r>
  </si>
  <si>
    <t>法奥意威（苏州）机器人系统有限公司</t>
  </si>
  <si>
    <t>http://www.frtech.fr/</t>
  </si>
  <si>
    <r>
      <rPr>
        <sz val="9"/>
        <color rgb="FF000000"/>
        <rFont val="楷体"/>
        <charset val="134"/>
      </rPr>
      <t>机器人</t>
    </r>
  </si>
  <si>
    <r>
      <t>5000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</si>
  <si>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高瓴创投</t>
    </r>
  </si>
  <si>
    <r>
      <t>6.5</t>
    </r>
    <r>
      <rPr>
        <sz val="9"/>
        <color rgb="FF000000"/>
        <rFont val="楷体"/>
        <charset val="134"/>
      </rPr>
      <t>亿</t>
    </r>
  </si>
  <si>
    <r>
      <t>19.5</t>
    </r>
    <r>
      <rPr>
        <sz val="9"/>
        <color rgb="FF000000"/>
        <rFont val="楷体"/>
        <charset val="134"/>
      </rPr>
      <t>亿元</t>
    </r>
  </si>
  <si>
    <r>
      <rPr>
        <sz val="9"/>
        <color rgb="FF000000"/>
        <rFont val="楷体"/>
        <charset val="134"/>
      </rPr>
      <t>巩相峰</t>
    </r>
    <r>
      <rPr>
        <sz val="9"/>
        <color rgb="FF000000"/>
        <rFont val="Arial"/>
        <charset val="134"/>
      </rPr>
      <t>:</t>
    </r>
    <r>
      <rPr>
        <sz val="9"/>
        <color rgb="FF000000"/>
        <rFont val="楷体"/>
        <charset val="134"/>
      </rPr>
      <t>创始人</t>
    </r>
  </si>
  <si>
    <r>
      <rPr>
        <sz val="9"/>
        <color rgb="FF000000"/>
        <rFont val="楷体"/>
        <charset val="134"/>
      </rPr>
      <t>苏州市高新区竹园路</t>
    </r>
    <r>
      <rPr>
        <sz val="9"/>
        <color rgb="FF000000"/>
        <rFont val="Arial"/>
        <charset val="134"/>
      </rPr>
      <t>209</t>
    </r>
    <r>
      <rPr>
        <sz val="9"/>
        <color rgb="FF000000"/>
        <rFont val="楷体"/>
        <charset val="134"/>
      </rPr>
      <t>号</t>
    </r>
  </si>
  <si>
    <t>0512-6731-3593</t>
  </si>
  <si>
    <t>frtech@frtech.fr</t>
  </si>
  <si>
    <r>
      <rPr>
        <sz val="9"/>
        <color rgb="FF000000"/>
        <rFont val="楷体"/>
        <charset val="134"/>
      </rPr>
      <t>顺为资本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高瓴创投</t>
    </r>
  </si>
  <si>
    <t>清流资本</t>
  </si>
  <si>
    <t>2022-04-11</t>
  </si>
  <si>
    <t>GoTo</t>
  </si>
  <si>
    <r>
      <rPr>
        <sz val="9"/>
        <color rgb="FF000000"/>
        <rFont val="Arial"/>
        <charset val="134"/>
      </rPr>
      <t>GoTo</t>
    </r>
    <r>
      <rPr>
        <sz val="9"/>
        <color rgb="FF000000"/>
        <rFont val="楷体"/>
        <charset val="134"/>
      </rPr>
      <t>是印尼两大互联网巨头</t>
    </r>
    <r>
      <rPr>
        <sz val="9"/>
        <color rgb="FF000000"/>
        <rFont val="Arial"/>
        <charset val="134"/>
      </rPr>
      <t>Gojek</t>
    </r>
    <r>
      <rPr>
        <sz val="9"/>
        <color rgb="FF000000"/>
        <rFont val="楷体"/>
        <charset val="134"/>
      </rPr>
      <t>与</t>
    </r>
    <r>
      <rPr>
        <sz val="9"/>
        <color rgb="FF000000"/>
        <rFont val="Arial"/>
        <charset val="134"/>
      </rPr>
      <t>Tokopedia</t>
    </r>
    <r>
      <rPr>
        <sz val="9"/>
        <color rgb="FF000000"/>
        <rFont val="楷体"/>
        <charset val="134"/>
      </rPr>
      <t>合并而来的，主营业务为网约车、线上购物及食品配送。</t>
    </r>
  </si>
  <si>
    <t>https://www.gotocompany.com/</t>
  </si>
  <si>
    <t>2021-05</t>
  </si>
  <si>
    <r>
      <rPr>
        <sz val="9"/>
        <color rgb="FF000000"/>
        <rFont val="Arial"/>
        <charset val="134"/>
      </rPr>
      <t>188.5</t>
    </r>
    <r>
      <rPr>
        <sz val="9"/>
        <color rgb="FF000000"/>
        <rFont val="楷体"/>
        <charset val="134"/>
      </rPr>
      <t>亿</t>
    </r>
  </si>
  <si>
    <r>
      <rPr>
        <sz val="9"/>
        <color rgb="FF000000"/>
        <rFont val="Arial"/>
        <charset val="134"/>
      </rPr>
      <t>1820</t>
    </r>
    <r>
      <rPr>
        <sz val="9"/>
        <color rgb="FF000000"/>
        <rFont val="楷体"/>
        <charset val="134"/>
      </rPr>
      <t>亿元</t>
    </r>
  </si>
  <si>
    <t>Angela Laird:SMB Sales,Casmin Wisner:Social Brand Manager,Paddy Srinivasan:Chief Executive Officer,Viktor Egri:Senior Product Manager,Michael Donahue:Chief Legal Officer &amp; Secretary,Scott Romesser:Chief Customer Officer</t>
  </si>
  <si>
    <r>
      <rPr>
        <sz val="9"/>
        <color rgb="FF000000"/>
        <rFont val="Arial"/>
        <charset val="134"/>
      </rPr>
      <t>13</t>
    </r>
    <r>
      <rPr>
        <sz val="9"/>
        <color rgb="FF000000"/>
        <rFont val="楷体"/>
        <charset val="134"/>
      </rPr>
      <t>亿美元</t>
    </r>
  </si>
  <si>
    <r>
      <rPr>
        <sz val="9"/>
        <color rgb="FF000000"/>
        <rFont val="Arial"/>
        <charset val="134"/>
      </rPr>
      <t>Google</t>
    </r>
    <r>
      <rPr>
        <sz val="9"/>
        <color rgb="FF000000"/>
        <rFont val="楷体"/>
        <charset val="134"/>
      </rPr>
      <t>谷歌</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春华资本</t>
    </r>
    <r>
      <rPr>
        <sz val="9"/>
        <color rgb="FF000000"/>
        <rFont val="Arial"/>
        <charset val="134"/>
      </rPr>
      <t>Primavera,</t>
    </r>
    <r>
      <rPr>
        <sz val="9"/>
        <color rgb="FF000000"/>
        <rFont val="楷体"/>
        <charset val="134"/>
      </rPr>
      <t>阿布扎比投资局</t>
    </r>
    <r>
      <rPr>
        <sz val="9"/>
        <color rgb="FF000000"/>
        <rFont val="Arial"/>
        <charset val="134"/>
      </rPr>
      <t>ADIA,Avanda</t>
    </r>
  </si>
  <si>
    <r>
      <rPr>
        <sz val="9"/>
        <color rgb="FF000000"/>
        <rFont val="楷体"/>
        <charset val="134"/>
      </rPr>
      <t>阿布扎比投资局</t>
    </r>
    <r>
      <rPr>
        <sz val="9"/>
        <color rgb="FF000000"/>
        <rFont val="Arial"/>
        <charset val="134"/>
      </rPr>
      <t>ADIA</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</si>
  <si>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,DST Global,</t>
    </r>
    <r>
      <rPr>
        <sz val="9"/>
        <color rgb="FF000000"/>
        <rFont val="楷体"/>
        <charset val="134"/>
      </rPr>
      <t>淡马锡</t>
    </r>
    <r>
      <rPr>
        <sz val="9"/>
        <color rgb="FF000000"/>
        <rFont val="Arial"/>
        <charset val="134"/>
      </rPr>
      <t>Temasek,</t>
    </r>
    <r>
      <rPr>
        <sz val="9"/>
        <color rgb="FF000000"/>
        <rFont val="楷体"/>
        <charset val="134"/>
      </rPr>
      <t>京东</t>
    </r>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,Meta,Sequoia Capital</t>
    </r>
    <r>
      <rPr>
        <sz val="9"/>
        <color rgb="FF000000"/>
        <rFont val="楷体"/>
        <charset val="134"/>
      </rPr>
      <t>红杉</t>
    </r>
    <r>
      <rPr>
        <sz val="9"/>
        <color rgb="FF000000"/>
        <rFont val="Arial"/>
        <charset val="134"/>
      </rPr>
      <t>,Warburg Pincus(</t>
    </r>
    <r>
      <rPr>
        <sz val="9"/>
        <color rgb="FF000000"/>
        <rFont val="楷体"/>
        <charset val="134"/>
      </rPr>
      <t>华平海外投资</t>
    </r>
    <r>
      <rPr>
        <sz val="9"/>
        <color rgb="FF000000"/>
        <rFont val="Arial"/>
        <charset val="134"/>
      </rPr>
      <t>),Google</t>
    </r>
    <r>
      <rPr>
        <sz val="9"/>
        <color rgb="FF000000"/>
        <rFont val="楷体"/>
        <charset val="134"/>
      </rPr>
      <t>谷歌</t>
    </r>
    <r>
      <rPr>
        <sz val="9"/>
        <color rgb="FF000000"/>
        <rFont val="Arial"/>
        <charset val="134"/>
      </rPr>
      <t>,Visa,PayPal,KKR,Capital Group,</t>
    </r>
    <r>
      <rPr>
        <sz val="9"/>
        <color rgb="FF000000"/>
        <rFont val="楷体"/>
        <charset val="134"/>
      </rPr>
      <t>软银愿景基金</t>
    </r>
    <r>
      <rPr>
        <sz val="9"/>
        <color rgb="FF000000"/>
        <rFont val="Arial"/>
        <charset val="134"/>
      </rPr>
      <t>,Provident Capital,Telkomsel,</t>
    </r>
    <r>
      <rPr>
        <sz val="9"/>
        <color rgb="FF000000"/>
        <rFont val="楷体"/>
        <charset val="134"/>
      </rPr>
      <t>太平洋世纪集团</t>
    </r>
    <r>
      <rPr>
        <sz val="9"/>
        <color rgb="FF000000"/>
        <rFont val="Arial"/>
        <charset val="134"/>
      </rPr>
      <t>,</t>
    </r>
    <r>
      <rPr>
        <sz val="9"/>
        <color rgb="FF000000"/>
        <rFont val="楷体"/>
        <charset val="134"/>
      </rPr>
      <t>北极星创投</t>
    </r>
    <r>
      <rPr>
        <sz val="9"/>
        <color rgb="FF000000"/>
        <rFont val="Arial"/>
        <charset val="134"/>
      </rPr>
      <t>,Astra International</t>
    </r>
  </si>
  <si>
    <t>2022-11-15</t>
  </si>
  <si>
    <r>
      <t>Yahaha Studio</t>
    </r>
    <r>
      <rPr>
        <sz val="9"/>
        <color rgb="FF000000"/>
        <rFont val="楷体"/>
        <charset val="134"/>
      </rPr>
      <t>成立于</t>
    </r>
    <r>
      <rPr>
        <sz val="9"/>
        <color rgb="FF000000"/>
        <rFont val="Arial"/>
        <charset val="134"/>
      </rPr>
      <t>2020</t>
    </r>
    <r>
      <rPr>
        <sz val="9"/>
        <color rgb="FF000000"/>
        <rFont val="楷体"/>
        <charset val="134"/>
      </rPr>
      <t>年，旨在打造一个全新的以游戏为主的</t>
    </r>
    <r>
      <rPr>
        <sz val="9"/>
        <color rgb="FF000000"/>
        <rFont val="Arial"/>
        <charset val="134"/>
      </rPr>
      <t>3D</t>
    </r>
    <r>
      <rPr>
        <sz val="9"/>
        <color rgb="FF000000"/>
        <rFont val="楷体"/>
        <charset val="134"/>
      </rPr>
      <t>互动内容社交平台，向用户提供沉浸式内容消费与新型社交体验。旗下有</t>
    </r>
    <r>
      <rPr>
        <sz val="9"/>
        <color rgb="FF000000"/>
        <rFont val="Arial"/>
        <charset val="134"/>
      </rPr>
      <t>2</t>
    </r>
    <r>
      <rPr>
        <sz val="9"/>
        <color rgb="FF000000"/>
        <rFont val="楷体"/>
        <charset val="134"/>
      </rPr>
      <t>款产品，面向创作者的一站式游戏化内容创作编辑器</t>
    </r>
    <r>
      <rPr>
        <sz val="9"/>
        <color rgb="FF000000"/>
        <rFont val="Arial"/>
        <charset val="134"/>
      </rPr>
      <t>Yahaha Studio</t>
    </r>
    <r>
      <rPr>
        <sz val="9"/>
        <color rgb="FF000000"/>
        <rFont val="楷体"/>
        <charset val="134"/>
      </rPr>
      <t>，面向</t>
    </r>
    <r>
      <rPr>
        <sz val="9"/>
        <color rgb="FF000000"/>
        <rFont val="Arial"/>
        <charset val="134"/>
      </rPr>
      <t>C</t>
    </r>
    <r>
      <rPr>
        <sz val="9"/>
        <color rgb="FF000000"/>
        <rFont val="楷体"/>
        <charset val="134"/>
      </rPr>
      <t>端用户的</t>
    </r>
    <r>
      <rPr>
        <sz val="9"/>
        <color rgb="FF000000"/>
        <rFont val="Arial"/>
        <charset val="134"/>
      </rPr>
      <t>3D</t>
    </r>
    <r>
      <rPr>
        <sz val="9"/>
        <color rgb="FF000000"/>
        <rFont val="楷体"/>
        <charset val="134"/>
      </rPr>
      <t>互动内容社交平台</t>
    </r>
    <r>
      <rPr>
        <sz val="9"/>
        <color rgb="FF000000"/>
        <rFont val="Arial"/>
        <charset val="134"/>
      </rPr>
      <t xml:space="preserve"> Yahaha App</t>
    </r>
    <r>
      <rPr>
        <sz val="9"/>
        <color rgb="FF000000"/>
        <rFont val="楷体"/>
        <charset val="134"/>
      </rPr>
      <t>。</t>
    </r>
  </si>
  <si>
    <t>上海悉喵科技有限公司</t>
  </si>
  <si>
    <t>https://www.yahaha.com/</t>
  </si>
  <si>
    <t>2020-12</t>
  </si>
  <si>
    <r>
      <rPr>
        <sz val="9"/>
        <color rgb="FF000000"/>
        <rFont val="楷体"/>
        <charset val="134"/>
      </rPr>
      <t>元宇宙</t>
    </r>
  </si>
  <si>
    <r>
      <rPr>
        <sz val="9"/>
        <color rgb="FF000000"/>
        <rFont val="楷体"/>
        <charset val="134"/>
      </rPr>
      <t>元宇宙社交</t>
    </r>
  </si>
  <si>
    <r>
      <t>4000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</si>
  <si>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三七互娱</t>
    </r>
  </si>
  <si>
    <r>
      <t>20.8</t>
    </r>
    <r>
      <rPr>
        <sz val="9"/>
        <color rgb="FF000000"/>
        <rFont val="楷体"/>
        <charset val="134"/>
      </rPr>
      <t>亿元</t>
    </r>
  </si>
  <si>
    <r>
      <rPr>
        <sz val="9"/>
        <color rgb="FF000000"/>
        <rFont val="楷体"/>
        <charset val="134"/>
      </rPr>
      <t>朱建宜</t>
    </r>
    <r>
      <rPr>
        <sz val="9"/>
        <color rgb="FF000000"/>
        <rFont val="Arial"/>
        <charset val="134"/>
      </rPr>
      <t>:</t>
    </r>
    <r>
      <rPr>
        <sz val="9"/>
        <color rgb="FF000000"/>
        <rFont val="楷体"/>
        <charset val="134"/>
      </rPr>
      <t>创始人</t>
    </r>
  </si>
  <si>
    <r>
      <rPr>
        <sz val="9"/>
        <color rgb="FF000000"/>
        <rFont val="楷体"/>
        <charset val="134"/>
      </rPr>
      <t>上海市虹口区东大名路</t>
    </r>
    <r>
      <rPr>
        <sz val="9"/>
        <color rgb="FF000000"/>
        <rFont val="Arial"/>
        <charset val="134"/>
      </rPr>
      <t>501</t>
    </r>
    <r>
      <rPr>
        <sz val="9"/>
        <color rgb="FF000000"/>
        <rFont val="楷体"/>
        <charset val="134"/>
      </rPr>
      <t>号</t>
    </r>
    <r>
      <rPr>
        <sz val="9"/>
        <color rgb="FF000000"/>
        <rFont val="Arial"/>
        <charset val="134"/>
      </rPr>
      <t>22</t>
    </r>
    <r>
      <rPr>
        <sz val="9"/>
        <color rgb="FF000000"/>
        <rFont val="楷体"/>
        <charset val="134"/>
      </rPr>
      <t>层</t>
    </r>
    <r>
      <rPr>
        <sz val="9"/>
        <color rgb="FF000000"/>
        <rFont val="Arial"/>
        <charset val="134"/>
      </rPr>
      <t>2205</t>
    </r>
    <r>
      <rPr>
        <sz val="9"/>
        <color rgb="FF000000"/>
        <rFont val="楷体"/>
        <charset val="134"/>
      </rPr>
      <t>单元</t>
    </r>
  </si>
  <si>
    <t>021-6999-2134</t>
  </si>
  <si>
    <t>xmchen@yahahastudio.com</t>
  </si>
  <si>
    <r>
      <rPr>
        <sz val="9"/>
        <color rgb="FF000000"/>
        <rFont val="楷体"/>
        <charset val="134"/>
      </rPr>
      <t>真格基金</t>
    </r>
    <r>
      <rPr>
        <sz val="9"/>
        <color rgb="FF000000"/>
        <rFont val="Arial"/>
        <charset val="134"/>
      </rPr>
      <t>,</t>
    </r>
    <r>
      <rPr>
        <sz val="9"/>
        <color rgb="FF000000"/>
        <rFont val="楷体"/>
        <charset val="134"/>
      </rPr>
      <t>五源资本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小米集团</t>
    </r>
    <r>
      <rPr>
        <sz val="9"/>
        <color rgb="FF000000"/>
        <rFont val="Arial"/>
        <charset val="134"/>
      </rPr>
      <t>,Coatue Management,</t>
    </r>
    <r>
      <rPr>
        <sz val="9"/>
        <color rgb="FF000000"/>
        <rFont val="楷体"/>
        <charset val="134"/>
      </rPr>
      <t>哔哩哔哩</t>
    </r>
    <r>
      <rPr>
        <sz val="9"/>
        <color rgb="FF000000"/>
        <rFont val="Arial"/>
        <charset val="134"/>
      </rPr>
      <t>bilibili,</t>
    </r>
    <r>
      <rPr>
        <sz val="9"/>
        <color rgb="FF000000"/>
        <rFont val="楷体"/>
        <charset val="134"/>
      </rPr>
      <t>高瓴创投</t>
    </r>
  </si>
  <si>
    <r>
      <rPr>
        <sz val="9"/>
        <color rgb="FF000000"/>
        <rFont val="楷体"/>
        <charset val="134"/>
      </rPr>
      <t>真格基金</t>
    </r>
    <r>
      <rPr>
        <sz val="9"/>
        <color rgb="FF000000"/>
        <rFont val="Arial"/>
        <charset val="134"/>
      </rPr>
      <t>,</t>
    </r>
    <r>
      <rPr>
        <sz val="9"/>
        <color rgb="FF000000"/>
        <rFont val="楷体"/>
        <charset val="134"/>
      </rPr>
      <t>五源资本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高瓴创投</t>
    </r>
  </si>
  <si>
    <r>
      <rPr>
        <sz val="9"/>
        <color rgb="FF000000"/>
        <rFont val="楷体"/>
        <charset val="134"/>
      </rPr>
      <t>真格基金</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小米集团</t>
    </r>
  </si>
  <si>
    <t>2021-07-08</t>
  </si>
  <si>
    <t>如涵文化</t>
  </si>
  <si>
    <r>
      <rPr>
        <sz val="9"/>
        <color rgb="FF000000"/>
        <rFont val="楷体"/>
        <charset val="134"/>
      </rPr>
      <t>如涵文化</t>
    </r>
  </si>
  <si>
    <r>
      <rPr>
        <sz val="9"/>
        <color rgb="FF000000"/>
        <rFont val="楷体"/>
        <charset val="134"/>
      </rPr>
      <t>如涵文化是一家广告设计制作服务商，主要提供的产品与服务是国内广告的设计、制作、代理、发布，商务信息咨询，文化艺术交流策划，会展会务服务，经营演出及经纪业务。</t>
    </r>
    <r>
      <rPr>
        <sz val="9"/>
        <color rgb="FF000000"/>
        <rFont val="Arial"/>
        <charset val="134"/>
      </rPr>
      <t xml:space="preserve">
</t>
    </r>
  </si>
  <si>
    <t>杭州如涵文化传播有限公司</t>
  </si>
  <si>
    <r>
      <rPr>
        <sz val="9"/>
        <color rgb="FF000000"/>
        <rFont val="楷体"/>
        <charset val="134"/>
      </rPr>
      <t>广告平台</t>
    </r>
  </si>
  <si>
    <r>
      <rPr>
        <sz val="9"/>
        <color rgb="FF000000"/>
        <rFont val="楷体"/>
        <charset val="134"/>
      </rPr>
      <t>浙江省杭州市江干区创智绿谷发展中心</t>
    </r>
    <r>
      <rPr>
        <sz val="9"/>
        <color rgb="FF000000"/>
        <rFont val="Arial"/>
        <charset val="134"/>
      </rPr>
      <t>2</t>
    </r>
    <r>
      <rPr>
        <sz val="9"/>
        <color rgb="FF000000"/>
        <rFont val="楷体"/>
        <charset val="134"/>
      </rPr>
      <t>幢</t>
    </r>
    <r>
      <rPr>
        <sz val="9"/>
        <color rgb="FF000000"/>
        <rFont val="Arial"/>
        <charset val="134"/>
      </rPr>
      <t>1105</t>
    </r>
    <r>
      <rPr>
        <sz val="9"/>
        <color rgb="FF000000"/>
        <rFont val="楷体"/>
        <charset val="134"/>
      </rPr>
      <t>室</t>
    </r>
    <r>
      <rPr>
        <sz val="9"/>
        <color rgb="FF000000"/>
        <rFont val="Arial"/>
        <charset val="134"/>
      </rPr>
      <t>-2</t>
    </r>
  </si>
  <si>
    <t>0571-2882-5222</t>
  </si>
  <si>
    <t>涵意电商</t>
  </si>
  <si>
    <r>
      <rPr>
        <sz val="9"/>
        <color rgb="FF000000"/>
        <rFont val="楷体"/>
        <charset val="134"/>
      </rPr>
      <t>涵意电商</t>
    </r>
  </si>
  <si>
    <r>
      <rPr>
        <sz val="9"/>
        <color rgb="FF000000"/>
        <rFont val="楷体"/>
        <charset val="134"/>
      </rPr>
      <t>涵意电商是一家女装电商公司，公司产品以女装为基础，并集鞋包配饰、内衣、进口化妆品、旅游产品等诸多品类为一体，专注于为年轻女孩们打造全面个性的整体形象。</t>
    </r>
  </si>
  <si>
    <t>杭州涵意电子商务有限公司</t>
  </si>
  <si>
    <r>
      <rPr>
        <sz val="9"/>
        <color rgb="FF000000"/>
        <rFont val="楷体"/>
        <charset val="134"/>
      </rPr>
      <t>服装服饰</t>
    </r>
  </si>
  <si>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钟鼎资本</t>
    </r>
    <r>
      <rPr>
        <sz val="9"/>
        <color rgb="FF000000"/>
        <rFont val="Arial"/>
        <charset val="134"/>
      </rPr>
      <t>,</t>
    </r>
    <r>
      <rPr>
        <sz val="9"/>
        <color rgb="FF000000"/>
        <rFont val="楷体"/>
        <charset val="134"/>
      </rPr>
      <t>远镜创投</t>
    </r>
    <r>
      <rPr>
        <sz val="9"/>
        <color rgb="FF000000"/>
        <rFont val="Arial"/>
        <charset val="134"/>
      </rPr>
      <t>,</t>
    </r>
    <r>
      <rPr>
        <sz val="9"/>
        <color rgb="FF000000"/>
        <rFont val="楷体"/>
        <charset val="134"/>
      </rPr>
      <t>哔哩哔哩</t>
    </r>
    <r>
      <rPr>
        <sz val="9"/>
        <color rgb="FF000000"/>
        <rFont val="Arial"/>
        <charset val="134"/>
      </rPr>
      <t>bilibili,</t>
    </r>
    <r>
      <rPr>
        <sz val="9"/>
        <color rgb="FF000000"/>
        <rFont val="楷体"/>
        <charset val="134"/>
      </rPr>
      <t>万石凯星</t>
    </r>
  </si>
  <si>
    <r>
      <rPr>
        <sz val="9"/>
        <color rgb="FF000000"/>
        <rFont val="楷体"/>
        <charset val="134"/>
      </rPr>
      <t>冯敏</t>
    </r>
    <r>
      <rPr>
        <sz val="9"/>
        <color rgb="FF000000"/>
        <rFont val="Arial"/>
        <charset val="134"/>
      </rPr>
      <t>:</t>
    </r>
    <r>
      <rPr>
        <sz val="9"/>
        <color rgb="FF000000"/>
        <rFont val="楷体"/>
        <charset val="134"/>
      </rPr>
      <t>董事长</t>
    </r>
  </si>
  <si>
    <r>
      <rPr>
        <sz val="9"/>
        <color rgb="FF000000"/>
        <rFont val="楷体"/>
        <charset val="134"/>
      </rPr>
      <t>浙江省杭州市江干区创智绿谷发展中心</t>
    </r>
    <r>
      <rPr>
        <sz val="9"/>
        <color rgb="FF000000"/>
        <rFont val="Arial"/>
        <charset val="134"/>
      </rPr>
      <t>2</t>
    </r>
    <r>
      <rPr>
        <sz val="9"/>
        <color rgb="FF000000"/>
        <rFont val="楷体"/>
        <charset val="134"/>
      </rPr>
      <t>幢</t>
    </r>
    <r>
      <rPr>
        <sz val="9"/>
        <color rgb="FF000000"/>
        <rFont val="Arial"/>
        <charset val="134"/>
      </rPr>
      <t>1104</t>
    </r>
    <r>
      <rPr>
        <sz val="9"/>
        <color rgb="FF000000"/>
        <rFont val="楷体"/>
        <charset val="134"/>
      </rPr>
      <t>室</t>
    </r>
  </si>
  <si>
    <t>zhut@ruhnn.com</t>
  </si>
  <si>
    <t>2023-04-19</t>
  </si>
  <si>
    <t>随幻科技</t>
  </si>
  <si>
    <r>
      <rPr>
        <sz val="9"/>
        <color rgb="FF000000"/>
        <rFont val="楷体"/>
        <charset val="134"/>
      </rPr>
      <t>随幻科技是国内一站式企业线上虚拟活动产品</t>
    </r>
    <r>
      <rPr>
        <sz val="9"/>
        <color rgb="FF000000"/>
        <rFont val="Arial"/>
        <charset val="134"/>
      </rPr>
      <t>&amp;</t>
    </r>
    <r>
      <rPr>
        <sz val="9"/>
        <color rgb="FF000000"/>
        <rFont val="楷体"/>
        <charset val="134"/>
      </rPr>
      <t>服务平台，互动式在线虚拟空间建设者。自主研发了</t>
    </r>
    <r>
      <rPr>
        <sz val="9"/>
        <color rgb="FF000000"/>
        <rFont val="Arial"/>
        <charset val="134"/>
      </rPr>
      <t>3D</t>
    </r>
    <r>
      <rPr>
        <sz val="9"/>
        <color rgb="FF000000"/>
        <rFont val="楷体"/>
        <charset val="134"/>
      </rPr>
      <t>深度实时虚拟系统、实时光影融合算法、超写实虚拟人与多模态交互技术，并推出了自助式在线虚拟空间模式，多款轻量化软件产品，帮助企业与个人随时随地一键步入虚拟时空。</t>
    </r>
  </si>
  <si>
    <t>上海随幻智能科技有限公司</t>
  </si>
  <si>
    <t>http://www.mrstage.com/</t>
  </si>
  <si>
    <t>联想创投</t>
  </si>
  <si>
    <r>
      <rPr>
        <sz val="9"/>
        <color rgb="FF000000"/>
        <rFont val="Arial"/>
        <charset val="134"/>
      </rPr>
      <t>3.35</t>
    </r>
    <r>
      <rPr>
        <sz val="9"/>
        <color rgb="FF000000"/>
        <rFont val="楷体"/>
        <charset val="134"/>
      </rPr>
      <t>亿</t>
    </r>
  </si>
  <si>
    <r>
      <rPr>
        <sz val="9"/>
        <color rgb="FF000000"/>
        <rFont val="楷体"/>
        <charset val="134"/>
      </rPr>
      <t>洪煦</t>
    </r>
    <r>
      <rPr>
        <sz val="9"/>
        <color rgb="FF000000"/>
        <rFont val="Arial"/>
        <charset val="134"/>
      </rPr>
      <t>:</t>
    </r>
    <r>
      <rPr>
        <sz val="9"/>
        <color rgb="FF000000"/>
        <rFont val="楷体"/>
        <charset val="134"/>
      </rPr>
      <t>创始人</t>
    </r>
  </si>
  <si>
    <r>
      <rPr>
        <sz val="9"/>
        <color rgb="FF000000"/>
        <rFont val="楷体"/>
        <charset val="134"/>
      </rPr>
      <t>上海浦东新区银山路</t>
    </r>
    <r>
      <rPr>
        <sz val="9"/>
        <color rgb="FF000000"/>
        <rFont val="Arial"/>
        <charset val="134"/>
      </rPr>
      <t>183</t>
    </r>
    <r>
      <rPr>
        <sz val="9"/>
        <color rgb="FF000000"/>
        <rFont val="楷体"/>
        <charset val="134"/>
      </rPr>
      <t>号鑫桥创意产业园</t>
    </r>
  </si>
  <si>
    <t>131-6213-8000</t>
  </si>
  <si>
    <t>suihuan@mrstage.com</t>
  </si>
  <si>
    <r>
      <t>1</t>
    </r>
    <r>
      <rPr>
        <sz val="9"/>
        <color rgb="FF000000"/>
        <rFont val="楷体"/>
        <charset val="134"/>
      </rPr>
      <t>亿人民币</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</si>
  <si>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</si>
  <si>
    <t>上海今朝投资</t>
  </si>
  <si>
    <t>2023-02-21</t>
  </si>
  <si>
    <t>博瑞迪生物</t>
  </si>
  <si>
    <r>
      <rPr>
        <sz val="9"/>
        <color rgb="FF000000"/>
        <rFont val="楷体"/>
        <charset val="134"/>
      </rPr>
      <t>博瑞迪生物</t>
    </r>
  </si>
  <si>
    <r>
      <rPr>
        <sz val="9"/>
        <color rgb="FF000000"/>
        <rFont val="楷体"/>
        <charset val="134"/>
      </rPr>
      <t>博瑞迪是一家低成本基因型分型解决方案提供商，专注于动植物分子育种技术研发和服务，拥有</t>
    </r>
    <r>
      <rPr>
        <sz val="9"/>
        <color rgb="FF000000"/>
        <rFont val="Arial"/>
        <charset val="134"/>
      </rPr>
      <t>GenoPlexs</t>
    </r>
    <r>
      <rPr>
        <sz val="9"/>
        <color rgb="FF000000"/>
        <rFont val="楷体"/>
        <charset val="134"/>
      </rPr>
      <t>和</t>
    </r>
    <r>
      <rPr>
        <sz val="9"/>
        <color rgb="FF000000"/>
        <rFont val="Arial"/>
        <charset val="134"/>
      </rPr>
      <t>GenoBaits</t>
    </r>
    <r>
      <rPr>
        <sz val="9"/>
        <color rgb="FF000000"/>
        <rFont val="楷体"/>
        <charset val="134"/>
      </rPr>
      <t>两项自主知识产权的靶向基因捕获测序技术体系，为客户提供优异的捕获效率、灵活的标记类型和捕获类型以及低成本的定制化服务。</t>
    </r>
  </si>
  <si>
    <t>石家庄博瑞迪生物技术有限公司</t>
  </si>
  <si>
    <t>http://www.molbreeding.com/</t>
  </si>
  <si>
    <r>
      <rPr>
        <sz val="9"/>
        <color rgb="FF000000"/>
        <rFont val="楷体"/>
        <charset val="134"/>
      </rPr>
      <t>河北</t>
    </r>
    <r>
      <rPr>
        <sz val="9"/>
        <color rgb="FF000000"/>
        <rFont val="Arial"/>
        <charset val="134"/>
      </rPr>
      <t>-</t>
    </r>
    <r>
      <rPr>
        <sz val="9"/>
        <color rgb="FF000000"/>
        <rFont val="楷体"/>
        <charset val="134"/>
      </rPr>
      <t>石家庄</t>
    </r>
  </si>
  <si>
    <r>
      <rPr>
        <sz val="9"/>
        <color rgb="FF000000"/>
        <rFont val="楷体"/>
        <charset val="134"/>
      </rPr>
      <t>农业</t>
    </r>
  </si>
  <si>
    <r>
      <rPr>
        <sz val="9"/>
        <color rgb="FF000000"/>
        <rFont val="楷体"/>
        <charset val="134"/>
      </rPr>
      <t>农业生物技术</t>
    </r>
  </si>
  <si>
    <r>
      <rPr>
        <sz val="9"/>
        <color rgb="FF000000"/>
        <rFont val="楷体"/>
        <charset val="134"/>
      </rPr>
      <t>阿里巴巴</t>
    </r>
    <r>
      <rPr>
        <sz val="9"/>
        <color rgb="FF000000"/>
        <rFont val="Arial"/>
        <charset val="134"/>
      </rPr>
      <t>,</t>
    </r>
    <r>
      <rPr>
        <sz val="9"/>
        <color rgb="FF000000"/>
        <rFont val="楷体"/>
        <charset val="134"/>
      </rPr>
      <t>允治资本</t>
    </r>
    <r>
      <rPr>
        <sz val="9"/>
        <color rgb="FF000000"/>
        <rFont val="Arial"/>
        <charset val="134"/>
      </rPr>
      <t>,</t>
    </r>
    <r>
      <rPr>
        <sz val="9"/>
        <color rgb="FF000000"/>
        <rFont val="楷体"/>
        <charset val="134"/>
      </rPr>
      <t>万物资本</t>
    </r>
    <r>
      <rPr>
        <sz val="9"/>
        <color rgb="FF000000"/>
        <rFont val="Arial"/>
        <charset val="134"/>
      </rPr>
      <t>,</t>
    </r>
    <r>
      <rPr>
        <sz val="9"/>
        <color rgb="FF000000"/>
        <rFont val="楷体"/>
        <charset val="134"/>
      </rPr>
      <t>昊辰资本</t>
    </r>
    <r>
      <rPr>
        <sz val="9"/>
        <color rgb="FF000000"/>
        <rFont val="Arial"/>
        <charset val="134"/>
      </rPr>
      <t>,</t>
    </r>
    <r>
      <rPr>
        <sz val="9"/>
        <color rgb="FF000000"/>
        <rFont val="楷体"/>
        <charset val="134"/>
      </rPr>
      <t>吉慧资本</t>
    </r>
  </si>
  <si>
    <r>
      <t>2.31</t>
    </r>
    <r>
      <rPr>
        <sz val="9"/>
        <color rgb="FF000000"/>
        <rFont val="楷体"/>
        <charset val="134"/>
      </rPr>
      <t>亿</t>
    </r>
  </si>
  <si>
    <r>
      <t>5</t>
    </r>
    <r>
      <rPr>
        <sz val="9"/>
        <color rgb="FF000000"/>
        <rFont val="楷体"/>
        <charset val="134"/>
      </rPr>
      <t>亿元</t>
    </r>
  </si>
  <si>
    <r>
      <rPr>
        <sz val="9"/>
        <color rgb="FF000000"/>
        <rFont val="楷体"/>
        <charset val="134"/>
      </rPr>
      <t>石家庄高新区黄河大道</t>
    </r>
    <r>
      <rPr>
        <sz val="9"/>
        <color rgb="FF000000"/>
        <rFont val="Arial"/>
        <charset val="134"/>
      </rPr>
      <t>136</t>
    </r>
    <r>
      <rPr>
        <sz val="9"/>
        <color rgb="FF000000"/>
        <rFont val="楷体"/>
        <charset val="134"/>
      </rPr>
      <t>号科技中心</t>
    </r>
    <r>
      <rPr>
        <sz val="9"/>
        <color rgb="FF000000"/>
        <rFont val="Arial"/>
        <charset val="134"/>
      </rPr>
      <t>6</t>
    </r>
    <r>
      <rPr>
        <sz val="9"/>
        <color rgb="FF000000"/>
        <rFont val="楷体"/>
        <charset val="134"/>
      </rPr>
      <t>层</t>
    </r>
    <r>
      <rPr>
        <sz val="9"/>
        <color rgb="FF000000"/>
        <rFont val="Arial"/>
        <charset val="134"/>
      </rPr>
      <t>C</t>
    </r>
    <r>
      <rPr>
        <sz val="9"/>
        <color rgb="FF000000"/>
        <rFont val="楷体"/>
        <charset val="134"/>
      </rPr>
      <t>区</t>
    </r>
    <r>
      <rPr>
        <sz val="9"/>
        <color rgb="FF000000"/>
        <rFont val="Arial"/>
        <charset val="134"/>
      </rPr>
      <t>611</t>
    </r>
    <r>
      <rPr>
        <sz val="9"/>
        <color rgb="FF000000"/>
        <rFont val="楷体"/>
        <charset val="134"/>
      </rPr>
      <t>室</t>
    </r>
  </si>
  <si>
    <t>400-008-9521</t>
  </si>
  <si>
    <t>info@molbreeding.com</t>
  </si>
  <si>
    <r>
      <rPr>
        <sz val="9"/>
        <color rgb="FF000000"/>
        <rFont val="楷体"/>
        <charset val="134"/>
      </rPr>
      <t>允治资本</t>
    </r>
    <r>
      <rPr>
        <sz val="9"/>
        <color rgb="FF000000"/>
        <rFont val="Arial"/>
        <charset val="134"/>
      </rPr>
      <t>,</t>
    </r>
    <r>
      <rPr>
        <sz val="9"/>
        <color rgb="FF000000"/>
        <rFont val="楷体"/>
        <charset val="134"/>
      </rPr>
      <t>万物资本</t>
    </r>
    <r>
      <rPr>
        <sz val="9"/>
        <color rgb="FF000000"/>
        <rFont val="Arial"/>
        <charset val="134"/>
      </rPr>
      <t>,</t>
    </r>
    <r>
      <rPr>
        <sz val="9"/>
        <color rgb="FF000000"/>
        <rFont val="楷体"/>
        <charset val="134"/>
      </rPr>
      <t>吉慧资本</t>
    </r>
  </si>
  <si>
    <r>
      <rPr>
        <sz val="9"/>
        <color rgb="FF000000"/>
        <rFont val="楷体"/>
        <charset val="134"/>
      </rPr>
      <t>允治资本</t>
    </r>
    <r>
      <rPr>
        <sz val="9"/>
        <color rgb="FF000000"/>
        <rFont val="Arial"/>
        <charset val="134"/>
      </rPr>
      <t>,</t>
    </r>
    <r>
      <rPr>
        <sz val="9"/>
        <color rgb="FF000000"/>
        <rFont val="楷体"/>
        <charset val="134"/>
      </rPr>
      <t>中信农业基金</t>
    </r>
  </si>
  <si>
    <t>中信农业基金</t>
  </si>
  <si>
    <t>2021-09-30</t>
  </si>
  <si>
    <t>格兰菲</t>
  </si>
  <si>
    <r>
      <rPr>
        <sz val="9"/>
        <color rgb="FF000000"/>
        <rFont val="楷体"/>
        <charset val="134"/>
      </rPr>
      <t>格兰菲</t>
    </r>
  </si>
  <si>
    <r>
      <rPr>
        <sz val="9"/>
        <color rgb="FF000000"/>
        <rFont val="楷体"/>
        <charset val="134"/>
      </rPr>
      <t>格兰菲是一家</t>
    </r>
    <r>
      <rPr>
        <sz val="9"/>
        <color rgb="FF000000"/>
        <rFont val="Arial"/>
        <charset val="134"/>
      </rPr>
      <t>GPU</t>
    </r>
    <r>
      <rPr>
        <sz val="9"/>
        <color rgb="FF000000"/>
        <rFont val="楷体"/>
        <charset val="134"/>
      </rPr>
      <t>图形图像解决方案提供商，致力于通过提供软硬件集成的</t>
    </r>
    <r>
      <rPr>
        <sz val="9"/>
        <color rgb="FF000000"/>
        <rFont val="Arial"/>
        <charset val="134"/>
      </rPr>
      <t>GPU</t>
    </r>
    <r>
      <rPr>
        <sz val="9"/>
        <color rgb="FF000000"/>
        <rFont val="楷体"/>
        <charset val="134"/>
      </rPr>
      <t>图形图像解决方案和</t>
    </r>
    <r>
      <rPr>
        <sz val="9"/>
        <color rgb="FF000000"/>
        <rFont val="Arial"/>
        <charset val="134"/>
      </rPr>
      <t>AMOLED</t>
    </r>
    <r>
      <rPr>
        <sz val="9"/>
        <color rgb="FF000000"/>
        <rFont val="楷体"/>
        <charset val="134"/>
      </rPr>
      <t>显示解决方案，帮助客户在计算机软硬件、自动驾驶、网络游戏、智能办公等领域，解决各种潜在挑战，满足多样化需求。</t>
    </r>
    <r>
      <rPr>
        <sz val="9"/>
        <color rgb="FF000000"/>
        <rFont val="Arial"/>
        <charset val="134"/>
      </rPr>
      <t xml:space="preserve">
</t>
    </r>
  </si>
  <si>
    <t>格兰菲智能科技有限公司</t>
  </si>
  <si>
    <t>http://www.glenfly.com/</t>
  </si>
  <si>
    <r>
      <t>Pre-A</t>
    </r>
    <r>
      <rPr>
        <sz val="9"/>
        <color rgb="FF000000"/>
        <rFont val="楷体"/>
        <charset val="134"/>
      </rPr>
      <t>轮</t>
    </r>
  </si>
  <si>
    <r>
      <rPr>
        <sz val="9"/>
        <color rgb="FF000000"/>
        <rFont val="楷体"/>
        <charset val="134"/>
      </rPr>
      <t>君联资本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信熹资本</t>
    </r>
  </si>
  <si>
    <r>
      <t>2000</t>
    </r>
    <r>
      <rPr>
        <sz val="9"/>
        <color rgb="FF000000"/>
        <rFont val="楷体"/>
        <charset val="134"/>
      </rPr>
      <t>万</t>
    </r>
  </si>
  <si>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自由贸易试验区金科路</t>
    </r>
    <r>
      <rPr>
        <sz val="9"/>
        <color rgb="FF000000"/>
        <rFont val="Arial"/>
        <charset val="134"/>
      </rPr>
      <t>2557</t>
    </r>
    <r>
      <rPr>
        <sz val="9"/>
        <color rgb="FF000000"/>
        <rFont val="楷体"/>
        <charset val="134"/>
      </rPr>
      <t>号</t>
    </r>
    <r>
      <rPr>
        <sz val="9"/>
        <color rgb="FF000000"/>
        <rFont val="Arial"/>
        <charset val="134"/>
      </rPr>
      <t>201</t>
    </r>
    <r>
      <rPr>
        <sz val="9"/>
        <color rgb="FF000000"/>
        <rFont val="楷体"/>
        <charset val="134"/>
      </rPr>
      <t>室</t>
    </r>
  </si>
  <si>
    <t>021-6061-1988</t>
  </si>
  <si>
    <t>ginaqian@glenfly.com</t>
  </si>
  <si>
    <r>
      <t>Riki Group</t>
    </r>
    <r>
      <rPr>
        <sz val="9"/>
        <color rgb="FF000000"/>
        <rFont val="楷体"/>
        <charset val="134"/>
      </rPr>
      <t>是俄罗斯一家少儿动画制作商，为各个年龄段的观众开发、制作、推广娱乐和教育媒体产品。同时致力于开发物业营销策略，服务包括：目标人口统计分析和市场调研、</t>
    </r>
    <r>
      <rPr>
        <sz val="9"/>
        <color rgb="FF000000"/>
        <rFont val="Arial"/>
        <charset val="134"/>
      </rPr>
      <t xml:space="preserve">Riki </t>
    </r>
    <r>
      <rPr>
        <sz val="9"/>
        <color rgb="FF000000"/>
        <rFont val="楷体"/>
        <charset val="134"/>
      </rPr>
      <t>品牌组合中的品牌定位以及品牌书籍和风格指南的创建。</t>
    </r>
    <r>
      <rPr>
        <sz val="9"/>
        <color rgb="FF000000"/>
        <rFont val="Arial"/>
        <charset val="134"/>
      </rPr>
      <t xml:space="preserve">Riki </t>
    </r>
    <r>
      <rPr>
        <sz val="9"/>
        <color rgb="FF000000"/>
        <rFont val="楷体"/>
        <charset val="134"/>
      </rPr>
      <t>还通过服务支持品牌在市场首次亮相，包括：利基发展、确定目标受众、评估许可的潜在机会、首次推出公关策略等。</t>
    </r>
  </si>
  <si>
    <t>http://www.riki-group.com/</t>
  </si>
  <si>
    <t>2003-01</t>
  </si>
  <si>
    <r>
      <rPr>
        <sz val="9"/>
        <color rgb="FF000000"/>
        <rFont val="楷体"/>
        <charset val="134"/>
      </rPr>
      <t>欧洲</t>
    </r>
    <r>
      <rPr>
        <sz val="9"/>
        <color rgb="FF000000"/>
        <rFont val="Arial"/>
        <charset val="134"/>
      </rPr>
      <t>-</t>
    </r>
    <r>
      <rPr>
        <sz val="9"/>
        <color rgb="FF000000"/>
        <rFont val="楷体"/>
        <charset val="134"/>
      </rPr>
      <t>俄罗斯</t>
    </r>
  </si>
  <si>
    <r>
      <rPr>
        <sz val="9"/>
        <color rgb="FF000000"/>
        <rFont val="楷体"/>
        <charset val="134"/>
      </rPr>
      <t>动漫</t>
    </r>
  </si>
  <si>
    <t>圣彼得堡</t>
  </si>
  <si>
    <t>2021-11-05</t>
  </si>
  <si>
    <t>泰乐坊</t>
  </si>
  <si>
    <r>
      <rPr>
        <sz val="9"/>
        <color rgb="FF000000"/>
        <rFont val="楷体"/>
        <charset val="134"/>
      </rPr>
      <t>泰乐坊</t>
    </r>
  </si>
  <si>
    <r>
      <rPr>
        <sz val="9"/>
        <color rgb="FF000000"/>
        <rFont val="楷体"/>
        <charset val="134"/>
      </rPr>
      <t>泰乐坊是一家动漫游戏开发商，创始人团队合作超</t>
    </r>
    <r>
      <rPr>
        <sz val="9"/>
        <color rgb="FF000000"/>
        <rFont val="Arial"/>
        <charset val="134"/>
      </rPr>
      <t>10</t>
    </r>
    <r>
      <rPr>
        <sz val="9"/>
        <color rgb="FF000000"/>
        <rFont val="楷体"/>
        <charset val="134"/>
      </rPr>
      <t>年，主导并深度参与多款成功游戏研发及发行。</t>
    </r>
    <r>
      <rPr>
        <sz val="9"/>
        <color rgb="FF000000"/>
        <rFont val="Arial"/>
        <charset val="134"/>
      </rPr>
      <t xml:space="preserve">
</t>
    </r>
  </si>
  <si>
    <t>上海泰乐坊科技有限公司</t>
  </si>
  <si>
    <t>2021-06</t>
  </si>
  <si>
    <r>
      <rPr>
        <sz val="9"/>
        <color rgb="FF000000"/>
        <rFont val="楷体"/>
        <charset val="134"/>
      </rPr>
      <t>游戏</t>
    </r>
  </si>
  <si>
    <r>
      <rPr>
        <sz val="9"/>
        <color rgb="FF000000"/>
        <rFont val="楷体"/>
        <charset val="134"/>
      </rPr>
      <t>游戏开发商</t>
    </r>
  </si>
  <si>
    <r>
      <rPr>
        <sz val="9"/>
        <color rgb="FF000000"/>
        <rFont val="楷体"/>
        <charset val="134"/>
      </rPr>
      <t>天使轮</t>
    </r>
  </si>
  <si>
    <r>
      <rPr>
        <sz val="9"/>
        <color rgb="FF000000"/>
        <rFont val="楷体"/>
        <charset val="134"/>
      </rPr>
      <t>叶志飞</t>
    </r>
    <r>
      <rPr>
        <sz val="9"/>
        <color rgb="FF000000"/>
        <rFont val="Arial"/>
        <charset val="134"/>
      </rPr>
      <t>:</t>
    </r>
    <r>
      <rPr>
        <sz val="9"/>
        <color rgb="FF000000"/>
        <rFont val="楷体"/>
        <charset val="134"/>
      </rPr>
      <t>创始人</t>
    </r>
  </si>
  <si>
    <r>
      <rPr>
        <sz val="9"/>
        <color rgb="FF000000"/>
        <rFont val="楷体"/>
        <charset val="134"/>
      </rPr>
      <t>上海市嘉定区真南路</t>
    </r>
    <r>
      <rPr>
        <sz val="9"/>
        <color rgb="FF000000"/>
        <rFont val="Arial"/>
        <charset val="134"/>
      </rPr>
      <t>4268</t>
    </r>
    <r>
      <rPr>
        <sz val="9"/>
        <color rgb="FF000000"/>
        <rFont val="楷体"/>
        <charset val="134"/>
      </rPr>
      <t>号</t>
    </r>
    <r>
      <rPr>
        <sz val="9"/>
        <color rgb="FF000000"/>
        <rFont val="Arial"/>
        <charset val="134"/>
      </rPr>
      <t>JT17030</t>
    </r>
    <r>
      <rPr>
        <sz val="9"/>
        <color rgb="FF000000"/>
        <rFont val="楷体"/>
        <charset val="134"/>
      </rPr>
      <t>室</t>
    </r>
  </si>
  <si>
    <t xml:space="preserve"> hr@tera-fun.com</t>
  </si>
  <si>
    <t>2021-12-13</t>
  </si>
  <si>
    <r>
      <rPr>
        <sz val="9"/>
        <color rgb="FF000000"/>
        <rFont val="Arial"/>
        <charset val="134"/>
      </rPr>
      <t>CrownX</t>
    </r>
    <r>
      <rPr>
        <sz val="9"/>
        <color rgb="FF000000"/>
        <rFont val="楷体"/>
        <charset val="134"/>
      </rPr>
      <t>是一家越南在线购物平台，该公司开发了自动补货系统，主要提供多种品类的杂货，致力于为用户提供在线购物服务。</t>
    </r>
  </si>
  <si>
    <r>
      <rPr>
        <sz val="9"/>
        <color rgb="FF000000"/>
        <rFont val="楷体"/>
        <charset val="134"/>
      </rPr>
      <t>亚洲</t>
    </r>
    <r>
      <rPr>
        <sz val="9"/>
        <color rgb="FF000000"/>
        <rFont val="Arial"/>
        <charset val="134"/>
      </rPr>
      <t>-</t>
    </r>
    <r>
      <rPr>
        <sz val="9"/>
        <color rgb="FF000000"/>
        <rFont val="楷体"/>
        <charset val="134"/>
      </rPr>
      <t>越南</t>
    </r>
  </si>
  <si>
    <r>
      <rPr>
        <sz val="9"/>
        <color rgb="FF000000"/>
        <rFont val="Arial"/>
        <charset val="134"/>
      </rPr>
      <t>TPG</t>
    </r>
    <r>
      <rPr>
        <sz val="9"/>
        <color rgb="FF000000"/>
        <rFont val="楷体"/>
        <charset val="134"/>
      </rPr>
      <t>德太资本</t>
    </r>
    <r>
      <rPr>
        <sz val="9"/>
        <color rgb="FF000000"/>
        <rFont val="Arial"/>
        <charset val="134"/>
      </rPr>
      <t>,Platinum Orchid,SeaTown Master Fund</t>
    </r>
  </si>
  <si>
    <r>
      <rPr>
        <sz val="9"/>
        <color rgb="FF000000"/>
        <rFont val="Arial"/>
        <charset val="134"/>
      </rPr>
      <t>48.75</t>
    </r>
    <r>
      <rPr>
        <sz val="9"/>
        <color rgb="FF000000"/>
        <rFont val="楷体"/>
        <charset val="134"/>
      </rPr>
      <t>亿</t>
    </r>
  </si>
  <si>
    <r>
      <rPr>
        <sz val="9"/>
        <color rgb="FF000000"/>
        <rFont val="Arial"/>
        <charset val="134"/>
      </rPr>
      <t>520</t>
    </r>
    <r>
      <rPr>
        <sz val="9"/>
        <color rgb="FF000000"/>
        <rFont val="楷体"/>
        <charset val="134"/>
      </rPr>
      <t>亿元</t>
    </r>
  </si>
  <si>
    <t>Truong Cong Thang:Chairman and CEO</t>
  </si>
  <si>
    <t>2022-01-10</t>
  </si>
  <si>
    <t>济达交通</t>
  </si>
  <si>
    <r>
      <rPr>
        <sz val="9"/>
        <color rgb="FF000000"/>
        <rFont val="楷体"/>
        <charset val="134"/>
      </rPr>
      <t>济达交通</t>
    </r>
  </si>
  <si>
    <r>
      <rPr>
        <sz val="9"/>
        <color rgb="FF000000"/>
        <rFont val="楷体"/>
        <charset val="134"/>
      </rPr>
      <t>济达交通是一家交通仿真领域的技术公司，主打产品为国产</t>
    </r>
    <r>
      <rPr>
        <sz val="9"/>
        <color rgb="FF000000"/>
        <rFont val="Arial"/>
        <charset val="134"/>
      </rPr>
      <t>TESS NG</t>
    </r>
    <r>
      <rPr>
        <sz val="9"/>
        <color rgb="FF000000"/>
        <rFont val="楷体"/>
        <charset val="134"/>
      </rPr>
      <t>微观交通仿真软件。公司致力于引领微观交通仿真行业技术发展及工程价值应用。</t>
    </r>
  </si>
  <si>
    <t>上海济达交通科技有限公司</t>
  </si>
  <si>
    <t>https://www.jidatraffic.com/</t>
  </si>
  <si>
    <t>2019-11</t>
  </si>
  <si>
    <r>
      <rPr>
        <sz val="9"/>
        <color rgb="FF000000"/>
        <rFont val="楷体"/>
        <charset val="134"/>
      </rPr>
      <t>刘启远</t>
    </r>
    <r>
      <rPr>
        <sz val="9"/>
        <color rgb="FF000000"/>
        <rFont val="Arial"/>
        <charset val="134"/>
      </rPr>
      <t>:</t>
    </r>
    <r>
      <rPr>
        <sz val="9"/>
        <color rgb="FF000000"/>
        <rFont val="楷体"/>
        <charset val="134"/>
      </rPr>
      <t>总经理</t>
    </r>
  </si>
  <si>
    <r>
      <rPr>
        <sz val="9"/>
        <color rgb="FF000000"/>
        <rFont val="楷体"/>
        <charset val="134"/>
      </rPr>
      <t>上海市嘉定区安亭镇曹安公路</t>
    </r>
    <r>
      <rPr>
        <sz val="9"/>
        <color rgb="FF000000"/>
        <rFont val="Arial"/>
        <charset val="134"/>
      </rPr>
      <t>4801</t>
    </r>
    <r>
      <rPr>
        <sz val="9"/>
        <color rgb="FF000000"/>
        <rFont val="楷体"/>
        <charset val="134"/>
      </rPr>
      <t>号</t>
    </r>
    <r>
      <rPr>
        <sz val="9"/>
        <color rgb="FF000000"/>
        <rFont val="Arial"/>
        <charset val="134"/>
      </rPr>
      <t>604</t>
    </r>
    <r>
      <rPr>
        <sz val="9"/>
        <color rgb="FF000000"/>
        <rFont val="楷体"/>
        <charset val="134"/>
      </rPr>
      <t>室</t>
    </r>
    <r>
      <rPr>
        <sz val="9"/>
        <color rgb="FF000000"/>
        <rFont val="Arial"/>
        <charset val="134"/>
      </rPr>
      <t>-1</t>
    </r>
  </si>
  <si>
    <t>jidatraffic@126.com</t>
  </si>
  <si>
    <t>2022-02-08</t>
  </si>
  <si>
    <t>森宝积木</t>
  </si>
  <si>
    <r>
      <rPr>
        <sz val="9"/>
        <color rgb="FF000000"/>
        <rFont val="楷体"/>
        <charset val="134"/>
      </rPr>
      <t>森宝积木</t>
    </r>
  </si>
  <si>
    <r>
      <rPr>
        <sz val="9"/>
        <color rgb="FF000000"/>
        <rFont val="楷体"/>
        <charset val="134"/>
      </rPr>
      <t>森宝积木是一家集积木玩具研发、生产、销售于一体的专业积木生产企业，获得</t>
    </r>
    <r>
      <rPr>
        <sz val="9"/>
        <color rgb="FF000000"/>
        <rFont val="Arial"/>
        <charset val="134"/>
      </rPr>
      <t>“</t>
    </r>
    <r>
      <rPr>
        <sz val="9"/>
        <color rgb="FF000000"/>
        <rFont val="楷体"/>
        <charset val="134"/>
      </rPr>
      <t>宇宙营销奥特曼</t>
    </r>
    <r>
      <rPr>
        <sz val="9"/>
        <color rgb="FF000000"/>
        <rFont val="Arial"/>
        <charset val="134"/>
      </rPr>
      <t>”</t>
    </r>
    <r>
      <rPr>
        <sz val="9"/>
        <color rgb="FF000000"/>
        <rFont val="楷体"/>
        <charset val="134"/>
      </rPr>
      <t>系列的中国大陆地区授权和《流浪地球》《紧急救援》《唐人街探案</t>
    </r>
    <r>
      <rPr>
        <sz val="9"/>
        <color rgb="FF000000"/>
        <rFont val="Arial"/>
        <charset val="134"/>
      </rPr>
      <t>3</t>
    </r>
    <r>
      <rPr>
        <sz val="9"/>
        <color rgb="FF000000"/>
        <rFont val="楷体"/>
        <charset val="134"/>
      </rPr>
      <t>》等多个知名</t>
    </r>
    <r>
      <rPr>
        <sz val="9"/>
        <color rgb="FF000000"/>
        <rFont val="Arial"/>
        <charset val="134"/>
      </rPr>
      <t>IP</t>
    </r>
    <r>
      <rPr>
        <sz val="9"/>
        <color rgb="FF000000"/>
        <rFont val="楷体"/>
        <charset val="134"/>
      </rPr>
      <t>授权。</t>
    </r>
  </si>
  <si>
    <t>广东森宝文化实业有限公司</t>
  </si>
  <si>
    <r>
      <rPr>
        <sz val="9"/>
        <color rgb="FF000000"/>
        <rFont val="楷体"/>
        <charset val="134"/>
      </rPr>
      <t>广东</t>
    </r>
    <r>
      <rPr>
        <sz val="9"/>
        <color rgb="FF000000"/>
        <rFont val="Arial"/>
        <charset val="134"/>
      </rPr>
      <t>-</t>
    </r>
    <r>
      <rPr>
        <sz val="9"/>
        <color rgb="FF000000"/>
        <rFont val="楷体"/>
        <charset val="134"/>
      </rPr>
      <t>汕头</t>
    </r>
  </si>
  <si>
    <r>
      <rPr>
        <sz val="9"/>
        <color rgb="FF000000"/>
        <rFont val="楷体"/>
        <charset val="134"/>
      </rPr>
      <t>传统制造</t>
    </r>
  </si>
  <si>
    <r>
      <rPr>
        <sz val="9"/>
        <color rgb="FF000000"/>
        <rFont val="楷体"/>
        <charset val="134"/>
      </rPr>
      <t>轻工制造</t>
    </r>
  </si>
  <si>
    <r>
      <rPr>
        <sz val="9"/>
        <color rgb="FF000000"/>
        <rFont val="楷体"/>
        <charset val="134"/>
      </rPr>
      <t>阿里巴巴</t>
    </r>
    <r>
      <rPr>
        <sz val="9"/>
        <color rgb="FF000000"/>
        <rFont val="Arial"/>
        <charset val="134"/>
      </rPr>
      <t>,</t>
    </r>
    <r>
      <rPr>
        <sz val="9"/>
        <color rgb="FF000000"/>
        <rFont val="楷体"/>
        <charset val="134"/>
      </rPr>
      <t>弘晖资本</t>
    </r>
    <r>
      <rPr>
        <sz val="9"/>
        <color rgb="FF000000"/>
        <rFont val="Arial"/>
        <charset val="134"/>
      </rPr>
      <t>,</t>
    </r>
    <r>
      <rPr>
        <sz val="9"/>
        <color rgb="FF000000"/>
        <rFont val="楷体"/>
        <charset val="134"/>
      </rPr>
      <t>头头是道投资基金</t>
    </r>
  </si>
  <si>
    <r>
      <t>3</t>
    </r>
    <r>
      <rPr>
        <sz val="9"/>
        <color rgb="FF000000"/>
        <rFont val="楷体"/>
        <charset val="134"/>
      </rPr>
      <t>亿</t>
    </r>
  </si>
  <si>
    <r>
      <rPr>
        <sz val="9"/>
        <color rgb="FF000000"/>
        <rFont val="楷体"/>
        <charset val="134"/>
      </rPr>
      <t>林泽哲</t>
    </r>
    <r>
      <rPr>
        <sz val="9"/>
        <color rgb="FF000000"/>
        <rFont val="Arial"/>
        <charset val="134"/>
      </rPr>
      <t>:</t>
    </r>
    <r>
      <rPr>
        <sz val="9"/>
        <color rgb="FF000000"/>
        <rFont val="楷体"/>
        <charset val="134"/>
      </rPr>
      <t>创始人</t>
    </r>
  </si>
  <si>
    <t>汕头市澄海区上华镇下陈村塘下南旱园</t>
  </si>
  <si>
    <t>075-48560-7911</t>
  </si>
  <si>
    <t>315834877@qq.com</t>
  </si>
  <si>
    <t>2023-03-15</t>
  </si>
  <si>
    <t>杰成新能源</t>
  </si>
  <si>
    <r>
      <rPr>
        <sz val="9"/>
        <color rgb="FF000000"/>
        <rFont val="楷体"/>
        <charset val="134"/>
      </rPr>
      <t>杰成新能源</t>
    </r>
  </si>
  <si>
    <r>
      <rPr>
        <sz val="9"/>
        <color rgb="FF000000"/>
        <rFont val="楷体"/>
        <charset val="134"/>
      </rPr>
      <t>杰成新能源定位新能源低碳环保产业。专注于新能源汽车退役动力蓄电池及锂电池相关废旧材料循环再利用的研发、回收、仓储、加工和销售，目前产业链布局完整，包含退役锂电池的回收采购、仓储转运、梯次利用、拆解再生和冶金提炼等。公司采用先进的无害化处理及循环再利用技术，实现了对退役电池的</t>
    </r>
    <r>
      <rPr>
        <sz val="9"/>
        <color rgb="FF000000"/>
        <rFont val="Arial"/>
        <charset val="134"/>
      </rPr>
      <t>“</t>
    </r>
    <r>
      <rPr>
        <sz val="9"/>
        <color rgb="FF000000"/>
        <rFont val="楷体"/>
        <charset val="134"/>
      </rPr>
      <t>绿色</t>
    </r>
    <r>
      <rPr>
        <sz val="9"/>
        <color rgb="FF000000"/>
        <rFont val="Arial"/>
        <charset val="134"/>
      </rPr>
      <t>”</t>
    </r>
    <r>
      <rPr>
        <sz val="9"/>
        <color rgb="FF000000"/>
        <rFont val="楷体"/>
        <charset val="134"/>
      </rPr>
      <t>循环利用处理。</t>
    </r>
  </si>
  <si>
    <t>深圳市杰成镍钴新能源科技有限公司</t>
  </si>
  <si>
    <t>http://www.jcnico.com/</t>
  </si>
  <si>
    <r>
      <rPr>
        <sz val="9"/>
        <color rgb="FF000000"/>
        <rFont val="楷体"/>
        <charset val="134"/>
      </rPr>
      <t>深创投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紫峰资本</t>
    </r>
    <r>
      <rPr>
        <sz val="9"/>
        <color rgb="FF000000"/>
        <rFont val="Arial"/>
        <charset val="134"/>
      </rPr>
      <t>,</t>
    </r>
    <r>
      <rPr>
        <sz val="9"/>
        <color rgb="FF000000"/>
        <rFont val="楷体"/>
        <charset val="134"/>
      </rPr>
      <t>弘湾资本</t>
    </r>
    <r>
      <rPr>
        <sz val="9"/>
        <color rgb="FF000000"/>
        <rFont val="Arial"/>
        <charset val="134"/>
      </rPr>
      <t>,</t>
    </r>
    <r>
      <rPr>
        <sz val="9"/>
        <color rgb="FF000000"/>
        <rFont val="楷体"/>
        <charset val="134"/>
      </rPr>
      <t>博云创投</t>
    </r>
    <r>
      <rPr>
        <sz val="9"/>
        <color rgb="FF000000"/>
        <rFont val="Arial"/>
        <charset val="134"/>
      </rPr>
      <t>,</t>
    </r>
    <r>
      <rPr>
        <sz val="9"/>
        <color rgb="FF000000"/>
        <rFont val="楷体"/>
        <charset val="134"/>
      </rPr>
      <t>新会新科</t>
    </r>
    <r>
      <rPr>
        <sz val="9"/>
        <color rgb="FF000000"/>
        <rFont val="Arial"/>
        <charset val="134"/>
      </rPr>
      <t>,</t>
    </r>
    <r>
      <rPr>
        <sz val="9"/>
        <color rgb="FF000000"/>
        <rFont val="楷体"/>
        <charset val="134"/>
      </rPr>
      <t>平陵集团</t>
    </r>
    <r>
      <rPr>
        <sz val="9"/>
        <color rgb="FF000000"/>
        <rFont val="Arial"/>
        <charset val="134"/>
      </rPr>
      <t>,</t>
    </r>
    <r>
      <rPr>
        <sz val="9"/>
        <color rgb="FF000000"/>
        <rFont val="楷体"/>
        <charset val="134"/>
      </rPr>
      <t>和荣资本</t>
    </r>
    <r>
      <rPr>
        <sz val="9"/>
        <color rgb="FF000000"/>
        <rFont val="Arial"/>
        <charset val="134"/>
      </rPr>
      <t>,</t>
    </r>
    <r>
      <rPr>
        <sz val="9"/>
        <color rgb="FF000000"/>
        <rFont val="楷体"/>
        <charset val="134"/>
      </rPr>
      <t>龙岗金控</t>
    </r>
  </si>
  <si>
    <r>
      <rPr>
        <sz val="9"/>
        <color rgb="FF000000"/>
        <rFont val="楷体"/>
        <charset val="134"/>
      </rPr>
      <t>郑伟鹏</t>
    </r>
    <r>
      <rPr>
        <sz val="9"/>
        <color rgb="FF000000"/>
        <rFont val="Arial"/>
        <charset val="134"/>
      </rPr>
      <t>:</t>
    </r>
    <r>
      <rPr>
        <sz val="9"/>
        <color rgb="FF000000"/>
        <rFont val="楷体"/>
        <charset val="134"/>
      </rPr>
      <t>创始人</t>
    </r>
    <r>
      <rPr>
        <sz val="9"/>
        <color rgb="FF000000"/>
        <rFont val="Arial"/>
        <charset val="134"/>
      </rPr>
      <t xml:space="preserve"> &amp;CEO</t>
    </r>
  </si>
  <si>
    <r>
      <rPr>
        <sz val="9"/>
        <color rgb="FF000000"/>
        <rFont val="楷体"/>
        <charset val="134"/>
      </rPr>
      <t>广东深圳市龙岗区坪地街道坪西岭杰路</t>
    </r>
    <r>
      <rPr>
        <sz val="9"/>
        <color rgb="FF000000"/>
        <rFont val="Arial"/>
        <charset val="134"/>
      </rPr>
      <t>1</t>
    </r>
    <r>
      <rPr>
        <sz val="9"/>
        <color rgb="FF000000"/>
        <rFont val="楷体"/>
        <charset val="134"/>
      </rPr>
      <t>号</t>
    </r>
  </si>
  <si>
    <t>0755-8466-8869</t>
  </si>
  <si>
    <t>info@jcnico.com</t>
  </si>
  <si>
    <r>
      <rPr>
        <sz val="9"/>
        <color rgb="FF000000"/>
        <rFont val="楷体"/>
        <charset val="134"/>
      </rPr>
      <t>中银粤财</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新意资本</t>
    </r>
    <r>
      <rPr>
        <sz val="9"/>
        <color rgb="FF000000"/>
        <rFont val="Arial"/>
        <charset val="134"/>
      </rPr>
      <t>,</t>
    </r>
    <r>
      <rPr>
        <sz val="9"/>
        <color rgb="FF000000"/>
        <rFont val="楷体"/>
        <charset val="134"/>
      </rPr>
      <t>龙岗金控（深圳）</t>
    </r>
  </si>
  <si>
    <t>2022-08-10</t>
  </si>
  <si>
    <t>Unity中国</t>
  </si>
  <si>
    <r>
      <t>Unity</t>
    </r>
    <r>
      <rPr>
        <sz val="9"/>
        <color rgb="FF000000"/>
        <rFont val="楷体"/>
        <charset val="134"/>
      </rPr>
      <t>中国</t>
    </r>
  </si>
  <si>
    <r>
      <t>Unity</t>
    </r>
    <r>
      <rPr>
        <sz val="9"/>
        <color rgb="FF000000"/>
        <rFont val="楷体"/>
        <charset val="134"/>
      </rPr>
      <t>中国是一个实时</t>
    </r>
    <r>
      <rPr>
        <sz val="9"/>
        <color rgb="FF000000"/>
        <rFont val="Arial"/>
        <charset val="134"/>
      </rPr>
      <t>3D</t>
    </r>
    <r>
      <rPr>
        <sz val="9"/>
        <color rgb="FF000000"/>
        <rFont val="楷体"/>
        <charset val="134"/>
      </rPr>
      <t>内容开发平台，将开始为游戏开发者构建其核心产品的本地定制版本，包括旗舰产品</t>
    </r>
    <r>
      <rPr>
        <sz val="9"/>
        <color rgb="FF000000"/>
        <rFont val="Arial"/>
        <charset val="134"/>
      </rPr>
      <t>Unity</t>
    </r>
    <r>
      <rPr>
        <sz val="9"/>
        <color rgb="FF000000"/>
        <rFont val="楷体"/>
        <charset val="134"/>
      </rPr>
      <t>编辑器的中国版。</t>
    </r>
    <r>
      <rPr>
        <sz val="9"/>
        <color rgb="FF000000"/>
        <rFont val="Arial"/>
        <charset val="134"/>
      </rPr>
      <t>Unity</t>
    </r>
    <r>
      <rPr>
        <sz val="9"/>
        <color rgb="FF000000"/>
        <rFont val="楷体"/>
        <charset val="134"/>
      </rPr>
      <t>中国还将成为</t>
    </r>
    <r>
      <rPr>
        <sz val="9"/>
        <color rgb="FF000000"/>
        <rFont val="Arial"/>
        <charset val="134"/>
      </rPr>
      <t>Unity</t>
    </r>
    <r>
      <rPr>
        <sz val="9"/>
        <color rgb="FF000000"/>
        <rFont val="楷体"/>
        <charset val="134"/>
      </rPr>
      <t>全球产品和服务在中国地区的独家经销商，确保中国的客户和创作者社区能够继续访问并使用所有他们目前已经熟悉并喜爱的</t>
    </r>
    <r>
      <rPr>
        <sz val="9"/>
        <color rgb="FF000000"/>
        <rFont val="Arial"/>
        <charset val="134"/>
      </rPr>
      <t>Unity</t>
    </r>
    <r>
      <rPr>
        <sz val="9"/>
        <color rgb="FF000000"/>
        <rFont val="楷体"/>
        <charset val="134"/>
      </rPr>
      <t>工具。</t>
    </r>
  </si>
  <si>
    <t>优三缔科技（上海）有限公司</t>
  </si>
  <si>
    <t>https://unity.cn/</t>
  </si>
  <si>
    <t>2021-11</t>
  </si>
  <si>
    <r>
      <rPr>
        <sz val="9"/>
        <color rgb="FF000000"/>
        <rFont val="楷体"/>
        <charset val="134"/>
      </rPr>
      <t>游戏综合服务</t>
    </r>
  </si>
  <si>
    <r>
      <rPr>
        <sz val="9"/>
        <color rgb="FF000000"/>
        <rFont val="楷体"/>
        <charset val="134"/>
      </rPr>
      <t>数亿美元</t>
    </r>
  </si>
  <si>
    <r>
      <rPr>
        <sz val="9"/>
        <color rgb="FF000000"/>
        <rFont val="楷体"/>
        <charset val="134"/>
      </rPr>
      <t>阿里巴巴</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佳都科技</t>
    </r>
    <r>
      <rPr>
        <sz val="9"/>
        <color rgb="FF000000"/>
        <rFont val="Arial"/>
        <charset val="134"/>
      </rPr>
      <t>,</t>
    </r>
    <r>
      <rPr>
        <sz val="9"/>
        <color rgb="FF000000"/>
        <rFont val="楷体"/>
        <charset val="134"/>
      </rPr>
      <t>中移创新产业基金</t>
    </r>
    <r>
      <rPr>
        <sz val="9"/>
        <color rgb="FF000000"/>
        <rFont val="Arial"/>
        <charset val="134"/>
      </rPr>
      <t>(</t>
    </r>
    <r>
      <rPr>
        <sz val="9"/>
        <color rgb="FF000000"/>
        <rFont val="楷体"/>
        <charset val="134"/>
      </rPr>
      <t>中国移动</t>
    </r>
    <r>
      <rPr>
        <sz val="9"/>
        <color rgb="FF000000"/>
        <rFont val="Arial"/>
        <charset val="134"/>
      </rPr>
      <t>),OPPO,</t>
    </r>
    <r>
      <rPr>
        <sz val="9"/>
        <color rgb="FF000000"/>
        <rFont val="楷体"/>
        <charset val="134"/>
      </rPr>
      <t>米哈游</t>
    </r>
    <r>
      <rPr>
        <sz val="9"/>
        <color rgb="FF000000"/>
        <rFont val="Arial"/>
        <charset val="134"/>
      </rPr>
      <t>,</t>
    </r>
    <r>
      <rPr>
        <sz val="9"/>
        <color rgb="FF000000"/>
        <rFont val="楷体"/>
        <charset val="134"/>
      </rPr>
      <t>吉比特</t>
    </r>
  </si>
  <si>
    <r>
      <t>19.5</t>
    </r>
    <r>
      <rPr>
        <sz val="9"/>
        <color rgb="FF000000"/>
        <rFont val="楷体"/>
        <charset val="134"/>
      </rPr>
      <t>亿</t>
    </r>
  </si>
  <si>
    <r>
      <rPr>
        <sz val="9"/>
        <color rgb="FF000000"/>
        <rFont val="楷体"/>
        <charset val="134"/>
      </rPr>
      <t>上海市虹口区东大名路</t>
    </r>
    <r>
      <rPr>
        <sz val="9"/>
        <color rgb="FF000000"/>
        <rFont val="Arial"/>
        <charset val="134"/>
      </rPr>
      <t>501</t>
    </r>
    <r>
      <rPr>
        <sz val="9"/>
        <color rgb="FF000000"/>
        <rFont val="楷体"/>
        <charset val="134"/>
      </rPr>
      <t>号白玉兰大厦</t>
    </r>
    <r>
      <rPr>
        <sz val="9"/>
        <color rgb="FF000000"/>
        <rFont val="Arial"/>
        <charset val="134"/>
      </rPr>
      <t>39</t>
    </r>
    <r>
      <rPr>
        <sz val="9"/>
        <color rgb="FF000000"/>
        <rFont val="楷体"/>
        <charset val="134"/>
      </rPr>
      <t>，</t>
    </r>
    <r>
      <rPr>
        <sz val="9"/>
        <color rgb="FF000000"/>
        <rFont val="Arial"/>
        <charset val="134"/>
      </rPr>
      <t>40</t>
    </r>
    <r>
      <rPr>
        <sz val="9"/>
        <color rgb="FF000000"/>
        <rFont val="楷体"/>
        <charset val="134"/>
      </rPr>
      <t>层</t>
    </r>
  </si>
  <si>
    <t>021-6258-0881</t>
  </si>
  <si>
    <t>rebecca.liu@unity3d.com</t>
  </si>
  <si>
    <t>2018-10-27</t>
  </si>
  <si>
    <t>WearLively</t>
  </si>
  <si>
    <r>
      <rPr>
        <sz val="9"/>
        <color rgb="FF000000"/>
        <rFont val="Arial"/>
        <charset val="134"/>
      </rPr>
      <t>WearLively</t>
    </r>
    <r>
      <rPr>
        <sz val="9"/>
        <color rgb="FF000000"/>
        <rFont val="楷体"/>
        <charset val="134"/>
      </rPr>
      <t>是一个内衣品牌，融合内衣</t>
    </r>
    <r>
      <rPr>
        <sz val="9"/>
        <color rgb="FF000000"/>
        <rFont val="Arial"/>
        <charset val="134"/>
      </rPr>
      <t>+</t>
    </r>
    <r>
      <rPr>
        <sz val="9"/>
        <color rgb="FF000000"/>
        <rFont val="楷体"/>
        <charset val="134"/>
      </rPr>
      <t>泳衣</t>
    </r>
    <r>
      <rPr>
        <sz val="9"/>
        <color rgb="FF000000"/>
        <rFont val="Arial"/>
        <charset val="134"/>
      </rPr>
      <t>+</t>
    </r>
    <r>
      <rPr>
        <sz val="9"/>
        <color rgb="FF000000"/>
        <rFont val="楷体"/>
        <charset val="134"/>
      </rPr>
      <t>运动内衣的风格，主要为女性用户提供文胸、泳衣等内衣产品，同时内衣特性主打舒适和健康；并通过自建电商平台</t>
    </r>
    <r>
      <rPr>
        <sz val="9"/>
        <color rgb="FF000000"/>
        <rFont val="Arial"/>
        <charset val="134"/>
      </rPr>
      <t>wearLIVELY.com</t>
    </r>
    <r>
      <rPr>
        <sz val="9"/>
        <color rgb="FF000000"/>
        <rFont val="楷体"/>
        <charset val="134"/>
      </rPr>
      <t>进行销售。</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</si>
  <si>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阿里巴巴</t>
    </r>
    <r>
      <rPr>
        <sz val="9"/>
        <color rgb="FF000000"/>
        <rFont val="Arial"/>
        <charset val="134"/>
      </rPr>
      <t>,Poshmark,Gelmart International</t>
    </r>
  </si>
  <si>
    <r>
      <rPr>
        <sz val="9"/>
        <color rgb="FF000000"/>
        <rFont val="Arial"/>
        <charset val="134"/>
      </rPr>
      <t>4550</t>
    </r>
    <r>
      <rPr>
        <sz val="9"/>
        <color rgb="FF000000"/>
        <rFont val="楷体"/>
        <charset val="134"/>
      </rPr>
      <t>万</t>
    </r>
  </si>
  <si>
    <r>
      <rPr>
        <sz val="9"/>
        <color rgb="FF000000"/>
        <rFont val="Arial"/>
        <charset val="134"/>
      </rPr>
      <t>1.3</t>
    </r>
    <r>
      <rPr>
        <sz val="9"/>
        <color rgb="FF000000"/>
        <rFont val="楷体"/>
        <charset val="134"/>
      </rPr>
      <t>亿元</t>
    </r>
  </si>
  <si>
    <t>Michelle Cordeiro Grant:CEO</t>
  </si>
  <si>
    <r>
      <rPr>
        <sz val="9"/>
        <color rgb="FF000000"/>
        <rFont val="Arial"/>
        <charset val="134"/>
      </rPr>
      <t>GGV</t>
    </r>
    <r>
      <rPr>
        <sz val="9"/>
        <color rgb="FF000000"/>
        <rFont val="楷体"/>
        <charset val="134"/>
      </rPr>
      <t>纪源资本</t>
    </r>
    <r>
      <rPr>
        <sz val="9"/>
        <color rgb="FF000000"/>
        <rFont val="Arial"/>
        <charset val="134"/>
      </rPr>
      <t>,NF Ventures,Harvey Sanders</t>
    </r>
  </si>
  <si>
    <t>2023-01-09</t>
  </si>
  <si>
    <t>十方运动TENWAYS</t>
  </si>
  <si>
    <r>
      <rPr>
        <sz val="9"/>
        <color rgb="FF000000"/>
        <rFont val="楷体"/>
        <charset val="134"/>
      </rPr>
      <t>十方运动</t>
    </r>
    <r>
      <rPr>
        <sz val="9"/>
        <color rgb="FF000000"/>
        <rFont val="Arial"/>
        <charset val="134"/>
      </rPr>
      <t>TENWAYS</t>
    </r>
  </si>
  <si>
    <r>
      <rPr>
        <sz val="9"/>
        <color rgb="FF000000"/>
        <rFont val="楷体"/>
        <charset val="134"/>
      </rPr>
      <t>十方运动成立于</t>
    </r>
    <r>
      <rPr>
        <sz val="9"/>
        <color rgb="FF000000"/>
        <rFont val="Arial"/>
        <charset val="134"/>
      </rPr>
      <t xml:space="preserve"> 2021</t>
    </r>
    <r>
      <rPr>
        <sz val="9"/>
        <color rgb="FF000000"/>
        <rFont val="楷体"/>
        <charset val="134"/>
      </rPr>
      <t>年</t>
    </r>
    <r>
      <rPr>
        <sz val="9"/>
        <color rgb="FF000000"/>
        <rFont val="Arial"/>
        <charset val="134"/>
      </rPr>
      <t>5</t>
    </r>
    <r>
      <rPr>
        <sz val="9"/>
        <color rgb="FF000000"/>
        <rFont val="楷体"/>
        <charset val="134"/>
      </rPr>
      <t>月，由自行车龙头企业千里达集团孵化出来，是一家主要面向欧美消费者的电助力自行车经销商，主要业务是</t>
    </r>
    <r>
      <rPr>
        <sz val="9"/>
        <color rgb="FF000000"/>
        <rFont val="Arial"/>
        <charset val="134"/>
      </rPr>
      <t>E-bike</t>
    </r>
    <r>
      <rPr>
        <sz val="9"/>
        <color rgb="FF000000"/>
        <rFont val="楷体"/>
        <charset val="134"/>
      </rPr>
      <t>电助力自行车的研发、生产、销售与服务，主要品牌为</t>
    </r>
    <r>
      <rPr>
        <sz val="9"/>
        <color rgb="FF000000"/>
        <rFont val="Arial"/>
        <charset val="134"/>
      </rPr>
      <t>“TENWAYS”</t>
    </r>
    <r>
      <rPr>
        <sz val="9"/>
        <color rgb="FF000000"/>
        <rFont val="楷体"/>
        <charset val="134"/>
      </rPr>
      <t>，通过众筹、独立站、第三方平台以及线下渠道进行销售。</t>
    </r>
  </si>
  <si>
    <t>深圳市十方运动科技有限公司</t>
  </si>
  <si>
    <t>https://www.tenways.com/</t>
  </si>
  <si>
    <r>
      <rPr>
        <sz val="9"/>
        <color rgb="FF000000"/>
        <rFont val="楷体"/>
        <charset val="134"/>
      </rPr>
      <t>华映资本</t>
    </r>
    <r>
      <rPr>
        <sz val="9"/>
        <color rgb="FF000000"/>
        <rFont val="Arial"/>
        <charset val="134"/>
      </rPr>
      <t>,L Catterton</t>
    </r>
  </si>
  <si>
    <r>
      <rPr>
        <sz val="9"/>
        <color rgb="FF000000"/>
        <rFont val="Arial"/>
        <charset val="134"/>
      </rPr>
      <t>3.6</t>
    </r>
    <r>
      <rPr>
        <sz val="9"/>
        <color rgb="FF000000"/>
        <rFont val="楷体"/>
        <charset val="134"/>
      </rPr>
      <t>亿</t>
    </r>
  </si>
  <si>
    <r>
      <rPr>
        <sz val="9"/>
        <color rgb="FF000000"/>
        <rFont val="Arial"/>
        <charset val="134"/>
      </rPr>
      <t>24</t>
    </r>
    <r>
      <rPr>
        <sz val="9"/>
        <color rgb="FF000000"/>
        <rFont val="楷体"/>
        <charset val="134"/>
      </rPr>
      <t>亿元</t>
    </r>
  </si>
  <si>
    <r>
      <rPr>
        <sz val="9"/>
        <color rgb="FF000000"/>
        <rFont val="楷体"/>
        <charset val="134"/>
      </rPr>
      <t>梁霄凌</t>
    </r>
    <r>
      <rPr>
        <sz val="9"/>
        <color rgb="FF000000"/>
        <rFont val="Arial"/>
        <charset val="134"/>
      </rPr>
      <t>:</t>
    </r>
    <r>
      <rPr>
        <sz val="9"/>
        <color rgb="FF000000"/>
        <rFont val="楷体"/>
        <charset val="134"/>
      </rPr>
      <t>创始人</t>
    </r>
  </si>
  <si>
    <r>
      <rPr>
        <sz val="9"/>
        <color rgb="FF000000"/>
        <rFont val="楷体"/>
        <charset val="134"/>
      </rPr>
      <t>深圳市南山区西丽街道松坪山社区朗山路</t>
    </r>
    <r>
      <rPr>
        <sz val="9"/>
        <color rgb="FF000000"/>
        <rFont val="Arial"/>
        <charset val="134"/>
      </rPr>
      <t>19</t>
    </r>
    <r>
      <rPr>
        <sz val="9"/>
        <color rgb="FF000000"/>
        <rFont val="楷体"/>
        <charset val="134"/>
      </rPr>
      <t>号源政创业大厦</t>
    </r>
    <r>
      <rPr>
        <sz val="9"/>
        <color rgb="FF000000"/>
        <rFont val="Arial"/>
        <charset val="134"/>
      </rPr>
      <t>A1111</t>
    </r>
  </si>
  <si>
    <t>0755-8652-1082</t>
  </si>
  <si>
    <t>finance@tenways.com</t>
  </si>
  <si>
    <r>
      <rPr>
        <sz val="9"/>
        <color rgb="FF000000"/>
        <rFont val="楷体"/>
        <charset val="134"/>
      </rPr>
      <t>腾讯投资</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高鹄资本</t>
    </r>
  </si>
  <si>
    <t>高瓴创投</t>
  </si>
  <si>
    <t>2022-11-07</t>
  </si>
  <si>
    <t>徕芬科技</t>
  </si>
  <si>
    <r>
      <rPr>
        <sz val="9"/>
        <color rgb="FF000000"/>
        <rFont val="楷体"/>
        <charset val="134"/>
      </rPr>
      <t>徕芬科技</t>
    </r>
  </si>
  <si>
    <r>
      <rPr>
        <sz val="9"/>
        <color rgb="FF000000"/>
        <rFont val="楷体"/>
        <charset val="134"/>
      </rPr>
      <t>徕芬科技是一家高速吹风机生产商，以智能硬件为主，涵盖硬件及家庭服务产品的用户智能生活整体解决方案，现主要产品为</t>
    </r>
    <r>
      <rPr>
        <sz val="9"/>
        <color rgb="FF000000"/>
        <rFont val="Arial"/>
        <charset val="134"/>
      </rPr>
      <t>11</t>
    </r>
    <r>
      <rPr>
        <sz val="9"/>
        <color rgb="FF000000"/>
        <rFont val="楷体"/>
        <charset val="134"/>
      </rPr>
      <t>万转高速无刷吹风机。</t>
    </r>
  </si>
  <si>
    <t>深圳术叶创新科技有限公司</t>
  </si>
  <si>
    <t>http://www.laifen.net/index.aspx</t>
  </si>
  <si>
    <t>2021-08</t>
  </si>
  <si>
    <r>
      <rPr>
        <sz val="9"/>
        <color rgb="FF000000"/>
        <rFont val="楷体"/>
        <charset val="134"/>
      </rPr>
      <t>家用电器</t>
    </r>
  </si>
  <si>
    <r>
      <rPr>
        <sz val="9"/>
        <color rgb="FF000000"/>
        <rFont val="楷体"/>
        <charset val="134"/>
      </rPr>
      <t>阿里巴巴</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坚果资本</t>
    </r>
  </si>
  <si>
    <r>
      <t>2100</t>
    </r>
    <r>
      <rPr>
        <sz val="9"/>
        <color rgb="FF000000"/>
        <rFont val="楷体"/>
        <charset val="134"/>
      </rPr>
      <t>万</t>
    </r>
  </si>
  <si>
    <r>
      <rPr>
        <sz val="9"/>
        <color rgb="FF000000"/>
        <rFont val="楷体"/>
        <charset val="134"/>
      </rPr>
      <t>深圳市前海深港合作区南山街道金融街</t>
    </r>
    <r>
      <rPr>
        <sz val="9"/>
        <color rgb="FF000000"/>
        <rFont val="Arial"/>
        <charset val="134"/>
      </rPr>
      <t>1</t>
    </r>
    <r>
      <rPr>
        <sz val="9"/>
        <color rgb="FF000000"/>
        <rFont val="楷体"/>
        <charset val="134"/>
      </rPr>
      <t>号弘毅大厦写字楼</t>
    </r>
    <r>
      <rPr>
        <sz val="9"/>
        <color rgb="FF000000"/>
        <rFont val="Arial"/>
        <charset val="134"/>
      </rPr>
      <t>10A</t>
    </r>
  </si>
  <si>
    <t>181-2626-2440</t>
  </si>
  <si>
    <t>huanglei@laifen.net</t>
  </si>
  <si>
    <r>
      <rPr>
        <sz val="9"/>
        <color rgb="FF000000"/>
        <rFont val="楷体"/>
        <charset val="134"/>
      </rPr>
      <t>梅花创投</t>
    </r>
    <r>
      <rPr>
        <sz val="9"/>
        <color rgb="FF000000"/>
        <rFont val="Arial"/>
        <charset val="134"/>
      </rPr>
      <t>,</t>
    </r>
    <r>
      <rPr>
        <sz val="9"/>
        <color rgb="FF000000"/>
        <rFont val="楷体"/>
        <charset val="134"/>
      </rPr>
      <t>以太创服（以太资本）</t>
    </r>
    <r>
      <rPr>
        <sz val="9"/>
        <color rgb="FF000000"/>
        <rFont val="Arial"/>
        <charset val="134"/>
      </rPr>
      <t>,XVC</t>
    </r>
    <r>
      <rPr>
        <sz val="9"/>
        <color rgb="FF000000"/>
        <rFont val="楷体"/>
        <charset val="134"/>
      </rPr>
      <t>创投</t>
    </r>
  </si>
  <si>
    <r>
      <t>COFE App</t>
    </r>
    <r>
      <rPr>
        <sz val="9"/>
        <color rgb="FF000000"/>
        <rFont val="楷体"/>
        <charset val="134"/>
      </rPr>
      <t>是一个咖啡电商平台，用户通过平台可选购各种国际咖啡品牌，以及咖啡豆、咖啡机等。</t>
    </r>
  </si>
  <si>
    <t>https://cofeapp.com/</t>
  </si>
  <si>
    <t>2017-08</t>
  </si>
  <si>
    <r>
      <rPr>
        <sz val="9"/>
        <color rgb="FF000000"/>
        <rFont val="楷体"/>
        <charset val="134"/>
      </rPr>
      <t>食品饮料</t>
    </r>
  </si>
  <si>
    <r>
      <t>1500</t>
    </r>
    <r>
      <rPr>
        <sz val="9"/>
        <color rgb="FF000000"/>
        <rFont val="楷体"/>
        <charset val="134"/>
      </rPr>
      <t>万美元</t>
    </r>
  </si>
  <si>
    <r>
      <rPr>
        <sz val="9"/>
        <color rgb="FF000000"/>
        <rFont val="楷体"/>
        <charset val="134"/>
      </rPr>
      <t>阿里巴巴</t>
    </r>
    <r>
      <rPr>
        <sz val="9"/>
        <color rgb="FF000000"/>
        <rFont val="Arial"/>
        <charset val="134"/>
      </rPr>
      <t>,Waed Ventures,eWTP Arabia Capital</t>
    </r>
  </si>
  <si>
    <r>
      <t>1.83</t>
    </r>
    <r>
      <rPr>
        <sz val="9"/>
        <color rgb="FF000000"/>
        <rFont val="楷体"/>
        <charset val="134"/>
      </rPr>
      <t>亿</t>
    </r>
  </si>
  <si>
    <r>
      <t>4.875</t>
    </r>
    <r>
      <rPr>
        <sz val="9"/>
        <color rgb="FF000000"/>
        <rFont val="楷体"/>
        <charset val="134"/>
      </rPr>
      <t>亿元</t>
    </r>
  </si>
  <si>
    <t>科威特</t>
  </si>
  <si>
    <t>Al Imtiaz Investment Group</t>
  </si>
  <si>
    <r>
      <rPr>
        <sz val="9"/>
        <color rgb="FF000000"/>
        <rFont val="Arial"/>
        <charset val="134"/>
      </rPr>
      <t>320</t>
    </r>
    <r>
      <rPr>
        <sz val="9"/>
        <color rgb="FF000000"/>
        <rFont val="楷体"/>
        <charset val="134"/>
      </rPr>
      <t>万美元</t>
    </r>
  </si>
  <si>
    <t>Towell Holding International,Takamul Capital,Nizar AlNusif Sons Holding,Dividend Capital,Cedar Mundi Ventures,KISP Ventures</t>
  </si>
  <si>
    <t>2023-07-17</t>
  </si>
  <si>
    <t>致敬未知</t>
  </si>
  <si>
    <r>
      <rPr>
        <sz val="9"/>
        <color rgb="FF000000"/>
        <rFont val="楷体"/>
        <charset val="134"/>
      </rPr>
      <t>致敬未知</t>
    </r>
  </si>
  <si>
    <r>
      <rPr>
        <sz val="9"/>
        <color rgb="FF000000"/>
        <rFont val="楷体"/>
        <charset val="134"/>
      </rPr>
      <t>致敬未知是一家</t>
    </r>
    <r>
      <rPr>
        <sz val="9"/>
        <color rgb="FF000000"/>
        <rFont val="Arial"/>
        <charset val="134"/>
      </rPr>
      <t>AR</t>
    </r>
    <r>
      <rPr>
        <sz val="9"/>
        <color rgb="FF000000"/>
        <rFont val="楷体"/>
        <charset val="134"/>
      </rPr>
      <t>眼镜研发商，专注于</t>
    </r>
    <r>
      <rPr>
        <sz val="9"/>
        <color rgb="FF000000"/>
        <rFont val="Arial"/>
        <charset val="134"/>
      </rPr>
      <t>AR</t>
    </r>
    <r>
      <rPr>
        <sz val="9"/>
        <color rgb="FF000000"/>
        <rFont val="楷体"/>
        <charset val="134"/>
      </rPr>
      <t>眼镜的研发、生产及销售业务。致力于面向</t>
    </r>
    <r>
      <rPr>
        <sz val="9"/>
        <color rgb="FF000000"/>
        <rFont val="Arial"/>
        <charset val="134"/>
      </rPr>
      <t>C</t>
    </r>
    <r>
      <rPr>
        <sz val="9"/>
        <color rgb="FF000000"/>
        <rFont val="楷体"/>
        <charset val="134"/>
      </rPr>
      <t>端用户提供兼顾轻薄、时尚等可佩戴性的</t>
    </r>
    <r>
      <rPr>
        <sz val="9"/>
        <color rgb="FF000000"/>
        <rFont val="Arial"/>
        <charset val="134"/>
      </rPr>
      <t>AR</t>
    </r>
    <r>
      <rPr>
        <sz val="9"/>
        <color rgb="FF000000"/>
        <rFont val="楷体"/>
        <charset val="134"/>
      </rPr>
      <t>眼镜产品。其首款智能眼镜，将同时搭载</t>
    </r>
    <r>
      <rPr>
        <sz val="9"/>
        <color rgb="FF000000"/>
        <rFont val="Arial"/>
        <charset val="134"/>
      </rPr>
      <t>SLAM</t>
    </r>
    <r>
      <rPr>
        <sz val="9"/>
        <color rgb="FF000000"/>
        <rFont val="楷体"/>
        <charset val="134"/>
      </rPr>
      <t>空间定位技术，以及能够支持户外使用的光学显示系统。另外，</t>
    </r>
    <r>
      <rPr>
        <sz val="9"/>
        <color rgb="FF000000"/>
        <rFont val="Arial"/>
        <charset val="134"/>
      </rPr>
      <t xml:space="preserve"> </t>
    </r>
    <r>
      <rPr>
        <sz val="9"/>
        <color rgb="FF000000"/>
        <rFont val="楷体"/>
        <charset val="134"/>
      </rPr>
      <t>该款</t>
    </r>
    <r>
      <rPr>
        <sz val="9"/>
        <color rgb="FF000000"/>
        <rFont val="Arial"/>
        <charset val="134"/>
      </rPr>
      <t>AR</t>
    </r>
    <r>
      <rPr>
        <sz val="9"/>
        <color rgb="FF000000"/>
        <rFont val="楷体"/>
        <charset val="134"/>
      </rPr>
      <t>智能眼镜也深度融合了</t>
    </r>
    <r>
      <rPr>
        <sz val="9"/>
        <color rgb="FF000000"/>
        <rFont val="Arial"/>
        <charset val="134"/>
      </rPr>
      <t>AI</t>
    </r>
    <r>
      <rPr>
        <sz val="9"/>
        <color rgb="FF000000"/>
        <rFont val="楷体"/>
        <charset val="134"/>
      </rPr>
      <t>技术并将搭载其全自研的</t>
    </r>
    <r>
      <rPr>
        <sz val="9"/>
        <color rgb="FF000000"/>
        <rFont val="Arial"/>
        <charset val="134"/>
      </rPr>
      <t>OS</t>
    </r>
    <r>
      <rPr>
        <sz val="9"/>
        <color rgb="FF000000"/>
        <rFont val="楷体"/>
        <charset val="134"/>
      </rPr>
      <t>系统。</t>
    </r>
  </si>
  <si>
    <t>北京致敬未知科技有限公司</t>
  </si>
  <si>
    <t>http://linkunknown.com</t>
  </si>
  <si>
    <t>2022-08</t>
  </si>
  <si>
    <r>
      <t>1000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</si>
  <si>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泰岳梧桐资本</t>
    </r>
    <r>
      <rPr>
        <sz val="9"/>
        <color rgb="FF000000"/>
        <rFont val="Arial"/>
        <charset val="134"/>
      </rPr>
      <t>,</t>
    </r>
    <r>
      <rPr>
        <sz val="9"/>
        <color rgb="FF000000"/>
        <rFont val="楷体"/>
        <charset val="134"/>
      </rPr>
      <t>泥藕资本</t>
    </r>
    <r>
      <rPr>
        <sz val="9"/>
        <color rgb="FF000000"/>
        <rFont val="Arial"/>
        <charset val="134"/>
      </rPr>
      <t>NEEO,</t>
    </r>
    <r>
      <rPr>
        <sz val="9"/>
        <color rgb="FF000000"/>
        <rFont val="楷体"/>
        <charset val="134"/>
      </rPr>
      <t>泰亚投资</t>
    </r>
    <r>
      <rPr>
        <sz val="9"/>
        <color rgb="FF000000"/>
        <rFont val="Arial"/>
        <charset val="134"/>
      </rPr>
      <t>,</t>
    </r>
    <r>
      <rPr>
        <sz val="9"/>
        <color rgb="FF000000"/>
        <rFont val="楷体"/>
        <charset val="134"/>
      </rPr>
      <t>合肥北城资本</t>
    </r>
  </si>
  <si>
    <r>
      <t>6500</t>
    </r>
    <r>
      <rPr>
        <sz val="9"/>
        <color rgb="FF000000"/>
        <rFont val="楷体"/>
        <charset val="134"/>
      </rPr>
      <t>万</t>
    </r>
  </si>
  <si>
    <r>
      <t>3.25</t>
    </r>
    <r>
      <rPr>
        <sz val="9"/>
        <color rgb="FF000000"/>
        <rFont val="楷体"/>
        <charset val="134"/>
      </rPr>
      <t>亿元</t>
    </r>
  </si>
  <si>
    <r>
      <rPr>
        <sz val="9"/>
        <color rgb="FF000000"/>
        <rFont val="楷体"/>
        <charset val="134"/>
      </rPr>
      <t>吴德周</t>
    </r>
    <r>
      <rPr>
        <sz val="9"/>
        <color rgb="FF000000"/>
        <rFont val="Arial"/>
        <charset val="134"/>
      </rPr>
      <t>:</t>
    </r>
    <r>
      <rPr>
        <sz val="9"/>
        <color rgb="FF000000"/>
        <rFont val="楷体"/>
        <charset val="134"/>
      </rPr>
      <t>创始人</t>
    </r>
  </si>
  <si>
    <r>
      <rPr>
        <sz val="9"/>
        <color rgb="FF000000"/>
        <rFont val="楷体"/>
        <charset val="134"/>
      </rPr>
      <t>北京市海淀区北四环西路</t>
    </r>
    <r>
      <rPr>
        <sz val="9"/>
        <color rgb="FF000000"/>
        <rFont val="Arial"/>
        <charset val="134"/>
      </rPr>
      <t>9</t>
    </r>
    <r>
      <rPr>
        <sz val="9"/>
        <color rgb="FF000000"/>
        <rFont val="楷体"/>
        <charset val="134"/>
      </rPr>
      <t>号</t>
    </r>
    <r>
      <rPr>
        <sz val="9"/>
        <color rgb="FF000000"/>
        <rFont val="Arial"/>
        <charset val="134"/>
      </rPr>
      <t>17</t>
    </r>
    <r>
      <rPr>
        <sz val="9"/>
        <color rgb="FF000000"/>
        <rFont val="楷体"/>
        <charset val="134"/>
      </rPr>
      <t>层</t>
    </r>
    <r>
      <rPr>
        <sz val="9"/>
        <color rgb="FF000000"/>
        <rFont val="Arial"/>
        <charset val="134"/>
      </rPr>
      <t>1701</t>
    </r>
  </si>
  <si>
    <t>157-0119-1395</t>
  </si>
  <si>
    <t>Official@linkunknown.com</t>
  </si>
  <si>
    <r>
      <rPr>
        <b/>
        <sz val="9"/>
        <color rgb="FF000000"/>
        <rFont val="楷体"/>
        <charset val="134"/>
      </rPr>
      <t>投资主体</t>
    </r>
  </si>
  <si>
    <r>
      <rPr>
        <b/>
        <sz val="9"/>
        <color rgb="FF000000"/>
        <rFont val="楷体"/>
        <charset val="134"/>
      </rPr>
      <t>被投方最新融资期日</t>
    </r>
  </si>
  <si>
    <r>
      <rPr>
        <b/>
        <sz val="9"/>
        <color rgb="FF000000"/>
        <rFont val="楷体"/>
        <charset val="134"/>
      </rPr>
      <t>工商名称</t>
    </r>
  </si>
  <si>
    <r>
      <rPr>
        <b/>
        <sz val="9"/>
        <color rgb="FF000000"/>
        <rFont val="楷体"/>
        <charset val="134"/>
      </rPr>
      <t>公司网址</t>
    </r>
  </si>
  <si>
    <t>运营状态</t>
  </si>
  <si>
    <r>
      <rPr>
        <b/>
        <sz val="9"/>
        <color rgb="FF000000"/>
        <rFont val="楷体"/>
        <charset val="134"/>
      </rPr>
      <t>详细地址</t>
    </r>
  </si>
  <si>
    <r>
      <rPr>
        <b/>
        <sz val="9"/>
        <color rgb="FF000000"/>
        <rFont val="楷体"/>
        <charset val="134"/>
      </rPr>
      <t>公开电话</t>
    </r>
  </si>
  <si>
    <r>
      <rPr>
        <b/>
        <sz val="9"/>
        <color rgb="FF000000"/>
        <rFont val="楷体"/>
        <charset val="134"/>
      </rPr>
      <t>公开邮箱</t>
    </r>
  </si>
  <si>
    <r>
      <rPr>
        <sz val="9"/>
        <color rgb="FF000000"/>
        <rFont val="楷体"/>
        <charset val="134"/>
      </rPr>
      <t>在路上</t>
    </r>
  </si>
  <si>
    <r>
      <rPr>
        <sz val="9"/>
        <color rgb="FF000000"/>
        <rFont val="楷体"/>
        <charset val="134"/>
      </rPr>
      <t>在路上</t>
    </r>
  </si>
  <si>
    <r>
      <rPr>
        <sz val="9"/>
        <color rgb="FF000000"/>
        <rFont val="楷体"/>
        <charset val="134"/>
      </rPr>
      <t>在路上是一个旅游行程记录、游记分享应用和网站。隶属于上海雀沃信息技术有限公司。</t>
    </r>
  </si>
  <si>
    <r>
      <rPr>
        <sz val="9"/>
        <color rgb="FF000000"/>
        <rFont val="楷体"/>
        <charset val="134"/>
      </rPr>
      <t>上海雀沃信息技术有限公司</t>
    </r>
  </si>
  <si>
    <r>
      <rPr>
        <sz val="9"/>
        <color rgb="FF000000"/>
        <rFont val="楷体"/>
        <charset val="134"/>
      </rPr>
      <t>旅游</t>
    </r>
  </si>
  <si>
    <r>
      <rPr>
        <sz val="9"/>
        <color rgb="FF000000"/>
        <rFont val="楷体"/>
        <charset val="134"/>
      </rPr>
      <t>旅游工具及社区</t>
    </r>
  </si>
  <si>
    <r>
      <t>C</t>
    </r>
    <r>
      <rPr>
        <sz val="9"/>
        <color rgb="FF000000"/>
        <rFont val="楷体"/>
        <charset val="134"/>
      </rPr>
      <t>轮</t>
    </r>
  </si>
  <si>
    <r>
      <t>2.71</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</si>
  <si>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湖畔山南资本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岳弢</t>
    </r>
  </si>
  <si>
    <r>
      <rPr>
        <sz val="9"/>
        <color rgb="FF000000"/>
        <rFont val="楷体"/>
        <charset val="134"/>
      </rPr>
      <t>数百万美元</t>
    </r>
  </si>
  <si>
    <r>
      <t>100</t>
    </r>
    <r>
      <rPr>
        <sz val="9"/>
        <color rgb="FF000000"/>
        <rFont val="楷体"/>
        <charset val="134"/>
      </rPr>
      <t>万美元</t>
    </r>
  </si>
  <si>
    <r>
      <rPr>
        <sz val="9"/>
        <color rgb="FF000000"/>
        <rFont val="楷体"/>
        <charset val="134"/>
      </rPr>
      <t>红点中国</t>
    </r>
  </si>
  <si>
    <r>
      <rPr>
        <sz val="9"/>
        <color rgb="FF000000"/>
        <rFont val="楷体"/>
        <charset val="134"/>
      </rPr>
      <t>滴滴出行</t>
    </r>
  </si>
  <si>
    <r>
      <rPr>
        <sz val="9"/>
        <color rgb="FF000000"/>
        <rFont val="楷体"/>
        <charset val="134"/>
      </rPr>
      <t>滴滴出行</t>
    </r>
  </si>
  <si>
    <r>
      <rPr>
        <sz val="9"/>
        <color rgb="FF000000"/>
        <rFont val="楷体"/>
        <charset val="134"/>
      </rPr>
      <t>北京小桔科技有限公司</t>
    </r>
  </si>
  <si>
    <r>
      <rPr>
        <sz val="9"/>
        <color rgb="FF000000"/>
        <rFont val="楷体"/>
        <charset val="134"/>
      </rPr>
      <t>退市</t>
    </r>
  </si>
  <si>
    <r>
      <t>1610.39</t>
    </r>
    <r>
      <rPr>
        <sz val="9"/>
        <color rgb="FF000000"/>
        <rFont val="楷体"/>
        <charset val="134"/>
      </rPr>
      <t>亿</t>
    </r>
  </si>
  <si>
    <r>
      <t>722.54</t>
    </r>
    <r>
      <rPr>
        <sz val="9"/>
        <color rgb="FF000000"/>
        <rFont val="楷体"/>
        <charset val="134"/>
      </rPr>
      <t>亿元</t>
    </r>
  </si>
  <si>
    <r>
      <t>IPO</t>
    </r>
    <r>
      <rPr>
        <sz val="9"/>
        <color rgb="FF000000"/>
        <rFont val="楷体"/>
        <charset val="134"/>
      </rPr>
      <t>上市</t>
    </r>
  </si>
  <si>
    <r>
      <t>44</t>
    </r>
    <r>
      <rPr>
        <sz val="9"/>
        <color rgb="FF000000"/>
        <rFont val="楷体"/>
        <charset val="134"/>
      </rPr>
      <t>亿美元</t>
    </r>
  </si>
  <si>
    <r>
      <t>6</t>
    </r>
    <r>
      <rPr>
        <sz val="9"/>
        <color rgb="FF000000"/>
        <rFont val="楷体"/>
        <charset val="134"/>
      </rPr>
      <t>亿美元</t>
    </r>
  </si>
  <si>
    <r>
      <rPr>
        <sz val="9"/>
        <color rgb="FF000000"/>
        <rFont val="楷体"/>
        <charset val="134"/>
      </rPr>
      <t>丰田汽车</t>
    </r>
  </si>
  <si>
    <r>
      <t>2.65</t>
    </r>
    <r>
      <rPr>
        <sz val="9"/>
        <color rgb="FF000000"/>
        <rFont val="楷体"/>
        <charset val="134"/>
      </rPr>
      <t>亿美元</t>
    </r>
  </si>
  <si>
    <r>
      <t>40</t>
    </r>
    <r>
      <rPr>
        <sz val="9"/>
        <color rgb="FF000000"/>
        <rFont val="楷体"/>
        <charset val="134"/>
      </rPr>
      <t>亿美元</t>
    </r>
  </si>
  <si>
    <r>
      <t>55</t>
    </r>
    <r>
      <rPr>
        <sz val="9"/>
        <color rgb="FF000000"/>
        <rFont val="楷体"/>
        <charset val="134"/>
      </rPr>
      <t>亿美元</t>
    </r>
  </si>
  <si>
    <r>
      <rPr>
        <sz val="9"/>
        <color rgb="FF000000"/>
        <rFont val="楷体"/>
        <charset val="134"/>
      </rPr>
      <t>律格资本</t>
    </r>
  </si>
  <si>
    <r>
      <t>1.2</t>
    </r>
    <r>
      <rPr>
        <sz val="9"/>
        <color rgb="FF000000"/>
        <rFont val="楷体"/>
        <charset val="134"/>
      </rPr>
      <t>亿美元</t>
    </r>
  </si>
  <si>
    <r>
      <rPr>
        <sz val="9"/>
        <color rgb="FF000000"/>
        <rFont val="楷体"/>
        <charset val="134"/>
      </rPr>
      <t>保利资本</t>
    </r>
  </si>
  <si>
    <r>
      <t>F</t>
    </r>
    <r>
      <rPr>
        <sz val="9"/>
        <color rgb="FF000000"/>
        <rFont val="楷体"/>
        <charset val="134"/>
      </rPr>
      <t>轮</t>
    </r>
  </si>
  <si>
    <r>
      <t>45</t>
    </r>
    <r>
      <rPr>
        <sz val="9"/>
        <color rgb="FF000000"/>
        <rFont val="楷体"/>
        <charset val="134"/>
      </rPr>
      <t>亿美元</t>
    </r>
  </si>
  <si>
    <r>
      <t>10</t>
    </r>
    <r>
      <rPr>
        <sz val="9"/>
        <color rgb="FF000000"/>
        <rFont val="楷体"/>
        <charset val="134"/>
      </rPr>
      <t>亿美元</t>
    </r>
  </si>
  <si>
    <r>
      <t>20</t>
    </r>
    <r>
      <rPr>
        <sz val="9"/>
        <color rgb="FF000000"/>
        <rFont val="楷体"/>
        <charset val="134"/>
      </rPr>
      <t>亿美元</t>
    </r>
  </si>
  <si>
    <r>
      <t>1.42</t>
    </r>
    <r>
      <rPr>
        <sz val="9"/>
        <color rgb="FF000000"/>
        <rFont val="楷体"/>
        <charset val="134"/>
      </rPr>
      <t>亿美元</t>
    </r>
  </si>
  <si>
    <r>
      <rPr>
        <sz val="9"/>
        <color rgb="FF000000"/>
        <rFont val="楷体"/>
        <charset val="134"/>
      </rPr>
      <t>新浪微博基金</t>
    </r>
  </si>
  <si>
    <r>
      <rPr>
        <sz val="9"/>
        <color rgb="FF000000"/>
        <rFont val="楷体"/>
        <charset val="134"/>
      </rPr>
      <t>合并</t>
    </r>
  </si>
  <si>
    <r>
      <rPr>
        <sz val="9"/>
        <color rgb="FF000000"/>
        <rFont val="楷体"/>
        <charset val="134"/>
      </rPr>
      <t>快的打车</t>
    </r>
  </si>
  <si>
    <r>
      <t>7</t>
    </r>
    <r>
      <rPr>
        <sz val="9"/>
        <color rgb="FF000000"/>
        <rFont val="楷体"/>
        <charset val="134"/>
      </rPr>
      <t>亿美元</t>
    </r>
  </si>
  <si>
    <r>
      <t>300</t>
    </r>
    <r>
      <rPr>
        <sz val="9"/>
        <color rgb="FF000000"/>
        <rFont val="楷体"/>
        <charset val="134"/>
      </rPr>
      <t>万美元</t>
    </r>
  </si>
  <si>
    <r>
      <rPr>
        <sz val="9"/>
        <color rgb="FF000000"/>
        <rFont val="楷体"/>
        <charset val="134"/>
      </rPr>
      <t>金沙江创投</t>
    </r>
  </si>
  <si>
    <r>
      <rPr>
        <sz val="9"/>
        <color rgb="FF000000"/>
        <rFont val="楷体"/>
        <charset val="134"/>
      </rPr>
      <t>数百万人民币</t>
    </r>
  </si>
  <si>
    <r>
      <rPr>
        <sz val="9"/>
        <color rgb="FF000000"/>
        <rFont val="楷体"/>
        <charset val="134"/>
      </rPr>
      <t>王刚</t>
    </r>
  </si>
  <si>
    <r>
      <rPr>
        <sz val="9"/>
        <color rgb="FF000000"/>
        <rFont val="楷体"/>
        <charset val="134"/>
      </rPr>
      <t>卓大师</t>
    </r>
  </si>
  <si>
    <r>
      <rPr>
        <sz val="9"/>
        <color rgb="FF000000"/>
        <rFont val="楷体"/>
        <charset val="134"/>
      </rPr>
      <t>卓大师</t>
    </r>
  </si>
  <si>
    <r>
      <rPr>
        <sz val="9"/>
        <color rgb="FF000000"/>
        <rFont val="楷体"/>
        <charset val="134"/>
      </rPr>
      <t>北京耘升天下科技有限公司</t>
    </r>
  </si>
  <si>
    <r>
      <rPr>
        <sz val="9"/>
        <color rgb="FF000000"/>
        <rFont val="楷体"/>
        <charset val="134"/>
      </rPr>
      <t>工具软件</t>
    </r>
  </si>
  <si>
    <r>
      <rPr>
        <sz val="9"/>
        <color rgb="FF000000"/>
        <rFont val="楷体"/>
        <charset val="134"/>
      </rPr>
      <t>优化清理</t>
    </r>
  </si>
  <si>
    <r>
      <t>9800</t>
    </r>
    <r>
      <rPr>
        <sz val="9"/>
        <color rgb="FF000000"/>
        <rFont val="楷体"/>
        <charset val="134"/>
      </rPr>
      <t>万</t>
    </r>
  </si>
  <si>
    <r>
      <rPr>
        <sz val="9"/>
        <color rgb="FF000000"/>
        <rFont val="楷体"/>
        <charset val="134"/>
      </rPr>
      <t>百度</t>
    </r>
  </si>
  <si>
    <r>
      <rPr>
        <sz val="9"/>
        <color rgb="FF000000"/>
        <rFont val="楷体"/>
        <charset val="134"/>
      </rPr>
      <t>君联资本</t>
    </r>
  </si>
  <si>
    <r>
      <rPr>
        <sz val="9"/>
        <color rgb="FF000000"/>
        <rFont val="楷体"/>
        <charset val="134"/>
      </rPr>
      <t>好食期</t>
    </r>
  </si>
  <si>
    <r>
      <rPr>
        <sz val="9"/>
        <color rgb="FF000000"/>
        <rFont val="楷体"/>
        <charset val="134"/>
      </rPr>
      <t>好食期</t>
    </r>
  </si>
  <si>
    <r>
      <rPr>
        <sz val="9"/>
        <color rgb="FF000000"/>
        <rFont val="楷体"/>
        <charset val="134"/>
      </rPr>
      <t>上海多维度网络科技股份有限公司</t>
    </r>
  </si>
  <si>
    <r>
      <t>1.1</t>
    </r>
    <r>
      <rPr>
        <sz val="9"/>
        <color rgb="FF000000"/>
        <rFont val="楷体"/>
        <charset val="134"/>
      </rPr>
      <t>亿人民币</t>
    </r>
  </si>
  <si>
    <r>
      <t>3.83</t>
    </r>
    <r>
      <rPr>
        <sz val="9"/>
        <color rgb="FF000000"/>
        <rFont val="楷体"/>
        <charset val="134"/>
      </rPr>
      <t>亿</t>
    </r>
  </si>
  <si>
    <r>
      <t>5.5</t>
    </r>
    <r>
      <rPr>
        <sz val="9"/>
        <color rgb="FF000000"/>
        <rFont val="楷体"/>
        <charset val="134"/>
      </rPr>
      <t>亿元</t>
    </r>
  </si>
  <si>
    <r>
      <t>1000</t>
    </r>
    <r>
      <rPr>
        <sz val="9"/>
        <color rgb="FF000000"/>
        <rFont val="楷体"/>
        <charset val="134"/>
      </rPr>
      <t>万人民币</t>
    </r>
  </si>
  <si>
    <r>
      <rPr>
        <sz val="9"/>
        <color rgb="FF000000"/>
        <rFont val="楷体"/>
        <charset val="134"/>
      </rPr>
      <t>上海复励隽华</t>
    </r>
  </si>
  <si>
    <r>
      <rPr>
        <sz val="9"/>
        <color rgb="FF000000"/>
        <rFont val="楷体"/>
        <charset val="134"/>
      </rPr>
      <t>新三板</t>
    </r>
  </si>
  <si>
    <r>
      <t>TimeHut</t>
    </r>
    <r>
      <rPr>
        <sz val="9"/>
        <color rgb="FF000000"/>
        <rFont val="楷体"/>
        <charset val="134"/>
      </rPr>
      <t>时光小屋</t>
    </r>
  </si>
  <si>
    <r>
      <t>TimeHut</t>
    </r>
    <r>
      <rPr>
        <sz val="9"/>
        <color rgb="FF000000"/>
        <rFont val="楷体"/>
        <charset val="134"/>
      </rPr>
      <t>时光小屋</t>
    </r>
  </si>
  <si>
    <r>
      <t>TimeHut</t>
    </r>
    <r>
      <rPr>
        <sz val="9"/>
        <color rgb="FF000000"/>
        <rFont val="楷体"/>
        <charset val="134"/>
      </rPr>
      <t>时光小屋是一个宝宝成长记录工具，可以将父母手机里关于宝宝的照片和视频一键生成宝宝成长记录。</t>
    </r>
    <r>
      <rPr>
        <sz val="9"/>
        <color rgb="FF000000"/>
        <rFont val="Arial"/>
        <charset val="134"/>
      </rPr>
      <t>Peekaboo</t>
    </r>
    <r>
      <rPr>
        <sz val="9"/>
        <color rgb="FF000000"/>
        <rFont val="楷体"/>
        <charset val="134"/>
      </rPr>
      <t>公司产品。</t>
    </r>
  </si>
  <si>
    <r>
      <rPr>
        <sz val="9"/>
        <color rgb="FF000000"/>
        <rFont val="楷体"/>
        <charset val="134"/>
      </rPr>
      <t>武汉时光部落网络有限公司</t>
    </r>
  </si>
  <si>
    <r>
      <rPr>
        <sz val="9"/>
        <color rgb="FF000000"/>
        <rFont val="楷体"/>
        <charset val="134"/>
      </rPr>
      <t>图像视频</t>
    </r>
  </si>
  <si>
    <r>
      <t>2250</t>
    </r>
    <r>
      <rPr>
        <sz val="9"/>
        <color rgb="FF000000"/>
        <rFont val="楷体"/>
        <charset val="134"/>
      </rPr>
      <t>万</t>
    </r>
  </si>
  <si>
    <r>
      <t>9750</t>
    </r>
    <r>
      <rPr>
        <sz val="9"/>
        <color rgb="FF000000"/>
        <rFont val="楷体"/>
        <charset val="134"/>
      </rPr>
      <t>万元</t>
    </r>
  </si>
  <si>
    <r>
      <t>PreAngel,</t>
    </r>
    <r>
      <rPr>
        <sz val="9"/>
        <color rgb="FF000000"/>
        <rFont val="楷体"/>
        <charset val="134"/>
      </rPr>
      <t>东湖天使基金</t>
    </r>
  </si>
  <si>
    <r>
      <rPr>
        <sz val="9"/>
        <color rgb="FF000000"/>
        <rFont val="楷体"/>
        <charset val="134"/>
      </rPr>
      <t>新片场</t>
    </r>
  </si>
  <si>
    <r>
      <rPr>
        <sz val="9"/>
        <color rgb="FF000000"/>
        <rFont val="楷体"/>
        <charset val="134"/>
      </rPr>
      <t>新片场</t>
    </r>
  </si>
  <si>
    <r>
      <rPr>
        <sz val="9"/>
        <color rgb="FF000000"/>
        <rFont val="楷体"/>
        <charset val="134"/>
      </rPr>
      <t>北京新片场传媒股份有限公司</t>
    </r>
  </si>
  <si>
    <r>
      <rPr>
        <sz val="9"/>
        <color rgb="FF000000"/>
        <rFont val="楷体"/>
        <charset val="134"/>
      </rPr>
      <t>影视</t>
    </r>
  </si>
  <si>
    <r>
      <t>1.47</t>
    </r>
    <r>
      <rPr>
        <sz val="9"/>
        <color rgb="FF000000"/>
        <rFont val="楷体"/>
        <charset val="134"/>
      </rPr>
      <t>亿人民币</t>
    </r>
  </si>
  <si>
    <r>
      <t>3.77</t>
    </r>
    <r>
      <rPr>
        <sz val="9"/>
        <color rgb="FF000000"/>
        <rFont val="楷体"/>
        <charset val="134"/>
      </rPr>
      <t>亿</t>
    </r>
  </si>
  <si>
    <r>
      <t>7.35</t>
    </r>
    <r>
      <rPr>
        <sz val="9"/>
        <color rgb="FF000000"/>
        <rFont val="楷体"/>
        <charset val="134"/>
      </rPr>
      <t>亿元</t>
    </r>
  </si>
  <si>
    <r>
      <t>7000</t>
    </r>
    <r>
      <rPr>
        <sz val="9"/>
        <color rgb="FF000000"/>
        <rFont val="楷体"/>
        <charset val="134"/>
      </rPr>
      <t>万人民币</t>
    </r>
  </si>
  <si>
    <r>
      <rPr>
        <sz val="9"/>
        <color rgb="FF000000"/>
        <rFont val="楷体"/>
        <charset val="134"/>
      </rPr>
      <t>数十万人民币</t>
    </r>
  </si>
  <si>
    <r>
      <rPr>
        <sz val="9"/>
        <color rgb="FF000000"/>
        <rFont val="楷体"/>
        <charset val="134"/>
      </rPr>
      <t>九合创投</t>
    </r>
  </si>
  <si>
    <r>
      <rPr>
        <sz val="9"/>
        <color rgb="FF000000"/>
        <rFont val="楷体"/>
        <charset val="134"/>
      </rPr>
      <t>数云</t>
    </r>
  </si>
  <si>
    <r>
      <rPr>
        <sz val="9"/>
        <color rgb="FF000000"/>
        <rFont val="楷体"/>
        <charset val="134"/>
      </rPr>
      <t>数云</t>
    </r>
  </si>
  <si>
    <r>
      <rPr>
        <sz val="9"/>
        <color rgb="FF000000"/>
        <rFont val="楷体"/>
        <charset val="134"/>
      </rPr>
      <t>杭州数云信息技术有限公司</t>
    </r>
  </si>
  <si>
    <r>
      <rPr>
        <sz val="9"/>
        <color rgb="FF000000"/>
        <rFont val="楷体"/>
        <charset val="134"/>
      </rPr>
      <t>数据服务</t>
    </r>
  </si>
  <si>
    <r>
      <t>4.7</t>
    </r>
    <r>
      <rPr>
        <sz val="9"/>
        <color rgb="FF000000"/>
        <rFont val="楷体"/>
        <charset val="134"/>
      </rPr>
      <t>亿</t>
    </r>
  </si>
  <si>
    <r>
      <t>9091</t>
    </r>
    <r>
      <rPr>
        <sz val="9"/>
        <color rgb="FF000000"/>
        <rFont val="楷体"/>
        <charset val="134"/>
      </rPr>
      <t>万人民币</t>
    </r>
  </si>
  <si>
    <r>
      <rPr>
        <sz val="9"/>
        <color rgb="FF000000"/>
        <rFont val="楷体"/>
        <charset val="134"/>
      </rPr>
      <t>红杉资本中国</t>
    </r>
  </si>
  <si>
    <r>
      <rPr>
        <sz val="9"/>
        <color rgb="FF000000"/>
        <rFont val="楷体"/>
        <charset val="134"/>
      </rPr>
      <t>游友移动</t>
    </r>
  </si>
  <si>
    <r>
      <rPr>
        <sz val="9"/>
        <color rgb="FF000000"/>
        <rFont val="楷体"/>
        <charset val="134"/>
      </rPr>
      <t>游友移动</t>
    </r>
  </si>
  <si>
    <r>
      <rPr>
        <sz val="9"/>
        <color rgb="FF000000"/>
        <rFont val="楷体"/>
        <charset val="134"/>
      </rPr>
      <t>上海吾游信息技术有限公司</t>
    </r>
  </si>
  <si>
    <r>
      <rPr>
        <sz val="9"/>
        <color rgb="FF000000"/>
        <rFont val="楷体"/>
        <charset val="134"/>
      </rPr>
      <t>跨境游</t>
    </r>
  </si>
  <si>
    <r>
      <t>3410</t>
    </r>
    <r>
      <rPr>
        <sz val="9"/>
        <color rgb="FF000000"/>
        <rFont val="楷体"/>
        <charset val="134"/>
      </rPr>
      <t>万</t>
    </r>
  </si>
  <si>
    <r>
      <rPr>
        <sz val="9"/>
        <color rgb="FF000000"/>
        <rFont val="楷体"/>
        <charset val="134"/>
      </rPr>
      <t>松禾资本</t>
    </r>
  </si>
  <si>
    <r>
      <t>10</t>
    </r>
    <r>
      <rPr>
        <sz val="9"/>
        <color rgb="FF000000"/>
        <rFont val="楷体"/>
        <charset val="134"/>
      </rPr>
      <t>万人民币</t>
    </r>
  </si>
  <si>
    <r>
      <rPr>
        <sz val="9"/>
        <color rgb="FF000000"/>
        <rFont val="楷体"/>
        <charset val="134"/>
      </rPr>
      <t>种子轮</t>
    </r>
  </si>
  <si>
    <r>
      <rPr>
        <sz val="9"/>
        <color rgb="FF000000"/>
        <rFont val="楷体"/>
        <charset val="134"/>
      </rPr>
      <t>七牛云</t>
    </r>
  </si>
  <si>
    <r>
      <rPr>
        <sz val="9"/>
        <color rgb="FF000000"/>
        <rFont val="楷体"/>
        <charset val="134"/>
      </rPr>
      <t>七牛云</t>
    </r>
  </si>
  <si>
    <r>
      <rPr>
        <sz val="9"/>
        <color rgb="FF000000"/>
        <rFont val="楷体"/>
        <charset val="134"/>
      </rPr>
      <t>上海七牛信息技术有限公司</t>
    </r>
  </si>
  <si>
    <r>
      <t>9300</t>
    </r>
    <r>
      <rPr>
        <sz val="9"/>
        <color rgb="FF000000"/>
        <rFont val="楷体"/>
        <charset val="134"/>
      </rPr>
      <t>万美元</t>
    </r>
  </si>
  <si>
    <r>
      <t>16.84</t>
    </r>
    <r>
      <rPr>
        <sz val="9"/>
        <color rgb="FF000000"/>
        <rFont val="楷体"/>
        <charset val="134"/>
      </rPr>
      <t>亿</t>
    </r>
  </si>
  <si>
    <r>
      <t>8500</t>
    </r>
    <r>
      <rPr>
        <sz val="9"/>
        <color rgb="FF000000"/>
        <rFont val="楷体"/>
        <charset val="134"/>
      </rPr>
      <t>万美元</t>
    </r>
  </si>
  <si>
    <r>
      <t>5500</t>
    </r>
    <r>
      <rPr>
        <sz val="9"/>
        <color rgb="FF000000"/>
        <rFont val="楷体"/>
        <charset val="134"/>
      </rPr>
      <t>万美元</t>
    </r>
  </si>
  <si>
    <r>
      <t>500</t>
    </r>
    <r>
      <rPr>
        <sz val="9"/>
        <color rgb="FF000000"/>
        <rFont val="楷体"/>
        <charset val="134"/>
      </rPr>
      <t>万美元</t>
    </r>
  </si>
  <si>
    <r>
      <rPr>
        <sz val="9"/>
        <color rgb="FF000000"/>
        <rFont val="楷体"/>
        <charset val="134"/>
      </rPr>
      <t>经纬创投</t>
    </r>
  </si>
  <si>
    <r>
      <rPr>
        <sz val="9"/>
        <color rgb="FF000000"/>
        <rFont val="楷体"/>
        <charset val="134"/>
      </rPr>
      <t>酷盘</t>
    </r>
    <r>
      <rPr>
        <sz val="9"/>
        <color rgb="FF000000"/>
        <rFont val="Arial"/>
        <charset val="134"/>
      </rPr>
      <t>Kanbox</t>
    </r>
  </si>
  <si>
    <r>
      <rPr>
        <sz val="9"/>
        <color rgb="FF000000"/>
        <rFont val="楷体"/>
        <charset val="134"/>
      </rPr>
      <t>北京袋鼠网络科技有限公司</t>
    </r>
  </si>
  <si>
    <r>
      <rPr>
        <sz val="9"/>
        <color rgb="FF000000"/>
        <rFont val="楷体"/>
        <charset val="134"/>
      </rPr>
      <t>并购</t>
    </r>
  </si>
  <si>
    <r>
      <t>1.66</t>
    </r>
    <r>
      <rPr>
        <sz val="9"/>
        <color rgb="FF000000"/>
        <rFont val="楷体"/>
        <charset val="134"/>
      </rPr>
      <t>亿</t>
    </r>
  </si>
  <si>
    <r>
      <t>DCM</t>
    </r>
    <r>
      <rPr>
        <sz val="9"/>
        <color rgb="FF000000"/>
        <rFont val="楷体"/>
        <charset val="134"/>
      </rPr>
      <t>中国</t>
    </r>
    <r>
      <rPr>
        <sz val="9"/>
        <color rgb="FF000000"/>
        <rFont val="Arial"/>
        <charset val="134"/>
      </rPr>
      <t>,SIG</t>
    </r>
    <r>
      <rPr>
        <sz val="9"/>
        <color rgb="FF000000"/>
        <rFont val="楷体"/>
        <charset val="134"/>
      </rPr>
      <t>海纳亚洲</t>
    </r>
  </si>
  <si>
    <r>
      <t>SIG</t>
    </r>
    <r>
      <rPr>
        <sz val="9"/>
        <color rgb="FF000000"/>
        <rFont val="楷体"/>
        <charset val="134"/>
      </rPr>
      <t>海纳亚洲</t>
    </r>
  </si>
  <si>
    <r>
      <t>365</t>
    </r>
    <r>
      <rPr>
        <sz val="9"/>
        <color rgb="FF000000"/>
        <rFont val="楷体"/>
        <charset val="134"/>
      </rPr>
      <t>翻译</t>
    </r>
  </si>
  <si>
    <r>
      <t>365</t>
    </r>
    <r>
      <rPr>
        <sz val="9"/>
        <color rgb="FF000000"/>
        <rFont val="楷体"/>
        <charset val="134"/>
      </rPr>
      <t>翻译</t>
    </r>
  </si>
  <si>
    <r>
      <t>365</t>
    </r>
    <r>
      <rPr>
        <sz val="9"/>
        <color rgb="FF000000"/>
        <rFont val="楷体"/>
        <charset val="134"/>
      </rPr>
      <t>翻译是一家语言服务提供商，支持多语种的笔译音译，隶属于一朵云（北京）科技有限公司。</t>
    </r>
  </si>
  <si>
    <r>
      <rPr>
        <sz val="9"/>
        <color rgb="FF000000"/>
        <rFont val="楷体"/>
        <charset val="134"/>
      </rPr>
      <t>一朵云（北京）科技有限公司</t>
    </r>
  </si>
  <si>
    <r>
      <rPr>
        <sz val="9"/>
        <color rgb="FF000000"/>
        <rFont val="楷体"/>
        <charset val="134"/>
      </rPr>
      <t>语言学习</t>
    </r>
  </si>
  <si>
    <r>
      <t>3900</t>
    </r>
    <r>
      <rPr>
        <sz val="9"/>
        <color rgb="FF000000"/>
        <rFont val="楷体"/>
        <charset val="134"/>
      </rPr>
      <t>万</t>
    </r>
  </si>
  <si>
    <r>
      <rPr>
        <sz val="9"/>
        <color rgb="FF000000"/>
        <rFont val="楷体"/>
        <charset val="134"/>
      </rPr>
      <t>丸子地球</t>
    </r>
  </si>
  <si>
    <r>
      <rPr>
        <sz val="9"/>
        <color rgb="FF000000"/>
        <rFont val="楷体"/>
        <charset val="134"/>
      </rPr>
      <t>丸子地球</t>
    </r>
  </si>
  <si>
    <r>
      <rPr>
        <sz val="9"/>
        <color rgb="FF000000"/>
        <rFont val="楷体"/>
        <charset val="134"/>
      </rPr>
      <t>上海幻橙网络科技有限公司</t>
    </r>
  </si>
  <si>
    <r>
      <t>4030</t>
    </r>
    <r>
      <rPr>
        <sz val="9"/>
        <color rgb="FF000000"/>
        <rFont val="楷体"/>
        <charset val="134"/>
      </rPr>
      <t>万</t>
    </r>
  </si>
  <si>
    <r>
      <rPr>
        <sz val="9"/>
        <color rgb="FF000000"/>
        <rFont val="楷体"/>
        <charset val="134"/>
      </rPr>
      <t>五岳资本</t>
    </r>
  </si>
  <si>
    <r>
      <rPr>
        <sz val="9"/>
        <color rgb="FF000000"/>
        <rFont val="楷体"/>
        <charset val="134"/>
      </rPr>
      <t>苏河汇</t>
    </r>
  </si>
  <si>
    <r>
      <rPr>
        <sz val="9"/>
        <color rgb="FF000000"/>
        <rFont val="楷体"/>
        <charset val="134"/>
      </rPr>
      <t>点我达</t>
    </r>
  </si>
  <si>
    <r>
      <rPr>
        <sz val="9"/>
        <color rgb="FF000000"/>
        <rFont val="楷体"/>
        <charset val="134"/>
      </rPr>
      <t>点我达</t>
    </r>
  </si>
  <si>
    <r>
      <rPr>
        <sz val="9"/>
        <color rgb="FF000000"/>
        <rFont val="楷体"/>
        <charset val="134"/>
      </rPr>
      <t>点我达是一家即时配送物流服务商，为用户提供在线生活信息平台和线下即时配送物流服务。公司致力于解决同城鲜花速递、蔬菜配送、水果配送等即时物流问题，已开通餐厅外卖、超市外卖、跑腿等业务。</t>
    </r>
  </si>
  <si>
    <r>
      <rPr>
        <sz val="9"/>
        <color rgb="FF000000"/>
        <rFont val="楷体"/>
        <charset val="134"/>
      </rPr>
      <t>浙江点我达网络科技有限公司</t>
    </r>
  </si>
  <si>
    <r>
      <rPr>
        <sz val="9"/>
        <color rgb="FF000000"/>
        <rFont val="楷体"/>
        <charset val="134"/>
      </rPr>
      <t>同城物流</t>
    </r>
  </si>
  <si>
    <r>
      <t>34.96</t>
    </r>
    <r>
      <rPr>
        <sz val="9"/>
        <color rgb="FF000000"/>
        <rFont val="楷体"/>
        <charset val="134"/>
      </rPr>
      <t>亿</t>
    </r>
  </si>
  <si>
    <r>
      <t>2.9</t>
    </r>
    <r>
      <rPr>
        <sz val="9"/>
        <color rgb="FF000000"/>
        <rFont val="楷体"/>
        <charset val="134"/>
      </rPr>
      <t>亿美元</t>
    </r>
  </si>
  <si>
    <r>
      <rPr>
        <sz val="9"/>
        <color rgb="FF000000"/>
        <rFont val="楷体"/>
        <charset val="134"/>
      </rPr>
      <t>圆通速递</t>
    </r>
  </si>
  <si>
    <r>
      <rPr>
        <sz val="9"/>
        <color rgb="FF000000"/>
        <rFont val="楷体"/>
        <charset val="134"/>
      </rPr>
      <t>创新工场</t>
    </r>
  </si>
  <si>
    <r>
      <rPr>
        <sz val="9"/>
        <color rgb="FF000000"/>
        <rFont val="楷体"/>
        <charset val="134"/>
      </rPr>
      <t>沂景资本</t>
    </r>
  </si>
  <si>
    <r>
      <t>200</t>
    </r>
    <r>
      <rPr>
        <sz val="9"/>
        <color rgb="FF000000"/>
        <rFont val="楷体"/>
        <charset val="134"/>
      </rPr>
      <t>万美元</t>
    </r>
  </si>
  <si>
    <r>
      <rPr>
        <sz val="9"/>
        <color rgb="FF000000"/>
        <rFont val="楷体"/>
        <charset val="134"/>
      </rPr>
      <t>戈壁创投</t>
    </r>
  </si>
  <si>
    <r>
      <rPr>
        <sz val="9"/>
        <color rgb="FF000000"/>
        <rFont val="楷体"/>
        <charset val="134"/>
      </rPr>
      <t>快的打车</t>
    </r>
  </si>
  <si>
    <r>
      <rPr>
        <sz val="9"/>
        <color rgb="FF000000"/>
        <rFont val="楷体"/>
        <charset val="134"/>
      </rPr>
      <t>快的打车是一款智能手机打车应用，软件为打车乘客和出租司机量身定做，乘客可以轻松发单，随时随地打车；司机可以降低空驶率，轻松多赚钱。</t>
    </r>
  </si>
  <si>
    <r>
      <rPr>
        <sz val="9"/>
        <color rgb="FF000000"/>
        <rFont val="楷体"/>
        <charset val="134"/>
      </rPr>
      <t>杭州快智科技有限公司</t>
    </r>
  </si>
  <si>
    <r>
      <t>48</t>
    </r>
    <r>
      <rPr>
        <sz val="9"/>
        <color rgb="FF000000"/>
        <rFont val="楷体"/>
        <charset val="134"/>
      </rPr>
      <t>亿</t>
    </r>
  </si>
  <si>
    <r>
      <t>Tiger</t>
    </r>
    <r>
      <rPr>
        <sz val="9"/>
        <color rgb="FF000000"/>
        <rFont val="楷体"/>
        <charset val="134"/>
      </rPr>
      <t>老虎基金</t>
    </r>
    <r>
      <rPr>
        <sz val="9"/>
        <color rgb="FF000000"/>
        <rFont val="Arial"/>
        <charset val="134"/>
      </rPr>
      <t>-</t>
    </r>
    <r>
      <rPr>
        <sz val="9"/>
        <color rgb="FF000000"/>
        <rFont val="楷体"/>
        <charset val="134"/>
      </rPr>
      <t>中国</t>
    </r>
  </si>
  <si>
    <r>
      <t>400</t>
    </r>
    <r>
      <rPr>
        <sz val="9"/>
        <color rgb="FF000000"/>
        <rFont val="楷体"/>
        <charset val="134"/>
      </rPr>
      <t>万美元</t>
    </r>
  </si>
  <si>
    <r>
      <rPr>
        <sz val="9"/>
        <color rgb="FF000000"/>
        <rFont val="楷体"/>
        <charset val="134"/>
      </rPr>
      <t>阿米巴资本</t>
    </r>
  </si>
  <si>
    <r>
      <rPr>
        <sz val="9"/>
        <color rgb="FF000000"/>
        <rFont val="楷体"/>
        <charset val="134"/>
      </rPr>
      <t>超级课程表</t>
    </r>
  </si>
  <si>
    <r>
      <rPr>
        <sz val="9"/>
        <color rgb="FF000000"/>
        <rFont val="楷体"/>
        <charset val="134"/>
      </rPr>
      <t>超级课程表</t>
    </r>
  </si>
  <si>
    <r>
      <rPr>
        <sz val="9"/>
        <color rgb="FF000000"/>
        <rFont val="楷体"/>
        <charset val="134"/>
      </rPr>
      <t>超级课程表是一个大学生课程表及社交应用，广州超级周末科技有限公司旗下。</t>
    </r>
  </si>
  <si>
    <r>
      <rPr>
        <sz val="9"/>
        <color rgb="FF000000"/>
        <rFont val="楷体"/>
        <charset val="134"/>
      </rPr>
      <t>广州超级周末科技有限公司</t>
    </r>
  </si>
  <si>
    <r>
      <rPr>
        <sz val="9"/>
        <color rgb="FF000000"/>
        <rFont val="楷体"/>
        <charset val="134"/>
      </rPr>
      <t>高等教育</t>
    </r>
  </si>
  <si>
    <r>
      <t>2.08</t>
    </r>
    <r>
      <rPr>
        <sz val="9"/>
        <color rgb="FF000000"/>
        <rFont val="楷体"/>
        <charset val="134"/>
      </rPr>
      <t>亿</t>
    </r>
  </si>
  <si>
    <r>
      <t>9.75</t>
    </r>
    <r>
      <rPr>
        <sz val="9"/>
        <color rgb="FF000000"/>
        <rFont val="楷体"/>
        <charset val="134"/>
      </rPr>
      <t>亿元</t>
    </r>
  </si>
  <si>
    <r>
      <t xml:space="preserve">Teambition </t>
    </r>
    <r>
      <rPr>
        <sz val="9"/>
        <color rgb="FF000000"/>
        <rFont val="楷体"/>
        <charset val="134"/>
      </rPr>
      <t>是国内团队协作工具的创导者，通过帮助团队轻松共享和讨论工作中的任务、文件、分享、日程等内容，让团队协作焕发无限可能。其</t>
    </r>
    <r>
      <rPr>
        <sz val="9"/>
        <color rgb="FF000000"/>
        <rFont val="Arial"/>
        <charset val="134"/>
      </rPr>
      <t xml:space="preserve"> iPhone </t>
    </r>
    <r>
      <rPr>
        <sz val="9"/>
        <color rgb="FF000000"/>
        <rFont val="楷体"/>
        <charset val="134"/>
      </rPr>
      <t>应用被苹果公司评为</t>
    </r>
    <r>
      <rPr>
        <sz val="9"/>
        <color rgb="FF000000"/>
        <rFont val="Arial"/>
        <charset val="134"/>
      </rPr>
      <t>2015</t>
    </r>
    <r>
      <rPr>
        <sz val="9"/>
        <color rgb="FF000000"/>
        <rFont val="楷体"/>
        <charset val="134"/>
      </rPr>
      <t>年度最佳应用。目前，已经有超过一百万用户通过</t>
    </r>
    <r>
      <rPr>
        <sz val="9"/>
        <color rgb="FF000000"/>
        <rFont val="Arial"/>
        <charset val="134"/>
      </rPr>
      <t xml:space="preserve"> Teambition </t>
    </r>
    <r>
      <rPr>
        <sz val="9"/>
        <color rgb="FF000000"/>
        <rFont val="楷体"/>
        <charset val="134"/>
      </rPr>
      <t>进行团队协作，其中也包括多个行业的龙头企业。</t>
    </r>
  </si>
  <si>
    <r>
      <rPr>
        <sz val="9"/>
        <color rgb="FF000000"/>
        <rFont val="楷体"/>
        <charset val="134"/>
      </rPr>
      <t>上海汇翼信息科技有限公司</t>
    </r>
  </si>
  <si>
    <r>
      <t>3.11</t>
    </r>
    <r>
      <rPr>
        <sz val="9"/>
        <color rgb="FF000000"/>
        <rFont val="楷体"/>
        <charset val="134"/>
      </rPr>
      <t>亿</t>
    </r>
  </si>
  <si>
    <r>
      <t>B+</t>
    </r>
    <r>
      <rPr>
        <sz val="9"/>
        <color rgb="FF000000"/>
        <rFont val="楷体"/>
        <charset val="134"/>
      </rPr>
      <t>轮</t>
    </r>
  </si>
  <si>
    <r>
      <rPr>
        <sz val="9"/>
        <color rgb="FF000000"/>
        <rFont val="楷体"/>
        <charset val="134"/>
      </rPr>
      <t>腾讯投资</t>
    </r>
  </si>
  <si>
    <r>
      <t>1200</t>
    </r>
    <r>
      <rPr>
        <sz val="9"/>
        <color rgb="FF000000"/>
        <rFont val="楷体"/>
        <charset val="134"/>
      </rPr>
      <t>万美元</t>
    </r>
  </si>
  <si>
    <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盘古创富</t>
    </r>
    <r>
      <rPr>
        <sz val="9"/>
        <color rgb="FF000000"/>
        <rFont val="Arial"/>
        <charset val="134"/>
      </rPr>
      <t>VANGOO</t>
    </r>
  </si>
  <si>
    <r>
      <t>IDG</t>
    </r>
    <r>
      <rPr>
        <sz val="9"/>
        <color rgb="FF000000"/>
        <rFont val="楷体"/>
        <charset val="134"/>
      </rPr>
      <t>资本</t>
    </r>
    <r>
      <rPr>
        <sz val="9"/>
        <color rgb="FF000000"/>
        <rFont val="Arial"/>
        <charset val="134"/>
      </rPr>
      <t>,</t>
    </r>
    <r>
      <rPr>
        <sz val="9"/>
        <color rgb="FF000000"/>
        <rFont val="楷体"/>
        <charset val="134"/>
      </rPr>
      <t>盘古创富</t>
    </r>
    <r>
      <rPr>
        <sz val="9"/>
        <color rgb="FF000000"/>
        <rFont val="Arial"/>
        <charset val="134"/>
      </rPr>
      <t>VANGOO</t>
    </r>
  </si>
  <si>
    <r>
      <t>250</t>
    </r>
    <r>
      <rPr>
        <sz val="9"/>
        <color rgb="FF000000"/>
        <rFont val="楷体"/>
        <charset val="134"/>
      </rPr>
      <t>万人民币</t>
    </r>
  </si>
  <si>
    <r>
      <rPr>
        <sz val="9"/>
        <color rgb="FF000000"/>
        <rFont val="楷体"/>
        <charset val="134"/>
      </rPr>
      <t>树熊集团</t>
    </r>
  </si>
  <si>
    <r>
      <rPr>
        <sz val="9"/>
        <color rgb="FF000000"/>
        <rFont val="楷体"/>
        <charset val="134"/>
      </rPr>
      <t>树熊集团</t>
    </r>
  </si>
  <si>
    <r>
      <rPr>
        <sz val="9"/>
        <color rgb="FF000000"/>
        <rFont val="楷体"/>
        <charset val="134"/>
      </rPr>
      <t>杭州树熊网络有限公司</t>
    </r>
  </si>
  <si>
    <r>
      <rPr>
        <sz val="9"/>
        <color rgb="FF000000"/>
        <rFont val="楷体"/>
        <charset val="134"/>
      </rPr>
      <t>销售营销</t>
    </r>
  </si>
  <si>
    <r>
      <t>2.33</t>
    </r>
    <r>
      <rPr>
        <sz val="9"/>
        <color rgb="FF000000"/>
        <rFont val="楷体"/>
        <charset val="134"/>
      </rPr>
      <t>亿</t>
    </r>
  </si>
  <si>
    <r>
      <t>10</t>
    </r>
    <r>
      <rPr>
        <sz val="9"/>
        <color rgb="FF000000"/>
        <rFont val="楷体"/>
        <charset val="134"/>
      </rPr>
      <t>亿元</t>
    </r>
  </si>
  <si>
    <r>
      <rPr>
        <sz val="9"/>
        <color rgb="FF000000"/>
        <rFont val="楷体"/>
        <charset val="134"/>
      </rPr>
      <t>盈动资本</t>
    </r>
  </si>
  <si>
    <r>
      <rPr>
        <sz val="9"/>
        <color rgb="FF000000"/>
        <rFont val="楷体"/>
        <charset val="134"/>
      </rPr>
      <t>大搜车</t>
    </r>
  </si>
  <si>
    <r>
      <rPr>
        <sz val="9"/>
        <color rgb="FF000000"/>
        <rFont val="楷体"/>
        <charset val="134"/>
      </rPr>
      <t>大搜车</t>
    </r>
  </si>
  <si>
    <r>
      <rPr>
        <sz val="9"/>
        <color rgb="FF000000"/>
        <rFont val="楷体"/>
        <charset val="134"/>
      </rPr>
      <t>杭州大搜车汽车服务有限公司</t>
    </r>
  </si>
  <si>
    <r>
      <rPr>
        <sz val="9"/>
        <color rgb="FF000000"/>
        <rFont val="楷体"/>
        <charset val="134"/>
      </rPr>
      <t>汽车流通</t>
    </r>
  </si>
  <si>
    <r>
      <t>78.87</t>
    </r>
    <r>
      <rPr>
        <sz val="9"/>
        <color rgb="FF000000"/>
        <rFont val="楷体"/>
        <charset val="134"/>
      </rPr>
      <t>亿</t>
    </r>
  </si>
  <si>
    <r>
      <t>227.5</t>
    </r>
    <r>
      <rPr>
        <sz val="9"/>
        <color rgb="FF000000"/>
        <rFont val="楷体"/>
        <charset val="134"/>
      </rPr>
      <t>亿元</t>
    </r>
  </si>
  <si>
    <r>
      <t>3.35</t>
    </r>
    <r>
      <rPr>
        <sz val="9"/>
        <color rgb="FF000000"/>
        <rFont val="楷体"/>
        <charset val="134"/>
      </rPr>
      <t>亿美元</t>
    </r>
  </si>
  <si>
    <r>
      <t>1.8</t>
    </r>
    <r>
      <rPr>
        <sz val="9"/>
        <color rgb="FF000000"/>
        <rFont val="楷体"/>
        <charset val="134"/>
      </rPr>
      <t>亿美元</t>
    </r>
  </si>
  <si>
    <r>
      <t>1490</t>
    </r>
    <r>
      <rPr>
        <sz val="9"/>
        <color rgb="FF000000"/>
        <rFont val="楷体"/>
        <charset val="134"/>
      </rPr>
      <t>万美元</t>
    </r>
  </si>
  <si>
    <r>
      <t>550</t>
    </r>
    <r>
      <rPr>
        <sz val="9"/>
        <color rgb="FF000000"/>
        <rFont val="楷体"/>
        <charset val="134"/>
      </rPr>
      <t>万美元</t>
    </r>
  </si>
  <si>
    <r>
      <rPr>
        <sz val="9"/>
        <color rgb="FF000000"/>
        <rFont val="楷体"/>
        <charset val="134"/>
      </rPr>
      <t>淘淘搜</t>
    </r>
  </si>
  <si>
    <r>
      <rPr>
        <sz val="9"/>
        <color rgb="FF000000"/>
        <rFont val="楷体"/>
        <charset val="134"/>
      </rPr>
      <t>淘淘搜</t>
    </r>
  </si>
  <si>
    <r>
      <rPr>
        <sz val="9"/>
        <color rgb="FF000000"/>
        <rFont val="楷体"/>
        <charset val="134"/>
      </rPr>
      <t>杭州淘淘搜科技有限公司</t>
    </r>
  </si>
  <si>
    <r>
      <rPr>
        <sz val="9"/>
        <color rgb="FF000000"/>
        <rFont val="楷体"/>
        <charset val="134"/>
      </rPr>
      <t>综合电商</t>
    </r>
  </si>
  <si>
    <r>
      <t>2.18</t>
    </r>
    <r>
      <rPr>
        <sz val="9"/>
        <color rgb="FF000000"/>
        <rFont val="楷体"/>
        <charset val="134"/>
      </rPr>
      <t>亿</t>
    </r>
  </si>
  <si>
    <r>
      <t>300</t>
    </r>
    <r>
      <rPr>
        <sz val="9"/>
        <color rgb="FF000000"/>
        <rFont val="楷体"/>
        <charset val="134"/>
      </rPr>
      <t>万人民币</t>
    </r>
  </si>
  <si>
    <r>
      <rPr>
        <sz val="9"/>
        <color rgb="FF000000"/>
        <rFont val="楷体"/>
        <charset val="134"/>
      </rPr>
      <t>大麦网</t>
    </r>
  </si>
  <si>
    <r>
      <rPr>
        <sz val="9"/>
        <color rgb="FF000000"/>
        <rFont val="楷体"/>
        <charset val="134"/>
      </rPr>
      <t>大麦网</t>
    </r>
  </si>
  <si>
    <r>
      <rPr>
        <sz val="9"/>
        <color rgb="FF000000"/>
        <rFont val="楷体"/>
        <charset val="134"/>
      </rPr>
      <t>北京大麦文化传媒发展有限公司</t>
    </r>
  </si>
  <si>
    <r>
      <t>1.8</t>
    </r>
    <r>
      <rPr>
        <sz val="9"/>
        <color rgb="FF000000"/>
        <rFont val="楷体"/>
        <charset val="134"/>
      </rPr>
      <t>亿</t>
    </r>
  </si>
  <si>
    <r>
      <t>3000</t>
    </r>
    <r>
      <rPr>
        <sz val="9"/>
        <color rgb="FF000000"/>
        <rFont val="楷体"/>
        <charset val="134"/>
      </rPr>
      <t>万人民币</t>
    </r>
  </si>
  <si>
    <r>
      <rPr>
        <sz val="9"/>
        <color rgb="FF000000"/>
        <rFont val="楷体"/>
        <charset val="134"/>
      </rPr>
      <t>知乎</t>
    </r>
  </si>
  <si>
    <r>
      <rPr>
        <sz val="9"/>
        <color rgb="FF000000"/>
        <rFont val="楷体"/>
        <charset val="134"/>
      </rPr>
      <t>知乎</t>
    </r>
  </si>
  <si>
    <r>
      <rPr>
        <sz val="9"/>
        <color rgb="FF000000"/>
        <rFont val="楷体"/>
        <charset val="134"/>
      </rPr>
      <t>北京智者天下科技有限公司</t>
    </r>
  </si>
  <si>
    <r>
      <t>7.92</t>
    </r>
    <r>
      <rPr>
        <sz val="9"/>
        <color rgb="FF000000"/>
        <rFont val="楷体"/>
        <charset val="134"/>
      </rPr>
      <t>亿港元</t>
    </r>
  </si>
  <si>
    <r>
      <t>114.07</t>
    </r>
    <r>
      <rPr>
        <sz val="9"/>
        <color rgb="FF000000"/>
        <rFont val="楷体"/>
        <charset val="134"/>
      </rPr>
      <t>亿</t>
    </r>
  </si>
  <si>
    <r>
      <t>83.632</t>
    </r>
    <r>
      <rPr>
        <sz val="9"/>
        <color rgb="FF000000"/>
        <rFont val="楷体"/>
        <charset val="134"/>
      </rPr>
      <t>亿元</t>
    </r>
  </si>
  <si>
    <r>
      <t>5.23</t>
    </r>
    <r>
      <rPr>
        <sz val="9"/>
        <color rgb="FF000000"/>
        <rFont val="楷体"/>
        <charset val="134"/>
      </rPr>
      <t>亿美元</t>
    </r>
  </si>
  <si>
    <r>
      <rPr>
        <sz val="9"/>
        <color rgb="FF000000"/>
        <rFont val="楷体"/>
        <charset val="134"/>
      </rPr>
      <t>基石轮</t>
    </r>
  </si>
  <si>
    <r>
      <t>2.5</t>
    </r>
    <r>
      <rPr>
        <sz val="9"/>
        <color rgb="FF000000"/>
        <rFont val="楷体"/>
        <charset val="134"/>
      </rPr>
      <t>亿美元</t>
    </r>
  </si>
  <si>
    <r>
      <t>4.34</t>
    </r>
    <r>
      <rPr>
        <sz val="9"/>
        <color rgb="FF000000"/>
        <rFont val="楷体"/>
        <charset val="134"/>
      </rPr>
      <t>亿美元</t>
    </r>
  </si>
  <si>
    <r>
      <t>2.7</t>
    </r>
    <r>
      <rPr>
        <sz val="9"/>
        <color rgb="FF000000"/>
        <rFont val="楷体"/>
        <charset val="134"/>
      </rPr>
      <t>亿美元</t>
    </r>
  </si>
  <si>
    <r>
      <t>2200</t>
    </r>
    <r>
      <rPr>
        <sz val="9"/>
        <color rgb="FF000000"/>
        <rFont val="楷体"/>
        <charset val="134"/>
      </rPr>
      <t>万美元</t>
    </r>
  </si>
  <si>
    <r>
      <rPr>
        <sz val="9"/>
        <color rgb="FF000000"/>
        <rFont val="楷体"/>
        <charset val="134"/>
      </rPr>
      <t>启明创投</t>
    </r>
  </si>
  <si>
    <r>
      <rPr>
        <sz val="9"/>
        <color rgb="FF000000"/>
        <rFont val="楷体"/>
        <charset val="134"/>
      </rPr>
      <t>丁丁网</t>
    </r>
  </si>
  <si>
    <r>
      <rPr>
        <sz val="9"/>
        <color rgb="FF000000"/>
        <rFont val="楷体"/>
        <charset val="134"/>
      </rPr>
      <t>丁丁网</t>
    </r>
  </si>
  <si>
    <r>
      <rPr>
        <sz val="9"/>
        <color rgb="FF000000"/>
        <rFont val="楷体"/>
        <charset val="134"/>
      </rPr>
      <t>上海极索信息技术有限公司</t>
    </r>
  </si>
  <si>
    <r>
      <t>5.72</t>
    </r>
    <r>
      <rPr>
        <sz val="9"/>
        <color rgb="FF000000"/>
        <rFont val="楷体"/>
        <charset val="134"/>
      </rPr>
      <t>亿</t>
    </r>
  </si>
  <si>
    <r>
      <t>900</t>
    </r>
    <r>
      <rPr>
        <sz val="9"/>
        <color rgb="FF000000"/>
        <rFont val="楷体"/>
        <charset val="134"/>
      </rPr>
      <t>万美元</t>
    </r>
  </si>
  <si>
    <r>
      <rPr>
        <sz val="9"/>
        <color rgb="FF000000"/>
        <rFont val="楷体"/>
        <charset val="134"/>
      </rPr>
      <t>宝宝树</t>
    </r>
  </si>
  <si>
    <r>
      <rPr>
        <sz val="9"/>
        <color rgb="FF000000"/>
        <rFont val="楷体"/>
        <charset val="134"/>
      </rPr>
      <t>宝宝树</t>
    </r>
  </si>
  <si>
    <r>
      <rPr>
        <sz val="9"/>
        <color rgb="FF000000"/>
        <rFont val="楷体"/>
        <charset val="134"/>
      </rPr>
      <t>宝宝树是一个垂直母婴网站，用户在这里可以进行有价值的经验分享，得到愉快的育儿成长体验，此外宝宝树还开发了多款智能硬件。北京众鸣世纪科技有限公司旗下。</t>
    </r>
  </si>
  <si>
    <r>
      <rPr>
        <sz val="9"/>
        <color rgb="FF000000"/>
        <rFont val="楷体"/>
        <charset val="134"/>
      </rPr>
      <t>北京众鸣世纪科技有限公司</t>
    </r>
  </si>
  <si>
    <r>
      <t>IPO</t>
    </r>
    <r>
      <rPr>
        <sz val="9"/>
        <color rgb="FF000000"/>
        <rFont val="楷体"/>
        <charset val="134"/>
      </rPr>
      <t>上市后</t>
    </r>
  </si>
  <si>
    <r>
      <t>4560</t>
    </r>
    <r>
      <rPr>
        <sz val="9"/>
        <color rgb="FF000000"/>
        <rFont val="楷体"/>
        <charset val="134"/>
      </rPr>
      <t>万港元</t>
    </r>
  </si>
  <si>
    <r>
      <rPr>
        <sz val="9"/>
        <color rgb="FF000000"/>
        <rFont val="楷体"/>
        <charset val="134"/>
      </rPr>
      <t>复星集团</t>
    </r>
  </si>
  <si>
    <r>
      <t>70.48</t>
    </r>
    <r>
      <rPr>
        <sz val="9"/>
        <color rgb="FF000000"/>
        <rFont val="楷体"/>
        <charset val="134"/>
      </rPr>
      <t>亿</t>
    </r>
  </si>
  <si>
    <r>
      <t>1.824</t>
    </r>
    <r>
      <rPr>
        <sz val="9"/>
        <color rgb="FF000000"/>
        <rFont val="楷体"/>
        <charset val="134"/>
      </rPr>
      <t>亿元</t>
    </r>
  </si>
  <si>
    <r>
      <t>16.08</t>
    </r>
    <r>
      <rPr>
        <sz val="9"/>
        <color rgb="FF000000"/>
        <rFont val="楷体"/>
        <charset val="134"/>
      </rPr>
      <t>亿港元</t>
    </r>
  </si>
  <si>
    <r>
      <t>1.5</t>
    </r>
    <r>
      <rPr>
        <sz val="9"/>
        <color rgb="FF000000"/>
        <rFont val="楷体"/>
        <charset val="134"/>
      </rPr>
      <t>亿人民币</t>
    </r>
  </si>
  <si>
    <r>
      <t>Matrix Partners</t>
    </r>
    <r>
      <rPr>
        <sz val="9"/>
        <color rgb="FF000000"/>
        <rFont val="楷体"/>
        <charset val="134"/>
      </rPr>
      <t>经纬海外</t>
    </r>
  </si>
  <si>
    <r>
      <rPr>
        <sz val="9"/>
        <color rgb="FF000000"/>
        <rFont val="楷体"/>
        <charset val="134"/>
      </rPr>
      <t>堆糖</t>
    </r>
    <r>
      <rPr>
        <sz val="9"/>
        <color rgb="FF000000"/>
        <rFont val="Arial"/>
        <charset val="134"/>
      </rPr>
      <t>APP</t>
    </r>
  </si>
  <si>
    <r>
      <rPr>
        <sz val="9"/>
        <color rgb="FF000000"/>
        <rFont val="楷体"/>
        <charset val="134"/>
      </rPr>
      <t>堆糖是一个图片分享社交电商，用户可以在平台上以图片的方式展示和浏览喜爱的事物，涵盖生活态度、饮食文化、阅读观影、旅行摄影等内容。同时平台会根据用户的生活方式等，聚焦女性群体，沉淀有效用户，从而实现商业化。</t>
    </r>
  </si>
  <si>
    <r>
      <rPr>
        <sz val="9"/>
        <color rgb="FF000000"/>
        <rFont val="楷体"/>
        <charset val="134"/>
      </rPr>
      <t>堆糖信息科技（上海）有限公司</t>
    </r>
  </si>
  <si>
    <r>
      <rPr>
        <sz val="9"/>
        <color rgb="FF000000"/>
        <rFont val="楷体"/>
        <charset val="134"/>
      </rPr>
      <t>社交网络</t>
    </r>
  </si>
  <si>
    <r>
      <rPr>
        <sz val="9"/>
        <color rgb="FF000000"/>
        <rFont val="楷体"/>
        <charset val="134"/>
      </rPr>
      <t>兴趣社区</t>
    </r>
  </si>
  <si>
    <r>
      <rPr>
        <sz val="9"/>
        <color rgb="FF000000"/>
        <rFont val="楷体"/>
        <charset val="134"/>
      </rPr>
      <t>头头是道投资基金</t>
    </r>
  </si>
  <si>
    <r>
      <t>6950</t>
    </r>
    <r>
      <rPr>
        <sz val="9"/>
        <color rgb="FF000000"/>
        <rFont val="楷体"/>
        <charset val="134"/>
      </rPr>
      <t>万</t>
    </r>
  </si>
  <si>
    <r>
      <rPr>
        <sz val="9"/>
        <color rgb="FF000000"/>
        <rFont val="楷体"/>
        <charset val="134"/>
      </rPr>
      <t>易果生鲜</t>
    </r>
  </si>
  <si>
    <r>
      <rPr>
        <sz val="9"/>
        <color rgb="FF000000"/>
        <rFont val="楷体"/>
        <charset val="134"/>
      </rPr>
      <t>易果生鲜</t>
    </r>
  </si>
  <si>
    <r>
      <rPr>
        <sz val="9"/>
        <color rgb="FF000000"/>
        <rFont val="楷体"/>
        <charset val="134"/>
      </rPr>
      <t>上海易果电子商务有限公司</t>
    </r>
  </si>
  <si>
    <r>
      <t>60.1</t>
    </r>
    <r>
      <rPr>
        <sz val="9"/>
        <color rgb="FF000000"/>
        <rFont val="楷体"/>
        <charset val="134"/>
      </rPr>
      <t>亿</t>
    </r>
  </si>
  <si>
    <r>
      <t>2.6</t>
    </r>
    <r>
      <rPr>
        <sz val="9"/>
        <color rgb="FF000000"/>
        <rFont val="楷体"/>
        <charset val="134"/>
      </rPr>
      <t>亿美元</t>
    </r>
  </si>
  <si>
    <r>
      <rPr>
        <sz val="9"/>
        <color rgb="FF000000"/>
        <rFont val="楷体"/>
        <charset val="134"/>
      </rPr>
      <t>仁弘资本</t>
    </r>
  </si>
  <si>
    <r>
      <rPr>
        <sz val="9"/>
        <color rgb="FF000000"/>
        <rFont val="楷体"/>
        <charset val="134"/>
      </rPr>
      <t>遛遛宠物</t>
    </r>
  </si>
  <si>
    <r>
      <rPr>
        <sz val="9"/>
        <color rgb="FF000000"/>
        <rFont val="楷体"/>
        <charset val="134"/>
      </rPr>
      <t>遛遛宠物</t>
    </r>
  </si>
  <si>
    <r>
      <rPr>
        <sz val="9"/>
        <color rgb="FF000000"/>
        <rFont val="楷体"/>
        <charset val="134"/>
      </rPr>
      <t>遛遛宠物是一个基于宠物的移动社交应用，基于地理位置帮助用户发现身边的爱宠达人和宠物、一起遛狗；解决宠物配种、领养、寄养等服务。</t>
    </r>
  </si>
  <si>
    <r>
      <rPr>
        <sz val="9"/>
        <color rgb="FF000000"/>
        <rFont val="楷体"/>
        <charset val="134"/>
      </rPr>
      <t>遛友宠物信息科技（上海）有限公司</t>
    </r>
  </si>
  <si>
    <r>
      <rPr>
        <sz val="9"/>
        <color rgb="FF000000"/>
        <rFont val="楷体"/>
        <charset val="134"/>
      </rPr>
      <t>宠物服务</t>
    </r>
  </si>
  <si>
    <r>
      <t>1425</t>
    </r>
    <r>
      <rPr>
        <sz val="9"/>
        <color rgb="FF000000"/>
        <rFont val="楷体"/>
        <charset val="134"/>
      </rPr>
      <t>万</t>
    </r>
  </si>
  <si>
    <r>
      <t>5000</t>
    </r>
    <r>
      <rPr>
        <sz val="9"/>
        <color rgb="FF000000"/>
        <rFont val="楷体"/>
        <charset val="134"/>
      </rPr>
      <t>万元</t>
    </r>
  </si>
  <si>
    <r>
      <t>125</t>
    </r>
    <r>
      <rPr>
        <sz val="9"/>
        <color rgb="FF000000"/>
        <rFont val="楷体"/>
        <charset val="134"/>
      </rPr>
      <t>万人民币</t>
    </r>
  </si>
  <si>
    <r>
      <rPr>
        <sz val="9"/>
        <color rgb="FF000000"/>
        <rFont val="楷体"/>
        <charset val="134"/>
      </rPr>
      <t>紫辉创投</t>
    </r>
  </si>
  <si>
    <r>
      <rPr>
        <sz val="9"/>
        <color rgb="FF000000"/>
        <rFont val="楷体"/>
        <charset val="134"/>
      </rPr>
      <t>思必驰</t>
    </r>
  </si>
  <si>
    <r>
      <rPr>
        <sz val="9"/>
        <color rgb="FF000000"/>
        <rFont val="楷体"/>
        <charset val="134"/>
      </rPr>
      <t>思必驰</t>
    </r>
  </si>
  <si>
    <r>
      <rPr>
        <sz val="9"/>
        <color rgb="FF000000"/>
        <rFont val="楷体"/>
        <charset val="134"/>
      </rPr>
      <t>思必驰科技股份有限公司</t>
    </r>
  </si>
  <si>
    <r>
      <rPr>
        <sz val="9"/>
        <color rgb="FF000000"/>
        <rFont val="楷体"/>
        <charset val="134"/>
      </rPr>
      <t>前沿技术</t>
    </r>
  </si>
  <si>
    <r>
      <t>15.9</t>
    </r>
    <r>
      <rPr>
        <sz val="9"/>
        <color rgb="FF000000"/>
        <rFont val="楷体"/>
        <charset val="134"/>
      </rPr>
      <t>亿</t>
    </r>
  </si>
  <si>
    <r>
      <t>80</t>
    </r>
    <r>
      <rPr>
        <sz val="9"/>
        <color rgb="FF000000"/>
        <rFont val="楷体"/>
        <charset val="134"/>
      </rPr>
      <t>亿元</t>
    </r>
  </si>
  <si>
    <r>
      <t>4.1</t>
    </r>
    <r>
      <rPr>
        <sz val="9"/>
        <color rgb="FF000000"/>
        <rFont val="楷体"/>
        <charset val="134"/>
      </rPr>
      <t>亿人民币</t>
    </r>
  </si>
  <si>
    <r>
      <t>5</t>
    </r>
    <r>
      <rPr>
        <sz val="9"/>
        <color rgb="FF000000"/>
        <rFont val="楷体"/>
        <charset val="134"/>
      </rPr>
      <t>亿人民币</t>
    </r>
  </si>
  <si>
    <r>
      <t>DCM</t>
    </r>
    <r>
      <rPr>
        <sz val="9"/>
        <color rgb="FF000000"/>
        <rFont val="楷体"/>
        <charset val="134"/>
      </rPr>
      <t>中国</t>
    </r>
  </si>
  <si>
    <r>
      <t>iTutorGroup</t>
    </r>
    <r>
      <rPr>
        <sz val="9"/>
        <color rgb="FF000000"/>
        <rFont val="楷体"/>
        <charset val="134"/>
      </rPr>
      <t>集团</t>
    </r>
  </si>
  <si>
    <r>
      <t>iTutorGroup</t>
    </r>
    <r>
      <rPr>
        <sz val="9"/>
        <color rgb="FF000000"/>
        <rFont val="楷体"/>
        <charset val="134"/>
      </rPr>
      <t>集团</t>
    </r>
  </si>
  <si>
    <r>
      <t>TutorGroup</t>
    </r>
    <r>
      <rPr>
        <sz val="9"/>
        <color rgb="FF000000"/>
        <rFont val="楷体"/>
        <charset val="134"/>
      </rPr>
      <t>是一个真人在线语言学习平台，旗下有</t>
    </r>
    <r>
      <rPr>
        <sz val="9"/>
        <color rgb="FF000000"/>
        <rFont val="Arial"/>
        <charset val="134"/>
      </rPr>
      <t>TutorABC</t>
    </r>
    <r>
      <rPr>
        <sz val="9"/>
        <color rgb="FF000000"/>
        <rFont val="楷体"/>
        <charset val="134"/>
      </rPr>
      <t>、</t>
    </r>
    <r>
      <rPr>
        <sz val="9"/>
        <color rgb="FF000000"/>
        <rFont val="Arial"/>
        <charset val="134"/>
      </rPr>
      <t>VipJr</t>
    </r>
    <r>
      <rPr>
        <sz val="9"/>
        <color rgb="FF000000"/>
        <rFont val="楷体"/>
        <charset val="134"/>
      </rPr>
      <t>等英语学习平台。是全球领先的在线教育公司，通过其网络为成千上万的学生和商业专业人士提供个性化的学习体验。</t>
    </r>
    <r>
      <rPr>
        <sz val="9"/>
        <color rgb="FF000000"/>
        <rFont val="Arial"/>
        <charset val="134"/>
      </rPr>
      <t>iTutorGroup</t>
    </r>
    <r>
      <rPr>
        <sz val="9"/>
        <color rgb="FF000000"/>
        <rFont val="楷体"/>
        <charset val="134"/>
      </rPr>
      <t>通过利用大数据分析，利用学生、同学、教学顾问和数字内容之间的高级算法匹配来做到这一点。已成为全球最大的在线平台，推动着实时人与人之间的互动。</t>
    </r>
  </si>
  <si>
    <r>
      <rPr>
        <sz val="9"/>
        <color rgb="FF000000"/>
        <rFont val="楷体"/>
        <charset val="134"/>
      </rPr>
      <t>北京创意麦奇教育信息咨询有限公司</t>
    </r>
  </si>
  <si>
    <r>
      <rPr>
        <sz val="9"/>
        <color rgb="FF000000"/>
        <rFont val="楷体"/>
        <charset val="134"/>
      </rPr>
      <t>中国平安</t>
    </r>
  </si>
  <si>
    <r>
      <t>35.43</t>
    </r>
    <r>
      <rPr>
        <sz val="9"/>
        <color rgb="FF000000"/>
        <rFont val="楷体"/>
        <charset val="134"/>
      </rPr>
      <t>亿</t>
    </r>
  </si>
  <si>
    <r>
      <t>143</t>
    </r>
    <r>
      <rPr>
        <sz val="9"/>
        <color rgb="FF000000"/>
        <rFont val="楷体"/>
        <charset val="134"/>
      </rPr>
      <t>亿元</t>
    </r>
  </si>
  <si>
    <r>
      <rPr>
        <sz val="9"/>
        <color rgb="FF000000"/>
        <rFont val="楷体"/>
        <charset val="134"/>
      </rPr>
      <t>复思资本</t>
    </r>
  </si>
  <si>
    <r>
      <t>LBE</t>
    </r>
    <r>
      <rPr>
        <sz val="9"/>
        <color rgb="FF000000"/>
        <rFont val="楷体"/>
        <charset val="134"/>
      </rPr>
      <t>安全大师</t>
    </r>
  </si>
  <si>
    <r>
      <t>LBE</t>
    </r>
    <r>
      <rPr>
        <sz val="9"/>
        <color rgb="FF000000"/>
        <rFont val="楷体"/>
        <charset val="134"/>
      </rPr>
      <t>安全大师</t>
    </r>
  </si>
  <si>
    <r>
      <t>LBE</t>
    </r>
    <r>
      <rPr>
        <sz val="9"/>
        <color rgb="FF000000"/>
        <rFont val="楷体"/>
        <charset val="134"/>
      </rPr>
      <t>安全大师起源于魅族论坛的</t>
    </r>
    <r>
      <rPr>
        <sz val="9"/>
        <color rgb="FF000000"/>
        <rFont val="Arial"/>
        <charset val="134"/>
      </rPr>
      <t>LBE</t>
    </r>
    <r>
      <rPr>
        <sz val="9"/>
        <color rgb="FF000000"/>
        <rFont val="楷体"/>
        <charset val="134"/>
      </rPr>
      <t>小组，是</t>
    </r>
    <r>
      <rPr>
        <sz val="9"/>
        <color rgb="FF000000"/>
        <rFont val="Arial"/>
        <charset val="134"/>
      </rPr>
      <t>Android</t>
    </r>
    <r>
      <rPr>
        <sz val="9"/>
        <color rgb="FF000000"/>
        <rFont val="楷体"/>
        <charset val="134"/>
      </rPr>
      <t>平台上一款主动式防御软件，具备实时监控与拦截能力的安全软件。永杨安风（北京）科技股份有限公司旗下产品</t>
    </r>
  </si>
  <si>
    <r>
      <rPr>
        <sz val="9"/>
        <color rgb="FF000000"/>
        <rFont val="楷体"/>
        <charset val="134"/>
      </rPr>
      <t>永杨安风（北京）科技股份有限公司</t>
    </r>
  </si>
  <si>
    <r>
      <rPr>
        <sz val="9"/>
        <color rgb="FF000000"/>
        <rFont val="楷体"/>
        <charset val="134"/>
      </rPr>
      <t>安全隐私</t>
    </r>
  </si>
  <si>
    <r>
      <t>3000</t>
    </r>
    <r>
      <rPr>
        <sz val="9"/>
        <color rgb="FF000000"/>
        <rFont val="楷体"/>
        <charset val="134"/>
      </rPr>
      <t>万美元</t>
    </r>
  </si>
  <si>
    <r>
      <t>5.95</t>
    </r>
    <r>
      <rPr>
        <sz val="9"/>
        <color rgb="FF000000"/>
        <rFont val="楷体"/>
        <charset val="134"/>
      </rPr>
      <t>亿</t>
    </r>
  </si>
  <si>
    <r>
      <rPr>
        <sz val="9"/>
        <color rgb="FF000000"/>
        <rFont val="楷体"/>
        <charset val="134"/>
      </rPr>
      <t>小米集团</t>
    </r>
  </si>
  <si>
    <r>
      <rPr>
        <sz val="9"/>
        <color rgb="FF000000"/>
        <rFont val="楷体"/>
        <charset val="134"/>
      </rPr>
      <t>哔哩哔哩</t>
    </r>
    <r>
      <rPr>
        <sz val="9"/>
        <color rgb="FF000000"/>
        <rFont val="Arial"/>
        <charset val="134"/>
      </rPr>
      <t>bilibili</t>
    </r>
  </si>
  <si>
    <r>
      <rPr>
        <sz val="9"/>
        <color rgb="FF000000"/>
        <rFont val="楷体"/>
        <charset val="134"/>
      </rPr>
      <t>杭州幻电科技有限公司</t>
    </r>
  </si>
  <si>
    <r>
      <t>201.5</t>
    </r>
    <r>
      <rPr>
        <sz val="9"/>
        <color rgb="FF000000"/>
        <rFont val="楷体"/>
        <charset val="134"/>
      </rPr>
      <t>亿港元</t>
    </r>
  </si>
  <si>
    <r>
      <t>249.41</t>
    </r>
    <r>
      <rPr>
        <sz val="9"/>
        <color rgb="FF000000"/>
        <rFont val="楷体"/>
        <charset val="134"/>
      </rPr>
      <t>亿</t>
    </r>
  </si>
  <si>
    <r>
      <t>2459.2</t>
    </r>
    <r>
      <rPr>
        <sz val="9"/>
        <color rgb="FF000000"/>
        <rFont val="楷体"/>
        <charset val="134"/>
      </rPr>
      <t>亿元</t>
    </r>
  </si>
  <si>
    <r>
      <t>3.18</t>
    </r>
    <r>
      <rPr>
        <sz val="9"/>
        <color rgb="FF000000"/>
        <rFont val="楷体"/>
        <charset val="134"/>
      </rPr>
      <t>亿美元</t>
    </r>
  </si>
  <si>
    <r>
      <t>4.83</t>
    </r>
    <r>
      <rPr>
        <sz val="9"/>
        <color rgb="FF000000"/>
        <rFont val="楷体"/>
        <charset val="134"/>
      </rPr>
      <t>亿美元</t>
    </r>
  </si>
  <si>
    <r>
      <t>1223</t>
    </r>
    <r>
      <rPr>
        <sz val="9"/>
        <color rgb="FF000000"/>
        <rFont val="楷体"/>
        <charset val="134"/>
      </rPr>
      <t>万人民币</t>
    </r>
  </si>
  <si>
    <r>
      <rPr>
        <sz val="9"/>
        <color rgb="FF000000"/>
        <rFont val="楷体"/>
        <charset val="134"/>
      </rPr>
      <t>掌趣科技</t>
    </r>
  </si>
  <si>
    <r>
      <t>IDG</t>
    </r>
    <r>
      <rPr>
        <sz val="9"/>
        <color rgb="FF000000"/>
        <rFont val="楷体"/>
        <charset val="134"/>
      </rPr>
      <t>资本</t>
    </r>
    <r>
      <rPr>
        <sz val="9"/>
        <color rgb="FF000000"/>
        <rFont val="Arial"/>
        <charset val="134"/>
      </rPr>
      <t>,</t>
    </r>
    <r>
      <rPr>
        <sz val="9"/>
        <color rgb="FF000000"/>
        <rFont val="楷体"/>
        <charset val="134"/>
      </rPr>
      <t>启明创投</t>
    </r>
  </si>
  <si>
    <r>
      <t>IDG</t>
    </r>
    <r>
      <rPr>
        <sz val="9"/>
        <color rgb="FF000000"/>
        <rFont val="楷体"/>
        <charset val="134"/>
      </rPr>
      <t>资本</t>
    </r>
  </si>
  <si>
    <r>
      <rPr>
        <sz val="9"/>
        <color rgb="FF000000"/>
        <rFont val="楷体"/>
        <charset val="134"/>
      </rPr>
      <t>穷游网</t>
    </r>
  </si>
  <si>
    <r>
      <rPr>
        <sz val="9"/>
        <color rgb="FF000000"/>
        <rFont val="楷体"/>
        <charset val="134"/>
      </rPr>
      <t>穷游网</t>
    </r>
  </si>
  <si>
    <r>
      <rPr>
        <sz val="9"/>
        <color rgb="FF000000"/>
        <rFont val="楷体"/>
        <charset val="134"/>
      </rPr>
      <t>穷游网是一家出境游旅行服务平台，主要提供出境游攻略及旅行产品预订服务，包括签证、机酒、租车、景点门票、当地通讯等旅游及其周边产品，致力于为用户构建一个旅行社区和问答交流平台。</t>
    </r>
  </si>
  <si>
    <r>
      <rPr>
        <sz val="9"/>
        <color rgb="FF000000"/>
        <rFont val="楷体"/>
        <charset val="134"/>
      </rPr>
      <t>北京穷游天下科技发展有限公司</t>
    </r>
  </si>
  <si>
    <r>
      <t>5700</t>
    </r>
    <r>
      <rPr>
        <sz val="9"/>
        <color rgb="FF000000"/>
        <rFont val="楷体"/>
        <charset val="134"/>
      </rPr>
      <t>万美元</t>
    </r>
  </si>
  <si>
    <r>
      <t>SIG</t>
    </r>
    <r>
      <rPr>
        <sz val="9"/>
        <color rgb="FF000000"/>
        <rFont val="楷体"/>
        <charset val="134"/>
      </rPr>
      <t>海纳亚洲</t>
    </r>
    <r>
      <rPr>
        <sz val="9"/>
        <color rgb="FF000000"/>
        <rFont val="Arial"/>
        <charset val="134"/>
      </rPr>
      <t>,</t>
    </r>
    <r>
      <rPr>
        <sz val="9"/>
        <color rgb="FF000000"/>
        <rFont val="楷体"/>
        <charset val="134"/>
      </rPr>
      <t>众信旅游</t>
    </r>
    <r>
      <rPr>
        <sz val="9"/>
        <color rgb="FF000000"/>
        <rFont val="Arial"/>
        <charset val="134"/>
      </rPr>
      <t>,</t>
    </r>
    <r>
      <rPr>
        <sz val="9"/>
        <color rgb="FF000000"/>
        <rFont val="楷体"/>
        <charset val="134"/>
      </rPr>
      <t>金鼎资本</t>
    </r>
  </si>
  <si>
    <r>
      <t>7.8</t>
    </r>
    <r>
      <rPr>
        <sz val="9"/>
        <color rgb="FF000000"/>
        <rFont val="楷体"/>
        <charset val="134"/>
      </rPr>
      <t>亿</t>
    </r>
  </si>
  <si>
    <r>
      <t>29.9</t>
    </r>
    <r>
      <rPr>
        <sz val="9"/>
        <color rgb="FF000000"/>
        <rFont val="楷体"/>
        <charset val="134"/>
      </rPr>
      <t>亿元</t>
    </r>
  </si>
  <si>
    <r>
      <rPr>
        <sz val="9"/>
        <color rgb="FF000000"/>
        <rFont val="楷体"/>
        <charset val="134"/>
      </rPr>
      <t>挚信资本</t>
    </r>
  </si>
  <si>
    <r>
      <rPr>
        <sz val="9"/>
        <color rgb="FF000000"/>
        <rFont val="楷体"/>
        <charset val="134"/>
      </rPr>
      <t>美味不用等</t>
    </r>
  </si>
  <si>
    <r>
      <rPr>
        <sz val="9"/>
        <color rgb="FF000000"/>
        <rFont val="楷体"/>
        <charset val="134"/>
      </rPr>
      <t>美味不用等</t>
    </r>
  </si>
  <si>
    <r>
      <rPr>
        <sz val="9"/>
        <color rgb="FF000000"/>
        <rFont val="楷体"/>
        <charset val="134"/>
      </rPr>
      <t>美味不用等是一家互联网餐厅整体解决方案提供商，通过排队等位、餐位预订、点菜收银、移动支付、会员管理等服务为商户提供互联网餐厅整体解决方案，帮助餐饮商户解决企业经营过程中遇到的效率、客流、资金、数据四大难题。</t>
    </r>
  </si>
  <si>
    <r>
      <rPr>
        <sz val="9"/>
        <color rgb="FF000000"/>
        <rFont val="楷体"/>
        <charset val="134"/>
      </rPr>
      <t>美味不用等（上海）信息科技股份有限公司</t>
    </r>
  </si>
  <si>
    <r>
      <rPr>
        <sz val="9"/>
        <color rgb="FF000000"/>
        <rFont val="楷体"/>
        <charset val="134"/>
      </rPr>
      <t>商户服务及信息化</t>
    </r>
  </si>
  <si>
    <r>
      <t>13.53</t>
    </r>
    <r>
      <rPr>
        <sz val="9"/>
        <color rgb="FF000000"/>
        <rFont val="楷体"/>
        <charset val="134"/>
      </rPr>
      <t>亿</t>
    </r>
  </si>
  <si>
    <r>
      <t>4</t>
    </r>
    <r>
      <rPr>
        <sz val="9"/>
        <color rgb="FF000000"/>
        <rFont val="楷体"/>
        <charset val="134"/>
      </rPr>
      <t>亿人民币</t>
    </r>
  </si>
  <si>
    <r>
      <rPr>
        <sz val="9"/>
        <color rgb="FF000000"/>
        <rFont val="楷体"/>
        <charset val="134"/>
      </rPr>
      <t>盛大资本</t>
    </r>
  </si>
  <si>
    <r>
      <rPr>
        <sz val="9"/>
        <color rgb="FF000000"/>
        <rFont val="楷体"/>
        <charset val="134"/>
      </rPr>
      <t>豌豆荚</t>
    </r>
  </si>
  <si>
    <r>
      <rPr>
        <sz val="9"/>
        <color rgb="FF000000"/>
        <rFont val="楷体"/>
        <charset val="134"/>
      </rPr>
      <t>豌豆荚</t>
    </r>
  </si>
  <si>
    <r>
      <rPr>
        <sz val="9"/>
        <color rgb="FF000000"/>
        <rFont val="楷体"/>
        <charset val="134"/>
      </rPr>
      <t>北京卓易讯畅科技有限公司</t>
    </r>
  </si>
  <si>
    <r>
      <rPr>
        <sz val="9"/>
        <color rgb="FF000000"/>
        <rFont val="楷体"/>
        <charset val="134"/>
      </rPr>
      <t>应用商店</t>
    </r>
  </si>
  <si>
    <r>
      <t>23.6</t>
    </r>
    <r>
      <rPr>
        <sz val="9"/>
        <color rgb="FF000000"/>
        <rFont val="楷体"/>
        <charset val="134"/>
      </rPr>
      <t>亿</t>
    </r>
  </si>
  <si>
    <r>
      <rPr>
        <sz val="9"/>
        <color rgb="FF000000"/>
        <rFont val="楷体"/>
        <charset val="134"/>
      </rPr>
      <t>挚文集团</t>
    </r>
    <r>
      <rPr>
        <sz val="9"/>
        <color rgb="FF000000"/>
        <rFont val="Arial"/>
        <charset val="134"/>
      </rPr>
      <t>-</t>
    </r>
    <r>
      <rPr>
        <sz val="9"/>
        <color rgb="FF000000"/>
        <rFont val="楷体"/>
        <charset val="134"/>
      </rPr>
      <t>陌陌</t>
    </r>
  </si>
  <si>
    <r>
      <rPr>
        <sz val="9"/>
        <color rgb="FF000000"/>
        <rFont val="楷体"/>
        <charset val="134"/>
      </rPr>
      <t>北京陌陌科技有限公司</t>
    </r>
  </si>
  <si>
    <r>
      <rPr>
        <sz val="9"/>
        <color rgb="FF000000"/>
        <rFont val="楷体"/>
        <charset val="134"/>
      </rPr>
      <t>陌生人交友</t>
    </r>
  </si>
  <si>
    <r>
      <t>38.98</t>
    </r>
    <r>
      <rPr>
        <sz val="9"/>
        <color rgb="FF000000"/>
        <rFont val="楷体"/>
        <charset val="134"/>
      </rPr>
      <t>亿</t>
    </r>
  </si>
  <si>
    <r>
      <t>1.87</t>
    </r>
    <r>
      <rPr>
        <sz val="9"/>
        <color rgb="FF000000"/>
        <rFont val="楷体"/>
        <charset val="134"/>
      </rPr>
      <t>亿美元</t>
    </r>
  </si>
  <si>
    <r>
      <t>250</t>
    </r>
    <r>
      <rPr>
        <sz val="9"/>
        <color rgb="FF000000"/>
        <rFont val="楷体"/>
        <charset val="134"/>
      </rPr>
      <t>万美元</t>
    </r>
  </si>
  <si>
    <r>
      <rPr>
        <sz val="9"/>
        <color rgb="FF000000"/>
        <rFont val="楷体"/>
        <charset val="134"/>
      </rPr>
      <t>友盟</t>
    </r>
  </si>
  <si>
    <r>
      <rPr>
        <sz val="9"/>
        <color rgb="FF000000"/>
        <rFont val="楷体"/>
        <charset val="134"/>
      </rPr>
      <t>友盟</t>
    </r>
  </si>
  <si>
    <r>
      <rPr>
        <sz val="9"/>
        <color rgb="FF000000"/>
        <rFont val="楷体"/>
        <charset val="134"/>
      </rPr>
      <t>北京锐讯灵通科技有限公司</t>
    </r>
  </si>
  <si>
    <r>
      <t>8000</t>
    </r>
    <r>
      <rPr>
        <sz val="9"/>
        <color rgb="FF000000"/>
        <rFont val="楷体"/>
        <charset val="134"/>
      </rPr>
      <t>万美元</t>
    </r>
  </si>
  <si>
    <r>
      <t>5.88</t>
    </r>
    <r>
      <rPr>
        <sz val="9"/>
        <color rgb="FF000000"/>
        <rFont val="楷体"/>
        <charset val="134"/>
      </rPr>
      <t>亿</t>
    </r>
  </si>
  <si>
    <r>
      <t>26</t>
    </r>
    <r>
      <rPr>
        <sz val="9"/>
        <color rgb="FF000000"/>
        <rFont val="楷体"/>
        <charset val="134"/>
      </rPr>
      <t>亿元</t>
    </r>
  </si>
  <si>
    <r>
      <rPr>
        <sz val="9"/>
        <color rgb="FF000000"/>
        <rFont val="楷体"/>
        <charset val="134"/>
      </rPr>
      <t>北京市朝阳区望京东园四区金辉大厦</t>
    </r>
  </si>
  <si>
    <r>
      <rPr>
        <sz val="9"/>
        <color rgb="FF000000"/>
        <rFont val="楷体"/>
        <charset val="134"/>
      </rPr>
      <t>客如云</t>
    </r>
  </si>
  <si>
    <r>
      <rPr>
        <sz val="9"/>
        <color rgb="FF000000"/>
        <rFont val="楷体"/>
        <charset val="134"/>
      </rPr>
      <t>客如云</t>
    </r>
  </si>
  <si>
    <r>
      <rPr>
        <sz val="9"/>
        <color rgb="FF000000"/>
        <rFont val="楷体"/>
        <charset val="134"/>
      </rPr>
      <t>客如云科技（北京）股份有限公司</t>
    </r>
  </si>
  <si>
    <r>
      <rPr>
        <sz val="9"/>
        <color rgb="FF000000"/>
        <rFont val="楷体"/>
        <charset val="134"/>
      </rPr>
      <t>餐饮业</t>
    </r>
  </si>
  <si>
    <r>
      <t>8</t>
    </r>
    <r>
      <rPr>
        <sz val="9"/>
        <color rgb="FF000000"/>
        <rFont val="楷体"/>
        <charset val="134"/>
      </rPr>
      <t>亿人民币</t>
    </r>
  </si>
  <si>
    <r>
      <t>40</t>
    </r>
    <r>
      <rPr>
        <sz val="9"/>
        <color rgb="FF000000"/>
        <rFont val="楷体"/>
        <charset val="134"/>
      </rPr>
      <t>亿元</t>
    </r>
  </si>
  <si>
    <r>
      <rPr>
        <sz val="9"/>
        <color rgb="FF000000"/>
        <rFont val="楷体"/>
        <charset val="134"/>
      </rPr>
      <t>钱包产业基金</t>
    </r>
  </si>
  <si>
    <r>
      <t>7200</t>
    </r>
    <r>
      <rPr>
        <sz val="9"/>
        <color rgb="FF000000"/>
        <rFont val="楷体"/>
        <charset val="134"/>
      </rPr>
      <t>万人民币</t>
    </r>
  </si>
  <si>
    <r>
      <t>6600</t>
    </r>
    <r>
      <rPr>
        <sz val="9"/>
        <color rgb="FF000000"/>
        <rFont val="楷体"/>
        <charset val="134"/>
      </rPr>
      <t>万人民币</t>
    </r>
  </si>
  <si>
    <r>
      <t>450</t>
    </r>
    <r>
      <rPr>
        <sz val="9"/>
        <color rgb="FF000000"/>
        <rFont val="楷体"/>
        <charset val="134"/>
      </rPr>
      <t>万美元</t>
    </r>
  </si>
  <si>
    <r>
      <rPr>
        <sz val="9"/>
        <color rgb="FF000000"/>
        <rFont val="楷体"/>
        <charset val="134"/>
      </rPr>
      <t>趣拍云</t>
    </r>
  </si>
  <si>
    <r>
      <rPr>
        <sz val="9"/>
        <color rgb="FF000000"/>
        <rFont val="楷体"/>
        <charset val="134"/>
      </rPr>
      <t>趣拍云</t>
    </r>
  </si>
  <si>
    <r>
      <rPr>
        <sz val="9"/>
        <color rgb="FF000000"/>
        <rFont val="楷体"/>
        <charset val="134"/>
      </rPr>
      <t>趣拍云是一家短视频和直播技术服务解决方案提供商，专注于手机短视频拍摄和分享应用趣拍，基于阿里云运行，隶属于杭州短趣网络传媒技术有限公司。</t>
    </r>
  </si>
  <si>
    <r>
      <rPr>
        <sz val="9"/>
        <color rgb="FF000000"/>
        <rFont val="楷体"/>
        <charset val="134"/>
      </rPr>
      <t>杭州短趣网络传媒技术有限公司</t>
    </r>
  </si>
  <si>
    <r>
      <rPr>
        <sz val="9"/>
        <color rgb="FF000000"/>
        <rFont val="楷体"/>
        <charset val="134"/>
      </rPr>
      <t>阿里云</t>
    </r>
  </si>
  <si>
    <r>
      <rPr>
        <sz val="9"/>
        <color rgb="FF000000"/>
        <rFont val="楷体"/>
        <charset val="134"/>
      </rPr>
      <t>小</t>
    </r>
    <r>
      <rPr>
        <sz val="9"/>
        <color rgb="FF000000"/>
        <rFont val="Arial"/>
        <charset val="134"/>
      </rPr>
      <t>i</t>
    </r>
    <r>
      <rPr>
        <sz val="9"/>
        <color rgb="FF000000"/>
        <rFont val="楷体"/>
        <charset val="134"/>
      </rPr>
      <t>机器人</t>
    </r>
  </si>
  <si>
    <r>
      <rPr>
        <sz val="9"/>
        <color rgb="FF000000"/>
        <rFont val="楷体"/>
        <charset val="134"/>
      </rPr>
      <t>上海智臻智能网络科技股份有限公司</t>
    </r>
  </si>
  <si>
    <r>
      <t>5280</t>
    </r>
    <r>
      <rPr>
        <sz val="9"/>
        <color rgb="FF000000"/>
        <rFont val="楷体"/>
        <charset val="134"/>
      </rPr>
      <t>万美元</t>
    </r>
  </si>
  <si>
    <r>
      <t>13.02</t>
    </r>
    <r>
      <rPr>
        <sz val="9"/>
        <color rgb="FF000000"/>
        <rFont val="楷体"/>
        <charset val="134"/>
      </rPr>
      <t>亿</t>
    </r>
  </si>
  <si>
    <r>
      <t>36.66</t>
    </r>
    <r>
      <rPr>
        <sz val="9"/>
        <color rgb="FF000000"/>
        <rFont val="楷体"/>
        <charset val="134"/>
      </rPr>
      <t>亿元</t>
    </r>
  </si>
  <si>
    <r>
      <t>4941</t>
    </r>
    <r>
      <rPr>
        <sz val="9"/>
        <color rgb="FF000000"/>
        <rFont val="楷体"/>
        <charset val="134"/>
      </rPr>
      <t>万人民币</t>
    </r>
  </si>
  <si>
    <r>
      <rPr>
        <sz val="9"/>
        <color rgb="FF000000"/>
        <rFont val="楷体"/>
        <charset val="134"/>
      </rPr>
      <t>通鼎互联</t>
    </r>
  </si>
  <si>
    <r>
      <t>IDG</t>
    </r>
    <r>
      <rPr>
        <sz val="9"/>
        <color rgb="FF000000"/>
        <rFont val="楷体"/>
        <charset val="134"/>
      </rPr>
      <t>资本</t>
    </r>
    <r>
      <rPr>
        <sz val="9"/>
        <color rgb="FF000000"/>
        <rFont val="Arial"/>
        <charset val="134"/>
      </rPr>
      <t>,</t>
    </r>
    <r>
      <rPr>
        <sz val="9"/>
        <color rgb="FF000000"/>
        <rFont val="楷体"/>
        <charset val="134"/>
      </rPr>
      <t>清科创投</t>
    </r>
    <r>
      <rPr>
        <sz val="9"/>
        <color rgb="FF000000"/>
        <rFont val="Arial"/>
        <charset val="134"/>
      </rPr>
      <t>,</t>
    </r>
    <r>
      <rPr>
        <sz val="9"/>
        <color rgb="FF000000"/>
        <rFont val="楷体"/>
        <charset val="134"/>
      </rPr>
      <t>英特尔投资</t>
    </r>
    <r>
      <rPr>
        <sz val="9"/>
        <color rgb="FF000000"/>
        <rFont val="Arial"/>
        <charset val="134"/>
      </rPr>
      <t>Intel Capital,</t>
    </r>
    <r>
      <rPr>
        <sz val="9"/>
        <color rgb="FF000000"/>
        <rFont val="楷体"/>
        <charset val="134"/>
      </rPr>
      <t>德鼎创新基金</t>
    </r>
    <r>
      <rPr>
        <sz val="9"/>
        <color rgb="FF000000"/>
        <rFont val="Arial"/>
        <charset val="134"/>
      </rPr>
      <t>(</t>
    </r>
    <r>
      <rPr>
        <sz val="9"/>
        <color rgb="FF000000"/>
        <rFont val="楷体"/>
        <charset val="134"/>
      </rPr>
      <t>德丰杰龙脉</t>
    </r>
    <r>
      <rPr>
        <sz val="9"/>
        <color rgb="FF000000"/>
        <rFont val="Arial"/>
        <charset val="134"/>
      </rPr>
      <t>),Militello Capital</t>
    </r>
  </si>
  <si>
    <r>
      <rPr>
        <sz val="9"/>
        <color rgb="FF000000"/>
        <rFont val="楷体"/>
        <charset val="134"/>
      </rPr>
      <t>漫博客</t>
    </r>
    <r>
      <rPr>
        <sz val="9"/>
        <color rgb="FF000000"/>
        <rFont val="Arial"/>
        <charset val="134"/>
      </rPr>
      <t>er\</t>
    </r>
    <r>
      <rPr>
        <sz val="9"/>
        <color rgb="FF000000"/>
        <rFont val="楷体"/>
        <charset val="134"/>
      </rPr>
      <t>魔漫相机</t>
    </r>
  </si>
  <si>
    <r>
      <rPr>
        <sz val="9"/>
        <color rgb="FF000000"/>
        <rFont val="楷体"/>
        <charset val="134"/>
      </rPr>
      <t>北京百舜华年文化传播有限公司</t>
    </r>
  </si>
  <si>
    <r>
      <t>1.95</t>
    </r>
    <r>
      <rPr>
        <sz val="9"/>
        <color rgb="FF000000"/>
        <rFont val="楷体"/>
        <charset val="134"/>
      </rPr>
      <t>亿</t>
    </r>
  </si>
  <si>
    <r>
      <rPr>
        <sz val="9"/>
        <color rgb="FF000000"/>
        <rFont val="楷体"/>
        <charset val="134"/>
      </rPr>
      <t>饿了么</t>
    </r>
  </si>
  <si>
    <r>
      <rPr>
        <sz val="9"/>
        <color rgb="FF000000"/>
        <rFont val="楷体"/>
        <charset val="134"/>
      </rPr>
      <t>饿了么</t>
    </r>
  </si>
  <si>
    <r>
      <rPr>
        <sz val="9"/>
        <color rgb="FF000000"/>
        <rFont val="楷体"/>
        <charset val="134"/>
      </rPr>
      <t>上海拉扎斯信息科技有限公司</t>
    </r>
  </si>
  <si>
    <r>
      <rPr>
        <sz val="9"/>
        <color rgb="FF000000"/>
        <rFont val="楷体"/>
        <charset val="134"/>
      </rPr>
      <t>口碑</t>
    </r>
  </si>
  <si>
    <r>
      <t>841.17</t>
    </r>
    <r>
      <rPr>
        <sz val="9"/>
        <color rgb="FF000000"/>
        <rFont val="楷体"/>
        <charset val="134"/>
      </rPr>
      <t>亿</t>
    </r>
  </si>
  <si>
    <r>
      <t>95</t>
    </r>
    <r>
      <rPr>
        <sz val="9"/>
        <color rgb="FF000000"/>
        <rFont val="楷体"/>
        <charset val="134"/>
      </rPr>
      <t>亿美元</t>
    </r>
  </si>
  <si>
    <r>
      <t>12.5</t>
    </r>
    <r>
      <rPr>
        <sz val="9"/>
        <color rgb="FF000000"/>
        <rFont val="楷体"/>
        <charset val="134"/>
      </rPr>
      <t>亿美元</t>
    </r>
  </si>
  <si>
    <r>
      <t>6.3</t>
    </r>
    <r>
      <rPr>
        <sz val="9"/>
        <color rgb="FF000000"/>
        <rFont val="楷体"/>
        <charset val="134"/>
      </rPr>
      <t>亿美元</t>
    </r>
  </si>
  <si>
    <r>
      <t>3.5</t>
    </r>
    <r>
      <rPr>
        <sz val="9"/>
        <color rgb="FF000000"/>
        <rFont val="楷体"/>
        <charset val="134"/>
      </rPr>
      <t>亿美元</t>
    </r>
  </si>
  <si>
    <r>
      <rPr>
        <sz val="9"/>
        <color rgb="FF000000"/>
        <rFont val="楷体"/>
        <charset val="134"/>
      </rPr>
      <t>大众点评网</t>
    </r>
  </si>
  <si>
    <r>
      <t>2500</t>
    </r>
    <r>
      <rPr>
        <sz val="9"/>
        <color rgb="FF000000"/>
        <rFont val="楷体"/>
        <charset val="134"/>
      </rPr>
      <t>万美元</t>
    </r>
  </si>
  <si>
    <r>
      <t>EJOY</t>
    </r>
    <r>
      <rPr>
        <sz val="9"/>
        <color rgb="FF000000"/>
        <rFont val="楷体"/>
        <charset val="134"/>
      </rPr>
      <t>广州简悦科技</t>
    </r>
  </si>
  <si>
    <r>
      <t>EJOY</t>
    </r>
    <r>
      <rPr>
        <sz val="9"/>
        <color rgb="FF000000"/>
        <rFont val="楷体"/>
        <charset val="134"/>
      </rPr>
      <t>广州简悦科技</t>
    </r>
  </si>
  <si>
    <r>
      <rPr>
        <sz val="9"/>
        <color rgb="FF000000"/>
        <rFont val="楷体"/>
        <charset val="134"/>
      </rPr>
      <t>广州简悦信息科技有限公司</t>
    </r>
  </si>
  <si>
    <r>
      <t>CMC</t>
    </r>
    <r>
      <rPr>
        <sz val="9"/>
        <color rgb="FF000000"/>
        <rFont val="楷体"/>
        <charset val="134"/>
      </rPr>
      <t>资本</t>
    </r>
    <r>
      <rPr>
        <sz val="9"/>
        <color rgb="FF000000"/>
        <rFont val="Arial"/>
        <charset val="134"/>
      </rPr>
      <t>,</t>
    </r>
    <r>
      <rPr>
        <sz val="9"/>
        <color rgb="FF000000"/>
        <rFont val="楷体"/>
        <charset val="134"/>
      </rPr>
      <t>毅达资本</t>
    </r>
  </si>
  <si>
    <r>
      <rPr>
        <sz val="9"/>
        <color rgb="FF000000"/>
        <rFont val="楷体"/>
        <charset val="134"/>
      </rPr>
      <t>声盟</t>
    </r>
  </si>
  <si>
    <r>
      <rPr>
        <sz val="9"/>
        <color rgb="FF000000"/>
        <rFont val="楷体"/>
        <charset val="134"/>
      </rPr>
      <t>声盟</t>
    </r>
  </si>
  <si>
    <r>
      <rPr>
        <sz val="9"/>
        <color rgb="FF000000"/>
        <rFont val="楷体"/>
        <charset val="134"/>
      </rPr>
      <t>声盟是一家主打声音为媒介的新媒体广告技术及服务提供商，为开发者提供声音广告和联盟服务，隶属于蓝沛科技（北京）有限公司。</t>
    </r>
  </si>
  <si>
    <r>
      <rPr>
        <sz val="9"/>
        <color rgb="FF000000"/>
        <rFont val="楷体"/>
        <charset val="134"/>
      </rPr>
      <t>蓝沛科技（北京）有限公司</t>
    </r>
  </si>
  <si>
    <r>
      <rPr>
        <sz val="9"/>
        <color rgb="FF000000"/>
        <rFont val="楷体"/>
        <charset val="134"/>
      </rPr>
      <t>整合营销传播</t>
    </r>
  </si>
  <si>
    <r>
      <rPr>
        <sz val="9"/>
        <color rgb="FF000000"/>
        <rFont val="楷体"/>
        <charset val="134"/>
      </rPr>
      <t>美团</t>
    </r>
  </si>
  <si>
    <r>
      <rPr>
        <sz val="9"/>
        <color rgb="FF000000"/>
        <rFont val="楷体"/>
        <charset val="134"/>
      </rPr>
      <t>美团</t>
    </r>
  </si>
  <si>
    <r>
      <rPr>
        <sz val="9"/>
        <color rgb="FF000000"/>
        <rFont val="楷体"/>
        <charset val="134"/>
      </rPr>
      <t>北京三快科技有限公司</t>
    </r>
  </si>
  <si>
    <r>
      <t>100</t>
    </r>
    <r>
      <rPr>
        <sz val="9"/>
        <color rgb="FF000000"/>
        <rFont val="楷体"/>
        <charset val="134"/>
      </rPr>
      <t>亿美元</t>
    </r>
  </si>
  <si>
    <r>
      <t>1583.53</t>
    </r>
    <r>
      <rPr>
        <sz val="9"/>
        <color rgb="FF000000"/>
        <rFont val="楷体"/>
        <charset val="134"/>
      </rPr>
      <t>亿</t>
    </r>
  </si>
  <si>
    <r>
      <t>3250</t>
    </r>
    <r>
      <rPr>
        <sz val="9"/>
        <color rgb="FF000000"/>
        <rFont val="楷体"/>
        <charset val="134"/>
      </rPr>
      <t>亿元</t>
    </r>
  </si>
  <si>
    <r>
      <t>42</t>
    </r>
    <r>
      <rPr>
        <sz val="9"/>
        <color rgb="FF000000"/>
        <rFont val="楷体"/>
        <charset val="134"/>
      </rPr>
      <t>亿美元</t>
    </r>
  </si>
  <si>
    <r>
      <t>15</t>
    </r>
    <r>
      <rPr>
        <sz val="9"/>
        <color rgb="FF000000"/>
        <rFont val="楷体"/>
        <charset val="134"/>
      </rPr>
      <t>亿美元</t>
    </r>
  </si>
  <si>
    <r>
      <rPr>
        <sz val="9"/>
        <color rgb="FF000000"/>
        <rFont val="楷体"/>
        <charset val="134"/>
      </rPr>
      <t>华润创业联和基金</t>
    </r>
  </si>
  <si>
    <r>
      <t>33</t>
    </r>
    <r>
      <rPr>
        <sz val="9"/>
        <color rgb="FF000000"/>
        <rFont val="楷体"/>
        <charset val="134"/>
      </rPr>
      <t>亿美元</t>
    </r>
  </si>
  <si>
    <r>
      <rPr>
        <sz val="9"/>
        <color rgb="FF000000"/>
        <rFont val="楷体"/>
        <charset val="134"/>
      </rPr>
      <t>华夏基金</t>
    </r>
  </si>
  <si>
    <r>
      <rPr>
        <sz val="9"/>
        <color rgb="FF000000"/>
        <rFont val="楷体"/>
        <charset val="134"/>
      </rPr>
      <t>小红书</t>
    </r>
  </si>
  <si>
    <r>
      <rPr>
        <sz val="9"/>
        <color rgb="FF000000"/>
        <rFont val="楷体"/>
        <charset val="134"/>
      </rPr>
      <t>行吟信息科技（上海）有限公司</t>
    </r>
  </si>
  <si>
    <r>
      <rPr>
        <sz val="9"/>
        <color rgb="FF000000"/>
        <rFont val="楷体"/>
        <charset val="134"/>
      </rPr>
      <t>云纵</t>
    </r>
  </si>
  <si>
    <r>
      <rPr>
        <sz val="9"/>
        <color rgb="FF000000"/>
        <rFont val="楷体"/>
        <charset val="134"/>
      </rPr>
      <t>云纵</t>
    </r>
  </si>
  <si>
    <r>
      <rPr>
        <sz val="9"/>
        <color rgb="FF000000"/>
        <rFont val="楷体"/>
        <charset val="134"/>
      </rPr>
      <t>北京云纵信息技术有限公司</t>
    </r>
  </si>
  <si>
    <r>
      <t>2.5</t>
    </r>
    <r>
      <rPr>
        <sz val="9"/>
        <color rgb="FF000000"/>
        <rFont val="楷体"/>
        <charset val="134"/>
      </rPr>
      <t>亿人民币</t>
    </r>
  </si>
  <si>
    <r>
      <t>12.5</t>
    </r>
    <r>
      <rPr>
        <sz val="9"/>
        <color rgb="FF000000"/>
        <rFont val="楷体"/>
        <charset val="134"/>
      </rPr>
      <t>亿元</t>
    </r>
  </si>
  <si>
    <r>
      <rPr>
        <sz val="9"/>
        <color rgb="FF000000"/>
        <rFont val="楷体"/>
        <charset val="134"/>
      </rPr>
      <t>中科招商</t>
    </r>
  </si>
  <si>
    <r>
      <rPr>
        <sz val="9"/>
        <color rgb="FF000000"/>
        <rFont val="楷体"/>
        <charset val="134"/>
      </rPr>
      <t>芭乐</t>
    </r>
  </si>
  <si>
    <r>
      <rPr>
        <sz val="9"/>
        <color rgb="FF000000"/>
        <rFont val="楷体"/>
        <charset val="134"/>
      </rPr>
      <t>芭乐</t>
    </r>
  </si>
  <si>
    <r>
      <rPr>
        <sz val="9"/>
        <color rgb="FF000000"/>
        <rFont val="楷体"/>
        <charset val="134"/>
      </rPr>
      <t>芭乐传媒是一家原创影视发行、运营平台及影视植入式营销平台。芭乐互动（北京）文化传媒有限公司旗下。</t>
    </r>
  </si>
  <si>
    <r>
      <rPr>
        <sz val="9"/>
        <color rgb="FF000000"/>
        <rFont val="楷体"/>
        <charset val="134"/>
      </rPr>
      <t>芭乐互动（北京）文化传媒有限公司</t>
    </r>
  </si>
  <si>
    <r>
      <t>TCL</t>
    </r>
    <r>
      <rPr>
        <sz val="9"/>
        <color rgb="FF000000"/>
        <rFont val="楷体"/>
        <charset val="134"/>
      </rPr>
      <t>创投</t>
    </r>
    <r>
      <rPr>
        <sz val="9"/>
        <color rgb="FF000000"/>
        <rFont val="Arial"/>
        <charset val="134"/>
      </rPr>
      <t>,</t>
    </r>
    <r>
      <rPr>
        <sz val="9"/>
        <color rgb="FF000000"/>
        <rFont val="楷体"/>
        <charset val="134"/>
      </rPr>
      <t>创动投资</t>
    </r>
  </si>
  <si>
    <r>
      <rPr>
        <sz val="9"/>
        <color rgb="FF000000"/>
        <rFont val="楷体"/>
        <charset val="134"/>
      </rPr>
      <t>启博</t>
    </r>
  </si>
  <si>
    <r>
      <rPr>
        <sz val="9"/>
        <color rgb="FF000000"/>
        <rFont val="楷体"/>
        <charset val="134"/>
      </rPr>
      <t>启博</t>
    </r>
  </si>
  <si>
    <r>
      <rPr>
        <sz val="9"/>
        <color rgb="FF000000"/>
        <rFont val="楷体"/>
        <charset val="134"/>
      </rPr>
      <t>杭州启博海纳数字科技有限公司</t>
    </r>
  </si>
  <si>
    <r>
      <rPr>
        <sz val="9"/>
        <color rgb="FF000000"/>
        <rFont val="楷体"/>
        <charset val="134"/>
      </rPr>
      <t>老高电商</t>
    </r>
  </si>
  <si>
    <r>
      <t>1.6</t>
    </r>
    <r>
      <rPr>
        <sz val="9"/>
        <color rgb="FF000000"/>
        <rFont val="楷体"/>
        <charset val="134"/>
      </rPr>
      <t>亿</t>
    </r>
  </si>
  <si>
    <r>
      <rPr>
        <sz val="9"/>
        <color rgb="FF000000"/>
        <rFont val="楷体"/>
        <charset val="134"/>
      </rPr>
      <t>暾澜投资</t>
    </r>
  </si>
  <si>
    <r>
      <rPr>
        <sz val="9"/>
        <color rgb="FF000000"/>
        <rFont val="楷体"/>
        <charset val="134"/>
      </rPr>
      <t>美年健康</t>
    </r>
  </si>
  <si>
    <r>
      <rPr>
        <sz val="9"/>
        <color rgb="FF000000"/>
        <rFont val="楷体"/>
        <charset val="134"/>
      </rPr>
      <t>美年健康</t>
    </r>
  </si>
  <si>
    <r>
      <rPr>
        <sz val="9"/>
        <color rgb="FF000000"/>
        <rFont val="楷体"/>
        <charset val="134"/>
      </rPr>
      <t>美年大健康产业控股股份有限公司</t>
    </r>
  </si>
  <si>
    <r>
      <rPr>
        <sz val="9"/>
        <color rgb="FF000000"/>
        <rFont val="楷体"/>
        <charset val="134"/>
      </rPr>
      <t>医疗机构</t>
    </r>
  </si>
  <si>
    <r>
      <t>20.45</t>
    </r>
    <r>
      <rPr>
        <sz val="9"/>
        <color rgb="FF000000"/>
        <rFont val="楷体"/>
        <charset val="134"/>
      </rPr>
      <t>亿人民币</t>
    </r>
  </si>
  <si>
    <r>
      <t>84.36</t>
    </r>
    <r>
      <rPr>
        <sz val="9"/>
        <color rgb="FF000000"/>
        <rFont val="楷体"/>
        <charset val="134"/>
      </rPr>
      <t>亿</t>
    </r>
  </si>
  <si>
    <r>
      <t>102.25</t>
    </r>
    <r>
      <rPr>
        <sz val="9"/>
        <color rgb="FF000000"/>
        <rFont val="楷体"/>
        <charset val="134"/>
      </rPr>
      <t>亿元</t>
    </r>
  </si>
  <si>
    <r>
      <t>1.6</t>
    </r>
    <r>
      <rPr>
        <sz val="9"/>
        <color rgb="FF000000"/>
        <rFont val="楷体"/>
        <charset val="134"/>
      </rPr>
      <t>亿人民币</t>
    </r>
  </si>
  <si>
    <r>
      <t>55</t>
    </r>
    <r>
      <rPr>
        <sz val="9"/>
        <color rgb="FF000000"/>
        <rFont val="楷体"/>
        <charset val="134"/>
      </rPr>
      <t>亿人民币</t>
    </r>
  </si>
  <si>
    <r>
      <rPr>
        <sz val="9"/>
        <color rgb="FF000000"/>
        <rFont val="楷体"/>
        <charset val="134"/>
      </rPr>
      <t>江苏三友</t>
    </r>
  </si>
  <si>
    <r>
      <rPr>
        <sz val="9"/>
        <color rgb="FF000000"/>
        <rFont val="楷体"/>
        <charset val="134"/>
      </rPr>
      <t>分享投资</t>
    </r>
  </si>
  <si>
    <r>
      <rPr>
        <sz val="9"/>
        <color rgb="FF000000"/>
        <rFont val="楷体"/>
        <charset val="134"/>
      </rPr>
      <t>凯雷投资</t>
    </r>
  </si>
  <si>
    <r>
      <t>7881</t>
    </r>
    <r>
      <rPr>
        <sz val="9"/>
        <color rgb="FF000000"/>
        <rFont val="楷体"/>
        <charset val="134"/>
      </rPr>
      <t>游戏交易</t>
    </r>
  </si>
  <si>
    <r>
      <t>7881</t>
    </r>
    <r>
      <rPr>
        <sz val="9"/>
        <color rgb="FF000000"/>
        <rFont val="楷体"/>
        <charset val="134"/>
      </rPr>
      <t>游戏交易</t>
    </r>
  </si>
  <si>
    <r>
      <t>7881</t>
    </r>
    <r>
      <rPr>
        <sz val="9"/>
        <color rgb="FF000000"/>
        <rFont val="楷体"/>
        <charset val="134"/>
      </rPr>
      <t>隶属于江苏猎宝网络科技有限公司，是一个网络游戏及数字产品交易的电子商务交易平台。</t>
    </r>
  </si>
  <si>
    <r>
      <rPr>
        <sz val="9"/>
        <color rgb="FF000000"/>
        <rFont val="楷体"/>
        <charset val="134"/>
      </rPr>
      <t>江苏猎宝网络科技股份有限公司</t>
    </r>
  </si>
  <si>
    <r>
      <rPr>
        <sz val="9"/>
        <color rgb="FF000000"/>
        <rFont val="楷体"/>
        <charset val="134"/>
      </rPr>
      <t>虚拟商品</t>
    </r>
  </si>
  <si>
    <r>
      <rPr>
        <sz val="9"/>
        <color rgb="FF000000"/>
        <rFont val="楷体"/>
        <charset val="134"/>
      </rPr>
      <t>融玺创投</t>
    </r>
  </si>
  <si>
    <r>
      <t>5000</t>
    </r>
    <r>
      <rPr>
        <sz val="9"/>
        <color rgb="FF000000"/>
        <rFont val="楷体"/>
        <charset val="134"/>
      </rPr>
      <t>万</t>
    </r>
  </si>
  <si>
    <r>
      <rPr>
        <sz val="9"/>
        <color rgb="FF000000"/>
        <rFont val="楷体"/>
        <charset val="134"/>
      </rPr>
      <t>天天动听</t>
    </r>
  </si>
  <si>
    <r>
      <rPr>
        <sz val="9"/>
        <color rgb="FF000000"/>
        <rFont val="楷体"/>
        <charset val="134"/>
      </rPr>
      <t>天天动听</t>
    </r>
  </si>
  <si>
    <r>
      <rPr>
        <sz val="9"/>
        <color rgb="FF000000"/>
        <rFont val="楷体"/>
        <charset val="134"/>
      </rPr>
      <t>上海水渡石信息技术有限公司</t>
    </r>
  </si>
  <si>
    <r>
      <rPr>
        <sz val="9"/>
        <color rgb="FF000000"/>
        <rFont val="楷体"/>
        <charset val="134"/>
      </rPr>
      <t>音乐</t>
    </r>
  </si>
  <si>
    <r>
      <t>5250</t>
    </r>
    <r>
      <rPr>
        <sz val="9"/>
        <color rgb="FF000000"/>
        <rFont val="楷体"/>
        <charset val="134"/>
      </rPr>
      <t>万</t>
    </r>
  </si>
  <si>
    <r>
      <rPr>
        <sz val="9"/>
        <color rgb="FF000000"/>
        <rFont val="楷体"/>
        <charset val="134"/>
      </rPr>
      <t>五源资本</t>
    </r>
  </si>
  <si>
    <r>
      <t>UCWEB</t>
    </r>
    <r>
      <rPr>
        <sz val="9"/>
        <color rgb="FF000000"/>
        <rFont val="楷体"/>
        <charset val="134"/>
      </rPr>
      <t>优视科技</t>
    </r>
  </si>
  <si>
    <r>
      <rPr>
        <sz val="9"/>
        <color rgb="FF000000"/>
        <rFont val="楷体"/>
        <charset val="134"/>
      </rPr>
      <t>易传媒</t>
    </r>
    <r>
      <rPr>
        <sz val="9"/>
        <color rgb="FF000000"/>
        <rFont val="Arial"/>
        <charset val="134"/>
      </rPr>
      <t>AdChina</t>
    </r>
  </si>
  <si>
    <r>
      <rPr>
        <sz val="9"/>
        <color rgb="FF000000"/>
        <rFont val="楷体"/>
        <charset val="134"/>
      </rPr>
      <t>上海新易传媒广告有限公司</t>
    </r>
  </si>
  <si>
    <r>
      <t>5.2</t>
    </r>
    <r>
      <rPr>
        <sz val="9"/>
        <color rgb="FF000000"/>
        <rFont val="楷体"/>
        <charset val="134"/>
      </rPr>
      <t>亿</t>
    </r>
  </si>
  <si>
    <r>
      <rPr>
        <sz val="9"/>
        <color rgb="FF000000"/>
        <rFont val="楷体"/>
        <charset val="134"/>
      </rPr>
      <t>生活半径</t>
    </r>
  </si>
  <si>
    <r>
      <rPr>
        <sz val="9"/>
        <color rgb="FF000000"/>
        <rFont val="楷体"/>
        <charset val="134"/>
      </rPr>
      <t>生活半径</t>
    </r>
  </si>
  <si>
    <r>
      <rPr>
        <sz val="9"/>
        <color rgb="FF000000"/>
        <rFont val="楷体"/>
        <charset val="134"/>
      </rPr>
      <t>径圆（上海）信息技术有限公司</t>
    </r>
  </si>
  <si>
    <r>
      <t>7.83</t>
    </r>
    <r>
      <rPr>
        <sz val="9"/>
        <color rgb="FF000000"/>
        <rFont val="楷体"/>
        <charset val="134"/>
      </rPr>
      <t>亿</t>
    </r>
  </si>
  <si>
    <r>
      <t>5000</t>
    </r>
    <r>
      <rPr>
        <sz val="9"/>
        <color rgb="FF000000"/>
        <rFont val="楷体"/>
        <charset val="134"/>
      </rPr>
      <t>万人民币</t>
    </r>
  </si>
  <si>
    <r>
      <rPr>
        <sz val="9"/>
        <color rgb="FF000000"/>
        <rFont val="楷体"/>
        <charset val="134"/>
      </rPr>
      <t>广东弘图广电</t>
    </r>
  </si>
  <si>
    <r>
      <rPr>
        <sz val="9"/>
        <color rgb="FF000000"/>
        <rFont val="楷体"/>
        <charset val="134"/>
      </rPr>
      <t>南京翰海源</t>
    </r>
  </si>
  <si>
    <r>
      <rPr>
        <sz val="9"/>
        <color rgb="FF000000"/>
        <rFont val="楷体"/>
        <charset val="134"/>
      </rPr>
      <t>南京翰海源</t>
    </r>
  </si>
  <si>
    <r>
      <rPr>
        <sz val="9"/>
        <color rgb="FF000000"/>
        <rFont val="楷体"/>
        <charset val="134"/>
      </rPr>
      <t>杭州蓝伞信息技术有限公司</t>
    </r>
  </si>
  <si>
    <r>
      <rPr>
        <sz val="9"/>
        <color rgb="FF000000"/>
        <rFont val="楷体"/>
        <charset val="134"/>
      </rPr>
      <t>企业安全</t>
    </r>
  </si>
  <si>
    <r>
      <rPr>
        <sz val="9"/>
        <color rgb="FF000000"/>
        <rFont val="楷体"/>
        <charset val="134"/>
      </rPr>
      <t>光云科技</t>
    </r>
  </si>
  <si>
    <r>
      <rPr>
        <sz val="9"/>
        <color rgb="FF000000"/>
        <rFont val="楷体"/>
        <charset val="134"/>
      </rPr>
      <t>光云科技</t>
    </r>
  </si>
  <si>
    <r>
      <rPr>
        <sz val="9"/>
        <color rgb="FF000000"/>
        <rFont val="楷体"/>
        <charset val="134"/>
      </rPr>
      <t>杭州光云科技股份有限公司是一家电商软件及服务的科技公司，通过产品和服务，帮助全球电商商家更简单、更高效做生意。致力于成为电商领域里值得信任和依赖的合作伙伴，帮助商家获得更大的成功。</t>
    </r>
  </si>
  <si>
    <r>
      <rPr>
        <sz val="9"/>
        <color rgb="FF000000"/>
        <rFont val="楷体"/>
        <charset val="134"/>
      </rPr>
      <t>杭州光云科技股份有限公司</t>
    </r>
  </si>
  <si>
    <r>
      <t>4.33</t>
    </r>
    <r>
      <rPr>
        <sz val="9"/>
        <color rgb="FF000000"/>
        <rFont val="楷体"/>
        <charset val="134"/>
      </rPr>
      <t>亿人民币</t>
    </r>
  </si>
  <si>
    <r>
      <t>5.34</t>
    </r>
    <r>
      <rPr>
        <sz val="9"/>
        <color rgb="FF000000"/>
        <rFont val="楷体"/>
        <charset val="134"/>
      </rPr>
      <t>亿</t>
    </r>
  </si>
  <si>
    <r>
      <t>115.02</t>
    </r>
    <r>
      <rPr>
        <sz val="9"/>
        <color rgb="FF000000"/>
        <rFont val="楷体"/>
        <charset val="134"/>
      </rPr>
      <t>亿元</t>
    </r>
  </si>
  <si>
    <r>
      <rPr>
        <sz val="9"/>
        <color rgb="FF000000"/>
        <rFont val="楷体"/>
        <charset val="134"/>
      </rPr>
      <t>中金公司</t>
    </r>
  </si>
  <si>
    <r>
      <rPr>
        <sz val="9"/>
        <color rgb="FF000000"/>
        <rFont val="楷体"/>
        <charset val="134"/>
      </rPr>
      <t>同创伟业</t>
    </r>
  </si>
  <si>
    <r>
      <rPr>
        <sz val="9"/>
        <color rgb="FF000000"/>
        <rFont val="楷体"/>
        <charset val="134"/>
      </rPr>
      <t>坚果投影</t>
    </r>
  </si>
  <si>
    <r>
      <rPr>
        <sz val="9"/>
        <color rgb="FF000000"/>
        <rFont val="楷体"/>
        <charset val="134"/>
      </rPr>
      <t>坚果投影</t>
    </r>
  </si>
  <si>
    <r>
      <rPr>
        <sz val="9"/>
        <color rgb="FF000000"/>
        <rFont val="楷体"/>
        <charset val="134"/>
      </rPr>
      <t>深圳市火乐科技发展有限公司</t>
    </r>
  </si>
  <si>
    <r>
      <rPr>
        <sz val="9"/>
        <color rgb="FF000000"/>
        <rFont val="楷体"/>
        <charset val="134"/>
      </rPr>
      <t>智能装备</t>
    </r>
  </si>
  <si>
    <r>
      <t>10</t>
    </r>
    <r>
      <rPr>
        <sz val="9"/>
        <color rgb="FF000000"/>
        <rFont val="楷体"/>
        <charset val="134"/>
      </rPr>
      <t>亿人民币</t>
    </r>
  </si>
  <si>
    <r>
      <t>IDG</t>
    </r>
    <r>
      <rPr>
        <sz val="9"/>
        <color rgb="FF000000"/>
        <rFont val="楷体"/>
        <charset val="134"/>
      </rPr>
      <t>资本</t>
    </r>
    <r>
      <rPr>
        <sz val="9"/>
        <color rgb="FF000000"/>
        <rFont val="Arial"/>
        <charset val="134"/>
      </rPr>
      <t>,OPPO,</t>
    </r>
    <r>
      <rPr>
        <sz val="9"/>
        <color rgb="FF000000"/>
        <rFont val="楷体"/>
        <charset val="134"/>
      </rPr>
      <t>乐讯天成</t>
    </r>
  </si>
  <si>
    <r>
      <t>27.93</t>
    </r>
    <r>
      <rPr>
        <sz val="9"/>
        <color rgb="FF000000"/>
        <rFont val="楷体"/>
        <charset val="134"/>
      </rPr>
      <t>亿</t>
    </r>
  </si>
  <si>
    <r>
      <rPr>
        <sz val="9"/>
        <color rgb="FF000000"/>
        <rFont val="楷体"/>
        <charset val="134"/>
      </rPr>
      <t>远大创投</t>
    </r>
  </si>
  <si>
    <r>
      <t>6</t>
    </r>
    <r>
      <rPr>
        <sz val="9"/>
        <color rgb="FF000000"/>
        <rFont val="楷体"/>
        <charset val="134"/>
      </rPr>
      <t>亿人民币</t>
    </r>
  </si>
  <si>
    <r>
      <t>6000</t>
    </r>
    <r>
      <rPr>
        <sz val="9"/>
        <color rgb="FF000000"/>
        <rFont val="楷体"/>
        <charset val="134"/>
      </rPr>
      <t>万人民币</t>
    </r>
  </si>
  <si>
    <r>
      <t>IDG</t>
    </r>
    <r>
      <rPr>
        <sz val="9"/>
        <color rgb="FF000000"/>
        <rFont val="楷体"/>
        <charset val="134"/>
      </rPr>
      <t>资本</t>
    </r>
    <r>
      <rPr>
        <sz val="9"/>
        <color rgb="FF000000"/>
        <rFont val="Arial"/>
        <charset val="134"/>
      </rPr>
      <t>,</t>
    </r>
    <r>
      <rPr>
        <sz val="9"/>
        <color rgb="FF000000"/>
        <rFont val="楷体"/>
        <charset val="134"/>
      </rPr>
      <t>达晨财智</t>
    </r>
    <r>
      <rPr>
        <sz val="9"/>
        <color rgb="FF000000"/>
        <rFont val="Arial"/>
        <charset val="134"/>
      </rPr>
      <t>,Star VC</t>
    </r>
  </si>
  <si>
    <r>
      <rPr>
        <sz val="9"/>
        <color rgb="FF000000"/>
        <rFont val="楷体"/>
        <charset val="134"/>
      </rPr>
      <t>浩方创投</t>
    </r>
  </si>
  <si>
    <r>
      <rPr>
        <sz val="9"/>
        <color rgb="FF000000"/>
        <rFont val="楷体"/>
        <charset val="134"/>
      </rPr>
      <t>心动游戏</t>
    </r>
  </si>
  <si>
    <r>
      <rPr>
        <sz val="9"/>
        <color rgb="FF000000"/>
        <rFont val="楷体"/>
        <charset val="134"/>
      </rPr>
      <t>心动游戏</t>
    </r>
  </si>
  <si>
    <r>
      <rPr>
        <sz val="9"/>
        <color rgb="FF000000"/>
        <rFont val="楷体"/>
        <charset val="134"/>
      </rPr>
      <t>心动网络是一家互动娱乐及游戏平台，主要运营有《天地英雄》、《盛世三国》、《神仙道》等自主研发或代理的多款业内领先的互联网游戏产品，主打网页游戏及手机游戏服务。</t>
    </r>
  </si>
  <si>
    <r>
      <rPr>
        <sz val="9"/>
        <color rgb="FF000000"/>
        <rFont val="楷体"/>
        <charset val="134"/>
      </rPr>
      <t>心动网络股份有限公司</t>
    </r>
  </si>
  <si>
    <r>
      <t>4.2</t>
    </r>
    <r>
      <rPr>
        <sz val="9"/>
        <color rgb="FF000000"/>
        <rFont val="楷体"/>
        <charset val="134"/>
      </rPr>
      <t>亿美元</t>
    </r>
  </si>
  <si>
    <r>
      <t>40.43</t>
    </r>
    <r>
      <rPr>
        <sz val="9"/>
        <color rgb="FF000000"/>
        <rFont val="楷体"/>
        <charset val="134"/>
      </rPr>
      <t>亿</t>
    </r>
  </si>
  <si>
    <r>
      <t>136.5</t>
    </r>
    <r>
      <rPr>
        <sz val="9"/>
        <color rgb="FF000000"/>
        <rFont val="楷体"/>
        <charset val="134"/>
      </rPr>
      <t>亿元</t>
    </r>
  </si>
  <si>
    <r>
      <t>6.29</t>
    </r>
    <r>
      <rPr>
        <sz val="9"/>
        <color rgb="FF000000"/>
        <rFont val="楷体"/>
        <charset val="134"/>
      </rPr>
      <t>亿港元</t>
    </r>
  </si>
  <si>
    <r>
      <t>2300</t>
    </r>
    <r>
      <rPr>
        <sz val="9"/>
        <color rgb="FF000000"/>
        <rFont val="楷体"/>
        <charset val="134"/>
      </rPr>
      <t>万美元</t>
    </r>
  </si>
  <si>
    <r>
      <t>1919</t>
    </r>
    <r>
      <rPr>
        <sz val="9"/>
        <color rgb="FF000000"/>
        <rFont val="楷体"/>
        <charset val="134"/>
      </rPr>
      <t>酒类直供</t>
    </r>
  </si>
  <si>
    <r>
      <t>1919</t>
    </r>
    <r>
      <rPr>
        <sz val="9"/>
        <color rgb="FF000000"/>
        <rFont val="楷体"/>
        <charset val="134"/>
      </rPr>
      <t>酒类直供</t>
    </r>
  </si>
  <si>
    <r>
      <t>1919</t>
    </r>
    <r>
      <rPr>
        <sz val="9"/>
        <color rgb="FF000000"/>
        <rFont val="楷体"/>
        <charset val="134"/>
      </rPr>
      <t>酒类直供是一家拥有酒类网上商城、线下多家酒类连锁超市的综合酒类服务商，隶属于四川壹玖壹玖酒类供应链管理股份有限公司。</t>
    </r>
  </si>
  <si>
    <r>
      <rPr>
        <sz val="9"/>
        <color rgb="FF000000"/>
        <rFont val="楷体"/>
        <charset val="134"/>
      </rPr>
      <t>壹玖壹玖酒类平台科技股份有限公司</t>
    </r>
  </si>
  <si>
    <r>
      <t>20</t>
    </r>
    <r>
      <rPr>
        <sz val="9"/>
        <color rgb="FF000000"/>
        <rFont val="楷体"/>
        <charset val="134"/>
      </rPr>
      <t>亿人民币</t>
    </r>
  </si>
  <si>
    <r>
      <t>70</t>
    </r>
    <r>
      <rPr>
        <sz val="9"/>
        <color rgb="FF000000"/>
        <rFont val="楷体"/>
        <charset val="134"/>
      </rPr>
      <t>亿元</t>
    </r>
  </si>
  <si>
    <r>
      <rPr>
        <sz val="9"/>
        <color rgb="FF000000"/>
        <rFont val="楷体"/>
        <charset val="134"/>
      </rPr>
      <t>四川中小企业投资</t>
    </r>
  </si>
  <si>
    <r>
      <t>1.15</t>
    </r>
    <r>
      <rPr>
        <sz val="9"/>
        <color rgb="FF000000"/>
        <rFont val="楷体"/>
        <charset val="134"/>
      </rPr>
      <t>亿人民币</t>
    </r>
  </si>
  <si>
    <r>
      <rPr>
        <sz val="9"/>
        <color rgb="FF000000"/>
        <rFont val="楷体"/>
        <charset val="134"/>
      </rPr>
      <t>汇通达</t>
    </r>
  </si>
  <si>
    <r>
      <rPr>
        <sz val="9"/>
        <color rgb="FF000000"/>
        <rFont val="楷体"/>
        <charset val="134"/>
      </rPr>
      <t>汇通达</t>
    </r>
  </si>
  <si>
    <r>
      <rPr>
        <sz val="9"/>
        <color rgb="FF000000"/>
        <rFont val="楷体"/>
        <charset val="134"/>
      </rPr>
      <t>汇通达网络股份有限公司</t>
    </r>
  </si>
  <si>
    <r>
      <rPr>
        <sz val="9"/>
        <color rgb="FF000000"/>
        <rFont val="楷体"/>
        <charset val="134"/>
      </rPr>
      <t>农业服务</t>
    </r>
  </si>
  <si>
    <r>
      <t>22.2</t>
    </r>
    <r>
      <rPr>
        <sz val="9"/>
        <color rgb="FF000000"/>
        <rFont val="楷体"/>
        <charset val="134"/>
      </rPr>
      <t>亿港元</t>
    </r>
  </si>
  <si>
    <r>
      <t>91.81</t>
    </r>
    <r>
      <rPr>
        <sz val="9"/>
        <color rgb="FF000000"/>
        <rFont val="楷体"/>
        <charset val="134"/>
      </rPr>
      <t>亿</t>
    </r>
  </si>
  <si>
    <r>
      <t>193.6</t>
    </r>
    <r>
      <rPr>
        <sz val="9"/>
        <color rgb="FF000000"/>
        <rFont val="楷体"/>
        <charset val="134"/>
      </rPr>
      <t>亿元</t>
    </r>
  </si>
  <si>
    <r>
      <rPr>
        <sz val="9"/>
        <color rgb="FF000000"/>
        <rFont val="楷体"/>
        <charset val="134"/>
      </rPr>
      <t>国投创益</t>
    </r>
  </si>
  <si>
    <r>
      <t>45</t>
    </r>
    <r>
      <rPr>
        <sz val="9"/>
        <color rgb="FF000000"/>
        <rFont val="楷体"/>
        <charset val="134"/>
      </rPr>
      <t>亿人民币</t>
    </r>
  </si>
  <si>
    <r>
      <rPr>
        <sz val="9"/>
        <color rgb="FF000000"/>
        <rFont val="楷体"/>
        <charset val="134"/>
      </rPr>
      <t>招商银行</t>
    </r>
  </si>
  <si>
    <r>
      <rPr>
        <sz val="9"/>
        <color rgb="FF000000"/>
        <rFont val="楷体"/>
        <charset val="134"/>
      </rPr>
      <t>景林投资</t>
    </r>
  </si>
  <si>
    <r>
      <rPr>
        <sz val="9"/>
        <color rgb="FF000000"/>
        <rFont val="楷体"/>
        <charset val="134"/>
      </rPr>
      <t>优谈网</t>
    </r>
  </si>
  <si>
    <r>
      <rPr>
        <sz val="9"/>
        <color rgb="FF000000"/>
        <rFont val="楷体"/>
        <charset val="134"/>
      </rPr>
      <t>优谈网</t>
    </r>
  </si>
  <si>
    <r>
      <rPr>
        <sz val="9"/>
        <color rgb="FF000000"/>
        <rFont val="楷体"/>
        <charset val="134"/>
      </rPr>
      <t>上海禹容网络科技有限公司</t>
    </r>
  </si>
  <si>
    <r>
      <t>KTB</t>
    </r>
    <r>
      <rPr>
        <sz val="9"/>
        <color rgb="FF000000"/>
        <rFont val="楷体"/>
        <charset val="134"/>
      </rPr>
      <t>投资集团</t>
    </r>
  </si>
  <si>
    <r>
      <t>2.55</t>
    </r>
    <r>
      <rPr>
        <sz val="9"/>
        <color rgb="FF000000"/>
        <rFont val="楷体"/>
        <charset val="134"/>
      </rPr>
      <t>亿</t>
    </r>
  </si>
  <si>
    <r>
      <rPr>
        <sz val="9"/>
        <color rgb="FF000000"/>
        <rFont val="楷体"/>
        <charset val="134"/>
      </rPr>
      <t>蓝驰创投</t>
    </r>
  </si>
  <si>
    <r>
      <rPr>
        <sz val="9"/>
        <color rgb="FF000000"/>
        <rFont val="楷体"/>
        <charset val="134"/>
      </rPr>
      <t>车来了</t>
    </r>
  </si>
  <si>
    <r>
      <rPr>
        <sz val="9"/>
        <color rgb="FF000000"/>
        <rFont val="楷体"/>
        <charset val="134"/>
      </rPr>
      <t>车来了</t>
    </r>
  </si>
  <si>
    <r>
      <rPr>
        <sz val="9"/>
        <color rgb="FF000000"/>
        <rFont val="楷体"/>
        <charset val="134"/>
      </rPr>
      <t>车来了是一款可以查询公交到站的手机应用，隶属于武汉元光科技有限公司。</t>
    </r>
  </si>
  <si>
    <r>
      <rPr>
        <sz val="9"/>
        <color rgb="FF000000"/>
        <rFont val="楷体"/>
        <charset val="134"/>
      </rPr>
      <t>武汉元光科技有限公司</t>
    </r>
  </si>
  <si>
    <r>
      <rPr>
        <sz val="9"/>
        <color rgb="FF000000"/>
        <rFont val="楷体"/>
        <charset val="134"/>
      </rPr>
      <t>活水资本</t>
    </r>
  </si>
  <si>
    <r>
      <t>5.23</t>
    </r>
    <r>
      <rPr>
        <sz val="9"/>
        <color rgb="FF000000"/>
        <rFont val="楷体"/>
        <charset val="134"/>
      </rPr>
      <t>亿</t>
    </r>
  </si>
  <si>
    <r>
      <rPr>
        <sz val="9"/>
        <color rgb="FF000000"/>
        <rFont val="楷体"/>
        <charset val="134"/>
      </rPr>
      <t>弘道资本</t>
    </r>
  </si>
  <si>
    <r>
      <rPr>
        <sz val="9"/>
        <color rgb="FF000000"/>
        <rFont val="楷体"/>
        <charset val="134"/>
      </rPr>
      <t>墨迹天气</t>
    </r>
  </si>
  <si>
    <r>
      <rPr>
        <sz val="9"/>
        <color rgb="FF000000"/>
        <rFont val="楷体"/>
        <charset val="134"/>
      </rPr>
      <t>墨迹天气</t>
    </r>
  </si>
  <si>
    <r>
      <rPr>
        <sz val="9"/>
        <color rgb="FF000000"/>
        <rFont val="楷体"/>
        <charset val="134"/>
      </rPr>
      <t>北京墨迹风云科技股份有限公司</t>
    </r>
  </si>
  <si>
    <r>
      <rPr>
        <sz val="9"/>
        <color rgb="FF000000"/>
        <rFont val="楷体"/>
        <charset val="134"/>
      </rPr>
      <t>实用生活服务</t>
    </r>
  </si>
  <si>
    <r>
      <t>3.96</t>
    </r>
    <r>
      <rPr>
        <sz val="9"/>
        <color rgb="FF000000"/>
        <rFont val="楷体"/>
        <charset val="134"/>
      </rPr>
      <t>亿</t>
    </r>
  </si>
  <si>
    <r>
      <t>13.5</t>
    </r>
    <r>
      <rPr>
        <sz val="9"/>
        <color rgb="FF000000"/>
        <rFont val="楷体"/>
        <charset val="134"/>
      </rPr>
      <t>亿元</t>
    </r>
  </si>
  <si>
    <r>
      <rPr>
        <sz val="9"/>
        <color rgb="FF000000"/>
        <rFont val="楷体"/>
        <charset val="134"/>
      </rPr>
      <t>合力投资</t>
    </r>
  </si>
  <si>
    <r>
      <rPr>
        <sz val="9"/>
        <color rgb="FF000000"/>
        <rFont val="楷体"/>
        <charset val="134"/>
      </rPr>
      <t>险峰</t>
    </r>
  </si>
  <si>
    <r>
      <rPr>
        <sz val="9"/>
        <color rgb="FF000000"/>
        <rFont val="楷体"/>
        <charset val="134"/>
      </rPr>
      <t>购物助手</t>
    </r>
  </si>
  <si>
    <r>
      <rPr>
        <sz val="9"/>
        <color rgb="FF000000"/>
        <rFont val="楷体"/>
        <charset val="134"/>
      </rPr>
      <t>购物助手</t>
    </r>
  </si>
  <si>
    <r>
      <rPr>
        <sz val="9"/>
        <color rgb="FF000000"/>
        <rFont val="楷体"/>
        <charset val="134"/>
      </rPr>
      <t>北京彬祺软件技术有限责任公司</t>
    </r>
  </si>
  <si>
    <r>
      <rPr>
        <sz val="9"/>
        <color rgb="FF000000"/>
        <rFont val="楷体"/>
        <charset val="134"/>
      </rPr>
      <t>百程旅行</t>
    </r>
  </si>
  <si>
    <r>
      <rPr>
        <sz val="9"/>
        <color rgb="FF000000"/>
        <rFont val="楷体"/>
        <charset val="134"/>
      </rPr>
      <t>百程旅行</t>
    </r>
  </si>
  <si>
    <r>
      <rPr>
        <sz val="9"/>
        <color rgb="FF000000"/>
        <rFont val="楷体"/>
        <charset val="134"/>
      </rPr>
      <t>北京百程国际旅游股份有限公司</t>
    </r>
  </si>
  <si>
    <r>
      <t>5.98</t>
    </r>
    <r>
      <rPr>
        <sz val="9"/>
        <color rgb="FF000000"/>
        <rFont val="楷体"/>
        <charset val="134"/>
      </rPr>
      <t>亿</t>
    </r>
  </si>
  <si>
    <r>
      <rPr>
        <sz val="9"/>
        <color rgb="FF000000"/>
        <rFont val="楷体"/>
        <charset val="134"/>
      </rPr>
      <t>泰山天使</t>
    </r>
  </si>
  <si>
    <r>
      <rPr>
        <sz val="9"/>
        <color rgb="FF000000"/>
        <rFont val="楷体"/>
        <charset val="134"/>
      </rPr>
      <t>魅力惠</t>
    </r>
  </si>
  <si>
    <r>
      <rPr>
        <sz val="9"/>
        <color rgb="FF000000"/>
        <rFont val="楷体"/>
        <charset val="134"/>
      </rPr>
      <t>魅力惠</t>
    </r>
  </si>
  <si>
    <r>
      <rPr>
        <sz val="9"/>
        <color rgb="FF000000"/>
        <rFont val="楷体"/>
        <charset val="134"/>
      </rPr>
      <t>杭州魅俪信息技术有限公司</t>
    </r>
  </si>
  <si>
    <r>
      <rPr>
        <sz val="9"/>
        <color rgb="FF000000"/>
        <rFont val="楷体"/>
        <charset val="134"/>
      </rPr>
      <t>奢侈品</t>
    </r>
  </si>
  <si>
    <r>
      <t>10.27</t>
    </r>
    <r>
      <rPr>
        <sz val="9"/>
        <color rgb="FF000000"/>
        <rFont val="楷体"/>
        <charset val="134"/>
      </rPr>
      <t>亿</t>
    </r>
  </si>
  <si>
    <r>
      <t>2800</t>
    </r>
    <r>
      <rPr>
        <sz val="9"/>
        <color rgb="FF000000"/>
        <rFont val="楷体"/>
        <charset val="134"/>
      </rPr>
      <t>万美元</t>
    </r>
  </si>
  <si>
    <r>
      <rPr>
        <sz val="9"/>
        <color rgb="FF000000"/>
        <rFont val="楷体"/>
        <charset val="134"/>
      </rPr>
      <t>三井物产环球投资</t>
    </r>
  </si>
  <si>
    <r>
      <rPr>
        <sz val="9"/>
        <color rgb="FF000000"/>
        <rFont val="楷体"/>
        <charset val="134"/>
      </rPr>
      <t>虾米音乐</t>
    </r>
  </si>
  <si>
    <r>
      <rPr>
        <sz val="9"/>
        <color rgb="FF000000"/>
        <rFont val="楷体"/>
        <charset val="134"/>
      </rPr>
      <t>虾米音乐</t>
    </r>
  </si>
  <si>
    <r>
      <rPr>
        <sz val="9"/>
        <color rgb="FF000000"/>
        <rFont val="楷体"/>
        <charset val="134"/>
      </rPr>
      <t>阿里巴巴（杭州）文化创意有限公司</t>
    </r>
  </si>
  <si>
    <r>
      <t>8000</t>
    </r>
    <r>
      <rPr>
        <sz val="9"/>
        <color rgb="FF000000"/>
        <rFont val="楷体"/>
        <charset val="134"/>
      </rPr>
      <t>万人民币</t>
    </r>
  </si>
  <si>
    <r>
      <t>1.16</t>
    </r>
    <r>
      <rPr>
        <sz val="9"/>
        <color rgb="FF000000"/>
        <rFont val="楷体"/>
        <charset val="134"/>
      </rPr>
      <t>亿</t>
    </r>
  </si>
  <si>
    <r>
      <rPr>
        <sz val="9"/>
        <color rgb="FF000000"/>
        <rFont val="楷体"/>
        <charset val="134"/>
      </rPr>
      <t>深创投</t>
    </r>
  </si>
  <si>
    <r>
      <rPr>
        <sz val="9"/>
        <color rgb="FF000000"/>
        <rFont val="楷体"/>
        <charset val="134"/>
      </rPr>
      <t>众信旅游</t>
    </r>
  </si>
  <si>
    <r>
      <rPr>
        <sz val="9"/>
        <color rgb="FF000000"/>
        <rFont val="楷体"/>
        <charset val="134"/>
      </rPr>
      <t>众信旅游</t>
    </r>
  </si>
  <si>
    <r>
      <rPr>
        <sz val="9"/>
        <color rgb="FF000000"/>
        <rFont val="楷体"/>
        <charset val="134"/>
      </rPr>
      <t>众信旅游是一个出境旅游综合服务平台，以出境旅游产品的批发、零售以及商务会奖旅游为主要业务，并且还为旅游者提供团队游、自由行、酒店预订、签证服务、会员服务等一站式的旅游服务，业务覆盖欧洲、日本、东南亚、美洲、中东等地区。</t>
    </r>
  </si>
  <si>
    <r>
      <rPr>
        <sz val="9"/>
        <color rgb="FF000000"/>
        <rFont val="楷体"/>
        <charset val="134"/>
      </rPr>
      <t>众信旅游集团股份有限公司</t>
    </r>
  </si>
  <si>
    <r>
      <rPr>
        <sz val="9"/>
        <color rgb="FF000000"/>
        <rFont val="楷体"/>
        <charset val="134"/>
      </rPr>
      <t>旅游综合服务</t>
    </r>
  </si>
  <si>
    <r>
      <t>62.44</t>
    </r>
    <r>
      <rPr>
        <sz val="9"/>
        <color rgb="FF000000"/>
        <rFont val="楷体"/>
        <charset val="134"/>
      </rPr>
      <t>亿人民币</t>
    </r>
  </si>
  <si>
    <r>
      <rPr>
        <sz val="9"/>
        <color rgb="FF000000"/>
        <rFont val="楷体"/>
        <charset val="134"/>
      </rPr>
      <t>凯撒旅游</t>
    </r>
  </si>
  <si>
    <r>
      <t>73.64</t>
    </r>
    <r>
      <rPr>
        <sz val="9"/>
        <color rgb="FF000000"/>
        <rFont val="楷体"/>
        <charset val="134"/>
      </rPr>
      <t>亿</t>
    </r>
  </si>
  <si>
    <r>
      <t>312.2</t>
    </r>
    <r>
      <rPr>
        <sz val="9"/>
        <color rgb="FF000000"/>
        <rFont val="楷体"/>
        <charset val="134"/>
      </rPr>
      <t>亿元</t>
    </r>
  </si>
  <si>
    <r>
      <t>3.85</t>
    </r>
    <r>
      <rPr>
        <sz val="9"/>
        <color rgb="FF000000"/>
        <rFont val="楷体"/>
        <charset val="134"/>
      </rPr>
      <t>亿人民币</t>
    </r>
  </si>
  <si>
    <r>
      <t>3.58</t>
    </r>
    <r>
      <rPr>
        <sz val="9"/>
        <color rgb="FF000000"/>
        <rFont val="楷体"/>
        <charset val="134"/>
      </rPr>
      <t>亿人民币</t>
    </r>
  </si>
  <si>
    <r>
      <rPr>
        <sz val="9"/>
        <color rgb="FF000000"/>
        <rFont val="楷体"/>
        <charset val="134"/>
      </rPr>
      <t>九鼎投资</t>
    </r>
  </si>
  <si>
    <r>
      <t>1650</t>
    </r>
    <r>
      <rPr>
        <sz val="9"/>
        <color rgb="FF000000"/>
        <rFont val="楷体"/>
        <charset val="134"/>
      </rPr>
      <t>万人民币</t>
    </r>
  </si>
  <si>
    <r>
      <rPr>
        <sz val="9"/>
        <color rgb="FF000000"/>
        <rFont val="楷体"/>
        <charset val="134"/>
      </rPr>
      <t>茵曼</t>
    </r>
    <r>
      <rPr>
        <sz val="9"/>
        <color rgb="FF000000"/>
        <rFont val="Arial"/>
        <charset val="134"/>
      </rPr>
      <t>INMAN</t>
    </r>
  </si>
  <si>
    <r>
      <rPr>
        <sz val="9"/>
        <color rgb="FF000000"/>
        <rFont val="楷体"/>
        <charset val="134"/>
      </rPr>
      <t>广州市汇美时尚集团股份有限公司</t>
    </r>
  </si>
  <si>
    <r>
      <t>3.24</t>
    </r>
    <r>
      <rPr>
        <sz val="9"/>
        <color rgb="FF000000"/>
        <rFont val="楷体"/>
        <charset val="134"/>
      </rPr>
      <t>亿人民币</t>
    </r>
  </si>
  <si>
    <r>
      <rPr>
        <sz val="9"/>
        <color rgb="FF000000"/>
        <rFont val="楷体"/>
        <charset val="134"/>
      </rPr>
      <t>搜于特服装</t>
    </r>
  </si>
  <si>
    <r>
      <t>5.19</t>
    </r>
    <r>
      <rPr>
        <sz val="9"/>
        <color rgb="FF000000"/>
        <rFont val="楷体"/>
        <charset val="134"/>
      </rPr>
      <t>亿</t>
    </r>
  </si>
  <si>
    <r>
      <t>16.2</t>
    </r>
    <r>
      <rPr>
        <sz val="9"/>
        <color rgb="FF000000"/>
        <rFont val="楷体"/>
        <charset val="134"/>
      </rPr>
      <t>亿元</t>
    </r>
  </si>
  <si>
    <r>
      <t>IDG</t>
    </r>
    <r>
      <rPr>
        <sz val="9"/>
        <color rgb="FF000000"/>
        <rFont val="楷体"/>
        <charset val="134"/>
      </rPr>
      <t>资本</t>
    </r>
    <r>
      <rPr>
        <sz val="9"/>
        <color rgb="FF000000"/>
        <rFont val="Arial"/>
        <charset val="134"/>
      </rPr>
      <t>,</t>
    </r>
    <r>
      <rPr>
        <sz val="9"/>
        <color rgb="FF000000"/>
        <rFont val="楷体"/>
        <charset val="134"/>
      </rPr>
      <t>阿里巴巴</t>
    </r>
  </si>
  <si>
    <r>
      <rPr>
        <sz val="9"/>
        <color rgb="FF000000"/>
        <rFont val="楷体"/>
        <charset val="134"/>
      </rPr>
      <t>高德地图</t>
    </r>
  </si>
  <si>
    <r>
      <rPr>
        <sz val="9"/>
        <color rgb="FF000000"/>
        <rFont val="楷体"/>
        <charset val="134"/>
      </rPr>
      <t>高德地图</t>
    </r>
  </si>
  <si>
    <r>
      <rPr>
        <sz val="9"/>
        <color rgb="FF000000"/>
        <rFont val="楷体"/>
        <charset val="134"/>
      </rPr>
      <t>高德软件有限公司</t>
    </r>
  </si>
  <si>
    <r>
      <rPr>
        <sz val="9"/>
        <color rgb="FF000000"/>
        <rFont val="楷体"/>
        <charset val="134"/>
      </rPr>
      <t>位置定位</t>
    </r>
  </si>
  <si>
    <r>
      <t>10.45</t>
    </r>
    <r>
      <rPr>
        <sz val="9"/>
        <color rgb="FF000000"/>
        <rFont val="楷体"/>
        <charset val="134"/>
      </rPr>
      <t>亿美元</t>
    </r>
  </si>
  <si>
    <r>
      <t>109.14</t>
    </r>
    <r>
      <rPr>
        <sz val="9"/>
        <color rgb="FF000000"/>
        <rFont val="楷体"/>
        <charset val="134"/>
      </rPr>
      <t>亿</t>
    </r>
  </si>
  <si>
    <r>
      <t>339.625</t>
    </r>
    <r>
      <rPr>
        <sz val="9"/>
        <color rgb="FF000000"/>
        <rFont val="楷体"/>
        <charset val="134"/>
      </rPr>
      <t>亿元</t>
    </r>
  </si>
  <si>
    <r>
      <t>2.94</t>
    </r>
    <r>
      <rPr>
        <sz val="9"/>
        <color rgb="FF000000"/>
        <rFont val="楷体"/>
        <charset val="134"/>
      </rPr>
      <t>亿美元</t>
    </r>
  </si>
  <si>
    <r>
      <rPr>
        <sz val="9"/>
        <color rgb="FF000000"/>
        <rFont val="楷体"/>
        <charset val="134"/>
      </rPr>
      <t>宝尊电商</t>
    </r>
  </si>
  <si>
    <r>
      <rPr>
        <sz val="9"/>
        <color rgb="FF000000"/>
        <rFont val="楷体"/>
        <charset val="134"/>
      </rPr>
      <t>宝尊电商</t>
    </r>
  </si>
  <si>
    <r>
      <rPr>
        <sz val="9"/>
        <color rgb="FF000000"/>
        <rFont val="楷体"/>
        <charset val="134"/>
      </rPr>
      <t>上海宝尊电子商务有限公司</t>
    </r>
  </si>
  <si>
    <r>
      <t>32.02</t>
    </r>
    <r>
      <rPr>
        <sz val="9"/>
        <color rgb="FF000000"/>
        <rFont val="楷体"/>
        <charset val="134"/>
      </rPr>
      <t>亿港元</t>
    </r>
  </si>
  <si>
    <r>
      <t>49.21</t>
    </r>
    <r>
      <rPr>
        <sz val="9"/>
        <color rgb="FF000000"/>
        <rFont val="楷体"/>
        <charset val="134"/>
      </rPr>
      <t>亿</t>
    </r>
  </si>
  <si>
    <r>
      <t>160.8</t>
    </r>
    <r>
      <rPr>
        <sz val="9"/>
        <color rgb="FF000000"/>
        <rFont val="楷体"/>
        <charset val="134"/>
      </rPr>
      <t>亿元</t>
    </r>
  </si>
  <si>
    <r>
      <rPr>
        <sz val="9"/>
        <color rgb="FF000000"/>
        <rFont val="楷体"/>
        <charset val="134"/>
      </rPr>
      <t>上海庆科</t>
    </r>
    <r>
      <rPr>
        <sz val="9"/>
        <color rgb="FF000000"/>
        <rFont val="Arial"/>
        <charset val="134"/>
      </rPr>
      <t>MXCHIP</t>
    </r>
  </si>
  <si>
    <r>
      <rPr>
        <sz val="9"/>
        <color rgb="FF000000"/>
        <rFont val="楷体"/>
        <charset val="134"/>
      </rPr>
      <t>上海庆科信息技术有限公司</t>
    </r>
  </si>
  <si>
    <r>
      <t>1.61</t>
    </r>
    <r>
      <rPr>
        <sz val="9"/>
        <color rgb="FF000000"/>
        <rFont val="楷体"/>
        <charset val="134"/>
      </rPr>
      <t>亿</t>
    </r>
  </si>
  <si>
    <r>
      <rPr>
        <sz val="9"/>
        <color rgb="FF000000"/>
        <rFont val="楷体"/>
        <charset val="134"/>
      </rPr>
      <t>鼎锋资产</t>
    </r>
  </si>
  <si>
    <r>
      <rPr>
        <sz val="9"/>
        <color rgb="FF000000"/>
        <rFont val="楷体"/>
        <charset val="134"/>
      </rPr>
      <t>海捷投资</t>
    </r>
  </si>
  <si>
    <r>
      <rPr>
        <sz val="9"/>
        <color rgb="FF000000"/>
        <rFont val="楷体"/>
        <charset val="134"/>
      </rPr>
      <t>杭州淘巧科技</t>
    </r>
  </si>
  <si>
    <r>
      <rPr>
        <sz val="9"/>
        <color rgb="FF000000"/>
        <rFont val="楷体"/>
        <charset val="134"/>
      </rPr>
      <t>杭州淘巧科技</t>
    </r>
  </si>
  <si>
    <r>
      <rPr>
        <sz val="9"/>
        <color rgb="FF000000"/>
        <rFont val="楷体"/>
        <charset val="134"/>
      </rPr>
      <t>杭州淘巧信息技术有限公司是一家电子商务软件技术开发商。</t>
    </r>
  </si>
  <si>
    <r>
      <rPr>
        <sz val="9"/>
        <color rgb="FF000000"/>
        <rFont val="楷体"/>
        <charset val="134"/>
      </rPr>
      <t>杭州淘巧信息技术有限公司</t>
    </r>
  </si>
  <si>
    <r>
      <t>1000</t>
    </r>
    <r>
      <rPr>
        <sz val="9"/>
        <color rgb="FF000000"/>
        <rFont val="楷体"/>
        <charset val="134"/>
      </rPr>
      <t>万</t>
    </r>
  </si>
  <si>
    <r>
      <rPr>
        <sz val="9"/>
        <color rgb="FF000000"/>
        <rFont val="楷体"/>
        <charset val="134"/>
      </rPr>
      <t>爱康国宾</t>
    </r>
  </si>
  <si>
    <r>
      <rPr>
        <sz val="9"/>
        <color rgb="FF000000"/>
        <rFont val="楷体"/>
        <charset val="134"/>
      </rPr>
      <t>爱康国宾</t>
    </r>
  </si>
  <si>
    <r>
      <rPr>
        <sz val="9"/>
        <color rgb="FF000000"/>
        <rFont val="楷体"/>
        <charset val="134"/>
      </rPr>
      <t>爱康国宾是一家主打体检的健康管理公司，为个人及团体提供从体检、检测、医疗、家庭医生、慢病管理、健康保险等全方位个性化服务，由爱康网和上海国宾健检联合组建。</t>
    </r>
  </si>
  <si>
    <r>
      <rPr>
        <sz val="9"/>
        <color rgb="FF000000"/>
        <rFont val="楷体"/>
        <charset val="134"/>
      </rPr>
      <t>常州爱康卓悦医疗门诊部有限公司</t>
    </r>
  </si>
  <si>
    <r>
      <rPr>
        <sz val="9"/>
        <color rgb="FF000000"/>
        <rFont val="楷体"/>
        <charset val="134"/>
      </rPr>
      <t>健康保健</t>
    </r>
  </si>
  <si>
    <r>
      <t>128.44</t>
    </r>
    <r>
      <rPr>
        <sz val="9"/>
        <color rgb="FF000000"/>
        <rFont val="楷体"/>
        <charset val="134"/>
      </rPr>
      <t>亿</t>
    </r>
  </si>
  <si>
    <r>
      <rPr>
        <sz val="9"/>
        <color rgb="FF000000"/>
        <rFont val="楷体"/>
        <charset val="134"/>
      </rPr>
      <t>中投公司</t>
    </r>
  </si>
  <si>
    <r>
      <rPr>
        <sz val="9"/>
        <color rgb="FF000000"/>
        <rFont val="楷体"/>
        <charset val="134"/>
      </rPr>
      <t>美国中经合集团</t>
    </r>
  </si>
  <si>
    <r>
      <rPr>
        <sz val="9"/>
        <color rgb="FF000000"/>
        <rFont val="楷体"/>
        <charset val="134"/>
      </rPr>
      <t>浙江网上技术市场</t>
    </r>
  </si>
  <si>
    <r>
      <rPr>
        <sz val="9"/>
        <color rgb="FF000000"/>
        <rFont val="楷体"/>
        <charset val="134"/>
      </rPr>
      <t>浙江网上技术市场</t>
    </r>
  </si>
  <si>
    <r>
      <rPr>
        <sz val="9"/>
        <color rgb="FF000000"/>
        <rFont val="楷体"/>
        <charset val="134"/>
      </rPr>
      <t>浙江伍一技术股份有限公司</t>
    </r>
  </si>
  <si>
    <r>
      <rPr>
        <sz val="9"/>
        <color rgb="FF000000"/>
        <rFont val="楷体"/>
        <charset val="134"/>
      </rPr>
      <t>又一城</t>
    </r>
  </si>
  <si>
    <r>
      <rPr>
        <sz val="9"/>
        <color rgb="FF000000"/>
        <rFont val="楷体"/>
        <charset val="134"/>
      </rPr>
      <t>又一城</t>
    </r>
  </si>
  <si>
    <r>
      <rPr>
        <sz val="9"/>
        <color rgb="FF000000"/>
        <rFont val="楷体"/>
        <charset val="134"/>
      </rPr>
      <t>厦门又一城网络科技有限公司</t>
    </r>
  </si>
  <si>
    <r>
      <rPr>
        <sz val="9"/>
        <color rgb="FF000000"/>
        <rFont val="楷体"/>
        <charset val="134"/>
      </rPr>
      <t>晟邦物流</t>
    </r>
  </si>
  <si>
    <r>
      <rPr>
        <sz val="9"/>
        <color rgb="FF000000"/>
        <rFont val="楷体"/>
        <charset val="134"/>
      </rPr>
      <t>晟邦物流</t>
    </r>
  </si>
  <si>
    <r>
      <rPr>
        <sz val="9"/>
        <color rgb="FF000000"/>
        <rFont val="楷体"/>
        <charset val="134"/>
      </rPr>
      <t>南京晟邦物流有限公司</t>
    </r>
  </si>
  <si>
    <r>
      <rPr>
        <sz val="9"/>
        <color rgb="FF000000"/>
        <rFont val="楷体"/>
        <charset val="134"/>
      </rPr>
      <t>快递服务</t>
    </r>
  </si>
  <si>
    <r>
      <rPr>
        <sz val="9"/>
        <color rgb="FF000000"/>
        <rFont val="楷体"/>
        <charset val="134"/>
      </rPr>
      <t>商业评论</t>
    </r>
  </si>
  <si>
    <r>
      <rPr>
        <sz val="9"/>
        <color rgb="FF000000"/>
        <rFont val="楷体"/>
        <charset val="134"/>
      </rPr>
      <t>商业评论</t>
    </r>
  </si>
  <si>
    <r>
      <rPr>
        <sz val="9"/>
        <color rgb="FF000000"/>
        <rFont val="楷体"/>
        <charset val="134"/>
      </rPr>
      <t>上海智篆文化传播有限公司</t>
    </r>
  </si>
  <si>
    <r>
      <rPr>
        <sz val="9"/>
        <color rgb="FF000000"/>
        <rFont val="楷体"/>
        <charset val="134"/>
      </rPr>
      <t>阿里健康</t>
    </r>
  </si>
  <si>
    <r>
      <rPr>
        <sz val="9"/>
        <color rgb="FF000000"/>
        <rFont val="楷体"/>
        <charset val="134"/>
      </rPr>
      <t>阿里健康</t>
    </r>
  </si>
  <si>
    <r>
      <rPr>
        <sz val="9"/>
        <color rgb="FF000000"/>
        <rFont val="楷体"/>
        <charset val="134"/>
      </rPr>
      <t>阿里健康科技（中国）有限公司</t>
    </r>
  </si>
  <si>
    <r>
      <t>22.7</t>
    </r>
    <r>
      <rPr>
        <sz val="9"/>
        <color rgb="FF000000"/>
        <rFont val="楷体"/>
        <charset val="134"/>
      </rPr>
      <t>亿港元</t>
    </r>
  </si>
  <si>
    <r>
      <t>30.21</t>
    </r>
    <r>
      <rPr>
        <sz val="9"/>
        <color rgb="FF000000"/>
        <rFont val="楷体"/>
        <charset val="134"/>
      </rPr>
      <t>亿</t>
    </r>
  </si>
  <si>
    <r>
      <t>90.8</t>
    </r>
    <r>
      <rPr>
        <sz val="9"/>
        <color rgb="FF000000"/>
        <rFont val="楷体"/>
        <charset val="134"/>
      </rPr>
      <t>亿元</t>
    </r>
  </si>
  <si>
    <r>
      <t>1.7</t>
    </r>
    <r>
      <rPr>
        <sz val="9"/>
        <color rgb="FF000000"/>
        <rFont val="楷体"/>
        <charset val="134"/>
      </rPr>
      <t>亿美元</t>
    </r>
  </si>
  <si>
    <r>
      <rPr>
        <sz val="9"/>
        <color rgb="FF000000"/>
        <rFont val="楷体"/>
        <charset val="134"/>
      </rPr>
      <t>缔元信</t>
    </r>
    <r>
      <rPr>
        <sz val="9"/>
        <color rgb="FF000000"/>
        <rFont val="Arial"/>
        <charset val="134"/>
      </rPr>
      <t>Dratio</t>
    </r>
  </si>
  <si>
    <r>
      <rPr>
        <sz val="9"/>
        <color rgb="FF000000"/>
        <rFont val="楷体"/>
        <charset val="134"/>
      </rPr>
      <t>北京缔元信互联网数据技术有限公司</t>
    </r>
  </si>
  <si>
    <r>
      <t>CNZZ</t>
    </r>
    <r>
      <rPr>
        <sz val="9"/>
        <color rgb="FF000000"/>
        <rFont val="楷体"/>
        <charset val="134"/>
      </rPr>
      <t>数据</t>
    </r>
  </si>
  <si>
    <r>
      <t>CNZZ</t>
    </r>
    <r>
      <rPr>
        <sz val="9"/>
        <color rgb="FF000000"/>
        <rFont val="楷体"/>
        <charset val="134"/>
      </rPr>
      <t>数据</t>
    </r>
  </si>
  <si>
    <r>
      <t>CNZZ</t>
    </r>
    <r>
      <rPr>
        <sz val="9"/>
        <color rgb="FF000000"/>
        <rFont val="楷体"/>
        <charset val="134"/>
      </rPr>
      <t>数据是一家中文网站统计分析服务商，</t>
    </r>
    <r>
      <rPr>
        <sz val="9"/>
        <color rgb="FF000000"/>
        <rFont val="Arial"/>
        <charset val="134"/>
      </rPr>
      <t>CNZZ</t>
    </r>
    <r>
      <rPr>
        <sz val="9"/>
        <color rgb="FF000000"/>
        <rFont val="楷体"/>
        <charset val="134"/>
      </rPr>
      <t>目前旗下有七大产品，分别为：站长统计、全景统计、手机客户端、云推荐、广告管家、广告效果分析和数据中心。</t>
    </r>
  </si>
  <si>
    <r>
      <rPr>
        <sz val="9"/>
        <color rgb="FF000000"/>
        <rFont val="楷体"/>
        <charset val="134"/>
      </rPr>
      <t>浙江阿里巴巴云计算有限公司</t>
    </r>
  </si>
  <si>
    <r>
      <t>1.17</t>
    </r>
    <r>
      <rPr>
        <sz val="9"/>
        <color rgb="FF000000"/>
        <rFont val="楷体"/>
        <charset val="134"/>
      </rPr>
      <t>亿</t>
    </r>
  </si>
  <si>
    <r>
      <rPr>
        <sz val="9"/>
        <color rgb="FF000000"/>
        <rFont val="楷体"/>
        <charset val="134"/>
      </rPr>
      <t>博雅天下</t>
    </r>
  </si>
  <si>
    <r>
      <rPr>
        <sz val="9"/>
        <color rgb="FF000000"/>
        <rFont val="楷体"/>
        <charset val="134"/>
      </rPr>
      <t>博雅天下</t>
    </r>
  </si>
  <si>
    <r>
      <rPr>
        <sz val="9"/>
        <color rgb="FF000000"/>
        <rFont val="楷体"/>
        <charset val="134"/>
      </rPr>
      <t>博雅天下是一家文化传媒机构，旗下有《博客天下》、《财经天下》和《人物》三本杂志，以及咋整科技、格林艾格、珠影雅年、博雅艺术基金等分支机构。</t>
    </r>
  </si>
  <si>
    <r>
      <rPr>
        <sz val="9"/>
        <color rgb="FF000000"/>
        <rFont val="楷体"/>
        <charset val="134"/>
      </rPr>
      <t>北京博雅天下传媒文化发展有限公司</t>
    </r>
  </si>
  <si>
    <r>
      <rPr>
        <sz val="9"/>
        <color rgb="FF000000"/>
        <rFont val="楷体"/>
        <charset val="134"/>
      </rPr>
      <t>其他文娱服务</t>
    </r>
  </si>
  <si>
    <r>
      <rPr>
        <sz val="9"/>
        <color rgb="FF000000"/>
        <rFont val="楷体"/>
        <charset val="134"/>
      </rPr>
      <t>安恒信息</t>
    </r>
  </si>
  <si>
    <r>
      <rPr>
        <sz val="9"/>
        <color rgb="FF000000"/>
        <rFont val="楷体"/>
        <charset val="134"/>
      </rPr>
      <t>安恒信息</t>
    </r>
  </si>
  <si>
    <r>
      <rPr>
        <sz val="9"/>
        <color rgb="FF000000"/>
        <rFont val="楷体"/>
        <charset val="134"/>
      </rPr>
      <t>杭州安恒信息技术股份有限公司</t>
    </r>
  </si>
  <si>
    <r>
      <t>13.33</t>
    </r>
    <r>
      <rPr>
        <sz val="9"/>
        <color rgb="FF000000"/>
        <rFont val="楷体"/>
        <charset val="134"/>
      </rPr>
      <t>亿人民币</t>
    </r>
  </si>
  <si>
    <r>
      <t>JPMorgan</t>
    </r>
    <r>
      <rPr>
        <sz val="9"/>
        <color rgb="FF000000"/>
        <rFont val="楷体"/>
        <charset val="134"/>
      </rPr>
      <t>摩根大通</t>
    </r>
    <r>
      <rPr>
        <sz val="9"/>
        <color rgb="FF000000"/>
        <rFont val="Arial"/>
        <charset val="134"/>
      </rPr>
      <t>,</t>
    </r>
    <r>
      <rPr>
        <sz val="9"/>
        <color rgb="FF000000"/>
        <rFont val="楷体"/>
        <charset val="134"/>
      </rPr>
      <t>中信建投资本</t>
    </r>
    <r>
      <rPr>
        <sz val="9"/>
        <color rgb="FF000000"/>
        <rFont val="Arial"/>
        <charset val="134"/>
      </rPr>
      <t>,Janchor Partners</t>
    </r>
    <r>
      <rPr>
        <sz val="9"/>
        <color rgb="FF000000"/>
        <rFont val="楷体"/>
        <charset val="134"/>
      </rPr>
      <t>建峖</t>
    </r>
    <r>
      <rPr>
        <sz val="9"/>
        <color rgb="FF000000"/>
        <rFont val="Arial"/>
        <charset val="134"/>
      </rPr>
      <t>,</t>
    </r>
    <r>
      <rPr>
        <sz val="9"/>
        <color rgb="FF000000"/>
        <rFont val="楷体"/>
        <charset val="134"/>
      </rPr>
      <t>中国电信</t>
    </r>
    <r>
      <rPr>
        <sz val="9"/>
        <color rgb="FF000000"/>
        <rFont val="Arial"/>
        <charset val="134"/>
      </rPr>
      <t>,</t>
    </r>
    <r>
      <rPr>
        <sz val="9"/>
        <color rgb="FF000000"/>
        <rFont val="楷体"/>
        <charset val="134"/>
      </rPr>
      <t>葛卫东</t>
    </r>
  </si>
  <si>
    <r>
      <t>28.78</t>
    </r>
    <r>
      <rPr>
        <sz val="9"/>
        <color rgb="FF000000"/>
        <rFont val="楷体"/>
        <charset val="134"/>
      </rPr>
      <t>亿</t>
    </r>
  </si>
  <si>
    <r>
      <t>66.65</t>
    </r>
    <r>
      <rPr>
        <sz val="9"/>
        <color rgb="FF000000"/>
        <rFont val="楷体"/>
        <charset val="134"/>
      </rPr>
      <t>亿元</t>
    </r>
  </si>
  <si>
    <r>
      <t>10.5</t>
    </r>
    <r>
      <rPr>
        <sz val="9"/>
        <color rgb="FF000000"/>
        <rFont val="楷体"/>
        <charset val="134"/>
      </rPr>
      <t>亿人民币</t>
    </r>
  </si>
  <si>
    <r>
      <t>4500</t>
    </r>
    <r>
      <rPr>
        <sz val="9"/>
        <color rgb="FF000000"/>
        <rFont val="楷体"/>
        <charset val="134"/>
      </rPr>
      <t>万人民币</t>
    </r>
  </si>
  <si>
    <r>
      <rPr>
        <sz val="9"/>
        <color rgb="FF000000"/>
        <rFont val="楷体"/>
        <charset val="134"/>
      </rPr>
      <t>毅达资本</t>
    </r>
  </si>
  <si>
    <r>
      <rPr>
        <sz val="9"/>
        <color rgb="FF000000"/>
        <rFont val="楷体"/>
        <charset val="134"/>
      </rPr>
      <t>天堂硅谷</t>
    </r>
  </si>
  <si>
    <r>
      <t>Lyft</t>
    </r>
    <r>
      <rPr>
        <sz val="9"/>
        <color rgb="FF000000"/>
        <rFont val="楷体"/>
        <charset val="134"/>
      </rPr>
      <t>成立于</t>
    </r>
    <r>
      <rPr>
        <sz val="9"/>
        <color rgb="FF000000"/>
        <rFont val="Arial"/>
        <charset val="134"/>
      </rPr>
      <t>2007</t>
    </r>
    <r>
      <rPr>
        <sz val="9"/>
        <color rgb="FF000000"/>
        <rFont val="楷体"/>
        <charset val="134"/>
      </rPr>
      <t>年，是一家美国打车服务平台，并提供打车中的拼车服务模式，用户打开手机</t>
    </r>
    <r>
      <rPr>
        <sz val="9"/>
        <color rgb="FF000000"/>
        <rFont val="Arial"/>
        <charset val="134"/>
      </rPr>
      <t>APP</t>
    </r>
    <r>
      <rPr>
        <sz val="9"/>
        <color rgb="FF000000"/>
        <rFont val="楷体"/>
        <charset val="134"/>
      </rPr>
      <t>，即可打车；车主注册成为该公司的司机后，即可打开手机</t>
    </r>
    <r>
      <rPr>
        <sz val="9"/>
        <color rgb="FF000000"/>
        <rFont val="Arial"/>
        <charset val="134"/>
      </rPr>
      <t>APP</t>
    </r>
    <r>
      <rPr>
        <sz val="9"/>
        <color rgb="FF000000"/>
        <rFont val="楷体"/>
        <charset val="134"/>
      </rPr>
      <t>端乘载用户，平台从司机赚取的费用中抽取佣金。同时公司还为汽车制造商开发自动驾驶系统。</t>
    </r>
  </si>
  <si>
    <r>
      <t>23</t>
    </r>
    <r>
      <rPr>
        <sz val="9"/>
        <color rgb="FF000000"/>
        <rFont val="楷体"/>
        <charset val="134"/>
      </rPr>
      <t>亿美元</t>
    </r>
  </si>
  <si>
    <r>
      <t>451.83</t>
    </r>
    <r>
      <rPr>
        <sz val="9"/>
        <color rgb="FF000000"/>
        <rFont val="楷体"/>
        <charset val="134"/>
      </rPr>
      <t>亿</t>
    </r>
  </si>
  <si>
    <r>
      <t>1787.5</t>
    </r>
    <r>
      <rPr>
        <sz val="9"/>
        <color rgb="FF000000"/>
        <rFont val="楷体"/>
        <charset val="134"/>
      </rPr>
      <t>亿元</t>
    </r>
  </si>
  <si>
    <r>
      <t>CapitalG</t>
    </r>
    <r>
      <rPr>
        <sz val="9"/>
        <color rgb="FF000000"/>
        <rFont val="楷体"/>
        <charset val="134"/>
      </rPr>
      <t>谷歌资本</t>
    </r>
  </si>
  <si>
    <r>
      <rPr>
        <sz val="9"/>
        <color rgb="FF000000"/>
        <rFont val="楷体"/>
        <charset val="134"/>
      </rPr>
      <t>捷豹路虎</t>
    </r>
  </si>
  <si>
    <r>
      <t>600</t>
    </r>
    <r>
      <rPr>
        <sz val="9"/>
        <color rgb="FF000000"/>
        <rFont val="楷体"/>
        <charset val="134"/>
      </rPr>
      <t>万美元</t>
    </r>
  </si>
  <si>
    <r>
      <t>30</t>
    </r>
    <r>
      <rPr>
        <sz val="9"/>
        <color rgb="FF000000"/>
        <rFont val="楷体"/>
        <charset val="134"/>
      </rPr>
      <t>万美元</t>
    </r>
  </si>
  <si>
    <r>
      <t>Tango</t>
    </r>
    <r>
      <rPr>
        <sz val="9"/>
        <color rgb="FF000000"/>
        <rFont val="楷体"/>
        <charset val="134"/>
      </rPr>
      <t>成立于</t>
    </r>
    <r>
      <rPr>
        <sz val="9"/>
        <color rgb="FF000000"/>
        <rFont val="Arial"/>
        <charset val="134"/>
      </rPr>
      <t>2009</t>
    </r>
    <r>
      <rPr>
        <sz val="9"/>
        <color rgb="FF000000"/>
        <rFont val="楷体"/>
        <charset val="134"/>
      </rPr>
      <t>年，是一个手机上的移动社交应用，主打美国、西欧、中东和东南亚部分地区，全球注册用户超过</t>
    </r>
    <r>
      <rPr>
        <sz val="9"/>
        <color rgb="FF000000"/>
        <rFont val="Arial"/>
        <charset val="134"/>
      </rPr>
      <t>2</t>
    </r>
    <r>
      <rPr>
        <sz val="9"/>
        <color rgb="FF000000"/>
        <rFont val="楷体"/>
        <charset val="134"/>
      </rPr>
      <t>亿人，月活跃用户</t>
    </r>
    <r>
      <rPr>
        <sz val="9"/>
        <color rgb="FF000000"/>
        <rFont val="Arial"/>
        <charset val="134"/>
      </rPr>
      <t>7000</t>
    </r>
    <r>
      <rPr>
        <sz val="9"/>
        <color rgb="FF000000"/>
        <rFont val="楷体"/>
        <charset val="134"/>
      </rPr>
      <t>万。</t>
    </r>
  </si>
  <si>
    <r>
      <rPr>
        <sz val="9"/>
        <color rgb="FF000000"/>
        <rFont val="楷体"/>
        <charset val="134"/>
      </rPr>
      <t>综合社交</t>
    </r>
  </si>
  <si>
    <r>
      <t>2.8</t>
    </r>
    <r>
      <rPr>
        <sz val="9"/>
        <color rgb="FF000000"/>
        <rFont val="楷体"/>
        <charset val="134"/>
      </rPr>
      <t>亿美元</t>
    </r>
  </si>
  <si>
    <r>
      <t>23.54</t>
    </r>
    <r>
      <rPr>
        <sz val="9"/>
        <color rgb="FF000000"/>
        <rFont val="楷体"/>
        <charset val="134"/>
      </rPr>
      <t>亿</t>
    </r>
  </si>
  <si>
    <r>
      <t>71.5</t>
    </r>
    <r>
      <rPr>
        <sz val="9"/>
        <color rgb="FF000000"/>
        <rFont val="楷体"/>
        <charset val="134"/>
      </rPr>
      <t>亿元</t>
    </r>
  </si>
  <si>
    <r>
      <t>4200</t>
    </r>
    <r>
      <rPr>
        <sz val="9"/>
        <color rgb="FF000000"/>
        <rFont val="楷体"/>
        <charset val="134"/>
      </rPr>
      <t>万美元</t>
    </r>
  </si>
  <si>
    <r>
      <t>50</t>
    </r>
    <r>
      <rPr>
        <sz val="9"/>
        <color rgb="FF000000"/>
        <rFont val="楷体"/>
        <charset val="134"/>
      </rPr>
      <t>万人民币</t>
    </r>
  </si>
  <si>
    <r>
      <t>KTplay</t>
    </r>
    <r>
      <rPr>
        <sz val="9"/>
        <color rgb="FF000000"/>
        <rFont val="楷体"/>
        <charset val="134"/>
      </rPr>
      <t>盟游网络科技</t>
    </r>
  </si>
  <si>
    <r>
      <t>KTplay</t>
    </r>
    <r>
      <rPr>
        <sz val="9"/>
        <color rgb="FF000000"/>
        <rFont val="楷体"/>
        <charset val="134"/>
      </rPr>
      <t>盟游网络科技</t>
    </r>
  </si>
  <si>
    <r>
      <t>KTplay</t>
    </r>
    <r>
      <rPr>
        <sz val="9"/>
        <color rgb="FF000000"/>
        <rFont val="楷体"/>
        <charset val="134"/>
      </rPr>
      <t>是一个游戏社交引擎，能让你的游戏迅速变身为一款社交化游戏，让你实时在线地管理游戏、与用户互动，并且帮你增加营收。北京盟游网络科技有限公司旗下产品。</t>
    </r>
  </si>
  <si>
    <r>
      <rPr>
        <sz val="9"/>
        <color rgb="FF000000"/>
        <rFont val="楷体"/>
        <charset val="134"/>
      </rPr>
      <t>北京盟游网络科技有限公司</t>
    </r>
  </si>
  <si>
    <r>
      <rPr>
        <sz val="9"/>
        <color rgb="FF000000"/>
        <rFont val="楷体"/>
        <charset val="134"/>
      </rPr>
      <t>其他游戏服务</t>
    </r>
  </si>
  <si>
    <r>
      <t>300</t>
    </r>
    <r>
      <rPr>
        <sz val="9"/>
        <color rgb="FF000000"/>
        <rFont val="楷体"/>
        <charset val="134"/>
      </rPr>
      <t>万</t>
    </r>
  </si>
  <si>
    <r>
      <t>1500</t>
    </r>
    <r>
      <rPr>
        <sz val="9"/>
        <color rgb="FF000000"/>
        <rFont val="楷体"/>
        <charset val="134"/>
      </rPr>
      <t>万元</t>
    </r>
  </si>
  <si>
    <r>
      <t>UC</t>
    </r>
    <r>
      <rPr>
        <sz val="9"/>
        <color rgb="FF000000"/>
        <rFont val="楷体"/>
        <charset val="134"/>
      </rPr>
      <t>优视科技</t>
    </r>
  </si>
  <si>
    <r>
      <t>UC</t>
    </r>
    <r>
      <rPr>
        <sz val="9"/>
        <color rgb="FF000000"/>
        <rFont val="楷体"/>
        <charset val="134"/>
      </rPr>
      <t>优视科技</t>
    </r>
  </si>
  <si>
    <r>
      <t>UC</t>
    </r>
    <r>
      <rPr>
        <sz val="9"/>
        <color rgb="FF000000"/>
        <rFont val="楷体"/>
        <charset val="134"/>
      </rPr>
      <t>优视是一家移动互联网公司，旗下有</t>
    </r>
    <r>
      <rPr>
        <sz val="9"/>
        <color rgb="FF000000"/>
        <rFont val="Arial"/>
        <charset val="134"/>
      </rPr>
      <t>UC</t>
    </r>
    <r>
      <rPr>
        <sz val="9"/>
        <color rgb="FF000000"/>
        <rFont val="楷体"/>
        <charset val="134"/>
      </rPr>
      <t>浏览器、九游、</t>
    </r>
    <r>
      <rPr>
        <sz val="9"/>
        <color rgb="FF000000"/>
        <rFont val="Arial"/>
        <charset val="134"/>
      </rPr>
      <t>UC</t>
    </r>
    <r>
      <rPr>
        <sz val="9"/>
        <color rgb="FF000000"/>
        <rFont val="楷体"/>
        <charset val="134"/>
      </rPr>
      <t>云等产品，隶属于广州市动景计算机科技有限公司。</t>
    </r>
  </si>
  <si>
    <r>
      <rPr>
        <sz val="9"/>
        <color rgb="FF000000"/>
        <rFont val="楷体"/>
        <charset val="134"/>
      </rPr>
      <t>广州市动景计算机科技有限公司</t>
    </r>
  </si>
  <si>
    <r>
      <rPr>
        <sz val="9"/>
        <color rgb="FF000000"/>
        <rFont val="楷体"/>
        <charset val="134"/>
      </rPr>
      <t>综合工具服务</t>
    </r>
  </si>
  <si>
    <r>
      <t>50.67</t>
    </r>
    <r>
      <rPr>
        <sz val="9"/>
        <color rgb="FF000000"/>
        <rFont val="楷体"/>
        <charset val="134"/>
      </rPr>
      <t>亿</t>
    </r>
  </si>
  <si>
    <r>
      <t>5.06</t>
    </r>
    <r>
      <rPr>
        <sz val="9"/>
        <color rgb="FF000000"/>
        <rFont val="楷体"/>
        <charset val="134"/>
      </rPr>
      <t>亿美元</t>
    </r>
  </si>
  <si>
    <r>
      <t>GGV</t>
    </r>
    <r>
      <rPr>
        <sz val="9"/>
        <color rgb="FF000000"/>
        <rFont val="楷体"/>
        <charset val="134"/>
      </rPr>
      <t>纪源资本</t>
    </r>
  </si>
  <si>
    <r>
      <rPr>
        <sz val="9"/>
        <color rgb="FF000000"/>
        <rFont val="楷体"/>
        <charset val="134"/>
      </rPr>
      <t>诺基亚成长基金</t>
    </r>
  </si>
  <si>
    <r>
      <rPr>
        <sz val="9"/>
        <color rgb="FF000000"/>
        <rFont val="楷体"/>
        <charset val="134"/>
      </rPr>
      <t>优酷</t>
    </r>
  </si>
  <si>
    <r>
      <rPr>
        <sz val="9"/>
        <color rgb="FF000000"/>
        <rFont val="楷体"/>
        <charset val="134"/>
      </rPr>
      <t>优酷</t>
    </r>
  </si>
  <si>
    <r>
      <rPr>
        <sz val="9"/>
        <color rgb="FF000000"/>
        <rFont val="楷体"/>
        <charset val="134"/>
      </rPr>
      <t>优酷信息技术（北京）有限公司</t>
    </r>
  </si>
  <si>
    <r>
      <t>46.7</t>
    </r>
    <r>
      <rPr>
        <sz val="9"/>
        <color rgb="FF000000"/>
        <rFont val="楷体"/>
        <charset val="134"/>
      </rPr>
      <t>亿美元</t>
    </r>
  </si>
  <si>
    <r>
      <t>411.45</t>
    </r>
    <r>
      <rPr>
        <sz val="9"/>
        <color rgb="FF000000"/>
        <rFont val="楷体"/>
        <charset val="134"/>
      </rPr>
      <t>亿</t>
    </r>
  </si>
  <si>
    <r>
      <t>1517.75</t>
    </r>
    <r>
      <rPr>
        <sz val="9"/>
        <color rgb="FF000000"/>
        <rFont val="楷体"/>
        <charset val="134"/>
      </rPr>
      <t>亿元</t>
    </r>
  </si>
  <si>
    <r>
      <t>12.2</t>
    </r>
    <r>
      <rPr>
        <sz val="9"/>
        <color rgb="FF000000"/>
        <rFont val="楷体"/>
        <charset val="134"/>
      </rPr>
      <t>亿美元</t>
    </r>
  </si>
  <si>
    <r>
      <rPr>
        <sz val="9"/>
        <color rgb="FF000000"/>
        <rFont val="楷体"/>
        <charset val="134"/>
      </rPr>
      <t>土豆网</t>
    </r>
  </si>
  <si>
    <r>
      <t>Farfetch</t>
    </r>
    <r>
      <rPr>
        <sz val="9"/>
        <color rgb="FF000000"/>
        <rFont val="楷体"/>
        <charset val="134"/>
      </rPr>
      <t>是一家英国奢侈品电商平台，消费者可以在</t>
    </r>
    <r>
      <rPr>
        <sz val="9"/>
        <color rgb="FF000000"/>
        <rFont val="Arial"/>
        <charset val="134"/>
      </rPr>
      <t>Farfetch</t>
    </r>
    <r>
      <rPr>
        <sz val="9"/>
        <color rgb="FF000000"/>
        <rFont val="楷体"/>
        <charset val="134"/>
      </rPr>
      <t>的手机</t>
    </r>
    <r>
      <rPr>
        <sz val="9"/>
        <color rgb="FF000000"/>
        <rFont val="Arial"/>
        <charset val="134"/>
      </rPr>
      <t>App</t>
    </r>
    <r>
      <rPr>
        <sz val="9"/>
        <color rgb="FF000000"/>
        <rFont val="楷体"/>
        <charset val="134"/>
      </rPr>
      <t>以及网站购买到</t>
    </r>
    <r>
      <rPr>
        <sz val="9"/>
        <color rgb="FF000000"/>
        <rFont val="Arial"/>
        <charset val="134"/>
      </rPr>
      <t>Gucci</t>
    </r>
    <r>
      <rPr>
        <sz val="9"/>
        <color rgb="FF000000"/>
        <rFont val="楷体"/>
        <charset val="134"/>
      </rPr>
      <t>的精选产品，一旦下单成功，</t>
    </r>
    <r>
      <rPr>
        <sz val="9"/>
        <color rgb="FF000000"/>
        <rFont val="Arial"/>
        <charset val="134"/>
      </rPr>
      <t>Farfetch</t>
    </r>
    <r>
      <rPr>
        <sz val="9"/>
        <color rgb="FF000000"/>
        <rFont val="楷体"/>
        <charset val="134"/>
      </rPr>
      <t>会从伦敦、纽约、迪拜、洛杉矶、马德里等的实体店调货，并在</t>
    </r>
    <r>
      <rPr>
        <sz val="9"/>
        <color rgb="FF000000"/>
        <rFont val="Arial"/>
        <charset val="134"/>
      </rPr>
      <t>90</t>
    </r>
    <r>
      <rPr>
        <sz val="9"/>
        <color rgb="FF000000"/>
        <rFont val="楷体"/>
        <charset val="134"/>
      </rPr>
      <t>分钟内送到家门口。</t>
    </r>
  </si>
  <si>
    <r>
      <t>6.5</t>
    </r>
    <r>
      <rPr>
        <sz val="9"/>
        <color rgb="FF000000"/>
        <rFont val="楷体"/>
        <charset val="134"/>
      </rPr>
      <t>亿美元</t>
    </r>
  </si>
  <si>
    <r>
      <t>170.42</t>
    </r>
    <r>
      <rPr>
        <sz val="9"/>
        <color rgb="FF000000"/>
        <rFont val="楷体"/>
        <charset val="134"/>
      </rPr>
      <t>亿</t>
    </r>
  </si>
  <si>
    <r>
      <t>211.25</t>
    </r>
    <r>
      <rPr>
        <sz val="9"/>
        <color rgb="FF000000"/>
        <rFont val="楷体"/>
        <charset val="134"/>
      </rPr>
      <t>亿元</t>
    </r>
  </si>
  <si>
    <r>
      <t>8.85</t>
    </r>
    <r>
      <rPr>
        <sz val="9"/>
        <color rgb="FF000000"/>
        <rFont val="楷体"/>
        <charset val="134"/>
      </rPr>
      <t>亿美元</t>
    </r>
  </si>
  <si>
    <r>
      <rPr>
        <sz val="9"/>
        <color rgb="FF000000"/>
        <rFont val="楷体"/>
        <charset val="134"/>
      </rPr>
      <t>未透露英镑</t>
    </r>
  </si>
  <si>
    <r>
      <t>3.97</t>
    </r>
    <r>
      <rPr>
        <sz val="9"/>
        <color rgb="FF000000"/>
        <rFont val="楷体"/>
        <charset val="134"/>
      </rPr>
      <t>亿美元</t>
    </r>
  </si>
  <si>
    <r>
      <rPr>
        <sz val="9"/>
        <color rgb="FF000000"/>
        <rFont val="楷体"/>
        <charset val="134"/>
      </rPr>
      <t>京东</t>
    </r>
  </si>
  <si>
    <r>
      <t>1.1</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</si>
  <si>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黄浦江资本</t>
    </r>
    <r>
      <rPr>
        <sz val="9"/>
        <color rgb="FF000000"/>
        <rFont val="Arial"/>
        <charset val="134"/>
      </rPr>
      <t>,Eurazeo,Vitruvian Partners</t>
    </r>
    <r>
      <rPr>
        <sz val="9"/>
        <color rgb="FF000000"/>
        <rFont val="楷体"/>
        <charset val="134"/>
      </rPr>
      <t>维恩资本</t>
    </r>
  </si>
  <si>
    <r>
      <t>8600</t>
    </r>
    <r>
      <rPr>
        <sz val="9"/>
        <color rgb="FF000000"/>
        <rFont val="楷体"/>
        <charset val="134"/>
      </rPr>
      <t>万美元</t>
    </r>
  </si>
  <si>
    <r>
      <t>6600</t>
    </r>
    <r>
      <rPr>
        <sz val="9"/>
        <color rgb="FF000000"/>
        <rFont val="楷体"/>
        <charset val="134"/>
      </rPr>
      <t>万美元</t>
    </r>
  </si>
  <si>
    <r>
      <t>Vitruvian Partners</t>
    </r>
    <r>
      <rPr>
        <sz val="9"/>
        <color rgb="FF000000"/>
        <rFont val="楷体"/>
        <charset val="134"/>
      </rPr>
      <t>维恩资本</t>
    </r>
  </si>
  <si>
    <r>
      <t>1800</t>
    </r>
    <r>
      <rPr>
        <sz val="9"/>
        <color rgb="FF000000"/>
        <rFont val="楷体"/>
        <charset val="134"/>
      </rPr>
      <t>万美元</t>
    </r>
  </si>
  <si>
    <r>
      <rPr>
        <sz val="9"/>
        <color rgb="FF000000"/>
        <rFont val="楷体"/>
        <charset val="134"/>
      </rPr>
      <t>安宏资本</t>
    </r>
  </si>
  <si>
    <r>
      <rPr>
        <sz val="9"/>
        <color rgb="FF000000"/>
        <rFont val="楷体"/>
        <charset val="134"/>
      </rPr>
      <t>酷飞在线</t>
    </r>
  </si>
  <si>
    <r>
      <rPr>
        <sz val="9"/>
        <color rgb="FF000000"/>
        <rFont val="楷体"/>
        <charset val="134"/>
      </rPr>
      <t>酷飞在线</t>
    </r>
  </si>
  <si>
    <r>
      <rPr>
        <sz val="9"/>
        <color rgb="FF000000"/>
        <rFont val="楷体"/>
        <charset val="134"/>
      </rPr>
      <t>酷飞在线信息科技南京有限公司</t>
    </r>
  </si>
  <si>
    <r>
      <rPr>
        <sz val="9"/>
        <color rgb="FF000000"/>
        <rFont val="楷体"/>
        <charset val="134"/>
      </rPr>
      <t>交通食宿</t>
    </r>
  </si>
  <si>
    <r>
      <t>ASLAN</t>
    </r>
    <r>
      <rPr>
        <sz val="9"/>
        <color rgb="FF000000"/>
        <rFont val="楷体"/>
        <charset val="134"/>
      </rPr>
      <t>阿斯兰</t>
    </r>
  </si>
  <si>
    <r>
      <t>ASLAN</t>
    </r>
    <r>
      <rPr>
        <sz val="9"/>
        <color rgb="FF000000"/>
        <rFont val="楷体"/>
        <charset val="134"/>
      </rPr>
      <t>阿斯兰</t>
    </r>
  </si>
  <si>
    <r>
      <t>ASLAN</t>
    </r>
    <r>
      <rPr>
        <sz val="9"/>
        <color rgb="FF000000"/>
        <rFont val="楷体"/>
        <charset val="134"/>
      </rPr>
      <t>阿斯兰是一家全球机票</t>
    </r>
    <r>
      <rPr>
        <sz val="9"/>
        <color rgb="FF000000"/>
        <rFont val="Arial"/>
        <charset val="134"/>
      </rPr>
      <t>B2B</t>
    </r>
    <r>
      <rPr>
        <sz val="9"/>
        <color rgb="FF000000"/>
        <rFont val="楷体"/>
        <charset val="134"/>
      </rPr>
      <t>服务平台，主打国际机票在线查询和预订服务，隶属于上海阿斯兰商旅服务有限公司。</t>
    </r>
  </si>
  <si>
    <r>
      <rPr>
        <sz val="9"/>
        <color rgb="FF000000"/>
        <rFont val="楷体"/>
        <charset val="134"/>
      </rPr>
      <t>上海阿斯兰商旅服务有限公司</t>
    </r>
  </si>
  <si>
    <r>
      <t>2000</t>
    </r>
    <r>
      <rPr>
        <sz val="9"/>
        <color rgb="FF000000"/>
        <rFont val="楷体"/>
        <charset val="134"/>
      </rPr>
      <t>万人民币</t>
    </r>
  </si>
  <si>
    <r>
      <rPr>
        <sz val="9"/>
        <color rgb="FF000000"/>
        <rFont val="楷体"/>
        <charset val="134"/>
      </rPr>
      <t>金银岛</t>
    </r>
  </si>
  <si>
    <r>
      <rPr>
        <sz val="9"/>
        <color rgb="FF000000"/>
        <rFont val="楷体"/>
        <charset val="134"/>
      </rPr>
      <t>金银岛</t>
    </r>
  </si>
  <si>
    <r>
      <rPr>
        <sz val="9"/>
        <color rgb="FF000000"/>
        <rFont val="楷体"/>
        <charset val="134"/>
      </rPr>
      <t>金银岛（宁夏）网络科技股份有限公司</t>
    </r>
  </si>
  <si>
    <r>
      <rPr>
        <sz val="9"/>
        <color rgb="FF000000"/>
        <rFont val="楷体"/>
        <charset val="134"/>
      </rPr>
      <t>大宗商品</t>
    </r>
  </si>
  <si>
    <r>
      <t>9</t>
    </r>
    <r>
      <rPr>
        <sz val="9"/>
        <color rgb="FF000000"/>
        <rFont val="楷体"/>
        <charset val="134"/>
      </rPr>
      <t>亿</t>
    </r>
  </si>
  <si>
    <r>
      <t>66.6</t>
    </r>
    <r>
      <rPr>
        <sz val="9"/>
        <color rgb="FF000000"/>
        <rFont val="楷体"/>
        <charset val="134"/>
      </rPr>
      <t>亿元</t>
    </r>
  </si>
  <si>
    <r>
      <rPr>
        <sz val="9"/>
        <color rgb="FF000000"/>
        <rFont val="楷体"/>
        <charset val="134"/>
      </rPr>
      <t>达晨财智</t>
    </r>
  </si>
  <si>
    <r>
      <rPr>
        <sz val="9"/>
        <color rgb="FF000000"/>
        <rFont val="楷体"/>
        <charset val="134"/>
      </rPr>
      <t>妈妈值得买</t>
    </r>
  </si>
  <si>
    <r>
      <rPr>
        <sz val="9"/>
        <color rgb="FF000000"/>
        <rFont val="楷体"/>
        <charset val="134"/>
      </rPr>
      <t>妈妈值得买</t>
    </r>
  </si>
  <si>
    <r>
      <rPr>
        <sz val="9"/>
        <color rgb="FF000000"/>
        <rFont val="楷体"/>
        <charset val="134"/>
      </rPr>
      <t>北京星宝时尚科技有限公司</t>
    </r>
  </si>
  <si>
    <r>
      <rPr>
        <sz val="9"/>
        <color rgb="FF000000"/>
        <rFont val="楷体"/>
        <charset val="134"/>
      </rPr>
      <t>母婴用品</t>
    </r>
  </si>
  <si>
    <r>
      <t>1300</t>
    </r>
    <r>
      <rPr>
        <sz val="9"/>
        <color rgb="FF000000"/>
        <rFont val="楷体"/>
        <charset val="134"/>
      </rPr>
      <t>万</t>
    </r>
  </si>
  <si>
    <r>
      <rPr>
        <sz val="9"/>
        <color rgb="FF000000"/>
        <rFont val="楷体"/>
        <charset val="134"/>
      </rPr>
      <t>第一财经</t>
    </r>
  </si>
  <si>
    <r>
      <rPr>
        <sz val="9"/>
        <color rgb="FF000000"/>
        <rFont val="楷体"/>
        <charset val="134"/>
      </rPr>
      <t>第一财经</t>
    </r>
  </si>
  <si>
    <r>
      <rPr>
        <sz val="9"/>
        <color rgb="FF000000"/>
        <rFont val="楷体"/>
        <charset val="134"/>
      </rPr>
      <t>上海第一财经报业有限公司</t>
    </r>
  </si>
  <si>
    <r>
      <t>12</t>
    </r>
    <r>
      <rPr>
        <sz val="9"/>
        <color rgb="FF000000"/>
        <rFont val="楷体"/>
        <charset val="134"/>
      </rPr>
      <t>亿人民币</t>
    </r>
  </si>
  <si>
    <r>
      <t>15</t>
    </r>
    <r>
      <rPr>
        <sz val="9"/>
        <color rgb="FF000000"/>
        <rFont val="楷体"/>
        <charset val="134"/>
      </rPr>
      <t>亿</t>
    </r>
  </si>
  <si>
    <r>
      <t>60</t>
    </r>
    <r>
      <rPr>
        <sz val="9"/>
        <color rgb="FF000000"/>
        <rFont val="楷体"/>
        <charset val="134"/>
      </rPr>
      <t>亿元</t>
    </r>
  </si>
  <si>
    <r>
      <t xml:space="preserve">Snapdeal </t>
    </r>
    <r>
      <rPr>
        <sz val="9"/>
        <color rgb="FF000000"/>
        <rFont val="楷体"/>
        <charset val="134"/>
      </rPr>
      <t>成立于</t>
    </r>
    <r>
      <rPr>
        <sz val="9"/>
        <color rgb="FF000000"/>
        <rFont val="Arial"/>
        <charset val="134"/>
      </rPr>
      <t>2010</t>
    </r>
    <r>
      <rPr>
        <sz val="9"/>
        <color rgb="FF000000"/>
        <rFont val="楷体"/>
        <charset val="134"/>
      </rPr>
      <t>年，是一家来自印度的电子商务网站。</t>
    </r>
  </si>
  <si>
    <r>
      <t>117.05</t>
    </r>
    <r>
      <rPr>
        <sz val="9"/>
        <color rgb="FF000000"/>
        <rFont val="楷体"/>
        <charset val="134"/>
      </rPr>
      <t>亿</t>
    </r>
  </si>
  <si>
    <r>
      <t>455</t>
    </r>
    <r>
      <rPr>
        <sz val="9"/>
        <color rgb="FF000000"/>
        <rFont val="楷体"/>
        <charset val="134"/>
      </rPr>
      <t>亿元</t>
    </r>
  </si>
  <si>
    <r>
      <t>1700</t>
    </r>
    <r>
      <rPr>
        <sz val="9"/>
        <color rgb="FF000000"/>
        <rFont val="楷体"/>
        <charset val="134"/>
      </rPr>
      <t>万美元</t>
    </r>
  </si>
  <si>
    <r>
      <t>2100</t>
    </r>
    <r>
      <rPr>
        <sz val="9"/>
        <color rgb="FF000000"/>
        <rFont val="楷体"/>
        <charset val="134"/>
      </rPr>
      <t>万美元</t>
    </r>
  </si>
  <si>
    <r>
      <t>6.27</t>
    </r>
    <r>
      <rPr>
        <sz val="9"/>
        <color rgb="FF000000"/>
        <rFont val="楷体"/>
        <charset val="134"/>
      </rPr>
      <t>亿美元</t>
    </r>
  </si>
  <si>
    <r>
      <t>1.34</t>
    </r>
    <r>
      <rPr>
        <sz val="9"/>
        <color rgb="FF000000"/>
        <rFont val="楷体"/>
        <charset val="134"/>
      </rPr>
      <t>亿美元</t>
    </r>
  </si>
  <si>
    <r>
      <rPr>
        <sz val="9"/>
        <color rgb="FF000000"/>
        <rFont val="楷体"/>
        <charset val="134"/>
      </rPr>
      <t>河狸家</t>
    </r>
  </si>
  <si>
    <r>
      <rPr>
        <sz val="9"/>
        <color rgb="FF000000"/>
        <rFont val="楷体"/>
        <charset val="134"/>
      </rPr>
      <t>北京河狸家信息技术有限公司</t>
    </r>
  </si>
  <si>
    <r>
      <t>IDG</t>
    </r>
    <r>
      <rPr>
        <sz val="9"/>
        <color rgb="FF000000"/>
        <rFont val="楷体"/>
        <charset val="134"/>
      </rPr>
      <t>资本</t>
    </r>
    <r>
      <rPr>
        <sz val="9"/>
        <color rgb="FF000000"/>
        <rFont val="Arial"/>
        <charset val="134"/>
      </rPr>
      <t>,</t>
    </r>
    <r>
      <rPr>
        <sz val="9"/>
        <color rgb="FF000000"/>
        <rFont val="楷体"/>
        <charset val="134"/>
      </rPr>
      <t>益鼎创投</t>
    </r>
  </si>
  <si>
    <r>
      <t>IDG</t>
    </r>
    <r>
      <rPr>
        <sz val="9"/>
        <color rgb="FF000000"/>
        <rFont val="楷体"/>
        <charset val="134"/>
      </rPr>
      <t>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宽带资本</t>
    </r>
    <r>
      <rPr>
        <sz val="9"/>
        <color rgb="FF000000"/>
        <rFont val="Arial"/>
        <charset val="134"/>
      </rPr>
      <t>CBC,</t>
    </r>
    <r>
      <rPr>
        <sz val="9"/>
        <color rgb="FF000000"/>
        <rFont val="楷体"/>
        <charset val="134"/>
      </rPr>
      <t>光信资本</t>
    </r>
    <r>
      <rPr>
        <sz val="9"/>
        <color rgb="FF000000"/>
        <rFont val="Arial"/>
        <charset val="134"/>
      </rPr>
      <t>,</t>
    </r>
    <r>
      <rPr>
        <sz val="9"/>
        <color rgb="FF000000"/>
        <rFont val="楷体"/>
        <charset val="134"/>
      </rPr>
      <t>麦星投资</t>
    </r>
  </si>
  <si>
    <r>
      <t>IDG</t>
    </r>
    <r>
      <rPr>
        <sz val="9"/>
        <color rgb="FF000000"/>
        <rFont val="楷体"/>
        <charset val="134"/>
      </rPr>
      <t>资本</t>
    </r>
    <r>
      <rPr>
        <sz val="9"/>
        <color rgb="FF000000"/>
        <rFont val="Arial"/>
        <charset val="134"/>
      </rPr>
      <t>,</t>
    </r>
    <r>
      <rPr>
        <sz val="9"/>
        <color rgb="FF000000"/>
        <rFont val="楷体"/>
        <charset val="134"/>
      </rPr>
      <t>宽带资本</t>
    </r>
    <r>
      <rPr>
        <sz val="9"/>
        <color rgb="FF000000"/>
        <rFont val="Arial"/>
        <charset val="134"/>
      </rPr>
      <t>CBC</t>
    </r>
  </si>
  <si>
    <r>
      <rPr>
        <sz val="9"/>
        <color rgb="FF000000"/>
        <rFont val="楷体"/>
        <charset val="134"/>
      </rPr>
      <t>华数传媒</t>
    </r>
  </si>
  <si>
    <r>
      <rPr>
        <sz val="9"/>
        <color rgb="FF000000"/>
        <rFont val="楷体"/>
        <charset val="134"/>
      </rPr>
      <t>华数传媒</t>
    </r>
  </si>
  <si>
    <r>
      <rPr>
        <sz val="9"/>
        <color rgb="FF000000"/>
        <rFont val="楷体"/>
        <charset val="134"/>
      </rPr>
      <t>华数传媒控股股份有限公司</t>
    </r>
  </si>
  <si>
    <r>
      <rPr>
        <sz val="9"/>
        <color rgb="FF000000"/>
        <rFont val="楷体"/>
        <charset val="134"/>
      </rPr>
      <t>综合文娱</t>
    </r>
  </si>
  <si>
    <r>
      <t>65.36</t>
    </r>
    <r>
      <rPr>
        <sz val="9"/>
        <color rgb="FF000000"/>
        <rFont val="楷体"/>
        <charset val="134"/>
      </rPr>
      <t>亿人民币</t>
    </r>
  </si>
  <si>
    <r>
      <t>68.59</t>
    </r>
    <r>
      <rPr>
        <sz val="9"/>
        <color rgb="FF000000"/>
        <rFont val="楷体"/>
        <charset val="134"/>
      </rPr>
      <t>亿</t>
    </r>
  </si>
  <si>
    <r>
      <t>326.8</t>
    </r>
    <r>
      <rPr>
        <sz val="9"/>
        <color rgb="FF000000"/>
        <rFont val="楷体"/>
        <charset val="134"/>
      </rPr>
      <t>亿元</t>
    </r>
  </si>
  <si>
    <r>
      <t>3.23</t>
    </r>
    <r>
      <rPr>
        <sz val="9"/>
        <color rgb="FF000000"/>
        <rFont val="楷体"/>
        <charset val="134"/>
      </rPr>
      <t>亿人民币</t>
    </r>
  </si>
  <si>
    <r>
      <t>SingPost</t>
    </r>
    <r>
      <rPr>
        <sz val="9"/>
        <color rgb="FF000000"/>
        <rFont val="楷体"/>
        <charset val="134"/>
      </rPr>
      <t>新加坡邮政</t>
    </r>
  </si>
  <si>
    <r>
      <t>SingPost</t>
    </r>
    <r>
      <rPr>
        <sz val="9"/>
        <color rgb="FF000000"/>
        <rFont val="楷体"/>
        <charset val="134"/>
      </rPr>
      <t>新加坡邮政</t>
    </r>
  </si>
  <si>
    <r>
      <t>SingPost/</t>
    </r>
    <r>
      <rPr>
        <sz val="9"/>
        <color rgb="FF000000"/>
        <rFont val="楷体"/>
        <charset val="134"/>
      </rPr>
      <t>新加坡邮政是新加坡国家邮政服务供应商之一，</t>
    </r>
    <r>
      <rPr>
        <sz val="9"/>
        <color rgb="FF000000"/>
        <rFont val="Arial"/>
        <charset val="134"/>
      </rPr>
      <t xml:space="preserve"> </t>
    </r>
    <r>
      <rPr>
        <sz val="9"/>
        <color rgb="FF000000"/>
        <rFont val="楷体"/>
        <charset val="134"/>
      </rPr>
      <t>新加坡电信（英语：</t>
    </r>
    <r>
      <rPr>
        <sz val="9"/>
        <color rgb="FF000000"/>
        <rFont val="Arial"/>
        <charset val="134"/>
      </rPr>
      <t>SingTel</t>
    </r>
    <r>
      <rPr>
        <sz val="9"/>
        <color rgb="FF000000"/>
        <rFont val="楷体"/>
        <charset val="134"/>
      </rPr>
      <t>）公司旗下一个子公司。新加坡邮政公司不仅售卖邮票和提供递送邮件服务，也将提供金融相关的服务并开当铺，为公众提供典当服务。</t>
    </r>
  </si>
  <si>
    <r>
      <t>1.38</t>
    </r>
    <r>
      <rPr>
        <sz val="9"/>
        <color rgb="FF000000"/>
        <rFont val="楷体"/>
        <charset val="134"/>
      </rPr>
      <t>亿美元</t>
    </r>
  </si>
  <si>
    <r>
      <t>25.16</t>
    </r>
    <r>
      <rPr>
        <sz val="9"/>
        <color rgb="FF000000"/>
        <rFont val="楷体"/>
        <charset val="134"/>
      </rPr>
      <t>亿</t>
    </r>
  </si>
  <si>
    <r>
      <t>44.85</t>
    </r>
    <r>
      <rPr>
        <sz val="9"/>
        <color rgb="FF000000"/>
        <rFont val="楷体"/>
        <charset val="134"/>
      </rPr>
      <t>亿元</t>
    </r>
  </si>
  <si>
    <r>
      <t>2.49</t>
    </r>
    <r>
      <rPr>
        <sz val="9"/>
        <color rgb="FF000000"/>
        <rFont val="楷体"/>
        <charset val="134"/>
      </rPr>
      <t>亿美元</t>
    </r>
  </si>
  <si>
    <r>
      <rPr>
        <sz val="9"/>
        <color rgb="FF000000"/>
        <rFont val="楷体"/>
        <charset val="134"/>
      </rPr>
      <t>银泰商业集团</t>
    </r>
  </si>
  <si>
    <r>
      <rPr>
        <sz val="9"/>
        <color rgb="FF000000"/>
        <rFont val="楷体"/>
        <charset val="134"/>
      </rPr>
      <t>银泰商业集团</t>
    </r>
  </si>
  <si>
    <r>
      <rPr>
        <sz val="9"/>
        <color rgb="FF000000"/>
        <rFont val="楷体"/>
        <charset val="134"/>
      </rPr>
      <t>银泰商业（集团）有限公司</t>
    </r>
  </si>
  <si>
    <r>
      <t>53.7</t>
    </r>
    <r>
      <rPr>
        <sz val="9"/>
        <color rgb="FF000000"/>
        <rFont val="楷体"/>
        <charset val="134"/>
      </rPr>
      <t>亿港元</t>
    </r>
  </si>
  <si>
    <r>
      <t>42.96</t>
    </r>
    <r>
      <rPr>
        <sz val="9"/>
        <color rgb="FF000000"/>
        <rFont val="楷体"/>
        <charset val="134"/>
      </rPr>
      <t>亿</t>
    </r>
  </si>
  <si>
    <r>
      <t>214.8</t>
    </r>
    <r>
      <rPr>
        <sz val="9"/>
        <color rgb="FF000000"/>
        <rFont val="楷体"/>
        <charset val="134"/>
      </rPr>
      <t>亿元</t>
    </r>
  </si>
  <si>
    <r>
      <rPr>
        <sz val="9"/>
        <color rgb="FF000000"/>
        <rFont val="楷体"/>
        <charset val="134"/>
      </rPr>
      <t>恒大足球俱乐部</t>
    </r>
  </si>
  <si>
    <r>
      <rPr>
        <sz val="9"/>
        <color rgb="FF000000"/>
        <rFont val="楷体"/>
        <charset val="134"/>
      </rPr>
      <t>恒大足球俱乐部</t>
    </r>
  </si>
  <si>
    <r>
      <rPr>
        <sz val="9"/>
        <color rgb="FF000000"/>
        <rFont val="楷体"/>
        <charset val="134"/>
      </rPr>
      <t>广州足球俱乐部股份有限公司</t>
    </r>
  </si>
  <si>
    <r>
      <rPr>
        <sz val="9"/>
        <color rgb="FF000000"/>
        <rFont val="楷体"/>
        <charset val="134"/>
      </rPr>
      <t>体育运动</t>
    </r>
  </si>
  <si>
    <r>
      <rPr>
        <sz val="9"/>
        <color rgb="FF000000"/>
        <rFont val="楷体"/>
        <charset val="134"/>
      </rPr>
      <t>综合体育</t>
    </r>
  </si>
  <si>
    <r>
      <t>12</t>
    </r>
    <r>
      <rPr>
        <sz val="9"/>
        <color rgb="FF000000"/>
        <rFont val="楷体"/>
        <charset val="134"/>
      </rPr>
      <t>亿</t>
    </r>
  </si>
  <si>
    <r>
      <t>120</t>
    </r>
    <r>
      <rPr>
        <sz val="9"/>
        <color rgb="FF000000"/>
        <rFont val="楷体"/>
        <charset val="134"/>
      </rPr>
      <t>亿元</t>
    </r>
  </si>
  <si>
    <r>
      <rPr>
        <sz val="9"/>
        <color rgb="FF000000"/>
        <rFont val="楷体"/>
        <charset val="134"/>
      </rPr>
      <t>阿里影业</t>
    </r>
  </si>
  <si>
    <r>
      <rPr>
        <sz val="9"/>
        <color rgb="FF000000"/>
        <rFont val="楷体"/>
        <charset val="134"/>
      </rPr>
      <t>阿里影业</t>
    </r>
  </si>
  <si>
    <r>
      <rPr>
        <sz val="9"/>
        <color rgb="FF000000"/>
        <rFont val="楷体"/>
        <charset val="134"/>
      </rPr>
      <t>阿里巴巴影业集团有限公司</t>
    </r>
  </si>
  <si>
    <r>
      <t>12.5</t>
    </r>
    <r>
      <rPr>
        <sz val="9"/>
        <color rgb="FF000000"/>
        <rFont val="楷体"/>
        <charset val="134"/>
      </rPr>
      <t>亿港元</t>
    </r>
  </si>
  <si>
    <r>
      <t>74.26</t>
    </r>
    <r>
      <rPr>
        <sz val="9"/>
        <color rgb="FF000000"/>
        <rFont val="楷体"/>
        <charset val="134"/>
      </rPr>
      <t>亿</t>
    </r>
  </si>
  <si>
    <r>
      <t>520.83336</t>
    </r>
    <r>
      <rPr>
        <sz val="9"/>
        <color rgb="FF000000"/>
        <rFont val="楷体"/>
        <charset val="134"/>
      </rPr>
      <t>亿元</t>
    </r>
  </si>
  <si>
    <r>
      <t>2.27</t>
    </r>
    <r>
      <rPr>
        <sz val="9"/>
        <color rgb="FF000000"/>
        <rFont val="楷体"/>
        <charset val="134"/>
      </rPr>
      <t>亿港元</t>
    </r>
  </si>
  <si>
    <r>
      <rPr>
        <sz val="9"/>
        <color rgb="FF000000"/>
        <rFont val="楷体"/>
        <charset val="134"/>
      </rPr>
      <t>小满科技</t>
    </r>
  </si>
  <si>
    <r>
      <rPr>
        <sz val="9"/>
        <color rgb="FF000000"/>
        <rFont val="楷体"/>
        <charset val="134"/>
      </rPr>
      <t>深圳市小满科技有限公司</t>
    </r>
  </si>
  <si>
    <r>
      <t>6500</t>
    </r>
    <r>
      <rPr>
        <sz val="9"/>
        <color rgb="FF000000"/>
        <rFont val="楷体"/>
        <charset val="134"/>
      </rPr>
      <t>万人民币</t>
    </r>
  </si>
  <si>
    <r>
      <t>3500</t>
    </r>
    <r>
      <rPr>
        <sz val="9"/>
        <color rgb="FF000000"/>
        <rFont val="楷体"/>
        <charset val="134"/>
      </rPr>
      <t>万人民币</t>
    </r>
  </si>
  <si>
    <r>
      <rPr>
        <sz val="9"/>
        <color rgb="FF000000"/>
        <rFont val="楷体"/>
        <charset val="134"/>
      </rPr>
      <t>必联网</t>
    </r>
  </si>
  <si>
    <r>
      <rPr>
        <sz val="9"/>
        <color rgb="FF000000"/>
        <rFont val="楷体"/>
        <charset val="134"/>
      </rPr>
      <t>二十一世纪传媒</t>
    </r>
  </si>
  <si>
    <r>
      <rPr>
        <sz val="9"/>
        <color rgb="FF000000"/>
        <rFont val="楷体"/>
        <charset val="134"/>
      </rPr>
      <t>二十一世纪传媒</t>
    </r>
  </si>
  <si>
    <r>
      <rPr>
        <sz val="9"/>
        <color rgb="FF000000"/>
        <rFont val="楷体"/>
        <charset val="134"/>
      </rPr>
      <t>广东二十一世纪传媒股份有限公司</t>
    </r>
  </si>
  <si>
    <r>
      <rPr>
        <sz val="9"/>
        <color rgb="FF000000"/>
        <rFont val="楷体"/>
        <charset val="134"/>
      </rPr>
      <t>张江集团</t>
    </r>
  </si>
  <si>
    <r>
      <t>6.01</t>
    </r>
    <r>
      <rPr>
        <sz val="9"/>
        <color rgb="FF000000"/>
        <rFont val="楷体"/>
        <charset val="134"/>
      </rPr>
      <t>亿</t>
    </r>
  </si>
  <si>
    <r>
      <rPr>
        <sz val="9"/>
        <color rgb="FF000000"/>
        <rFont val="楷体"/>
        <charset val="134"/>
      </rPr>
      <t>天弘基金余额宝</t>
    </r>
  </si>
  <si>
    <r>
      <rPr>
        <sz val="9"/>
        <color rgb="FF000000"/>
        <rFont val="楷体"/>
        <charset val="134"/>
      </rPr>
      <t>天弘基金余额宝</t>
    </r>
  </si>
  <si>
    <r>
      <rPr>
        <sz val="9"/>
        <color rgb="FF000000"/>
        <rFont val="楷体"/>
        <charset val="134"/>
      </rPr>
      <t>天弘基金管理有限公司</t>
    </r>
  </si>
  <si>
    <r>
      <rPr>
        <sz val="9"/>
        <color rgb="FF000000"/>
        <rFont val="楷体"/>
        <charset val="134"/>
      </rPr>
      <t>理财</t>
    </r>
  </si>
  <si>
    <r>
      <t>11.8</t>
    </r>
    <r>
      <rPr>
        <sz val="9"/>
        <color rgb="FF000000"/>
        <rFont val="楷体"/>
        <charset val="134"/>
      </rPr>
      <t>亿人民币</t>
    </r>
  </si>
  <si>
    <r>
      <t>11.8</t>
    </r>
    <r>
      <rPr>
        <sz val="9"/>
        <color rgb="FF000000"/>
        <rFont val="楷体"/>
        <charset val="134"/>
      </rPr>
      <t>亿</t>
    </r>
  </si>
  <si>
    <r>
      <t>59</t>
    </r>
    <r>
      <rPr>
        <sz val="9"/>
        <color rgb="FF000000"/>
        <rFont val="楷体"/>
        <charset val="134"/>
      </rPr>
      <t>亿元</t>
    </r>
  </si>
  <si>
    <r>
      <t xml:space="preserve">1stdibs </t>
    </r>
    <r>
      <rPr>
        <sz val="9"/>
        <color rgb="FF000000"/>
        <rFont val="楷体"/>
        <charset val="134"/>
      </rPr>
      <t>成立于</t>
    </r>
    <r>
      <rPr>
        <sz val="9"/>
        <color rgb="FF000000"/>
        <rFont val="Arial"/>
        <charset val="134"/>
      </rPr>
      <t>2001</t>
    </r>
    <r>
      <rPr>
        <sz val="9"/>
        <color rgb="FF000000"/>
        <rFont val="楷体"/>
        <charset val="134"/>
      </rPr>
      <t>年，是一家来自美国的高端奢侈品网站，主要销售珠宝、艺术品、奢侈品等。</t>
    </r>
  </si>
  <si>
    <r>
      <t>7600</t>
    </r>
    <r>
      <rPr>
        <sz val="9"/>
        <color rgb="FF000000"/>
        <rFont val="楷体"/>
        <charset val="134"/>
      </rPr>
      <t>万美元</t>
    </r>
  </si>
  <si>
    <r>
      <t>12.55</t>
    </r>
    <r>
      <rPr>
        <sz val="9"/>
        <color rgb="FF000000"/>
        <rFont val="楷体"/>
        <charset val="134"/>
      </rPr>
      <t>亿</t>
    </r>
  </si>
  <si>
    <r>
      <t>32.5</t>
    </r>
    <r>
      <rPr>
        <sz val="9"/>
        <color rgb="FF000000"/>
        <rFont val="楷体"/>
        <charset val="134"/>
      </rPr>
      <t>亿元</t>
    </r>
  </si>
  <si>
    <r>
      <rPr>
        <sz val="9"/>
        <color rgb="FF000000"/>
        <rFont val="楷体"/>
        <charset val="134"/>
      </rPr>
      <t>青瓷游戏</t>
    </r>
  </si>
  <si>
    <r>
      <rPr>
        <sz val="9"/>
        <color rgb="FF000000"/>
        <rFont val="楷体"/>
        <charset val="134"/>
      </rPr>
      <t>青瓷游戏</t>
    </r>
  </si>
  <si>
    <r>
      <rPr>
        <sz val="9"/>
        <color rgb="FF000000"/>
        <rFont val="楷体"/>
        <charset val="134"/>
      </rPr>
      <t>青瓷游戏是一家专业从事网络游戏研发、运营的科技公司，游戏有《最强蜗牛》、《提灯与地下城》、《不思议迷宫》、《阿瑞斯病毒》、《无尽大冒险》等。</t>
    </r>
  </si>
  <si>
    <r>
      <rPr>
        <sz val="9"/>
        <color rgb="FF000000"/>
        <rFont val="楷体"/>
        <charset val="134"/>
      </rPr>
      <t>厦门青瓷数码技术有限公司</t>
    </r>
  </si>
  <si>
    <r>
      <t>8.63</t>
    </r>
    <r>
      <rPr>
        <sz val="9"/>
        <color rgb="FF000000"/>
        <rFont val="楷体"/>
        <charset val="134"/>
      </rPr>
      <t>亿港元</t>
    </r>
  </si>
  <si>
    <r>
      <t>20.08</t>
    </r>
    <r>
      <rPr>
        <sz val="9"/>
        <color rgb="FF000000"/>
        <rFont val="楷体"/>
        <charset val="134"/>
      </rPr>
      <t>亿</t>
    </r>
  </si>
  <si>
    <r>
      <t>56.48</t>
    </r>
    <r>
      <rPr>
        <sz val="9"/>
        <color rgb="FF000000"/>
        <rFont val="楷体"/>
        <charset val="134"/>
      </rPr>
      <t>亿元</t>
    </r>
  </si>
  <si>
    <r>
      <t>7000</t>
    </r>
    <r>
      <rPr>
        <sz val="9"/>
        <color rgb="FF000000"/>
        <rFont val="楷体"/>
        <charset val="134"/>
      </rPr>
      <t>万美元</t>
    </r>
  </si>
  <si>
    <r>
      <t>6261</t>
    </r>
    <r>
      <rPr>
        <sz val="9"/>
        <color rgb="FF000000"/>
        <rFont val="楷体"/>
        <charset val="134"/>
      </rPr>
      <t>万美元</t>
    </r>
  </si>
  <si>
    <r>
      <t>3.03</t>
    </r>
    <r>
      <rPr>
        <sz val="9"/>
        <color rgb="FF000000"/>
        <rFont val="楷体"/>
        <charset val="134"/>
      </rPr>
      <t>亿人民币</t>
    </r>
  </si>
  <si>
    <r>
      <t>1.2</t>
    </r>
    <r>
      <rPr>
        <sz val="9"/>
        <color rgb="FF000000"/>
        <rFont val="楷体"/>
        <charset val="134"/>
      </rPr>
      <t>亿人民币</t>
    </r>
  </si>
  <si>
    <r>
      <rPr>
        <sz val="9"/>
        <color rgb="FF000000"/>
        <rFont val="楷体"/>
        <charset val="134"/>
      </rPr>
      <t>吉比特</t>
    </r>
  </si>
  <si>
    <r>
      <rPr>
        <sz val="9"/>
        <color rgb="FF000000"/>
        <rFont val="楷体"/>
        <charset val="134"/>
      </rPr>
      <t>魅族</t>
    </r>
  </si>
  <si>
    <r>
      <rPr>
        <sz val="9"/>
        <color rgb="FF000000"/>
        <rFont val="楷体"/>
        <charset val="134"/>
      </rPr>
      <t>魅族</t>
    </r>
  </si>
  <si>
    <r>
      <rPr>
        <sz val="9"/>
        <color rgb="FF000000"/>
        <rFont val="楷体"/>
        <charset val="134"/>
      </rPr>
      <t>珠海星纪魅族信息技术有限公司</t>
    </r>
  </si>
  <si>
    <r>
      <t>3C</t>
    </r>
    <r>
      <rPr>
        <sz val="9"/>
        <color rgb="FF000000"/>
        <rFont val="楷体"/>
        <charset val="134"/>
      </rPr>
      <t>电子</t>
    </r>
  </si>
  <si>
    <r>
      <rPr>
        <sz val="9"/>
        <color rgb="FF000000"/>
        <rFont val="楷体"/>
        <charset val="134"/>
      </rPr>
      <t>吉利控股</t>
    </r>
  </si>
  <si>
    <r>
      <t>47.25</t>
    </r>
    <r>
      <rPr>
        <sz val="9"/>
        <color rgb="FF000000"/>
        <rFont val="楷体"/>
        <charset val="134"/>
      </rPr>
      <t>亿</t>
    </r>
  </si>
  <si>
    <r>
      <rPr>
        <sz val="9"/>
        <color rgb="FF000000"/>
        <rFont val="楷体"/>
        <charset val="134"/>
      </rPr>
      <t>珠海市唐家湾科技创新海岸魅族科技楼</t>
    </r>
  </si>
  <si>
    <r>
      <rPr>
        <sz val="9"/>
        <color rgb="FF000000"/>
        <rFont val="楷体"/>
        <charset val="134"/>
      </rPr>
      <t>天音通信</t>
    </r>
  </si>
  <si>
    <r>
      <rPr>
        <sz val="9"/>
        <color rgb="FF000000"/>
        <rFont val="楷体"/>
        <charset val="134"/>
      </rPr>
      <t>少数派</t>
    </r>
  </si>
  <si>
    <r>
      <rPr>
        <sz val="9"/>
        <color rgb="FF000000"/>
        <rFont val="楷体"/>
        <charset val="134"/>
      </rPr>
      <t>少数派</t>
    </r>
  </si>
  <si>
    <r>
      <rPr>
        <sz val="9"/>
        <color rgb="FF000000"/>
        <rFont val="楷体"/>
        <charset val="134"/>
      </rPr>
      <t>深圳市烧麦网络科技有限公司</t>
    </r>
  </si>
  <si>
    <r>
      <t xml:space="preserve">ThetaRay </t>
    </r>
    <r>
      <rPr>
        <sz val="9"/>
        <color rgb="FF000000"/>
        <rFont val="楷体"/>
        <charset val="134"/>
      </rPr>
      <t>成立于</t>
    </r>
    <r>
      <rPr>
        <sz val="9"/>
        <color rgb="FF000000"/>
        <rFont val="Arial"/>
        <charset val="134"/>
      </rPr>
      <t>2013</t>
    </r>
    <r>
      <rPr>
        <sz val="9"/>
        <color rgb="FF000000"/>
        <rFont val="楷体"/>
        <charset val="134"/>
      </rPr>
      <t>年，是以色列一家提供大数据安全分析的技术提供商，其自主研发的监控平台能够不掺杂任何人为的及计算性的偏见，从而实现对各种威胁的实时分析和监测。</t>
    </r>
  </si>
  <si>
    <r>
      <t>3.87</t>
    </r>
    <r>
      <rPr>
        <sz val="9"/>
        <color rgb="FF000000"/>
        <rFont val="楷体"/>
        <charset val="134"/>
      </rPr>
      <t>亿</t>
    </r>
  </si>
  <si>
    <r>
      <t>350</t>
    </r>
    <r>
      <rPr>
        <sz val="9"/>
        <color rgb="FF000000"/>
        <rFont val="楷体"/>
        <charset val="134"/>
      </rPr>
      <t>万美元</t>
    </r>
  </si>
  <si>
    <r>
      <t xml:space="preserve">Jet.com </t>
    </r>
    <r>
      <rPr>
        <sz val="9"/>
        <color rgb="FF000000"/>
        <rFont val="楷体"/>
        <charset val="134"/>
      </rPr>
      <t>是会员制电商网站，基于用户购物车内商品的数量，</t>
    </r>
    <r>
      <rPr>
        <sz val="9"/>
        <color rgb="FF000000"/>
        <rFont val="Arial"/>
        <charset val="134"/>
      </rPr>
      <t>Jet</t>
    </r>
    <r>
      <rPr>
        <sz val="9"/>
        <color rgb="FF000000"/>
        <rFont val="楷体"/>
        <charset val="134"/>
      </rPr>
      <t>的工程师会不断地更新最高效、最省钱的销售商。</t>
    </r>
  </si>
  <si>
    <r>
      <t>252.79</t>
    </r>
    <r>
      <rPr>
        <sz val="9"/>
        <color rgb="FF000000"/>
        <rFont val="楷体"/>
        <charset val="134"/>
      </rPr>
      <t>亿</t>
    </r>
  </si>
  <si>
    <r>
      <t>1072.5</t>
    </r>
    <r>
      <rPr>
        <sz val="9"/>
        <color rgb="FF000000"/>
        <rFont val="楷体"/>
        <charset val="134"/>
      </rPr>
      <t>亿元</t>
    </r>
  </si>
  <si>
    <r>
      <t>1400</t>
    </r>
    <r>
      <rPr>
        <sz val="9"/>
        <color rgb="FF000000"/>
        <rFont val="楷体"/>
        <charset val="134"/>
      </rPr>
      <t>万美元</t>
    </r>
  </si>
  <si>
    <r>
      <t>NEA</t>
    </r>
    <r>
      <rPr>
        <sz val="9"/>
        <color rgb="FF000000"/>
        <rFont val="楷体"/>
        <charset val="134"/>
      </rPr>
      <t>恩颐投资</t>
    </r>
    <r>
      <rPr>
        <sz val="9"/>
        <color rgb="FF000000"/>
        <rFont val="Arial"/>
        <charset val="134"/>
      </rPr>
      <t>-New Enterprise Associates,Accel Partners,Bain Capital Ventures,MentorTech Ventures</t>
    </r>
  </si>
  <si>
    <r>
      <t xml:space="preserve">Kabam </t>
    </r>
    <r>
      <rPr>
        <sz val="9"/>
        <color rgb="FF000000"/>
        <rFont val="楷体"/>
        <charset val="134"/>
      </rPr>
      <t>成立于</t>
    </r>
    <r>
      <rPr>
        <sz val="9"/>
        <color rgb="FF000000"/>
        <rFont val="Arial"/>
        <charset val="134"/>
      </rPr>
      <t>2006</t>
    </r>
    <r>
      <rPr>
        <sz val="9"/>
        <color rgb="FF000000"/>
        <rFont val="楷体"/>
        <charset val="134"/>
      </rPr>
      <t>年</t>
    </r>
    <r>
      <rPr>
        <sz val="9"/>
        <color rgb="FF000000"/>
        <rFont val="Arial"/>
        <charset val="134"/>
      </rPr>
      <t>11</t>
    </r>
    <r>
      <rPr>
        <sz val="9"/>
        <color rgb="FF000000"/>
        <rFont val="楷体"/>
        <charset val="134"/>
      </rPr>
      <t>月，是一家手游研发商和发行商，作品包括《霍比特人：中土王者》（</t>
    </r>
    <r>
      <rPr>
        <sz val="9"/>
        <color rgb="FF000000"/>
        <rFont val="Arial"/>
        <charset val="134"/>
      </rPr>
      <t>The Hobbit: Kingdoms of the Middle-earth</t>
    </r>
    <r>
      <rPr>
        <sz val="9"/>
        <color rgb="FF000000"/>
        <rFont val="楷体"/>
        <charset val="134"/>
      </rPr>
      <t>）、赛车游戏《速度与激情</t>
    </r>
    <r>
      <rPr>
        <sz val="9"/>
        <color rgb="FF000000"/>
        <rFont val="Arial"/>
        <charset val="134"/>
      </rPr>
      <t>6</t>
    </r>
    <r>
      <rPr>
        <sz val="9"/>
        <color rgb="FF000000"/>
        <rFont val="楷体"/>
        <charset val="134"/>
      </rPr>
      <t>：游戏》</t>
    </r>
    <r>
      <rPr>
        <sz val="9"/>
        <color rgb="FF000000"/>
        <rFont val="Arial"/>
        <charset val="134"/>
      </rPr>
      <t>(Fast &amp; Furious 6: The Game)</t>
    </r>
  </si>
  <si>
    <r>
      <rPr>
        <sz val="9"/>
        <color rgb="FF000000"/>
        <rFont val="楷体"/>
        <charset val="134"/>
      </rPr>
      <t>网石</t>
    </r>
  </si>
  <si>
    <r>
      <rPr>
        <sz val="9"/>
        <color rgb="FF000000"/>
        <rFont val="楷体"/>
        <charset val="134"/>
      </rPr>
      <t>神工</t>
    </r>
    <r>
      <rPr>
        <sz val="9"/>
        <color rgb="FF000000"/>
        <rFont val="Arial"/>
        <charset val="134"/>
      </rPr>
      <t>007</t>
    </r>
  </si>
  <si>
    <r>
      <rPr>
        <sz val="9"/>
        <color rgb="FF000000"/>
        <rFont val="楷体"/>
        <charset val="134"/>
      </rPr>
      <t>神工众志（北京）科技有限公司</t>
    </r>
  </si>
  <si>
    <r>
      <rPr>
        <sz val="9"/>
        <color rgb="FF000000"/>
        <rFont val="楷体"/>
        <charset val="134"/>
      </rPr>
      <t>房地产</t>
    </r>
  </si>
  <si>
    <r>
      <rPr>
        <sz val="9"/>
        <color rgb="FF000000"/>
        <rFont val="楷体"/>
        <charset val="134"/>
      </rPr>
      <t>装修装饰</t>
    </r>
  </si>
  <si>
    <r>
      <t>3.93</t>
    </r>
    <r>
      <rPr>
        <sz val="9"/>
        <color rgb="FF000000"/>
        <rFont val="楷体"/>
        <charset val="134"/>
      </rPr>
      <t>亿</t>
    </r>
  </si>
  <si>
    <r>
      <rPr>
        <sz val="9"/>
        <color rgb="FF000000"/>
        <rFont val="楷体"/>
        <charset val="134"/>
      </rPr>
      <t>远镜创投</t>
    </r>
  </si>
  <si>
    <r>
      <rPr>
        <sz val="9"/>
        <color rgb="FF000000"/>
        <rFont val="楷体"/>
        <charset val="134"/>
      </rPr>
      <t>易图通科技</t>
    </r>
  </si>
  <si>
    <r>
      <rPr>
        <sz val="9"/>
        <color rgb="FF000000"/>
        <rFont val="楷体"/>
        <charset val="134"/>
      </rPr>
      <t>易图通科技</t>
    </r>
  </si>
  <si>
    <r>
      <rPr>
        <sz val="9"/>
        <color rgb="FF000000"/>
        <rFont val="楷体"/>
        <charset val="134"/>
      </rPr>
      <t>易图通科技是一家制作导航电子地图的公司之一，业务包括车载导航应用等，具有十五年导航电子地图制作经验，拥有国家测绘局颁发的导航电子地图制作、地理信息系统工程和互联网地图服务甲级测绘资质。</t>
    </r>
  </si>
  <si>
    <r>
      <rPr>
        <sz val="9"/>
        <color rgb="FF000000"/>
        <rFont val="楷体"/>
        <charset val="134"/>
      </rPr>
      <t>易图通科技（北京）有限公司</t>
    </r>
  </si>
  <si>
    <r>
      <t>6100</t>
    </r>
    <r>
      <rPr>
        <sz val="9"/>
        <color rgb="FF000000"/>
        <rFont val="楷体"/>
        <charset val="134"/>
      </rPr>
      <t>万</t>
    </r>
  </si>
  <si>
    <r>
      <t>1.75</t>
    </r>
    <r>
      <rPr>
        <sz val="9"/>
        <color rgb="FF000000"/>
        <rFont val="楷体"/>
        <charset val="134"/>
      </rPr>
      <t>亿元</t>
    </r>
  </si>
  <si>
    <r>
      <t>10</t>
    </r>
    <r>
      <rPr>
        <sz val="9"/>
        <color rgb="FF000000"/>
        <rFont val="楷体"/>
        <charset val="134"/>
      </rPr>
      <t>亿卢比</t>
    </r>
  </si>
  <si>
    <r>
      <t>800</t>
    </r>
    <r>
      <rPr>
        <sz val="9"/>
        <color rgb="FF000000"/>
        <rFont val="楷体"/>
        <charset val="134"/>
      </rPr>
      <t>万美元</t>
    </r>
  </si>
  <si>
    <r>
      <t>3280</t>
    </r>
    <r>
      <rPr>
        <sz val="9"/>
        <color rgb="FF000000"/>
        <rFont val="楷体"/>
        <charset val="134"/>
      </rPr>
      <t>万美元</t>
    </r>
  </si>
  <si>
    <r>
      <rPr>
        <sz val="9"/>
        <color rgb="FF000000"/>
        <rFont val="楷体"/>
        <charset val="134"/>
      </rPr>
      <t>贵州泛亚信通网络</t>
    </r>
  </si>
  <si>
    <r>
      <rPr>
        <sz val="9"/>
        <color rgb="FF000000"/>
        <rFont val="楷体"/>
        <charset val="134"/>
      </rPr>
      <t>贵州泛亚信通网络</t>
    </r>
  </si>
  <si>
    <r>
      <rPr>
        <sz val="9"/>
        <color rgb="FF000000"/>
        <rFont val="楷体"/>
        <charset val="134"/>
      </rPr>
      <t>贵州泛亚信通网络科技有限公司</t>
    </r>
  </si>
  <si>
    <r>
      <t>1.2</t>
    </r>
    <r>
      <rPr>
        <sz val="9"/>
        <color rgb="FF000000"/>
        <rFont val="楷体"/>
        <charset val="134"/>
      </rPr>
      <t>亿元</t>
    </r>
  </si>
  <si>
    <r>
      <rPr>
        <sz val="9"/>
        <color rgb="FF000000"/>
        <rFont val="楷体"/>
        <charset val="134"/>
      </rPr>
      <t>驻云</t>
    </r>
    <r>
      <rPr>
        <sz val="9"/>
        <color rgb="FF000000"/>
        <rFont val="Arial"/>
        <charset val="134"/>
      </rPr>
      <t>CloudCare</t>
    </r>
  </si>
  <si>
    <r>
      <rPr>
        <sz val="9"/>
        <color rgb="FF000000"/>
        <rFont val="楷体"/>
        <charset val="134"/>
      </rPr>
      <t>上海观测未来信息技术有限公司</t>
    </r>
  </si>
  <si>
    <r>
      <t>4.03</t>
    </r>
    <r>
      <rPr>
        <sz val="9"/>
        <color rgb="FF000000"/>
        <rFont val="楷体"/>
        <charset val="134"/>
      </rPr>
      <t>亿</t>
    </r>
  </si>
  <si>
    <r>
      <rPr>
        <sz val="9"/>
        <color rgb="FF000000"/>
        <rFont val="楷体"/>
        <charset val="134"/>
      </rPr>
      <t>石基信息</t>
    </r>
  </si>
  <si>
    <r>
      <rPr>
        <sz val="9"/>
        <color rgb="FF000000"/>
        <rFont val="楷体"/>
        <charset val="134"/>
      </rPr>
      <t>石基信息</t>
    </r>
  </si>
  <si>
    <r>
      <rPr>
        <sz val="9"/>
        <color rgb="FF000000"/>
        <rFont val="楷体"/>
        <charset val="134"/>
      </rPr>
      <t>北京中长石基信息技术股份有限公司</t>
    </r>
  </si>
  <si>
    <r>
      <rPr>
        <sz val="9"/>
        <color rgb="FF000000"/>
        <rFont val="楷体"/>
        <charset val="134"/>
      </rPr>
      <t>旅游信息化</t>
    </r>
  </si>
  <si>
    <r>
      <t>4.86</t>
    </r>
    <r>
      <rPr>
        <sz val="9"/>
        <color rgb="FF000000"/>
        <rFont val="楷体"/>
        <charset val="134"/>
      </rPr>
      <t>亿美元</t>
    </r>
  </si>
  <si>
    <r>
      <t>62.7</t>
    </r>
    <r>
      <rPr>
        <sz val="9"/>
        <color rgb="FF000000"/>
        <rFont val="楷体"/>
        <charset val="134"/>
      </rPr>
      <t>亿</t>
    </r>
  </si>
  <si>
    <r>
      <t>80.0527</t>
    </r>
    <r>
      <rPr>
        <sz val="9"/>
        <color rgb="FF000000"/>
        <rFont val="楷体"/>
        <charset val="134"/>
      </rPr>
      <t>亿元</t>
    </r>
  </si>
  <si>
    <r>
      <t>28.1</t>
    </r>
    <r>
      <rPr>
        <sz val="9"/>
        <color rgb="FF000000"/>
        <rFont val="楷体"/>
        <charset val="134"/>
      </rPr>
      <t>亿人民币</t>
    </r>
  </si>
  <si>
    <r>
      <t>3.01</t>
    </r>
    <r>
      <rPr>
        <sz val="9"/>
        <color rgb="FF000000"/>
        <rFont val="楷体"/>
        <charset val="134"/>
      </rPr>
      <t>亿人民币</t>
    </r>
  </si>
  <si>
    <r>
      <rPr>
        <sz val="9"/>
        <color rgb="FF000000"/>
        <rFont val="楷体"/>
        <charset val="134"/>
      </rPr>
      <t>探探</t>
    </r>
  </si>
  <si>
    <r>
      <rPr>
        <sz val="9"/>
        <color rgb="FF000000"/>
        <rFont val="楷体"/>
        <charset val="134"/>
      </rPr>
      <t>探探</t>
    </r>
  </si>
  <si>
    <r>
      <rPr>
        <sz val="9"/>
        <color rgb="FF000000"/>
        <rFont val="楷体"/>
        <charset val="134"/>
      </rPr>
      <t>探探文化发展（北京）有限公司</t>
    </r>
  </si>
  <si>
    <r>
      <t>7.35</t>
    </r>
    <r>
      <rPr>
        <sz val="9"/>
        <color rgb="FF000000"/>
        <rFont val="楷体"/>
        <charset val="134"/>
      </rPr>
      <t>亿美元</t>
    </r>
  </si>
  <si>
    <r>
      <rPr>
        <sz val="9"/>
        <color rgb="FF000000"/>
        <rFont val="楷体"/>
        <charset val="134"/>
      </rPr>
      <t>陌陌科技</t>
    </r>
  </si>
  <si>
    <r>
      <t>55.58</t>
    </r>
    <r>
      <rPr>
        <sz val="9"/>
        <color rgb="FF000000"/>
        <rFont val="楷体"/>
        <charset val="134"/>
      </rPr>
      <t>亿</t>
    </r>
  </si>
  <si>
    <r>
      <t>238.875</t>
    </r>
    <r>
      <rPr>
        <sz val="9"/>
        <color rgb="FF000000"/>
        <rFont val="楷体"/>
        <charset val="134"/>
      </rPr>
      <t>亿元</t>
    </r>
  </si>
  <si>
    <r>
      <t>3200</t>
    </r>
    <r>
      <rPr>
        <sz val="9"/>
        <color rgb="FF000000"/>
        <rFont val="楷体"/>
        <charset val="134"/>
      </rPr>
      <t>万美元</t>
    </r>
  </si>
  <si>
    <r>
      <t>KPCB</t>
    </r>
    <r>
      <rPr>
        <sz val="9"/>
        <color rgb="FF000000"/>
        <rFont val="楷体"/>
        <charset val="134"/>
      </rPr>
      <t>凯鹏华盈中国</t>
    </r>
    <r>
      <rPr>
        <sz val="9"/>
        <color rgb="FF000000"/>
        <rFont val="Arial"/>
        <charset val="134"/>
      </rPr>
      <t>,DCM</t>
    </r>
    <r>
      <rPr>
        <sz val="9"/>
        <color rgb="FF000000"/>
        <rFont val="楷体"/>
        <charset val="134"/>
      </rPr>
      <t>中国</t>
    </r>
    <r>
      <rPr>
        <sz val="9"/>
        <color rgb="FF000000"/>
        <rFont val="Arial"/>
        <charset val="134"/>
      </rPr>
      <t>,BAI</t>
    </r>
    <r>
      <rPr>
        <sz val="9"/>
        <color rgb="FF000000"/>
        <rFont val="楷体"/>
        <charset val="134"/>
      </rPr>
      <t>资本</t>
    </r>
    <r>
      <rPr>
        <sz val="9"/>
        <color rgb="FF000000"/>
        <rFont val="Arial"/>
        <charset val="134"/>
      </rPr>
      <t>,DST Global,LB</t>
    </r>
    <r>
      <rPr>
        <sz val="9"/>
        <color rgb="FF000000"/>
        <rFont val="楷体"/>
        <charset val="134"/>
      </rPr>
      <t>投资</t>
    </r>
    <r>
      <rPr>
        <sz val="9"/>
        <color rgb="FF000000"/>
        <rFont val="Arial"/>
        <charset val="134"/>
      </rPr>
      <t>(LB Investment),</t>
    </r>
    <r>
      <rPr>
        <sz val="9"/>
        <color rgb="FF000000"/>
        <rFont val="楷体"/>
        <charset val="134"/>
      </rPr>
      <t>元璟资本</t>
    </r>
    <r>
      <rPr>
        <sz val="9"/>
        <color rgb="FF000000"/>
        <rFont val="Arial"/>
        <charset val="134"/>
      </rPr>
      <t>,</t>
    </r>
    <r>
      <rPr>
        <sz val="9"/>
        <color rgb="FF000000"/>
        <rFont val="楷体"/>
        <charset val="134"/>
      </rPr>
      <t>光亮资本</t>
    </r>
  </si>
  <si>
    <r>
      <t>1300</t>
    </r>
    <r>
      <rPr>
        <sz val="9"/>
        <color rgb="FF000000"/>
        <rFont val="楷体"/>
        <charset val="134"/>
      </rPr>
      <t>万美元</t>
    </r>
  </si>
  <si>
    <r>
      <t>KPCB</t>
    </r>
    <r>
      <rPr>
        <sz val="9"/>
        <color rgb="FF000000"/>
        <rFont val="楷体"/>
        <charset val="134"/>
      </rPr>
      <t>凯鹏华盈中国</t>
    </r>
    <r>
      <rPr>
        <sz val="9"/>
        <color rgb="FF000000"/>
        <rFont val="Arial"/>
        <charset val="134"/>
      </rPr>
      <t>,DCM</t>
    </r>
    <r>
      <rPr>
        <sz val="9"/>
        <color rgb="FF000000"/>
        <rFont val="楷体"/>
        <charset val="134"/>
      </rPr>
      <t>中国</t>
    </r>
    <r>
      <rPr>
        <sz val="9"/>
        <color rgb="FF000000"/>
        <rFont val="Arial"/>
        <charset val="134"/>
      </rPr>
      <t>,LB</t>
    </r>
    <r>
      <rPr>
        <sz val="9"/>
        <color rgb="FF000000"/>
        <rFont val="楷体"/>
        <charset val="134"/>
      </rPr>
      <t>投资</t>
    </r>
    <r>
      <rPr>
        <sz val="9"/>
        <color rgb="FF000000"/>
        <rFont val="Arial"/>
        <charset val="134"/>
      </rPr>
      <t>(LB Investment),</t>
    </r>
    <r>
      <rPr>
        <sz val="9"/>
        <color rgb="FF000000"/>
        <rFont val="楷体"/>
        <charset val="134"/>
      </rPr>
      <t>光信资本</t>
    </r>
  </si>
  <si>
    <r>
      <t>BAI</t>
    </r>
    <r>
      <rPr>
        <sz val="9"/>
        <color rgb="FF000000"/>
        <rFont val="楷体"/>
        <charset val="134"/>
      </rPr>
      <t>资本</t>
    </r>
    <r>
      <rPr>
        <sz val="9"/>
        <color rgb="FF000000"/>
        <rFont val="Arial"/>
        <charset val="134"/>
      </rPr>
      <t>,</t>
    </r>
    <r>
      <rPr>
        <sz val="9"/>
        <color rgb="FF000000"/>
        <rFont val="楷体"/>
        <charset val="134"/>
      </rPr>
      <t>黑桃资本</t>
    </r>
  </si>
  <si>
    <r>
      <t xml:space="preserve">Peel </t>
    </r>
    <r>
      <rPr>
        <sz val="9"/>
        <color rgb="FF000000"/>
        <rFont val="楷体"/>
        <charset val="134"/>
      </rPr>
      <t>成立于</t>
    </r>
    <r>
      <rPr>
        <sz val="9"/>
        <color rgb="FF000000"/>
        <rFont val="Arial"/>
        <charset val="134"/>
      </rPr>
      <t>2009</t>
    </r>
    <r>
      <rPr>
        <sz val="9"/>
        <color rgb="FF000000"/>
        <rFont val="楷体"/>
        <charset val="134"/>
      </rPr>
      <t>年，是一家来自美国的电视遥控器应用开发商，可以让用户通过智能手机、平板电脑等操控电视机。</t>
    </r>
  </si>
  <si>
    <r>
      <rPr>
        <sz val="9"/>
        <color rgb="FF000000"/>
        <rFont val="楷体"/>
        <charset val="134"/>
      </rPr>
      <t>通信制造</t>
    </r>
  </si>
  <si>
    <r>
      <t>5.64</t>
    </r>
    <r>
      <rPr>
        <sz val="9"/>
        <color rgb="FF000000"/>
        <rFont val="楷体"/>
        <charset val="134"/>
      </rPr>
      <t>亿</t>
    </r>
  </si>
  <si>
    <r>
      <t>16.25</t>
    </r>
    <r>
      <rPr>
        <sz val="9"/>
        <color rgb="FF000000"/>
        <rFont val="楷体"/>
        <charset val="134"/>
      </rPr>
      <t>亿元</t>
    </r>
  </si>
  <si>
    <r>
      <t>1670</t>
    </r>
    <r>
      <rPr>
        <sz val="9"/>
        <color rgb="FF000000"/>
        <rFont val="楷体"/>
        <charset val="134"/>
      </rPr>
      <t>万美元</t>
    </r>
  </si>
  <si>
    <r>
      <t>Lightspeed Venture Partners</t>
    </r>
    <r>
      <rPr>
        <sz val="9"/>
        <color rgb="FF000000"/>
        <rFont val="楷体"/>
        <charset val="134"/>
      </rPr>
      <t>光速全球</t>
    </r>
  </si>
  <si>
    <r>
      <t>Shopex</t>
    </r>
    <r>
      <rPr>
        <sz val="9"/>
        <color rgb="FF000000"/>
        <rFont val="楷体"/>
        <charset val="134"/>
      </rPr>
      <t>商派网络</t>
    </r>
  </si>
  <si>
    <r>
      <t>Shopex</t>
    </r>
    <r>
      <rPr>
        <sz val="9"/>
        <color rgb="FF000000"/>
        <rFont val="楷体"/>
        <charset val="134"/>
      </rPr>
      <t>商派网络</t>
    </r>
  </si>
  <si>
    <r>
      <rPr>
        <sz val="9"/>
        <color rgb="FF000000"/>
        <rFont val="楷体"/>
        <charset val="134"/>
      </rPr>
      <t>上海商派网络科技有限公司</t>
    </r>
  </si>
  <si>
    <r>
      <t>12.45</t>
    </r>
    <r>
      <rPr>
        <sz val="9"/>
        <color rgb="FF000000"/>
        <rFont val="楷体"/>
        <charset val="134"/>
      </rPr>
      <t>亿</t>
    </r>
  </si>
  <si>
    <r>
      <t>7</t>
    </r>
    <r>
      <rPr>
        <sz val="9"/>
        <color rgb="FF000000"/>
        <rFont val="楷体"/>
        <charset val="134"/>
      </rPr>
      <t>亿人民币</t>
    </r>
  </si>
  <si>
    <r>
      <rPr>
        <sz val="9"/>
        <color rgb="FF000000"/>
        <rFont val="楷体"/>
        <charset val="134"/>
      </rPr>
      <t>接我科技</t>
    </r>
  </si>
  <si>
    <r>
      <rPr>
        <sz val="9"/>
        <color rgb="FF000000"/>
        <rFont val="楷体"/>
        <charset val="134"/>
      </rPr>
      <t>接我科技</t>
    </r>
  </si>
  <si>
    <r>
      <rPr>
        <sz val="9"/>
        <color rgb="FF000000"/>
        <rFont val="楷体"/>
        <charset val="134"/>
      </rPr>
      <t>北京接我科技有限公司</t>
    </r>
  </si>
  <si>
    <r>
      <t>2950</t>
    </r>
    <r>
      <rPr>
        <sz val="9"/>
        <color rgb="FF000000"/>
        <rFont val="楷体"/>
        <charset val="134"/>
      </rPr>
      <t>万</t>
    </r>
  </si>
  <si>
    <r>
      <rPr>
        <sz val="9"/>
        <color rgb="FF000000"/>
        <rFont val="楷体"/>
        <charset val="134"/>
      </rPr>
      <t>鲜趣生活</t>
    </r>
  </si>
  <si>
    <r>
      <rPr>
        <sz val="9"/>
        <color rgb="FF000000"/>
        <rFont val="楷体"/>
        <charset val="134"/>
      </rPr>
      <t>鲜趣生活</t>
    </r>
  </si>
  <si>
    <r>
      <rPr>
        <sz val="9"/>
        <color rgb="FF000000"/>
        <rFont val="楷体"/>
        <charset val="134"/>
      </rPr>
      <t>杭州鲜趣闪购网络科技有限公司</t>
    </r>
  </si>
  <si>
    <r>
      <t>2.67</t>
    </r>
    <r>
      <rPr>
        <sz val="9"/>
        <color rgb="FF000000"/>
        <rFont val="楷体"/>
        <charset val="134"/>
      </rPr>
      <t>亿人民币</t>
    </r>
  </si>
  <si>
    <r>
      <t>4.82</t>
    </r>
    <r>
      <rPr>
        <sz val="9"/>
        <color rgb="FF000000"/>
        <rFont val="楷体"/>
        <charset val="134"/>
      </rPr>
      <t>亿</t>
    </r>
  </si>
  <si>
    <r>
      <t>22</t>
    </r>
    <r>
      <rPr>
        <sz val="9"/>
        <color rgb="FF000000"/>
        <rFont val="楷体"/>
        <charset val="134"/>
      </rPr>
      <t>亿元</t>
    </r>
  </si>
  <si>
    <r>
      <t xml:space="preserve">Magic Leap </t>
    </r>
    <r>
      <rPr>
        <sz val="9"/>
        <color rgb="FF000000"/>
        <rFont val="楷体"/>
        <charset val="134"/>
      </rPr>
      <t>成立于</t>
    </r>
    <r>
      <rPr>
        <sz val="9"/>
        <color rgb="FF000000"/>
        <rFont val="Arial"/>
        <charset val="134"/>
      </rPr>
      <t>2011</t>
    </r>
    <r>
      <rPr>
        <sz val="9"/>
        <color rgb="FF000000"/>
        <rFont val="楷体"/>
        <charset val="134"/>
      </rPr>
      <t>年，是一家可穿戴设备技术公司，目前公司主要产品为眼镜式可穿戴计算设备，其最终影像效果相当于</t>
    </r>
    <r>
      <rPr>
        <sz val="9"/>
        <color rgb="FF000000"/>
        <rFont val="Arial"/>
        <charset val="134"/>
      </rPr>
      <t>3D</t>
    </r>
    <r>
      <rPr>
        <sz val="9"/>
        <color rgb="FF000000"/>
        <rFont val="楷体"/>
        <charset val="134"/>
      </rPr>
      <t>电影。</t>
    </r>
  </si>
  <si>
    <r>
      <rPr>
        <sz val="9"/>
        <color rgb="FF000000"/>
        <rFont val="楷体"/>
        <charset val="134"/>
      </rPr>
      <t>可穿戴设备</t>
    </r>
  </si>
  <si>
    <r>
      <t>4.5</t>
    </r>
    <r>
      <rPr>
        <sz val="9"/>
        <color rgb="FF000000"/>
        <rFont val="楷体"/>
        <charset val="134"/>
      </rPr>
      <t>亿美元</t>
    </r>
  </si>
  <si>
    <r>
      <t>298.71</t>
    </r>
    <r>
      <rPr>
        <sz val="9"/>
        <color rgb="FF000000"/>
        <rFont val="楷体"/>
        <charset val="134"/>
      </rPr>
      <t>亿</t>
    </r>
  </si>
  <si>
    <r>
      <t>4.61</t>
    </r>
    <r>
      <rPr>
        <sz val="9"/>
        <color rgb="FF000000"/>
        <rFont val="楷体"/>
        <charset val="134"/>
      </rPr>
      <t>亿美元</t>
    </r>
  </si>
  <si>
    <r>
      <t>5.02</t>
    </r>
    <r>
      <rPr>
        <sz val="9"/>
        <color rgb="FF000000"/>
        <rFont val="楷体"/>
        <charset val="134"/>
      </rPr>
      <t>亿美元</t>
    </r>
  </si>
  <si>
    <r>
      <t>8.27</t>
    </r>
    <r>
      <rPr>
        <sz val="9"/>
        <color rgb="FF000000"/>
        <rFont val="楷体"/>
        <charset val="134"/>
      </rPr>
      <t>亿美元</t>
    </r>
  </si>
  <si>
    <r>
      <t>354</t>
    </r>
    <r>
      <rPr>
        <sz val="9"/>
        <color rgb="FF000000"/>
        <rFont val="楷体"/>
        <charset val="134"/>
      </rPr>
      <t>万美元</t>
    </r>
  </si>
  <si>
    <r>
      <rPr>
        <sz val="9"/>
        <color rgb="FF000000"/>
        <rFont val="楷体"/>
        <charset val="134"/>
      </rPr>
      <t>普思资本</t>
    </r>
  </si>
  <si>
    <r>
      <t>5.42</t>
    </r>
    <r>
      <rPr>
        <sz val="9"/>
        <color rgb="FF000000"/>
        <rFont val="楷体"/>
        <charset val="134"/>
      </rPr>
      <t>亿美元</t>
    </r>
  </si>
  <si>
    <r>
      <rPr>
        <sz val="9"/>
        <color rgb="FF000000"/>
        <rFont val="楷体"/>
        <charset val="134"/>
      </rPr>
      <t>正和岛</t>
    </r>
  </si>
  <si>
    <r>
      <rPr>
        <sz val="9"/>
        <color rgb="FF000000"/>
        <rFont val="楷体"/>
        <charset val="134"/>
      </rPr>
      <t>正和岛</t>
    </r>
  </si>
  <si>
    <r>
      <rPr>
        <sz val="9"/>
        <color rgb="FF000000"/>
        <rFont val="楷体"/>
        <charset val="134"/>
      </rPr>
      <t>正和岛是一个企业家社交平台，平台内实行实名制、会员制、收费制、邀请制，并将线上互动和线下活动相结合，为企业家群体提供缔结信任、解决问题及合作共赢的机会，帮助企业家进行相互了解，实现资源对接。</t>
    </r>
  </si>
  <si>
    <r>
      <rPr>
        <sz val="9"/>
        <color rgb="FF000000"/>
        <rFont val="楷体"/>
        <charset val="134"/>
      </rPr>
      <t>北京正和岛信息科技有限公司</t>
    </r>
  </si>
  <si>
    <r>
      <t xml:space="preserve">Tokopedia </t>
    </r>
    <r>
      <rPr>
        <sz val="9"/>
        <color rgb="FF000000"/>
        <rFont val="楷体"/>
        <charset val="134"/>
      </rPr>
      <t>成立于</t>
    </r>
    <r>
      <rPr>
        <sz val="9"/>
        <color rgb="FF000000"/>
        <rFont val="Arial"/>
        <charset val="134"/>
      </rPr>
      <t>2009</t>
    </r>
    <r>
      <rPr>
        <sz val="9"/>
        <color rgb="FF000000"/>
        <rFont val="楷体"/>
        <charset val="134"/>
      </rPr>
      <t>年，是印尼一家电商平台，相当于国内的</t>
    </r>
    <r>
      <rPr>
        <sz val="9"/>
        <color rgb="FF000000"/>
        <rFont val="Arial"/>
        <charset val="134"/>
      </rPr>
      <t>“</t>
    </r>
    <r>
      <rPr>
        <sz val="9"/>
        <color rgb="FF000000"/>
        <rFont val="楷体"/>
        <charset val="134"/>
      </rPr>
      <t>淘宝</t>
    </r>
    <r>
      <rPr>
        <sz val="9"/>
        <color rgb="FF000000"/>
        <rFont val="Arial"/>
        <charset val="134"/>
      </rPr>
      <t>”</t>
    </r>
    <r>
      <rPr>
        <sz val="9"/>
        <color rgb="FF000000"/>
        <rFont val="楷体"/>
        <charset val="134"/>
      </rPr>
      <t>。</t>
    </r>
  </si>
  <si>
    <r>
      <t>193.16</t>
    </r>
    <r>
      <rPr>
        <sz val="9"/>
        <color rgb="FF000000"/>
        <rFont val="楷体"/>
        <charset val="134"/>
      </rPr>
      <t>亿</t>
    </r>
  </si>
  <si>
    <r>
      <t>11</t>
    </r>
    <r>
      <rPr>
        <sz val="9"/>
        <color rgb="FF000000"/>
        <rFont val="楷体"/>
        <charset val="134"/>
      </rPr>
      <t>亿美元</t>
    </r>
  </si>
  <si>
    <r>
      <t>SoftBank capital,Sequoia Capital</t>
    </r>
    <r>
      <rPr>
        <sz val="9"/>
        <color rgb="FF000000"/>
        <rFont val="楷体"/>
        <charset val="134"/>
      </rPr>
      <t>红杉</t>
    </r>
  </si>
  <si>
    <r>
      <t>70</t>
    </r>
    <r>
      <rPr>
        <sz val="9"/>
        <color rgb="FF000000"/>
        <rFont val="楷体"/>
        <charset val="134"/>
      </rPr>
      <t>万美元</t>
    </r>
  </si>
  <si>
    <r>
      <t>Cyberagent Ventures</t>
    </r>
    <r>
      <rPr>
        <sz val="9"/>
        <color rgb="FF000000"/>
        <rFont val="楷体"/>
        <charset val="134"/>
      </rPr>
      <t>（国外投资）</t>
    </r>
  </si>
  <si>
    <r>
      <rPr>
        <sz val="9"/>
        <color rgb="FF000000"/>
        <rFont val="楷体"/>
        <charset val="134"/>
      </rPr>
      <t>商汤科技</t>
    </r>
    <r>
      <rPr>
        <sz val="9"/>
        <color rgb="FF000000"/>
        <rFont val="Arial"/>
        <charset val="134"/>
      </rPr>
      <t>SenseTime</t>
    </r>
  </si>
  <si>
    <r>
      <rPr>
        <sz val="9"/>
        <color rgb="FF000000"/>
        <rFont val="楷体"/>
        <charset val="134"/>
      </rPr>
      <t>商汤科技是全球领先的深度学习平台开发者，专注于打造人工智能视觉引擎。商汤基于自主研发的深度学习平台，输出全套人工智能视觉技术，包括成像处理、感知、识别，服务于金融、平安城市、机器人、无人驾驶等多个行业。</t>
    </r>
  </si>
  <si>
    <r>
      <rPr>
        <sz val="9"/>
        <color rgb="FF000000"/>
        <rFont val="楷体"/>
        <charset val="134"/>
      </rPr>
      <t>北京市商汤科技开发有限公司</t>
    </r>
  </si>
  <si>
    <r>
      <t>55.52</t>
    </r>
    <r>
      <rPr>
        <sz val="9"/>
        <color rgb="FF000000"/>
        <rFont val="楷体"/>
        <charset val="134"/>
      </rPr>
      <t>亿港元</t>
    </r>
  </si>
  <si>
    <r>
      <t>466.45</t>
    </r>
    <r>
      <rPr>
        <sz val="9"/>
        <color rgb="FF000000"/>
        <rFont val="楷体"/>
        <charset val="134"/>
      </rPr>
      <t>亿</t>
    </r>
  </si>
  <si>
    <r>
      <t>1025.6</t>
    </r>
    <r>
      <rPr>
        <sz val="9"/>
        <color rgb="FF000000"/>
        <rFont val="楷体"/>
        <charset val="134"/>
      </rPr>
      <t>亿元</t>
    </r>
  </si>
  <si>
    <r>
      <t>5.12</t>
    </r>
    <r>
      <rPr>
        <sz val="9"/>
        <color rgb="FF000000"/>
        <rFont val="楷体"/>
        <charset val="134"/>
      </rPr>
      <t>亿美元</t>
    </r>
  </si>
  <si>
    <r>
      <t>6.2</t>
    </r>
    <r>
      <rPr>
        <sz val="9"/>
        <color rgb="FF000000"/>
        <rFont val="楷体"/>
        <charset val="134"/>
      </rPr>
      <t>亿美元</t>
    </r>
  </si>
  <si>
    <r>
      <t>15</t>
    </r>
    <r>
      <rPr>
        <sz val="9"/>
        <color rgb="FF000000"/>
        <rFont val="楷体"/>
        <charset val="134"/>
      </rPr>
      <t>亿人民币</t>
    </r>
  </si>
  <si>
    <r>
      <t>4.1</t>
    </r>
    <r>
      <rPr>
        <sz val="9"/>
        <color rgb="FF000000"/>
        <rFont val="楷体"/>
        <charset val="134"/>
      </rPr>
      <t>亿美元</t>
    </r>
  </si>
  <si>
    <r>
      <rPr>
        <sz val="9"/>
        <color rgb="FF000000"/>
        <rFont val="楷体"/>
        <charset val="134"/>
      </rPr>
      <t>华谊兄弟</t>
    </r>
  </si>
  <si>
    <r>
      <rPr>
        <sz val="9"/>
        <color rgb="FF000000"/>
        <rFont val="楷体"/>
        <charset val="134"/>
      </rPr>
      <t>华谊兄弟</t>
    </r>
  </si>
  <si>
    <r>
      <rPr>
        <sz val="9"/>
        <color rgb="FF000000"/>
        <rFont val="楷体"/>
        <charset val="134"/>
      </rPr>
      <t>华谊兄弟是目前国内唯一一家将影视娱乐、品牌授权与实景娱乐和互联网娱乐三大业务板块及产业投资实现有效整合的娱乐传媒企业，是业内产业链完整、娱乐资源丰富的公司。在公司统一平台的整体运作下，各业务板块协同发展。</t>
    </r>
  </si>
  <si>
    <r>
      <rPr>
        <sz val="9"/>
        <color rgb="FF000000"/>
        <rFont val="楷体"/>
        <charset val="134"/>
      </rPr>
      <t>华谊兄弟传媒股份有限公司</t>
    </r>
  </si>
  <si>
    <r>
      <t>22.9</t>
    </r>
    <r>
      <rPr>
        <sz val="9"/>
        <color rgb="FF000000"/>
        <rFont val="楷体"/>
        <charset val="134"/>
      </rPr>
      <t>亿人民币</t>
    </r>
  </si>
  <si>
    <r>
      <t>93.81</t>
    </r>
    <r>
      <rPr>
        <sz val="9"/>
        <color rgb="FF000000"/>
        <rFont val="楷体"/>
        <charset val="134"/>
      </rPr>
      <t>亿</t>
    </r>
  </si>
  <si>
    <r>
      <t>114.5</t>
    </r>
    <r>
      <rPr>
        <sz val="9"/>
        <color rgb="FF000000"/>
        <rFont val="楷体"/>
        <charset val="134"/>
      </rPr>
      <t>亿元</t>
    </r>
  </si>
  <si>
    <r>
      <t>36</t>
    </r>
    <r>
      <rPr>
        <sz val="9"/>
        <color rgb="FF000000"/>
        <rFont val="楷体"/>
        <charset val="134"/>
      </rPr>
      <t>亿人民币</t>
    </r>
  </si>
  <si>
    <r>
      <rPr>
        <sz val="9"/>
        <color rgb="FF000000"/>
        <rFont val="楷体"/>
        <charset val="134"/>
      </rPr>
      <t>云锋基金</t>
    </r>
  </si>
  <si>
    <r>
      <t>Zomato</t>
    </r>
    <r>
      <rPr>
        <sz val="9"/>
        <color rgb="FF000000"/>
        <rFont val="楷体"/>
        <charset val="134"/>
      </rPr>
      <t>是一家印度美食搜索服务平台，主要服务于印度及阿联酋，为</t>
    </r>
    <r>
      <rPr>
        <sz val="9"/>
        <color rgb="FF000000"/>
        <rFont val="Arial"/>
        <charset val="134"/>
      </rPr>
      <t>23</t>
    </r>
    <r>
      <rPr>
        <sz val="9"/>
        <color rgb="FF000000"/>
        <rFont val="楷体"/>
        <charset val="134"/>
      </rPr>
      <t>个国家的</t>
    </r>
    <r>
      <rPr>
        <sz val="9"/>
        <color rgb="FF000000"/>
        <rFont val="Arial"/>
        <charset val="134"/>
      </rPr>
      <t>140</t>
    </r>
    <r>
      <rPr>
        <sz val="9"/>
        <color rgb="FF000000"/>
        <rFont val="楷体"/>
        <charset val="134"/>
      </rPr>
      <t>多万家餐馆提供深入的信息，致力于提供个性化美食及餐厅推荐，用户可按地点、美食、名称搜索餐馆，服务涉及订购预约、浏览菜单、地图指引、评论收藏等。</t>
    </r>
  </si>
  <si>
    <r>
      <t>5.6</t>
    </r>
    <r>
      <rPr>
        <sz val="9"/>
        <color rgb="FF000000"/>
        <rFont val="楷体"/>
        <charset val="134"/>
      </rPr>
      <t>亿美元</t>
    </r>
  </si>
  <si>
    <r>
      <t>T. Rowe Price,Tiger Global</t>
    </r>
    <r>
      <rPr>
        <sz val="9"/>
        <color rgb="FF000000"/>
        <rFont val="楷体"/>
        <charset val="134"/>
      </rPr>
      <t>老虎海外</t>
    </r>
    <r>
      <rPr>
        <sz val="9"/>
        <color rgb="FF000000"/>
        <rFont val="Arial"/>
        <charset val="134"/>
      </rPr>
      <t>,Baillie Gifford,</t>
    </r>
    <r>
      <rPr>
        <sz val="9"/>
        <color rgb="FF000000"/>
        <rFont val="楷体"/>
        <charset val="134"/>
      </rPr>
      <t>韩国未来资产</t>
    </r>
    <r>
      <rPr>
        <sz val="9"/>
        <color rgb="FF000000"/>
        <rFont val="Arial"/>
        <charset val="134"/>
      </rPr>
      <t>Mirae Asset Venture Investment,Fidelity Management and Research Company,Steadview Capital,New World,Government of Singapore,Canada Pension Plan</t>
    </r>
  </si>
  <si>
    <r>
      <t>201.89</t>
    </r>
    <r>
      <rPr>
        <sz val="9"/>
        <color rgb="FF000000"/>
        <rFont val="楷体"/>
        <charset val="134"/>
      </rPr>
      <t>亿</t>
    </r>
  </si>
  <si>
    <r>
      <t>390</t>
    </r>
    <r>
      <rPr>
        <sz val="9"/>
        <color rgb="FF000000"/>
        <rFont val="楷体"/>
        <charset val="134"/>
      </rPr>
      <t>亿元</t>
    </r>
  </si>
  <si>
    <r>
      <t>Tiger Global</t>
    </r>
    <r>
      <rPr>
        <sz val="9"/>
        <color rgb="FF000000"/>
        <rFont val="楷体"/>
        <charset val="134"/>
      </rPr>
      <t>老虎海外</t>
    </r>
    <r>
      <rPr>
        <sz val="9"/>
        <color rgb="FF000000"/>
        <rFont val="Arial"/>
        <charset val="134"/>
      </rPr>
      <t>,Dragoneer Investment Group,Fidelity Management and Research Company,Kora Management,Bow Wave Capital</t>
    </r>
  </si>
  <si>
    <r>
      <t>1.47</t>
    </r>
    <r>
      <rPr>
        <sz val="9"/>
        <color rgb="FF000000"/>
        <rFont val="楷体"/>
        <charset val="134"/>
      </rPr>
      <t>亿美元</t>
    </r>
  </si>
  <si>
    <r>
      <t>LG,</t>
    </r>
    <r>
      <rPr>
        <sz val="9"/>
        <color rgb="FF000000"/>
        <rFont val="楷体"/>
        <charset val="134"/>
      </rPr>
      <t>韩国未来资产</t>
    </r>
    <r>
      <rPr>
        <sz val="9"/>
        <color rgb="FF000000"/>
        <rFont val="Arial"/>
        <charset val="134"/>
      </rPr>
      <t>Mirae Asset Venture Investment,Steadview Capital,Pacific Horizon,Lugard Road Capital,ASP India LP</t>
    </r>
  </si>
  <si>
    <r>
      <t>1.04</t>
    </r>
    <r>
      <rPr>
        <sz val="9"/>
        <color rgb="FF000000"/>
        <rFont val="楷体"/>
        <charset val="134"/>
      </rPr>
      <t>亿美元</t>
    </r>
  </si>
  <si>
    <r>
      <t>Tiger Global</t>
    </r>
    <r>
      <rPr>
        <sz val="9"/>
        <color rgb="FF000000"/>
        <rFont val="楷体"/>
        <charset val="134"/>
      </rPr>
      <t>老虎海外</t>
    </r>
    <r>
      <rPr>
        <sz val="9"/>
        <color rgb="FF000000"/>
        <rFont val="Arial"/>
        <charset val="134"/>
      </rPr>
      <t>,</t>
    </r>
    <r>
      <rPr>
        <sz val="9"/>
        <color rgb="FF000000"/>
        <rFont val="楷体"/>
        <charset val="134"/>
      </rPr>
      <t>蚂蚁集团</t>
    </r>
  </si>
  <si>
    <r>
      <rPr>
        <sz val="9"/>
        <color rgb="FF000000"/>
        <rFont val="楷体"/>
        <charset val="134"/>
      </rPr>
      <t>蚂蚁集团</t>
    </r>
  </si>
  <si>
    <r>
      <t>6225</t>
    </r>
    <r>
      <rPr>
        <sz val="9"/>
        <color rgb="FF000000"/>
        <rFont val="楷体"/>
        <charset val="134"/>
      </rPr>
      <t>万美元</t>
    </r>
  </si>
  <si>
    <r>
      <t>2.1</t>
    </r>
    <r>
      <rPr>
        <sz val="9"/>
        <color rgb="FF000000"/>
        <rFont val="楷体"/>
        <charset val="134"/>
      </rPr>
      <t>亿美元</t>
    </r>
  </si>
  <si>
    <r>
      <t>H</t>
    </r>
    <r>
      <rPr>
        <sz val="9"/>
        <color rgb="FF000000"/>
        <rFont val="楷体"/>
        <charset val="134"/>
      </rPr>
      <t>轮</t>
    </r>
  </si>
  <si>
    <r>
      <rPr>
        <sz val="9"/>
        <color rgb="FF000000"/>
        <rFont val="楷体"/>
        <charset val="134"/>
      </rPr>
      <t>软银愿景基金</t>
    </r>
  </si>
  <si>
    <r>
      <t>Sequoia Capital</t>
    </r>
    <r>
      <rPr>
        <sz val="9"/>
        <color rgb="FF000000"/>
        <rFont val="楷体"/>
        <charset val="134"/>
      </rPr>
      <t>红杉</t>
    </r>
    <r>
      <rPr>
        <sz val="9"/>
        <color rgb="FF000000"/>
        <rFont val="Arial"/>
        <charset val="134"/>
      </rPr>
      <t>,VY Capital</t>
    </r>
  </si>
  <si>
    <r>
      <t>Sequoia Capital</t>
    </r>
    <r>
      <rPr>
        <sz val="9"/>
        <color rgb="FF000000"/>
        <rFont val="楷体"/>
        <charset val="134"/>
      </rPr>
      <t>红杉</t>
    </r>
  </si>
  <si>
    <r>
      <t>230</t>
    </r>
    <r>
      <rPr>
        <sz val="9"/>
        <color rgb="FF000000"/>
        <rFont val="楷体"/>
        <charset val="134"/>
      </rPr>
      <t>万美元</t>
    </r>
  </si>
  <si>
    <r>
      <t>Lazada</t>
    </r>
    <r>
      <rPr>
        <sz val="9"/>
        <color rgb="FF000000"/>
        <rFont val="楷体"/>
        <charset val="134"/>
      </rPr>
      <t>，东南亚地区最大的在线购物网站之一。获得德国创业孵化器</t>
    </r>
    <r>
      <rPr>
        <sz val="9"/>
        <color rgb="FF000000"/>
        <rFont val="Arial"/>
        <charset val="134"/>
      </rPr>
      <t>RocketInternet</t>
    </r>
    <r>
      <rPr>
        <sz val="9"/>
        <color rgb="FF000000"/>
        <rFont val="楷体"/>
        <charset val="134"/>
      </rPr>
      <t>桑威尔兄弟</t>
    </r>
    <r>
      <rPr>
        <sz val="9"/>
        <color rgb="FF000000"/>
        <rFont val="Arial"/>
        <charset val="134"/>
      </rPr>
      <t>(SamwerBrothers)</t>
    </r>
    <r>
      <rPr>
        <sz val="9"/>
        <color rgb="FF000000"/>
        <rFont val="楷体"/>
        <charset val="134"/>
      </rPr>
      <t>支持，</t>
    </r>
    <r>
      <rPr>
        <sz val="9"/>
        <color rgb="FF000000"/>
        <rFont val="Arial"/>
        <charset val="134"/>
      </rPr>
      <t>Lazada</t>
    </r>
    <r>
      <rPr>
        <sz val="9"/>
        <color rgb="FF000000"/>
        <rFont val="楷体"/>
        <charset val="134"/>
      </rPr>
      <t>的目标主要是印尼、马来西亚、菲律宾以及泰国用户。</t>
    </r>
  </si>
  <si>
    <r>
      <t>8.45</t>
    </r>
    <r>
      <rPr>
        <sz val="9"/>
        <color rgb="FF000000"/>
        <rFont val="楷体"/>
        <charset val="134"/>
      </rPr>
      <t>亿人民币</t>
    </r>
  </si>
  <si>
    <r>
      <t>306.35</t>
    </r>
    <r>
      <rPr>
        <sz val="9"/>
        <color rgb="FF000000"/>
        <rFont val="楷体"/>
        <charset val="134"/>
      </rPr>
      <t>亿</t>
    </r>
  </si>
  <si>
    <r>
      <t>42.25</t>
    </r>
    <r>
      <rPr>
        <sz val="9"/>
        <color rgb="FF000000"/>
        <rFont val="楷体"/>
        <charset val="134"/>
      </rPr>
      <t>亿元</t>
    </r>
  </si>
  <si>
    <r>
      <t>3.43</t>
    </r>
    <r>
      <rPr>
        <sz val="9"/>
        <color rgb="FF000000"/>
        <rFont val="楷体"/>
        <charset val="134"/>
      </rPr>
      <t>亿美元</t>
    </r>
  </si>
  <si>
    <r>
      <t>2</t>
    </r>
    <r>
      <rPr>
        <sz val="9"/>
        <color rgb="FF000000"/>
        <rFont val="楷体"/>
        <charset val="134"/>
      </rPr>
      <t>亿欧元</t>
    </r>
  </si>
  <si>
    <r>
      <t xml:space="preserve">Aiming  </t>
    </r>
    <r>
      <rPr>
        <sz val="9"/>
        <color rgb="FF000000"/>
        <rFont val="楷体"/>
        <charset val="134"/>
      </rPr>
      <t>成立于</t>
    </r>
    <r>
      <rPr>
        <sz val="9"/>
        <color rgb="FF000000"/>
        <rFont val="Arial"/>
        <charset val="134"/>
      </rPr>
      <t>2011</t>
    </r>
    <r>
      <rPr>
        <sz val="9"/>
        <color rgb="FF000000"/>
        <rFont val="楷体"/>
        <charset val="134"/>
      </rPr>
      <t>年</t>
    </r>
    <r>
      <rPr>
        <sz val="9"/>
        <color rgb="FF000000"/>
        <rFont val="Arial"/>
        <charset val="134"/>
      </rPr>
      <t>5</t>
    </r>
    <r>
      <rPr>
        <sz val="9"/>
        <color rgb="FF000000"/>
        <rFont val="楷体"/>
        <charset val="134"/>
      </rPr>
      <t>月，是日本一家手游开发公司，已经出版的产品包括：《侍道</t>
    </r>
    <r>
      <rPr>
        <sz val="9"/>
        <color rgb="FF000000"/>
        <rFont val="Arial"/>
        <charset val="134"/>
      </rPr>
      <t>(Blade Chronicle)</t>
    </r>
    <r>
      <rPr>
        <sz val="9"/>
        <color rgb="FF000000"/>
        <rFont val="楷体"/>
        <charset val="134"/>
      </rPr>
      <t>》和</t>
    </r>
    <r>
      <rPr>
        <sz val="9"/>
        <color rgb="FF000000"/>
        <rFont val="Arial"/>
        <charset val="134"/>
      </rPr>
      <t>PRG</t>
    </r>
    <r>
      <rPr>
        <sz val="9"/>
        <color rgb="FF000000"/>
        <rFont val="楷体"/>
        <charset val="134"/>
      </rPr>
      <t>卡牌游戏《圣骑之王</t>
    </r>
    <r>
      <rPr>
        <sz val="9"/>
        <color rgb="FF000000"/>
        <rFont val="Arial"/>
        <charset val="134"/>
      </rPr>
      <t>(Lord of Knights)</t>
    </r>
    <r>
      <rPr>
        <sz val="9"/>
        <color rgb="FF000000"/>
        <rFont val="楷体"/>
        <charset val="134"/>
      </rPr>
      <t>》等。</t>
    </r>
  </si>
  <si>
    <r>
      <t>3.25</t>
    </r>
    <r>
      <rPr>
        <sz val="9"/>
        <color rgb="FF000000"/>
        <rFont val="楷体"/>
        <charset val="134"/>
      </rPr>
      <t>亿</t>
    </r>
  </si>
  <si>
    <r>
      <t>Sportradar</t>
    </r>
    <r>
      <rPr>
        <sz val="9"/>
        <color rgb="FF000000"/>
        <rFont val="楷体"/>
        <charset val="134"/>
      </rPr>
      <t>雷达体育</t>
    </r>
  </si>
  <si>
    <r>
      <t>Sportradar</t>
    </r>
    <r>
      <rPr>
        <sz val="9"/>
        <color rgb="FF000000"/>
        <rFont val="楷体"/>
        <charset val="134"/>
      </rPr>
      <t>雷达体育</t>
    </r>
  </si>
  <si>
    <r>
      <t>Sportradar(</t>
    </r>
    <r>
      <rPr>
        <sz val="9"/>
        <color rgb="FF000000"/>
        <rFont val="楷体"/>
        <charset val="134"/>
      </rPr>
      <t>雷达体育</t>
    </r>
    <r>
      <rPr>
        <sz val="9"/>
        <color rgb="FF000000"/>
        <rFont val="Arial"/>
        <charset val="134"/>
      </rPr>
      <t>)</t>
    </r>
    <r>
      <rPr>
        <sz val="9"/>
        <color rgb="FF000000"/>
        <rFont val="楷体"/>
        <charset val="134"/>
      </rPr>
      <t>是一家体育大数据、体育投注数据供应商，以</t>
    </r>
    <r>
      <rPr>
        <sz val="9"/>
        <color rgb="FF000000"/>
        <rFont val="Arial"/>
        <charset val="134"/>
      </rPr>
      <t>Sportradar XML</t>
    </r>
    <r>
      <rPr>
        <sz val="9"/>
        <color rgb="FF000000"/>
        <rFont val="楷体"/>
        <charset val="134"/>
      </rPr>
      <t>原数据为基准，开发出嵌套版数据供各大彩票公司使用。北京舒福乐科技有限公司旗下产品。</t>
    </r>
  </si>
  <si>
    <r>
      <rPr>
        <sz val="9"/>
        <color rgb="FF000000"/>
        <rFont val="楷体"/>
        <charset val="134"/>
      </rPr>
      <t>北京舒福乐科技有限公司</t>
    </r>
  </si>
  <si>
    <r>
      <rPr>
        <sz val="9"/>
        <color rgb="FF000000"/>
        <rFont val="楷体"/>
        <charset val="134"/>
      </rPr>
      <t>其他体育服务</t>
    </r>
  </si>
  <si>
    <r>
      <t>150</t>
    </r>
    <r>
      <rPr>
        <sz val="9"/>
        <color rgb="FF000000"/>
        <rFont val="楷体"/>
        <charset val="134"/>
      </rPr>
      <t>万美元</t>
    </r>
  </si>
  <si>
    <r>
      <t>975</t>
    </r>
    <r>
      <rPr>
        <sz val="9"/>
        <color rgb="FF000000"/>
        <rFont val="楷体"/>
        <charset val="134"/>
      </rPr>
      <t>万</t>
    </r>
  </si>
  <si>
    <r>
      <t>4875</t>
    </r>
    <r>
      <rPr>
        <sz val="9"/>
        <color rgb="FF000000"/>
        <rFont val="楷体"/>
        <charset val="134"/>
      </rPr>
      <t>万元</t>
    </r>
  </si>
  <si>
    <r>
      <t>Snapchat</t>
    </r>
    <r>
      <rPr>
        <sz val="9"/>
        <color rgb="FF000000"/>
        <rFont val="楷体"/>
        <charset val="134"/>
      </rPr>
      <t>是一款</t>
    </r>
    <r>
      <rPr>
        <sz val="9"/>
        <color rgb="FF000000"/>
        <rFont val="Arial"/>
        <charset val="134"/>
      </rPr>
      <t>“</t>
    </r>
    <r>
      <rPr>
        <sz val="9"/>
        <color rgb="FF000000"/>
        <rFont val="楷体"/>
        <charset val="134"/>
      </rPr>
      <t>阅后即焚</t>
    </r>
    <r>
      <rPr>
        <sz val="9"/>
        <color rgb="FF000000"/>
        <rFont val="Arial"/>
        <charset val="134"/>
      </rPr>
      <t>”</t>
    </r>
    <r>
      <rPr>
        <sz val="9"/>
        <color rgb="FF000000"/>
        <rFont val="楷体"/>
        <charset val="134"/>
      </rPr>
      <t>照片分享应用。利用该应用程序，用户可以拍照、录制视频、添加文字和图画，并将他们发送到自己在该应用上的好友列表。</t>
    </r>
  </si>
  <si>
    <r>
      <t>463.2</t>
    </r>
    <r>
      <rPr>
        <sz val="9"/>
        <color rgb="FF000000"/>
        <rFont val="楷体"/>
        <charset val="134"/>
      </rPr>
      <t>亿</t>
    </r>
  </si>
  <si>
    <r>
      <t>706.55</t>
    </r>
    <r>
      <rPr>
        <sz val="9"/>
        <color rgb="FF000000"/>
        <rFont val="楷体"/>
        <charset val="134"/>
      </rPr>
      <t>亿元</t>
    </r>
  </si>
  <si>
    <r>
      <t>Evan Spiegel:</t>
    </r>
    <r>
      <rPr>
        <sz val="9"/>
        <color rgb="FF000000"/>
        <rFont val="楷体"/>
        <charset val="134"/>
      </rPr>
      <t>创始人</t>
    </r>
    <r>
      <rPr>
        <sz val="9"/>
        <color rgb="FF000000"/>
        <rFont val="Arial"/>
        <charset val="134"/>
      </rPr>
      <t xml:space="preserve"> ,Christie Heikkinen:Product Designer,Christine Barron:Product Manager,Ed Couchman:Regional General Manager, DACH, Netherlands, Nordics and UK,Goetz Trillhaas:Managing Director DACH,Jesse Missad:Agency Lead,Karanbir Lamba:Head of Creator and Talent Partnerships,Matthew Bryant:Security Engineer,Peter Naylor:VP of Sales,Sean Mills:Snapchat,Diana Shkolnikov:Senior Engineering Manager of Maps,Edgar Neto:Partner Engineering Manager,James M Murray:Chief Security Officer,Klaus Tritschler:Design,Prajwal R.M:Creator,Randy Meech:Director of Engineering - Maps,Simon Nielsen:Program Manager,Tim Killian:Software Engineer</t>
    </r>
  </si>
  <si>
    <r>
      <t>34</t>
    </r>
    <r>
      <rPr>
        <sz val="9"/>
        <color rgb="FF000000"/>
        <rFont val="楷体"/>
        <charset val="134"/>
      </rPr>
      <t>亿美元</t>
    </r>
  </si>
  <si>
    <r>
      <t>18.1</t>
    </r>
    <r>
      <rPr>
        <sz val="9"/>
        <color rgb="FF000000"/>
        <rFont val="楷体"/>
        <charset val="134"/>
      </rPr>
      <t>亿美元</t>
    </r>
  </si>
  <si>
    <r>
      <t>5.38</t>
    </r>
    <r>
      <rPr>
        <sz val="9"/>
        <color rgb="FF000000"/>
        <rFont val="楷体"/>
        <charset val="134"/>
      </rPr>
      <t>亿美元</t>
    </r>
  </si>
  <si>
    <r>
      <t>Kleiner Perkins Caufield &amp; Byers(KPCB</t>
    </r>
    <r>
      <rPr>
        <sz val="9"/>
        <color rgb="FF000000"/>
        <rFont val="楷体"/>
        <charset val="134"/>
      </rPr>
      <t>全球</t>
    </r>
    <r>
      <rPr>
        <sz val="9"/>
        <color rgb="FF000000"/>
        <rFont val="Arial"/>
        <charset val="134"/>
      </rPr>
      <t>),August Capital,GIC</t>
    </r>
    <r>
      <rPr>
        <sz val="9"/>
        <color rgb="FF000000"/>
        <rFont val="楷体"/>
        <charset val="134"/>
      </rPr>
      <t>新加坡政府投资公司</t>
    </r>
  </si>
  <si>
    <r>
      <t>1250</t>
    </r>
    <r>
      <rPr>
        <sz val="9"/>
        <color rgb="FF000000"/>
        <rFont val="楷体"/>
        <charset val="134"/>
      </rPr>
      <t>万美元</t>
    </r>
  </si>
  <si>
    <r>
      <t>Lightspeed Venture Partners</t>
    </r>
    <r>
      <rPr>
        <sz val="9"/>
        <color rgb="FF000000"/>
        <rFont val="楷体"/>
        <charset val="134"/>
      </rPr>
      <t>光速全球</t>
    </r>
    <r>
      <rPr>
        <sz val="9"/>
        <color rgb="FF000000"/>
        <rFont val="Arial"/>
        <charset val="134"/>
      </rPr>
      <t>,SV Angel,Benchmark Capital</t>
    </r>
  </si>
  <si>
    <r>
      <rPr>
        <sz val="9"/>
        <color rgb="FF000000"/>
        <rFont val="楷体"/>
        <charset val="134"/>
      </rPr>
      <t>九五智驾网</t>
    </r>
  </si>
  <si>
    <r>
      <rPr>
        <sz val="9"/>
        <color rgb="FF000000"/>
        <rFont val="楷体"/>
        <charset val="134"/>
      </rPr>
      <t>九五智驾网</t>
    </r>
  </si>
  <si>
    <r>
      <rPr>
        <sz val="9"/>
        <color rgb="FF000000"/>
        <rFont val="楷体"/>
        <charset val="134"/>
      </rPr>
      <t>九五智驾网是一个汽车出行服务平台，为集团客户和个人用户提供汽车出行服务及基于驾驶行为和车况的大数据分析等服务和产品，隶属于北京九五智驾信息技术股份有限公司。</t>
    </r>
  </si>
  <si>
    <r>
      <rPr>
        <sz val="9"/>
        <color rgb="FF000000"/>
        <rFont val="楷体"/>
        <charset val="134"/>
      </rPr>
      <t>北京九五智驾信息技术股份有限公司</t>
    </r>
  </si>
  <si>
    <r>
      <t>2.46</t>
    </r>
    <r>
      <rPr>
        <sz val="9"/>
        <color rgb="FF000000"/>
        <rFont val="楷体"/>
        <charset val="134"/>
      </rPr>
      <t>亿人民币</t>
    </r>
  </si>
  <si>
    <r>
      <rPr>
        <sz val="9"/>
        <color rgb="FF000000"/>
        <rFont val="楷体"/>
        <charset val="134"/>
      </rPr>
      <t>兴民智通</t>
    </r>
  </si>
  <si>
    <r>
      <t>2.96</t>
    </r>
    <r>
      <rPr>
        <sz val="9"/>
        <color rgb="FF000000"/>
        <rFont val="楷体"/>
        <charset val="134"/>
      </rPr>
      <t>亿</t>
    </r>
  </si>
  <si>
    <r>
      <t>12.3</t>
    </r>
    <r>
      <rPr>
        <sz val="9"/>
        <color rgb="FF000000"/>
        <rFont val="楷体"/>
        <charset val="134"/>
      </rPr>
      <t>亿元</t>
    </r>
  </si>
  <si>
    <r>
      <rPr>
        <sz val="9"/>
        <color rgb="FF000000"/>
        <rFont val="楷体"/>
        <charset val="134"/>
      </rPr>
      <t>北汽产投</t>
    </r>
  </si>
  <si>
    <r>
      <rPr>
        <sz val="9"/>
        <color rgb="FF000000"/>
        <rFont val="楷体"/>
        <charset val="134"/>
      </rPr>
      <t>考拉海购</t>
    </r>
  </si>
  <si>
    <r>
      <rPr>
        <sz val="9"/>
        <color rgb="FF000000"/>
        <rFont val="楷体"/>
        <charset val="134"/>
      </rPr>
      <t>考拉海购</t>
    </r>
  </si>
  <si>
    <r>
      <rPr>
        <sz val="9"/>
        <color rgb="FF000000"/>
        <rFont val="楷体"/>
        <charset val="134"/>
      </rPr>
      <t>杭州优买科技有限公司</t>
    </r>
  </si>
  <si>
    <r>
      <rPr>
        <sz val="9"/>
        <color rgb="FF000000"/>
        <rFont val="楷体"/>
        <charset val="134"/>
      </rPr>
      <t>跨境电商</t>
    </r>
  </si>
  <si>
    <r>
      <t>130</t>
    </r>
    <r>
      <rPr>
        <sz val="9"/>
        <color rgb="FF000000"/>
        <rFont val="楷体"/>
        <charset val="134"/>
      </rPr>
      <t>亿</t>
    </r>
  </si>
  <si>
    <r>
      <t>650</t>
    </r>
    <r>
      <rPr>
        <sz val="9"/>
        <color rgb="FF000000"/>
        <rFont val="楷体"/>
        <charset val="134"/>
      </rPr>
      <t>亿元</t>
    </r>
  </si>
  <si>
    <r>
      <rPr>
        <sz val="9"/>
        <color rgb="FF000000"/>
        <rFont val="楷体"/>
        <charset val="134"/>
      </rPr>
      <t>芒果超媒</t>
    </r>
  </si>
  <si>
    <r>
      <rPr>
        <sz val="9"/>
        <color rgb="FF000000"/>
        <rFont val="楷体"/>
        <charset val="134"/>
      </rPr>
      <t>芒果超媒</t>
    </r>
  </si>
  <si>
    <r>
      <rPr>
        <sz val="9"/>
        <color rgb="FF000000"/>
        <rFont val="楷体"/>
        <charset val="134"/>
      </rPr>
      <t>芒果超媒股份有限公司</t>
    </r>
  </si>
  <si>
    <r>
      <t>62</t>
    </r>
    <r>
      <rPr>
        <sz val="9"/>
        <color rgb="FF000000"/>
        <rFont val="楷体"/>
        <charset val="134"/>
      </rPr>
      <t>亿人民币</t>
    </r>
  </si>
  <si>
    <r>
      <t>89.4</t>
    </r>
    <r>
      <rPr>
        <sz val="9"/>
        <color rgb="FF000000"/>
        <rFont val="楷体"/>
        <charset val="134"/>
      </rPr>
      <t>亿</t>
    </r>
  </si>
  <si>
    <r>
      <t>1178.7072</t>
    </r>
    <r>
      <rPr>
        <sz val="9"/>
        <color rgb="FF000000"/>
        <rFont val="楷体"/>
        <charset val="134"/>
      </rPr>
      <t>亿元</t>
    </r>
  </si>
  <si>
    <r>
      <t>6.34</t>
    </r>
    <r>
      <rPr>
        <sz val="9"/>
        <color rgb="FF000000"/>
        <rFont val="楷体"/>
        <charset val="134"/>
      </rPr>
      <t>亿人民币</t>
    </r>
  </si>
  <si>
    <r>
      <t>5600</t>
    </r>
    <r>
      <rPr>
        <sz val="9"/>
        <color rgb="FF000000"/>
        <rFont val="楷体"/>
        <charset val="134"/>
      </rPr>
      <t>万人民币</t>
    </r>
  </si>
  <si>
    <r>
      <t>3.3</t>
    </r>
    <r>
      <rPr>
        <sz val="9"/>
        <color rgb="FF000000"/>
        <rFont val="楷体"/>
        <charset val="134"/>
      </rPr>
      <t>亿人民币</t>
    </r>
  </si>
  <si>
    <r>
      <rPr>
        <sz val="9"/>
        <color rgb="FF000000"/>
        <rFont val="楷体"/>
        <charset val="134"/>
      </rPr>
      <t>一达通</t>
    </r>
  </si>
  <si>
    <r>
      <rPr>
        <sz val="9"/>
        <color rgb="FF000000"/>
        <rFont val="楷体"/>
        <charset val="134"/>
      </rPr>
      <t>一达通</t>
    </r>
  </si>
  <si>
    <r>
      <rPr>
        <sz val="9"/>
        <color rgb="FF000000"/>
        <rFont val="楷体"/>
        <charset val="134"/>
      </rPr>
      <t>深圳市一达通企业服务有限公司</t>
    </r>
  </si>
  <si>
    <r>
      <t>Visualead</t>
    </r>
    <r>
      <rPr>
        <sz val="9"/>
        <color rgb="FF000000"/>
        <rFont val="楷体"/>
        <charset val="134"/>
      </rPr>
      <t>是一家以色列二维码技术创业公司，该技术可以将任何图像、动画甚至是视频转换成有趣又有效的视觉二维码。</t>
    </r>
  </si>
  <si>
    <r>
      <rPr>
        <sz val="9"/>
        <color rgb="FF000000"/>
        <rFont val="楷体"/>
        <charset val="134"/>
      </rPr>
      <t>事项及效率</t>
    </r>
  </si>
  <si>
    <r>
      <t>4712.5</t>
    </r>
    <r>
      <rPr>
        <sz val="9"/>
        <color rgb="FF000000"/>
        <rFont val="楷体"/>
        <charset val="134"/>
      </rPr>
      <t>万</t>
    </r>
  </si>
  <si>
    <r>
      <t>1.625</t>
    </r>
    <r>
      <rPr>
        <sz val="9"/>
        <color rgb="FF000000"/>
        <rFont val="楷体"/>
        <charset val="134"/>
      </rPr>
      <t>亿元</t>
    </r>
  </si>
  <si>
    <r>
      <t>75</t>
    </r>
    <r>
      <rPr>
        <sz val="9"/>
        <color rgb="FF000000"/>
        <rFont val="楷体"/>
        <charset val="134"/>
      </rPr>
      <t>万美元</t>
    </r>
  </si>
  <si>
    <r>
      <rPr>
        <sz val="9"/>
        <color rgb="FF000000"/>
        <rFont val="楷体"/>
        <charset val="134"/>
      </rPr>
      <t>极链科技</t>
    </r>
    <r>
      <rPr>
        <sz val="9"/>
        <color rgb="FF000000"/>
        <rFont val="Arial"/>
        <charset val="134"/>
      </rPr>
      <t>Video++</t>
    </r>
  </si>
  <si>
    <r>
      <t>Video++</t>
    </r>
    <r>
      <rPr>
        <sz val="9"/>
        <color rgb="FF000000"/>
        <rFont val="楷体"/>
        <charset val="134"/>
      </rPr>
      <t>极链科技集团是聚焦于文娱产业的</t>
    </r>
    <r>
      <rPr>
        <sz val="9"/>
        <color rgb="FF000000"/>
        <rFont val="Arial"/>
        <charset val="134"/>
      </rPr>
      <t>AI</t>
    </r>
    <r>
      <rPr>
        <sz val="9"/>
        <color rgb="FF000000"/>
        <rFont val="楷体"/>
        <charset val="134"/>
      </rPr>
      <t>科技独角兽企业，深度客户：优酷、芒果、乐视、搜狐、斗鱼、熊猫、一直播、虎牙、抖音等视频、直播、短视频平台，为平台提供</t>
    </r>
    <r>
      <rPr>
        <sz val="9"/>
        <color rgb="FF000000"/>
        <rFont val="Arial"/>
        <charset val="134"/>
      </rPr>
      <t>AI</t>
    </r>
    <r>
      <rPr>
        <sz val="9"/>
        <color rgb="FF000000"/>
        <rFont val="楷体"/>
        <charset val="134"/>
      </rPr>
      <t>、电商、互动娱乐、情景广告、视频搜索、视频头条等系统应用。投资方包括</t>
    </r>
    <r>
      <rPr>
        <sz val="9"/>
        <color rgb="FF000000"/>
        <rFont val="Arial"/>
        <charset val="134"/>
      </rPr>
      <t>Face++</t>
    </r>
    <r>
      <rPr>
        <sz val="9"/>
        <color rgb="FF000000"/>
        <rFont val="楷体"/>
        <charset val="134"/>
      </rPr>
      <t>旷视科技、头头是道、</t>
    </r>
    <r>
      <rPr>
        <sz val="9"/>
        <color rgb="FF000000"/>
        <rFont val="Arial"/>
        <charset val="134"/>
      </rPr>
      <t xml:space="preserve"> </t>
    </r>
    <r>
      <rPr>
        <sz val="9"/>
        <color rgb="FF000000"/>
        <rFont val="楷体"/>
        <charset val="134"/>
      </rPr>
      <t>阿里巴巴集团、云锋基金、中国国投等。</t>
    </r>
  </si>
  <si>
    <r>
      <rPr>
        <sz val="9"/>
        <color rgb="FF000000"/>
        <rFont val="楷体"/>
        <charset val="134"/>
      </rPr>
      <t>上海极链科技发展集团有限公司</t>
    </r>
  </si>
  <si>
    <r>
      <t>7.21</t>
    </r>
    <r>
      <rPr>
        <sz val="9"/>
        <color rgb="FF000000"/>
        <rFont val="楷体"/>
        <charset val="134"/>
      </rPr>
      <t>亿人民币</t>
    </r>
  </si>
  <si>
    <r>
      <t>15.92</t>
    </r>
    <r>
      <rPr>
        <sz val="9"/>
        <color rgb="FF000000"/>
        <rFont val="楷体"/>
        <charset val="134"/>
      </rPr>
      <t>亿</t>
    </r>
  </si>
  <si>
    <r>
      <t>35</t>
    </r>
    <r>
      <rPr>
        <sz val="9"/>
        <color rgb="FF000000"/>
        <rFont val="楷体"/>
        <charset val="134"/>
      </rPr>
      <t>亿元</t>
    </r>
  </si>
  <si>
    <r>
      <t>3050</t>
    </r>
    <r>
      <rPr>
        <sz val="9"/>
        <color rgb="FF000000"/>
        <rFont val="楷体"/>
        <charset val="134"/>
      </rPr>
      <t>万人民币</t>
    </r>
  </si>
  <si>
    <r>
      <rPr>
        <sz val="9"/>
        <color rgb="FF000000"/>
        <rFont val="楷体"/>
        <charset val="134"/>
      </rPr>
      <t>乔贝资本</t>
    </r>
  </si>
  <si>
    <r>
      <t>3.49</t>
    </r>
    <r>
      <rPr>
        <sz val="9"/>
        <color rgb="FF000000"/>
        <rFont val="楷体"/>
        <charset val="134"/>
      </rPr>
      <t>亿人民币</t>
    </r>
  </si>
  <si>
    <r>
      <t>1.49</t>
    </r>
    <r>
      <rPr>
        <sz val="9"/>
        <color rgb="FF000000"/>
        <rFont val="楷体"/>
        <charset val="134"/>
      </rPr>
      <t>亿人民币</t>
    </r>
  </si>
  <si>
    <r>
      <t>900</t>
    </r>
    <r>
      <rPr>
        <sz val="9"/>
        <color rgb="FF000000"/>
        <rFont val="楷体"/>
        <charset val="134"/>
      </rPr>
      <t>万人民币</t>
    </r>
  </si>
  <si>
    <r>
      <rPr>
        <sz val="9"/>
        <color rgb="FF000000"/>
        <rFont val="楷体"/>
        <charset val="134"/>
      </rPr>
      <t>上海金地开悦</t>
    </r>
  </si>
  <si>
    <r>
      <rPr>
        <sz val="9"/>
        <color rgb="FF000000"/>
        <rFont val="楷体"/>
        <charset val="134"/>
      </rPr>
      <t>数梦工场</t>
    </r>
  </si>
  <si>
    <r>
      <rPr>
        <sz val="9"/>
        <color rgb="FF000000"/>
        <rFont val="楷体"/>
        <charset val="134"/>
      </rPr>
      <t>数梦工场</t>
    </r>
  </si>
  <si>
    <r>
      <rPr>
        <sz val="9"/>
        <color rgb="FF000000"/>
        <rFont val="楷体"/>
        <charset val="134"/>
      </rPr>
      <t>数梦工场是基于阿里云独立研发的飞天平台，面向政府、金融、公共事业和企业，提供场景化的数据服务，让数据创造价值，帮助用户面向全局解决问题。</t>
    </r>
  </si>
  <si>
    <r>
      <rPr>
        <sz val="9"/>
        <color rgb="FF000000"/>
        <rFont val="楷体"/>
        <charset val="134"/>
      </rPr>
      <t>杭州数梦工场科技有限公司</t>
    </r>
  </si>
  <si>
    <r>
      <t>21</t>
    </r>
    <r>
      <rPr>
        <sz val="9"/>
        <color rgb="FF000000"/>
        <rFont val="楷体"/>
        <charset val="134"/>
      </rPr>
      <t>亿</t>
    </r>
  </si>
  <si>
    <r>
      <t>130</t>
    </r>
    <r>
      <rPr>
        <sz val="9"/>
        <color rgb="FF000000"/>
        <rFont val="楷体"/>
        <charset val="134"/>
      </rPr>
      <t>亿元</t>
    </r>
  </si>
  <si>
    <r>
      <t>7.5</t>
    </r>
    <r>
      <rPr>
        <sz val="9"/>
        <color rgb="FF000000"/>
        <rFont val="楷体"/>
        <charset val="134"/>
      </rPr>
      <t>亿人民币</t>
    </r>
  </si>
  <si>
    <r>
      <t>4.5</t>
    </r>
    <r>
      <rPr>
        <sz val="9"/>
        <color rgb="FF000000"/>
        <rFont val="楷体"/>
        <charset val="134"/>
      </rPr>
      <t>亿人民币</t>
    </r>
  </si>
  <si>
    <r>
      <t>Quixey</t>
    </r>
    <r>
      <rPr>
        <sz val="9"/>
        <color rgb="FF000000"/>
        <rFont val="楷体"/>
        <charset val="134"/>
      </rPr>
      <t>是一家应用搜索引掣公司，可索引大量非结构化数据来定义应用属性、功能及受欢迎程度，同时兼具应用内搜索功能，便于用户搜索应用。</t>
    </r>
  </si>
  <si>
    <r>
      <rPr>
        <sz val="9"/>
        <color rgb="FF000000"/>
        <rFont val="楷体"/>
        <charset val="134"/>
      </rPr>
      <t>搜索引擎</t>
    </r>
  </si>
  <si>
    <r>
      <t>10.65</t>
    </r>
    <r>
      <rPr>
        <sz val="9"/>
        <color rgb="FF000000"/>
        <rFont val="楷体"/>
        <charset val="134"/>
      </rPr>
      <t>亿</t>
    </r>
  </si>
  <si>
    <r>
      <t>GGV</t>
    </r>
    <r>
      <rPr>
        <sz val="9"/>
        <color rgb="FF000000"/>
        <rFont val="楷体"/>
        <charset val="134"/>
      </rPr>
      <t>纪源资本</t>
    </r>
    <r>
      <rPr>
        <sz val="9"/>
        <color rgb="FF000000"/>
        <rFont val="Arial"/>
        <charset val="134"/>
      </rPr>
      <t>,</t>
    </r>
    <r>
      <rPr>
        <sz val="9"/>
        <color rgb="FF000000"/>
        <rFont val="楷体"/>
        <charset val="134"/>
      </rPr>
      <t>阿里巴巴</t>
    </r>
    <r>
      <rPr>
        <sz val="9"/>
        <color rgb="FF000000"/>
        <rFont val="Arial"/>
        <charset val="134"/>
      </rPr>
      <t>,SoftBank capital</t>
    </r>
  </si>
  <si>
    <r>
      <t>380</t>
    </r>
    <r>
      <rPr>
        <sz val="9"/>
        <color rgb="FF000000"/>
        <rFont val="楷体"/>
        <charset val="134"/>
      </rPr>
      <t>万美元</t>
    </r>
  </si>
  <si>
    <r>
      <rPr>
        <sz val="9"/>
        <color rgb="FF000000"/>
        <rFont val="楷体"/>
        <charset val="134"/>
      </rPr>
      <t>天鹅到家</t>
    </r>
  </si>
  <si>
    <r>
      <rPr>
        <sz val="9"/>
        <color rgb="FF000000"/>
        <rFont val="楷体"/>
        <charset val="134"/>
      </rPr>
      <t>天鹅到家</t>
    </r>
  </si>
  <si>
    <r>
      <rPr>
        <sz val="9"/>
        <color rgb="FF000000"/>
        <rFont val="楷体"/>
        <charset val="134"/>
      </rPr>
      <t>天津五八到家生活服务有限公司</t>
    </r>
  </si>
  <si>
    <r>
      <t>26</t>
    </r>
    <r>
      <rPr>
        <sz val="9"/>
        <color rgb="FF000000"/>
        <rFont val="楷体"/>
        <charset val="134"/>
      </rPr>
      <t>亿</t>
    </r>
  </si>
  <si>
    <r>
      <t>117</t>
    </r>
    <r>
      <rPr>
        <sz val="9"/>
        <color rgb="FF000000"/>
        <rFont val="楷体"/>
        <charset val="134"/>
      </rPr>
      <t>亿元</t>
    </r>
  </si>
  <si>
    <r>
      <rPr>
        <sz val="9"/>
        <color rgb="FF000000"/>
        <rFont val="楷体"/>
        <charset val="134"/>
      </rPr>
      <t>光线传媒</t>
    </r>
  </si>
  <si>
    <r>
      <rPr>
        <sz val="9"/>
        <color rgb="FF000000"/>
        <rFont val="楷体"/>
        <charset val="134"/>
      </rPr>
      <t>光线传媒</t>
    </r>
  </si>
  <si>
    <r>
      <rPr>
        <sz val="9"/>
        <color rgb="FF000000"/>
        <rFont val="楷体"/>
        <charset val="134"/>
      </rPr>
      <t>北京光线传媒股份有限公司</t>
    </r>
  </si>
  <si>
    <r>
      <t>24</t>
    </r>
    <r>
      <rPr>
        <sz val="9"/>
        <color rgb="FF000000"/>
        <rFont val="楷体"/>
        <charset val="134"/>
      </rPr>
      <t>亿人民币</t>
    </r>
  </si>
  <si>
    <r>
      <t>38.4</t>
    </r>
    <r>
      <rPr>
        <sz val="9"/>
        <color rgb="FF000000"/>
        <rFont val="楷体"/>
        <charset val="134"/>
      </rPr>
      <t>亿</t>
    </r>
  </si>
  <si>
    <r>
      <t>14.4</t>
    </r>
    <r>
      <rPr>
        <sz val="9"/>
        <color rgb="FF000000"/>
        <rFont val="楷体"/>
        <charset val="134"/>
      </rPr>
      <t>亿人民币</t>
    </r>
  </si>
  <si>
    <r>
      <rPr>
        <sz val="9"/>
        <color rgb="FF000000"/>
        <rFont val="楷体"/>
        <charset val="134"/>
      </rPr>
      <t>韵达股份</t>
    </r>
  </si>
  <si>
    <r>
      <rPr>
        <sz val="9"/>
        <color rgb="FF000000"/>
        <rFont val="楷体"/>
        <charset val="134"/>
      </rPr>
      <t>韵达股份</t>
    </r>
  </si>
  <si>
    <r>
      <rPr>
        <sz val="9"/>
        <color rgb="FF000000"/>
        <rFont val="楷体"/>
        <charset val="134"/>
      </rPr>
      <t>韵达控股股份有限公司</t>
    </r>
  </si>
  <si>
    <r>
      <t>363.34</t>
    </r>
    <r>
      <rPr>
        <sz val="9"/>
        <color rgb="FF000000"/>
        <rFont val="楷体"/>
        <charset val="134"/>
      </rPr>
      <t>亿</t>
    </r>
  </si>
  <si>
    <r>
      <t>177.6</t>
    </r>
    <r>
      <rPr>
        <sz val="9"/>
        <color rgb="FF000000"/>
        <rFont val="楷体"/>
        <charset val="134"/>
      </rPr>
      <t>亿人民币</t>
    </r>
  </si>
  <si>
    <r>
      <rPr>
        <sz val="9"/>
        <color rgb="FF000000"/>
        <rFont val="楷体"/>
        <charset val="134"/>
      </rPr>
      <t>新海股份</t>
    </r>
  </si>
  <si>
    <r>
      <t>180</t>
    </r>
    <r>
      <rPr>
        <sz val="9"/>
        <color rgb="FF000000"/>
        <rFont val="楷体"/>
        <charset val="134"/>
      </rPr>
      <t>亿人民币</t>
    </r>
  </si>
  <si>
    <r>
      <t>1.74</t>
    </r>
    <r>
      <rPr>
        <sz val="9"/>
        <color rgb="FF000000"/>
        <rFont val="楷体"/>
        <charset val="134"/>
      </rPr>
      <t>亿人民币</t>
    </r>
  </si>
  <si>
    <r>
      <t xml:space="preserve">Groupon </t>
    </r>
    <r>
      <rPr>
        <sz val="9"/>
        <color rgb="FF000000"/>
        <rFont val="楷体"/>
        <charset val="134"/>
      </rPr>
      <t>成立于</t>
    </r>
    <r>
      <rPr>
        <sz val="9"/>
        <color rgb="FF000000"/>
        <rFont val="Arial"/>
        <charset val="134"/>
      </rPr>
      <t>2008</t>
    </r>
    <r>
      <rPr>
        <sz val="9"/>
        <color rgb="FF000000"/>
        <rFont val="楷体"/>
        <charset val="134"/>
      </rPr>
      <t>年</t>
    </r>
    <r>
      <rPr>
        <sz val="9"/>
        <color rgb="FF000000"/>
        <rFont val="Arial"/>
        <charset val="134"/>
      </rPr>
      <t>11</t>
    </r>
    <r>
      <rPr>
        <sz val="9"/>
        <color rgb="FF000000"/>
        <rFont val="楷体"/>
        <charset val="134"/>
      </rPr>
      <t>月，是一家电商团购网站，主要为商家提供一系列产品的特卖服务，每天只推荐一款商品。</t>
    </r>
  </si>
  <si>
    <r>
      <t>81.25</t>
    </r>
    <r>
      <rPr>
        <sz val="9"/>
        <color rgb="FF000000"/>
        <rFont val="楷体"/>
        <charset val="134"/>
      </rPr>
      <t>亿</t>
    </r>
  </si>
  <si>
    <r>
      <t>81.25</t>
    </r>
    <r>
      <rPr>
        <sz val="9"/>
        <color rgb="FF000000"/>
        <rFont val="楷体"/>
        <charset val="134"/>
      </rPr>
      <t>亿元</t>
    </r>
  </si>
  <si>
    <r>
      <rPr>
        <sz val="9"/>
        <color rgb="FF000000"/>
        <rFont val="楷体"/>
        <charset val="134"/>
      </rPr>
      <t>乐华娱乐</t>
    </r>
  </si>
  <si>
    <r>
      <rPr>
        <sz val="9"/>
        <color rgb="FF000000"/>
        <rFont val="楷体"/>
        <charset val="134"/>
      </rPr>
      <t>乐华娱乐</t>
    </r>
  </si>
  <si>
    <r>
      <rPr>
        <sz val="9"/>
        <color rgb="FF000000"/>
        <rFont val="楷体"/>
        <charset val="134"/>
      </rPr>
      <t>北京乐华圆娱文化传播股份有限公司</t>
    </r>
  </si>
  <si>
    <r>
      <t>3.91</t>
    </r>
    <r>
      <rPr>
        <sz val="9"/>
        <color rgb="FF000000"/>
        <rFont val="楷体"/>
        <charset val="134"/>
      </rPr>
      <t>亿港元</t>
    </r>
  </si>
  <si>
    <r>
      <t>37.96</t>
    </r>
    <r>
      <rPr>
        <sz val="9"/>
        <color rgb="FF000000"/>
        <rFont val="楷体"/>
        <charset val="134"/>
      </rPr>
      <t>亿</t>
    </r>
  </si>
  <si>
    <r>
      <t>38.4</t>
    </r>
    <r>
      <rPr>
        <sz val="9"/>
        <color rgb="FF000000"/>
        <rFont val="楷体"/>
        <charset val="134"/>
      </rPr>
      <t>亿元</t>
    </r>
  </si>
  <si>
    <r>
      <t>2.76</t>
    </r>
    <r>
      <rPr>
        <sz val="9"/>
        <color rgb="FF000000"/>
        <rFont val="楷体"/>
        <charset val="134"/>
      </rPr>
      <t>亿人民币</t>
    </r>
  </si>
  <si>
    <r>
      <t>1.25</t>
    </r>
    <r>
      <rPr>
        <sz val="9"/>
        <color rgb="FF000000"/>
        <rFont val="楷体"/>
        <charset val="134"/>
      </rPr>
      <t>亿人民币</t>
    </r>
  </si>
  <si>
    <r>
      <rPr>
        <sz val="9"/>
        <color rgb="FF000000"/>
        <rFont val="楷体"/>
        <charset val="134"/>
      </rPr>
      <t>字节跳动</t>
    </r>
  </si>
  <si>
    <r>
      <t>23.2</t>
    </r>
    <r>
      <rPr>
        <sz val="9"/>
        <color rgb="FF000000"/>
        <rFont val="楷体"/>
        <charset val="134"/>
      </rPr>
      <t>亿人民币</t>
    </r>
  </si>
  <si>
    <r>
      <rPr>
        <sz val="9"/>
        <color rgb="FF000000"/>
        <rFont val="楷体"/>
        <charset val="134"/>
      </rPr>
      <t>共达电声</t>
    </r>
  </si>
  <si>
    <r>
      <t>CMC</t>
    </r>
    <r>
      <rPr>
        <sz val="9"/>
        <color rgb="FF000000"/>
        <rFont val="楷体"/>
        <charset val="134"/>
      </rPr>
      <t>资本</t>
    </r>
    <r>
      <rPr>
        <sz val="9"/>
        <color rgb="FF000000"/>
        <rFont val="Arial"/>
        <charset val="134"/>
      </rPr>
      <t>,</t>
    </r>
    <r>
      <rPr>
        <sz val="9"/>
        <color rgb="FF000000"/>
        <rFont val="楷体"/>
        <charset val="134"/>
      </rPr>
      <t>引力传媒</t>
    </r>
  </si>
  <si>
    <r>
      <t>200</t>
    </r>
    <r>
      <rPr>
        <sz val="9"/>
        <color rgb="FF000000"/>
        <rFont val="楷体"/>
        <charset val="134"/>
      </rPr>
      <t>万人民币</t>
    </r>
  </si>
  <si>
    <r>
      <rPr>
        <sz val="9"/>
        <color rgb="FF000000"/>
        <rFont val="楷体"/>
        <charset val="134"/>
      </rPr>
      <t>乐搏资本</t>
    </r>
  </si>
  <si>
    <r>
      <t>ofo</t>
    </r>
    <r>
      <rPr>
        <sz val="9"/>
        <color rgb="FF000000"/>
        <rFont val="楷体"/>
        <charset val="134"/>
      </rPr>
      <t>小黄车</t>
    </r>
  </si>
  <si>
    <r>
      <t>ofo</t>
    </r>
    <r>
      <rPr>
        <sz val="9"/>
        <color rgb="FF000000"/>
        <rFont val="楷体"/>
        <charset val="134"/>
      </rPr>
      <t>小黄车</t>
    </r>
  </si>
  <si>
    <r>
      <t xml:space="preserve">ofo </t>
    </r>
    <r>
      <rPr>
        <sz val="9"/>
        <color rgb="FF000000"/>
        <rFont val="楷体"/>
        <charset val="134"/>
      </rPr>
      <t>小黄车是全球领先的无桩共享单车出行平台。用户只需在</t>
    </r>
    <r>
      <rPr>
        <sz val="9"/>
        <color rgb="FF000000"/>
        <rFont val="Arial"/>
        <charset val="134"/>
      </rPr>
      <t>ofo</t>
    </r>
    <r>
      <rPr>
        <sz val="9"/>
        <color rgb="FF000000"/>
        <rFont val="楷体"/>
        <charset val="134"/>
      </rPr>
      <t>官方</t>
    </r>
    <r>
      <rPr>
        <sz val="9"/>
        <color rgb="FF000000"/>
        <rFont val="Arial"/>
        <charset val="134"/>
      </rPr>
      <t>app</t>
    </r>
    <r>
      <rPr>
        <sz val="9"/>
        <color rgb="FF000000"/>
        <rFont val="楷体"/>
        <charset val="134"/>
      </rPr>
      <t>、支付宝小程序、微信服务号和微信小程序输入车牌号或扫码，即可解锁用车，随取随用，随时随地。</t>
    </r>
  </si>
  <si>
    <r>
      <rPr>
        <sz val="9"/>
        <color rgb="FF000000"/>
        <rFont val="楷体"/>
        <charset val="134"/>
      </rPr>
      <t>北京拜克洛克科技有限公司</t>
    </r>
  </si>
  <si>
    <r>
      <t>8.66</t>
    </r>
    <r>
      <rPr>
        <sz val="9"/>
        <color rgb="FF000000"/>
        <rFont val="楷体"/>
        <charset val="134"/>
      </rPr>
      <t>亿美元</t>
    </r>
  </si>
  <si>
    <r>
      <t>180.96</t>
    </r>
    <r>
      <rPr>
        <sz val="9"/>
        <color rgb="FF000000"/>
        <rFont val="楷体"/>
        <charset val="134"/>
      </rPr>
      <t>亿</t>
    </r>
  </si>
  <si>
    <r>
      <t>195</t>
    </r>
    <r>
      <rPr>
        <sz val="9"/>
        <color rgb="FF000000"/>
        <rFont val="楷体"/>
        <charset val="134"/>
      </rPr>
      <t>亿元</t>
    </r>
  </si>
  <si>
    <r>
      <t>17.7</t>
    </r>
    <r>
      <rPr>
        <sz val="9"/>
        <color rgb="FF000000"/>
        <rFont val="楷体"/>
        <charset val="134"/>
      </rPr>
      <t>亿人民币</t>
    </r>
  </si>
  <si>
    <r>
      <t>1.3</t>
    </r>
    <r>
      <rPr>
        <sz val="9"/>
        <color rgb="FF000000"/>
        <rFont val="楷体"/>
        <charset val="134"/>
      </rPr>
      <t>亿美元</t>
    </r>
  </si>
  <si>
    <r>
      <t>1500</t>
    </r>
    <r>
      <rPr>
        <sz val="9"/>
        <color rgb="FF000000"/>
        <rFont val="楷体"/>
        <charset val="134"/>
      </rPr>
      <t>万人民币</t>
    </r>
  </si>
  <si>
    <r>
      <rPr>
        <sz val="9"/>
        <color rgb="FF000000"/>
        <rFont val="楷体"/>
        <charset val="134"/>
      </rPr>
      <t>唯猎资本</t>
    </r>
  </si>
  <si>
    <r>
      <rPr>
        <sz val="9"/>
        <color rgb="FF000000"/>
        <rFont val="楷体"/>
        <charset val="134"/>
      </rPr>
      <t>网易云音乐</t>
    </r>
  </si>
  <si>
    <r>
      <rPr>
        <sz val="9"/>
        <color rgb="FF000000"/>
        <rFont val="楷体"/>
        <charset val="134"/>
      </rPr>
      <t>网易云音乐</t>
    </r>
  </si>
  <si>
    <r>
      <rPr>
        <sz val="9"/>
        <color rgb="FF000000"/>
        <rFont val="楷体"/>
        <charset val="134"/>
      </rPr>
      <t>杭州网易云音乐科技有限公司</t>
    </r>
  </si>
  <si>
    <r>
      <t>32.8</t>
    </r>
    <r>
      <rPr>
        <sz val="9"/>
        <color rgb="FF000000"/>
        <rFont val="楷体"/>
        <charset val="134"/>
      </rPr>
      <t>亿港元</t>
    </r>
  </si>
  <si>
    <r>
      <t>140.99</t>
    </r>
    <r>
      <rPr>
        <sz val="9"/>
        <color rgb="FF000000"/>
        <rFont val="楷体"/>
        <charset val="134"/>
      </rPr>
      <t>亿</t>
    </r>
  </si>
  <si>
    <r>
      <t>340.72</t>
    </r>
    <r>
      <rPr>
        <sz val="9"/>
        <color rgb="FF000000"/>
        <rFont val="楷体"/>
        <charset val="134"/>
      </rPr>
      <t>亿元</t>
    </r>
  </si>
  <si>
    <r>
      <t>BAI</t>
    </r>
    <r>
      <rPr>
        <sz val="9"/>
        <color rgb="FF000000"/>
        <rFont val="楷体"/>
        <charset val="134"/>
      </rPr>
      <t>资本</t>
    </r>
    <r>
      <rPr>
        <sz val="9"/>
        <color rgb="FF000000"/>
        <rFont val="Arial"/>
        <charset val="134"/>
      </rPr>
      <t>,</t>
    </r>
    <r>
      <rPr>
        <sz val="9"/>
        <color rgb="FF000000"/>
        <rFont val="楷体"/>
        <charset val="134"/>
      </rPr>
      <t>百度</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图灵资管</t>
    </r>
  </si>
  <si>
    <r>
      <rPr>
        <sz val="9"/>
        <color rgb="FF000000"/>
        <rFont val="楷体"/>
        <charset val="134"/>
      </rPr>
      <t>斑马汽车</t>
    </r>
  </si>
  <si>
    <r>
      <rPr>
        <sz val="9"/>
        <color rgb="FF000000"/>
        <rFont val="楷体"/>
        <charset val="134"/>
      </rPr>
      <t>斑马汽车</t>
    </r>
  </si>
  <si>
    <r>
      <rPr>
        <sz val="9"/>
        <color rgb="FF000000"/>
        <rFont val="楷体"/>
        <charset val="134"/>
      </rPr>
      <t>上海斑马汽车服务有限公司</t>
    </r>
  </si>
  <si>
    <r>
      <rPr>
        <sz val="9"/>
        <color rgb="FF000000"/>
        <rFont val="楷体"/>
        <charset val="134"/>
      </rPr>
      <t>车联网</t>
    </r>
  </si>
  <si>
    <r>
      <rPr>
        <sz val="9"/>
        <color rgb="FF000000"/>
        <rFont val="楷体"/>
        <charset val="134"/>
      </rPr>
      <t>安华金和</t>
    </r>
  </si>
  <si>
    <r>
      <rPr>
        <sz val="9"/>
        <color rgb="FF000000"/>
        <rFont val="楷体"/>
        <charset val="134"/>
      </rPr>
      <t>安华金和</t>
    </r>
  </si>
  <si>
    <r>
      <rPr>
        <sz val="9"/>
        <color rgb="FF000000"/>
        <rFont val="楷体"/>
        <charset val="134"/>
      </rPr>
      <t>安华金和是一家专业的数据库安全产品和服务提供商，有四款数据库安全产品包括数据库保险箱、数据库漏洞扫描系统和数据库防火墙、数据库审计系统，全面覆盖数据库安全防护的事前、事中和事后阶段。</t>
    </r>
  </si>
  <si>
    <r>
      <rPr>
        <sz val="9"/>
        <color rgb="FF000000"/>
        <rFont val="楷体"/>
        <charset val="134"/>
      </rPr>
      <t>北京安华金和科技有限公司</t>
    </r>
  </si>
  <si>
    <r>
      <t>5.6</t>
    </r>
    <r>
      <rPr>
        <sz val="9"/>
        <color rgb="FF000000"/>
        <rFont val="楷体"/>
        <charset val="134"/>
      </rPr>
      <t>亿</t>
    </r>
  </si>
  <si>
    <r>
      <rPr>
        <sz val="9"/>
        <color rgb="FF000000"/>
        <rFont val="楷体"/>
        <charset val="134"/>
      </rPr>
      <t>德联资本</t>
    </r>
  </si>
  <si>
    <r>
      <t>970</t>
    </r>
    <r>
      <rPr>
        <sz val="9"/>
        <color rgb="FF000000"/>
        <rFont val="楷体"/>
        <charset val="134"/>
      </rPr>
      <t>万人民币</t>
    </r>
  </si>
  <si>
    <r>
      <rPr>
        <sz val="9"/>
        <color rgb="FF000000"/>
        <rFont val="楷体"/>
        <charset val="134"/>
      </rPr>
      <t>绿盟科技</t>
    </r>
  </si>
  <si>
    <r>
      <rPr>
        <sz val="9"/>
        <color rgb="FF000000"/>
        <rFont val="楷体"/>
        <charset val="134"/>
      </rPr>
      <t>丽人丽妆</t>
    </r>
  </si>
  <si>
    <r>
      <rPr>
        <sz val="9"/>
        <color rgb="FF000000"/>
        <rFont val="楷体"/>
        <charset val="134"/>
      </rPr>
      <t>丽人丽妆</t>
    </r>
  </si>
  <si>
    <r>
      <rPr>
        <sz val="9"/>
        <color rgb="FF000000"/>
        <rFont val="楷体"/>
        <charset val="134"/>
      </rPr>
      <t>上海丽人丽妆化妆品股份有限公司</t>
    </r>
  </si>
  <si>
    <r>
      <rPr>
        <sz val="9"/>
        <color rgb="FF000000"/>
        <rFont val="楷体"/>
        <charset val="134"/>
      </rPr>
      <t>美容护理</t>
    </r>
  </si>
  <si>
    <r>
      <t>4.89</t>
    </r>
    <r>
      <rPr>
        <sz val="9"/>
        <color rgb="FF000000"/>
        <rFont val="楷体"/>
        <charset val="134"/>
      </rPr>
      <t>亿人民币</t>
    </r>
  </si>
  <si>
    <r>
      <t>12.04</t>
    </r>
    <r>
      <rPr>
        <sz val="9"/>
        <color rgb="FF000000"/>
        <rFont val="楷体"/>
        <charset val="134"/>
      </rPr>
      <t>亿</t>
    </r>
  </si>
  <si>
    <r>
      <t>48.92</t>
    </r>
    <r>
      <rPr>
        <sz val="9"/>
        <color rgb="FF000000"/>
        <rFont val="楷体"/>
        <charset val="134"/>
      </rPr>
      <t>亿元</t>
    </r>
  </si>
  <si>
    <r>
      <t>InfinityAR</t>
    </r>
    <r>
      <rPr>
        <sz val="9"/>
        <color rgb="FF000000"/>
        <rFont val="楷体"/>
        <charset val="134"/>
      </rPr>
      <t>是一个增强现实引擎研发商，其开发的引擎工具能够从成本、处理功率和电池寿命三个方面用降低用户获取增强现实效果的门槛。</t>
    </r>
  </si>
  <si>
    <r>
      <rPr>
        <sz val="9"/>
        <color rgb="FF000000"/>
        <rFont val="楷体"/>
        <charset val="134"/>
      </rPr>
      <t>回收宝</t>
    </r>
  </si>
  <si>
    <r>
      <rPr>
        <sz val="9"/>
        <color rgb="FF000000"/>
        <rFont val="楷体"/>
        <charset val="134"/>
      </rPr>
      <t>回收宝</t>
    </r>
  </si>
  <si>
    <r>
      <rPr>
        <sz val="9"/>
        <color rgb="FF000000"/>
        <rFont val="楷体"/>
        <charset val="134"/>
      </rPr>
      <t>深圳回收宝科技有限公司</t>
    </r>
  </si>
  <si>
    <r>
      <rPr>
        <sz val="9"/>
        <color rgb="FF000000"/>
        <rFont val="楷体"/>
        <charset val="134"/>
      </rPr>
      <t>二手电商</t>
    </r>
  </si>
  <si>
    <r>
      <t>7.47</t>
    </r>
    <r>
      <rPr>
        <sz val="9"/>
        <color rgb="FF000000"/>
        <rFont val="楷体"/>
        <charset val="134"/>
      </rPr>
      <t>亿</t>
    </r>
  </si>
  <si>
    <r>
      <t>16</t>
    </r>
    <r>
      <rPr>
        <sz val="9"/>
        <color rgb="FF000000"/>
        <rFont val="楷体"/>
        <charset val="134"/>
      </rPr>
      <t>亿元</t>
    </r>
  </si>
  <si>
    <r>
      <rPr>
        <sz val="9"/>
        <color rgb="FF000000"/>
        <rFont val="楷体"/>
        <charset val="134"/>
      </rPr>
      <t>世铭投资</t>
    </r>
  </si>
  <si>
    <r>
      <rPr>
        <sz val="9"/>
        <color rgb="FF000000"/>
        <rFont val="楷体"/>
        <charset val="134"/>
      </rPr>
      <t>源码资本</t>
    </r>
  </si>
  <si>
    <r>
      <t>Zulily</t>
    </r>
    <r>
      <rPr>
        <sz val="9"/>
        <color rgb="FF000000"/>
        <rFont val="楷体"/>
        <charset val="134"/>
      </rPr>
      <t>是一家专注母婴电商的闪购网站，每天会上线不同的新产品。</t>
    </r>
  </si>
  <si>
    <r>
      <t>24</t>
    </r>
    <r>
      <rPr>
        <sz val="9"/>
        <color rgb="FF000000"/>
        <rFont val="楷体"/>
        <charset val="134"/>
      </rPr>
      <t>亿美元</t>
    </r>
  </si>
  <si>
    <r>
      <t>159.64</t>
    </r>
    <r>
      <rPr>
        <sz val="9"/>
        <color rgb="FF000000"/>
        <rFont val="楷体"/>
        <charset val="134"/>
      </rPr>
      <t>亿</t>
    </r>
  </si>
  <si>
    <r>
      <t>780</t>
    </r>
    <r>
      <rPr>
        <sz val="9"/>
        <color rgb="FF000000"/>
        <rFont val="楷体"/>
        <charset val="134"/>
      </rPr>
      <t>亿元</t>
    </r>
  </si>
  <si>
    <r>
      <t>Mark Vadon:CEO,Darrell Cavens:</t>
    </r>
    <r>
      <rPr>
        <sz val="9"/>
        <color rgb="FF000000"/>
        <rFont val="楷体"/>
        <charset val="134"/>
      </rPr>
      <t>联合创始人</t>
    </r>
    <r>
      <rPr>
        <sz val="9"/>
        <color rgb="FF000000"/>
        <rFont val="Arial"/>
        <charset val="134"/>
      </rPr>
      <t>,Bergitta Trelstad:VP &amp; General Counsel,Bindu Thota:Vice President Of Engineering,Courtney Kissler:Chief Technology Officer,Demitri Plessas:Lead Data Scientist,Elaine Miller:Vice President Of Merchandising,John Grasel:Director of Software Engineering,John Lohnas:SVP &amp; Chief Merchant,John Starke:VP, Business Development,Juana Grant:Strategic Sourcing Executive,Kelly Wolf:VP, People,Lori Twomey:Chief Merchant,Marc Kamaka:Lead Software Engineer - Core Services,Pedro Pablo Fuentes Schuster:VP of Product &amp; Engineering,Rena Wong:CFO &amp; VP, finance,Ron Kelly:Senior Vice President, Supply Chain Operations, zulily,Stacy Wang:Data Scientist II,Terry Boyle:President &amp; CEO,Tim Ragland:VP, Analytics,Tom Laramee:Technology Lead, System Architect,Whitney Evans:Technology Product Manager II,Kiran Akkineni:SVP and CMO</t>
    </r>
  </si>
  <si>
    <r>
      <t>5600</t>
    </r>
    <r>
      <rPr>
        <sz val="9"/>
        <color rgb="FF000000"/>
        <rFont val="楷体"/>
        <charset val="134"/>
      </rPr>
      <t>万美元</t>
    </r>
  </si>
  <si>
    <r>
      <rPr>
        <sz val="9"/>
        <color rgb="FF000000"/>
        <rFont val="楷体"/>
        <charset val="134"/>
      </rPr>
      <t>圆通速递</t>
    </r>
  </si>
  <si>
    <r>
      <rPr>
        <sz val="9"/>
        <color rgb="FF000000"/>
        <rFont val="楷体"/>
        <charset val="134"/>
      </rPr>
      <t>圆通速递有限公司</t>
    </r>
  </si>
  <si>
    <r>
      <t>66</t>
    </r>
    <r>
      <rPr>
        <sz val="9"/>
        <color rgb="FF000000"/>
        <rFont val="楷体"/>
        <charset val="134"/>
      </rPr>
      <t>亿人民币</t>
    </r>
  </si>
  <si>
    <r>
      <t>244</t>
    </r>
    <r>
      <rPr>
        <sz val="9"/>
        <color rgb="FF000000"/>
        <rFont val="楷体"/>
        <charset val="134"/>
      </rPr>
      <t>亿</t>
    </r>
  </si>
  <si>
    <r>
      <t>550</t>
    </r>
    <r>
      <rPr>
        <sz val="9"/>
        <color rgb="FF000000"/>
        <rFont val="楷体"/>
        <charset val="134"/>
      </rPr>
      <t>亿元</t>
    </r>
  </si>
  <si>
    <r>
      <t>175</t>
    </r>
    <r>
      <rPr>
        <sz val="9"/>
        <color rgb="FF000000"/>
        <rFont val="楷体"/>
        <charset val="134"/>
      </rPr>
      <t>亿人民币</t>
    </r>
  </si>
  <si>
    <r>
      <rPr>
        <sz val="9"/>
        <color rgb="FF000000"/>
        <rFont val="楷体"/>
        <charset val="134"/>
      </rPr>
      <t>大杨创世</t>
    </r>
  </si>
  <si>
    <r>
      <rPr>
        <sz val="9"/>
        <color rgb="FF000000"/>
        <rFont val="楷体"/>
        <charset val="134"/>
      </rPr>
      <t>驿公里</t>
    </r>
  </si>
  <si>
    <r>
      <rPr>
        <sz val="9"/>
        <color rgb="FF000000"/>
        <rFont val="楷体"/>
        <charset val="134"/>
      </rPr>
      <t>驿公里</t>
    </r>
  </si>
  <si>
    <r>
      <rPr>
        <sz val="9"/>
        <color rgb="FF000000"/>
        <rFont val="楷体"/>
        <charset val="134"/>
      </rPr>
      <t>杭州恒致创新智能科技集团有限公司</t>
    </r>
  </si>
  <si>
    <r>
      <t>10.1</t>
    </r>
    <r>
      <rPr>
        <sz val="9"/>
        <color rgb="FF000000"/>
        <rFont val="楷体"/>
        <charset val="134"/>
      </rPr>
      <t>亿</t>
    </r>
  </si>
  <si>
    <r>
      <t>30</t>
    </r>
    <r>
      <rPr>
        <sz val="9"/>
        <color rgb="FF000000"/>
        <rFont val="楷体"/>
        <charset val="134"/>
      </rPr>
      <t>亿元</t>
    </r>
  </si>
  <si>
    <r>
      <rPr>
        <sz val="9"/>
        <color rgb="FF000000"/>
        <rFont val="楷体"/>
        <charset val="134"/>
      </rPr>
      <t>中嘉亿泰</t>
    </r>
  </si>
  <si>
    <r>
      <rPr>
        <sz val="9"/>
        <color rgb="FF000000"/>
        <rFont val="楷体"/>
        <charset val="134"/>
      </rPr>
      <t>明泰资本</t>
    </r>
  </si>
  <si>
    <r>
      <t>500</t>
    </r>
    <r>
      <rPr>
        <sz val="9"/>
        <color rgb="FF000000"/>
        <rFont val="楷体"/>
        <charset val="134"/>
      </rPr>
      <t>万人民币</t>
    </r>
  </si>
  <si>
    <r>
      <t xml:space="preserve">Nexar </t>
    </r>
    <r>
      <rPr>
        <sz val="9"/>
        <color rgb="FF000000"/>
        <rFont val="楷体"/>
        <charset val="134"/>
      </rPr>
      <t>成立于美国，是一个提供交通信息服务的平台，该公司可以通过数据分析实时更新交通情况，司机还可以通过旗下</t>
    </r>
    <r>
      <rPr>
        <sz val="9"/>
        <color rgb="FF000000"/>
        <rFont val="Arial"/>
        <charset val="134"/>
      </rPr>
      <t>App</t>
    </r>
    <r>
      <rPr>
        <sz val="9"/>
        <color rgb="FF000000"/>
        <rFont val="楷体"/>
        <charset val="134"/>
      </rPr>
      <t>提醒周围司机，以帮助司机们更安全地出行。</t>
    </r>
  </si>
  <si>
    <r>
      <t>2.89</t>
    </r>
    <r>
      <rPr>
        <sz val="9"/>
        <color rgb="FF000000"/>
        <rFont val="楷体"/>
        <charset val="134"/>
      </rPr>
      <t>亿</t>
    </r>
  </si>
  <si>
    <r>
      <t>1050</t>
    </r>
    <r>
      <rPr>
        <sz val="9"/>
        <color rgb="FF000000"/>
        <rFont val="楷体"/>
        <charset val="134"/>
      </rPr>
      <t>万美元</t>
    </r>
  </si>
  <si>
    <r>
      <t>RoboMing</t>
    </r>
    <r>
      <rPr>
        <sz val="9"/>
        <color rgb="FF000000"/>
        <rFont val="楷体"/>
        <charset val="134"/>
      </rPr>
      <t>明机器人</t>
    </r>
  </si>
  <si>
    <r>
      <t>RoboMing</t>
    </r>
    <r>
      <rPr>
        <sz val="9"/>
        <color rgb="FF000000"/>
        <rFont val="楷体"/>
        <charset val="134"/>
      </rPr>
      <t>明机器人</t>
    </r>
  </si>
  <si>
    <r>
      <rPr>
        <sz val="9"/>
        <color rgb="FF000000"/>
        <rFont val="楷体"/>
        <charset val="134"/>
      </rPr>
      <t>上海明我信息技术有限公司</t>
    </r>
  </si>
  <si>
    <r>
      <t>3600</t>
    </r>
    <r>
      <rPr>
        <sz val="9"/>
        <color rgb="FF000000"/>
        <rFont val="楷体"/>
        <charset val="134"/>
      </rPr>
      <t>万</t>
    </r>
  </si>
  <si>
    <r>
      <rPr>
        <sz val="9"/>
        <color rgb="FF000000"/>
        <rFont val="楷体"/>
        <charset val="134"/>
      </rPr>
      <t>分众传媒</t>
    </r>
  </si>
  <si>
    <r>
      <rPr>
        <sz val="9"/>
        <color rgb="FF000000"/>
        <rFont val="楷体"/>
        <charset val="134"/>
      </rPr>
      <t>分众传媒</t>
    </r>
  </si>
  <si>
    <r>
      <rPr>
        <sz val="9"/>
        <color rgb="FF000000"/>
        <rFont val="楷体"/>
        <charset val="134"/>
      </rPr>
      <t>分众传媒信息技术股份有限公司</t>
    </r>
  </si>
  <si>
    <r>
      <t>150</t>
    </r>
    <r>
      <rPr>
        <sz val="9"/>
        <color rgb="FF000000"/>
        <rFont val="楷体"/>
        <charset val="134"/>
      </rPr>
      <t>亿人民币</t>
    </r>
  </si>
  <si>
    <r>
      <t>193.79</t>
    </r>
    <r>
      <rPr>
        <sz val="9"/>
        <color rgb="FF000000"/>
        <rFont val="楷体"/>
        <charset val="134"/>
      </rPr>
      <t>亿</t>
    </r>
  </si>
  <si>
    <r>
      <t>1495.5135</t>
    </r>
    <r>
      <rPr>
        <sz val="9"/>
        <color rgb="FF000000"/>
        <rFont val="楷体"/>
        <charset val="134"/>
      </rPr>
      <t>亿元</t>
    </r>
  </si>
  <si>
    <r>
      <t>1.72</t>
    </r>
    <r>
      <rPr>
        <sz val="9"/>
        <color rgb="FF000000"/>
        <rFont val="楷体"/>
        <charset val="134"/>
      </rPr>
      <t>亿美元</t>
    </r>
  </si>
  <si>
    <r>
      <rPr>
        <sz val="9"/>
        <color rgb="FF000000"/>
        <rFont val="楷体"/>
        <charset val="134"/>
      </rPr>
      <t>软银中国资本</t>
    </r>
  </si>
  <si>
    <r>
      <t>SQream 2010</t>
    </r>
    <r>
      <rPr>
        <sz val="9"/>
        <color rgb="FF000000"/>
        <rFont val="楷体"/>
        <charset val="134"/>
      </rPr>
      <t>年成立于以色列，是一个大数据分析公司，该公司的优势是以较小的存储成本，进行非常大规模的数据计算。</t>
    </r>
  </si>
  <si>
    <r>
      <t>3940</t>
    </r>
    <r>
      <rPr>
        <sz val="9"/>
        <color rgb="FF000000"/>
        <rFont val="楷体"/>
        <charset val="134"/>
      </rPr>
      <t>万美元</t>
    </r>
  </si>
  <si>
    <r>
      <t>Mangrove Capital Partners,</t>
    </r>
    <r>
      <rPr>
        <sz val="9"/>
        <color rgb="FF000000"/>
        <rFont val="楷体"/>
        <charset val="134"/>
      </rPr>
      <t>舒斯特曼家族基金会</t>
    </r>
  </si>
  <si>
    <r>
      <t>4.88</t>
    </r>
    <r>
      <rPr>
        <sz val="9"/>
        <color rgb="FF000000"/>
        <rFont val="楷体"/>
        <charset val="134"/>
      </rPr>
      <t>亿</t>
    </r>
  </si>
  <si>
    <r>
      <t>12.805</t>
    </r>
    <r>
      <rPr>
        <sz val="9"/>
        <color rgb="FF000000"/>
        <rFont val="楷体"/>
        <charset val="134"/>
      </rPr>
      <t>亿元</t>
    </r>
  </si>
  <si>
    <r>
      <t>2640</t>
    </r>
    <r>
      <rPr>
        <sz val="9"/>
        <color rgb="FF000000"/>
        <rFont val="楷体"/>
        <charset val="134"/>
      </rPr>
      <t>万美元</t>
    </r>
  </si>
  <si>
    <r>
      <t>740</t>
    </r>
    <r>
      <rPr>
        <sz val="9"/>
        <color rgb="FF000000"/>
        <rFont val="楷体"/>
        <charset val="134"/>
      </rPr>
      <t>万美元</t>
    </r>
  </si>
  <si>
    <r>
      <t>190</t>
    </r>
    <r>
      <rPr>
        <sz val="9"/>
        <color rgb="FF000000"/>
        <rFont val="楷体"/>
        <charset val="134"/>
      </rPr>
      <t>万美元</t>
    </r>
  </si>
  <si>
    <r>
      <t>Vidooly</t>
    </r>
    <r>
      <rPr>
        <sz val="9"/>
        <color rgb="FF000000"/>
        <rFont val="楷体"/>
        <charset val="134"/>
      </rPr>
      <t>是一家印度视频分析公司，通过为视频制作者提供营销和分析工具，以此来获得最多的浏览次数、增加受众数量，从而提高视频营收。</t>
    </r>
  </si>
  <si>
    <r>
      <t>1.5</t>
    </r>
    <r>
      <rPr>
        <sz val="9"/>
        <color rgb="FF000000"/>
        <rFont val="楷体"/>
        <charset val="134"/>
      </rPr>
      <t>亿卢比</t>
    </r>
  </si>
  <si>
    <r>
      <t>3060</t>
    </r>
    <r>
      <rPr>
        <sz val="9"/>
        <color rgb="FF000000"/>
        <rFont val="楷体"/>
        <charset val="134"/>
      </rPr>
      <t>万</t>
    </r>
  </si>
  <si>
    <r>
      <t>7500</t>
    </r>
    <r>
      <rPr>
        <sz val="9"/>
        <color rgb="FF000000"/>
        <rFont val="楷体"/>
        <charset val="134"/>
      </rPr>
      <t>万元</t>
    </r>
  </si>
  <si>
    <r>
      <t>140</t>
    </r>
    <r>
      <rPr>
        <sz val="9"/>
        <color rgb="FF000000"/>
        <rFont val="楷体"/>
        <charset val="134"/>
      </rPr>
      <t>万美元</t>
    </r>
  </si>
  <si>
    <r>
      <rPr>
        <sz val="9"/>
        <color rgb="FF000000"/>
        <rFont val="楷体"/>
        <charset val="134"/>
      </rPr>
      <t>快狗速运</t>
    </r>
  </si>
  <si>
    <r>
      <rPr>
        <sz val="9"/>
        <color rgb="FF000000"/>
        <rFont val="楷体"/>
        <charset val="134"/>
      </rPr>
      <t>快狗速运</t>
    </r>
  </si>
  <si>
    <r>
      <rPr>
        <sz val="9"/>
        <color rgb="FF000000"/>
        <rFont val="楷体"/>
        <charset val="134"/>
      </rPr>
      <t>高高信息科技（上海）有限公司　</t>
    </r>
  </si>
  <si>
    <r>
      <rPr>
        <sz val="9"/>
        <color rgb="FF000000"/>
        <rFont val="楷体"/>
        <charset val="134"/>
      </rPr>
      <t>货运物流</t>
    </r>
  </si>
  <si>
    <r>
      <t>58</t>
    </r>
    <r>
      <rPr>
        <sz val="9"/>
        <color rgb="FF000000"/>
        <rFont val="楷体"/>
        <charset val="134"/>
      </rPr>
      <t>同城</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华新投资</t>
    </r>
    <r>
      <rPr>
        <sz val="9"/>
        <color rgb="FF000000"/>
        <rFont val="Arial"/>
        <charset val="134"/>
      </rPr>
      <t>,</t>
    </r>
    <r>
      <rPr>
        <sz val="9"/>
        <color rgb="FF000000"/>
        <rFont val="楷体"/>
        <charset val="134"/>
      </rPr>
      <t>弘润资本</t>
    </r>
  </si>
  <si>
    <r>
      <t>21.22</t>
    </r>
    <r>
      <rPr>
        <sz val="9"/>
        <color rgb="FF000000"/>
        <rFont val="楷体"/>
        <charset val="134"/>
      </rPr>
      <t>亿</t>
    </r>
  </si>
  <si>
    <r>
      <rPr>
        <sz val="9"/>
        <color rgb="FF000000"/>
        <rFont val="楷体"/>
        <charset val="134"/>
      </rPr>
      <t>快狗打车</t>
    </r>
  </si>
  <si>
    <r>
      <t>650</t>
    </r>
    <r>
      <rPr>
        <sz val="9"/>
        <color rgb="FF000000"/>
        <rFont val="楷体"/>
        <charset val="134"/>
      </rPr>
      <t>万美元</t>
    </r>
  </si>
  <si>
    <r>
      <t>SBRH</t>
    </r>
    <r>
      <rPr>
        <sz val="9"/>
        <color rgb="FF000000"/>
        <rFont val="楷体"/>
        <charset val="134"/>
      </rPr>
      <t>是一个一家专注机器人业务的公司，旗下拥有全球首个具有感情的机器人产品</t>
    </r>
    <r>
      <rPr>
        <sz val="9"/>
        <color rgb="FF000000"/>
        <rFont val="Arial"/>
        <charset val="134"/>
      </rPr>
      <t xml:space="preserve"> Pepper</t>
    </r>
    <r>
      <rPr>
        <sz val="9"/>
        <color rgb="FF000000"/>
        <rFont val="楷体"/>
        <charset val="134"/>
      </rPr>
      <t>。</t>
    </r>
  </si>
  <si>
    <r>
      <t>145</t>
    </r>
    <r>
      <rPr>
        <sz val="9"/>
        <color rgb="FF000000"/>
        <rFont val="楷体"/>
        <charset val="134"/>
      </rPr>
      <t>亿日元</t>
    </r>
  </si>
  <si>
    <r>
      <t>8.7</t>
    </r>
    <r>
      <rPr>
        <sz val="9"/>
        <color rgb="FF000000"/>
        <rFont val="楷体"/>
        <charset val="134"/>
      </rPr>
      <t>亿</t>
    </r>
  </si>
  <si>
    <r>
      <t>43.5</t>
    </r>
    <r>
      <rPr>
        <sz val="9"/>
        <color rgb="FF000000"/>
        <rFont val="楷体"/>
        <charset val="134"/>
      </rPr>
      <t>亿元</t>
    </r>
  </si>
  <si>
    <r>
      <rPr>
        <sz val="9"/>
        <color rgb="FF000000"/>
        <rFont val="楷体"/>
        <charset val="134"/>
      </rPr>
      <t>新康众</t>
    </r>
  </si>
  <si>
    <r>
      <rPr>
        <sz val="9"/>
        <color rgb="FF000000"/>
        <rFont val="楷体"/>
        <charset val="134"/>
      </rPr>
      <t>江苏康众汽配有限公司</t>
    </r>
  </si>
  <si>
    <r>
      <t>3.8</t>
    </r>
    <r>
      <rPr>
        <sz val="9"/>
        <color rgb="FF000000"/>
        <rFont val="楷体"/>
        <charset val="134"/>
      </rPr>
      <t>亿美元</t>
    </r>
  </si>
  <si>
    <r>
      <rPr>
        <sz val="9"/>
        <color rgb="FF000000"/>
        <rFont val="楷体"/>
        <charset val="134"/>
      </rPr>
      <t>不惑创投</t>
    </r>
  </si>
  <si>
    <r>
      <rPr>
        <sz val="9"/>
        <color rgb="FF000000"/>
        <rFont val="楷体"/>
        <charset val="134"/>
      </rPr>
      <t>冠庭国际物流</t>
    </r>
  </si>
  <si>
    <r>
      <rPr>
        <sz val="9"/>
        <color rgb="FF000000"/>
        <rFont val="楷体"/>
        <charset val="134"/>
      </rPr>
      <t>冠庭国际物流</t>
    </r>
  </si>
  <si>
    <r>
      <t>6785</t>
    </r>
    <r>
      <rPr>
        <sz val="9"/>
        <color rgb="FF000000"/>
        <rFont val="楷体"/>
        <charset val="134"/>
      </rPr>
      <t>万美元</t>
    </r>
  </si>
  <si>
    <r>
      <t>4.41</t>
    </r>
    <r>
      <rPr>
        <sz val="9"/>
        <color rgb="FF000000"/>
        <rFont val="楷体"/>
        <charset val="134"/>
      </rPr>
      <t>亿</t>
    </r>
  </si>
  <si>
    <r>
      <t>22.05125</t>
    </r>
    <r>
      <rPr>
        <sz val="9"/>
        <color rgb="FF000000"/>
        <rFont val="楷体"/>
        <charset val="134"/>
      </rPr>
      <t>亿元</t>
    </r>
  </si>
  <si>
    <r>
      <rPr>
        <sz val="9"/>
        <color rgb="FF000000"/>
        <rFont val="楷体"/>
        <charset val="134"/>
      </rPr>
      <t>小盒科技</t>
    </r>
    <r>
      <rPr>
        <sz val="9"/>
        <color rgb="FF000000"/>
        <rFont val="Arial"/>
        <charset val="134"/>
      </rPr>
      <t>-</t>
    </r>
    <r>
      <rPr>
        <sz val="9"/>
        <color rgb="FF000000"/>
        <rFont val="楷体"/>
        <charset val="134"/>
      </rPr>
      <t>作业盒子</t>
    </r>
  </si>
  <si>
    <r>
      <rPr>
        <sz val="9"/>
        <color rgb="FF000000"/>
        <rFont val="楷体"/>
        <charset val="134"/>
      </rPr>
      <t>北京知识印象科技有限公司</t>
    </r>
  </si>
  <si>
    <r>
      <t>BAI</t>
    </r>
    <r>
      <rPr>
        <sz val="9"/>
        <color rgb="FF000000"/>
        <rFont val="楷体"/>
        <charset val="134"/>
      </rPr>
      <t>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,C Capital</t>
    </r>
    <r>
      <rPr>
        <sz val="9"/>
        <color rgb="FF000000"/>
        <rFont val="楷体"/>
        <charset val="134"/>
      </rPr>
      <t>（</t>
    </r>
    <r>
      <rPr>
        <sz val="9"/>
        <color rgb="FF000000"/>
        <rFont val="Arial"/>
        <charset val="134"/>
      </rPr>
      <t>C</t>
    </r>
    <r>
      <rPr>
        <sz val="9"/>
        <color rgb="FF000000"/>
        <rFont val="楷体"/>
        <charset val="134"/>
      </rPr>
      <t>资本）</t>
    </r>
  </si>
  <si>
    <r>
      <t>19.97</t>
    </r>
    <r>
      <rPr>
        <sz val="9"/>
        <color rgb="FF000000"/>
        <rFont val="楷体"/>
        <charset val="134"/>
      </rPr>
      <t>亿</t>
    </r>
  </si>
  <si>
    <r>
      <t>BAI</t>
    </r>
    <r>
      <rPr>
        <sz val="9"/>
        <color rgb="FF000000"/>
        <rFont val="楷体"/>
        <charset val="134"/>
      </rPr>
      <t>资本</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新世界集团</t>
    </r>
  </si>
  <si>
    <r>
      <rPr>
        <sz val="9"/>
        <color rgb="FF000000"/>
        <rFont val="楷体"/>
        <charset val="134"/>
      </rPr>
      <t>联想之星</t>
    </r>
  </si>
  <si>
    <r>
      <t xml:space="preserve">Ouya </t>
    </r>
    <r>
      <rPr>
        <sz val="9"/>
        <color rgb="FF000000"/>
        <rFont val="楷体"/>
        <charset val="134"/>
      </rPr>
      <t>是一个游戏设备研发商，其开发了首个面向电视的开放平台，提供了</t>
    </r>
    <r>
      <rPr>
        <sz val="9"/>
        <color rgb="FF000000"/>
        <rFont val="Arial"/>
        <charset val="134"/>
      </rPr>
      <t>1000</t>
    </r>
    <r>
      <rPr>
        <sz val="9"/>
        <color rgb="FF000000"/>
        <rFont val="楷体"/>
        <charset val="134"/>
      </rPr>
      <t>多款游戏。</t>
    </r>
  </si>
  <si>
    <r>
      <rPr>
        <sz val="9"/>
        <color rgb="FF000000"/>
        <rFont val="楷体"/>
        <charset val="134"/>
      </rPr>
      <t>游戏发行及渠道</t>
    </r>
  </si>
  <si>
    <r>
      <rPr>
        <sz val="9"/>
        <color rgb="FF000000"/>
        <rFont val="楷体"/>
        <charset val="134"/>
      </rPr>
      <t>阿里云</t>
    </r>
  </si>
  <si>
    <r>
      <rPr>
        <sz val="9"/>
        <color rgb="FF000000"/>
        <rFont val="楷体"/>
        <charset val="134"/>
      </rPr>
      <t>阿里云计算有限公司</t>
    </r>
  </si>
  <si>
    <r>
      <t>60</t>
    </r>
    <r>
      <rPr>
        <sz val="9"/>
        <color rgb="FF000000"/>
        <rFont val="楷体"/>
        <charset val="134"/>
      </rPr>
      <t>亿人民币</t>
    </r>
  </si>
  <si>
    <r>
      <t>60</t>
    </r>
    <r>
      <rPr>
        <sz val="9"/>
        <color rgb="FF000000"/>
        <rFont val="楷体"/>
        <charset val="134"/>
      </rPr>
      <t>亿</t>
    </r>
  </si>
  <si>
    <r>
      <t>8047</t>
    </r>
    <r>
      <rPr>
        <sz val="9"/>
        <color rgb="FF000000"/>
        <rFont val="楷体"/>
        <charset val="134"/>
      </rPr>
      <t>亿元</t>
    </r>
  </si>
  <si>
    <r>
      <rPr>
        <sz val="9"/>
        <color rgb="FF000000"/>
        <rFont val="楷体"/>
        <charset val="134"/>
      </rPr>
      <t>微鲸科技</t>
    </r>
  </si>
  <si>
    <r>
      <rPr>
        <sz val="9"/>
        <color rgb="FF000000"/>
        <rFont val="楷体"/>
        <charset val="134"/>
      </rPr>
      <t>微鲸科技</t>
    </r>
  </si>
  <si>
    <r>
      <rPr>
        <sz val="9"/>
        <color rgb="FF000000"/>
        <rFont val="楷体"/>
        <charset val="134"/>
      </rPr>
      <t>微鲸科技有限公司</t>
    </r>
  </si>
  <si>
    <r>
      <t>20</t>
    </r>
    <r>
      <rPr>
        <sz val="9"/>
        <color rgb="FF000000"/>
        <rFont val="楷体"/>
        <charset val="134"/>
      </rPr>
      <t>亿</t>
    </r>
  </si>
  <si>
    <r>
      <rPr>
        <sz val="9"/>
        <color rgb="FF000000"/>
        <rFont val="楷体"/>
        <charset val="134"/>
      </rPr>
      <t>作业帮</t>
    </r>
  </si>
  <si>
    <r>
      <rPr>
        <sz val="9"/>
        <color rgb="FF000000"/>
        <rFont val="楷体"/>
        <charset val="134"/>
      </rPr>
      <t>小船出海教育科技（北京）有限公司</t>
    </r>
  </si>
  <si>
    <r>
      <t>7.5</t>
    </r>
    <r>
      <rPr>
        <sz val="9"/>
        <color rgb="FF000000"/>
        <rFont val="楷体"/>
        <charset val="134"/>
      </rPr>
      <t>亿美元</t>
    </r>
  </si>
  <si>
    <r>
      <rPr>
        <sz val="9"/>
        <color rgb="FF000000"/>
        <rFont val="楷体"/>
        <charset val="134"/>
      </rPr>
      <t>体育疯</t>
    </r>
  </si>
  <si>
    <r>
      <rPr>
        <sz val="9"/>
        <color rgb="FF000000"/>
        <rFont val="楷体"/>
        <charset val="134"/>
      </rPr>
      <t>体育疯</t>
    </r>
  </si>
  <si>
    <r>
      <rPr>
        <sz val="9"/>
        <color rgb="FF000000"/>
        <rFont val="楷体"/>
        <charset val="134"/>
      </rPr>
      <t>体育疯是一个主打球类运动的体育资讯平台，提供集赛事直播、视频点播、新闻资讯、比分赔率和竞猜互动为一体的服务。武汉体育疯信息科技有限公司旗下产品。</t>
    </r>
  </si>
  <si>
    <r>
      <rPr>
        <sz val="9"/>
        <color rgb="FF000000"/>
        <rFont val="楷体"/>
        <charset val="134"/>
      </rPr>
      <t>武汉体育疯信息科技有限公司</t>
    </r>
  </si>
  <si>
    <r>
      <rPr>
        <sz val="9"/>
        <color rgb="FF000000"/>
        <rFont val="楷体"/>
        <charset val="134"/>
      </rPr>
      <t>赛事运营及经纪</t>
    </r>
  </si>
  <si>
    <r>
      <t>Fanatics</t>
    </r>
    <r>
      <rPr>
        <sz val="9"/>
        <color rgb="FF000000"/>
        <rFont val="楷体"/>
        <charset val="134"/>
      </rPr>
      <t>是一家在线体育用品零售商，销售包括运动衫、马克杯、夹克衫、消费电子商品在内的体育周边用品。</t>
    </r>
  </si>
  <si>
    <r>
      <t>272.35</t>
    </r>
    <r>
      <rPr>
        <sz val="9"/>
        <color rgb="FF000000"/>
        <rFont val="楷体"/>
        <charset val="134"/>
      </rPr>
      <t>亿</t>
    </r>
  </si>
  <si>
    <r>
      <t>1813.5</t>
    </r>
    <r>
      <rPr>
        <sz val="9"/>
        <color rgb="FF000000"/>
        <rFont val="楷体"/>
        <charset val="134"/>
      </rPr>
      <t>亿元</t>
    </r>
  </si>
  <si>
    <r>
      <t>3.25</t>
    </r>
    <r>
      <rPr>
        <sz val="9"/>
        <color rgb="FF000000"/>
        <rFont val="楷体"/>
        <charset val="134"/>
      </rPr>
      <t>亿美元</t>
    </r>
  </si>
  <si>
    <r>
      <t>3.2</t>
    </r>
    <r>
      <rPr>
        <sz val="9"/>
        <color rgb="FF000000"/>
        <rFont val="楷体"/>
        <charset val="134"/>
      </rPr>
      <t>亿美元</t>
    </r>
  </si>
  <si>
    <r>
      <t>Thrive capital,</t>
    </r>
    <r>
      <rPr>
        <sz val="9"/>
        <color rgb="FF000000"/>
        <rFont val="楷体"/>
        <charset val="134"/>
      </rPr>
      <t>银湖投资</t>
    </r>
    <r>
      <rPr>
        <sz val="9"/>
        <color rgb="FF000000"/>
        <rFont val="Arial"/>
        <charset val="134"/>
      </rPr>
      <t>Silver Lake,</t>
    </r>
    <r>
      <rPr>
        <sz val="9"/>
        <color rgb="FF000000"/>
        <rFont val="楷体"/>
        <charset val="134"/>
      </rPr>
      <t>黑石集团</t>
    </r>
    <r>
      <rPr>
        <sz val="9"/>
        <color rgb="FF000000"/>
        <rFont val="Arial"/>
        <charset val="134"/>
      </rPr>
      <t>Blackstone,Fidelity Management and Research Company,Franklin Templeton Investments,Neuberger Berman,MLB</t>
    </r>
  </si>
  <si>
    <r>
      <t>7500</t>
    </r>
    <r>
      <rPr>
        <sz val="9"/>
        <color rgb="FF000000"/>
        <rFont val="楷体"/>
        <charset val="134"/>
      </rPr>
      <t>万美元</t>
    </r>
  </si>
  <si>
    <r>
      <rPr>
        <sz val="9"/>
        <color rgb="FF000000"/>
        <rFont val="楷体"/>
        <charset val="134"/>
      </rPr>
      <t>宅急搜</t>
    </r>
  </si>
  <si>
    <r>
      <rPr>
        <sz val="9"/>
        <color rgb="FF000000"/>
        <rFont val="楷体"/>
        <charset val="134"/>
      </rPr>
      <t>宅急搜</t>
    </r>
  </si>
  <si>
    <r>
      <rPr>
        <sz val="9"/>
        <color rgb="FF000000"/>
        <rFont val="楷体"/>
        <charset val="134"/>
      </rPr>
      <t>北京伟锐谷德信息技术有限公司</t>
    </r>
  </si>
  <si>
    <r>
      <rPr>
        <sz val="9"/>
        <color rgb="FF000000"/>
        <rFont val="楷体"/>
        <charset val="134"/>
      </rPr>
      <t>房产租赁</t>
    </r>
  </si>
  <si>
    <r>
      <t>100</t>
    </r>
    <r>
      <rPr>
        <sz val="9"/>
        <color rgb="FF000000"/>
        <rFont val="楷体"/>
        <charset val="134"/>
      </rPr>
      <t>万</t>
    </r>
  </si>
  <si>
    <r>
      <rPr>
        <sz val="9"/>
        <color rgb="FF000000"/>
        <rFont val="楷体"/>
        <charset val="134"/>
      </rPr>
      <t>星空华文</t>
    </r>
    <r>
      <rPr>
        <sz val="9"/>
        <color rgb="FF000000"/>
        <rFont val="Arial"/>
        <charset val="134"/>
      </rPr>
      <t>-</t>
    </r>
    <r>
      <rPr>
        <sz val="9"/>
        <color rgb="FF000000"/>
        <rFont val="楷体"/>
        <charset val="134"/>
      </rPr>
      <t>灿星文化</t>
    </r>
  </si>
  <si>
    <r>
      <rPr>
        <sz val="9"/>
        <color rgb="FF000000"/>
        <rFont val="楷体"/>
        <charset val="134"/>
      </rPr>
      <t>上海灿星文化传媒股份有限公司</t>
    </r>
  </si>
  <si>
    <r>
      <t>3.9</t>
    </r>
    <r>
      <rPr>
        <sz val="9"/>
        <color rgb="FF000000"/>
        <rFont val="楷体"/>
        <charset val="134"/>
      </rPr>
      <t>亿港元</t>
    </r>
  </si>
  <si>
    <r>
      <t>16.02</t>
    </r>
    <r>
      <rPr>
        <sz val="9"/>
        <color rgb="FF000000"/>
        <rFont val="楷体"/>
        <charset val="134"/>
      </rPr>
      <t>亿</t>
    </r>
  </si>
  <si>
    <r>
      <t>84.4</t>
    </r>
    <r>
      <rPr>
        <sz val="9"/>
        <color rgb="FF000000"/>
        <rFont val="楷体"/>
        <charset val="134"/>
      </rPr>
      <t>亿元</t>
    </r>
  </si>
  <si>
    <r>
      <t>3.6</t>
    </r>
    <r>
      <rPr>
        <sz val="9"/>
        <color rgb="FF000000"/>
        <rFont val="楷体"/>
        <charset val="134"/>
      </rPr>
      <t>亿人民币</t>
    </r>
  </si>
  <si>
    <r>
      <t>CMC</t>
    </r>
    <r>
      <rPr>
        <sz val="9"/>
        <color rgb="FF000000"/>
        <rFont val="楷体"/>
        <charset val="134"/>
      </rPr>
      <t>资本</t>
    </r>
  </si>
  <si>
    <r>
      <rPr>
        <sz val="9"/>
        <color rgb="FF000000"/>
        <rFont val="楷体"/>
        <charset val="134"/>
      </rPr>
      <t>名鞋库</t>
    </r>
  </si>
  <si>
    <r>
      <rPr>
        <sz val="9"/>
        <color rgb="FF000000"/>
        <rFont val="楷体"/>
        <charset val="134"/>
      </rPr>
      <t>名鞋库</t>
    </r>
  </si>
  <si>
    <r>
      <rPr>
        <sz val="9"/>
        <color rgb="FF000000"/>
        <rFont val="楷体"/>
        <charset val="134"/>
      </rPr>
      <t>名鞋库是一家运动休闲鞋服网络零售商，商品涵盖服装、鞋类、包袋、配饰等运动休闲类及时尚产品。</t>
    </r>
  </si>
  <si>
    <r>
      <rPr>
        <sz val="9"/>
        <color rgb="FF000000"/>
        <rFont val="楷体"/>
        <charset val="134"/>
      </rPr>
      <t>名鞋库网络科技有限公司</t>
    </r>
  </si>
  <si>
    <r>
      <t>3.83</t>
    </r>
    <r>
      <rPr>
        <sz val="9"/>
        <color rgb="FF000000"/>
        <rFont val="楷体"/>
        <charset val="134"/>
      </rPr>
      <t>亿人民币</t>
    </r>
  </si>
  <si>
    <r>
      <rPr>
        <sz val="9"/>
        <color rgb="FF000000"/>
        <rFont val="楷体"/>
        <charset val="134"/>
      </rPr>
      <t>贵人鸟</t>
    </r>
  </si>
  <si>
    <r>
      <t>4.8</t>
    </r>
    <r>
      <rPr>
        <sz val="9"/>
        <color rgb="FF000000"/>
        <rFont val="楷体"/>
        <charset val="134"/>
      </rPr>
      <t>亿</t>
    </r>
  </si>
  <si>
    <r>
      <t>19.125</t>
    </r>
    <r>
      <rPr>
        <sz val="9"/>
        <color rgb="FF000000"/>
        <rFont val="楷体"/>
        <charset val="134"/>
      </rPr>
      <t>亿元</t>
    </r>
  </si>
  <si>
    <r>
      <t>Daraz</t>
    </r>
    <r>
      <rPr>
        <sz val="9"/>
        <color rgb="FF000000"/>
        <rFont val="楷体"/>
        <charset val="134"/>
      </rPr>
      <t>成立于</t>
    </r>
    <r>
      <rPr>
        <sz val="9"/>
        <color rgb="FF000000"/>
        <rFont val="Arial"/>
        <charset val="134"/>
      </rPr>
      <t>2012</t>
    </r>
    <r>
      <rPr>
        <sz val="9"/>
        <color rgb="FF000000"/>
        <rFont val="楷体"/>
        <charset val="134"/>
      </rPr>
      <t>年，是巴基斯坦一个</t>
    </r>
    <r>
      <rPr>
        <sz val="9"/>
        <color rgb="FF000000"/>
        <rFont val="Arial"/>
        <charset val="134"/>
      </rPr>
      <t>B2C</t>
    </r>
    <r>
      <rPr>
        <sz val="9"/>
        <color rgb="FF000000"/>
        <rFont val="楷体"/>
        <charset val="134"/>
      </rPr>
      <t>电商平台，可以向巴基斯坦国内超过</t>
    </r>
    <r>
      <rPr>
        <sz val="9"/>
        <color rgb="FF000000"/>
        <rFont val="Arial"/>
        <charset val="134"/>
      </rPr>
      <t>200</t>
    </r>
    <r>
      <rPr>
        <sz val="9"/>
        <color rgb="FF000000"/>
        <rFont val="楷体"/>
        <charset val="134"/>
      </rPr>
      <t>个城市提供送货服务。</t>
    </r>
  </si>
  <si>
    <r>
      <rPr>
        <sz val="9"/>
        <color rgb="FF000000"/>
        <rFont val="楷体"/>
        <charset val="134"/>
      </rPr>
      <t>未透露其他</t>
    </r>
  </si>
  <si>
    <r>
      <t>3.64</t>
    </r>
    <r>
      <rPr>
        <sz val="9"/>
        <color rgb="FF000000"/>
        <rFont val="楷体"/>
        <charset val="134"/>
      </rPr>
      <t>亿</t>
    </r>
  </si>
  <si>
    <r>
      <rPr>
        <sz val="9"/>
        <color rgb="FF000000"/>
        <rFont val="楷体"/>
        <charset val="134"/>
      </rPr>
      <t>衣二三</t>
    </r>
  </si>
  <si>
    <r>
      <rPr>
        <sz val="9"/>
        <color rgb="FF000000"/>
        <rFont val="楷体"/>
        <charset val="134"/>
      </rPr>
      <t>衣二三</t>
    </r>
  </si>
  <si>
    <r>
      <rPr>
        <sz val="9"/>
        <color rgb="FF000000"/>
        <rFont val="楷体"/>
        <charset val="134"/>
      </rPr>
      <t>北京尚世骁众科技有限公司</t>
    </r>
  </si>
  <si>
    <r>
      <t>7.38</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</si>
  <si>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新浪微博基金</t>
    </r>
    <r>
      <rPr>
        <sz val="9"/>
        <color rgb="FF000000"/>
        <rFont val="Arial"/>
        <charset val="134"/>
      </rPr>
      <t>,UOB Venture,</t>
    </r>
    <r>
      <rPr>
        <sz val="9"/>
        <color rgb="FF000000"/>
        <rFont val="楷体"/>
        <charset val="134"/>
      </rPr>
      <t>磐霖资本</t>
    </r>
    <r>
      <rPr>
        <sz val="9"/>
        <color rgb="FF000000"/>
        <rFont val="Arial"/>
        <charset val="134"/>
      </rPr>
      <t>,</t>
    </r>
    <r>
      <rPr>
        <sz val="9"/>
        <color rgb="FF000000"/>
        <rFont val="楷体"/>
        <charset val="134"/>
      </rPr>
      <t>非同凡想创投</t>
    </r>
    <r>
      <rPr>
        <sz val="9"/>
        <color rgb="FF000000"/>
        <rFont val="Arial"/>
        <charset val="134"/>
      </rPr>
      <t>,</t>
    </r>
    <r>
      <rPr>
        <sz val="9"/>
        <color rgb="FF000000"/>
        <rFont val="楷体"/>
        <charset val="134"/>
      </rPr>
      <t>志拙资本</t>
    </r>
  </si>
  <si>
    <r>
      <t>IDG</t>
    </r>
    <r>
      <rPr>
        <sz val="9"/>
        <color rgb="FF000000"/>
        <rFont val="楷体"/>
        <charset val="134"/>
      </rPr>
      <t>资本</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清流资本</t>
    </r>
  </si>
  <si>
    <r>
      <t>Paytm</t>
    </r>
    <r>
      <rPr>
        <sz val="9"/>
        <color rgb="FF000000"/>
        <rFont val="楷体"/>
        <charset val="134"/>
      </rPr>
      <t>是一家来自印度的第三方支付的电子商务公司，隶属于</t>
    </r>
    <r>
      <rPr>
        <sz val="9"/>
        <color rgb="FF000000"/>
        <rFont val="Arial"/>
        <charset val="134"/>
      </rPr>
      <t>One97 Communications</t>
    </r>
    <r>
      <rPr>
        <sz val="9"/>
        <color rgb="FF000000"/>
        <rFont val="楷体"/>
        <charset val="134"/>
      </rPr>
      <t>，提供线上支付、线上购物等服务。</t>
    </r>
  </si>
  <si>
    <r>
      <rPr>
        <sz val="9"/>
        <color rgb="FF000000"/>
        <rFont val="楷体"/>
        <charset val="134"/>
      </rPr>
      <t>支付</t>
    </r>
  </si>
  <si>
    <r>
      <t>22</t>
    </r>
    <r>
      <rPr>
        <sz val="9"/>
        <color rgb="FF000000"/>
        <rFont val="楷体"/>
        <charset val="134"/>
      </rPr>
      <t>亿美元</t>
    </r>
  </si>
  <si>
    <r>
      <t>476.45</t>
    </r>
    <r>
      <rPr>
        <sz val="9"/>
        <color rgb="FF000000"/>
        <rFont val="楷体"/>
        <charset val="134"/>
      </rPr>
      <t>亿</t>
    </r>
  </si>
  <si>
    <r>
      <t>1950</t>
    </r>
    <r>
      <rPr>
        <sz val="9"/>
        <color rgb="FF000000"/>
        <rFont val="楷体"/>
        <charset val="134"/>
      </rPr>
      <t>亿元</t>
    </r>
  </si>
  <si>
    <r>
      <t>3.6</t>
    </r>
    <r>
      <rPr>
        <sz val="9"/>
        <color rgb="FF000000"/>
        <rFont val="楷体"/>
        <charset val="134"/>
      </rPr>
      <t>亿美元</t>
    </r>
  </si>
  <si>
    <r>
      <t>4.45</t>
    </r>
    <r>
      <rPr>
        <sz val="9"/>
        <color rgb="FF000000"/>
        <rFont val="楷体"/>
        <charset val="134"/>
      </rPr>
      <t>亿美元</t>
    </r>
  </si>
  <si>
    <r>
      <rPr>
        <sz val="9"/>
        <color rgb="FF000000"/>
        <rFont val="楷体"/>
        <charset val="134"/>
      </rPr>
      <t>软银中印</t>
    </r>
  </si>
  <si>
    <r>
      <t>14</t>
    </r>
    <r>
      <rPr>
        <sz val="9"/>
        <color rgb="FF000000"/>
        <rFont val="楷体"/>
        <charset val="134"/>
      </rPr>
      <t>亿美元</t>
    </r>
  </si>
  <si>
    <r>
      <rPr>
        <sz val="9"/>
        <color rgb="FF000000"/>
        <rFont val="楷体"/>
        <charset val="134"/>
      </rPr>
      <t>联发科技</t>
    </r>
  </si>
  <si>
    <r>
      <t>6.8</t>
    </r>
    <r>
      <rPr>
        <sz val="9"/>
        <color rgb="FF000000"/>
        <rFont val="楷体"/>
        <charset val="134"/>
      </rPr>
      <t>亿美元</t>
    </r>
  </si>
  <si>
    <r>
      <t>1.35</t>
    </r>
    <r>
      <rPr>
        <sz val="9"/>
        <color rgb="FF000000"/>
        <rFont val="楷体"/>
        <charset val="134"/>
      </rPr>
      <t>亿美元</t>
    </r>
  </si>
  <si>
    <r>
      <t>ShopRunner</t>
    </r>
    <r>
      <rPr>
        <sz val="9"/>
        <color rgb="FF000000"/>
        <rFont val="楷体"/>
        <charset val="134"/>
      </rPr>
      <t>是一家美国电商创业公司，类似中国的天猫商城，采用会员制模式，消费者每年支付</t>
    </r>
    <r>
      <rPr>
        <sz val="9"/>
        <color rgb="FF000000"/>
        <rFont val="Arial"/>
        <charset val="134"/>
      </rPr>
      <t>79</t>
    </r>
    <r>
      <rPr>
        <sz val="9"/>
        <color rgb="FF000000"/>
        <rFont val="楷体"/>
        <charset val="134"/>
      </rPr>
      <t>美元成为</t>
    </r>
    <r>
      <rPr>
        <sz val="9"/>
        <color rgb="FF000000"/>
        <rFont val="Arial"/>
        <charset val="134"/>
      </rPr>
      <t>ShopRunner</t>
    </r>
    <r>
      <rPr>
        <sz val="9"/>
        <color rgb="FF000000"/>
        <rFont val="楷体"/>
        <charset val="134"/>
      </rPr>
      <t>会员，可以享受到两日免费快递以及免费退货的服务。</t>
    </r>
  </si>
  <si>
    <r>
      <t>13.39</t>
    </r>
    <r>
      <rPr>
        <sz val="9"/>
        <color rgb="FF000000"/>
        <rFont val="楷体"/>
        <charset val="134"/>
      </rPr>
      <t>亿</t>
    </r>
  </si>
  <si>
    <r>
      <t>2.06</t>
    </r>
    <r>
      <rPr>
        <sz val="9"/>
        <color rgb="FF000000"/>
        <rFont val="楷体"/>
        <charset val="134"/>
      </rPr>
      <t>亿美元</t>
    </r>
  </si>
  <si>
    <r>
      <t>Vendio Services</t>
    </r>
    <r>
      <rPr>
        <sz val="9"/>
        <color rgb="FF000000"/>
        <rFont val="楷体"/>
        <charset val="134"/>
      </rPr>
      <t>是美国电子商务</t>
    </r>
    <r>
      <rPr>
        <sz val="9"/>
        <color rgb="FF000000"/>
        <rFont val="Arial"/>
        <charset val="134"/>
      </rPr>
      <t>SaaS</t>
    </r>
    <r>
      <rPr>
        <sz val="9"/>
        <color rgb="FF000000"/>
        <rFont val="楷体"/>
        <charset val="134"/>
      </rPr>
      <t>提供商，主要业务是帮助中小规模的商家同时管理多个电商平台上的网店。</t>
    </r>
  </si>
  <si>
    <r>
      <t>Auctiva</t>
    </r>
    <r>
      <rPr>
        <sz val="9"/>
        <color rgb="FF000000"/>
        <rFont val="楷体"/>
        <charset val="134"/>
      </rPr>
      <t>是一家服务于</t>
    </r>
    <r>
      <rPr>
        <sz val="9"/>
        <color rgb="FF000000"/>
        <rFont val="Arial"/>
        <charset val="134"/>
      </rPr>
      <t>eBay</t>
    </r>
    <r>
      <rPr>
        <sz val="9"/>
        <color rgb="FF000000"/>
        <rFont val="楷体"/>
        <charset val="134"/>
      </rPr>
      <t>用户为主，拥有全美超过</t>
    </r>
    <r>
      <rPr>
        <sz val="9"/>
        <color rgb="FF000000"/>
        <rFont val="Arial"/>
        <charset val="134"/>
      </rPr>
      <t>17</t>
    </r>
    <r>
      <rPr>
        <sz val="9"/>
        <color rgb="FF000000"/>
        <rFont val="楷体"/>
        <charset val="134"/>
      </rPr>
      <t>万活跃网店买家的电子商务公司，主营业务是帮助网店店主更好地在</t>
    </r>
    <r>
      <rPr>
        <sz val="9"/>
        <color rgb="FF000000"/>
        <rFont val="Arial"/>
        <charset val="134"/>
      </rPr>
      <t>eBay</t>
    </r>
    <r>
      <rPr>
        <sz val="9"/>
        <color rgb="FF000000"/>
        <rFont val="楷体"/>
        <charset val="134"/>
      </rPr>
      <t>上发布、管理产品和销售。</t>
    </r>
  </si>
  <si>
    <r>
      <t>MySIMAX</t>
    </r>
    <r>
      <rPr>
        <sz val="9"/>
        <color rgb="FF000000"/>
        <rFont val="楷体"/>
        <charset val="134"/>
      </rPr>
      <t>是犹太人在上海创立的一个看好非洲未来经济发展的开发教育平板电脑的科技公司，面向非洲市场，同时建立非洲精英人才俱乐部和移动数字交易市场，致力于让非洲最有潜力的一代人学习知识，成为数字经济中的活跃者。</t>
    </r>
  </si>
  <si>
    <r>
      <rPr>
        <sz val="9"/>
        <color rgb="FF000000"/>
        <rFont val="楷体"/>
        <charset val="134"/>
      </rPr>
      <t>教育综合服务</t>
    </r>
  </si>
  <si>
    <r>
      <t>20</t>
    </r>
    <r>
      <rPr>
        <sz val="9"/>
        <color rgb="FF000000"/>
        <rFont val="楷体"/>
        <charset val="134"/>
      </rPr>
      <t>万美元</t>
    </r>
  </si>
  <si>
    <r>
      <t>130</t>
    </r>
    <r>
      <rPr>
        <sz val="9"/>
        <color rgb="FF000000"/>
        <rFont val="楷体"/>
        <charset val="134"/>
      </rPr>
      <t>万</t>
    </r>
  </si>
  <si>
    <r>
      <t>650</t>
    </r>
    <r>
      <rPr>
        <sz val="9"/>
        <color rgb="FF000000"/>
        <rFont val="楷体"/>
        <charset val="134"/>
      </rPr>
      <t>万元</t>
    </r>
  </si>
  <si>
    <r>
      <t>JX Paulin:</t>
    </r>
    <r>
      <rPr>
        <sz val="9"/>
        <color rgb="FF000000"/>
        <rFont val="楷体"/>
        <charset val="134"/>
      </rPr>
      <t>联合创始人</t>
    </r>
  </si>
  <si>
    <r>
      <rPr>
        <sz val="9"/>
        <color rgb="FF000000"/>
        <rFont val="楷体"/>
        <charset val="134"/>
      </rPr>
      <t>阿卡</t>
    </r>
    <r>
      <rPr>
        <sz val="9"/>
        <color rgb="FF000000"/>
        <rFont val="Arial"/>
        <charset val="134"/>
      </rPr>
      <t>Artka</t>
    </r>
  </si>
  <si>
    <r>
      <rPr>
        <sz val="9"/>
        <color rgb="FF000000"/>
        <rFont val="楷体"/>
        <charset val="134"/>
      </rPr>
      <t>杭州界内电子商务有限公司</t>
    </r>
  </si>
  <si>
    <r>
      <rPr>
        <sz val="9"/>
        <color rgb="FF000000"/>
        <rFont val="楷体"/>
        <charset val="134"/>
      </rPr>
      <t>湖畔山南资本</t>
    </r>
  </si>
  <si>
    <r>
      <rPr>
        <sz val="9"/>
        <color rgb="FF000000"/>
        <rFont val="楷体"/>
        <charset val="134"/>
      </rPr>
      <t>如涵控股</t>
    </r>
  </si>
  <si>
    <r>
      <rPr>
        <sz val="9"/>
        <color rgb="FF000000"/>
        <rFont val="楷体"/>
        <charset val="134"/>
      </rPr>
      <t>如涵控股</t>
    </r>
  </si>
  <si>
    <r>
      <rPr>
        <sz val="9"/>
        <color rgb="FF000000"/>
        <rFont val="楷体"/>
        <charset val="134"/>
      </rPr>
      <t>杭州如涵控股股份有限公司</t>
    </r>
  </si>
  <si>
    <r>
      <t>34.58</t>
    </r>
    <r>
      <rPr>
        <sz val="9"/>
        <color rgb="FF000000"/>
        <rFont val="楷体"/>
        <charset val="134"/>
      </rPr>
      <t>亿</t>
    </r>
  </si>
  <si>
    <r>
      <t>1.25</t>
    </r>
    <r>
      <rPr>
        <sz val="9"/>
        <color rgb="FF000000"/>
        <rFont val="楷体"/>
        <charset val="134"/>
      </rPr>
      <t>亿美元</t>
    </r>
  </si>
  <si>
    <r>
      <t>4.3</t>
    </r>
    <r>
      <rPr>
        <sz val="9"/>
        <color rgb="FF000000"/>
        <rFont val="楷体"/>
        <charset val="134"/>
      </rPr>
      <t>亿人民币</t>
    </r>
  </si>
  <si>
    <r>
      <t>1200</t>
    </r>
    <r>
      <rPr>
        <sz val="9"/>
        <color rgb="FF000000"/>
        <rFont val="楷体"/>
        <charset val="134"/>
      </rPr>
      <t>万人民币</t>
    </r>
  </si>
  <si>
    <r>
      <t>Mr.I</t>
    </r>
    <r>
      <rPr>
        <sz val="9"/>
        <color rgb="FF000000"/>
        <rFont val="楷体"/>
        <charset val="134"/>
      </rPr>
      <t>互联网创新基地</t>
    </r>
    <r>
      <rPr>
        <sz val="9"/>
        <color rgb="FF000000"/>
        <rFont val="Arial"/>
        <charset val="134"/>
      </rPr>
      <t>(</t>
    </r>
    <r>
      <rPr>
        <sz val="9"/>
        <color rgb="FF000000"/>
        <rFont val="楷体"/>
        <charset val="134"/>
      </rPr>
      <t>陈瑞贵</t>
    </r>
    <r>
      <rPr>
        <sz val="9"/>
        <color rgb="FF000000"/>
        <rFont val="Arial"/>
        <charset val="134"/>
      </rPr>
      <t>),</t>
    </r>
    <r>
      <rPr>
        <sz val="9"/>
        <color rgb="FF000000"/>
        <rFont val="楷体"/>
        <charset val="134"/>
      </rPr>
      <t>陈瑞贵</t>
    </r>
  </si>
  <si>
    <r>
      <rPr>
        <sz val="9"/>
        <color rgb="FF000000"/>
        <rFont val="楷体"/>
        <charset val="134"/>
      </rPr>
      <t>新浪微博</t>
    </r>
  </si>
  <si>
    <r>
      <rPr>
        <sz val="9"/>
        <color rgb="FF000000"/>
        <rFont val="楷体"/>
        <charset val="134"/>
      </rPr>
      <t>新浪微博</t>
    </r>
  </si>
  <si>
    <r>
      <rPr>
        <sz val="9"/>
        <color rgb="FF000000"/>
        <rFont val="楷体"/>
        <charset val="134"/>
      </rPr>
      <t>北京微梦创科网络技术有限公司</t>
    </r>
  </si>
  <si>
    <r>
      <t>13.83</t>
    </r>
    <r>
      <rPr>
        <sz val="9"/>
        <color rgb="FF000000"/>
        <rFont val="楷体"/>
        <charset val="134"/>
      </rPr>
      <t>亿港元</t>
    </r>
  </si>
  <si>
    <r>
      <t>79.52</t>
    </r>
    <r>
      <rPr>
        <sz val="9"/>
        <color rgb="FF000000"/>
        <rFont val="楷体"/>
        <charset val="134"/>
      </rPr>
      <t>亿</t>
    </r>
  </si>
  <si>
    <r>
      <t>480</t>
    </r>
    <r>
      <rPr>
        <sz val="9"/>
        <color rgb="FF000000"/>
        <rFont val="楷体"/>
        <charset val="134"/>
      </rPr>
      <t>亿元</t>
    </r>
  </si>
  <si>
    <r>
      <rPr>
        <sz val="9"/>
        <color rgb="FF000000"/>
        <rFont val="楷体"/>
        <charset val="134"/>
      </rPr>
      <t>中国互联网投资基金</t>
    </r>
  </si>
  <si>
    <r>
      <t>2.86</t>
    </r>
    <r>
      <rPr>
        <sz val="9"/>
        <color rgb="FF000000"/>
        <rFont val="楷体"/>
        <charset val="134"/>
      </rPr>
      <t>亿美元</t>
    </r>
  </si>
  <si>
    <r>
      <t>5.86</t>
    </r>
    <r>
      <rPr>
        <sz val="9"/>
        <color rgb="FF000000"/>
        <rFont val="楷体"/>
        <charset val="134"/>
      </rPr>
      <t>亿美元</t>
    </r>
  </si>
  <si>
    <r>
      <t xml:space="preserve">Nestpick </t>
    </r>
    <r>
      <rPr>
        <sz val="9"/>
        <color rgb="FF000000"/>
        <rFont val="楷体"/>
        <charset val="134"/>
      </rPr>
      <t>是一家提供租房服务的公司。主要针对年轻留学生，为他们在读书期间提供</t>
    </r>
    <r>
      <rPr>
        <sz val="9"/>
        <color rgb="FF000000"/>
        <rFont val="Arial"/>
        <charset val="134"/>
      </rPr>
      <t>3</t>
    </r>
    <r>
      <rPr>
        <sz val="9"/>
        <color rgb="FF000000"/>
        <rFont val="楷体"/>
        <charset val="134"/>
      </rPr>
      <t>个月到</t>
    </r>
    <r>
      <rPr>
        <sz val="9"/>
        <color rgb="FF000000"/>
        <rFont val="Arial"/>
        <charset val="134"/>
      </rPr>
      <t>3</t>
    </r>
    <r>
      <rPr>
        <sz val="9"/>
        <color rgb="FF000000"/>
        <rFont val="楷体"/>
        <charset val="134"/>
      </rPr>
      <t>年不等的租房服务。</t>
    </r>
  </si>
  <si>
    <r>
      <t>1100</t>
    </r>
    <r>
      <rPr>
        <sz val="9"/>
        <color rgb="FF000000"/>
        <rFont val="楷体"/>
        <charset val="134"/>
      </rPr>
      <t>万美元</t>
    </r>
  </si>
  <si>
    <r>
      <t>7150</t>
    </r>
    <r>
      <rPr>
        <sz val="9"/>
        <color rgb="FF000000"/>
        <rFont val="楷体"/>
        <charset val="134"/>
      </rPr>
      <t>万</t>
    </r>
  </si>
  <si>
    <r>
      <t>3.575</t>
    </r>
    <r>
      <rPr>
        <sz val="9"/>
        <color rgb="FF000000"/>
        <rFont val="楷体"/>
        <charset val="134"/>
      </rPr>
      <t>亿元</t>
    </r>
  </si>
  <si>
    <r>
      <t>Fabian Dudek:</t>
    </r>
    <r>
      <rPr>
        <sz val="9"/>
        <color rgb="FF000000"/>
        <rFont val="楷体"/>
        <charset val="134"/>
      </rPr>
      <t>创始人兼</t>
    </r>
    <r>
      <rPr>
        <sz val="9"/>
        <color rgb="FF000000"/>
        <rFont val="Arial"/>
        <charset val="134"/>
      </rPr>
      <t>CEO,Peter Hofman:</t>
    </r>
    <r>
      <rPr>
        <sz val="9"/>
        <color rgb="FF000000"/>
        <rFont val="楷体"/>
        <charset val="134"/>
      </rPr>
      <t>创始人兼</t>
    </r>
    <r>
      <rPr>
        <sz val="9"/>
        <color rgb="FF000000"/>
        <rFont val="Arial"/>
        <charset val="134"/>
      </rPr>
      <t>CTO,Patricia Moubarak:</t>
    </r>
    <r>
      <rPr>
        <sz val="9"/>
        <color rgb="FF000000"/>
        <rFont val="楷体"/>
        <charset val="134"/>
      </rPr>
      <t>联合创始人兼</t>
    </r>
    <r>
      <rPr>
        <sz val="9"/>
        <color rgb="FF000000"/>
        <rFont val="Arial"/>
        <charset val="134"/>
      </rPr>
      <t>COO,Alejandro Zaniolo:VP of Business Development,Anil Yeni:Co-founder &amp; CTO,Omer Kucukdere:Founder and CEO</t>
    </r>
  </si>
  <si>
    <r>
      <rPr>
        <sz val="9"/>
        <color rgb="FF000000"/>
        <rFont val="楷体"/>
        <charset val="134"/>
      </rPr>
      <t>万象物流</t>
    </r>
  </si>
  <si>
    <r>
      <rPr>
        <sz val="9"/>
        <color rgb="FF000000"/>
        <rFont val="楷体"/>
        <charset val="134"/>
      </rPr>
      <t>万象物流</t>
    </r>
  </si>
  <si>
    <r>
      <rPr>
        <sz val="9"/>
        <color rgb="FF000000"/>
        <rFont val="楷体"/>
        <charset val="134"/>
      </rPr>
      <t>上海万象文化配送有限公司</t>
    </r>
  </si>
  <si>
    <r>
      <rPr>
        <sz val="9"/>
        <color rgb="FF000000"/>
        <rFont val="楷体"/>
        <charset val="134"/>
      </rPr>
      <t>仓储服务</t>
    </r>
  </si>
  <si>
    <r>
      <rPr>
        <sz val="9"/>
        <color rgb="FF000000"/>
        <rFont val="楷体"/>
        <charset val="134"/>
      </rPr>
      <t>小鹏汽车</t>
    </r>
  </si>
  <si>
    <r>
      <rPr>
        <sz val="9"/>
        <color rgb="FF000000"/>
        <rFont val="楷体"/>
        <charset val="134"/>
      </rPr>
      <t>小鹏汽车</t>
    </r>
  </si>
  <si>
    <r>
      <rPr>
        <sz val="9"/>
        <color rgb="FF000000"/>
        <rFont val="楷体"/>
        <charset val="134"/>
      </rPr>
      <t>小鹏汽车是一家智能汽车设计及制造商，也是融合互联网和人工智能前沿创新的科技公司。致力于通过自主研发、智能制造，为用户创造更美好的出行生活。</t>
    </r>
  </si>
  <si>
    <r>
      <rPr>
        <sz val="9"/>
        <color rgb="FF000000"/>
        <rFont val="楷体"/>
        <charset val="134"/>
      </rPr>
      <t>广州橙行智动汽车科技有限公司</t>
    </r>
  </si>
  <si>
    <r>
      <rPr>
        <sz val="9"/>
        <color rgb="FF000000"/>
        <rFont val="楷体"/>
        <charset val="134"/>
      </rPr>
      <t>汽车制造</t>
    </r>
  </si>
  <si>
    <r>
      <rPr>
        <sz val="9"/>
        <color rgb="FF000000"/>
        <rFont val="楷体"/>
        <charset val="134"/>
      </rPr>
      <t>大众汽车</t>
    </r>
  </si>
  <si>
    <r>
      <t>483.38</t>
    </r>
    <r>
      <rPr>
        <sz val="9"/>
        <color rgb="FF000000"/>
        <rFont val="楷体"/>
        <charset val="134"/>
      </rPr>
      <t>亿</t>
    </r>
  </si>
  <si>
    <r>
      <t>140</t>
    </r>
    <r>
      <rPr>
        <sz val="9"/>
        <color rgb="FF000000"/>
        <rFont val="楷体"/>
        <charset val="134"/>
      </rPr>
      <t>亿港元</t>
    </r>
  </si>
  <si>
    <r>
      <rPr>
        <sz val="9"/>
        <color rgb="FF000000"/>
        <rFont val="楷体"/>
        <charset val="134"/>
      </rPr>
      <t>广东省产业发展基金</t>
    </r>
  </si>
  <si>
    <r>
      <t>40</t>
    </r>
    <r>
      <rPr>
        <sz val="9"/>
        <color rgb="FF000000"/>
        <rFont val="楷体"/>
        <charset val="134"/>
      </rPr>
      <t>亿人民币</t>
    </r>
  </si>
  <si>
    <r>
      <rPr>
        <sz val="9"/>
        <color rgb="FF000000"/>
        <rFont val="楷体"/>
        <charset val="134"/>
      </rPr>
      <t>广州凯得投资控股有限公司</t>
    </r>
  </si>
  <si>
    <r>
      <t>14.9</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</si>
  <si>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何小鹏</t>
    </r>
  </si>
  <si>
    <r>
      <t>22</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</si>
  <si>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富士康</t>
    </r>
    <r>
      <rPr>
        <sz val="9"/>
        <color rgb="FF000000"/>
        <rFont val="Arial"/>
        <charset val="134"/>
      </rPr>
      <t>Foxconn,Apoletto</t>
    </r>
  </si>
  <si>
    <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昆仲资本</t>
    </r>
    <r>
      <rPr>
        <sz val="9"/>
        <color rgb="FF000000"/>
        <rFont val="Arial"/>
        <charset val="134"/>
      </rPr>
      <t>,</t>
    </r>
    <r>
      <rPr>
        <sz val="9"/>
        <color rgb="FF000000"/>
        <rFont val="楷体"/>
        <charset val="134"/>
      </rPr>
      <t>光控众盈资本</t>
    </r>
    <r>
      <rPr>
        <sz val="9"/>
        <color rgb="FF000000"/>
        <rFont val="Arial"/>
        <charset val="134"/>
      </rPr>
      <t>,</t>
    </r>
    <r>
      <rPr>
        <sz val="9"/>
        <color rgb="FF000000"/>
        <rFont val="楷体"/>
        <charset val="134"/>
      </rPr>
      <t>大钲资本</t>
    </r>
    <r>
      <rPr>
        <sz val="9"/>
        <color rgb="FF000000"/>
        <rFont val="Arial"/>
        <charset val="134"/>
      </rPr>
      <t>,</t>
    </r>
    <r>
      <rPr>
        <sz val="9"/>
        <color rgb="FF000000"/>
        <rFont val="楷体"/>
        <charset val="134"/>
      </rPr>
      <t>何小鹏</t>
    </r>
    <r>
      <rPr>
        <sz val="9"/>
        <color rgb="FF000000"/>
        <rFont val="Arial"/>
        <charset val="134"/>
      </rPr>
      <t>,</t>
    </r>
    <r>
      <rPr>
        <sz val="9"/>
        <color rgb="FF000000"/>
        <rFont val="楷体"/>
        <charset val="134"/>
      </rPr>
      <t>新鼎资本</t>
    </r>
  </si>
  <si>
    <r>
      <rPr>
        <sz val="9"/>
        <color rgb="FF000000"/>
        <rFont val="楷体"/>
        <charset val="134"/>
      </rPr>
      <t>神州专车</t>
    </r>
  </si>
  <si>
    <r>
      <rPr>
        <sz val="9"/>
        <color rgb="FF000000"/>
        <rFont val="楷体"/>
        <charset val="134"/>
      </rPr>
      <t>向上影业</t>
    </r>
  </si>
  <si>
    <r>
      <rPr>
        <sz val="9"/>
        <color rgb="FF000000"/>
        <rFont val="楷体"/>
        <charset val="134"/>
      </rPr>
      <t>向上影业</t>
    </r>
  </si>
  <si>
    <r>
      <rPr>
        <sz val="9"/>
        <color rgb="FF000000"/>
        <rFont val="楷体"/>
        <charset val="134"/>
      </rPr>
      <t>北京吉吉向上文化传媒有限公司</t>
    </r>
  </si>
  <si>
    <r>
      <t>14</t>
    </r>
    <r>
      <rPr>
        <sz val="9"/>
        <color rgb="FF000000"/>
        <rFont val="楷体"/>
        <charset val="134"/>
      </rPr>
      <t>亿元</t>
    </r>
  </si>
  <si>
    <r>
      <rPr>
        <sz val="9"/>
        <color rgb="FF000000"/>
        <rFont val="楷体"/>
        <charset val="134"/>
      </rPr>
      <t>巨人网络</t>
    </r>
  </si>
  <si>
    <r>
      <rPr>
        <sz val="9"/>
        <color rgb="FF000000"/>
        <rFont val="楷体"/>
        <charset val="134"/>
      </rPr>
      <t>巨人网络</t>
    </r>
  </si>
  <si>
    <r>
      <rPr>
        <sz val="9"/>
        <color rgb="FF000000"/>
        <rFont val="楷体"/>
        <charset val="134"/>
      </rPr>
      <t>上海巨人网络科技有限公司</t>
    </r>
  </si>
  <si>
    <r>
      <t>27</t>
    </r>
    <r>
      <rPr>
        <sz val="9"/>
        <color rgb="FF000000"/>
        <rFont val="楷体"/>
        <charset val="134"/>
      </rPr>
      <t>亿</t>
    </r>
  </si>
  <si>
    <r>
      <rPr>
        <sz val="9"/>
        <color rgb="FF000000"/>
        <rFont val="楷体"/>
        <charset val="134"/>
      </rPr>
      <t>口碑</t>
    </r>
  </si>
  <si>
    <r>
      <rPr>
        <sz val="9"/>
        <color rgb="FF000000"/>
        <rFont val="楷体"/>
        <charset val="134"/>
      </rPr>
      <t>口碑网是阿里旗下网站，致力于打造生活服务领域的电子商务第一品牌。网站为消费者提供评论分享、消费指南，是商家发布促销信息，进行口碑营销，实施电子商务的平台。</t>
    </r>
  </si>
  <si>
    <r>
      <rPr>
        <sz val="9"/>
        <color rgb="FF000000"/>
        <rFont val="楷体"/>
        <charset val="134"/>
      </rPr>
      <t>杭州口口相传网络技术有限公司</t>
    </r>
  </si>
  <si>
    <r>
      <t>137.62</t>
    </r>
    <r>
      <rPr>
        <sz val="9"/>
        <color rgb="FF000000"/>
        <rFont val="楷体"/>
        <charset val="134"/>
      </rPr>
      <t>亿</t>
    </r>
  </si>
  <si>
    <r>
      <t>9.66</t>
    </r>
    <r>
      <rPr>
        <sz val="9"/>
        <color rgb="FF000000"/>
        <rFont val="楷体"/>
        <charset val="134"/>
      </rPr>
      <t>亿美元</t>
    </r>
  </si>
  <si>
    <r>
      <rPr>
        <sz val="9"/>
        <color rgb="FF000000"/>
        <rFont val="楷体"/>
        <charset val="134"/>
      </rPr>
      <t>心怡科技</t>
    </r>
  </si>
  <si>
    <r>
      <rPr>
        <sz val="9"/>
        <color rgb="FF000000"/>
        <rFont val="楷体"/>
        <charset val="134"/>
      </rPr>
      <t>心怡科技</t>
    </r>
  </si>
  <si>
    <r>
      <rPr>
        <sz val="9"/>
        <color rgb="FF000000"/>
        <rFont val="楷体"/>
        <charset val="134"/>
      </rPr>
      <t>浙江心怡供应链管理有限公司</t>
    </r>
  </si>
  <si>
    <r>
      <t>3.9</t>
    </r>
    <r>
      <rPr>
        <sz val="9"/>
        <color rgb="FF000000"/>
        <rFont val="楷体"/>
        <charset val="134"/>
      </rPr>
      <t>亿</t>
    </r>
  </si>
  <si>
    <r>
      <rPr>
        <sz val="9"/>
        <color rgb="FF000000"/>
        <rFont val="楷体"/>
        <charset val="134"/>
      </rPr>
      <t>五矿电商</t>
    </r>
  </si>
  <si>
    <r>
      <rPr>
        <sz val="9"/>
        <color rgb="FF000000"/>
        <rFont val="楷体"/>
        <charset val="134"/>
      </rPr>
      <t>五矿电商</t>
    </r>
  </si>
  <si>
    <r>
      <rPr>
        <sz val="9"/>
        <color rgb="FF000000"/>
        <rFont val="楷体"/>
        <charset val="134"/>
      </rPr>
      <t>龙腾数科技术有限公司</t>
    </r>
  </si>
  <si>
    <r>
      <t>5.9</t>
    </r>
    <r>
      <rPr>
        <sz val="9"/>
        <color rgb="FF000000"/>
        <rFont val="楷体"/>
        <charset val="134"/>
      </rPr>
      <t>亿人民币</t>
    </r>
  </si>
  <si>
    <r>
      <t>5.9</t>
    </r>
    <r>
      <rPr>
        <sz val="9"/>
        <color rgb="FF000000"/>
        <rFont val="楷体"/>
        <charset val="134"/>
      </rPr>
      <t>亿</t>
    </r>
  </si>
  <si>
    <r>
      <t>7.0455</t>
    </r>
    <r>
      <rPr>
        <sz val="9"/>
        <color rgb="FF000000"/>
        <rFont val="楷体"/>
        <charset val="134"/>
      </rPr>
      <t>亿元</t>
    </r>
  </si>
  <si>
    <r>
      <rPr>
        <sz val="9"/>
        <color rgb="FF000000"/>
        <rFont val="楷体"/>
        <charset val="134"/>
      </rPr>
      <t>柚子</t>
    </r>
  </si>
  <si>
    <r>
      <rPr>
        <sz val="9"/>
        <color rgb="FF000000"/>
        <rFont val="楷体"/>
        <charset val="134"/>
      </rPr>
      <t>柚子</t>
    </r>
  </si>
  <si>
    <r>
      <rPr>
        <sz val="9"/>
        <color rgb="FF000000"/>
        <rFont val="楷体"/>
        <charset val="134"/>
      </rPr>
      <t>北京壹平台科技（柚子）是一家专注于手机彩票技术服务的公司，旗下有海南体彩等产品。</t>
    </r>
  </si>
  <si>
    <r>
      <rPr>
        <sz val="9"/>
        <color rgb="FF000000"/>
        <rFont val="楷体"/>
        <charset val="134"/>
      </rPr>
      <t>北京壹平台科技有限公司</t>
    </r>
  </si>
  <si>
    <r>
      <rPr>
        <sz val="9"/>
        <color rgb="FF000000"/>
        <rFont val="楷体"/>
        <charset val="134"/>
      </rPr>
      <t>汇财私人资本</t>
    </r>
  </si>
  <si>
    <r>
      <rPr>
        <sz val="9"/>
        <color rgb="FF000000"/>
        <rFont val="楷体"/>
        <charset val="134"/>
      </rPr>
      <t>申通快递</t>
    </r>
  </si>
  <si>
    <r>
      <rPr>
        <sz val="9"/>
        <color rgb="FF000000"/>
        <rFont val="楷体"/>
        <charset val="134"/>
      </rPr>
      <t>申通快递</t>
    </r>
  </si>
  <si>
    <r>
      <rPr>
        <sz val="9"/>
        <color rgb="FF000000"/>
        <rFont val="楷体"/>
        <charset val="134"/>
      </rPr>
      <t>申通快递有限公司</t>
    </r>
  </si>
  <si>
    <r>
      <t>38.78</t>
    </r>
    <r>
      <rPr>
        <sz val="9"/>
        <color rgb="FF000000"/>
        <rFont val="楷体"/>
        <charset val="134"/>
      </rPr>
      <t>亿人民币</t>
    </r>
  </si>
  <si>
    <r>
      <t>459.25</t>
    </r>
    <r>
      <rPr>
        <sz val="9"/>
        <color rgb="FF000000"/>
        <rFont val="楷体"/>
        <charset val="134"/>
      </rPr>
      <t>亿</t>
    </r>
  </si>
  <si>
    <r>
      <t>193.9</t>
    </r>
    <r>
      <rPr>
        <sz val="9"/>
        <color rgb="FF000000"/>
        <rFont val="楷体"/>
        <charset val="134"/>
      </rPr>
      <t>亿元</t>
    </r>
  </si>
  <si>
    <r>
      <rPr>
        <sz val="9"/>
        <color rgb="FF000000"/>
        <rFont val="楷体"/>
        <charset val="134"/>
      </rPr>
      <t>浦发银行</t>
    </r>
  </si>
  <si>
    <r>
      <t>99.82</t>
    </r>
    <r>
      <rPr>
        <sz val="9"/>
        <color rgb="FF000000"/>
        <rFont val="楷体"/>
        <charset val="134"/>
      </rPr>
      <t>亿人民币</t>
    </r>
  </si>
  <si>
    <r>
      <t>46.65</t>
    </r>
    <r>
      <rPr>
        <sz val="9"/>
        <color rgb="FF000000"/>
        <rFont val="楷体"/>
        <charset val="134"/>
      </rPr>
      <t>亿人民币</t>
    </r>
  </si>
  <si>
    <r>
      <t>169</t>
    </r>
    <r>
      <rPr>
        <sz val="9"/>
        <color rgb="FF000000"/>
        <rFont val="楷体"/>
        <charset val="134"/>
      </rPr>
      <t>亿人民币</t>
    </r>
  </si>
  <si>
    <r>
      <rPr>
        <sz val="9"/>
        <color rgb="FF000000"/>
        <rFont val="楷体"/>
        <charset val="134"/>
      </rPr>
      <t>艾迪西</t>
    </r>
  </si>
  <si>
    <r>
      <rPr>
        <sz val="9"/>
        <color rgb="FF000000"/>
        <rFont val="楷体"/>
        <charset val="134"/>
      </rPr>
      <t>斑马智行</t>
    </r>
  </si>
  <si>
    <r>
      <rPr>
        <sz val="9"/>
        <color rgb="FF000000"/>
        <rFont val="楷体"/>
        <charset val="134"/>
      </rPr>
      <t>斑马智行</t>
    </r>
  </si>
  <si>
    <r>
      <rPr>
        <sz val="9"/>
        <color rgb="FF000000"/>
        <rFont val="楷体"/>
        <charset val="134"/>
      </rPr>
      <t>斑马网络技术有限公司</t>
    </r>
  </si>
  <si>
    <r>
      <t>53</t>
    </r>
    <r>
      <rPr>
        <sz val="9"/>
        <color rgb="FF000000"/>
        <rFont val="楷体"/>
        <charset val="134"/>
      </rPr>
      <t>亿</t>
    </r>
  </si>
  <si>
    <r>
      <t>220</t>
    </r>
    <r>
      <rPr>
        <sz val="9"/>
        <color rgb="FF000000"/>
        <rFont val="楷体"/>
        <charset val="134"/>
      </rPr>
      <t>亿元</t>
    </r>
  </si>
  <si>
    <r>
      <rPr>
        <sz val="9"/>
        <color rgb="FF000000"/>
        <rFont val="楷体"/>
        <charset val="134"/>
      </rPr>
      <t>南华早报</t>
    </r>
  </si>
  <si>
    <r>
      <rPr>
        <sz val="9"/>
        <color rgb="FF000000"/>
        <rFont val="楷体"/>
        <charset val="134"/>
      </rPr>
      <t>南华早报</t>
    </r>
  </si>
  <si>
    <r>
      <rPr>
        <sz val="9"/>
        <color rgb="FF000000"/>
        <rFont val="楷体"/>
        <charset val="134"/>
      </rPr>
      <t>南华早报出版有限公司</t>
    </r>
  </si>
  <si>
    <r>
      <t>2.66</t>
    </r>
    <r>
      <rPr>
        <sz val="9"/>
        <color rgb="FF000000"/>
        <rFont val="楷体"/>
        <charset val="134"/>
      </rPr>
      <t>亿美元</t>
    </r>
  </si>
  <si>
    <r>
      <t>17.29</t>
    </r>
    <r>
      <rPr>
        <sz val="9"/>
        <color rgb="FF000000"/>
        <rFont val="楷体"/>
        <charset val="134"/>
      </rPr>
      <t>亿</t>
    </r>
  </si>
  <si>
    <r>
      <t>86.45</t>
    </r>
    <r>
      <rPr>
        <sz val="9"/>
        <color rgb="FF000000"/>
        <rFont val="楷体"/>
        <charset val="134"/>
      </rPr>
      <t>亿元</t>
    </r>
  </si>
  <si>
    <r>
      <rPr>
        <sz val="9"/>
        <color rgb="FF000000"/>
        <rFont val="楷体"/>
        <charset val="134"/>
      </rPr>
      <t>千寻位置</t>
    </r>
  </si>
  <si>
    <r>
      <rPr>
        <sz val="9"/>
        <color rgb="FF000000"/>
        <rFont val="楷体"/>
        <charset val="134"/>
      </rPr>
      <t>千寻位置</t>
    </r>
  </si>
  <si>
    <r>
      <rPr>
        <sz val="9"/>
        <color rgb="FF000000"/>
        <rFont val="楷体"/>
        <charset val="134"/>
      </rPr>
      <t>千寻位置网络有限公司</t>
    </r>
  </si>
  <si>
    <r>
      <t>10.3</t>
    </r>
    <r>
      <rPr>
        <sz val="9"/>
        <color rgb="FF000000"/>
        <rFont val="楷体"/>
        <charset val="134"/>
      </rPr>
      <t>亿</t>
    </r>
  </si>
  <si>
    <r>
      <rPr>
        <sz val="9"/>
        <color rgb="FF000000"/>
        <rFont val="楷体"/>
        <charset val="134"/>
      </rPr>
      <t>星晨急便</t>
    </r>
  </si>
  <si>
    <r>
      <rPr>
        <sz val="9"/>
        <color rgb="FF000000"/>
        <rFont val="楷体"/>
        <charset val="134"/>
      </rPr>
      <t>星晨急便</t>
    </r>
  </si>
  <si>
    <r>
      <rPr>
        <sz val="9"/>
        <color rgb="FF000000"/>
        <rFont val="楷体"/>
        <charset val="134"/>
      </rPr>
      <t>北京星晨急便速递有限公司</t>
    </r>
  </si>
  <si>
    <r>
      <t>7000</t>
    </r>
    <r>
      <rPr>
        <sz val="9"/>
        <color rgb="FF000000"/>
        <rFont val="楷体"/>
        <charset val="134"/>
      </rPr>
      <t>万</t>
    </r>
  </si>
  <si>
    <r>
      <t>3.5</t>
    </r>
    <r>
      <rPr>
        <sz val="9"/>
        <color rgb="FF000000"/>
        <rFont val="楷体"/>
        <charset val="134"/>
      </rPr>
      <t>亿元</t>
    </r>
  </si>
  <si>
    <r>
      <rPr>
        <sz val="9"/>
        <color rgb="FF000000"/>
        <rFont val="楷体"/>
        <charset val="134"/>
      </rPr>
      <t>百世物流</t>
    </r>
  </si>
  <si>
    <r>
      <rPr>
        <sz val="9"/>
        <color rgb="FF000000"/>
        <rFont val="楷体"/>
        <charset val="134"/>
      </rPr>
      <t>百世物流</t>
    </r>
  </si>
  <si>
    <r>
      <rPr>
        <sz val="9"/>
        <color rgb="FF000000"/>
        <rFont val="楷体"/>
        <charset val="134"/>
      </rPr>
      <t>百世汇通是一家向客户提供综合供应链、快递、快运和软件服务的物流供应链服务提供商。百世物流科技（中国）有限公司旗下产品。</t>
    </r>
  </si>
  <si>
    <r>
      <rPr>
        <sz val="9"/>
        <color rgb="FF000000"/>
        <rFont val="楷体"/>
        <charset val="134"/>
      </rPr>
      <t>百世物流科技（中国）有限公司</t>
    </r>
  </si>
  <si>
    <r>
      <t>68</t>
    </r>
    <r>
      <rPr>
        <sz val="9"/>
        <color rgb="FF000000"/>
        <rFont val="楷体"/>
        <charset val="134"/>
      </rPr>
      <t>亿人民币</t>
    </r>
  </si>
  <si>
    <r>
      <rPr>
        <sz val="9"/>
        <color rgb="FF000000"/>
        <rFont val="楷体"/>
        <charset val="134"/>
      </rPr>
      <t>极兔速递</t>
    </r>
  </si>
  <si>
    <r>
      <t>210.83</t>
    </r>
    <r>
      <rPr>
        <sz val="9"/>
        <color rgb="FF000000"/>
        <rFont val="楷体"/>
        <charset val="134"/>
      </rPr>
      <t>亿</t>
    </r>
  </si>
  <si>
    <r>
      <t>340</t>
    </r>
    <r>
      <rPr>
        <sz val="9"/>
        <color rgb="FF000000"/>
        <rFont val="楷体"/>
        <charset val="134"/>
      </rPr>
      <t>亿元</t>
    </r>
  </si>
  <si>
    <r>
      <t>7.6</t>
    </r>
    <r>
      <rPr>
        <sz val="9"/>
        <color rgb="FF000000"/>
        <rFont val="楷体"/>
        <charset val="134"/>
      </rPr>
      <t>亿美元</t>
    </r>
  </si>
  <si>
    <r>
      <rPr>
        <sz val="9"/>
        <color rgb="FF000000"/>
        <rFont val="楷体"/>
        <charset val="134"/>
      </rPr>
      <t>国开国际投资</t>
    </r>
  </si>
  <si>
    <r>
      <t>5.5</t>
    </r>
    <r>
      <rPr>
        <sz val="9"/>
        <color rgb="FF000000"/>
        <rFont val="楷体"/>
        <charset val="134"/>
      </rPr>
      <t>亿美元</t>
    </r>
  </si>
  <si>
    <r>
      <rPr>
        <sz val="9"/>
        <color rgb="FF000000"/>
        <rFont val="楷体"/>
        <charset val="134"/>
      </rPr>
      <t>西行客旅行</t>
    </r>
  </si>
  <si>
    <r>
      <rPr>
        <sz val="9"/>
        <color rgb="FF000000"/>
        <rFont val="楷体"/>
        <charset val="134"/>
      </rPr>
      <t>西行客旅行</t>
    </r>
  </si>
  <si>
    <r>
      <rPr>
        <sz val="9"/>
        <color rgb="FF000000"/>
        <rFont val="楷体"/>
        <charset val="134"/>
      </rPr>
      <t>深圳市智商互联网络科技有限公司</t>
    </r>
  </si>
  <si>
    <r>
      <rPr>
        <sz val="9"/>
        <color rgb="FF000000"/>
        <rFont val="楷体"/>
        <charset val="134"/>
      </rPr>
      <t>国内游</t>
    </r>
  </si>
  <si>
    <r>
      <t>600</t>
    </r>
    <r>
      <rPr>
        <sz val="9"/>
        <color rgb="FF000000"/>
        <rFont val="楷体"/>
        <charset val="134"/>
      </rPr>
      <t>万</t>
    </r>
  </si>
  <si>
    <r>
      <rPr>
        <sz val="9"/>
        <color rgb="FF000000"/>
        <rFont val="楷体"/>
        <charset val="134"/>
      </rPr>
      <t>深圳市宝安区西乡悦和路中信湾上六座</t>
    </r>
  </si>
  <si>
    <r>
      <rPr>
        <sz val="9"/>
        <color rgb="FF000000"/>
        <rFont val="楷体"/>
        <charset val="134"/>
      </rPr>
      <t>三维家</t>
    </r>
  </si>
  <si>
    <r>
      <rPr>
        <sz val="9"/>
        <color rgb="FF000000"/>
        <rFont val="楷体"/>
        <charset val="134"/>
      </rPr>
      <t>三维家</t>
    </r>
  </si>
  <si>
    <r>
      <rPr>
        <sz val="9"/>
        <color rgb="FF000000"/>
        <rFont val="楷体"/>
        <charset val="134"/>
      </rPr>
      <t>广东三维家信息科技有限公司</t>
    </r>
  </si>
  <si>
    <r>
      <t>11.5</t>
    </r>
    <r>
      <rPr>
        <sz val="9"/>
        <color rgb="FF000000"/>
        <rFont val="楷体"/>
        <charset val="134"/>
      </rPr>
      <t>亿</t>
    </r>
  </si>
  <si>
    <r>
      <rPr>
        <sz val="9"/>
        <color rgb="FF000000"/>
        <rFont val="楷体"/>
        <charset val="134"/>
      </rPr>
      <t>红星美凯龙</t>
    </r>
  </si>
  <si>
    <r>
      <rPr>
        <sz val="9"/>
        <color rgb="FF000000"/>
        <rFont val="楷体"/>
        <charset val="134"/>
      </rPr>
      <t>起点资本</t>
    </r>
  </si>
  <si>
    <r>
      <rPr>
        <sz val="9"/>
        <color rgb="FF000000"/>
        <rFont val="楷体"/>
        <charset val="134"/>
      </rPr>
      <t>日日煮</t>
    </r>
  </si>
  <si>
    <r>
      <rPr>
        <sz val="9"/>
        <color rgb="FF000000"/>
        <rFont val="楷体"/>
        <charset val="134"/>
      </rPr>
      <t>日日煮</t>
    </r>
  </si>
  <si>
    <r>
      <rPr>
        <sz val="9"/>
        <color rgb="FF000000"/>
        <rFont val="楷体"/>
        <charset val="134"/>
      </rPr>
      <t>上海嘉龙日日煮信息科技有限公司</t>
    </r>
  </si>
  <si>
    <r>
      <t>8.09</t>
    </r>
    <r>
      <rPr>
        <sz val="9"/>
        <color rgb="FF000000"/>
        <rFont val="楷体"/>
        <charset val="134"/>
      </rPr>
      <t>亿</t>
    </r>
  </si>
  <si>
    <r>
      <rPr>
        <sz val="9"/>
        <color rgb="FF000000"/>
        <rFont val="楷体"/>
        <charset val="134"/>
      </rPr>
      <t>恒基地产</t>
    </r>
  </si>
  <si>
    <r>
      <t>Ironfire Capital,Talis Capital,</t>
    </r>
    <r>
      <rPr>
        <sz val="9"/>
        <color rgb="FF000000"/>
        <rFont val="楷体"/>
        <charset val="134"/>
      </rPr>
      <t>尚乘数科</t>
    </r>
  </si>
  <si>
    <r>
      <t>500 Startups,</t>
    </r>
    <r>
      <rPr>
        <sz val="9"/>
        <color rgb="FF000000"/>
        <rFont val="楷体"/>
        <charset val="134"/>
      </rPr>
      <t>魔量资本</t>
    </r>
    <r>
      <rPr>
        <sz val="9"/>
        <color rgb="FF000000"/>
        <rFont val="Arial"/>
        <charset val="134"/>
      </rPr>
      <t>MFund,</t>
    </r>
    <r>
      <rPr>
        <sz val="9"/>
        <color rgb="FF000000"/>
        <rFont val="楷体"/>
        <charset val="134"/>
      </rPr>
      <t>合一资本</t>
    </r>
    <r>
      <rPr>
        <sz val="9"/>
        <color rgb="FF000000"/>
        <rFont val="Arial"/>
        <charset val="134"/>
      </rPr>
      <t>,</t>
    </r>
    <r>
      <rPr>
        <sz val="9"/>
        <color rgb="FF000000"/>
        <rFont val="楷体"/>
        <charset val="134"/>
      </rPr>
      <t>信智资本</t>
    </r>
  </si>
  <si>
    <r>
      <rPr>
        <sz val="9"/>
        <color rgb="FF000000"/>
        <rFont val="楷体"/>
        <charset val="134"/>
      </rPr>
      <t>信智资本</t>
    </r>
  </si>
  <si>
    <r>
      <t>SM</t>
    </r>
    <r>
      <rPr>
        <sz val="9"/>
        <color rgb="FF000000"/>
        <rFont val="楷体"/>
        <charset val="134"/>
      </rPr>
      <t>娱乐</t>
    </r>
  </si>
  <si>
    <r>
      <t>SM</t>
    </r>
    <r>
      <rPr>
        <sz val="9"/>
        <color rgb="FF000000"/>
        <rFont val="楷体"/>
        <charset val="134"/>
      </rPr>
      <t>娱乐</t>
    </r>
  </si>
  <si>
    <r>
      <t>SM</t>
    </r>
    <r>
      <rPr>
        <sz val="9"/>
        <color rgb="FF000000"/>
        <rFont val="楷体"/>
        <charset val="134"/>
      </rPr>
      <t>娱乐</t>
    </r>
    <r>
      <rPr>
        <sz val="9"/>
        <color rgb="FF000000"/>
        <rFont val="Arial"/>
        <charset val="134"/>
      </rPr>
      <t>(S.M.Entertainment)</t>
    </r>
    <r>
      <rPr>
        <sz val="9"/>
        <color rgb="FF000000"/>
        <rFont val="楷体"/>
        <charset val="134"/>
      </rPr>
      <t>是韩国最大的综合娱乐公司，有造梦星工厂之称，旗下代表艺人有</t>
    </r>
    <r>
      <rPr>
        <sz val="9"/>
        <color rgb="FF000000"/>
        <rFont val="Arial"/>
        <charset val="134"/>
      </rPr>
      <t>BoA</t>
    </r>
    <r>
      <rPr>
        <sz val="9"/>
        <color rgb="FF000000"/>
        <rFont val="楷体"/>
        <charset val="134"/>
      </rPr>
      <t>、东方神起、</t>
    </r>
    <r>
      <rPr>
        <sz val="9"/>
        <color rgb="FF000000"/>
        <rFont val="Arial"/>
        <charset val="134"/>
      </rPr>
      <t>Super Junior</t>
    </r>
    <r>
      <rPr>
        <sz val="9"/>
        <color rgb="FF000000"/>
        <rFont val="楷体"/>
        <charset val="134"/>
      </rPr>
      <t>、少女时代、</t>
    </r>
    <r>
      <rPr>
        <sz val="9"/>
        <color rgb="FF000000"/>
        <rFont val="Arial"/>
        <charset val="134"/>
      </rPr>
      <t>SHINee</t>
    </r>
    <r>
      <rPr>
        <sz val="9"/>
        <color rgb="FF000000"/>
        <rFont val="楷体"/>
        <charset val="134"/>
      </rPr>
      <t>、</t>
    </r>
    <r>
      <rPr>
        <sz val="9"/>
        <color rgb="FF000000"/>
        <rFont val="Arial"/>
        <charset val="134"/>
      </rPr>
      <t>f(x)</t>
    </r>
    <r>
      <rPr>
        <sz val="9"/>
        <color rgb="FF000000"/>
        <rFont val="楷体"/>
        <charset val="134"/>
      </rPr>
      <t>、</t>
    </r>
    <r>
      <rPr>
        <sz val="9"/>
        <color rgb="FF000000"/>
        <rFont val="Arial"/>
        <charset val="134"/>
      </rPr>
      <t>EXO</t>
    </r>
    <r>
      <rPr>
        <sz val="9"/>
        <color rgb="FF000000"/>
        <rFont val="楷体"/>
        <charset val="134"/>
      </rPr>
      <t>等。</t>
    </r>
  </si>
  <si>
    <r>
      <t>11.74</t>
    </r>
    <r>
      <rPr>
        <sz val="9"/>
        <color rgb="FF000000"/>
        <rFont val="楷体"/>
        <charset val="134"/>
      </rPr>
      <t>亿人民币</t>
    </r>
  </si>
  <si>
    <r>
      <t>13.69</t>
    </r>
    <r>
      <rPr>
        <sz val="9"/>
        <color rgb="FF000000"/>
        <rFont val="楷体"/>
        <charset val="134"/>
      </rPr>
      <t>亿</t>
    </r>
  </si>
  <si>
    <r>
      <t>129.7238</t>
    </r>
    <r>
      <rPr>
        <sz val="9"/>
        <color rgb="FF000000"/>
        <rFont val="楷体"/>
        <charset val="134"/>
      </rPr>
      <t>亿元</t>
    </r>
  </si>
  <si>
    <r>
      <t>1.95</t>
    </r>
    <r>
      <rPr>
        <sz val="9"/>
        <color rgb="FF000000"/>
        <rFont val="楷体"/>
        <charset val="134"/>
      </rPr>
      <t>亿人民币</t>
    </r>
  </si>
  <si>
    <r>
      <rPr>
        <sz val="9"/>
        <color rgb="FF000000"/>
        <rFont val="楷体"/>
        <charset val="134"/>
      </rPr>
      <t>亚博科技</t>
    </r>
  </si>
  <si>
    <r>
      <rPr>
        <sz val="9"/>
        <color rgb="FF000000"/>
        <rFont val="楷体"/>
        <charset val="134"/>
      </rPr>
      <t>亚博科技</t>
    </r>
  </si>
  <si>
    <r>
      <rPr>
        <sz val="9"/>
        <color rgb="FF000000"/>
        <rFont val="楷体"/>
        <charset val="134"/>
      </rPr>
      <t>亚博科技是一家体育休闲及体育彩票综合企业，是中国电子竞技的唯一官方运营商，组织电子竞技赛事、建设和维护官网等，港交所上市公司。</t>
    </r>
  </si>
  <si>
    <r>
      <rPr>
        <sz val="9"/>
        <color rgb="FF000000"/>
        <rFont val="楷体"/>
        <charset val="134"/>
      </rPr>
      <t>亚博科技集团有限公司</t>
    </r>
  </si>
  <si>
    <r>
      <t>23.88</t>
    </r>
    <r>
      <rPr>
        <sz val="9"/>
        <color rgb="FF000000"/>
        <rFont val="楷体"/>
        <charset val="134"/>
      </rPr>
      <t>亿港元</t>
    </r>
  </si>
  <si>
    <r>
      <t>19.1</t>
    </r>
    <r>
      <rPr>
        <sz val="9"/>
        <color rgb="FF000000"/>
        <rFont val="楷体"/>
        <charset val="134"/>
      </rPr>
      <t>亿</t>
    </r>
  </si>
  <si>
    <r>
      <t>95.52</t>
    </r>
    <r>
      <rPr>
        <sz val="9"/>
        <color rgb="FF000000"/>
        <rFont val="楷体"/>
        <charset val="134"/>
      </rPr>
      <t>亿元</t>
    </r>
  </si>
  <si>
    <r>
      <rPr>
        <sz val="9"/>
        <color rgb="FF000000"/>
        <rFont val="楷体"/>
        <charset val="134"/>
      </rPr>
      <t>菜鸟网络</t>
    </r>
  </si>
  <si>
    <r>
      <rPr>
        <sz val="9"/>
        <color rgb="FF000000"/>
        <rFont val="楷体"/>
        <charset val="134"/>
      </rPr>
      <t>菜鸟网络</t>
    </r>
  </si>
  <si>
    <r>
      <rPr>
        <sz val="9"/>
        <color rgb="FF000000"/>
        <rFont val="楷体"/>
        <charset val="134"/>
      </rPr>
      <t>菜鸟网络科技有限公司</t>
    </r>
  </si>
  <si>
    <r>
      <t>233</t>
    </r>
    <r>
      <rPr>
        <sz val="9"/>
        <color rgb="FF000000"/>
        <rFont val="楷体"/>
        <charset val="134"/>
      </rPr>
      <t>亿人民币</t>
    </r>
  </si>
  <si>
    <r>
      <t>389</t>
    </r>
    <r>
      <rPr>
        <sz val="9"/>
        <color rgb="FF000000"/>
        <rFont val="楷体"/>
        <charset val="134"/>
      </rPr>
      <t>亿</t>
    </r>
  </si>
  <si>
    <r>
      <t>1850</t>
    </r>
    <r>
      <rPr>
        <sz val="9"/>
        <color rgb="FF000000"/>
        <rFont val="楷体"/>
        <charset val="134"/>
      </rPr>
      <t>亿元</t>
    </r>
  </si>
  <si>
    <r>
      <t>53</t>
    </r>
    <r>
      <rPr>
        <sz val="9"/>
        <color rgb="FF000000"/>
        <rFont val="楷体"/>
        <charset val="134"/>
      </rPr>
      <t>亿人民币</t>
    </r>
  </si>
  <si>
    <r>
      <rPr>
        <sz val="9"/>
        <color rgb="FF000000"/>
        <rFont val="楷体"/>
        <charset val="134"/>
      </rPr>
      <t>橙狮体育</t>
    </r>
    <r>
      <rPr>
        <sz val="9"/>
        <color rgb="FF000000"/>
        <rFont val="Arial"/>
        <charset val="134"/>
      </rPr>
      <t>-</t>
    </r>
    <r>
      <rPr>
        <sz val="9"/>
        <color rgb="FF000000"/>
        <rFont val="楷体"/>
        <charset val="134"/>
      </rPr>
      <t>阿里体育</t>
    </r>
  </si>
  <si>
    <r>
      <rPr>
        <sz val="9"/>
        <color rgb="FF000000"/>
        <rFont val="楷体"/>
        <charset val="134"/>
      </rPr>
      <t>橙狮体育（上海）有限公司</t>
    </r>
  </si>
  <si>
    <r>
      <t>2.79</t>
    </r>
    <r>
      <rPr>
        <sz val="9"/>
        <color rgb="FF000000"/>
        <rFont val="楷体"/>
        <charset val="134"/>
      </rPr>
      <t>亿美元</t>
    </r>
  </si>
  <si>
    <r>
      <t>YEECHOO</t>
    </r>
    <r>
      <rPr>
        <sz val="9"/>
        <color rgb="FF000000"/>
        <rFont val="楷体"/>
        <charset val="134"/>
      </rPr>
      <t>是一个成立于香港的设计品牌服饰租赁及共享电商平台。顾客仅需支付零售价的少部分就可穿上各种高档设计品牌服饰。</t>
    </r>
  </si>
  <si>
    <r>
      <t>1950</t>
    </r>
    <r>
      <rPr>
        <sz val="9"/>
        <color rgb="FF000000"/>
        <rFont val="楷体"/>
        <charset val="134"/>
      </rPr>
      <t>万</t>
    </r>
  </si>
  <si>
    <r>
      <t>6500</t>
    </r>
    <r>
      <rPr>
        <sz val="9"/>
        <color rgb="FF000000"/>
        <rFont val="楷体"/>
        <charset val="134"/>
      </rPr>
      <t>万元</t>
    </r>
  </si>
  <si>
    <r>
      <t>Shopline</t>
    </r>
    <r>
      <rPr>
        <sz val="9"/>
        <color rgb="FF000000"/>
        <rFont val="楷体"/>
        <charset val="134"/>
      </rPr>
      <t>是一个专为亚洲商家而设的</t>
    </r>
    <r>
      <rPr>
        <sz val="9"/>
        <color rgb="FF000000"/>
        <rFont val="Arial"/>
        <charset val="134"/>
      </rPr>
      <t>DIY</t>
    </r>
    <r>
      <rPr>
        <sz val="9"/>
        <color rgb="FF000000"/>
        <rFont val="楷体"/>
        <charset val="134"/>
      </rPr>
      <t>网店平台，提供功能齐全的品牌开店配套。店主不仅可在短时间内获得对应所有流动装置的独立网店，更可以同时拥有专业的订单管理系统、多元化的物流及支付网关、风格多样的店铺设计、在线实时客户服务与数据使用分析等后台管理工具。</t>
    </r>
  </si>
  <si>
    <r>
      <t>YY</t>
    </r>
    <r>
      <rPr>
        <sz val="9"/>
        <color rgb="FF000000"/>
        <rFont val="楷体"/>
        <charset val="134"/>
      </rPr>
      <t>欢聚集团</t>
    </r>
    <r>
      <rPr>
        <sz val="9"/>
        <color rgb="FF000000"/>
        <rFont val="Arial"/>
        <charset val="134"/>
      </rPr>
      <t>,</t>
    </r>
    <r>
      <rPr>
        <sz val="9"/>
        <color rgb="FF000000"/>
        <rFont val="楷体"/>
        <charset val="134"/>
      </rPr>
      <t>亦联资本</t>
    </r>
  </si>
  <si>
    <r>
      <rPr>
        <sz val="9"/>
        <color rgb="FF000000"/>
        <rFont val="楷体"/>
        <charset val="134"/>
      </rPr>
      <t>娱亚互动</t>
    </r>
  </si>
  <si>
    <r>
      <rPr>
        <sz val="9"/>
        <color rgb="FF000000"/>
        <rFont val="楷体"/>
        <charset val="134"/>
      </rPr>
      <t>娱亚互动</t>
    </r>
  </si>
  <si>
    <r>
      <rPr>
        <sz val="9"/>
        <color rgb="FF000000"/>
        <rFont val="楷体"/>
        <charset val="134"/>
      </rPr>
      <t>高维迪商务咨询（上海）有限公司</t>
    </r>
  </si>
  <si>
    <r>
      <t>5730</t>
    </r>
    <r>
      <rPr>
        <sz val="9"/>
        <color rgb="FF000000"/>
        <rFont val="楷体"/>
        <charset val="134"/>
      </rPr>
      <t>万</t>
    </r>
  </si>
  <si>
    <r>
      <t>120</t>
    </r>
    <r>
      <rPr>
        <sz val="9"/>
        <color rgb="FF000000"/>
        <rFont val="楷体"/>
        <charset val="134"/>
      </rPr>
      <t>万美元</t>
    </r>
  </si>
  <si>
    <r>
      <t>Twiggle</t>
    </r>
    <r>
      <rPr>
        <sz val="9"/>
        <color rgb="FF000000"/>
        <rFont val="楷体"/>
        <charset val="134"/>
      </rPr>
      <t>是一家开发电子商务搜索引擎的初创公司，致力于开发一种比目前的搜索方案更精确搜索结果的电子商务搜索引擎，让用户即使是输入一些非常口语对话式语言也能获得非常精确的搜索结果。</t>
    </r>
  </si>
  <si>
    <r>
      <t>1.32</t>
    </r>
    <r>
      <rPr>
        <sz val="9"/>
        <color rgb="FF000000"/>
        <rFont val="楷体"/>
        <charset val="134"/>
      </rPr>
      <t>亿</t>
    </r>
  </si>
  <si>
    <r>
      <t>530</t>
    </r>
    <r>
      <rPr>
        <sz val="9"/>
        <color rgb="FF000000"/>
        <rFont val="楷体"/>
        <charset val="134"/>
      </rPr>
      <t>万美元</t>
    </r>
  </si>
  <si>
    <r>
      <rPr>
        <sz val="9"/>
        <color rgb="FF000000"/>
        <rFont val="楷体"/>
        <charset val="134"/>
      </rPr>
      <t>盒马鲜生</t>
    </r>
  </si>
  <si>
    <r>
      <rPr>
        <sz val="9"/>
        <color rgb="FF000000"/>
        <rFont val="楷体"/>
        <charset val="134"/>
      </rPr>
      <t>盒马鲜生</t>
    </r>
  </si>
  <si>
    <r>
      <rPr>
        <sz val="9"/>
        <color rgb="FF000000"/>
        <rFont val="楷体"/>
        <charset val="134"/>
      </rPr>
      <t>上海盒马网络科技有限公司</t>
    </r>
  </si>
  <si>
    <r>
      <t>9.75</t>
    </r>
    <r>
      <rPr>
        <sz val="9"/>
        <color rgb="FF000000"/>
        <rFont val="楷体"/>
        <charset val="134"/>
      </rPr>
      <t>亿</t>
    </r>
  </si>
  <si>
    <r>
      <rPr>
        <sz val="9"/>
        <color rgb="FF000000"/>
        <rFont val="楷体"/>
        <charset val="134"/>
      </rPr>
      <t>中国联通</t>
    </r>
  </si>
  <si>
    <r>
      <rPr>
        <sz val="9"/>
        <color rgb="FF000000"/>
        <rFont val="楷体"/>
        <charset val="134"/>
      </rPr>
      <t>中国联通</t>
    </r>
  </si>
  <si>
    <r>
      <rPr>
        <sz val="9"/>
        <color rgb="FF000000"/>
        <rFont val="楷体"/>
        <charset val="134"/>
      </rPr>
      <t>中国联合网络通信股份有限公司</t>
    </r>
  </si>
  <si>
    <r>
      <t>780</t>
    </r>
    <r>
      <rPr>
        <sz val="9"/>
        <color rgb="FF000000"/>
        <rFont val="楷体"/>
        <charset val="134"/>
      </rPr>
      <t>亿人民币</t>
    </r>
  </si>
  <si>
    <r>
      <t>781</t>
    </r>
    <r>
      <rPr>
        <sz val="9"/>
        <color rgb="FF000000"/>
        <rFont val="楷体"/>
        <charset val="134"/>
      </rPr>
      <t>亿</t>
    </r>
  </si>
  <si>
    <r>
      <t>2120</t>
    </r>
    <r>
      <rPr>
        <sz val="9"/>
        <color rgb="FF000000"/>
        <rFont val="楷体"/>
        <charset val="134"/>
      </rPr>
      <t>亿元</t>
    </r>
  </si>
  <si>
    <r>
      <rPr>
        <sz val="9"/>
        <color rgb="FF000000"/>
        <rFont val="楷体"/>
        <charset val="134"/>
      </rPr>
      <t>百胜软件</t>
    </r>
  </si>
  <si>
    <r>
      <rPr>
        <sz val="9"/>
        <color rgb="FF000000"/>
        <rFont val="楷体"/>
        <charset val="134"/>
      </rPr>
      <t>百胜软件</t>
    </r>
  </si>
  <si>
    <r>
      <rPr>
        <sz val="9"/>
        <color rgb="FF000000"/>
        <rFont val="楷体"/>
        <charset val="134"/>
      </rPr>
      <t>上海百胜软件股份有限公司</t>
    </r>
  </si>
  <si>
    <r>
      <rPr>
        <sz val="9"/>
        <color rgb="FF000000"/>
        <rFont val="楷体"/>
        <charset val="134"/>
      </rPr>
      <t>综合企业服务</t>
    </r>
  </si>
  <si>
    <r>
      <t>3.18</t>
    </r>
    <r>
      <rPr>
        <sz val="9"/>
        <color rgb="FF000000"/>
        <rFont val="楷体"/>
        <charset val="134"/>
      </rPr>
      <t>亿</t>
    </r>
  </si>
  <si>
    <r>
      <t>4.5</t>
    </r>
    <r>
      <rPr>
        <sz val="9"/>
        <color rgb="FF000000"/>
        <rFont val="楷体"/>
        <charset val="134"/>
      </rPr>
      <t>亿元</t>
    </r>
  </si>
  <si>
    <r>
      <t>810</t>
    </r>
    <r>
      <rPr>
        <sz val="9"/>
        <color rgb="FF000000"/>
        <rFont val="楷体"/>
        <charset val="134"/>
      </rPr>
      <t>万人民币</t>
    </r>
  </si>
  <si>
    <r>
      <rPr>
        <sz val="9"/>
        <color rgb="FF000000"/>
        <rFont val="楷体"/>
        <charset val="134"/>
      </rPr>
      <t>清源投资</t>
    </r>
  </si>
  <si>
    <r>
      <t>Lumus</t>
    </r>
    <r>
      <rPr>
        <sz val="9"/>
        <color rgb="FF000000"/>
        <rFont val="楷体"/>
        <charset val="134"/>
      </rPr>
      <t>是一家</t>
    </r>
    <r>
      <rPr>
        <sz val="9"/>
        <color rgb="FF000000"/>
        <rFont val="Arial"/>
        <charset val="134"/>
      </rPr>
      <t>AR</t>
    </r>
    <r>
      <rPr>
        <sz val="9"/>
        <color rgb="FF000000"/>
        <rFont val="楷体"/>
        <charset val="134"/>
      </rPr>
      <t>显示器研究公司，公司主要知识产权是一项叫做</t>
    </r>
    <r>
      <rPr>
        <sz val="9"/>
        <color rgb="FF000000"/>
        <rFont val="Arial"/>
        <charset val="134"/>
      </rPr>
      <t>Light-guideOptical Element(</t>
    </r>
    <r>
      <rPr>
        <sz val="9"/>
        <color rgb="FF000000"/>
        <rFont val="楷体"/>
        <charset val="134"/>
      </rPr>
      <t>光导光学元件，简称</t>
    </r>
    <r>
      <rPr>
        <sz val="9"/>
        <color rgb="FF000000"/>
        <rFont val="Arial"/>
        <charset val="134"/>
      </rPr>
      <t>LOE)</t>
    </r>
    <r>
      <rPr>
        <sz val="9"/>
        <color rgb="FF000000"/>
        <rFont val="楷体"/>
        <charset val="134"/>
      </rPr>
      <t>的波导技术，这种显示器可以被安装到智能眼镜或头戴式显示器</t>
    </r>
    <r>
      <rPr>
        <sz val="9"/>
        <color rgb="FF000000"/>
        <rFont val="Arial"/>
        <charset val="134"/>
      </rPr>
      <t>(HMD)</t>
    </r>
    <r>
      <rPr>
        <sz val="9"/>
        <color rgb="FF000000"/>
        <rFont val="楷体"/>
        <charset val="134"/>
      </rPr>
      <t>上。</t>
    </r>
  </si>
  <si>
    <r>
      <t>3.71</t>
    </r>
    <r>
      <rPr>
        <sz val="9"/>
        <color rgb="FF000000"/>
        <rFont val="楷体"/>
        <charset val="134"/>
      </rPr>
      <t>亿</t>
    </r>
  </si>
  <si>
    <r>
      <t>1.95</t>
    </r>
    <r>
      <rPr>
        <sz val="9"/>
        <color rgb="FF000000"/>
        <rFont val="楷体"/>
        <charset val="134"/>
      </rPr>
      <t>亿元</t>
    </r>
  </si>
  <si>
    <r>
      <rPr>
        <sz val="9"/>
        <color rgb="FF000000"/>
        <rFont val="楷体"/>
        <charset val="134"/>
      </rPr>
      <t>神居动漫</t>
    </r>
  </si>
  <si>
    <r>
      <rPr>
        <sz val="9"/>
        <color rgb="FF000000"/>
        <rFont val="楷体"/>
        <charset val="134"/>
      </rPr>
      <t>神居动漫</t>
    </r>
  </si>
  <si>
    <r>
      <rPr>
        <sz val="9"/>
        <color rgb="FF000000"/>
        <rFont val="楷体"/>
        <charset val="134"/>
      </rPr>
      <t>北京神居动漫科技有限公司</t>
    </r>
  </si>
  <si>
    <r>
      <t>4500</t>
    </r>
    <r>
      <rPr>
        <sz val="9"/>
        <color rgb="FF000000"/>
        <rFont val="楷体"/>
        <charset val="134"/>
      </rPr>
      <t>万</t>
    </r>
  </si>
  <si>
    <r>
      <rPr>
        <sz val="9"/>
        <color rgb="FF000000"/>
        <rFont val="楷体"/>
        <charset val="134"/>
      </rPr>
      <t>伯藜创投</t>
    </r>
  </si>
  <si>
    <r>
      <rPr>
        <sz val="9"/>
        <color rgb="FF000000"/>
        <rFont val="楷体"/>
        <charset val="134"/>
      </rPr>
      <t>欧谱曼迪</t>
    </r>
  </si>
  <si>
    <r>
      <rPr>
        <sz val="9"/>
        <color rgb="FF000000"/>
        <rFont val="楷体"/>
        <charset val="134"/>
      </rPr>
      <t>欧谱曼迪</t>
    </r>
  </si>
  <si>
    <r>
      <rPr>
        <sz val="9"/>
        <color rgb="FF000000"/>
        <rFont val="楷体"/>
        <charset val="134"/>
      </rPr>
      <t>广东欧谱曼迪科技股份有限公司</t>
    </r>
  </si>
  <si>
    <r>
      <rPr>
        <sz val="9"/>
        <color rgb="FF000000"/>
        <rFont val="楷体"/>
        <charset val="134"/>
      </rPr>
      <t>医疗器械</t>
    </r>
  </si>
  <si>
    <r>
      <t>8.23</t>
    </r>
    <r>
      <rPr>
        <sz val="9"/>
        <color rgb="FF000000"/>
        <rFont val="楷体"/>
        <charset val="134"/>
      </rPr>
      <t>亿</t>
    </r>
  </si>
  <si>
    <r>
      <t>PlaceIQ</t>
    </r>
    <r>
      <rPr>
        <sz val="9"/>
        <color rgb="FF000000"/>
        <rFont val="楷体"/>
        <charset val="134"/>
      </rPr>
      <t>是一家位置智能服务供应商，致力于为客户提供位置工具和数据服务，确保广告客户的营销活动能够覆盖更多的移动品牌受众。</t>
    </r>
  </si>
  <si>
    <r>
      <t>9.81</t>
    </r>
    <r>
      <rPr>
        <sz val="9"/>
        <color rgb="FF000000"/>
        <rFont val="楷体"/>
        <charset val="134"/>
      </rPr>
      <t>亿</t>
    </r>
  </si>
  <si>
    <r>
      <t>675</t>
    </r>
    <r>
      <rPr>
        <sz val="9"/>
        <color rgb="FF000000"/>
        <rFont val="楷体"/>
        <charset val="134"/>
      </rPr>
      <t>万美元</t>
    </r>
  </si>
  <si>
    <r>
      <t>420</t>
    </r>
    <r>
      <rPr>
        <sz val="9"/>
        <color rgb="FF000000"/>
        <rFont val="楷体"/>
        <charset val="134"/>
      </rPr>
      <t>万美元</t>
    </r>
  </si>
  <si>
    <r>
      <rPr>
        <sz val="9"/>
        <color rgb="FF000000"/>
        <rFont val="楷体"/>
        <charset val="134"/>
      </rPr>
      <t>上海秉坤</t>
    </r>
  </si>
  <si>
    <r>
      <rPr>
        <sz val="9"/>
        <color rgb="FF000000"/>
        <rFont val="楷体"/>
        <charset val="134"/>
      </rPr>
      <t>上海秉坤</t>
    </r>
  </si>
  <si>
    <r>
      <rPr>
        <sz val="9"/>
        <color rgb="FF000000"/>
        <rFont val="楷体"/>
        <charset val="134"/>
      </rPr>
      <t>上海秉坤数码科技有限公司</t>
    </r>
  </si>
  <si>
    <r>
      <t>9000</t>
    </r>
    <r>
      <rPr>
        <sz val="9"/>
        <color rgb="FF000000"/>
        <rFont val="楷体"/>
        <charset val="134"/>
      </rPr>
      <t>万人民币</t>
    </r>
  </si>
  <si>
    <r>
      <t>1.2</t>
    </r>
    <r>
      <rPr>
        <sz val="9"/>
        <color rgb="FF000000"/>
        <rFont val="楷体"/>
        <charset val="134"/>
      </rPr>
      <t>亿</t>
    </r>
  </si>
  <si>
    <r>
      <rPr>
        <sz val="9"/>
        <color rgb="FF000000"/>
        <rFont val="楷体"/>
        <charset val="134"/>
      </rPr>
      <t>码</t>
    </r>
    <r>
      <rPr>
        <sz val="9"/>
        <color rgb="FF000000"/>
        <rFont val="Arial"/>
        <charset val="134"/>
      </rPr>
      <t>114</t>
    </r>
  </si>
  <si>
    <r>
      <t>“</t>
    </r>
    <r>
      <rPr>
        <sz val="9"/>
        <color rgb="FF000000"/>
        <rFont val="楷体"/>
        <charset val="134"/>
      </rPr>
      <t>码</t>
    </r>
    <r>
      <rPr>
        <sz val="9"/>
        <color rgb="FF000000"/>
        <rFont val="Arial"/>
        <charset val="134"/>
      </rPr>
      <t>114”</t>
    </r>
    <r>
      <rPr>
        <sz val="9"/>
        <color rgb="FF000000"/>
        <rFont val="楷体"/>
        <charset val="134"/>
      </rPr>
      <t>基于</t>
    </r>
    <r>
      <rPr>
        <sz val="9"/>
        <color rgb="FF000000"/>
        <rFont val="Arial"/>
        <charset val="134"/>
      </rPr>
      <t>T—CODE</t>
    </r>
    <r>
      <rPr>
        <sz val="9"/>
        <color rgb="FF000000"/>
        <rFont val="楷体"/>
        <charset val="134"/>
      </rPr>
      <t>（字符码）生成、传输及验证识读专利技术，携电信运营商、银行、手机报等战略合作资源，建构了集码平台（</t>
    </r>
    <r>
      <rPr>
        <sz val="9"/>
        <color rgb="FF000000"/>
        <rFont val="Arial"/>
        <charset val="134"/>
      </rPr>
      <t>ID</t>
    </r>
    <r>
      <rPr>
        <sz val="9"/>
        <color rgb="FF000000"/>
        <rFont val="楷体"/>
        <charset val="134"/>
      </rPr>
      <t>数据在线管理）、码标签（产品</t>
    </r>
    <r>
      <rPr>
        <sz val="9"/>
        <color rgb="FF000000"/>
        <rFont val="Arial"/>
        <charset val="134"/>
      </rPr>
      <t>ID</t>
    </r>
    <r>
      <rPr>
        <sz val="9"/>
        <color rgb="FF000000"/>
        <rFont val="楷体"/>
        <charset val="134"/>
      </rPr>
      <t>）、码终端（经销商</t>
    </r>
    <r>
      <rPr>
        <sz val="9"/>
        <color rgb="FF000000"/>
        <rFont val="Arial"/>
        <charset val="134"/>
      </rPr>
      <t>ID</t>
    </r>
    <r>
      <rPr>
        <sz val="9"/>
        <color rgb="FF000000"/>
        <rFont val="楷体"/>
        <charset val="134"/>
      </rPr>
      <t>）及码凭证（消费</t>
    </r>
    <r>
      <rPr>
        <sz val="9"/>
        <color rgb="FF000000"/>
        <rFont val="Arial"/>
        <charset val="134"/>
      </rPr>
      <t>ID</t>
    </r>
    <r>
      <rPr>
        <sz val="9"/>
        <color rgb="FF000000"/>
        <rFont val="楷体"/>
        <charset val="134"/>
      </rPr>
      <t>）于一体的、生码、发码、传码及验码全流程管理的凭证化营销管理平台，</t>
    </r>
  </si>
  <si>
    <r>
      <rPr>
        <sz val="9"/>
        <color rgb="FF000000"/>
        <rFont val="楷体"/>
        <charset val="134"/>
      </rPr>
      <t>北京码上游科技服务有限公司</t>
    </r>
  </si>
  <si>
    <r>
      <rPr>
        <sz val="9"/>
        <color rgb="FF000000"/>
        <rFont val="楷体"/>
        <charset val="134"/>
      </rPr>
      <t>无线通讯</t>
    </r>
  </si>
  <si>
    <r>
      <rPr>
        <sz val="9"/>
        <color rgb="FF000000"/>
        <rFont val="楷体"/>
        <charset val="134"/>
      </rPr>
      <t>玩美移动</t>
    </r>
    <r>
      <rPr>
        <sz val="9"/>
        <color rgb="FF000000"/>
        <rFont val="Arial"/>
        <charset val="134"/>
      </rPr>
      <t>PerfectCorp</t>
    </r>
  </si>
  <si>
    <r>
      <rPr>
        <sz val="9"/>
        <color rgb="FF000000"/>
        <rFont val="楷体"/>
        <charset val="134"/>
      </rPr>
      <t>玩美商贸（上海）有限公司</t>
    </r>
  </si>
  <si>
    <r>
      <t>1.19</t>
    </r>
    <r>
      <rPr>
        <sz val="9"/>
        <color rgb="FF000000"/>
        <rFont val="楷体"/>
        <charset val="134"/>
      </rPr>
      <t>亿美元</t>
    </r>
  </si>
  <si>
    <r>
      <t>14.56</t>
    </r>
    <r>
      <rPr>
        <sz val="9"/>
        <color rgb="FF000000"/>
        <rFont val="楷体"/>
        <charset val="134"/>
      </rPr>
      <t>亿</t>
    </r>
  </si>
  <si>
    <r>
      <t>84.5</t>
    </r>
    <r>
      <rPr>
        <sz val="9"/>
        <color rgb="FF000000"/>
        <rFont val="楷体"/>
        <charset val="134"/>
      </rPr>
      <t>亿元</t>
    </r>
  </si>
  <si>
    <r>
      <rPr>
        <sz val="9"/>
        <color rgb="FF000000"/>
        <rFont val="楷体"/>
        <charset val="134"/>
      </rPr>
      <t>超级讲师</t>
    </r>
  </si>
  <si>
    <r>
      <rPr>
        <sz val="9"/>
        <color rgb="FF000000"/>
        <rFont val="楷体"/>
        <charset val="134"/>
      </rPr>
      <t>超级讲师</t>
    </r>
  </si>
  <si>
    <r>
      <rPr>
        <sz val="9"/>
        <color rgb="FF000000"/>
        <rFont val="楷体"/>
        <charset val="134"/>
      </rPr>
      <t>北京易智享科技有限公司</t>
    </r>
  </si>
  <si>
    <r>
      <t>400</t>
    </r>
    <r>
      <rPr>
        <sz val="9"/>
        <color rgb="FF000000"/>
        <rFont val="楷体"/>
        <charset val="134"/>
      </rPr>
      <t>万人民币</t>
    </r>
  </si>
  <si>
    <r>
      <t>400</t>
    </r>
    <r>
      <rPr>
        <sz val="9"/>
        <color rgb="FF000000"/>
        <rFont val="楷体"/>
        <charset val="134"/>
      </rPr>
      <t>万</t>
    </r>
  </si>
  <si>
    <r>
      <t>2000</t>
    </r>
    <r>
      <rPr>
        <sz val="9"/>
        <color rgb="FF000000"/>
        <rFont val="楷体"/>
        <charset val="134"/>
      </rPr>
      <t>万元</t>
    </r>
  </si>
  <si>
    <r>
      <rPr>
        <sz val="9"/>
        <color rgb="FF000000"/>
        <rFont val="楷体"/>
        <charset val="134"/>
      </rPr>
      <t>乐言科技</t>
    </r>
  </si>
  <si>
    <r>
      <rPr>
        <sz val="9"/>
        <color rgb="FF000000"/>
        <rFont val="楷体"/>
        <charset val="134"/>
      </rPr>
      <t>乐言科技</t>
    </r>
  </si>
  <si>
    <r>
      <rPr>
        <sz val="9"/>
        <color rgb="FF000000"/>
        <rFont val="楷体"/>
        <charset val="134"/>
      </rPr>
      <t>乐言科技是一家专注于认知智能技术产业应用的上海市高新技术企业，是国内先进的人工智能整体解决方案提供商。致力于将先进的认知计算技术赋能电商客服、智慧教育、政务咨询、医疗问诊等各个公共服务垂直领域，提升行业效率，降低人力成本并挖掘更多客户价值。</t>
    </r>
  </si>
  <si>
    <r>
      <rPr>
        <sz val="9"/>
        <color rgb="FF000000"/>
        <rFont val="楷体"/>
        <charset val="134"/>
      </rPr>
      <t>上海乐言科技股份有限公司</t>
    </r>
  </si>
  <si>
    <r>
      <t>7.66</t>
    </r>
    <r>
      <rPr>
        <sz val="9"/>
        <color rgb="FF000000"/>
        <rFont val="楷体"/>
        <charset val="134"/>
      </rPr>
      <t>亿</t>
    </r>
  </si>
  <si>
    <r>
      <rPr>
        <sz val="9"/>
        <color rgb="FF000000"/>
        <rFont val="楷体"/>
        <charset val="134"/>
      </rPr>
      <t>云九资本</t>
    </r>
  </si>
  <si>
    <r>
      <rPr>
        <sz val="9"/>
        <color rgb="FF000000"/>
        <rFont val="楷体"/>
        <charset val="134"/>
      </rPr>
      <t>众为资本</t>
    </r>
  </si>
  <si>
    <r>
      <rPr>
        <sz val="9"/>
        <color rgb="FF000000"/>
        <rFont val="楷体"/>
        <charset val="134"/>
      </rPr>
      <t>初心资本</t>
    </r>
  </si>
  <si>
    <r>
      <t>Renderbus</t>
    </r>
    <r>
      <rPr>
        <sz val="9"/>
        <color rgb="FF000000"/>
        <rFont val="楷体"/>
        <charset val="134"/>
      </rPr>
      <t>瑞云科技</t>
    </r>
  </si>
  <si>
    <r>
      <t>Renderbus</t>
    </r>
    <r>
      <rPr>
        <sz val="9"/>
        <color rgb="FF000000"/>
        <rFont val="楷体"/>
        <charset val="134"/>
      </rPr>
      <t>瑞云科技</t>
    </r>
  </si>
  <si>
    <r>
      <rPr>
        <sz val="9"/>
        <color rgb="FF000000"/>
        <rFont val="楷体"/>
        <charset val="134"/>
      </rPr>
      <t>深圳市瑞云科技股份有限公司</t>
    </r>
  </si>
  <si>
    <r>
      <t>6.63</t>
    </r>
    <r>
      <rPr>
        <sz val="9"/>
        <color rgb="FF000000"/>
        <rFont val="楷体"/>
        <charset val="134"/>
      </rPr>
      <t>亿</t>
    </r>
  </si>
  <si>
    <r>
      <rPr>
        <sz val="9"/>
        <color rgb="FF000000"/>
        <rFont val="楷体"/>
        <charset val="134"/>
      </rPr>
      <t>丝路视觉</t>
    </r>
  </si>
  <si>
    <r>
      <rPr>
        <sz val="9"/>
        <color rgb="FF000000"/>
        <rFont val="楷体"/>
        <charset val="134"/>
      </rPr>
      <t>中测智绘</t>
    </r>
  </si>
  <si>
    <r>
      <rPr>
        <sz val="9"/>
        <color rgb="FF000000"/>
        <rFont val="楷体"/>
        <charset val="134"/>
      </rPr>
      <t>北京中测智绘科技有限公司</t>
    </r>
  </si>
  <si>
    <r>
      <rPr>
        <sz val="9"/>
        <color rgb="FF000000"/>
        <rFont val="楷体"/>
        <charset val="134"/>
      </rPr>
      <t>合肥产投</t>
    </r>
  </si>
  <si>
    <r>
      <rPr>
        <sz val="9"/>
        <color rgb="FF000000"/>
        <rFont val="楷体"/>
        <charset val="134"/>
      </rPr>
      <t>美凯龙</t>
    </r>
  </si>
  <si>
    <r>
      <rPr>
        <sz val="9"/>
        <color rgb="FF000000"/>
        <rFont val="楷体"/>
        <charset val="134"/>
      </rPr>
      <t>美凯龙</t>
    </r>
  </si>
  <si>
    <r>
      <rPr>
        <sz val="9"/>
        <color rgb="FF000000"/>
        <rFont val="楷体"/>
        <charset val="134"/>
      </rPr>
      <t>红星美凯龙家居集团股份有限公司</t>
    </r>
  </si>
  <si>
    <r>
      <t>62.86</t>
    </r>
    <r>
      <rPr>
        <sz val="9"/>
        <color rgb="FF000000"/>
        <rFont val="楷体"/>
        <charset val="134"/>
      </rPr>
      <t>亿人民币</t>
    </r>
  </si>
  <si>
    <r>
      <rPr>
        <sz val="9"/>
        <color rgb="FF000000"/>
        <rFont val="楷体"/>
        <charset val="134"/>
      </rPr>
      <t>建发股份</t>
    </r>
  </si>
  <si>
    <r>
      <t>237.16</t>
    </r>
    <r>
      <rPr>
        <sz val="9"/>
        <color rgb="FF000000"/>
        <rFont val="楷体"/>
        <charset val="134"/>
      </rPr>
      <t>亿</t>
    </r>
  </si>
  <si>
    <r>
      <t>209.8982</t>
    </r>
    <r>
      <rPr>
        <sz val="9"/>
        <color rgb="FF000000"/>
        <rFont val="楷体"/>
        <charset val="134"/>
      </rPr>
      <t>亿元</t>
    </r>
  </si>
  <si>
    <r>
      <t>43.59</t>
    </r>
    <r>
      <rPr>
        <sz val="9"/>
        <color rgb="FF000000"/>
        <rFont val="楷体"/>
        <charset val="134"/>
      </rPr>
      <t>亿人民币</t>
    </r>
  </si>
  <si>
    <r>
      <t>32.2</t>
    </r>
    <r>
      <rPr>
        <sz val="9"/>
        <color rgb="FF000000"/>
        <rFont val="楷体"/>
        <charset val="134"/>
      </rPr>
      <t>亿人民币</t>
    </r>
  </si>
  <si>
    <r>
      <t>62.5</t>
    </r>
    <r>
      <rPr>
        <sz val="9"/>
        <color rgb="FF000000"/>
        <rFont val="楷体"/>
        <charset val="134"/>
      </rPr>
      <t>亿人民币</t>
    </r>
  </si>
  <si>
    <r>
      <t>26</t>
    </r>
    <r>
      <rPr>
        <sz val="9"/>
        <color rgb="FF000000"/>
        <rFont val="楷体"/>
        <charset val="134"/>
      </rPr>
      <t>亿人民币</t>
    </r>
  </si>
  <si>
    <r>
      <rPr>
        <sz val="9"/>
        <color rgb="FF000000"/>
        <rFont val="楷体"/>
        <charset val="134"/>
      </rPr>
      <t>华平投资</t>
    </r>
  </si>
  <si>
    <r>
      <rPr>
        <sz val="9"/>
        <color rgb="FF000000"/>
        <rFont val="楷体"/>
        <charset val="134"/>
      </rPr>
      <t>康立明生物</t>
    </r>
  </si>
  <si>
    <r>
      <rPr>
        <sz val="9"/>
        <color rgb="FF000000"/>
        <rFont val="楷体"/>
        <charset val="134"/>
      </rPr>
      <t>广州康立明生物科技股份有限公司</t>
    </r>
  </si>
  <si>
    <r>
      <t>IDG</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盛宇投资</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清松资本</t>
    </r>
    <r>
      <rPr>
        <sz val="9"/>
        <color rgb="FF000000"/>
        <rFont val="Arial"/>
        <charset val="134"/>
      </rPr>
      <t>,</t>
    </r>
    <r>
      <rPr>
        <sz val="9"/>
        <color rgb="FF000000"/>
        <rFont val="楷体"/>
        <charset val="134"/>
      </rPr>
      <t>君度投资</t>
    </r>
    <r>
      <rPr>
        <sz val="9"/>
        <color rgb="FF000000"/>
        <rFont val="Arial"/>
        <charset val="134"/>
      </rPr>
      <t>,</t>
    </r>
    <r>
      <rPr>
        <sz val="9"/>
        <color rgb="FF000000"/>
        <rFont val="楷体"/>
        <charset val="134"/>
      </rPr>
      <t>领道资本</t>
    </r>
    <r>
      <rPr>
        <sz val="9"/>
        <color rgb="FF000000"/>
        <rFont val="Arial"/>
        <charset val="134"/>
      </rPr>
      <t>,</t>
    </r>
    <r>
      <rPr>
        <sz val="9"/>
        <color rgb="FF000000"/>
        <rFont val="楷体"/>
        <charset val="134"/>
      </rPr>
      <t>广州开发区产业基金</t>
    </r>
    <r>
      <rPr>
        <sz val="9"/>
        <color rgb="FF000000"/>
        <rFont val="Arial"/>
        <charset val="134"/>
      </rPr>
      <t>,</t>
    </r>
    <r>
      <rPr>
        <sz val="9"/>
        <color rgb="FF000000"/>
        <rFont val="楷体"/>
        <charset val="134"/>
      </rPr>
      <t>汇聚新星基金</t>
    </r>
    <r>
      <rPr>
        <sz val="9"/>
        <color rgb="FF000000"/>
        <rFont val="Arial"/>
        <charset val="134"/>
      </rPr>
      <t>,</t>
    </r>
    <r>
      <rPr>
        <sz val="9"/>
        <color rgb="FF000000"/>
        <rFont val="楷体"/>
        <charset val="134"/>
      </rPr>
      <t>天津华益</t>
    </r>
    <r>
      <rPr>
        <sz val="9"/>
        <color rgb="FF000000"/>
        <rFont val="Arial"/>
        <charset val="134"/>
      </rPr>
      <t>,</t>
    </r>
    <r>
      <rPr>
        <sz val="9"/>
        <color rgb="FF000000"/>
        <rFont val="楷体"/>
        <charset val="134"/>
      </rPr>
      <t>兴锐资本</t>
    </r>
  </si>
  <si>
    <r>
      <t>IDG</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辰德资本</t>
    </r>
    <r>
      <rPr>
        <sz val="9"/>
        <color rgb="FF000000"/>
        <rFont val="Arial"/>
        <charset val="134"/>
      </rPr>
      <t>,</t>
    </r>
    <r>
      <rPr>
        <sz val="9"/>
        <color rgb="FF000000"/>
        <rFont val="楷体"/>
        <charset val="134"/>
      </rPr>
      <t>金阖资本</t>
    </r>
    <r>
      <rPr>
        <sz val="9"/>
        <color rgb="FF000000"/>
        <rFont val="Arial"/>
        <charset val="134"/>
      </rPr>
      <t>,</t>
    </r>
    <r>
      <rPr>
        <sz val="9"/>
        <color rgb="FF000000"/>
        <rFont val="楷体"/>
        <charset val="134"/>
      </rPr>
      <t>金垣基金</t>
    </r>
  </si>
  <si>
    <r>
      <rPr>
        <sz val="9"/>
        <color rgb="FF000000"/>
        <rFont val="楷体"/>
        <charset val="134"/>
      </rPr>
      <t>天士力创投</t>
    </r>
  </si>
  <si>
    <r>
      <rPr>
        <sz val="9"/>
        <color rgb="FF000000"/>
        <rFont val="楷体"/>
        <charset val="134"/>
      </rPr>
      <t>元生创投</t>
    </r>
  </si>
  <si>
    <r>
      <rPr>
        <sz val="9"/>
        <color rgb="FF000000"/>
        <rFont val="楷体"/>
        <charset val="134"/>
      </rPr>
      <t>中通快递</t>
    </r>
  </si>
  <si>
    <r>
      <rPr>
        <sz val="9"/>
        <color rgb="FF000000"/>
        <rFont val="楷体"/>
        <charset val="134"/>
      </rPr>
      <t>中通快递</t>
    </r>
  </si>
  <si>
    <r>
      <rPr>
        <sz val="9"/>
        <color rgb="FF000000"/>
        <rFont val="楷体"/>
        <charset val="134"/>
      </rPr>
      <t>中通快递股份有限公司</t>
    </r>
  </si>
  <si>
    <r>
      <t>98.1</t>
    </r>
    <r>
      <rPr>
        <sz val="9"/>
        <color rgb="FF000000"/>
        <rFont val="楷体"/>
        <charset val="134"/>
      </rPr>
      <t>亿港元</t>
    </r>
  </si>
  <si>
    <r>
      <t>269.48</t>
    </r>
    <r>
      <rPr>
        <sz val="9"/>
        <color rgb="FF000000"/>
        <rFont val="楷体"/>
        <charset val="134"/>
      </rPr>
      <t>亿</t>
    </r>
  </si>
  <si>
    <r>
      <t>1479.2</t>
    </r>
    <r>
      <rPr>
        <sz val="9"/>
        <color rgb="FF000000"/>
        <rFont val="楷体"/>
        <charset val="134"/>
      </rPr>
      <t>亿元</t>
    </r>
  </si>
  <si>
    <r>
      <t>13.8</t>
    </r>
    <r>
      <rPr>
        <sz val="9"/>
        <color rgb="FF000000"/>
        <rFont val="楷体"/>
        <charset val="134"/>
      </rPr>
      <t>亿美元</t>
    </r>
  </si>
  <si>
    <r>
      <rPr>
        <sz val="9"/>
        <color rgb="FF000000"/>
        <rFont val="楷体"/>
        <charset val="134"/>
      </rPr>
      <t>哈啰</t>
    </r>
  </si>
  <si>
    <r>
      <rPr>
        <sz val="9"/>
        <color rgb="FF000000"/>
        <rFont val="楷体"/>
        <charset val="134"/>
      </rPr>
      <t>哈啰</t>
    </r>
  </si>
  <si>
    <r>
      <rPr>
        <sz val="9"/>
        <color rgb="FF000000"/>
        <rFont val="楷体"/>
        <charset val="134"/>
      </rPr>
      <t>上海哈啰普惠科技有限公司</t>
    </r>
  </si>
  <si>
    <r>
      <t>179.05</t>
    </r>
    <r>
      <rPr>
        <sz val="9"/>
        <color rgb="FF000000"/>
        <rFont val="楷体"/>
        <charset val="134"/>
      </rPr>
      <t>亿</t>
    </r>
  </si>
  <si>
    <r>
      <t>403</t>
    </r>
    <r>
      <rPr>
        <sz val="9"/>
        <color rgb="FF000000"/>
        <rFont val="楷体"/>
        <charset val="134"/>
      </rPr>
      <t>亿元</t>
    </r>
  </si>
  <si>
    <r>
      <rPr>
        <sz val="9"/>
        <color rgb="FF000000"/>
        <rFont val="楷体"/>
        <charset val="134"/>
      </rPr>
      <t>永安行</t>
    </r>
  </si>
  <si>
    <r>
      <rPr>
        <sz val="9"/>
        <color rgb="FF000000"/>
        <rFont val="楷体"/>
        <charset val="134"/>
      </rPr>
      <t>威马汽车</t>
    </r>
  </si>
  <si>
    <r>
      <rPr>
        <sz val="9"/>
        <color rgb="FF000000"/>
        <rFont val="楷体"/>
        <charset val="134"/>
      </rPr>
      <t>成为资本</t>
    </r>
  </si>
  <si>
    <r>
      <t>GGV</t>
    </r>
    <r>
      <rPr>
        <sz val="9"/>
        <color rgb="FF000000"/>
        <rFont val="楷体"/>
        <charset val="134"/>
      </rPr>
      <t>纪源资本</t>
    </r>
    <r>
      <rPr>
        <sz val="9"/>
        <color rgb="FF000000"/>
        <rFont val="Arial"/>
        <charset val="134"/>
      </rPr>
      <t>,</t>
    </r>
    <r>
      <rPr>
        <sz val="9"/>
        <color rgb="FF000000"/>
        <rFont val="楷体"/>
        <charset val="134"/>
      </rPr>
      <t>磐谷创投</t>
    </r>
  </si>
  <si>
    <r>
      <t>GGV</t>
    </r>
    <r>
      <rPr>
        <sz val="9"/>
        <color rgb="FF000000"/>
        <rFont val="楷体"/>
        <charset val="134"/>
      </rPr>
      <t>纪源资本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磐谷创投</t>
    </r>
  </si>
  <si>
    <r>
      <t>Bitmark</t>
    </r>
    <r>
      <rPr>
        <sz val="9"/>
        <color rgb="FF000000"/>
        <rFont val="楷体"/>
        <charset val="134"/>
      </rPr>
      <t>是一家来自台湾的区块链所有权创业公司，在其平台上注册的所有权被绑定为称为</t>
    </r>
    <r>
      <rPr>
        <sz val="9"/>
        <color rgb="FF000000"/>
        <rFont val="Arial"/>
        <charset val="134"/>
      </rPr>
      <t xml:space="preserve">bitmarks </t>
    </r>
    <r>
      <rPr>
        <sz val="9"/>
        <color rgb="FF000000"/>
        <rFont val="楷体"/>
        <charset val="134"/>
      </rPr>
      <t>的数字资产，用户可用其进行交易，并创建交易电子记录。</t>
    </r>
  </si>
  <si>
    <r>
      <rPr>
        <sz val="9"/>
        <color rgb="FF000000"/>
        <rFont val="楷体"/>
        <charset val="134"/>
      </rPr>
      <t>区块链</t>
    </r>
  </si>
  <si>
    <r>
      <rPr>
        <sz val="9"/>
        <color rgb="FF000000"/>
        <rFont val="楷体"/>
        <charset val="134"/>
      </rPr>
      <t>区块链行业应用</t>
    </r>
  </si>
  <si>
    <r>
      <t>3055</t>
    </r>
    <r>
      <rPr>
        <sz val="9"/>
        <color rgb="FF000000"/>
        <rFont val="楷体"/>
        <charset val="134"/>
      </rPr>
      <t>万</t>
    </r>
  </si>
  <si>
    <r>
      <t>170</t>
    </r>
    <r>
      <rPr>
        <sz val="9"/>
        <color rgb="FF000000"/>
        <rFont val="楷体"/>
        <charset val="134"/>
      </rPr>
      <t>万美元</t>
    </r>
  </si>
  <si>
    <r>
      <rPr>
        <sz val="9"/>
        <color rgb="FF000000"/>
        <rFont val="楷体"/>
        <charset val="134"/>
      </rPr>
      <t>三江购物</t>
    </r>
  </si>
  <si>
    <r>
      <rPr>
        <sz val="9"/>
        <color rgb="FF000000"/>
        <rFont val="楷体"/>
        <charset val="134"/>
      </rPr>
      <t>三江购物</t>
    </r>
  </si>
  <si>
    <r>
      <rPr>
        <sz val="9"/>
        <color rgb="FF000000"/>
        <rFont val="楷体"/>
        <charset val="134"/>
      </rPr>
      <t>三江购物俱乐部股份有限公司</t>
    </r>
  </si>
  <si>
    <r>
      <t>21.5</t>
    </r>
    <r>
      <rPr>
        <sz val="9"/>
        <color rgb="FF000000"/>
        <rFont val="楷体"/>
        <charset val="134"/>
      </rPr>
      <t>亿人民币</t>
    </r>
  </si>
  <si>
    <r>
      <t>24.5</t>
    </r>
    <r>
      <rPr>
        <sz val="9"/>
        <color rgb="FF000000"/>
        <rFont val="楷体"/>
        <charset val="134"/>
      </rPr>
      <t>亿</t>
    </r>
  </si>
  <si>
    <r>
      <t>67.1875</t>
    </r>
    <r>
      <rPr>
        <sz val="9"/>
        <color rgb="FF000000"/>
        <rFont val="楷体"/>
        <charset val="134"/>
      </rPr>
      <t>亿元</t>
    </r>
  </si>
  <si>
    <r>
      <t>Barefoot</t>
    </r>
    <r>
      <rPr>
        <sz val="9"/>
        <color rgb="FF000000"/>
        <rFont val="楷体"/>
        <charset val="134"/>
      </rPr>
      <t>是一家软件定义网络（</t>
    </r>
    <r>
      <rPr>
        <sz val="9"/>
        <color rgb="FF000000"/>
        <rFont val="Arial"/>
        <charset val="134"/>
      </rPr>
      <t>SDN</t>
    </r>
    <r>
      <rPr>
        <sz val="9"/>
        <color rgb="FF000000"/>
        <rFont val="楷体"/>
        <charset val="134"/>
      </rPr>
      <t>）芯片公司，通过</t>
    </r>
    <r>
      <rPr>
        <sz val="9"/>
        <color rgb="FF000000"/>
        <rFont val="Arial"/>
        <charset val="134"/>
      </rPr>
      <t>SDN</t>
    </r>
    <r>
      <rPr>
        <sz val="9"/>
        <color rgb="FF000000"/>
        <rFont val="楷体"/>
        <charset val="134"/>
      </rPr>
      <t>控制器，企业可以对特定场景编程，让企业将更快更安全的线路优先部署给那些更重要的应用，在传输完成后再恢复至平时的低成本连接。</t>
    </r>
  </si>
  <si>
    <r>
      <t>5.27</t>
    </r>
    <r>
      <rPr>
        <sz val="9"/>
        <color rgb="FF000000"/>
        <rFont val="楷体"/>
        <charset val="134"/>
      </rPr>
      <t>亿</t>
    </r>
  </si>
  <si>
    <r>
      <t>2400</t>
    </r>
    <r>
      <rPr>
        <sz val="9"/>
        <color rgb="FF000000"/>
        <rFont val="楷体"/>
        <charset val="134"/>
      </rPr>
      <t>万美元</t>
    </r>
  </si>
  <si>
    <r>
      <rPr>
        <sz val="9"/>
        <color rgb="FF000000"/>
        <rFont val="楷体"/>
        <charset val="134"/>
      </rPr>
      <t>霍曼</t>
    </r>
    <r>
      <rPr>
        <sz val="9"/>
        <color rgb="FF000000"/>
        <rFont val="Arial"/>
        <charset val="134"/>
      </rPr>
      <t>HomeRun</t>
    </r>
  </si>
  <si>
    <r>
      <rPr>
        <sz val="9"/>
        <color rgb="FF000000"/>
        <rFont val="楷体"/>
        <charset val="134"/>
      </rPr>
      <t>深圳前海霍曼科技有限公司</t>
    </r>
  </si>
  <si>
    <r>
      <rPr>
        <sz val="9"/>
        <color rgb="FF000000"/>
        <rFont val="楷体"/>
        <charset val="134"/>
      </rPr>
      <t>三七互娱</t>
    </r>
  </si>
  <si>
    <r>
      <rPr>
        <sz val="9"/>
        <color rgb="FF000000"/>
        <rFont val="楷体"/>
        <charset val="134"/>
      </rPr>
      <t>李泽湘</t>
    </r>
  </si>
  <si>
    <r>
      <rPr>
        <sz val="9"/>
        <color rgb="FF000000"/>
        <rFont val="楷体"/>
        <charset val="134"/>
      </rPr>
      <t>阮晓迅</t>
    </r>
  </si>
  <si>
    <r>
      <t>100</t>
    </r>
    <r>
      <rPr>
        <sz val="9"/>
        <color rgb="FF000000"/>
        <rFont val="楷体"/>
        <charset val="134"/>
      </rPr>
      <t>万人民币</t>
    </r>
  </si>
  <si>
    <r>
      <rPr>
        <sz val="9"/>
        <color rgb="FF000000"/>
        <rFont val="楷体"/>
        <charset val="134"/>
      </rPr>
      <t>天使投资人</t>
    </r>
  </si>
  <si>
    <r>
      <rPr>
        <sz val="9"/>
        <color rgb="FF000000"/>
        <rFont val="楷体"/>
        <charset val="134"/>
      </rPr>
      <t>亿可能源</t>
    </r>
    <r>
      <rPr>
        <sz val="9"/>
        <color rgb="FF000000"/>
        <rFont val="Arial"/>
        <charset val="134"/>
      </rPr>
      <t>Equota</t>
    </r>
  </si>
  <si>
    <r>
      <rPr>
        <sz val="9"/>
        <color rgb="FF000000"/>
        <rFont val="楷体"/>
        <charset val="134"/>
      </rPr>
      <t>亿可能源科技（上海）有限公司</t>
    </r>
  </si>
  <si>
    <r>
      <rPr>
        <sz val="9"/>
        <color rgb="FF000000"/>
        <rFont val="楷体"/>
        <charset val="134"/>
      </rPr>
      <t>啟赋资本</t>
    </r>
  </si>
  <si>
    <r>
      <t>180</t>
    </r>
    <r>
      <rPr>
        <sz val="9"/>
        <color rgb="FF000000"/>
        <rFont val="楷体"/>
        <charset val="134"/>
      </rPr>
      <t>万人民币</t>
    </r>
  </si>
  <si>
    <r>
      <rPr>
        <sz val="9"/>
        <color rgb="FF000000"/>
        <rFont val="楷体"/>
        <charset val="134"/>
      </rPr>
      <t>壳牌基金会</t>
    </r>
  </si>
  <si>
    <r>
      <rPr>
        <sz val="9"/>
        <color rgb="FF000000"/>
        <rFont val="楷体"/>
        <charset val="134"/>
      </rPr>
      <t>易居</t>
    </r>
  </si>
  <si>
    <r>
      <rPr>
        <sz val="9"/>
        <color rgb="FF000000"/>
        <rFont val="楷体"/>
        <charset val="134"/>
      </rPr>
      <t>易居</t>
    </r>
  </si>
  <si>
    <r>
      <rPr>
        <sz val="9"/>
        <color rgb="FF000000"/>
        <rFont val="楷体"/>
        <charset val="134"/>
      </rPr>
      <t>易居是一家房地产全产业链服务商。公司已构建起房地产营销、房地产互联网及电商、房地产信息咨询、房地产金融、社区增值服务多纬度纵深发展，并覆盖房地产全产业链的现代服务体系。</t>
    </r>
  </si>
  <si>
    <r>
      <rPr>
        <sz val="9"/>
        <color rgb="FF000000"/>
        <rFont val="楷体"/>
        <charset val="134"/>
      </rPr>
      <t>易居企业（中国）集团有限公司</t>
    </r>
  </si>
  <si>
    <r>
      <rPr>
        <sz val="9"/>
        <color rgb="FF000000"/>
        <rFont val="楷体"/>
        <charset val="134"/>
      </rPr>
      <t>房产信息化</t>
    </r>
  </si>
  <si>
    <r>
      <t>8.28</t>
    </r>
    <r>
      <rPr>
        <sz val="9"/>
        <color rgb="FF000000"/>
        <rFont val="楷体"/>
        <charset val="134"/>
      </rPr>
      <t>亿港元</t>
    </r>
  </si>
  <si>
    <r>
      <t>45.5</t>
    </r>
    <r>
      <rPr>
        <sz val="9"/>
        <color rgb="FF000000"/>
        <rFont val="楷体"/>
        <charset val="134"/>
      </rPr>
      <t>亿</t>
    </r>
  </si>
  <si>
    <r>
      <t>33.12</t>
    </r>
    <r>
      <rPr>
        <sz val="9"/>
        <color rgb="FF000000"/>
        <rFont val="楷体"/>
        <charset val="134"/>
      </rPr>
      <t>亿元</t>
    </r>
  </si>
  <si>
    <r>
      <t>44.34</t>
    </r>
    <r>
      <rPr>
        <sz val="9"/>
        <color rgb="FF000000"/>
        <rFont val="楷体"/>
        <charset val="134"/>
      </rPr>
      <t>亿港元</t>
    </r>
  </si>
  <si>
    <r>
      <rPr>
        <sz val="9"/>
        <color rgb="FF000000"/>
        <rFont val="楷体"/>
        <charset val="134"/>
      </rPr>
      <t>数亿港元</t>
    </r>
  </si>
  <si>
    <r>
      <t>Corephotonics</t>
    </r>
    <r>
      <rPr>
        <sz val="9"/>
        <color rgb="FF000000"/>
        <rFont val="楷体"/>
        <charset val="134"/>
      </rPr>
      <t>是一家以色列智能手机双摄像头制造公司，公司成立于</t>
    </r>
    <r>
      <rPr>
        <sz val="9"/>
        <color rgb="FF000000"/>
        <rFont val="Arial"/>
        <charset val="134"/>
      </rPr>
      <t xml:space="preserve"> 2012 </t>
    </r>
    <r>
      <rPr>
        <sz val="9"/>
        <color rgb="FF000000"/>
        <rFont val="楷体"/>
        <charset val="134"/>
      </rPr>
      <t>年，旨在让智能手机摄像头能够达到较高的摄像水准。</t>
    </r>
  </si>
  <si>
    <r>
      <t>1.6</t>
    </r>
    <r>
      <rPr>
        <sz val="9"/>
        <color rgb="FF000000"/>
        <rFont val="楷体"/>
        <charset val="134"/>
      </rPr>
      <t>亿美元</t>
    </r>
  </si>
  <si>
    <r>
      <t>Samsung Ventures</t>
    </r>
    <r>
      <rPr>
        <sz val="9"/>
        <color rgb="FF000000"/>
        <rFont val="楷体"/>
        <charset val="134"/>
      </rPr>
      <t>三星</t>
    </r>
  </si>
  <si>
    <r>
      <t>13.65</t>
    </r>
    <r>
      <rPr>
        <sz val="9"/>
        <color rgb="FF000000"/>
        <rFont val="楷体"/>
        <charset val="134"/>
      </rPr>
      <t>亿</t>
    </r>
  </si>
  <si>
    <r>
      <t>52</t>
    </r>
    <r>
      <rPr>
        <sz val="9"/>
        <color rgb="FF000000"/>
        <rFont val="楷体"/>
        <charset val="134"/>
      </rPr>
      <t>亿元</t>
    </r>
  </si>
  <si>
    <r>
      <t>Samsung Ventures</t>
    </r>
    <r>
      <rPr>
        <sz val="9"/>
        <color rgb="FF000000"/>
        <rFont val="楷体"/>
        <charset val="134"/>
      </rPr>
      <t>三星</t>
    </r>
    <r>
      <rPr>
        <sz val="9"/>
        <color rgb="FF000000"/>
        <rFont val="Arial"/>
        <charset val="134"/>
      </rPr>
      <t>,</t>
    </r>
    <r>
      <rPr>
        <sz val="9"/>
        <color rgb="FF000000"/>
        <rFont val="楷体"/>
        <charset val="134"/>
      </rPr>
      <t>联发科</t>
    </r>
    <r>
      <rPr>
        <sz val="9"/>
        <color rgb="FF000000"/>
        <rFont val="Arial"/>
        <charset val="134"/>
      </rPr>
      <t>MTK,</t>
    </r>
    <r>
      <rPr>
        <sz val="9"/>
        <color rgb="FF000000"/>
        <rFont val="楷体"/>
        <charset val="134"/>
      </rPr>
      <t>富士康</t>
    </r>
    <r>
      <rPr>
        <sz val="9"/>
        <color rgb="FF000000"/>
        <rFont val="Arial"/>
        <charset val="134"/>
      </rPr>
      <t>Foxconn</t>
    </r>
  </si>
  <si>
    <r>
      <t>700</t>
    </r>
    <r>
      <rPr>
        <sz val="9"/>
        <color rgb="FF000000"/>
        <rFont val="楷体"/>
        <charset val="134"/>
      </rPr>
      <t>万美元</t>
    </r>
  </si>
  <si>
    <r>
      <t>1780</t>
    </r>
    <r>
      <rPr>
        <sz val="9"/>
        <color rgb="FF000000"/>
        <rFont val="楷体"/>
        <charset val="134"/>
      </rPr>
      <t>万美元</t>
    </r>
  </si>
  <si>
    <r>
      <t>Horizons Ventures</t>
    </r>
    <r>
      <rPr>
        <sz val="9"/>
        <color rgb="FF000000"/>
        <rFont val="楷体"/>
        <charset val="134"/>
      </rPr>
      <t>维港投资</t>
    </r>
    <r>
      <rPr>
        <sz val="9"/>
        <color rgb="FF000000"/>
        <rFont val="Arial"/>
        <charset val="134"/>
      </rPr>
      <t>,Magma Venture Partners,BetaAngels Management,Amiti Ventures</t>
    </r>
  </si>
  <si>
    <r>
      <t>1020</t>
    </r>
    <r>
      <rPr>
        <sz val="9"/>
        <color rgb="FF000000"/>
        <rFont val="楷体"/>
        <charset val="134"/>
      </rPr>
      <t>万美元</t>
    </r>
  </si>
  <si>
    <r>
      <t>Horizons Ventures</t>
    </r>
    <r>
      <rPr>
        <sz val="9"/>
        <color rgb="FF000000"/>
        <rFont val="楷体"/>
        <charset val="134"/>
      </rPr>
      <t>维港投资</t>
    </r>
    <r>
      <rPr>
        <sz val="9"/>
        <color rgb="FF000000"/>
        <rFont val="Arial"/>
        <charset val="134"/>
      </rPr>
      <t>,Magma Venture Partners,BetaAngels Management,Boltendahl International Partners</t>
    </r>
  </si>
  <si>
    <r>
      <rPr>
        <sz val="9"/>
        <color rgb="FF000000"/>
        <rFont val="楷体"/>
        <charset val="134"/>
      </rPr>
      <t>谐云科技</t>
    </r>
  </si>
  <si>
    <r>
      <rPr>
        <sz val="9"/>
        <color rgb="FF000000"/>
        <rFont val="楷体"/>
        <charset val="134"/>
      </rPr>
      <t>杭州谐云科技有限公司</t>
    </r>
  </si>
  <si>
    <r>
      <t>1810</t>
    </r>
    <r>
      <rPr>
        <sz val="9"/>
        <color rgb="FF000000"/>
        <rFont val="楷体"/>
        <charset val="134"/>
      </rPr>
      <t>万人民币</t>
    </r>
  </si>
  <si>
    <r>
      <rPr>
        <sz val="9"/>
        <color rgb="FF000000"/>
        <rFont val="楷体"/>
        <charset val="134"/>
      </rPr>
      <t>亿脑创新工场</t>
    </r>
  </si>
  <si>
    <r>
      <t>WayRay</t>
    </r>
    <r>
      <rPr>
        <sz val="9"/>
        <color rgb="FF000000"/>
        <rFont val="楷体"/>
        <charset val="134"/>
      </rPr>
      <t>是一家汽车导航设备制造商，主要为司机开发抬头显示器以及最终用于自动驾驶汽车的完全沉浸式</t>
    </r>
    <r>
      <rPr>
        <sz val="9"/>
        <color rgb="FF000000"/>
        <rFont val="Arial"/>
        <charset val="134"/>
      </rPr>
      <t>AR</t>
    </r>
    <r>
      <rPr>
        <sz val="9"/>
        <color rgb="FF000000"/>
        <rFont val="楷体"/>
        <charset val="134"/>
      </rPr>
      <t>和</t>
    </r>
    <r>
      <rPr>
        <sz val="9"/>
        <color rgb="FF000000"/>
        <rFont val="Arial"/>
        <charset val="134"/>
      </rPr>
      <t>VR</t>
    </r>
    <r>
      <rPr>
        <sz val="9"/>
        <color rgb="FF000000"/>
        <rFont val="楷体"/>
        <charset val="134"/>
      </rPr>
      <t>系统。</t>
    </r>
  </si>
  <si>
    <r>
      <rPr>
        <sz val="9"/>
        <color rgb="FF000000"/>
        <rFont val="楷体"/>
        <charset val="134"/>
      </rPr>
      <t>汽车零部件</t>
    </r>
  </si>
  <si>
    <r>
      <t>7.02</t>
    </r>
    <r>
      <rPr>
        <sz val="9"/>
        <color rgb="FF000000"/>
        <rFont val="楷体"/>
        <charset val="134"/>
      </rPr>
      <t>亿</t>
    </r>
  </si>
  <si>
    <r>
      <t>24</t>
    </r>
    <r>
      <rPr>
        <sz val="9"/>
        <color rgb="FF000000"/>
        <rFont val="楷体"/>
        <charset val="134"/>
      </rPr>
      <t>季私享家</t>
    </r>
  </si>
  <si>
    <r>
      <t>24</t>
    </r>
    <r>
      <rPr>
        <sz val="9"/>
        <color rgb="FF000000"/>
        <rFont val="楷体"/>
        <charset val="134"/>
      </rPr>
      <t>季私享家</t>
    </r>
  </si>
  <si>
    <r>
      <t>24</t>
    </r>
    <r>
      <rPr>
        <sz val="9"/>
        <color rgb="FF000000"/>
        <rFont val="楷体"/>
        <charset val="134"/>
      </rPr>
      <t>季私享家是一个集合各类精致生活内容的电商平台，聚集每个目的地具有匠心与技艺的生活家，通过发起人模式，以时令为维度，为追求生活品质的用户，提供场景化的体验产品和严选商品。浙江饭美科技有限公司旗下产品。</t>
    </r>
  </si>
  <si>
    <r>
      <rPr>
        <sz val="9"/>
        <color rgb="FF000000"/>
        <rFont val="楷体"/>
        <charset val="134"/>
      </rPr>
      <t>浙江饭美科技有限公司</t>
    </r>
  </si>
  <si>
    <r>
      <rPr>
        <sz val="9"/>
        <color rgb="FF000000"/>
        <rFont val="楷体"/>
        <charset val="134"/>
      </rPr>
      <t>其他电商服务</t>
    </r>
  </si>
  <si>
    <r>
      <t>2500</t>
    </r>
    <r>
      <rPr>
        <sz val="9"/>
        <color rgb="FF000000"/>
        <rFont val="楷体"/>
        <charset val="134"/>
      </rPr>
      <t>万人民币</t>
    </r>
  </si>
  <si>
    <r>
      <t>2500</t>
    </r>
    <r>
      <rPr>
        <sz val="9"/>
        <color rgb="FF000000"/>
        <rFont val="楷体"/>
        <charset val="134"/>
      </rPr>
      <t>万</t>
    </r>
  </si>
  <si>
    <r>
      <rPr>
        <sz val="9"/>
        <color rgb="FF000000"/>
        <rFont val="楷体"/>
        <charset val="134"/>
      </rPr>
      <t>寒武纪</t>
    </r>
  </si>
  <si>
    <r>
      <rPr>
        <sz val="9"/>
        <color rgb="FF000000"/>
        <rFont val="楷体"/>
        <charset val="134"/>
      </rPr>
      <t>寒武纪</t>
    </r>
  </si>
  <si>
    <r>
      <rPr>
        <sz val="9"/>
        <color rgb="FF000000"/>
        <rFont val="楷体"/>
        <charset val="134"/>
      </rPr>
      <t>中科寒武纪科技股份有限公司</t>
    </r>
  </si>
  <si>
    <r>
      <t>16.72</t>
    </r>
    <r>
      <rPr>
        <sz val="9"/>
        <color rgb="FF000000"/>
        <rFont val="楷体"/>
        <charset val="134"/>
      </rPr>
      <t>亿人民币</t>
    </r>
  </si>
  <si>
    <r>
      <t>JPMorgan</t>
    </r>
    <r>
      <rPr>
        <sz val="9"/>
        <color rgb="FF000000"/>
        <rFont val="楷体"/>
        <charset val="134"/>
      </rPr>
      <t>摩根大通</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国泰君安</t>
    </r>
    <r>
      <rPr>
        <sz val="9"/>
        <color rgb="FF000000"/>
        <rFont val="Arial"/>
        <charset val="134"/>
      </rPr>
      <t>,</t>
    </r>
    <r>
      <rPr>
        <sz val="9"/>
        <color rgb="FF000000"/>
        <rFont val="楷体"/>
        <charset val="134"/>
      </rPr>
      <t>东方财富网</t>
    </r>
    <r>
      <rPr>
        <sz val="9"/>
        <color rgb="FF000000"/>
        <rFont val="Arial"/>
        <charset val="134"/>
      </rPr>
      <t>,</t>
    </r>
    <r>
      <rPr>
        <sz val="9"/>
        <color rgb="FF000000"/>
        <rFont val="楷体"/>
        <charset val="134"/>
      </rPr>
      <t>瑞华控股</t>
    </r>
    <r>
      <rPr>
        <sz val="9"/>
        <color rgb="FF000000"/>
        <rFont val="Arial"/>
        <charset val="134"/>
      </rPr>
      <t>,</t>
    </r>
    <r>
      <rPr>
        <sz val="9"/>
        <color rgb="FF000000"/>
        <rFont val="楷体"/>
        <charset val="134"/>
      </rPr>
      <t>银河投资</t>
    </r>
    <r>
      <rPr>
        <sz val="9"/>
        <color rgb="FF000000"/>
        <rFont val="Arial"/>
        <charset val="134"/>
      </rPr>
      <t>(</t>
    </r>
    <r>
      <rPr>
        <sz val="9"/>
        <color rgb="FF000000"/>
        <rFont val="楷体"/>
        <charset val="134"/>
      </rPr>
      <t>银河资本</t>
    </r>
    <r>
      <rPr>
        <sz val="9"/>
        <color rgb="FF000000"/>
        <rFont val="Arial"/>
        <charset val="134"/>
      </rPr>
      <t>),</t>
    </r>
    <r>
      <rPr>
        <sz val="9"/>
        <color rgb="FF000000"/>
        <rFont val="楷体"/>
        <charset val="134"/>
      </rPr>
      <t>证大资产</t>
    </r>
    <r>
      <rPr>
        <sz val="9"/>
        <color rgb="FF000000"/>
        <rFont val="Arial"/>
        <charset val="134"/>
      </rPr>
      <t>,UBS</t>
    </r>
    <r>
      <rPr>
        <sz val="9"/>
        <color rgb="FF000000"/>
        <rFont val="楷体"/>
        <charset val="134"/>
      </rPr>
      <t>瑞银</t>
    </r>
    <r>
      <rPr>
        <sz val="9"/>
        <color rgb="FF000000"/>
        <rFont val="Arial"/>
        <charset val="134"/>
      </rPr>
      <t>,</t>
    </r>
    <r>
      <rPr>
        <sz val="9"/>
        <color rgb="FF000000"/>
        <rFont val="楷体"/>
        <charset val="134"/>
      </rPr>
      <t>南方资产</t>
    </r>
    <r>
      <rPr>
        <sz val="9"/>
        <color rgb="FF000000"/>
        <rFont val="Arial"/>
        <charset val="134"/>
      </rPr>
      <t>,</t>
    </r>
    <r>
      <rPr>
        <sz val="9"/>
        <color rgb="FF000000"/>
        <rFont val="楷体"/>
        <charset val="134"/>
      </rPr>
      <t>财通基金</t>
    </r>
    <r>
      <rPr>
        <sz val="9"/>
        <color rgb="FF000000"/>
        <rFont val="Arial"/>
        <charset val="134"/>
      </rPr>
      <t>,</t>
    </r>
    <r>
      <rPr>
        <sz val="9"/>
        <color rgb="FF000000"/>
        <rFont val="楷体"/>
        <charset val="134"/>
      </rPr>
      <t>诺德基金</t>
    </r>
    <r>
      <rPr>
        <sz val="9"/>
        <color rgb="FF000000"/>
        <rFont val="Arial"/>
        <charset val="134"/>
      </rPr>
      <t>,</t>
    </r>
    <r>
      <rPr>
        <sz val="9"/>
        <color rgb="FF000000"/>
        <rFont val="楷体"/>
        <charset val="134"/>
      </rPr>
      <t>华商基金</t>
    </r>
    <r>
      <rPr>
        <sz val="9"/>
        <color rgb="FF000000"/>
        <rFont val="Arial"/>
        <charset val="134"/>
      </rPr>
      <t>,</t>
    </r>
    <r>
      <rPr>
        <sz val="9"/>
        <color rgb="FF000000"/>
        <rFont val="楷体"/>
        <charset val="134"/>
      </rPr>
      <t>富荣基金</t>
    </r>
    <r>
      <rPr>
        <sz val="9"/>
        <color rgb="FF000000"/>
        <rFont val="Arial"/>
        <charset val="134"/>
      </rPr>
      <t>,</t>
    </r>
    <r>
      <rPr>
        <sz val="9"/>
        <color rgb="FF000000"/>
        <rFont val="楷体"/>
        <charset val="134"/>
      </rPr>
      <t>聚鸣投资</t>
    </r>
  </si>
  <si>
    <r>
      <t>69.72</t>
    </r>
    <r>
      <rPr>
        <sz val="9"/>
        <color rgb="FF000000"/>
        <rFont val="楷体"/>
        <charset val="134"/>
      </rPr>
      <t>亿</t>
    </r>
  </si>
  <si>
    <r>
      <t>83.6</t>
    </r>
    <r>
      <rPr>
        <sz val="9"/>
        <color rgb="FF000000"/>
        <rFont val="楷体"/>
        <charset val="134"/>
      </rPr>
      <t>亿元</t>
    </r>
  </si>
  <si>
    <r>
      <t>25.8</t>
    </r>
    <r>
      <rPr>
        <sz val="9"/>
        <color rgb="FF000000"/>
        <rFont val="楷体"/>
        <charset val="134"/>
      </rPr>
      <t>亿人民币</t>
    </r>
  </si>
  <si>
    <r>
      <rPr>
        <sz val="9"/>
        <color rgb="FF000000"/>
        <rFont val="楷体"/>
        <charset val="134"/>
      </rPr>
      <t>中科院创投</t>
    </r>
  </si>
  <si>
    <r>
      <rPr>
        <sz val="9"/>
        <color rgb="FF000000"/>
        <rFont val="楷体"/>
        <charset val="134"/>
      </rPr>
      <t>怪兽充电</t>
    </r>
  </si>
  <si>
    <r>
      <rPr>
        <sz val="9"/>
        <color rgb="FF000000"/>
        <rFont val="楷体"/>
        <charset val="134"/>
      </rPr>
      <t>怪兽充电</t>
    </r>
  </si>
  <si>
    <r>
      <rPr>
        <sz val="9"/>
        <color rgb="FF000000"/>
        <rFont val="楷体"/>
        <charset val="134"/>
      </rPr>
      <t>怪兽充电是一家新成立的充电宝租赁品牌，怪兽充电的产品是带有大容量电池的手机充电设备，采用桌面型单台充电宝形式，上海挚想科技有限公司旗下。</t>
    </r>
  </si>
  <si>
    <r>
      <rPr>
        <sz val="9"/>
        <color rgb="FF000000"/>
        <rFont val="楷体"/>
        <charset val="134"/>
      </rPr>
      <t>上海挚想科技有限公司</t>
    </r>
  </si>
  <si>
    <r>
      <t>44.36</t>
    </r>
    <r>
      <rPr>
        <sz val="9"/>
        <color rgb="FF000000"/>
        <rFont val="楷体"/>
        <charset val="134"/>
      </rPr>
      <t>亿</t>
    </r>
  </si>
  <si>
    <r>
      <t>2.34</t>
    </r>
    <r>
      <rPr>
        <sz val="9"/>
        <color rgb="FF000000"/>
        <rFont val="楷体"/>
        <charset val="134"/>
      </rPr>
      <t>亿美元</t>
    </r>
  </si>
  <si>
    <r>
      <t>DeepMap</t>
    </r>
    <r>
      <rPr>
        <sz val="9"/>
        <color rgb="FF000000"/>
        <rFont val="楷体"/>
        <charset val="134"/>
      </rPr>
      <t>是一家无人驾驶领域的新兴地图公司，专注于高精度地图解决方案的研发，其所提供的高清地图、实时定位软件以及其他必要基础数据都将推动无人驾驶技术的发展。</t>
    </r>
  </si>
  <si>
    <r>
      <t>NVIDIA</t>
    </r>
    <r>
      <rPr>
        <sz val="9"/>
        <color rgb="FF000000"/>
        <rFont val="楷体"/>
        <charset val="134"/>
      </rPr>
      <t>英伟达</t>
    </r>
  </si>
  <si>
    <r>
      <t>12.48</t>
    </r>
    <r>
      <rPr>
        <sz val="9"/>
        <color rgb="FF000000"/>
        <rFont val="楷体"/>
        <charset val="134"/>
      </rPr>
      <t>亿</t>
    </r>
  </si>
  <si>
    <r>
      <t>James Wu</t>
    </r>
    <r>
      <rPr>
        <sz val="9"/>
        <color rgb="FF000000"/>
        <rFont val="楷体"/>
        <charset val="134"/>
      </rPr>
      <t>吴夏青</t>
    </r>
    <r>
      <rPr>
        <sz val="9"/>
        <color rgb="FF000000"/>
        <rFont val="Arial"/>
        <charset val="134"/>
      </rPr>
      <t>:CEO,Andrew Shaw:VP, Engineering,Calisa Cole:VP Marketing,Chirag Majithia:Software Engineer,Cindy M. K. Chang:Manager, Global Human Resources,Danny Liu:GM of APAC,Drew Fong:People Operations,James Wu:Co-Founder and CEO,Mark Wheeler:CTO,Pedro Guillen:Director of Talent,Richard Lucquet:Head of Solution Engineering &amp; Map Operations, VP,Wei Luo:COO &amp; Head of Product,Yuchong Ye:Software Engineer,Zhanxiang Liu:Software Engineer</t>
    </r>
  </si>
  <si>
    <r>
      <t>MariaDB</t>
    </r>
    <r>
      <rPr>
        <sz val="9"/>
        <color rgb="FF000000"/>
        <rFont val="楷体"/>
        <charset val="134"/>
      </rPr>
      <t>是一家从事开源数据库技术研发与推广的公司。公司的产品包括</t>
    </r>
    <r>
      <rPr>
        <sz val="9"/>
        <color rgb="FF000000"/>
        <rFont val="Arial"/>
        <charset val="134"/>
      </rPr>
      <t xml:space="preserve"> Maria DB  Server</t>
    </r>
    <r>
      <rPr>
        <sz val="9"/>
        <color rgb="FF000000"/>
        <rFont val="楷体"/>
        <charset val="134"/>
      </rPr>
      <t>、</t>
    </r>
    <r>
      <rPr>
        <sz val="9"/>
        <color rgb="FF000000"/>
        <rFont val="Arial"/>
        <charset val="134"/>
      </rPr>
      <t xml:space="preserve">MaxScale </t>
    </r>
    <r>
      <rPr>
        <sz val="9"/>
        <color rgb="FF000000"/>
        <rFont val="楷体"/>
        <charset val="134"/>
      </rPr>
      <t>数据库代理，</t>
    </r>
    <r>
      <rPr>
        <sz val="9"/>
        <color rgb="FF000000"/>
        <rFont val="Arial"/>
        <charset val="134"/>
      </rPr>
      <t xml:space="preserve">ColumnStore </t>
    </r>
    <r>
      <rPr>
        <sz val="9"/>
        <color rgb="FF000000"/>
        <rFont val="楷体"/>
        <charset val="134"/>
      </rPr>
      <t>分布式数据存储引擎、技术支持、培训等。</t>
    </r>
  </si>
  <si>
    <r>
      <t>2290</t>
    </r>
    <r>
      <rPr>
        <sz val="9"/>
        <color rgb="FF000000"/>
        <rFont val="楷体"/>
        <charset val="134"/>
      </rPr>
      <t>万欧元</t>
    </r>
  </si>
  <si>
    <r>
      <t>3.54</t>
    </r>
    <r>
      <rPr>
        <sz val="9"/>
        <color rgb="FF000000"/>
        <rFont val="楷体"/>
        <charset val="134"/>
      </rPr>
      <t>亿</t>
    </r>
  </si>
  <si>
    <r>
      <t>23.4</t>
    </r>
    <r>
      <rPr>
        <sz val="9"/>
        <color rgb="FF000000"/>
        <rFont val="楷体"/>
        <charset val="134"/>
      </rPr>
      <t>亿元</t>
    </r>
  </si>
  <si>
    <r>
      <t>2700</t>
    </r>
    <r>
      <rPr>
        <sz val="9"/>
        <color rgb="FF000000"/>
        <rFont val="楷体"/>
        <charset val="134"/>
      </rPr>
      <t>万美元</t>
    </r>
  </si>
  <si>
    <r>
      <rPr>
        <sz val="9"/>
        <color rgb="FF000000"/>
        <rFont val="楷体"/>
        <charset val="134"/>
      </rPr>
      <t>桥彼道</t>
    </r>
    <r>
      <rPr>
        <sz val="9"/>
        <color rgb="FF000000"/>
        <rFont val="Arial"/>
        <charset val="134"/>
      </rPr>
      <t>Qupital</t>
    </r>
  </si>
  <si>
    <r>
      <t>MindWorks Ventures</t>
    </r>
    <r>
      <rPr>
        <sz val="9"/>
        <color rgb="FF000000"/>
        <rFont val="楷体"/>
        <charset val="134"/>
      </rPr>
      <t>概念资本</t>
    </r>
    <r>
      <rPr>
        <sz val="9"/>
        <color rgb="FF000000"/>
        <rFont val="Arial"/>
        <charset val="134"/>
      </rPr>
      <t>,</t>
    </r>
    <r>
      <rPr>
        <sz val="9"/>
        <color rgb="FF000000"/>
        <rFont val="楷体"/>
        <charset val="134"/>
      </rPr>
      <t>阿里巴巴创业者基金</t>
    </r>
    <r>
      <rPr>
        <sz val="9"/>
        <color rgb="FF000000"/>
        <rFont val="Arial"/>
        <charset val="134"/>
      </rPr>
      <t>,DRL Capital,Aria Group</t>
    </r>
  </si>
  <si>
    <r>
      <rPr>
        <sz val="9"/>
        <color rgb="FF000000"/>
        <rFont val="楷体"/>
        <charset val="134"/>
      </rPr>
      <t>盖得排行</t>
    </r>
  </si>
  <si>
    <r>
      <rPr>
        <sz val="9"/>
        <color rgb="FF000000"/>
        <rFont val="楷体"/>
        <charset val="134"/>
      </rPr>
      <t>盖得排行</t>
    </r>
  </si>
  <si>
    <r>
      <rPr>
        <sz val="9"/>
        <color rgb="FF000000"/>
        <rFont val="楷体"/>
        <charset val="134"/>
      </rPr>
      <t>广州盖得排行信息科技有限公司</t>
    </r>
  </si>
  <si>
    <r>
      <t>2.88</t>
    </r>
    <r>
      <rPr>
        <sz val="9"/>
        <color rgb="FF000000"/>
        <rFont val="楷体"/>
        <charset val="134"/>
      </rPr>
      <t>亿</t>
    </r>
  </si>
  <si>
    <r>
      <rPr>
        <sz val="9"/>
        <color rgb="FF000000"/>
        <rFont val="楷体"/>
        <charset val="134"/>
      </rPr>
      <t>罗永浩</t>
    </r>
  </si>
  <si>
    <r>
      <rPr>
        <sz val="9"/>
        <color rgb="FF000000"/>
        <rFont val="楷体"/>
        <charset val="134"/>
      </rPr>
      <t>时间投资</t>
    </r>
  </si>
  <si>
    <r>
      <t>800</t>
    </r>
    <r>
      <rPr>
        <sz val="9"/>
        <color rgb="FF000000"/>
        <rFont val="楷体"/>
        <charset val="134"/>
      </rPr>
      <t>万人民币</t>
    </r>
  </si>
  <si>
    <r>
      <rPr>
        <sz val="9"/>
        <color rgb="FF000000"/>
        <rFont val="楷体"/>
        <charset val="134"/>
      </rPr>
      <t>君盛投资</t>
    </r>
  </si>
  <si>
    <r>
      <rPr>
        <sz val="9"/>
        <color rgb="FF000000"/>
        <rFont val="楷体"/>
        <charset val="134"/>
      </rPr>
      <t>海尔家居</t>
    </r>
  </si>
  <si>
    <r>
      <rPr>
        <sz val="9"/>
        <color rgb="FF000000"/>
        <rFont val="楷体"/>
        <charset val="134"/>
      </rPr>
      <t>海尔家居</t>
    </r>
  </si>
  <si>
    <r>
      <rPr>
        <sz val="9"/>
        <color rgb="FF000000"/>
        <rFont val="楷体"/>
        <charset val="134"/>
      </rPr>
      <t>青岛海骊住居科技股份有限公司</t>
    </r>
  </si>
  <si>
    <r>
      <t>9.5</t>
    </r>
    <r>
      <rPr>
        <sz val="9"/>
        <color rgb="FF000000"/>
        <rFont val="楷体"/>
        <charset val="134"/>
      </rPr>
      <t>亿人民币</t>
    </r>
  </si>
  <si>
    <r>
      <t>33.16</t>
    </r>
    <r>
      <rPr>
        <sz val="9"/>
        <color rgb="FF000000"/>
        <rFont val="楷体"/>
        <charset val="134"/>
      </rPr>
      <t>亿</t>
    </r>
  </si>
  <si>
    <r>
      <t>47.5</t>
    </r>
    <r>
      <rPr>
        <sz val="9"/>
        <color rgb="FF000000"/>
        <rFont val="楷体"/>
        <charset val="134"/>
      </rPr>
      <t>亿元</t>
    </r>
  </si>
  <si>
    <r>
      <rPr>
        <sz val="9"/>
        <color rgb="FF000000"/>
        <rFont val="楷体"/>
        <charset val="134"/>
      </rPr>
      <t>高科技工业园海尔工业园内</t>
    </r>
  </si>
  <si>
    <r>
      <t>3.64</t>
    </r>
    <r>
      <rPr>
        <sz val="9"/>
        <color rgb="FF000000"/>
        <rFont val="楷体"/>
        <charset val="134"/>
      </rPr>
      <t>亿美元</t>
    </r>
  </si>
  <si>
    <r>
      <rPr>
        <sz val="9"/>
        <color rgb="FF000000"/>
        <rFont val="楷体"/>
        <charset val="134"/>
      </rPr>
      <t>联华超市</t>
    </r>
  </si>
  <si>
    <r>
      <rPr>
        <sz val="9"/>
        <color rgb="FF000000"/>
        <rFont val="楷体"/>
        <charset val="134"/>
      </rPr>
      <t>联华超市</t>
    </r>
  </si>
  <si>
    <r>
      <rPr>
        <sz val="9"/>
        <color rgb="FF000000"/>
        <rFont val="楷体"/>
        <charset val="134"/>
      </rPr>
      <t>联华超市是一家大型连锁综合超市品牌，目前形成了大型综合超市（大卖场）、超级市场、便利店等多元业态联动互补的竞争优势。</t>
    </r>
  </si>
  <si>
    <r>
      <rPr>
        <sz val="9"/>
        <color rgb="FF000000"/>
        <rFont val="楷体"/>
        <charset val="134"/>
      </rPr>
      <t>杭州联华华商集团有限公司</t>
    </r>
  </si>
  <si>
    <r>
      <t>13.9</t>
    </r>
    <r>
      <rPr>
        <sz val="9"/>
        <color rgb="FF000000"/>
        <rFont val="楷体"/>
        <charset val="134"/>
      </rPr>
      <t>亿</t>
    </r>
  </si>
  <si>
    <r>
      <t>8.5</t>
    </r>
    <r>
      <rPr>
        <sz val="9"/>
        <color rgb="FF000000"/>
        <rFont val="楷体"/>
        <charset val="134"/>
      </rPr>
      <t>亿人民币</t>
    </r>
  </si>
  <si>
    <r>
      <rPr>
        <sz val="9"/>
        <color rgb="FF000000"/>
        <rFont val="楷体"/>
        <charset val="134"/>
      </rPr>
      <t>先声互联</t>
    </r>
  </si>
  <si>
    <r>
      <rPr>
        <sz val="9"/>
        <color rgb="FF000000"/>
        <rFont val="楷体"/>
        <charset val="134"/>
      </rPr>
      <t>先声互联</t>
    </r>
  </si>
  <si>
    <r>
      <rPr>
        <sz val="9"/>
        <color rgb="FF000000"/>
        <rFont val="楷体"/>
        <charset val="134"/>
      </rPr>
      <t>先声互联是一家智能硬件语音解决方案提供商，主要提供面向智能硬件的服务，帮助终端企业接入语音处理功能，完成非智能设备升级改造，为有人机交互和人人通信功能需求的用户，提供端云一体、软硬结合的一站式解决方案。</t>
    </r>
  </si>
  <si>
    <r>
      <rPr>
        <sz val="9"/>
        <color rgb="FF000000"/>
        <rFont val="楷体"/>
        <charset val="134"/>
      </rPr>
      <t>北京先声互联科技有限公司</t>
    </r>
  </si>
  <si>
    <r>
      <t>Nonolive</t>
    </r>
    <r>
      <rPr>
        <sz val="9"/>
        <color rgb="FF000000"/>
        <rFont val="楷体"/>
        <charset val="134"/>
      </rPr>
      <t>世讯科技</t>
    </r>
  </si>
  <si>
    <r>
      <t>Nonolive</t>
    </r>
    <r>
      <rPr>
        <sz val="9"/>
        <color rgb="FF000000"/>
        <rFont val="楷体"/>
        <charset val="134"/>
      </rPr>
      <t>世讯科技</t>
    </r>
  </si>
  <si>
    <r>
      <t>Nonolive</t>
    </r>
    <r>
      <rPr>
        <sz val="9"/>
        <color rgb="FF000000"/>
        <rFont val="楷体"/>
        <charset val="134"/>
      </rPr>
      <t>是一家中国出海移动视频直播平台，于</t>
    </r>
    <r>
      <rPr>
        <sz val="9"/>
        <color rgb="FF000000"/>
        <rFont val="Arial"/>
        <charset val="134"/>
      </rPr>
      <t>2016</t>
    </r>
    <r>
      <rPr>
        <sz val="9"/>
        <color rgb="FF000000"/>
        <rFont val="楷体"/>
        <charset val="134"/>
      </rPr>
      <t>年</t>
    </r>
    <r>
      <rPr>
        <sz val="9"/>
        <color rgb="FF000000"/>
        <rFont val="Arial"/>
        <charset val="134"/>
      </rPr>
      <t>6</t>
    </r>
    <r>
      <rPr>
        <sz val="9"/>
        <color rgb="FF000000"/>
        <rFont val="楷体"/>
        <charset val="134"/>
      </rPr>
      <t>月初首先在印尼上线，产品覆盖</t>
    </r>
    <r>
      <rPr>
        <sz val="9"/>
        <color rgb="FF000000"/>
        <rFont val="Arial"/>
        <charset val="134"/>
      </rPr>
      <t>iOS</t>
    </r>
    <r>
      <rPr>
        <sz val="9"/>
        <color rgb="FF000000"/>
        <rFont val="楷体"/>
        <charset val="134"/>
      </rPr>
      <t>及</t>
    </r>
    <r>
      <rPr>
        <sz val="9"/>
        <color rgb="FF000000"/>
        <rFont val="Arial"/>
        <charset val="134"/>
      </rPr>
      <t>Android</t>
    </r>
    <r>
      <rPr>
        <sz val="9"/>
        <color rgb="FF000000"/>
        <rFont val="楷体"/>
        <charset val="134"/>
      </rPr>
      <t>。目前</t>
    </r>
    <r>
      <rPr>
        <sz val="9"/>
        <color rgb="FF000000"/>
        <rFont val="Arial"/>
        <charset val="134"/>
      </rPr>
      <t>Nonolive</t>
    </r>
    <r>
      <rPr>
        <sz val="9"/>
        <color rgb="FF000000"/>
        <rFont val="楷体"/>
        <charset val="134"/>
      </rPr>
      <t>直播平台共有数百名主播为海外用户提供唱歌、舞蹈、挑战等丰富的泛娱乐内容，隶属于广州世讯信息科技有限公司。</t>
    </r>
  </si>
  <si>
    <r>
      <rPr>
        <sz val="9"/>
        <color rgb="FF000000"/>
        <rFont val="楷体"/>
        <charset val="134"/>
      </rPr>
      <t>广州世讯信息科技有限公司</t>
    </r>
  </si>
  <si>
    <r>
      <t>2.25</t>
    </r>
    <r>
      <rPr>
        <sz val="9"/>
        <color rgb="FF000000"/>
        <rFont val="楷体"/>
        <charset val="134"/>
      </rPr>
      <t>亿</t>
    </r>
  </si>
  <si>
    <r>
      <t>YY</t>
    </r>
    <r>
      <rPr>
        <sz val="9"/>
        <color rgb="FF000000"/>
        <rFont val="楷体"/>
        <charset val="134"/>
      </rPr>
      <t>欢聚集团</t>
    </r>
    <r>
      <rPr>
        <sz val="9"/>
        <color rgb="FF000000"/>
        <rFont val="Arial"/>
        <charset val="134"/>
      </rPr>
      <t>,</t>
    </r>
    <r>
      <rPr>
        <sz val="9"/>
        <color rgb="FF000000"/>
        <rFont val="楷体"/>
        <charset val="134"/>
      </rPr>
      <t>亦联资本</t>
    </r>
    <r>
      <rPr>
        <sz val="9"/>
        <color rgb="FF000000"/>
        <rFont val="Arial"/>
        <charset val="134"/>
      </rPr>
      <t>,</t>
    </r>
    <r>
      <rPr>
        <sz val="9"/>
        <color rgb="FF000000"/>
        <rFont val="楷体"/>
        <charset val="134"/>
      </rPr>
      <t>深圳城蓝资产</t>
    </r>
  </si>
  <si>
    <r>
      <rPr>
        <sz val="9"/>
        <color rgb="FF000000"/>
        <rFont val="楷体"/>
        <charset val="134"/>
      </rPr>
      <t>华栖云</t>
    </r>
  </si>
  <si>
    <r>
      <rPr>
        <sz val="9"/>
        <color rgb="FF000000"/>
        <rFont val="楷体"/>
        <charset val="134"/>
      </rPr>
      <t>华栖云</t>
    </r>
  </si>
  <si>
    <r>
      <rPr>
        <sz val="9"/>
        <color rgb="FF000000"/>
        <rFont val="楷体"/>
        <charset val="134"/>
      </rPr>
      <t>成都华栖云科技有限公司</t>
    </r>
  </si>
  <si>
    <r>
      <t>1.33</t>
    </r>
    <r>
      <rPr>
        <sz val="9"/>
        <color rgb="FF000000"/>
        <rFont val="楷体"/>
        <charset val="134"/>
      </rPr>
      <t>亿</t>
    </r>
  </si>
  <si>
    <r>
      <t>11</t>
    </r>
    <r>
      <rPr>
        <sz val="9"/>
        <color rgb="FF000000"/>
        <rFont val="楷体"/>
        <charset val="134"/>
      </rPr>
      <t>亿元</t>
    </r>
  </si>
  <si>
    <r>
      <rPr>
        <sz val="9"/>
        <color rgb="FF000000"/>
        <rFont val="楷体"/>
        <charset val="134"/>
      </rPr>
      <t>朴盈国视基金</t>
    </r>
  </si>
  <si>
    <r>
      <rPr>
        <sz val="9"/>
        <color rgb="FF000000"/>
        <rFont val="楷体"/>
        <charset val="134"/>
      </rPr>
      <t>探迹科技</t>
    </r>
  </si>
  <si>
    <r>
      <rPr>
        <sz val="9"/>
        <color rgb="FF000000"/>
        <rFont val="楷体"/>
        <charset val="134"/>
      </rPr>
      <t>探迹科技</t>
    </r>
  </si>
  <si>
    <r>
      <rPr>
        <sz val="9"/>
        <color rgb="FF000000"/>
        <rFont val="楷体"/>
        <charset val="134"/>
      </rPr>
      <t>广州探迹科技有限公司</t>
    </r>
  </si>
  <si>
    <r>
      <t>18</t>
    </r>
    <r>
      <rPr>
        <sz val="9"/>
        <color rgb="FF000000"/>
        <rFont val="楷体"/>
        <charset val="134"/>
      </rPr>
      <t>亿元</t>
    </r>
  </si>
  <si>
    <r>
      <rPr>
        <sz val="9"/>
        <color rgb="FF000000"/>
        <rFont val="楷体"/>
        <charset val="134"/>
      </rPr>
      <t>大润发</t>
    </r>
  </si>
  <si>
    <r>
      <rPr>
        <sz val="9"/>
        <color rgb="FF000000"/>
        <rFont val="楷体"/>
        <charset val="134"/>
      </rPr>
      <t>大润发</t>
    </r>
  </si>
  <si>
    <r>
      <rPr>
        <sz val="9"/>
        <color rgb="FF000000"/>
        <rFont val="楷体"/>
        <charset val="134"/>
      </rPr>
      <t>康成投资（中国）有限公司</t>
    </r>
  </si>
  <si>
    <r>
      <t>224</t>
    </r>
    <r>
      <rPr>
        <sz val="9"/>
        <color rgb="FF000000"/>
        <rFont val="楷体"/>
        <charset val="134"/>
      </rPr>
      <t>亿港元</t>
    </r>
  </si>
  <si>
    <r>
      <t>179.2</t>
    </r>
    <r>
      <rPr>
        <sz val="9"/>
        <color rgb="FF000000"/>
        <rFont val="楷体"/>
        <charset val="134"/>
      </rPr>
      <t>亿</t>
    </r>
  </si>
  <si>
    <r>
      <t>499.2</t>
    </r>
    <r>
      <rPr>
        <sz val="9"/>
        <color rgb="FF000000"/>
        <rFont val="楷体"/>
        <charset val="134"/>
      </rPr>
      <t>亿元</t>
    </r>
  </si>
  <si>
    <r>
      <rPr>
        <sz val="9"/>
        <color rgb="FF000000"/>
        <rFont val="楷体"/>
        <charset val="134"/>
      </rPr>
      <t>龙图信息</t>
    </r>
  </si>
  <si>
    <r>
      <rPr>
        <sz val="9"/>
        <color rgb="FF000000"/>
        <rFont val="楷体"/>
        <charset val="134"/>
      </rPr>
      <t>龙图信息</t>
    </r>
  </si>
  <si>
    <r>
      <rPr>
        <sz val="9"/>
        <color rgb="FF000000"/>
        <rFont val="楷体"/>
        <charset val="134"/>
      </rPr>
      <t>龙图信息是一家税务领域软件业领域的企业，致力于把基于先进信息技术的最佳出口退税业务管理实践普及到客户的管理与业务创新活动中，全面提供业务管理软件、服务与解决方案，向全国范围内的企业用户和代理服务机构提供相关的管理咨询、实施与技术服务等。</t>
    </r>
  </si>
  <si>
    <r>
      <rPr>
        <sz val="9"/>
        <color rgb="FF000000"/>
        <rFont val="楷体"/>
        <charset val="134"/>
      </rPr>
      <t>大连龙图信息技术股份有限公司</t>
    </r>
  </si>
  <si>
    <r>
      <rPr>
        <sz val="9"/>
        <color rgb="FF000000"/>
        <rFont val="楷体"/>
        <charset val="134"/>
      </rPr>
      <t>财税服务</t>
    </r>
  </si>
  <si>
    <r>
      <t>2</t>
    </r>
    <r>
      <rPr>
        <sz val="9"/>
        <color rgb="FF000000"/>
        <rFont val="楷体"/>
        <charset val="134"/>
      </rPr>
      <t>亿</t>
    </r>
  </si>
  <si>
    <r>
      <rPr>
        <sz val="9"/>
        <color rgb="FF000000"/>
        <rFont val="楷体"/>
        <charset val="134"/>
      </rPr>
      <t>百望云</t>
    </r>
  </si>
  <si>
    <r>
      <rPr>
        <sz val="9"/>
        <color rgb="FF000000"/>
        <rFont val="楷体"/>
        <charset val="134"/>
      </rPr>
      <t>百望云</t>
    </r>
  </si>
  <si>
    <r>
      <rPr>
        <sz val="9"/>
        <color rgb="FF000000"/>
        <rFont val="楷体"/>
        <charset val="134"/>
      </rPr>
      <t>百望股份有限公司</t>
    </r>
  </si>
  <si>
    <r>
      <t>4.31</t>
    </r>
    <r>
      <rPr>
        <sz val="9"/>
        <color rgb="FF000000"/>
        <rFont val="楷体"/>
        <charset val="134"/>
      </rPr>
      <t>亿人民币</t>
    </r>
  </si>
  <si>
    <r>
      <t>20.94</t>
    </r>
    <r>
      <rPr>
        <sz val="9"/>
        <color rgb="FF000000"/>
        <rFont val="楷体"/>
        <charset val="134"/>
      </rPr>
      <t>亿</t>
    </r>
  </si>
  <si>
    <r>
      <t>6.43</t>
    </r>
    <r>
      <rPr>
        <sz val="9"/>
        <color rgb="FF000000"/>
        <rFont val="楷体"/>
        <charset val="134"/>
      </rPr>
      <t>亿人民币</t>
    </r>
  </si>
  <si>
    <r>
      <rPr>
        <sz val="9"/>
        <color rgb="FF000000"/>
        <rFont val="楷体"/>
        <charset val="134"/>
      </rPr>
      <t>星元创新资本</t>
    </r>
  </si>
  <si>
    <r>
      <t>6.02</t>
    </r>
    <r>
      <rPr>
        <sz val="9"/>
        <color rgb="FF000000"/>
        <rFont val="楷体"/>
        <charset val="134"/>
      </rPr>
      <t>亿人民币</t>
    </r>
  </si>
  <si>
    <r>
      <t>4.18</t>
    </r>
    <r>
      <rPr>
        <sz val="9"/>
        <color rgb="FF000000"/>
        <rFont val="楷体"/>
        <charset val="134"/>
      </rPr>
      <t>亿人民币</t>
    </r>
  </si>
  <si>
    <r>
      <rPr>
        <sz val="9"/>
        <color rgb="FF000000"/>
        <rFont val="楷体"/>
        <charset val="134"/>
      </rPr>
      <t>百越文化</t>
    </r>
  </si>
  <si>
    <r>
      <rPr>
        <sz val="9"/>
        <color rgb="FF000000"/>
        <rFont val="楷体"/>
        <charset val="134"/>
      </rPr>
      <t>百越文化</t>
    </r>
  </si>
  <si>
    <r>
      <rPr>
        <sz val="9"/>
        <color rgb="FF000000"/>
        <rFont val="楷体"/>
        <charset val="134"/>
      </rPr>
      <t>百越文化，致力于培育年轻观众、输出越剧艺术、促进戏剧文化交流、拓展文化艺术产业，创编大型综合越剧秀、驻场演出等。</t>
    </r>
  </si>
  <si>
    <r>
      <rPr>
        <sz val="9"/>
        <color rgb="FF000000"/>
        <rFont val="楷体"/>
        <charset val="134"/>
      </rPr>
      <t>百越文化创意有限公司</t>
    </r>
  </si>
  <si>
    <r>
      <rPr>
        <sz val="9"/>
        <color rgb="FF000000"/>
        <rFont val="楷体"/>
        <charset val="134"/>
      </rPr>
      <t>艺术</t>
    </r>
  </si>
  <si>
    <r>
      <rPr>
        <sz val="9"/>
        <color rgb="FF000000"/>
        <rFont val="楷体"/>
        <charset val="134"/>
      </rPr>
      <t>猫宁电商</t>
    </r>
  </si>
  <si>
    <r>
      <rPr>
        <sz val="9"/>
        <color rgb="FF000000"/>
        <rFont val="楷体"/>
        <charset val="134"/>
      </rPr>
      <t>猫宁电商</t>
    </r>
  </si>
  <si>
    <r>
      <rPr>
        <sz val="9"/>
        <color rgb="FF000000"/>
        <rFont val="楷体"/>
        <charset val="134"/>
      </rPr>
      <t>重庆猫宁电子商务有限公司</t>
    </r>
  </si>
  <si>
    <r>
      <t>10</t>
    </r>
    <r>
      <rPr>
        <sz val="9"/>
        <color rgb="FF000000"/>
        <rFont val="楷体"/>
        <charset val="134"/>
      </rPr>
      <t>亿</t>
    </r>
  </si>
  <si>
    <r>
      <t>Showtime Analytics</t>
    </r>
    <r>
      <rPr>
        <sz val="9"/>
        <color rgb="FF000000"/>
        <rFont val="楷体"/>
        <charset val="134"/>
      </rPr>
      <t>是一家爱尔兰影院数据服务商，总部位于都柏林，专门为影院提供数据分析产品和服务，通过数据为影院管理提供决策支持，客户遍布全球</t>
    </r>
    <r>
      <rPr>
        <sz val="9"/>
        <color rgb="FF000000"/>
        <rFont val="Arial"/>
        <charset val="134"/>
      </rPr>
      <t>60</t>
    </r>
    <r>
      <rPr>
        <sz val="9"/>
        <color rgb="FF000000"/>
        <rFont val="楷体"/>
        <charset val="134"/>
      </rPr>
      <t>多个国家，以连锁院线为主。</t>
    </r>
  </si>
  <si>
    <r>
      <t>780</t>
    </r>
    <r>
      <rPr>
        <sz val="9"/>
        <color rgb="FF000000"/>
        <rFont val="楷体"/>
        <charset val="134"/>
      </rPr>
      <t>万</t>
    </r>
  </si>
  <si>
    <r>
      <t>3250</t>
    </r>
    <r>
      <rPr>
        <sz val="9"/>
        <color rgb="FF000000"/>
        <rFont val="楷体"/>
        <charset val="134"/>
      </rPr>
      <t>万元</t>
    </r>
  </si>
  <si>
    <r>
      <rPr>
        <sz val="9"/>
        <color rgb="FF000000"/>
        <rFont val="楷体"/>
        <charset val="134"/>
      </rPr>
      <t>宁波泽泰</t>
    </r>
  </si>
  <si>
    <r>
      <rPr>
        <sz val="9"/>
        <color rgb="FF000000"/>
        <rFont val="楷体"/>
        <charset val="134"/>
      </rPr>
      <t>宁波泽泰</t>
    </r>
  </si>
  <si>
    <r>
      <rPr>
        <sz val="9"/>
        <color rgb="FF000000"/>
        <rFont val="楷体"/>
        <charset val="134"/>
      </rPr>
      <t>宁波泽泰网络技术有限公司</t>
    </r>
  </si>
  <si>
    <r>
      <t>2.5</t>
    </r>
    <r>
      <rPr>
        <sz val="9"/>
        <color rgb="FF000000"/>
        <rFont val="楷体"/>
        <charset val="134"/>
      </rPr>
      <t>亿元</t>
    </r>
  </si>
  <si>
    <r>
      <t>ENJOYZ</t>
    </r>
    <r>
      <rPr>
        <sz val="9"/>
        <color rgb="FF000000"/>
        <rFont val="楷体"/>
        <charset val="134"/>
      </rPr>
      <t>足球装备网</t>
    </r>
  </si>
  <si>
    <r>
      <t>ENJOYZ</t>
    </r>
    <r>
      <rPr>
        <sz val="9"/>
        <color rgb="FF000000"/>
        <rFont val="楷体"/>
        <charset val="134"/>
      </rPr>
      <t>足球装备网</t>
    </r>
  </si>
  <si>
    <r>
      <t>ENJOYZ</t>
    </r>
    <r>
      <rPr>
        <sz val="9"/>
        <color rgb="FF000000"/>
        <rFont val="楷体"/>
        <charset val="134"/>
      </rPr>
      <t>足球装备网是厦门享动网络科技有限公司旗下专业的中文足球装备垂直门户和社区，是足球圈用户十分喜好的中文足球装备网站。</t>
    </r>
    <r>
      <rPr>
        <sz val="9"/>
        <color rgb="FF000000"/>
        <rFont val="Arial"/>
        <charset val="134"/>
      </rPr>
      <t>ENJOYZ</t>
    </r>
    <r>
      <rPr>
        <sz val="9"/>
        <color rgb="FF000000"/>
        <rFont val="楷体"/>
        <charset val="134"/>
      </rPr>
      <t>足球装备网旨在为足球爱好者提供更好的足球内容资讯和产品评测，努力为足球文化的推广而服务。</t>
    </r>
  </si>
  <si>
    <r>
      <rPr>
        <sz val="9"/>
        <color rgb="FF000000"/>
        <rFont val="楷体"/>
        <charset val="134"/>
      </rPr>
      <t>厦门享动网络科技有限公司</t>
    </r>
  </si>
  <si>
    <r>
      <rPr>
        <sz val="9"/>
        <color rgb="FF000000"/>
        <rFont val="楷体"/>
        <charset val="134"/>
      </rPr>
      <t>体育用品及装备</t>
    </r>
  </si>
  <si>
    <r>
      <t>105</t>
    </r>
    <r>
      <rPr>
        <sz val="9"/>
        <color rgb="FF000000"/>
        <rFont val="楷体"/>
        <charset val="134"/>
      </rPr>
      <t>万人民币</t>
    </r>
  </si>
  <si>
    <r>
      <t>105</t>
    </r>
    <r>
      <rPr>
        <sz val="9"/>
        <color rgb="FF000000"/>
        <rFont val="楷体"/>
        <charset val="134"/>
      </rPr>
      <t>万</t>
    </r>
  </si>
  <si>
    <r>
      <t>525</t>
    </r>
    <r>
      <rPr>
        <sz val="9"/>
        <color rgb="FF000000"/>
        <rFont val="楷体"/>
        <charset val="134"/>
      </rPr>
      <t>万元</t>
    </r>
  </si>
  <si>
    <r>
      <t>SMG</t>
    </r>
    <r>
      <rPr>
        <sz val="9"/>
        <color rgb="FF000000"/>
        <rFont val="楷体"/>
        <charset val="134"/>
      </rPr>
      <t>上海文广</t>
    </r>
  </si>
  <si>
    <r>
      <t>SMG</t>
    </r>
    <r>
      <rPr>
        <sz val="9"/>
        <color rgb="FF000000"/>
        <rFont val="楷体"/>
        <charset val="134"/>
      </rPr>
      <t>上海文广</t>
    </r>
  </si>
  <si>
    <r>
      <rPr>
        <sz val="9"/>
        <color rgb="FF000000"/>
        <rFont val="楷体"/>
        <charset val="134"/>
      </rPr>
      <t>上海文化广播影视集团有限公司</t>
    </r>
  </si>
  <si>
    <r>
      <t>1.94</t>
    </r>
    <r>
      <rPr>
        <sz val="9"/>
        <color rgb="FF000000"/>
        <rFont val="楷体"/>
        <charset val="134"/>
      </rPr>
      <t>亿美元</t>
    </r>
  </si>
  <si>
    <r>
      <t>12.58</t>
    </r>
    <r>
      <rPr>
        <sz val="9"/>
        <color rgb="FF000000"/>
        <rFont val="楷体"/>
        <charset val="134"/>
      </rPr>
      <t>亿</t>
    </r>
  </si>
  <si>
    <r>
      <t>62.92</t>
    </r>
    <r>
      <rPr>
        <sz val="9"/>
        <color rgb="FF000000"/>
        <rFont val="楷体"/>
        <charset val="134"/>
      </rPr>
      <t>亿元</t>
    </r>
  </si>
  <si>
    <r>
      <rPr>
        <sz val="9"/>
        <color rgb="FF000000"/>
        <rFont val="楷体"/>
        <charset val="134"/>
      </rPr>
      <t>沃天下</t>
    </r>
  </si>
  <si>
    <r>
      <rPr>
        <sz val="9"/>
        <color rgb="FF000000"/>
        <rFont val="楷体"/>
        <charset val="134"/>
      </rPr>
      <t>沃天下</t>
    </r>
  </si>
  <si>
    <r>
      <rPr>
        <sz val="9"/>
        <color rgb="FF000000"/>
        <rFont val="楷体"/>
        <charset val="134"/>
      </rPr>
      <t>沃天下，主要产品为，立体仓库，智能仓储系统，智能仓储机器人，隶属于广东沃天下供应链管理有限公司。</t>
    </r>
  </si>
  <si>
    <r>
      <rPr>
        <sz val="9"/>
        <color rgb="FF000000"/>
        <rFont val="楷体"/>
        <charset val="134"/>
      </rPr>
      <t>广东沃天下供应链管理有限公司</t>
    </r>
  </si>
  <si>
    <r>
      <t>550</t>
    </r>
    <r>
      <rPr>
        <sz val="9"/>
        <color rgb="FF000000"/>
        <rFont val="楷体"/>
        <charset val="134"/>
      </rPr>
      <t>万人民币</t>
    </r>
  </si>
  <si>
    <r>
      <t>550</t>
    </r>
    <r>
      <rPr>
        <sz val="9"/>
        <color rgb="FF000000"/>
        <rFont val="楷体"/>
        <charset val="134"/>
      </rPr>
      <t>万</t>
    </r>
  </si>
  <si>
    <r>
      <t>2750</t>
    </r>
    <r>
      <rPr>
        <sz val="9"/>
        <color rgb="FF000000"/>
        <rFont val="楷体"/>
        <charset val="134"/>
      </rPr>
      <t>万元</t>
    </r>
  </si>
  <si>
    <r>
      <rPr>
        <sz val="9"/>
        <color rgb="FF000000"/>
        <rFont val="楷体"/>
        <charset val="134"/>
      </rPr>
      <t>日日顺物流</t>
    </r>
  </si>
  <si>
    <r>
      <rPr>
        <sz val="9"/>
        <color rgb="FF000000"/>
        <rFont val="楷体"/>
        <charset val="134"/>
      </rPr>
      <t>日日顺物流</t>
    </r>
  </si>
  <si>
    <r>
      <rPr>
        <sz val="9"/>
        <color rgb="FF000000"/>
        <rFont val="楷体"/>
        <charset val="134"/>
      </rPr>
      <t>日日顺供应链科技股份有限公司</t>
    </r>
  </si>
  <si>
    <r>
      <t>25</t>
    </r>
    <r>
      <rPr>
        <sz val="9"/>
        <color rgb="FF000000"/>
        <rFont val="楷体"/>
        <charset val="134"/>
      </rPr>
      <t>亿</t>
    </r>
  </si>
  <si>
    <r>
      <t>113</t>
    </r>
    <r>
      <rPr>
        <sz val="9"/>
        <color rgb="FF000000"/>
        <rFont val="楷体"/>
        <charset val="134"/>
      </rPr>
      <t>亿元</t>
    </r>
  </si>
  <si>
    <r>
      <rPr>
        <sz val="9"/>
        <color rgb="FF000000"/>
        <rFont val="楷体"/>
        <charset val="134"/>
      </rPr>
      <t>青岛崂山区海尔工业园创牌大楼</t>
    </r>
  </si>
  <si>
    <r>
      <t>9</t>
    </r>
    <r>
      <rPr>
        <sz val="9"/>
        <color rgb="FF000000"/>
        <rFont val="楷体"/>
        <charset val="134"/>
      </rPr>
      <t>亿人民币</t>
    </r>
  </si>
  <si>
    <r>
      <t>Stonebridge Capital,</t>
    </r>
    <r>
      <rPr>
        <sz val="9"/>
        <color rgb="FF000000"/>
        <rFont val="楷体"/>
        <charset val="134"/>
      </rPr>
      <t>中国太平</t>
    </r>
    <r>
      <rPr>
        <sz val="9"/>
        <color rgb="FF000000"/>
        <rFont val="Arial"/>
        <charset val="134"/>
      </rPr>
      <t>,</t>
    </r>
    <r>
      <rPr>
        <sz val="9"/>
        <color rgb="FF000000"/>
        <rFont val="楷体"/>
        <charset val="134"/>
      </rPr>
      <t>越秀产业基金</t>
    </r>
    <r>
      <rPr>
        <sz val="9"/>
        <color rgb="FF000000"/>
        <rFont val="Arial"/>
        <charset val="134"/>
      </rPr>
      <t>,</t>
    </r>
    <r>
      <rPr>
        <sz val="9"/>
        <color rgb="FF000000"/>
        <rFont val="楷体"/>
        <charset val="134"/>
      </rPr>
      <t>泰康保险</t>
    </r>
    <r>
      <rPr>
        <sz val="9"/>
        <color rgb="FF000000"/>
        <rFont val="Arial"/>
        <charset val="134"/>
      </rPr>
      <t>,Broad Street</t>
    </r>
  </si>
  <si>
    <r>
      <rPr>
        <sz val="9"/>
        <color rgb="FF000000"/>
        <rFont val="楷体"/>
        <charset val="134"/>
      </rPr>
      <t>中天微</t>
    </r>
  </si>
  <si>
    <r>
      <rPr>
        <sz val="9"/>
        <color rgb="FF000000"/>
        <rFont val="楷体"/>
        <charset val="134"/>
      </rPr>
      <t>中天微</t>
    </r>
  </si>
  <si>
    <r>
      <rPr>
        <sz val="9"/>
        <color rgb="FF000000"/>
        <rFont val="楷体"/>
        <charset val="134"/>
      </rPr>
      <t>杭州中天微系统有限公司</t>
    </r>
  </si>
  <si>
    <r>
      <rPr>
        <sz val="9"/>
        <color rgb="FF000000"/>
        <rFont val="楷体"/>
        <charset val="134"/>
      </rPr>
      <t>莫耶瓷业</t>
    </r>
  </si>
  <si>
    <r>
      <rPr>
        <sz val="9"/>
        <color rgb="FF000000"/>
        <rFont val="楷体"/>
        <charset val="134"/>
      </rPr>
      <t>莫耶瓷业</t>
    </r>
  </si>
  <si>
    <r>
      <rPr>
        <sz val="9"/>
        <color rgb="FF000000"/>
        <rFont val="楷体"/>
        <charset val="134"/>
      </rPr>
      <t>莫耶瓷业（上海）有限公司</t>
    </r>
  </si>
  <si>
    <r>
      <t>IDG</t>
    </r>
    <r>
      <rPr>
        <sz val="9"/>
        <color rgb="FF000000"/>
        <rFont val="楷体"/>
        <charset val="134"/>
      </rPr>
      <t>资本</t>
    </r>
    <r>
      <rPr>
        <sz val="9"/>
        <color rgb="FF000000"/>
        <rFont val="Arial"/>
        <charset val="134"/>
      </rPr>
      <t>,</t>
    </r>
    <r>
      <rPr>
        <sz val="9"/>
        <color rgb="FF000000"/>
        <rFont val="楷体"/>
        <charset val="134"/>
      </rPr>
      <t>阿里巴巴</t>
    </r>
    <r>
      <rPr>
        <sz val="9"/>
        <color rgb="FF000000"/>
        <rFont val="Arial"/>
        <charset val="134"/>
      </rPr>
      <t>,GE Ventures</t>
    </r>
    <r>
      <rPr>
        <sz val="9"/>
        <color rgb="FF000000"/>
        <rFont val="楷体"/>
        <charset val="134"/>
      </rPr>
      <t>通用电气</t>
    </r>
  </si>
  <si>
    <r>
      <rPr>
        <sz val="9"/>
        <color rgb="FF000000"/>
        <rFont val="楷体"/>
        <charset val="134"/>
      </rPr>
      <t>趣头条</t>
    </r>
  </si>
  <si>
    <r>
      <rPr>
        <sz val="9"/>
        <color rgb="FF000000"/>
        <rFont val="楷体"/>
        <charset val="134"/>
      </rPr>
      <t>趣头条</t>
    </r>
  </si>
  <si>
    <r>
      <rPr>
        <sz val="9"/>
        <color rgb="FF000000"/>
        <rFont val="楷体"/>
        <charset val="134"/>
      </rPr>
      <t>趣头条是一个以娱乐生活为主体内容的资讯聚合平台。平台内容包含生活、娱乐、社会、养生、时尚等内容资讯信息，并通过大数据人工智能算法和云计算等技术，分析用户的兴趣爱好，为用户智能推荐其感兴趣的内容。对于有写作爱好的用户，可以在线申请成为自媒体，书写文章供其他用户阅读。</t>
    </r>
  </si>
  <si>
    <r>
      <rPr>
        <sz val="9"/>
        <color rgb="FF000000"/>
        <rFont val="楷体"/>
        <charset val="134"/>
      </rPr>
      <t>上海基分文化传播有限公司</t>
    </r>
  </si>
  <si>
    <r>
      <t>48.22</t>
    </r>
    <r>
      <rPr>
        <sz val="9"/>
        <color rgb="FF000000"/>
        <rFont val="楷体"/>
        <charset val="134"/>
      </rPr>
      <t>亿</t>
    </r>
  </si>
  <si>
    <r>
      <rPr>
        <sz val="9"/>
        <color rgb="FF000000"/>
        <rFont val="楷体"/>
        <charset val="134"/>
      </rPr>
      <t>澎湃新闻</t>
    </r>
  </si>
  <si>
    <r>
      <t>1.71</t>
    </r>
    <r>
      <rPr>
        <sz val="9"/>
        <color rgb="FF000000"/>
        <rFont val="楷体"/>
        <charset val="134"/>
      </rPr>
      <t>亿美元</t>
    </r>
  </si>
  <si>
    <r>
      <t>1.29</t>
    </r>
    <r>
      <rPr>
        <sz val="9"/>
        <color rgb="FF000000"/>
        <rFont val="楷体"/>
        <charset val="134"/>
      </rPr>
      <t>亿美元</t>
    </r>
  </si>
  <si>
    <r>
      <rPr>
        <sz val="9"/>
        <color rgb="FF000000"/>
        <rFont val="楷体"/>
        <charset val="134"/>
      </rPr>
      <t>人民网</t>
    </r>
  </si>
  <si>
    <r>
      <rPr>
        <sz val="9"/>
        <color rgb="FF000000"/>
        <rFont val="楷体"/>
        <charset val="134"/>
      </rPr>
      <t>天津益信资产</t>
    </r>
  </si>
  <si>
    <r>
      <rPr>
        <sz val="9"/>
        <color rgb="FF000000"/>
        <rFont val="楷体"/>
        <charset val="134"/>
      </rPr>
      <t>神州优车集团</t>
    </r>
  </si>
  <si>
    <r>
      <rPr>
        <sz val="9"/>
        <color rgb="FF000000"/>
        <rFont val="楷体"/>
        <charset val="134"/>
      </rPr>
      <t>神州优车集团</t>
    </r>
  </si>
  <si>
    <r>
      <rPr>
        <sz val="9"/>
        <color rgb="FF000000"/>
        <rFont val="楷体"/>
        <charset val="134"/>
      </rPr>
      <t>神州优车集团是一家中国出行和汽车领域的综合服务平台。该公司聚焦出行和汽车领域的全产业链和人车生态圈，致力于构建中国的汽车电商平台。旗下有神州租车、神州专车、神州买买车、神州车闪贷四大板块。</t>
    </r>
  </si>
  <si>
    <r>
      <rPr>
        <sz val="9"/>
        <color rgb="FF000000"/>
        <rFont val="楷体"/>
        <charset val="134"/>
      </rPr>
      <t>神州优车股份有限公司</t>
    </r>
  </si>
  <si>
    <r>
      <rPr>
        <sz val="9"/>
        <color rgb="FF000000"/>
        <rFont val="楷体"/>
        <charset val="134"/>
      </rPr>
      <t>汽车综合服务</t>
    </r>
  </si>
  <si>
    <r>
      <t>17.71</t>
    </r>
    <r>
      <rPr>
        <sz val="9"/>
        <color rgb="FF000000"/>
        <rFont val="楷体"/>
        <charset val="134"/>
      </rPr>
      <t>亿港元</t>
    </r>
  </si>
  <si>
    <r>
      <rPr>
        <sz val="9"/>
        <color rgb="FF000000"/>
        <rFont val="楷体"/>
        <charset val="134"/>
      </rPr>
      <t>神州租车</t>
    </r>
  </si>
  <si>
    <r>
      <t>149.26</t>
    </r>
    <r>
      <rPr>
        <sz val="9"/>
        <color rgb="FF000000"/>
        <rFont val="楷体"/>
        <charset val="134"/>
      </rPr>
      <t>亿</t>
    </r>
  </si>
  <si>
    <r>
      <t>70.84</t>
    </r>
    <r>
      <rPr>
        <sz val="9"/>
        <color rgb="FF000000"/>
        <rFont val="楷体"/>
        <charset val="134"/>
      </rPr>
      <t>亿元</t>
    </r>
  </si>
  <si>
    <r>
      <rPr>
        <sz val="9"/>
        <color rgb="FF000000"/>
        <rFont val="楷体"/>
        <charset val="134"/>
      </rPr>
      <t>人保资本</t>
    </r>
  </si>
  <si>
    <r>
      <t>21.29</t>
    </r>
    <r>
      <rPr>
        <sz val="9"/>
        <color rgb="FF000000"/>
        <rFont val="楷体"/>
        <charset val="134"/>
      </rPr>
      <t>亿人民币</t>
    </r>
  </si>
  <si>
    <r>
      <t>36.8</t>
    </r>
    <r>
      <rPr>
        <sz val="9"/>
        <color rgb="FF000000"/>
        <rFont val="楷体"/>
        <charset val="134"/>
      </rPr>
      <t>亿人民币</t>
    </r>
  </si>
  <si>
    <r>
      <rPr>
        <sz val="9"/>
        <color rgb="FF000000"/>
        <rFont val="楷体"/>
        <charset val="134"/>
      </rPr>
      <t>千方科技</t>
    </r>
  </si>
  <si>
    <r>
      <rPr>
        <sz val="9"/>
        <color rgb="FF000000"/>
        <rFont val="楷体"/>
        <charset val="134"/>
      </rPr>
      <t>千方科技</t>
    </r>
  </si>
  <si>
    <r>
      <rPr>
        <sz val="9"/>
        <color rgb="FF000000"/>
        <rFont val="楷体"/>
        <charset val="134"/>
      </rPr>
      <t>千方科技是一家智能交通数据服务商，专注于研发和提供行业技术和产品，业务覆盖城市交通、公路交通、轨道交通、民航等领域，致力于形成从产品到解决方案、从云端数据到出行者、从硬件基础设施到软件智慧中枢的完整产业链。</t>
    </r>
  </si>
  <si>
    <r>
      <rPr>
        <sz val="9"/>
        <color rgb="FF000000"/>
        <rFont val="楷体"/>
        <charset val="134"/>
      </rPr>
      <t>北京千方信息科技集团有限公司</t>
    </r>
  </si>
  <si>
    <r>
      <t>19</t>
    </r>
    <r>
      <rPr>
        <sz val="9"/>
        <color rgb="FF000000"/>
        <rFont val="楷体"/>
        <charset val="134"/>
      </rPr>
      <t>亿人民币</t>
    </r>
  </si>
  <si>
    <r>
      <t>55.95</t>
    </r>
    <r>
      <rPr>
        <sz val="9"/>
        <color rgb="FF000000"/>
        <rFont val="楷体"/>
        <charset val="134"/>
      </rPr>
      <t>亿</t>
    </r>
  </si>
  <si>
    <r>
      <t>95</t>
    </r>
    <r>
      <rPr>
        <sz val="9"/>
        <color rgb="FF000000"/>
        <rFont val="楷体"/>
        <charset val="134"/>
      </rPr>
      <t>亿元</t>
    </r>
  </si>
  <si>
    <r>
      <t>35.95</t>
    </r>
    <r>
      <rPr>
        <sz val="9"/>
        <color rgb="FF000000"/>
        <rFont val="楷体"/>
        <charset val="134"/>
      </rPr>
      <t>亿人民币</t>
    </r>
  </si>
  <si>
    <r>
      <rPr>
        <sz val="9"/>
        <color rgb="FF000000"/>
        <rFont val="楷体"/>
        <charset val="134"/>
      </rPr>
      <t>时代凌宇</t>
    </r>
  </si>
  <si>
    <r>
      <rPr>
        <sz val="9"/>
        <color rgb="FF000000"/>
        <rFont val="楷体"/>
        <charset val="134"/>
      </rPr>
      <t>时代凌宇</t>
    </r>
  </si>
  <si>
    <r>
      <rPr>
        <sz val="9"/>
        <color rgb="FF000000"/>
        <rFont val="楷体"/>
        <charset val="134"/>
      </rPr>
      <t>北京时代凌宇科技股份有限公司</t>
    </r>
  </si>
  <si>
    <r>
      <t>4</t>
    </r>
    <r>
      <rPr>
        <sz val="9"/>
        <color rgb="FF000000"/>
        <rFont val="楷体"/>
        <charset val="134"/>
      </rPr>
      <t>亿</t>
    </r>
  </si>
  <si>
    <r>
      <rPr>
        <sz val="9"/>
        <color rgb="FF000000"/>
        <rFont val="楷体"/>
        <charset val="134"/>
      </rPr>
      <t>魔点科技</t>
    </r>
  </si>
  <si>
    <r>
      <rPr>
        <sz val="9"/>
        <color rgb="FF000000"/>
        <rFont val="楷体"/>
        <charset val="134"/>
      </rPr>
      <t>魔点科技</t>
    </r>
  </si>
  <si>
    <r>
      <rPr>
        <sz val="9"/>
        <color rgb="FF000000"/>
        <rFont val="楷体"/>
        <charset val="134"/>
      </rPr>
      <t>杭州魔点科技有限公司</t>
    </r>
  </si>
  <si>
    <r>
      <t>3.4</t>
    </r>
    <r>
      <rPr>
        <sz val="9"/>
        <color rgb="FF000000"/>
        <rFont val="楷体"/>
        <charset val="134"/>
      </rPr>
      <t>亿</t>
    </r>
  </si>
  <si>
    <r>
      <t>Pre-B</t>
    </r>
    <r>
      <rPr>
        <sz val="9"/>
        <color rgb="FF000000"/>
        <rFont val="楷体"/>
        <charset val="134"/>
      </rPr>
      <t>轮</t>
    </r>
  </si>
  <si>
    <r>
      <rPr>
        <sz val="9"/>
        <color rgb="FF000000"/>
        <rFont val="楷体"/>
        <charset val="134"/>
      </rPr>
      <t>政采云网络</t>
    </r>
  </si>
  <si>
    <r>
      <rPr>
        <sz val="9"/>
        <color rgb="FF000000"/>
        <rFont val="楷体"/>
        <charset val="134"/>
      </rPr>
      <t>政采云网络</t>
    </r>
  </si>
  <si>
    <r>
      <rPr>
        <sz val="9"/>
        <color rgb="FF000000"/>
        <rFont val="楷体"/>
        <charset val="134"/>
      </rPr>
      <t>政采云是政府采购云计算服务平台的简称，以互联网为基础，充分运用云计算和大数据技术，以政府采购电子化交易和管理为重点，涉及政府采购全流程、各领域、多用户，集政府采购网上交易、网上监管和网上服务为一体的综合性云服务平台。</t>
    </r>
  </si>
  <si>
    <r>
      <rPr>
        <sz val="9"/>
        <color rgb="FF000000"/>
        <rFont val="楷体"/>
        <charset val="134"/>
      </rPr>
      <t>政采云有限公司</t>
    </r>
  </si>
  <si>
    <r>
      <rPr>
        <sz val="9"/>
        <color rgb="FF000000"/>
        <rFont val="楷体"/>
        <charset val="134"/>
      </rPr>
      <t>单立人喜剧</t>
    </r>
  </si>
  <si>
    <r>
      <rPr>
        <sz val="9"/>
        <color rgb="FF000000"/>
        <rFont val="楷体"/>
        <charset val="134"/>
      </rPr>
      <t>北京单立人文化传媒有限公司</t>
    </r>
  </si>
  <si>
    <r>
      <rPr>
        <sz val="9"/>
        <color rgb="FF000000"/>
        <rFont val="楷体"/>
        <charset val="134"/>
      </rPr>
      <t>原子创投</t>
    </r>
  </si>
  <si>
    <r>
      <rPr>
        <sz val="9"/>
        <color rgb="FF000000"/>
        <rFont val="楷体"/>
        <charset val="134"/>
      </rPr>
      <t>中金公司</t>
    </r>
  </si>
  <si>
    <r>
      <rPr>
        <sz val="9"/>
        <color rgb="FF000000"/>
        <rFont val="楷体"/>
        <charset val="134"/>
      </rPr>
      <t>中金公司是一家中外合资投资银行，致力于为客户提供高质量金融增值服务，建立了以研究为基础，投资银行、股票业务、固定收益、财富管理和投资管理全方位发展的业务结构。</t>
    </r>
  </si>
  <si>
    <r>
      <rPr>
        <sz val="9"/>
        <color rgb="FF000000"/>
        <rFont val="楷体"/>
        <charset val="134"/>
      </rPr>
      <t>中国国际金融股份有限公司</t>
    </r>
  </si>
  <si>
    <r>
      <rPr>
        <sz val="9"/>
        <color rgb="FF000000"/>
        <rFont val="楷体"/>
        <charset val="134"/>
      </rPr>
      <t>金融综合服务</t>
    </r>
  </si>
  <si>
    <r>
      <t>132</t>
    </r>
    <r>
      <rPr>
        <sz val="9"/>
        <color rgb="FF000000"/>
        <rFont val="楷体"/>
        <charset val="134"/>
      </rPr>
      <t>亿人民币</t>
    </r>
  </si>
  <si>
    <r>
      <t>201.4</t>
    </r>
    <r>
      <rPr>
        <sz val="9"/>
        <color rgb="FF000000"/>
        <rFont val="楷体"/>
        <charset val="134"/>
      </rPr>
      <t>亿</t>
    </r>
  </si>
  <si>
    <r>
      <t>1388.1</t>
    </r>
    <r>
      <rPr>
        <sz val="9"/>
        <color rgb="FF000000"/>
        <rFont val="楷体"/>
        <charset val="134"/>
      </rPr>
      <t>亿元</t>
    </r>
  </si>
  <si>
    <r>
      <t>28.6</t>
    </r>
    <r>
      <rPr>
        <sz val="9"/>
        <color rgb="FF000000"/>
        <rFont val="楷体"/>
        <charset val="134"/>
      </rPr>
      <t>亿港元</t>
    </r>
  </si>
  <si>
    <r>
      <t>54.9</t>
    </r>
    <r>
      <rPr>
        <sz val="9"/>
        <color rgb="FF000000"/>
        <rFont val="楷体"/>
        <charset val="134"/>
      </rPr>
      <t>亿港元</t>
    </r>
  </si>
  <si>
    <r>
      <t>Morgan Stanley</t>
    </r>
    <r>
      <rPr>
        <sz val="9"/>
        <color rgb="FF000000"/>
        <rFont val="楷体"/>
        <charset val="134"/>
      </rPr>
      <t>摩根士丹利</t>
    </r>
    <r>
      <rPr>
        <sz val="9"/>
        <color rgb="FF000000"/>
        <rFont val="Arial"/>
        <charset val="134"/>
      </rPr>
      <t>,GIC</t>
    </r>
    <r>
      <rPr>
        <sz val="9"/>
        <color rgb="FF000000"/>
        <rFont val="楷体"/>
        <charset val="134"/>
      </rPr>
      <t>新加坡政府投资公司</t>
    </r>
    <r>
      <rPr>
        <sz val="9"/>
        <color rgb="FF000000"/>
        <rFont val="Arial"/>
        <charset val="134"/>
      </rPr>
      <t>,KKR,TPG</t>
    </r>
    <r>
      <rPr>
        <sz val="9"/>
        <color rgb="FF000000"/>
        <rFont val="楷体"/>
        <charset val="134"/>
      </rPr>
      <t>德太资本</t>
    </r>
  </si>
  <si>
    <r>
      <rPr>
        <sz val="9"/>
        <color rgb="FF000000"/>
        <rFont val="楷体"/>
        <charset val="134"/>
      </rPr>
      <t>新华都</t>
    </r>
  </si>
  <si>
    <r>
      <rPr>
        <sz val="9"/>
        <color rgb="FF000000"/>
        <rFont val="楷体"/>
        <charset val="134"/>
      </rPr>
      <t>新华都</t>
    </r>
  </si>
  <si>
    <r>
      <rPr>
        <sz val="9"/>
        <color rgb="FF000000"/>
        <rFont val="楷体"/>
        <charset val="134"/>
      </rPr>
      <t>新华都购物广场股份有限公司</t>
    </r>
  </si>
  <si>
    <r>
      <t>4.22</t>
    </r>
    <r>
      <rPr>
        <sz val="9"/>
        <color rgb="FF000000"/>
        <rFont val="楷体"/>
        <charset val="134"/>
      </rPr>
      <t>亿</t>
    </r>
  </si>
  <si>
    <r>
      <t>3.22</t>
    </r>
    <r>
      <rPr>
        <sz val="9"/>
        <color rgb="FF000000"/>
        <rFont val="楷体"/>
        <charset val="134"/>
      </rPr>
      <t>亿人民币</t>
    </r>
  </si>
  <si>
    <r>
      <rPr>
        <sz val="9"/>
        <color rgb="FF000000"/>
        <rFont val="楷体"/>
        <charset val="134"/>
      </rPr>
      <t>商帆</t>
    </r>
  </si>
  <si>
    <r>
      <rPr>
        <sz val="9"/>
        <color rgb="FF000000"/>
        <rFont val="楷体"/>
        <charset val="134"/>
      </rPr>
      <t>商帆</t>
    </r>
  </si>
  <si>
    <r>
      <rPr>
        <sz val="9"/>
        <color rgb="FF000000"/>
        <rFont val="楷体"/>
        <charset val="134"/>
      </rPr>
      <t>商帆是一家零售业管理软件开发商，业务主要涉及时尚鞋服行业移动化产品的研发、实施和服务等。致力于帮助零售企业提高零售业绩，提供店铺管理商品信息查询和跟踪回访服务等。</t>
    </r>
  </si>
  <si>
    <r>
      <rPr>
        <sz val="9"/>
        <color rgb="FF000000"/>
        <rFont val="楷体"/>
        <charset val="134"/>
      </rPr>
      <t>上海商帆信息科技有限公司</t>
    </r>
  </si>
  <si>
    <r>
      <t>9000</t>
    </r>
    <r>
      <rPr>
        <sz val="9"/>
        <color rgb="FF000000"/>
        <rFont val="楷体"/>
        <charset val="134"/>
      </rPr>
      <t>万</t>
    </r>
  </si>
  <si>
    <r>
      <t>Ventech China</t>
    </r>
    <r>
      <rPr>
        <sz val="9"/>
        <color rgb="FF000000"/>
        <rFont val="楷体"/>
        <charset val="134"/>
      </rPr>
      <t>银泰资本</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势安资本</t>
    </r>
  </si>
  <si>
    <r>
      <rPr>
        <sz val="9"/>
        <color rgb="FF000000"/>
        <rFont val="楷体"/>
        <charset val="134"/>
      </rPr>
      <t>造易软件</t>
    </r>
  </si>
  <si>
    <r>
      <rPr>
        <sz val="9"/>
        <color rgb="FF000000"/>
        <rFont val="楷体"/>
        <charset val="134"/>
      </rPr>
      <t>成都造易软件有限责任公司</t>
    </r>
  </si>
  <si>
    <r>
      <rPr>
        <sz val="9"/>
        <color rgb="FF000000"/>
        <rFont val="楷体"/>
        <charset val="134"/>
      </rPr>
      <t>东方股份</t>
    </r>
  </si>
  <si>
    <r>
      <rPr>
        <sz val="9"/>
        <color rgb="FF000000"/>
        <rFont val="楷体"/>
        <charset val="134"/>
      </rPr>
      <t>东方股份</t>
    </r>
  </si>
  <si>
    <r>
      <rPr>
        <sz val="9"/>
        <color rgb="FF000000"/>
        <rFont val="楷体"/>
        <charset val="134"/>
      </rPr>
      <t>东方股份是一个旅游商贸流通企业集团，以连锁超市及精品百货经营（商品销售）为公司的核心业务，其他包括酒店业、旅游业、物业管理以及农产品加工与配送等。</t>
    </r>
  </si>
  <si>
    <r>
      <rPr>
        <sz val="9"/>
        <color rgb="FF000000"/>
        <rFont val="楷体"/>
        <charset val="134"/>
      </rPr>
      <t>浙江衢州东方集团股份有限公司</t>
    </r>
  </si>
  <si>
    <r>
      <rPr>
        <sz val="9"/>
        <color rgb="FF000000"/>
        <rFont val="楷体"/>
        <charset val="134"/>
      </rPr>
      <t>其他生活服务</t>
    </r>
  </si>
  <si>
    <r>
      <t>1.41</t>
    </r>
    <r>
      <rPr>
        <sz val="9"/>
        <color rgb="FF000000"/>
        <rFont val="楷体"/>
        <charset val="134"/>
      </rPr>
      <t>亿人民币</t>
    </r>
  </si>
  <si>
    <r>
      <t>2.41</t>
    </r>
    <r>
      <rPr>
        <sz val="9"/>
        <color rgb="FF000000"/>
        <rFont val="楷体"/>
        <charset val="134"/>
      </rPr>
      <t>亿</t>
    </r>
  </si>
  <si>
    <r>
      <t>7.05</t>
    </r>
    <r>
      <rPr>
        <sz val="9"/>
        <color rgb="FF000000"/>
        <rFont val="楷体"/>
        <charset val="134"/>
      </rPr>
      <t>亿元</t>
    </r>
  </si>
  <si>
    <r>
      <t>nreal</t>
    </r>
    <r>
      <rPr>
        <sz val="9"/>
        <color rgb="FF000000"/>
        <rFont val="楷体"/>
        <charset val="134"/>
      </rPr>
      <t>太若科技</t>
    </r>
  </si>
  <si>
    <r>
      <t>nreal</t>
    </r>
    <r>
      <rPr>
        <sz val="9"/>
        <color rgb="FF000000"/>
        <rFont val="楷体"/>
        <charset val="134"/>
      </rPr>
      <t>太若科技</t>
    </r>
  </si>
  <si>
    <r>
      <t>nreal</t>
    </r>
    <r>
      <rPr>
        <sz val="9"/>
        <color rgb="FF000000"/>
        <rFont val="楷体"/>
        <charset val="134"/>
      </rPr>
      <t>太若科技是一家</t>
    </r>
    <r>
      <rPr>
        <sz val="9"/>
        <color rgb="FF000000"/>
        <rFont val="Arial"/>
        <charset val="134"/>
      </rPr>
      <t>AR/MR</t>
    </r>
    <r>
      <rPr>
        <sz val="9"/>
        <color rgb="FF000000"/>
        <rFont val="楷体"/>
        <charset val="134"/>
      </rPr>
      <t>设备研发商，致力于消费级</t>
    </r>
    <r>
      <rPr>
        <sz val="9"/>
        <color rgb="FF000000"/>
        <rFont val="Arial"/>
        <charset val="134"/>
      </rPr>
      <t>MR</t>
    </r>
    <r>
      <rPr>
        <sz val="9"/>
        <color rgb="FF000000"/>
        <rFont val="楷体"/>
        <charset val="134"/>
      </rPr>
      <t>（混合现实）智能眼镜的研发，主攻方向为光学显示和视觉相关技术，后者包括空间定位和场景识别等，旗下产品有</t>
    </r>
    <r>
      <rPr>
        <sz val="9"/>
        <color rgb="FF000000"/>
        <rFont val="Arial"/>
        <charset val="134"/>
      </rPr>
      <t>nreal light</t>
    </r>
    <r>
      <rPr>
        <sz val="9"/>
        <color rgb="FF000000"/>
        <rFont val="楷体"/>
        <charset val="134"/>
      </rPr>
      <t>混合现实眼镜等。</t>
    </r>
  </si>
  <si>
    <r>
      <rPr>
        <sz val="9"/>
        <color rgb="FF000000"/>
        <rFont val="楷体"/>
        <charset val="134"/>
      </rPr>
      <t>深圳太若科技有限公司</t>
    </r>
  </si>
  <si>
    <r>
      <t>23.69</t>
    </r>
    <r>
      <rPr>
        <sz val="9"/>
        <color rgb="FF000000"/>
        <rFont val="楷体"/>
        <charset val="134"/>
      </rPr>
      <t>亿</t>
    </r>
  </si>
  <si>
    <r>
      <rPr>
        <sz val="9"/>
        <color rgb="FF000000"/>
        <rFont val="楷体"/>
        <charset val="134"/>
      </rPr>
      <t>中金资本</t>
    </r>
  </si>
  <si>
    <r>
      <t>1600</t>
    </r>
    <r>
      <rPr>
        <sz val="9"/>
        <color rgb="FF000000"/>
        <rFont val="楷体"/>
        <charset val="134"/>
      </rPr>
      <t>万美元</t>
    </r>
  </si>
  <si>
    <r>
      <rPr>
        <sz val="9"/>
        <color rgb="FF000000"/>
        <rFont val="楷体"/>
        <charset val="134"/>
      </rPr>
      <t>洪泰智造</t>
    </r>
  </si>
  <si>
    <r>
      <rPr>
        <sz val="9"/>
        <color rgb="FF000000"/>
        <rFont val="楷体"/>
        <charset val="134"/>
      </rPr>
      <t>翱捷科技</t>
    </r>
    <r>
      <rPr>
        <sz val="9"/>
        <color rgb="FF000000"/>
        <rFont val="Arial"/>
        <charset val="134"/>
      </rPr>
      <t>ASR</t>
    </r>
  </si>
  <si>
    <r>
      <rPr>
        <sz val="9"/>
        <color rgb="FF000000"/>
        <rFont val="楷体"/>
        <charset val="134"/>
      </rPr>
      <t>翱捷科技股份有限公司</t>
    </r>
  </si>
  <si>
    <r>
      <t>65.46</t>
    </r>
    <r>
      <rPr>
        <sz val="9"/>
        <color rgb="FF000000"/>
        <rFont val="楷体"/>
        <charset val="134"/>
      </rPr>
      <t>亿人民币</t>
    </r>
  </si>
  <si>
    <r>
      <t>99.94</t>
    </r>
    <r>
      <rPr>
        <sz val="9"/>
        <color rgb="FF000000"/>
        <rFont val="楷体"/>
        <charset val="134"/>
      </rPr>
      <t>亿</t>
    </r>
  </si>
  <si>
    <r>
      <t>688.27</t>
    </r>
    <r>
      <rPr>
        <sz val="9"/>
        <color rgb="FF000000"/>
        <rFont val="楷体"/>
        <charset val="134"/>
      </rPr>
      <t>亿元</t>
    </r>
  </si>
  <si>
    <r>
      <rPr>
        <sz val="9"/>
        <color rgb="FF000000"/>
        <rFont val="楷体"/>
        <charset val="134"/>
      </rPr>
      <t>安芯投资</t>
    </r>
  </si>
  <si>
    <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四川双马</t>
    </r>
  </si>
  <si>
    <r>
      <rPr>
        <sz val="9"/>
        <color rgb="FF000000"/>
        <rFont val="楷体"/>
        <charset val="134"/>
      </rPr>
      <t>万达电影</t>
    </r>
  </si>
  <si>
    <r>
      <rPr>
        <sz val="9"/>
        <color rgb="FF000000"/>
        <rFont val="楷体"/>
        <charset val="134"/>
      </rPr>
      <t>万达电影</t>
    </r>
  </si>
  <si>
    <r>
      <rPr>
        <sz val="9"/>
        <color rgb="FF000000"/>
        <rFont val="楷体"/>
        <charset val="134"/>
      </rPr>
      <t>万达电影股份有限公司</t>
    </r>
  </si>
  <si>
    <r>
      <t>237.47</t>
    </r>
    <r>
      <rPr>
        <sz val="9"/>
        <color rgb="FF000000"/>
        <rFont val="楷体"/>
        <charset val="134"/>
      </rPr>
      <t>亿</t>
    </r>
  </si>
  <si>
    <r>
      <t>150</t>
    </r>
    <r>
      <rPr>
        <sz val="9"/>
        <color rgb="FF000000"/>
        <rFont val="楷体"/>
        <charset val="134"/>
      </rPr>
      <t>亿元</t>
    </r>
  </si>
  <si>
    <r>
      <t>105.24</t>
    </r>
    <r>
      <rPr>
        <sz val="9"/>
        <color rgb="FF000000"/>
        <rFont val="楷体"/>
        <charset val="134"/>
      </rPr>
      <t>亿人民币</t>
    </r>
  </si>
  <si>
    <r>
      <t>78</t>
    </r>
    <r>
      <rPr>
        <sz val="9"/>
        <color rgb="FF000000"/>
        <rFont val="楷体"/>
        <charset val="134"/>
      </rPr>
      <t>亿人民币</t>
    </r>
  </si>
  <si>
    <r>
      <t>8463</t>
    </r>
    <r>
      <rPr>
        <sz val="9"/>
        <color rgb="FF000000"/>
        <rFont val="楷体"/>
        <charset val="134"/>
      </rPr>
      <t>万人民币</t>
    </r>
  </si>
  <si>
    <r>
      <rPr>
        <sz val="9"/>
        <color rgb="FF000000"/>
        <rFont val="楷体"/>
        <charset val="134"/>
      </rPr>
      <t>华策影视</t>
    </r>
  </si>
  <si>
    <r>
      <t>10.58</t>
    </r>
    <r>
      <rPr>
        <sz val="9"/>
        <color rgb="FF000000"/>
        <rFont val="楷体"/>
        <charset val="134"/>
      </rPr>
      <t>亿人民币</t>
    </r>
  </si>
  <si>
    <r>
      <rPr>
        <sz val="9"/>
        <color rgb="FF000000"/>
        <rFont val="楷体"/>
        <charset val="134"/>
      </rPr>
      <t>泛海控股</t>
    </r>
  </si>
  <si>
    <r>
      <t>12.8</t>
    </r>
    <r>
      <rPr>
        <sz val="9"/>
        <color rgb="FF000000"/>
        <rFont val="楷体"/>
        <charset val="134"/>
      </rPr>
      <t>亿人民币</t>
    </r>
  </si>
  <si>
    <r>
      <rPr>
        <sz val="9"/>
        <color rgb="FF000000"/>
        <rFont val="楷体"/>
        <charset val="134"/>
      </rPr>
      <t>叠境数字</t>
    </r>
  </si>
  <si>
    <r>
      <rPr>
        <sz val="9"/>
        <color rgb="FF000000"/>
        <rFont val="楷体"/>
        <charset val="134"/>
      </rPr>
      <t>叠境数字科技（上海）有限公司</t>
    </r>
  </si>
  <si>
    <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</si>
  <si>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楷体"/>
        <charset val="134"/>
      </rPr>
      <t>上海联合投资</t>
    </r>
  </si>
  <si>
    <r>
      <rPr>
        <sz val="9"/>
        <color rgb="FF000000"/>
        <rFont val="楷体"/>
        <charset val="134"/>
      </rPr>
      <t>赶街网</t>
    </r>
  </si>
  <si>
    <r>
      <rPr>
        <sz val="9"/>
        <color rgb="FF000000"/>
        <rFont val="楷体"/>
        <charset val="134"/>
      </rPr>
      <t>赶街网</t>
    </r>
  </si>
  <si>
    <r>
      <rPr>
        <sz val="9"/>
        <color rgb="FF000000"/>
        <rFont val="楷体"/>
        <charset val="134"/>
      </rPr>
      <t>赶街网是一个城乡一体化综合电商服务平台，致力于在农村植入、普及、推广电子商务，并以此为核心延伸物流配送等服务。</t>
    </r>
  </si>
  <si>
    <r>
      <rPr>
        <sz val="9"/>
        <color rgb="FF000000"/>
        <rFont val="楷体"/>
        <charset val="134"/>
      </rPr>
      <t>浙江赶街电子商务有限公司</t>
    </r>
  </si>
  <si>
    <r>
      <rPr>
        <sz val="9"/>
        <color rgb="FF000000"/>
        <rFont val="楷体"/>
        <charset val="134"/>
      </rPr>
      <t>农业电商</t>
    </r>
  </si>
  <si>
    <r>
      <rPr>
        <sz val="9"/>
        <color rgb="FF000000"/>
        <rFont val="楷体"/>
        <charset val="134"/>
      </rPr>
      <t>企加云</t>
    </r>
  </si>
  <si>
    <r>
      <rPr>
        <sz val="9"/>
        <color rgb="FF000000"/>
        <rFont val="楷体"/>
        <charset val="134"/>
      </rPr>
      <t>企加云</t>
    </r>
  </si>
  <si>
    <r>
      <rPr>
        <sz val="9"/>
        <color rgb="FF000000"/>
        <rFont val="楷体"/>
        <charset val="134"/>
      </rPr>
      <t>埃森哲企云科技（杭州）有限公司</t>
    </r>
  </si>
  <si>
    <r>
      <rPr>
        <sz val="9"/>
        <color rgb="FF000000"/>
        <rFont val="楷体"/>
        <charset val="134"/>
      </rPr>
      <t>奥哲</t>
    </r>
  </si>
  <si>
    <r>
      <rPr>
        <sz val="9"/>
        <color rgb="FF000000"/>
        <rFont val="楷体"/>
        <charset val="134"/>
      </rPr>
      <t>奥哲</t>
    </r>
  </si>
  <si>
    <r>
      <rPr>
        <sz val="9"/>
        <color rgb="FF000000"/>
        <rFont val="楷体"/>
        <charset val="134"/>
      </rPr>
      <t>深圳奥哲网络科技有限公司</t>
    </r>
  </si>
  <si>
    <r>
      <t>8.9</t>
    </r>
    <r>
      <rPr>
        <sz val="9"/>
        <color rgb="FF000000"/>
        <rFont val="楷体"/>
        <charset val="134"/>
      </rPr>
      <t>亿</t>
    </r>
  </si>
  <si>
    <r>
      <rPr>
        <sz val="9"/>
        <color rgb="FF000000"/>
        <rFont val="楷体"/>
        <charset val="134"/>
      </rPr>
      <t>高榕资本</t>
    </r>
  </si>
  <si>
    <r>
      <rPr>
        <sz val="9"/>
        <color rgb="FF000000"/>
        <rFont val="楷体"/>
        <charset val="134"/>
      </rPr>
      <t>加法股权投资</t>
    </r>
  </si>
  <si>
    <r>
      <rPr>
        <sz val="9"/>
        <color rgb="FF000000"/>
        <rFont val="楷体"/>
        <charset val="134"/>
      </rPr>
      <t>浩鲸科技</t>
    </r>
  </si>
  <si>
    <r>
      <rPr>
        <sz val="9"/>
        <color rgb="FF000000"/>
        <rFont val="楷体"/>
        <charset val="134"/>
      </rPr>
      <t>浩鲸科技</t>
    </r>
  </si>
  <si>
    <r>
      <rPr>
        <sz val="9"/>
        <color rgb="FF000000"/>
        <rFont val="楷体"/>
        <charset val="134"/>
      </rPr>
      <t>浩鲸云计算科技股份有限公司</t>
    </r>
  </si>
  <si>
    <r>
      <t>12.23</t>
    </r>
    <r>
      <rPr>
        <sz val="9"/>
        <color rgb="FF000000"/>
        <rFont val="楷体"/>
        <charset val="134"/>
      </rPr>
      <t>亿人民币</t>
    </r>
  </si>
  <si>
    <r>
      <t>13.23</t>
    </r>
    <r>
      <rPr>
        <sz val="9"/>
        <color rgb="FF000000"/>
        <rFont val="楷体"/>
        <charset val="134"/>
      </rPr>
      <t>亿</t>
    </r>
  </si>
  <si>
    <r>
      <t>61.165</t>
    </r>
    <r>
      <rPr>
        <sz val="9"/>
        <color rgb="FF000000"/>
        <rFont val="楷体"/>
        <charset val="134"/>
      </rPr>
      <t>亿元</t>
    </r>
  </si>
  <si>
    <r>
      <rPr>
        <sz val="9"/>
        <color rgb="FF000000"/>
        <rFont val="楷体"/>
        <charset val="134"/>
      </rPr>
      <t>恒玄科技</t>
    </r>
  </si>
  <si>
    <r>
      <rPr>
        <sz val="9"/>
        <color rgb="FF000000"/>
        <rFont val="楷体"/>
        <charset val="134"/>
      </rPr>
      <t>恒玄科技</t>
    </r>
  </si>
  <si>
    <r>
      <rPr>
        <sz val="9"/>
        <color rgb="FF000000"/>
        <rFont val="楷体"/>
        <charset val="134"/>
      </rPr>
      <t>恒玄科技（上海）股份有限公司</t>
    </r>
  </si>
  <si>
    <r>
      <t>468.99</t>
    </r>
    <r>
      <rPr>
        <sz val="9"/>
        <color rgb="FF000000"/>
        <rFont val="楷体"/>
        <charset val="134"/>
      </rPr>
      <t>亿元</t>
    </r>
  </si>
  <si>
    <r>
      <t>IDG</t>
    </r>
    <r>
      <rPr>
        <sz val="9"/>
        <color rgb="FF000000"/>
        <rFont val="楷体"/>
        <charset val="134"/>
      </rPr>
      <t>资本</t>
    </r>
    <r>
      <rPr>
        <sz val="9"/>
        <color rgb="FF000000"/>
        <rFont val="Arial"/>
        <charset val="134"/>
      </rPr>
      <t>,</t>
    </r>
    <r>
      <rPr>
        <sz val="9"/>
        <color rgb="FF000000"/>
        <rFont val="楷体"/>
        <charset val="134"/>
      </rPr>
      <t>璞华资本</t>
    </r>
    <r>
      <rPr>
        <sz val="9"/>
        <color rgb="FF000000"/>
        <rFont val="Arial"/>
        <charset val="134"/>
      </rPr>
      <t>,</t>
    </r>
    <r>
      <rPr>
        <sz val="9"/>
        <color rgb="FF000000"/>
        <rFont val="楷体"/>
        <charset val="134"/>
      </rPr>
      <t>清控银杏创投</t>
    </r>
    <r>
      <rPr>
        <sz val="9"/>
        <color rgb="FF000000"/>
        <rFont val="Arial"/>
        <charset val="134"/>
      </rPr>
      <t>,</t>
    </r>
    <r>
      <rPr>
        <sz val="9"/>
        <color rgb="FF000000"/>
        <rFont val="楷体"/>
        <charset val="134"/>
      </rPr>
      <t>仁馨资本</t>
    </r>
    <r>
      <rPr>
        <sz val="9"/>
        <color rgb="FF000000"/>
        <rFont val="Arial"/>
        <charset val="134"/>
      </rPr>
      <t>,</t>
    </r>
    <r>
      <rPr>
        <sz val="9"/>
        <color rgb="FF000000"/>
        <rFont val="楷体"/>
        <charset val="134"/>
      </rPr>
      <t>北京集成电路产业基金</t>
    </r>
  </si>
  <si>
    <r>
      <rPr>
        <sz val="9"/>
        <color rgb="FF000000"/>
        <rFont val="楷体"/>
        <charset val="134"/>
      </rPr>
      <t>中国铁塔</t>
    </r>
  </si>
  <si>
    <r>
      <rPr>
        <sz val="9"/>
        <color rgb="FF000000"/>
        <rFont val="楷体"/>
        <charset val="134"/>
      </rPr>
      <t>中国铁塔</t>
    </r>
  </si>
  <si>
    <r>
      <rPr>
        <sz val="9"/>
        <color rgb="FF000000"/>
        <rFont val="楷体"/>
        <charset val="134"/>
      </rPr>
      <t>中国铁塔股份有限公司</t>
    </r>
  </si>
  <si>
    <r>
      <t>543</t>
    </r>
    <r>
      <rPr>
        <sz val="9"/>
        <color rgb="FF000000"/>
        <rFont val="楷体"/>
        <charset val="134"/>
      </rPr>
      <t>亿港元</t>
    </r>
  </si>
  <si>
    <r>
      <t>441.9</t>
    </r>
    <r>
      <rPr>
        <sz val="9"/>
        <color rgb="FF000000"/>
        <rFont val="楷体"/>
        <charset val="134"/>
      </rPr>
      <t>亿</t>
    </r>
  </si>
  <si>
    <r>
      <t>1752</t>
    </r>
    <r>
      <rPr>
        <sz val="9"/>
        <color rgb="FF000000"/>
        <rFont val="楷体"/>
        <charset val="134"/>
      </rPr>
      <t>亿元</t>
    </r>
  </si>
  <si>
    <r>
      <rPr>
        <sz val="9"/>
        <color rgb="FF000000"/>
        <rFont val="楷体"/>
        <charset val="134"/>
      </rPr>
      <t>中油资本</t>
    </r>
  </si>
  <si>
    <r>
      <rPr>
        <sz val="9"/>
        <color rgb="FF000000"/>
        <rFont val="楷体"/>
        <charset val="134"/>
      </rPr>
      <t>清众科技</t>
    </r>
  </si>
  <si>
    <r>
      <rPr>
        <sz val="9"/>
        <color rgb="FF000000"/>
        <rFont val="楷体"/>
        <charset val="134"/>
      </rPr>
      <t>山西清众科技股份有限公司</t>
    </r>
  </si>
  <si>
    <r>
      <rPr>
        <sz val="9"/>
        <color rgb="FF000000"/>
        <rFont val="楷体"/>
        <charset val="134"/>
      </rPr>
      <t>书旗小说</t>
    </r>
  </si>
  <si>
    <r>
      <rPr>
        <sz val="9"/>
        <color rgb="FF000000"/>
        <rFont val="楷体"/>
        <charset val="134"/>
      </rPr>
      <t>书旗小说</t>
    </r>
  </si>
  <si>
    <r>
      <rPr>
        <sz val="9"/>
        <color rgb="FF000000"/>
        <rFont val="楷体"/>
        <charset val="134"/>
      </rPr>
      <t>书旗小说是一款小说在线阅读工具，提供多种类小说的在线阅读服务，软件包含在线阅读、自动书签、智能搜索、阅读设置等多项功能，并且支持夜间模式及有声听书，小说覆盖古言、幻言、校园、都市等多个种类。</t>
    </r>
  </si>
  <si>
    <r>
      <rPr>
        <sz val="9"/>
        <color rgb="FF000000"/>
        <rFont val="楷体"/>
        <charset val="134"/>
      </rPr>
      <t>广州阿里巴巴文学信息技术有限公司</t>
    </r>
  </si>
  <si>
    <r>
      <rPr>
        <sz val="9"/>
        <color rgb="FF000000"/>
        <rFont val="楷体"/>
        <charset val="134"/>
      </rPr>
      <t>纽仕兰新云</t>
    </r>
  </si>
  <si>
    <r>
      <rPr>
        <sz val="9"/>
        <color rgb="FF000000"/>
        <rFont val="楷体"/>
        <charset val="134"/>
      </rPr>
      <t>纽仕兰新云</t>
    </r>
  </si>
  <si>
    <r>
      <rPr>
        <sz val="9"/>
        <color rgb="FF000000"/>
        <rFont val="楷体"/>
        <charset val="134"/>
      </rPr>
      <t>纽仕兰新云主要从事于进口贸易业务，将原产新西兰的乳制品（包括鲜奶、常温奶以及各类奶粉产品）在中国市场的线上及线下销售。</t>
    </r>
  </si>
  <si>
    <r>
      <rPr>
        <sz val="9"/>
        <color rgb="FF000000"/>
        <rFont val="楷体"/>
        <charset val="134"/>
      </rPr>
      <t>纽仕兰新云（上海）电子商务有限公司</t>
    </r>
  </si>
  <si>
    <r>
      <t>3.3</t>
    </r>
    <r>
      <rPr>
        <sz val="9"/>
        <color rgb="FF000000"/>
        <rFont val="楷体"/>
        <charset val="134"/>
      </rPr>
      <t>亿</t>
    </r>
  </si>
  <si>
    <r>
      <t>6</t>
    </r>
    <r>
      <rPr>
        <sz val="9"/>
        <color rgb="FF000000"/>
        <rFont val="楷体"/>
        <charset val="134"/>
      </rPr>
      <t>亿元</t>
    </r>
  </si>
  <si>
    <r>
      <t>XpressBees</t>
    </r>
    <r>
      <rPr>
        <sz val="9"/>
        <color rgb="FF000000"/>
        <rFont val="楷体"/>
        <charset val="134"/>
      </rPr>
      <t>是印度一家物流公司，业务涵盖最后一英里配送、逆向物流、款项收取、制造商直接出货相关的物流服务，并提供供应商管理、跨境服务、以及定制化的软件解决方案。</t>
    </r>
  </si>
  <si>
    <r>
      <t>Norwest Venture Partners,TPG Growth</t>
    </r>
    <r>
      <rPr>
        <sz val="9"/>
        <color rgb="FF000000"/>
        <rFont val="楷体"/>
        <charset val="134"/>
      </rPr>
      <t>新桥资本</t>
    </r>
    <r>
      <rPr>
        <sz val="9"/>
        <color rgb="FF000000"/>
        <rFont val="Arial"/>
        <charset val="134"/>
      </rPr>
      <t>,Investcorp,Blackstone Growth,Chrys Capital</t>
    </r>
  </si>
  <si>
    <r>
      <t>37.78</t>
    </r>
    <r>
      <rPr>
        <sz val="9"/>
        <color rgb="FF000000"/>
        <rFont val="楷体"/>
        <charset val="134"/>
      </rPr>
      <t>亿</t>
    </r>
  </si>
  <si>
    <r>
      <t>3.5</t>
    </r>
    <r>
      <rPr>
        <sz val="9"/>
        <color rgb="FF000000"/>
        <rFont val="楷体"/>
        <charset val="134"/>
      </rPr>
      <t>亿卢比</t>
    </r>
  </si>
  <si>
    <r>
      <t>InnoVen Capital</t>
    </r>
    <r>
      <rPr>
        <sz val="9"/>
        <color rgb="FF000000"/>
        <rFont val="楷体"/>
        <charset val="134"/>
      </rPr>
      <t>毅峰资本</t>
    </r>
  </si>
  <si>
    <r>
      <t>3500</t>
    </r>
    <r>
      <rPr>
        <sz val="9"/>
        <color rgb="FF000000"/>
        <rFont val="楷体"/>
        <charset val="134"/>
      </rPr>
      <t>万美元</t>
    </r>
  </si>
  <si>
    <r>
      <rPr>
        <sz val="9"/>
        <color rgb="FF000000"/>
        <rFont val="楷体"/>
        <charset val="134"/>
      </rPr>
      <t>未透露卢比</t>
    </r>
  </si>
  <si>
    <r>
      <t>2038</t>
    </r>
    <r>
      <rPr>
        <sz val="9"/>
        <color rgb="FF000000"/>
        <rFont val="楷体"/>
        <charset val="134"/>
      </rPr>
      <t>万美元</t>
    </r>
  </si>
  <si>
    <r>
      <rPr>
        <sz val="9"/>
        <color rgb="FF000000"/>
        <rFont val="楷体"/>
        <charset val="134"/>
      </rPr>
      <t>滴水互助</t>
    </r>
  </si>
  <si>
    <r>
      <rPr>
        <sz val="9"/>
        <color rgb="FF000000"/>
        <rFont val="楷体"/>
        <charset val="134"/>
      </rPr>
      <t>滴水互助</t>
    </r>
  </si>
  <si>
    <r>
      <rPr>
        <sz val="9"/>
        <color rgb="FF000000"/>
        <rFont val="楷体"/>
        <charset val="134"/>
      </rPr>
      <t>滴水互助是一家互助保险平台，滴水互助不是保险，而是会员之间相互帮助的公益社群。一人患病，众人均摊。加入滴水互助社群后，当互助事件发生时，社群会员向符合互助条件的会员进行单向捐赠或捐助行为，不能预期获得确定的风险保障。</t>
    </r>
  </si>
  <si>
    <r>
      <rPr>
        <sz val="9"/>
        <color rgb="FF000000"/>
        <rFont val="楷体"/>
        <charset val="134"/>
      </rPr>
      <t>遵义诚铭网络有限公司</t>
    </r>
  </si>
  <si>
    <r>
      <rPr>
        <sz val="9"/>
        <color rgb="FF000000"/>
        <rFont val="楷体"/>
        <charset val="134"/>
      </rPr>
      <t>保险</t>
    </r>
  </si>
  <si>
    <r>
      <rPr>
        <sz val="9"/>
        <color rgb="FF000000"/>
        <rFont val="楷体"/>
        <charset val="134"/>
      </rPr>
      <t>贵州省遵义市汇川区珠海路万豪国际</t>
    </r>
  </si>
  <si>
    <r>
      <rPr>
        <sz val="9"/>
        <color rgb="FF000000"/>
        <rFont val="楷体"/>
        <charset val="134"/>
      </rPr>
      <t>小声说</t>
    </r>
  </si>
  <si>
    <r>
      <rPr>
        <sz val="9"/>
        <color rgb="FF000000"/>
        <rFont val="楷体"/>
        <charset val="134"/>
      </rPr>
      <t>小声说</t>
    </r>
  </si>
  <si>
    <r>
      <rPr>
        <sz val="9"/>
        <color rgb="FF000000"/>
        <rFont val="楷体"/>
        <charset val="134"/>
      </rPr>
      <t>扬州合乐网络技术有限公司</t>
    </r>
  </si>
  <si>
    <r>
      <rPr>
        <sz val="9"/>
        <color rgb="FF000000"/>
        <rFont val="楷体"/>
        <charset val="134"/>
      </rPr>
      <t>爱用科技</t>
    </r>
  </si>
  <si>
    <r>
      <rPr>
        <sz val="9"/>
        <color rgb="FF000000"/>
        <rFont val="楷体"/>
        <charset val="134"/>
      </rPr>
      <t>上海爱用科技股份有限公司</t>
    </r>
  </si>
  <si>
    <r>
      <t xml:space="preserve">studio CANDYBOX </t>
    </r>
    <r>
      <rPr>
        <sz val="9"/>
        <color rgb="FF000000"/>
        <rFont val="楷体"/>
        <charset val="134"/>
      </rPr>
      <t>是一家动画出资企划制作公司。主要业务为影视、剧场等动画作品的投资、策划及制作，并且经营动画发行、版权管理及周边产品开发业务，代表作品有《野良神</t>
    </r>
    <r>
      <rPr>
        <sz val="9"/>
        <color rgb="FF000000"/>
        <rFont val="Arial"/>
        <charset val="134"/>
      </rPr>
      <t>2</t>
    </r>
    <r>
      <rPr>
        <sz val="9"/>
        <color rgb="FF000000"/>
        <rFont val="楷体"/>
        <charset val="134"/>
      </rPr>
      <t>》、《将星乱》等。</t>
    </r>
  </si>
  <si>
    <r>
      <t>650</t>
    </r>
    <r>
      <rPr>
        <sz val="9"/>
        <color rgb="FF000000"/>
        <rFont val="楷体"/>
        <charset val="134"/>
      </rPr>
      <t>万</t>
    </r>
  </si>
  <si>
    <r>
      <rPr>
        <sz val="9"/>
        <color rgb="FF000000"/>
        <rFont val="楷体"/>
        <charset val="134"/>
      </rPr>
      <t>居然之家</t>
    </r>
  </si>
  <si>
    <r>
      <rPr>
        <sz val="9"/>
        <color rgb="FF000000"/>
        <rFont val="楷体"/>
        <charset val="134"/>
      </rPr>
      <t>居然之家</t>
    </r>
  </si>
  <si>
    <r>
      <rPr>
        <sz val="9"/>
        <color rgb="FF000000"/>
        <rFont val="楷体"/>
        <charset val="134"/>
      </rPr>
      <t>居然之家是一家装修服务提供商，旗下拥有家之尊、乐屋装饰、元洲装饰等多个品牌，平台以中高端产品为经营定位，业务范围涵盖室内设计和装修、家具建材销售、商业会展、跨境电商、城市综合体开发等领域。</t>
    </r>
  </si>
  <si>
    <r>
      <rPr>
        <sz val="9"/>
        <color rgb="FF000000"/>
        <rFont val="楷体"/>
        <charset val="134"/>
      </rPr>
      <t>北京居然之家投资控股集团有限公司</t>
    </r>
  </si>
  <si>
    <r>
      <t>170.93</t>
    </r>
    <r>
      <rPr>
        <sz val="9"/>
        <color rgb="FF000000"/>
        <rFont val="楷体"/>
        <charset val="134"/>
      </rPr>
      <t>亿</t>
    </r>
  </si>
  <si>
    <r>
      <t>179.75</t>
    </r>
    <r>
      <rPr>
        <sz val="9"/>
        <color rgb="FF000000"/>
        <rFont val="楷体"/>
        <charset val="134"/>
      </rPr>
      <t>亿元</t>
    </r>
  </si>
  <si>
    <r>
      <t>1.98</t>
    </r>
    <r>
      <rPr>
        <sz val="9"/>
        <color rgb="FF000000"/>
        <rFont val="楷体"/>
        <charset val="134"/>
      </rPr>
      <t>亿人民币</t>
    </r>
  </si>
  <si>
    <r>
      <rPr>
        <sz val="9"/>
        <color rgb="FF000000"/>
        <rFont val="楷体"/>
        <charset val="134"/>
      </rPr>
      <t>顾家家居</t>
    </r>
  </si>
  <si>
    <r>
      <t>130</t>
    </r>
    <r>
      <rPr>
        <sz val="9"/>
        <color rgb="FF000000"/>
        <rFont val="楷体"/>
        <charset val="134"/>
      </rPr>
      <t>亿人民币</t>
    </r>
  </si>
  <si>
    <r>
      <t>Paytm Mall</t>
    </r>
    <r>
      <rPr>
        <sz val="9"/>
        <color rgb="FF000000"/>
        <rFont val="楷体"/>
        <charset val="134"/>
      </rPr>
      <t>是一个印度电商平台，产品涵盖食物、服饰、家居用品、电器、健身器材、玩具等品类，通过筛选优质的物流公司和供货商，致力于为用户带来更好的消费体验。</t>
    </r>
  </si>
  <si>
    <r>
      <t>123.83</t>
    </r>
    <r>
      <rPr>
        <sz val="9"/>
        <color rgb="FF000000"/>
        <rFont val="楷体"/>
        <charset val="134"/>
      </rPr>
      <t>亿</t>
    </r>
  </si>
  <si>
    <r>
      <rPr>
        <sz val="9"/>
        <color rgb="FF000000"/>
        <rFont val="楷体"/>
        <charset val="134"/>
      </rPr>
      <t>优点科技</t>
    </r>
  </si>
  <si>
    <r>
      <rPr>
        <sz val="9"/>
        <color rgb="FF000000"/>
        <rFont val="楷体"/>
        <charset val="134"/>
      </rPr>
      <t>优点科技</t>
    </r>
  </si>
  <si>
    <r>
      <rPr>
        <sz val="9"/>
        <color rgb="FF000000"/>
        <rFont val="楷体"/>
        <charset val="134"/>
      </rPr>
      <t>深圳市优点科技有限公司是一家专注于智能门锁及安防领域的物联网服务平台。公司通过自主研发、行业整合、投资并购等方式，致力于打造一个行业领先、体验独特的智能家居生态系统。</t>
    </r>
  </si>
  <si>
    <r>
      <rPr>
        <sz val="9"/>
        <color rgb="FF000000"/>
        <rFont val="楷体"/>
        <charset val="134"/>
      </rPr>
      <t>深圳市优点科技有限公司</t>
    </r>
  </si>
  <si>
    <r>
      <rPr>
        <sz val="9"/>
        <color rgb="FF000000"/>
        <rFont val="楷体"/>
        <charset val="134"/>
      </rPr>
      <t>电子设备</t>
    </r>
  </si>
  <si>
    <r>
      <t>8.8</t>
    </r>
    <r>
      <rPr>
        <sz val="9"/>
        <color rgb="FF000000"/>
        <rFont val="楷体"/>
        <charset val="134"/>
      </rPr>
      <t>亿</t>
    </r>
  </si>
  <si>
    <r>
      <t>1.4</t>
    </r>
    <r>
      <rPr>
        <sz val="9"/>
        <color rgb="FF000000"/>
        <rFont val="楷体"/>
        <charset val="134"/>
      </rPr>
      <t>亿人民币</t>
    </r>
  </si>
  <si>
    <r>
      <rPr>
        <sz val="9"/>
        <color rgb="FF000000"/>
        <rFont val="楷体"/>
        <charset val="134"/>
      </rPr>
      <t>苏宁体育</t>
    </r>
  </si>
  <si>
    <r>
      <rPr>
        <sz val="9"/>
        <color rgb="FF000000"/>
        <rFont val="楷体"/>
        <charset val="134"/>
      </rPr>
      <t>苏宁体育</t>
    </r>
  </si>
  <si>
    <r>
      <rPr>
        <sz val="9"/>
        <color rgb="FF000000"/>
        <rFont val="楷体"/>
        <charset val="134"/>
      </rPr>
      <t>江苏苏宁体育产业有限公司</t>
    </r>
  </si>
  <si>
    <r>
      <t>6.21</t>
    </r>
    <r>
      <rPr>
        <sz val="9"/>
        <color rgb="FF000000"/>
        <rFont val="楷体"/>
        <charset val="134"/>
      </rPr>
      <t>亿美元</t>
    </r>
  </si>
  <si>
    <r>
      <t>40.37</t>
    </r>
    <r>
      <rPr>
        <sz val="9"/>
        <color rgb="FF000000"/>
        <rFont val="楷体"/>
        <charset val="134"/>
      </rPr>
      <t>亿</t>
    </r>
  </si>
  <si>
    <r>
      <t>NewTV</t>
    </r>
    <r>
      <rPr>
        <sz val="9"/>
        <color rgb="FF000000"/>
        <rFont val="楷体"/>
        <charset val="134"/>
      </rPr>
      <t>是一家短视频制作商，其打造的剧集长度和</t>
    </r>
    <r>
      <rPr>
        <sz val="9"/>
        <color rgb="FF000000"/>
        <rFont val="Arial"/>
        <charset val="134"/>
      </rPr>
      <t>YouTube</t>
    </r>
    <r>
      <rPr>
        <sz val="9"/>
        <color rgb="FF000000"/>
        <rFont val="楷体"/>
        <charset val="134"/>
      </rPr>
      <t>的视频差不多，但成本却几乎和</t>
    </r>
    <r>
      <rPr>
        <sz val="9"/>
        <color rgb="FF000000"/>
        <rFont val="Arial"/>
        <charset val="134"/>
      </rPr>
      <t>Netflix</t>
    </r>
    <r>
      <rPr>
        <sz val="9"/>
        <color rgb="FF000000"/>
        <rFont val="楷体"/>
        <charset val="134"/>
      </rPr>
      <t>的剧集相当。</t>
    </r>
  </si>
  <si>
    <r>
      <t>117</t>
    </r>
    <r>
      <rPr>
        <sz val="9"/>
        <color rgb="FF000000"/>
        <rFont val="楷体"/>
        <charset val="134"/>
      </rPr>
      <t>亿</t>
    </r>
  </si>
  <si>
    <r>
      <t>325</t>
    </r>
    <r>
      <rPr>
        <sz val="9"/>
        <color rgb="FF000000"/>
        <rFont val="楷体"/>
        <charset val="134"/>
      </rPr>
      <t>亿元</t>
    </r>
  </si>
  <si>
    <r>
      <t>8</t>
    </r>
    <r>
      <rPr>
        <sz val="9"/>
        <color rgb="FF000000"/>
        <rFont val="楷体"/>
        <charset val="134"/>
      </rPr>
      <t>亿美元</t>
    </r>
  </si>
  <si>
    <r>
      <t>Warner Bros.</t>
    </r>
    <r>
      <rPr>
        <sz val="9"/>
        <color rgb="FF000000"/>
        <rFont val="楷体"/>
        <charset val="134"/>
      </rPr>
      <t>华纳兄弟</t>
    </r>
    <r>
      <rPr>
        <sz val="9"/>
        <color rgb="FF000000"/>
        <rFont val="Arial"/>
        <charset val="134"/>
      </rPr>
      <t>,21</t>
    </r>
    <r>
      <rPr>
        <sz val="9"/>
        <color rgb="FF000000"/>
        <rFont val="楷体"/>
        <charset val="134"/>
      </rPr>
      <t>世纪福克斯</t>
    </r>
  </si>
  <si>
    <r>
      <t>Ordre</t>
    </r>
    <r>
      <rPr>
        <sz val="9"/>
        <color rgb="FF000000"/>
        <rFont val="楷体"/>
        <charset val="134"/>
      </rPr>
      <t>是一家旨在通过数字订购平台来优化奢侈品市场批发的初创公司。</t>
    </r>
    <r>
      <rPr>
        <sz val="9"/>
        <color rgb="FF000000"/>
        <rFont val="Arial"/>
        <charset val="134"/>
      </rPr>
      <t>Ordre</t>
    </r>
    <r>
      <rPr>
        <sz val="9"/>
        <color rgb="FF000000"/>
        <rFont val="楷体"/>
        <charset val="134"/>
      </rPr>
      <t>主打</t>
    </r>
    <r>
      <rPr>
        <sz val="9"/>
        <color rgb="FF000000"/>
        <rFont val="Arial"/>
        <charset val="134"/>
      </rPr>
      <t>360</t>
    </r>
    <r>
      <rPr>
        <sz val="9"/>
        <color rgb="FF000000"/>
        <rFont val="楷体"/>
        <charset val="134"/>
      </rPr>
      <t>度全景服装和虚拟现实时装秀，消除了亲身前往时尚周和陈列室的需要。</t>
    </r>
    <r>
      <rPr>
        <sz val="9"/>
        <color rgb="FF000000"/>
        <rFont val="Arial"/>
        <charset val="134"/>
      </rPr>
      <t>Ordre</t>
    </r>
    <r>
      <rPr>
        <sz val="9"/>
        <color rgb="FF000000"/>
        <rFont val="楷体"/>
        <charset val="134"/>
      </rPr>
      <t>吸引力的关键在于三维激光扫描工具的发展，其允许设计者拍摄高分辨率的</t>
    </r>
    <r>
      <rPr>
        <sz val="9"/>
        <color rgb="FF000000"/>
        <rFont val="Arial"/>
        <charset val="134"/>
      </rPr>
      <t>360</t>
    </r>
    <r>
      <rPr>
        <sz val="9"/>
        <color rgb="FF000000"/>
        <rFont val="楷体"/>
        <charset val="134"/>
      </rPr>
      <t>度全景图像。网站上的买家也可以使用</t>
    </r>
    <r>
      <rPr>
        <sz val="9"/>
        <color rgb="FF000000"/>
        <rFont val="Arial"/>
        <charset val="134"/>
      </rPr>
      <t>VR</t>
    </r>
    <r>
      <rPr>
        <sz val="9"/>
        <color rgb="FF000000"/>
        <rFont val="楷体"/>
        <charset val="134"/>
      </rPr>
      <t>头显观看时装表演，仿佛自己坐在时装秀前排一样。</t>
    </r>
  </si>
  <si>
    <r>
      <rPr>
        <sz val="9"/>
        <color rgb="FF000000"/>
        <rFont val="楷体"/>
        <charset val="134"/>
      </rPr>
      <t>设计及创意</t>
    </r>
  </si>
  <si>
    <r>
      <t>Simon Lock	:</t>
    </r>
    <r>
      <rPr>
        <sz val="9"/>
        <color rgb="FF000000"/>
        <rFont val="楷体"/>
        <charset val="134"/>
      </rPr>
      <t>创始人</t>
    </r>
    <r>
      <rPr>
        <sz val="9"/>
        <color rgb="FF000000"/>
        <rFont val="Arial"/>
        <charset val="134"/>
      </rPr>
      <t>,Jason Furo:Team Member</t>
    </r>
  </si>
  <si>
    <r>
      <t>1</t>
    </r>
    <r>
      <rPr>
        <sz val="9"/>
        <color rgb="FF000000"/>
        <rFont val="楷体"/>
        <charset val="134"/>
      </rPr>
      <t>亿卢比</t>
    </r>
  </si>
  <si>
    <r>
      <t>31.17</t>
    </r>
    <r>
      <rPr>
        <sz val="9"/>
        <color rgb="FF000000"/>
        <rFont val="楷体"/>
        <charset val="134"/>
      </rPr>
      <t>亿卢比</t>
    </r>
  </si>
  <si>
    <r>
      <t>DST Global,Sequoia Capital</t>
    </r>
    <r>
      <rPr>
        <sz val="9"/>
        <color rgb="FF000000"/>
        <rFont val="楷体"/>
        <charset val="134"/>
      </rPr>
      <t>红杉</t>
    </r>
    <r>
      <rPr>
        <sz val="9"/>
        <color rgb="FF000000"/>
        <rFont val="Arial"/>
        <charset val="134"/>
      </rPr>
      <t>,Unbound,KCK Global,Moore Strategic Ventures,Agnelli Family,Partners Fund</t>
    </r>
  </si>
  <si>
    <r>
      <t>5200</t>
    </r>
    <r>
      <rPr>
        <sz val="9"/>
        <color rgb="FF000000"/>
        <rFont val="楷体"/>
        <charset val="134"/>
      </rPr>
      <t>万美元</t>
    </r>
  </si>
  <si>
    <r>
      <t>Sequoia Capital</t>
    </r>
    <r>
      <rPr>
        <sz val="9"/>
        <color rgb="FF000000"/>
        <rFont val="楷体"/>
        <charset val="134"/>
      </rPr>
      <t>红杉</t>
    </r>
    <r>
      <rPr>
        <sz val="9"/>
        <color rgb="FF000000"/>
        <rFont val="Arial"/>
        <charset val="134"/>
      </rPr>
      <t>,Exor Seeds,KCK FZE,Scott Bankcraft Kapnick,Freemark holdings,Euler Capital,Kingsway FCI</t>
    </r>
  </si>
  <si>
    <r>
      <t>Sequoia Capital</t>
    </r>
    <r>
      <rPr>
        <sz val="9"/>
        <color rgb="FF000000"/>
        <rFont val="楷体"/>
        <charset val="134"/>
      </rPr>
      <t>红杉</t>
    </r>
    <r>
      <rPr>
        <sz val="9"/>
        <color rgb="FF000000"/>
        <rFont val="Arial"/>
        <charset val="134"/>
      </rPr>
      <t>,KCK Global Limited,Kingsway FCI</t>
    </r>
    <r>
      <rPr>
        <sz val="9"/>
        <color rgb="FF000000"/>
        <rFont val="楷体"/>
        <charset val="134"/>
      </rPr>
      <t>基金</t>
    </r>
  </si>
  <si>
    <r>
      <rPr>
        <sz val="9"/>
        <color rgb="FF000000"/>
        <rFont val="楷体"/>
        <charset val="134"/>
      </rPr>
      <t>万达影视</t>
    </r>
  </si>
  <si>
    <r>
      <rPr>
        <sz val="9"/>
        <color rgb="FF000000"/>
        <rFont val="楷体"/>
        <charset val="134"/>
      </rPr>
      <t>万达影视</t>
    </r>
  </si>
  <si>
    <r>
      <rPr>
        <sz val="9"/>
        <color rgb="FF000000"/>
        <rFont val="楷体"/>
        <charset val="134"/>
      </rPr>
      <t>万达影视是一家影视行业综合服务提供商，集电影、电视剧的开发、投资、制作等多方位影视功能为一体，同时也涉及宣传、营销、发行等业务。致力于海外影视业务的发展，旗下代表作品有《催眠大师》、《寻龙诀》等，致力于为用户提供优质的影视作品。</t>
    </r>
  </si>
  <si>
    <r>
      <rPr>
        <sz val="9"/>
        <color rgb="FF000000"/>
        <rFont val="楷体"/>
        <charset val="134"/>
      </rPr>
      <t>万达影视传媒有限公司</t>
    </r>
  </si>
  <si>
    <r>
      <t>116</t>
    </r>
    <r>
      <rPr>
        <sz val="9"/>
        <color rgb="FF000000"/>
        <rFont val="楷体"/>
        <charset val="134"/>
      </rPr>
      <t>亿人民币</t>
    </r>
  </si>
  <si>
    <r>
      <t>128.43</t>
    </r>
    <r>
      <rPr>
        <sz val="9"/>
        <color rgb="FF000000"/>
        <rFont val="楷体"/>
        <charset val="134"/>
      </rPr>
      <t>亿</t>
    </r>
  </si>
  <si>
    <r>
      <rPr>
        <sz val="9"/>
        <color rgb="FF000000"/>
        <rFont val="楷体"/>
        <charset val="134"/>
      </rPr>
      <t>爱施德</t>
    </r>
  </si>
  <si>
    <r>
      <rPr>
        <sz val="9"/>
        <color rgb="FF000000"/>
        <rFont val="楷体"/>
        <charset val="134"/>
      </rPr>
      <t>爱施德</t>
    </r>
  </si>
  <si>
    <r>
      <rPr>
        <sz val="9"/>
        <color rgb="FF000000"/>
        <rFont val="楷体"/>
        <charset val="134"/>
      </rPr>
      <t>爱施德是一家智能终端销售服务提供商，围绕移动通讯终端产品、数码电子消费产品、通信服务、移动互联网、金融等领域，形成了智能终端产品、通信服务、金融服务和电商平台四大业务板块。</t>
    </r>
  </si>
  <si>
    <r>
      <rPr>
        <sz val="9"/>
        <color rgb="FF000000"/>
        <rFont val="楷体"/>
        <charset val="134"/>
      </rPr>
      <t>深圳市爱施德股份有限公司</t>
    </r>
  </si>
  <si>
    <r>
      <t>4900</t>
    </r>
    <r>
      <rPr>
        <sz val="9"/>
        <color rgb="FF000000"/>
        <rFont val="楷体"/>
        <charset val="134"/>
      </rPr>
      <t>万美元</t>
    </r>
  </si>
  <si>
    <r>
      <t>29.69</t>
    </r>
    <r>
      <rPr>
        <sz val="9"/>
        <color rgb="FF000000"/>
        <rFont val="楷体"/>
        <charset val="134"/>
      </rPr>
      <t>亿</t>
    </r>
  </si>
  <si>
    <r>
      <t>15.925</t>
    </r>
    <r>
      <rPr>
        <sz val="9"/>
        <color rgb="FF000000"/>
        <rFont val="楷体"/>
        <charset val="134"/>
      </rPr>
      <t>亿元</t>
    </r>
  </si>
  <si>
    <r>
      <t>22.5</t>
    </r>
    <r>
      <rPr>
        <sz val="9"/>
        <color rgb="FF000000"/>
        <rFont val="楷体"/>
        <charset val="134"/>
      </rPr>
      <t>亿人民币</t>
    </r>
  </si>
  <si>
    <r>
      <t>Trendyol Group</t>
    </r>
    <r>
      <rPr>
        <sz val="9"/>
        <color rgb="FF000000"/>
        <rFont val="楷体"/>
        <charset val="134"/>
      </rPr>
      <t>是土耳其最大的移动商务公司，曼娜地区每年销售超过</t>
    </r>
    <r>
      <rPr>
        <sz val="9"/>
        <color rgb="FF000000"/>
        <rFont val="Arial"/>
        <charset val="134"/>
      </rPr>
      <t>3500</t>
    </r>
    <r>
      <rPr>
        <sz val="9"/>
        <color rgb="FF000000"/>
        <rFont val="楷体"/>
        <charset val="134"/>
      </rPr>
      <t>万件商品。</t>
    </r>
  </si>
  <si>
    <r>
      <t>80.39</t>
    </r>
    <r>
      <rPr>
        <sz val="9"/>
        <color rgb="FF000000"/>
        <rFont val="楷体"/>
        <charset val="134"/>
      </rPr>
      <t>亿</t>
    </r>
  </si>
  <si>
    <r>
      <t>113.75</t>
    </r>
    <r>
      <rPr>
        <sz val="9"/>
        <color rgb="FF000000"/>
        <rFont val="楷体"/>
        <charset val="134"/>
      </rPr>
      <t>亿元</t>
    </r>
  </si>
  <si>
    <r>
      <t>Kleiner Perkins Caufield &amp; Byers(KPCB</t>
    </r>
    <r>
      <rPr>
        <sz val="9"/>
        <color rgb="FF000000"/>
        <rFont val="楷体"/>
        <charset val="134"/>
      </rPr>
      <t>全球</t>
    </r>
    <r>
      <rPr>
        <sz val="9"/>
        <color rgb="FF000000"/>
        <rFont val="Arial"/>
        <charset val="134"/>
      </rPr>
      <t>),Tiger Global</t>
    </r>
    <r>
      <rPr>
        <sz val="9"/>
        <color rgb="FF000000"/>
        <rFont val="楷体"/>
        <charset val="134"/>
      </rPr>
      <t>老虎海外</t>
    </r>
  </si>
  <si>
    <r>
      <t>910</t>
    </r>
    <r>
      <rPr>
        <sz val="9"/>
        <color rgb="FF000000"/>
        <rFont val="楷体"/>
        <charset val="134"/>
      </rPr>
      <t>万美元</t>
    </r>
  </si>
  <si>
    <r>
      <t>Tiger Global</t>
    </r>
    <r>
      <rPr>
        <sz val="9"/>
        <color rgb="FF000000"/>
        <rFont val="楷体"/>
        <charset val="134"/>
      </rPr>
      <t>老虎海外</t>
    </r>
  </si>
  <si>
    <r>
      <t>220</t>
    </r>
    <r>
      <rPr>
        <sz val="9"/>
        <color rgb="FF000000"/>
        <rFont val="楷体"/>
        <charset val="134"/>
      </rPr>
      <t>万欧元</t>
    </r>
  </si>
  <si>
    <r>
      <rPr>
        <sz val="9"/>
        <color rgb="FF000000"/>
        <rFont val="楷体"/>
        <charset val="134"/>
      </rPr>
      <t>华人文化集团</t>
    </r>
    <r>
      <rPr>
        <sz val="9"/>
        <color rgb="FF000000"/>
        <rFont val="Arial"/>
        <charset val="134"/>
      </rPr>
      <t>CMC</t>
    </r>
  </si>
  <si>
    <r>
      <rPr>
        <sz val="9"/>
        <color rgb="FF000000"/>
        <rFont val="楷体"/>
        <charset val="134"/>
      </rPr>
      <t>华人文化有限责任公司</t>
    </r>
  </si>
  <si>
    <r>
      <t>100.2</t>
    </r>
    <r>
      <rPr>
        <sz val="9"/>
        <color rgb="FF000000"/>
        <rFont val="楷体"/>
        <charset val="134"/>
      </rPr>
      <t>亿</t>
    </r>
  </si>
  <si>
    <r>
      <t>Moneybox</t>
    </r>
    <r>
      <rPr>
        <sz val="9"/>
        <color rgb="FF000000"/>
        <rFont val="楷体"/>
        <charset val="134"/>
      </rPr>
      <t>是一个互联网投资理财服务平台，主要服务于千禧一代，能够与用户的银行账户关联并具有自动进行支付、零钱投资等功能，投资的对象主要是用户的</t>
    </r>
    <r>
      <rPr>
        <sz val="9"/>
        <color rgb="FF000000"/>
        <rFont val="Arial"/>
        <charset val="134"/>
      </rPr>
      <t>ISA</t>
    </r>
    <r>
      <rPr>
        <sz val="9"/>
        <color rgb="FF000000"/>
        <rFont val="楷体"/>
        <charset val="134"/>
      </rPr>
      <t>账户，进而满足用户投资理财需求。</t>
    </r>
  </si>
  <si>
    <r>
      <rPr>
        <sz val="9"/>
        <color rgb="FF000000"/>
        <rFont val="楷体"/>
        <charset val="134"/>
      </rPr>
      <t>投融资</t>
    </r>
  </si>
  <si>
    <r>
      <t>3500</t>
    </r>
    <r>
      <rPr>
        <sz val="9"/>
        <color rgb="FF000000"/>
        <rFont val="楷体"/>
        <charset val="134"/>
      </rPr>
      <t>万英镑</t>
    </r>
  </si>
  <si>
    <r>
      <t>7.25</t>
    </r>
    <r>
      <rPr>
        <sz val="9"/>
        <color rgb="FF000000"/>
        <rFont val="楷体"/>
        <charset val="134"/>
      </rPr>
      <t>亿</t>
    </r>
  </si>
  <si>
    <r>
      <t>15.4</t>
    </r>
    <r>
      <rPr>
        <sz val="9"/>
        <color rgb="FF000000"/>
        <rFont val="楷体"/>
        <charset val="134"/>
      </rPr>
      <t>亿元</t>
    </r>
  </si>
  <si>
    <r>
      <t>3000</t>
    </r>
    <r>
      <rPr>
        <sz val="9"/>
        <color rgb="FF000000"/>
        <rFont val="楷体"/>
        <charset val="134"/>
      </rPr>
      <t>万英镑</t>
    </r>
  </si>
  <si>
    <r>
      <t>1867</t>
    </r>
    <r>
      <rPr>
        <sz val="9"/>
        <color rgb="FF000000"/>
        <rFont val="楷体"/>
        <charset val="134"/>
      </rPr>
      <t>万美元</t>
    </r>
  </si>
  <si>
    <r>
      <t>180</t>
    </r>
    <r>
      <rPr>
        <sz val="9"/>
        <color rgb="FF000000"/>
        <rFont val="楷体"/>
        <charset val="134"/>
      </rPr>
      <t>万美元</t>
    </r>
  </si>
  <si>
    <r>
      <t>SMARTRAC</t>
    </r>
    <r>
      <rPr>
        <sz val="9"/>
        <color rgb="FF000000"/>
        <rFont val="楷体"/>
        <charset val="134"/>
      </rPr>
      <t>是荷兰一家宽带用</t>
    </r>
    <r>
      <rPr>
        <sz val="9"/>
        <color rgb="FF000000"/>
        <rFont val="Arial"/>
        <charset val="134"/>
      </rPr>
      <t>RFID</t>
    </r>
    <r>
      <rPr>
        <sz val="9"/>
        <color rgb="FF000000"/>
        <rFont val="楷体"/>
        <charset val="134"/>
      </rPr>
      <t>组件研发商，专注于零售、汽车、保健和其他行业的</t>
    </r>
    <r>
      <rPr>
        <sz val="9"/>
        <color rgb="FF000000"/>
        <rFont val="Arial"/>
        <charset val="134"/>
      </rPr>
      <t>RFID</t>
    </r>
    <r>
      <rPr>
        <sz val="9"/>
        <color rgb="FF000000"/>
        <rFont val="楷体"/>
        <charset val="134"/>
      </rPr>
      <t>及物联网方案开发，产品可应用于公共运输、门禁管理、</t>
    </r>
    <r>
      <rPr>
        <sz val="9"/>
        <color rgb="FF000000"/>
        <rFont val="Arial"/>
        <charset val="134"/>
      </rPr>
      <t>RFID</t>
    </r>
    <r>
      <rPr>
        <sz val="9"/>
        <color rgb="FF000000"/>
        <rFont val="楷体"/>
        <charset val="134"/>
      </rPr>
      <t>汽车防盗、动物识别、工业和物流等领域。</t>
    </r>
  </si>
  <si>
    <r>
      <rPr>
        <sz val="9"/>
        <color rgb="FF000000"/>
        <rFont val="楷体"/>
        <charset val="134"/>
      </rPr>
      <t>驿栈网络</t>
    </r>
  </si>
  <si>
    <r>
      <rPr>
        <sz val="9"/>
        <color rgb="FF000000"/>
        <rFont val="楷体"/>
        <charset val="134"/>
      </rPr>
      <t>浙江驿栈网络科技有限公司</t>
    </r>
  </si>
  <si>
    <r>
      <t>31.67</t>
    </r>
    <r>
      <rPr>
        <sz val="9"/>
        <color rgb="FF000000"/>
        <rFont val="楷体"/>
        <charset val="134"/>
      </rPr>
      <t>亿人民币</t>
    </r>
  </si>
  <si>
    <r>
      <t>En-trak</t>
    </r>
    <r>
      <rPr>
        <sz val="9"/>
        <color rgb="FF000000"/>
        <rFont val="楷体"/>
        <charset val="134"/>
      </rPr>
      <t>是智慧楼宇物联网研发商。</t>
    </r>
    <r>
      <rPr>
        <sz val="9"/>
        <color rgb="FF000000"/>
        <rFont val="Arial"/>
        <charset val="134"/>
      </rPr>
      <t>En-trak</t>
    </r>
    <r>
      <rPr>
        <sz val="9"/>
        <color rgb="FF000000"/>
        <rFont val="楷体"/>
        <charset val="134"/>
      </rPr>
      <t>集合智能照控、电力、水、天然气、室内空气质量、</t>
    </r>
    <r>
      <rPr>
        <sz val="9"/>
        <color rgb="FF000000"/>
        <rFont val="Arial"/>
        <charset val="134"/>
      </rPr>
      <t>EV</t>
    </r>
    <r>
      <rPr>
        <sz val="9"/>
        <color rgb="FF000000"/>
        <rFont val="楷体"/>
        <charset val="134"/>
      </rPr>
      <t>充电、太阳能和风力发电，能搜集及综合不同楼宇数据，让客户管理和优化办公室和楼宇资源，协助提升工作效率及履行监管要求。</t>
    </r>
  </si>
  <si>
    <r>
      <rPr>
        <sz val="9"/>
        <color rgb="FF000000"/>
        <rFont val="楷体"/>
        <charset val="134"/>
      </rPr>
      <t>其他企业服务</t>
    </r>
  </si>
  <si>
    <r>
      <t>Bus365</t>
    </r>
    <r>
      <rPr>
        <sz val="9"/>
        <color rgb="FF000000"/>
        <rFont val="楷体"/>
        <charset val="134"/>
      </rPr>
      <t>中国公路客票网</t>
    </r>
  </si>
  <si>
    <r>
      <t>Bus365</t>
    </r>
    <r>
      <rPr>
        <sz val="9"/>
        <color rgb="FF000000"/>
        <rFont val="楷体"/>
        <charset val="134"/>
      </rPr>
      <t>中国公路客票网</t>
    </r>
  </si>
  <si>
    <r>
      <t>Bus365</t>
    </r>
    <r>
      <rPr>
        <sz val="9"/>
        <color rgb="FF000000"/>
        <rFont val="楷体"/>
        <charset val="134"/>
      </rPr>
      <t>中国公路客票网是一家车票查询与在线预订平台，主要为有出行需求的用户提供长途汽车票、火车票等在线预订服务。用户只需登陆官网输入始发地、目的地、出发日期等相关信息即可查询并完成预订。此外，还提供景点门票查询、周边游产品推荐等相关服务。</t>
    </r>
  </si>
  <si>
    <r>
      <rPr>
        <sz val="9"/>
        <color rgb="FF000000"/>
        <rFont val="楷体"/>
        <charset val="134"/>
      </rPr>
      <t>盛威时代科技股份有限公司</t>
    </r>
  </si>
  <si>
    <r>
      <t>3.81</t>
    </r>
    <r>
      <rPr>
        <sz val="9"/>
        <color rgb="FF000000"/>
        <rFont val="楷体"/>
        <charset val="134"/>
      </rPr>
      <t>亿</t>
    </r>
  </si>
  <si>
    <r>
      <rPr>
        <sz val="9"/>
        <color rgb="FF000000"/>
        <rFont val="楷体"/>
        <charset val="134"/>
      </rPr>
      <t>十荟团</t>
    </r>
  </si>
  <si>
    <r>
      <rPr>
        <sz val="9"/>
        <color rgb="FF000000"/>
        <rFont val="楷体"/>
        <charset val="134"/>
      </rPr>
      <t>十荟团</t>
    </r>
  </si>
  <si>
    <r>
      <rPr>
        <sz val="9"/>
        <color rgb="FF000000"/>
        <rFont val="楷体"/>
        <charset val="134"/>
      </rPr>
      <t>北京十荟科技有限公司</t>
    </r>
  </si>
  <si>
    <r>
      <t>GGV</t>
    </r>
    <r>
      <rPr>
        <sz val="9"/>
        <color rgb="FF000000"/>
        <rFont val="楷体"/>
        <charset val="134"/>
      </rPr>
      <t>纪源资本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阿里巴巴</t>
    </r>
    <r>
      <rPr>
        <sz val="9"/>
        <color rgb="FF000000"/>
        <rFont val="Arial"/>
        <charset val="134"/>
      </rPr>
      <t>,DST Global,Dragoneer Investment Group,</t>
    </r>
    <r>
      <rPr>
        <sz val="9"/>
        <color rgb="FF000000"/>
        <rFont val="楷体"/>
        <charset val="134"/>
      </rPr>
      <t>昆仑资本</t>
    </r>
    <r>
      <rPr>
        <sz val="9"/>
        <color rgb="FF000000"/>
        <rFont val="Arial"/>
        <charset val="134"/>
      </rPr>
      <t>,JenerationCapital</t>
    </r>
    <r>
      <rPr>
        <sz val="9"/>
        <color rgb="FF000000"/>
        <rFont val="楷体"/>
        <charset val="134"/>
      </rPr>
      <t>时代资本</t>
    </r>
    <r>
      <rPr>
        <sz val="9"/>
        <color rgb="FF000000"/>
        <rFont val="Arial"/>
        <charset val="134"/>
      </rPr>
      <t>,</t>
    </r>
    <r>
      <rPr>
        <sz val="9"/>
        <color rgb="FF000000"/>
        <rFont val="楷体"/>
        <charset val="134"/>
      </rPr>
      <t>晨曦创投</t>
    </r>
    <r>
      <rPr>
        <sz val="9"/>
        <color rgb="FF000000"/>
        <rFont val="Arial"/>
        <charset val="134"/>
      </rPr>
      <t>,</t>
    </r>
    <r>
      <rPr>
        <sz val="9"/>
        <color rgb="FF000000"/>
        <rFont val="楷体"/>
        <charset val="134"/>
      </rPr>
      <t>高鹄资本</t>
    </r>
    <r>
      <rPr>
        <sz val="9"/>
        <color rgb="FF000000"/>
        <rFont val="Arial"/>
        <charset val="134"/>
      </rPr>
      <t>,the D.E.Shaw Group,Franchise Capital</t>
    </r>
  </si>
  <si>
    <r>
      <t>80.67</t>
    </r>
    <r>
      <rPr>
        <sz val="9"/>
        <color rgb="FF000000"/>
        <rFont val="楷体"/>
        <charset val="134"/>
      </rPr>
      <t>亿</t>
    </r>
  </si>
  <si>
    <r>
      <t>1.96</t>
    </r>
    <r>
      <rPr>
        <sz val="9"/>
        <color rgb="FF000000"/>
        <rFont val="楷体"/>
        <charset val="134"/>
      </rPr>
      <t>亿美元</t>
    </r>
  </si>
  <si>
    <r>
      <t>GGV</t>
    </r>
    <r>
      <rPr>
        <sz val="9"/>
        <color rgb="FF000000"/>
        <rFont val="楷体"/>
        <charset val="134"/>
      </rPr>
      <t>纪源资本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民生银行</t>
    </r>
    <r>
      <rPr>
        <sz val="9"/>
        <color rgb="FF000000"/>
        <rFont val="Arial"/>
        <charset val="134"/>
      </rPr>
      <t>(</t>
    </r>
    <r>
      <rPr>
        <sz val="9"/>
        <color rgb="FF000000"/>
        <rFont val="楷体"/>
        <charset val="134"/>
      </rPr>
      <t>民银国际</t>
    </r>
    <r>
      <rPr>
        <sz val="9"/>
        <color rgb="FF000000"/>
        <rFont val="Arial"/>
        <charset val="134"/>
      </rPr>
      <t>),</t>
    </r>
    <r>
      <rPr>
        <sz val="9"/>
        <color rgb="FF000000"/>
        <rFont val="楷体"/>
        <charset val="134"/>
      </rPr>
      <t>渶策资本</t>
    </r>
  </si>
  <si>
    <r>
      <t>8140</t>
    </r>
    <r>
      <rPr>
        <sz val="9"/>
        <color rgb="FF000000"/>
        <rFont val="楷体"/>
        <charset val="134"/>
      </rPr>
      <t>万美元</t>
    </r>
  </si>
  <si>
    <r>
      <t>8830</t>
    </r>
    <r>
      <rPr>
        <sz val="9"/>
        <color rgb="FF000000"/>
        <rFont val="楷体"/>
        <charset val="134"/>
      </rPr>
      <t>万美元</t>
    </r>
  </si>
  <si>
    <r>
      <rPr>
        <sz val="9"/>
        <color rgb="FF000000"/>
        <rFont val="楷体"/>
        <charset val="134"/>
      </rPr>
      <t>你我您社区购</t>
    </r>
  </si>
  <si>
    <r>
      <rPr>
        <sz val="9"/>
        <color rgb="FF000000"/>
        <rFont val="楷体"/>
        <charset val="134"/>
      </rPr>
      <t>高鑫零售</t>
    </r>
  </si>
  <si>
    <r>
      <rPr>
        <sz val="9"/>
        <color rgb="FF000000"/>
        <rFont val="楷体"/>
        <charset val="134"/>
      </rPr>
      <t>高鑫零售</t>
    </r>
  </si>
  <si>
    <r>
      <rPr>
        <sz val="9"/>
        <color rgb="FF000000"/>
        <rFont val="楷体"/>
        <charset val="134"/>
      </rPr>
      <t>高鑫零售有限公司</t>
    </r>
  </si>
  <si>
    <r>
      <t>36</t>
    </r>
    <r>
      <rPr>
        <sz val="9"/>
        <color rgb="FF000000"/>
        <rFont val="楷体"/>
        <charset val="134"/>
      </rPr>
      <t>亿美元</t>
    </r>
  </si>
  <si>
    <r>
      <t>475.7</t>
    </r>
    <r>
      <rPr>
        <sz val="9"/>
        <color rgb="FF000000"/>
        <rFont val="楷体"/>
        <charset val="134"/>
      </rPr>
      <t>亿</t>
    </r>
  </si>
  <si>
    <r>
      <t>1170</t>
    </r>
    <r>
      <rPr>
        <sz val="9"/>
        <color rgb="FF000000"/>
        <rFont val="楷体"/>
        <charset val="134"/>
      </rPr>
      <t>亿元</t>
    </r>
  </si>
  <si>
    <r>
      <t>28.8</t>
    </r>
    <r>
      <rPr>
        <sz val="9"/>
        <color rgb="FF000000"/>
        <rFont val="楷体"/>
        <charset val="134"/>
      </rPr>
      <t>亿美元</t>
    </r>
  </si>
  <si>
    <r>
      <t>68.12</t>
    </r>
    <r>
      <rPr>
        <sz val="9"/>
        <color rgb="FF000000"/>
        <rFont val="楷体"/>
        <charset val="134"/>
      </rPr>
      <t>亿港元</t>
    </r>
  </si>
  <si>
    <r>
      <rPr>
        <sz val="9"/>
        <color rgb="FF000000"/>
        <rFont val="楷体"/>
        <charset val="134"/>
      </rPr>
      <t>阿里本地生活服务</t>
    </r>
  </si>
  <si>
    <r>
      <rPr>
        <sz val="9"/>
        <color rgb="FF000000"/>
        <rFont val="楷体"/>
        <charset val="134"/>
      </rPr>
      <t>阿里本地生活服务</t>
    </r>
  </si>
  <si>
    <r>
      <t>30</t>
    </r>
    <r>
      <rPr>
        <sz val="9"/>
        <color rgb="FF000000"/>
        <rFont val="楷体"/>
        <charset val="134"/>
      </rPr>
      <t>亿美元</t>
    </r>
  </si>
  <si>
    <r>
      <t>195</t>
    </r>
    <r>
      <rPr>
        <sz val="9"/>
        <color rgb="FF000000"/>
        <rFont val="楷体"/>
        <charset val="134"/>
      </rPr>
      <t>亿</t>
    </r>
  </si>
  <si>
    <r>
      <t>975</t>
    </r>
    <r>
      <rPr>
        <sz val="9"/>
        <color rgb="FF000000"/>
        <rFont val="楷体"/>
        <charset val="134"/>
      </rPr>
      <t>亿元</t>
    </r>
  </si>
  <si>
    <r>
      <rPr>
        <sz val="9"/>
        <color rgb="FF000000"/>
        <rFont val="楷体"/>
        <charset val="134"/>
      </rPr>
      <t>阿里巴巴园区</t>
    </r>
  </si>
  <si>
    <r>
      <t>T11</t>
    </r>
    <r>
      <rPr>
        <sz val="9"/>
        <color rgb="FF000000"/>
        <rFont val="楷体"/>
        <charset val="134"/>
      </rPr>
      <t>生鲜超市</t>
    </r>
  </si>
  <si>
    <r>
      <rPr>
        <sz val="9"/>
        <color rgb="FF000000"/>
        <rFont val="楷体"/>
        <charset val="134"/>
      </rPr>
      <t>北京锦益网络科技有限公司</t>
    </r>
  </si>
  <si>
    <r>
      <rPr>
        <sz val="9"/>
        <color rgb="FF000000"/>
        <rFont val="楷体"/>
        <charset val="134"/>
      </rPr>
      <t>和玉资本</t>
    </r>
  </si>
  <si>
    <r>
      <t>IDG</t>
    </r>
    <r>
      <rPr>
        <sz val="9"/>
        <color rgb="FF000000"/>
        <rFont val="楷体"/>
        <charset val="134"/>
      </rPr>
      <t>资本</t>
    </r>
    <r>
      <rPr>
        <sz val="9"/>
        <color rgb="FF000000"/>
        <rFont val="Arial"/>
        <charset val="134"/>
      </rPr>
      <t>,</t>
    </r>
    <r>
      <rPr>
        <sz val="9"/>
        <color rgb="FF000000"/>
        <rFont val="楷体"/>
        <charset val="134"/>
      </rPr>
      <t>远望资本</t>
    </r>
    <r>
      <rPr>
        <sz val="9"/>
        <color rgb="FF000000"/>
        <rFont val="Arial"/>
        <charset val="134"/>
      </rPr>
      <t>,</t>
    </r>
    <r>
      <rPr>
        <sz val="9"/>
        <color rgb="FF000000"/>
        <rFont val="楷体"/>
        <charset val="134"/>
      </rPr>
      <t>国美资本</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壹叁资本</t>
    </r>
  </si>
  <si>
    <r>
      <rPr>
        <sz val="9"/>
        <color rgb="FF000000"/>
        <rFont val="楷体"/>
        <charset val="134"/>
      </rPr>
      <t>享道出行</t>
    </r>
  </si>
  <si>
    <r>
      <rPr>
        <sz val="9"/>
        <color rgb="FF000000"/>
        <rFont val="楷体"/>
        <charset val="134"/>
      </rPr>
      <t>享道出行</t>
    </r>
  </si>
  <si>
    <r>
      <rPr>
        <sz val="9"/>
        <color rgb="FF000000"/>
        <rFont val="楷体"/>
        <charset val="134"/>
      </rPr>
      <t>享道出行是上汽集团投资组建的一家互联网专车服务平台。公司利用移动互联网和大数据技术，创新交通出行服务模式，整合市场资源，搭建起商务用车的信息服务平台，为用户提供电动化、网联化、智能化、共享化的商务专车用车体验。</t>
    </r>
  </si>
  <si>
    <r>
      <rPr>
        <sz val="9"/>
        <color rgb="FF000000"/>
        <rFont val="楷体"/>
        <charset val="134"/>
      </rPr>
      <t>上海赛可出行科技服务有限公司</t>
    </r>
  </si>
  <si>
    <r>
      <t>Momenta,</t>
    </r>
    <r>
      <rPr>
        <sz val="9"/>
        <color rgb="FF000000"/>
        <rFont val="楷体"/>
        <charset val="134"/>
      </rPr>
      <t>上汽集团</t>
    </r>
    <r>
      <rPr>
        <sz val="9"/>
        <color rgb="FF000000"/>
        <rFont val="Arial"/>
        <charset val="134"/>
      </rPr>
      <t>,</t>
    </r>
    <r>
      <rPr>
        <sz val="9"/>
        <color rgb="FF000000"/>
        <rFont val="楷体"/>
        <charset val="134"/>
      </rPr>
      <t>高行管理咨询</t>
    </r>
  </si>
  <si>
    <r>
      <t>13.3</t>
    </r>
    <r>
      <rPr>
        <sz val="9"/>
        <color rgb="FF000000"/>
        <rFont val="楷体"/>
        <charset val="134"/>
      </rPr>
      <t>亿</t>
    </r>
  </si>
  <si>
    <r>
      <rPr>
        <sz val="9"/>
        <color rgb="FF000000"/>
        <rFont val="楷体"/>
        <charset val="134"/>
      </rPr>
      <t>尚颀资本</t>
    </r>
  </si>
  <si>
    <r>
      <rPr>
        <sz val="9"/>
        <color rgb="FF000000"/>
        <rFont val="楷体"/>
        <charset val="134"/>
      </rPr>
      <t>喜士多</t>
    </r>
  </si>
  <si>
    <r>
      <rPr>
        <sz val="9"/>
        <color rgb="FF000000"/>
        <rFont val="楷体"/>
        <charset val="134"/>
      </rPr>
      <t>喜士多</t>
    </r>
  </si>
  <si>
    <r>
      <rPr>
        <sz val="9"/>
        <color rgb="FF000000"/>
        <rFont val="楷体"/>
        <charset val="134"/>
      </rPr>
      <t>上海喜士多便利连锁有限公司</t>
    </r>
  </si>
  <si>
    <r>
      <t>5</t>
    </r>
    <r>
      <rPr>
        <sz val="9"/>
        <color rgb="FF000000"/>
        <rFont val="楷体"/>
        <charset val="134"/>
      </rPr>
      <t>亿</t>
    </r>
  </si>
  <si>
    <r>
      <t>25</t>
    </r>
    <r>
      <rPr>
        <sz val="9"/>
        <color rgb="FF000000"/>
        <rFont val="楷体"/>
        <charset val="134"/>
      </rPr>
      <t>亿元</t>
    </r>
  </si>
  <si>
    <r>
      <rPr>
        <sz val="9"/>
        <color rgb="FF000000"/>
        <rFont val="楷体"/>
        <charset val="134"/>
      </rPr>
      <t>雅虎中国</t>
    </r>
  </si>
  <si>
    <r>
      <rPr>
        <sz val="9"/>
        <color rgb="FF000000"/>
        <rFont val="楷体"/>
        <charset val="134"/>
      </rPr>
      <t>雅虎中国</t>
    </r>
  </si>
  <si>
    <r>
      <rPr>
        <sz val="9"/>
        <color rgb="FF000000"/>
        <rFont val="楷体"/>
        <charset val="134"/>
      </rPr>
      <t>阿里巴巴（中国）网络技术有限公司</t>
    </r>
  </si>
  <si>
    <r>
      <rPr>
        <sz val="9"/>
        <color rgb="FF000000"/>
        <rFont val="楷体"/>
        <charset val="134"/>
      </rPr>
      <t>云粒智慧</t>
    </r>
  </si>
  <si>
    <r>
      <rPr>
        <sz val="9"/>
        <color rgb="FF000000"/>
        <rFont val="楷体"/>
        <charset val="134"/>
      </rPr>
      <t>云粒智慧</t>
    </r>
  </si>
  <si>
    <r>
      <rPr>
        <sz val="9"/>
        <color rgb="FF000000"/>
        <rFont val="楷体"/>
        <charset val="134"/>
      </rPr>
      <t>云粒智慧是一家政企数字化转型服务提供商，以云计算、大数据、物联网、人工智能、区块链为核心技术，聚焦政务、金融、交通、制造、生态环境等领域，致力于提供新技术赋能的应用软件和服务。</t>
    </r>
  </si>
  <si>
    <r>
      <rPr>
        <sz val="9"/>
        <color rgb="FF000000"/>
        <rFont val="楷体"/>
        <charset val="134"/>
      </rPr>
      <t>云粒智慧科技有限公司</t>
    </r>
  </si>
  <si>
    <r>
      <t>pickupp</t>
    </r>
    <r>
      <rPr>
        <sz val="9"/>
        <color rgb="FF000000"/>
        <rFont val="楷体"/>
        <charset val="134"/>
      </rPr>
      <t>是一家即日送达平台，</t>
    </r>
    <r>
      <rPr>
        <sz val="9"/>
        <color rgb="FF000000"/>
        <rFont val="Arial"/>
        <charset val="134"/>
      </rPr>
      <t>Pickupp</t>
    </r>
    <r>
      <rPr>
        <sz val="9"/>
        <color rgb="FF000000"/>
        <rFont val="楷体"/>
        <charset val="134"/>
      </rPr>
      <t>已经在新加坡和马来西亚开展业务。</t>
    </r>
  </si>
  <si>
    <r>
      <t>Eric San:</t>
    </r>
    <r>
      <rPr>
        <sz val="9"/>
        <color rgb="FF000000"/>
        <rFont val="楷体"/>
        <charset val="134"/>
      </rPr>
      <t>联合创始人</t>
    </r>
  </si>
  <si>
    <r>
      <rPr>
        <sz val="9"/>
        <color rgb="FF000000"/>
        <rFont val="楷体"/>
        <charset val="134"/>
      </rPr>
      <t>逸刻新零售</t>
    </r>
  </si>
  <si>
    <r>
      <rPr>
        <sz val="9"/>
        <color rgb="FF000000"/>
        <rFont val="楷体"/>
        <charset val="134"/>
      </rPr>
      <t>逸刻新零售</t>
    </r>
  </si>
  <si>
    <r>
      <rPr>
        <sz val="9"/>
        <color rgb="FF000000"/>
        <rFont val="楷体"/>
        <charset val="134"/>
      </rPr>
      <t>逸刻新零售是百联集团与阿里巴巴合作的新零售项目，业务方向将以发展小业态为主，做前置仓生鲜便利店，以及新型便利店等。</t>
    </r>
  </si>
  <si>
    <r>
      <rPr>
        <sz val="9"/>
        <color rgb="FF000000"/>
        <rFont val="楷体"/>
        <charset val="134"/>
      </rPr>
      <t>上海逸刻新零售网络科技有限公司</t>
    </r>
  </si>
  <si>
    <r>
      <t>4.3</t>
    </r>
    <r>
      <rPr>
        <sz val="9"/>
        <color rgb="FF000000"/>
        <rFont val="楷体"/>
        <charset val="134"/>
      </rPr>
      <t>亿</t>
    </r>
  </si>
  <si>
    <r>
      <rPr>
        <sz val="9"/>
        <color rgb="FF000000"/>
        <rFont val="楷体"/>
        <charset val="134"/>
      </rPr>
      <t>呦吼互娱</t>
    </r>
  </si>
  <si>
    <r>
      <rPr>
        <sz val="9"/>
        <color rgb="FF000000"/>
        <rFont val="楷体"/>
        <charset val="134"/>
      </rPr>
      <t>呦吼互娱</t>
    </r>
  </si>
  <si>
    <r>
      <rPr>
        <sz val="9"/>
        <color rgb="FF000000"/>
        <rFont val="楷体"/>
        <charset val="134"/>
      </rPr>
      <t>北京呦吼互娱文化传播有限责任公司</t>
    </r>
  </si>
  <si>
    <r>
      <t>Data Artisan</t>
    </r>
    <r>
      <rPr>
        <sz val="9"/>
        <color rgb="FF000000"/>
        <rFont val="楷体"/>
        <charset val="134"/>
      </rPr>
      <t>成立于</t>
    </r>
    <r>
      <rPr>
        <sz val="9"/>
        <color rgb="FF000000"/>
        <rFont val="Arial"/>
        <charset val="134"/>
      </rPr>
      <t>2014</t>
    </r>
    <r>
      <rPr>
        <sz val="9"/>
        <color rgb="FF000000"/>
        <rFont val="楷体"/>
        <charset val="134"/>
      </rPr>
      <t>年，专门提供为公司企业部署大规模数据处理解决方案的服务。该公司的解决方案可以实时管理和部署这类数据，以便客户更合理更快速地做出决策。</t>
    </r>
    <r>
      <rPr>
        <sz val="9"/>
        <color rgb="FF000000"/>
        <rFont val="Arial"/>
        <charset val="134"/>
      </rPr>
      <t>Data Artisans</t>
    </r>
    <r>
      <rPr>
        <sz val="9"/>
        <color rgb="FF000000"/>
        <rFont val="楷体"/>
        <charset val="134"/>
      </rPr>
      <t>由开源数据流处理技术</t>
    </r>
    <r>
      <rPr>
        <sz val="9"/>
        <color rgb="FF000000"/>
        <rFont val="Arial"/>
        <charset val="134"/>
      </rPr>
      <t>Apache Fink</t>
    </r>
    <r>
      <rPr>
        <sz val="9"/>
        <color rgb="FF000000"/>
        <rFont val="楷体"/>
        <charset val="134"/>
      </rPr>
      <t>的几位开发者创办。</t>
    </r>
  </si>
  <si>
    <r>
      <t>1.03</t>
    </r>
    <r>
      <rPr>
        <sz val="9"/>
        <color rgb="FF000000"/>
        <rFont val="楷体"/>
        <charset val="134"/>
      </rPr>
      <t>亿美元</t>
    </r>
  </si>
  <si>
    <r>
      <t>7.22</t>
    </r>
    <r>
      <rPr>
        <sz val="9"/>
        <color rgb="FF000000"/>
        <rFont val="楷体"/>
        <charset val="134"/>
      </rPr>
      <t>亿</t>
    </r>
  </si>
  <si>
    <r>
      <t>33.5725</t>
    </r>
    <r>
      <rPr>
        <sz val="9"/>
        <color rgb="FF000000"/>
        <rFont val="楷体"/>
        <charset val="134"/>
      </rPr>
      <t>亿元</t>
    </r>
  </si>
  <si>
    <r>
      <t>550</t>
    </r>
    <r>
      <rPr>
        <sz val="9"/>
        <color rgb="FF000000"/>
        <rFont val="楷体"/>
        <charset val="134"/>
      </rPr>
      <t>万欧元</t>
    </r>
  </si>
  <si>
    <r>
      <t>100</t>
    </r>
    <r>
      <rPr>
        <sz val="9"/>
        <color rgb="FF000000"/>
        <rFont val="楷体"/>
        <charset val="134"/>
      </rPr>
      <t>万欧元</t>
    </r>
  </si>
  <si>
    <r>
      <rPr>
        <sz val="9"/>
        <color rgb="FF000000"/>
        <rFont val="楷体"/>
        <charset val="134"/>
      </rPr>
      <t>苏宁易购</t>
    </r>
  </si>
  <si>
    <r>
      <rPr>
        <sz val="9"/>
        <color rgb="FF000000"/>
        <rFont val="楷体"/>
        <charset val="134"/>
      </rPr>
      <t>苏宁易购</t>
    </r>
  </si>
  <si>
    <r>
      <rPr>
        <sz val="9"/>
        <color rgb="FF000000"/>
        <rFont val="楷体"/>
        <charset val="134"/>
      </rPr>
      <t>苏宁易购集团股份有限公司</t>
    </r>
  </si>
  <si>
    <r>
      <t>88.3</t>
    </r>
    <r>
      <rPr>
        <sz val="9"/>
        <color rgb="FF000000"/>
        <rFont val="楷体"/>
        <charset val="134"/>
      </rPr>
      <t>亿人民币</t>
    </r>
  </si>
  <si>
    <r>
      <t>805.71</t>
    </r>
    <r>
      <rPr>
        <sz val="9"/>
        <color rgb="FF000000"/>
        <rFont val="楷体"/>
        <charset val="134"/>
      </rPr>
      <t>亿</t>
    </r>
  </si>
  <si>
    <r>
      <t>520.6368</t>
    </r>
    <r>
      <rPr>
        <sz val="9"/>
        <color rgb="FF000000"/>
        <rFont val="楷体"/>
        <charset val="134"/>
      </rPr>
      <t>亿元</t>
    </r>
  </si>
  <si>
    <r>
      <t>148</t>
    </r>
    <r>
      <rPr>
        <sz val="9"/>
        <color rgb="FF000000"/>
        <rFont val="楷体"/>
        <charset val="134"/>
      </rPr>
      <t>亿人民币</t>
    </r>
  </si>
  <si>
    <r>
      <t>282.33</t>
    </r>
    <r>
      <rPr>
        <sz val="9"/>
        <color rgb="FF000000"/>
        <rFont val="楷体"/>
        <charset val="134"/>
      </rPr>
      <t>亿人民币</t>
    </r>
  </si>
  <si>
    <r>
      <t>283</t>
    </r>
    <r>
      <rPr>
        <sz val="9"/>
        <color rgb="FF000000"/>
        <rFont val="楷体"/>
        <charset val="134"/>
      </rPr>
      <t>亿人民币</t>
    </r>
  </si>
  <si>
    <r>
      <t>4.08</t>
    </r>
    <r>
      <rPr>
        <sz val="9"/>
        <color rgb="FF000000"/>
        <rFont val="楷体"/>
        <charset val="134"/>
      </rPr>
      <t>亿人民币</t>
    </r>
  </si>
  <si>
    <r>
      <t>KKTV—</t>
    </r>
    <r>
      <rPr>
        <sz val="9"/>
        <color rgb="FF000000"/>
        <rFont val="楷体"/>
        <charset val="134"/>
      </rPr>
      <t>康佳旗下互联网智能电视品牌，打造线上专属、极致体验、高性价比智能电视，隶属于安徽开开视界电子商务有限公司。</t>
    </r>
    <r>
      <rPr>
        <sz val="9"/>
        <color rgb="FF000000"/>
        <rFont val="Arial"/>
        <charset val="134"/>
      </rPr>
      <t xml:space="preserve">
</t>
    </r>
  </si>
  <si>
    <r>
      <rPr>
        <sz val="9"/>
        <color rgb="FF000000"/>
        <rFont val="楷体"/>
        <charset val="134"/>
      </rPr>
      <t>安徽开开视界电子商务有限公司</t>
    </r>
  </si>
  <si>
    <r>
      <t>Bukalapak</t>
    </r>
    <r>
      <rPr>
        <sz val="9"/>
        <color rgb="FF000000"/>
        <rFont val="楷体"/>
        <charset val="134"/>
      </rPr>
      <t>是一个印尼本地电商平台，产品涵盖家电家具、数码产品、美妆个护、男女服饰等多品类，用户购买商品后，等待货物邮寄上门，支付成功即完成订单，支持线上及线下支付；用户可通过官网及</t>
    </r>
    <r>
      <rPr>
        <sz val="9"/>
        <color rgb="FF000000"/>
        <rFont val="Arial"/>
        <charset val="134"/>
      </rPr>
      <t>APP</t>
    </r>
    <r>
      <rPr>
        <sz val="9"/>
        <color rgb="FF000000"/>
        <rFont val="楷体"/>
        <charset val="134"/>
      </rPr>
      <t>获取服务。</t>
    </r>
  </si>
  <si>
    <r>
      <t>111.8</t>
    </r>
    <r>
      <rPr>
        <sz val="9"/>
        <color rgb="FF000000"/>
        <rFont val="楷体"/>
        <charset val="134"/>
      </rPr>
      <t>亿</t>
    </r>
  </si>
  <si>
    <r>
      <t>487.5</t>
    </r>
    <r>
      <rPr>
        <sz val="9"/>
        <color rgb="FF000000"/>
        <rFont val="楷体"/>
        <charset val="134"/>
      </rPr>
      <t>亿元</t>
    </r>
  </si>
  <si>
    <r>
      <t>GIC</t>
    </r>
    <r>
      <rPr>
        <sz val="9"/>
        <color rgb="FF000000"/>
        <rFont val="楷体"/>
        <charset val="134"/>
      </rPr>
      <t>新加坡政府投资公司</t>
    </r>
    <r>
      <rPr>
        <sz val="9"/>
        <color rgb="FF000000"/>
        <rFont val="Arial"/>
        <charset val="134"/>
      </rPr>
      <t>,</t>
    </r>
    <r>
      <rPr>
        <sz val="9"/>
        <color rgb="FF000000"/>
        <rFont val="楷体"/>
        <charset val="134"/>
      </rPr>
      <t>蚂蚁集团</t>
    </r>
    <r>
      <rPr>
        <sz val="9"/>
        <color rgb="FF000000"/>
        <rFont val="Arial"/>
        <charset val="134"/>
      </rPr>
      <t>,Emtek Group,Mirae Asset-Naver Asia Growth Fund</t>
    </r>
  </si>
  <si>
    <r>
      <rPr>
        <sz val="9"/>
        <color rgb="FF000000"/>
        <rFont val="楷体"/>
        <charset val="134"/>
      </rPr>
      <t>居然新零售</t>
    </r>
  </si>
  <si>
    <r>
      <rPr>
        <sz val="9"/>
        <color rgb="FF000000"/>
        <rFont val="楷体"/>
        <charset val="134"/>
      </rPr>
      <t>居然新零售</t>
    </r>
  </si>
  <si>
    <r>
      <rPr>
        <sz val="9"/>
        <color rgb="FF000000"/>
        <rFont val="楷体"/>
        <charset val="134"/>
      </rPr>
      <t>北京居然之家家居连锁有限公司</t>
    </r>
  </si>
  <si>
    <r>
      <t>363</t>
    </r>
    <r>
      <rPr>
        <sz val="9"/>
        <color rgb="FF000000"/>
        <rFont val="楷体"/>
        <charset val="134"/>
      </rPr>
      <t>亿人民币</t>
    </r>
  </si>
  <si>
    <r>
      <rPr>
        <sz val="9"/>
        <color rgb="FF000000"/>
        <rFont val="楷体"/>
        <charset val="134"/>
      </rPr>
      <t>中商集团</t>
    </r>
  </si>
  <si>
    <r>
      <t>417.53</t>
    </r>
    <r>
      <rPr>
        <sz val="9"/>
        <color rgb="FF000000"/>
        <rFont val="楷体"/>
        <charset val="134"/>
      </rPr>
      <t>亿</t>
    </r>
  </si>
  <si>
    <r>
      <t>1815</t>
    </r>
    <r>
      <rPr>
        <sz val="9"/>
        <color rgb="FF000000"/>
        <rFont val="楷体"/>
        <charset val="134"/>
      </rPr>
      <t>亿元</t>
    </r>
  </si>
  <si>
    <r>
      <t>54.53</t>
    </r>
    <r>
      <rPr>
        <sz val="9"/>
        <color rgb="FF000000"/>
        <rFont val="楷体"/>
        <charset val="134"/>
      </rPr>
      <t>亿人民币</t>
    </r>
  </si>
  <si>
    <r>
      <t>6800</t>
    </r>
    <r>
      <rPr>
        <sz val="9"/>
        <color rgb="FF000000"/>
        <rFont val="楷体"/>
        <charset val="134"/>
      </rPr>
      <t>万美元</t>
    </r>
  </si>
  <si>
    <r>
      <rPr>
        <sz val="9"/>
        <color rgb="FF000000"/>
        <rFont val="楷体"/>
        <charset val="134"/>
      </rPr>
      <t>匠多多</t>
    </r>
  </si>
  <si>
    <r>
      <rPr>
        <sz val="9"/>
        <color rgb="FF000000"/>
        <rFont val="楷体"/>
        <charset val="134"/>
      </rPr>
      <t>匠多多</t>
    </r>
  </si>
  <si>
    <r>
      <rPr>
        <sz val="9"/>
        <color rgb="FF000000"/>
        <rFont val="楷体"/>
        <charset val="134"/>
      </rPr>
      <t>河南匠多多信息科技有限公司</t>
    </r>
  </si>
  <si>
    <r>
      <rPr>
        <sz val="9"/>
        <color rgb="FF000000"/>
        <rFont val="楷体"/>
        <charset val="134"/>
      </rPr>
      <t>菜划算</t>
    </r>
  </si>
  <si>
    <r>
      <rPr>
        <sz val="9"/>
        <color rgb="FF000000"/>
        <rFont val="楷体"/>
        <charset val="134"/>
      </rPr>
      <t>杭州菜划算网络科技有限公司</t>
    </r>
  </si>
  <si>
    <r>
      <rPr>
        <sz val="9"/>
        <color rgb="FF000000"/>
        <rFont val="楷体"/>
        <charset val="134"/>
      </rPr>
      <t>熊猫资本</t>
    </r>
  </si>
  <si>
    <r>
      <rPr>
        <sz val="9"/>
        <color rgb="FF000000"/>
        <rFont val="楷体"/>
        <charset val="134"/>
      </rPr>
      <t>友品购购</t>
    </r>
  </si>
  <si>
    <r>
      <rPr>
        <sz val="9"/>
        <color rgb="FF000000"/>
        <rFont val="楷体"/>
        <charset val="134"/>
      </rPr>
      <t>友品购购</t>
    </r>
  </si>
  <si>
    <r>
      <rPr>
        <sz val="9"/>
        <color rgb="FF000000"/>
        <rFont val="楷体"/>
        <charset val="134"/>
      </rPr>
      <t>友品购购是一个一站式购物服务平台。创新性地采用了社群新零售模式，整合海内外供应链资源，打造具有优势的供应链体系，从货源、营销、培训、物流、客服，全面赋能商户。致力于助力商户私域化流量运营，实现一键播货、一件代发。商品涵盖范围广，衣食住行全覆盖，每天还有大量优惠折扣活动。是浙江桉熊网络科技有限公司旗下的产品。</t>
    </r>
  </si>
  <si>
    <r>
      <rPr>
        <sz val="9"/>
        <color rgb="FF000000"/>
        <rFont val="楷体"/>
        <charset val="134"/>
      </rPr>
      <t>浙江桉熊网络科技有限公司</t>
    </r>
  </si>
  <si>
    <r>
      <rPr>
        <sz val="9"/>
        <color rgb="FF000000"/>
        <rFont val="楷体"/>
        <charset val="134"/>
      </rPr>
      <t>大众出行</t>
    </r>
  </si>
  <si>
    <r>
      <rPr>
        <sz val="9"/>
        <color rgb="FF000000"/>
        <rFont val="楷体"/>
        <charset val="134"/>
      </rPr>
      <t>上海大众出行信息技术股份有限公司</t>
    </r>
  </si>
  <si>
    <r>
      <rPr>
        <sz val="9"/>
        <color rgb="FF000000"/>
        <rFont val="楷体"/>
        <charset val="134"/>
      </rPr>
      <t>洪九果品</t>
    </r>
  </si>
  <si>
    <r>
      <rPr>
        <sz val="9"/>
        <color rgb="FF000000"/>
        <rFont val="楷体"/>
        <charset val="134"/>
      </rPr>
      <t>洪九果品</t>
    </r>
  </si>
  <si>
    <r>
      <rPr>
        <sz val="9"/>
        <color rgb="FF000000"/>
        <rFont val="楷体"/>
        <charset val="134"/>
      </rPr>
      <t>洪九果品主要从事全球顶级水果基地的共建与顶级水果资源的整合，拥有覆盖全国的多种销售渠道，并致力于打造品牌水果供应商和果品供应链品牌服务商。</t>
    </r>
  </si>
  <si>
    <r>
      <rPr>
        <sz val="9"/>
        <color rgb="FF000000"/>
        <rFont val="楷体"/>
        <charset val="134"/>
      </rPr>
      <t>重庆洪九果品股份有限公司</t>
    </r>
  </si>
  <si>
    <r>
      <t>4.97</t>
    </r>
    <r>
      <rPr>
        <sz val="9"/>
        <color rgb="FF000000"/>
        <rFont val="楷体"/>
        <charset val="134"/>
      </rPr>
      <t>亿港元</t>
    </r>
  </si>
  <si>
    <r>
      <t>16.97</t>
    </r>
    <r>
      <rPr>
        <sz val="9"/>
        <color rgb="FF000000"/>
        <rFont val="楷体"/>
        <charset val="134"/>
      </rPr>
      <t>亿</t>
    </r>
  </si>
  <si>
    <r>
      <t>149.44</t>
    </r>
    <r>
      <rPr>
        <sz val="9"/>
        <color rgb="FF000000"/>
        <rFont val="楷体"/>
        <charset val="134"/>
      </rPr>
      <t>亿元</t>
    </r>
  </si>
  <si>
    <r>
      <t>2600</t>
    </r>
    <r>
      <rPr>
        <sz val="9"/>
        <color rgb="FF000000"/>
        <rFont val="楷体"/>
        <charset val="134"/>
      </rPr>
      <t>万美元</t>
    </r>
  </si>
  <si>
    <r>
      <t>VMate</t>
    </r>
    <r>
      <rPr>
        <sz val="9"/>
        <color rgb="FF000000"/>
        <rFont val="楷体"/>
        <charset val="134"/>
      </rPr>
      <t>是一家印度短视频社区，面向年轻用户提供短视频</t>
    </r>
    <r>
      <rPr>
        <sz val="9"/>
        <color rgb="FF000000"/>
        <rFont val="Arial"/>
        <charset val="134"/>
      </rPr>
      <t>UGC</t>
    </r>
    <r>
      <rPr>
        <sz val="9"/>
        <color rgb="FF000000"/>
        <rFont val="楷体"/>
        <charset val="134"/>
      </rPr>
      <t>内容社区，主打普通人的生活纪录和分享，用户可以在线分享视频并下载其他用户的视频。</t>
    </r>
  </si>
  <si>
    <r>
      <rPr>
        <sz val="9"/>
        <color rgb="FF000000"/>
        <rFont val="楷体"/>
        <charset val="134"/>
      </rPr>
      <t>华泰证券</t>
    </r>
  </si>
  <si>
    <r>
      <rPr>
        <sz val="9"/>
        <color rgb="FF000000"/>
        <rFont val="楷体"/>
        <charset val="134"/>
      </rPr>
      <t>华泰证券</t>
    </r>
  </si>
  <si>
    <r>
      <rPr>
        <sz val="9"/>
        <color rgb="FF000000"/>
        <rFont val="楷体"/>
        <charset val="134"/>
      </rPr>
      <t>华泰证券是一家综合类证券服务公司，以投资银行业务、证券经纪业务、资产管理业务为核心，为用户提供开户、业务办理查询、炒股咨询与代理服务。</t>
    </r>
  </si>
  <si>
    <r>
      <rPr>
        <sz val="9"/>
        <color rgb="FF000000"/>
        <rFont val="楷体"/>
        <charset val="134"/>
      </rPr>
      <t>华泰证券股份有限公司</t>
    </r>
  </si>
  <si>
    <r>
      <t>16.92</t>
    </r>
    <r>
      <rPr>
        <sz val="9"/>
        <color rgb="FF000000"/>
        <rFont val="楷体"/>
        <charset val="134"/>
      </rPr>
      <t>亿美元</t>
    </r>
  </si>
  <si>
    <r>
      <t>709.46</t>
    </r>
    <r>
      <rPr>
        <sz val="9"/>
        <color rgb="FF000000"/>
        <rFont val="楷体"/>
        <charset val="134"/>
      </rPr>
      <t>亿</t>
    </r>
  </si>
  <si>
    <r>
      <t>549.9</t>
    </r>
    <r>
      <rPr>
        <sz val="9"/>
        <color rgb="FF000000"/>
        <rFont val="楷体"/>
        <charset val="134"/>
      </rPr>
      <t>亿元</t>
    </r>
  </si>
  <si>
    <r>
      <t>142</t>
    </r>
    <r>
      <rPr>
        <sz val="9"/>
        <color rgb="FF000000"/>
        <rFont val="楷体"/>
        <charset val="134"/>
      </rPr>
      <t>亿人民币</t>
    </r>
  </si>
  <si>
    <r>
      <t>347.2</t>
    </r>
    <r>
      <rPr>
        <sz val="9"/>
        <color rgb="FF000000"/>
        <rFont val="楷体"/>
        <charset val="134"/>
      </rPr>
      <t>亿港元</t>
    </r>
  </si>
  <si>
    <r>
      <rPr>
        <sz val="9"/>
        <color rgb="FF000000"/>
        <rFont val="楷体"/>
        <charset val="134"/>
      </rPr>
      <t>高瓴投资</t>
    </r>
  </si>
  <si>
    <r>
      <t>156.91</t>
    </r>
    <r>
      <rPr>
        <sz val="9"/>
        <color rgb="FF000000"/>
        <rFont val="楷体"/>
        <charset val="134"/>
      </rPr>
      <t>亿人民币</t>
    </r>
  </si>
  <si>
    <r>
      <t>T3</t>
    </r>
    <r>
      <rPr>
        <sz val="9"/>
        <color rgb="FF000000"/>
        <rFont val="楷体"/>
        <charset val="134"/>
      </rPr>
      <t>出行</t>
    </r>
  </si>
  <si>
    <r>
      <t>T3</t>
    </r>
    <r>
      <rPr>
        <sz val="9"/>
        <color rgb="FF000000"/>
        <rFont val="楷体"/>
        <charset val="134"/>
      </rPr>
      <t>出行</t>
    </r>
  </si>
  <si>
    <r>
      <t>T3</t>
    </r>
    <r>
      <rPr>
        <sz val="9"/>
        <color rgb="FF000000"/>
        <rFont val="楷体"/>
        <charset val="134"/>
      </rPr>
      <t>出行是一个智慧出行服务商，通过功能强大的出行平台、与地方交通企业密切的合作、充分整合的服务资源、定制化的产品，致力为用户提供</t>
    </r>
    <r>
      <rPr>
        <sz val="9"/>
        <color rgb="FF000000"/>
        <rFont val="Arial"/>
        <charset val="134"/>
      </rPr>
      <t>“</t>
    </r>
    <r>
      <rPr>
        <sz val="9"/>
        <color rgb="FF000000"/>
        <rFont val="楷体"/>
        <charset val="134"/>
      </rPr>
      <t>安全、便捷、品质</t>
    </r>
    <r>
      <rPr>
        <sz val="9"/>
        <color rgb="FF000000"/>
        <rFont val="Arial"/>
        <charset val="134"/>
      </rPr>
      <t xml:space="preserve">” </t>
    </r>
    <r>
      <rPr>
        <sz val="9"/>
        <color rgb="FF000000"/>
        <rFont val="楷体"/>
        <charset val="134"/>
      </rPr>
      <t>出行服务，南京领行科技股份有限公司旗下服务品牌。</t>
    </r>
  </si>
  <si>
    <r>
      <rPr>
        <sz val="9"/>
        <color rgb="FF000000"/>
        <rFont val="楷体"/>
        <charset val="134"/>
      </rPr>
      <t>南京领行科技股份有限公司</t>
    </r>
  </si>
  <si>
    <r>
      <rPr>
        <sz val="9"/>
        <color rgb="FF000000"/>
        <rFont val="楷体"/>
        <charset val="134"/>
      </rPr>
      <t>洪泰基金</t>
    </r>
  </si>
  <si>
    <r>
      <t>110</t>
    </r>
    <r>
      <rPr>
        <sz val="9"/>
        <color rgb="FF000000"/>
        <rFont val="楷体"/>
        <charset val="134"/>
      </rPr>
      <t>亿</t>
    </r>
  </si>
  <si>
    <r>
      <t>380</t>
    </r>
    <r>
      <rPr>
        <sz val="9"/>
        <color rgb="FF000000"/>
        <rFont val="楷体"/>
        <charset val="134"/>
      </rPr>
      <t>亿元</t>
    </r>
  </si>
  <si>
    <r>
      <rPr>
        <sz val="9"/>
        <color rgb="FF000000"/>
        <rFont val="楷体"/>
        <charset val="134"/>
      </rPr>
      <t>平头哥半导体</t>
    </r>
  </si>
  <si>
    <r>
      <rPr>
        <sz val="9"/>
        <color rgb="FF000000"/>
        <rFont val="楷体"/>
        <charset val="134"/>
      </rPr>
      <t>平头哥半导体</t>
    </r>
  </si>
  <si>
    <r>
      <rPr>
        <sz val="9"/>
        <color rgb="FF000000"/>
        <rFont val="楷体"/>
        <charset val="134"/>
      </rPr>
      <t>平头哥半导体有限公司</t>
    </r>
  </si>
  <si>
    <r>
      <rPr>
        <sz val="9"/>
        <color rgb="FF000000"/>
        <rFont val="楷体"/>
        <charset val="134"/>
      </rPr>
      <t>行云创新</t>
    </r>
  </si>
  <si>
    <r>
      <rPr>
        <sz val="9"/>
        <color rgb="FF000000"/>
        <rFont val="楷体"/>
        <charset val="134"/>
      </rPr>
      <t>深圳行云创新科技有限公司</t>
    </r>
  </si>
  <si>
    <r>
      <rPr>
        <sz val="9"/>
        <color rgb="FF000000"/>
        <rFont val="楷体"/>
        <charset val="134"/>
      </rPr>
      <t>正轩投资</t>
    </r>
  </si>
  <si>
    <r>
      <rPr>
        <sz val="9"/>
        <color rgb="FF000000"/>
        <rFont val="楷体"/>
        <charset val="134"/>
      </rPr>
      <t>国投东兴</t>
    </r>
  </si>
  <si>
    <r>
      <rPr>
        <sz val="9"/>
        <color rgb="FF000000"/>
        <rFont val="楷体"/>
        <charset val="134"/>
      </rPr>
      <t>北京寰宜商贸有限公司</t>
    </r>
  </si>
  <si>
    <r>
      <rPr>
        <sz val="9"/>
        <color rgb="FF000000"/>
        <rFont val="楷体"/>
        <charset val="134"/>
      </rPr>
      <t>七熹投资</t>
    </r>
  </si>
  <si>
    <r>
      <rPr>
        <sz val="9"/>
        <color rgb="FF000000"/>
        <rFont val="楷体"/>
        <charset val="134"/>
      </rPr>
      <t>元戎启行</t>
    </r>
  </si>
  <si>
    <r>
      <rPr>
        <sz val="9"/>
        <color rgb="FF000000"/>
        <rFont val="楷体"/>
        <charset val="134"/>
      </rPr>
      <t>元戎启行</t>
    </r>
  </si>
  <si>
    <r>
      <rPr>
        <sz val="9"/>
        <color rgb="FF000000"/>
        <rFont val="楷体"/>
        <charset val="134"/>
      </rPr>
      <t>深圳元戎启行科技有限公司</t>
    </r>
  </si>
  <si>
    <r>
      <t>Ventech China</t>
    </r>
    <r>
      <rPr>
        <sz val="9"/>
        <color rgb="FF000000"/>
        <rFont val="楷体"/>
        <charset val="134"/>
      </rPr>
      <t>银泰资本</t>
    </r>
    <r>
      <rPr>
        <sz val="9"/>
        <color rgb="FF000000"/>
        <rFont val="Arial"/>
        <charset val="134"/>
      </rPr>
      <t>,</t>
    </r>
    <r>
      <rPr>
        <sz val="9"/>
        <color rgb="FF000000"/>
        <rFont val="楷体"/>
        <charset val="134"/>
      </rPr>
      <t>松禾资本</t>
    </r>
    <r>
      <rPr>
        <sz val="9"/>
        <color rgb="FF000000"/>
        <rFont val="Arial"/>
        <charset val="134"/>
      </rPr>
      <t>,</t>
    </r>
    <r>
      <rPr>
        <sz val="9"/>
        <color rgb="FF000000"/>
        <rFont val="楷体"/>
        <charset val="134"/>
      </rPr>
      <t>复星锐正资本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松禾远望</t>
    </r>
  </si>
  <si>
    <r>
      <rPr>
        <sz val="9"/>
        <color rgb="FF000000"/>
        <rFont val="楷体"/>
        <charset val="134"/>
      </rPr>
      <t>长鑫存储</t>
    </r>
  </si>
  <si>
    <r>
      <rPr>
        <sz val="9"/>
        <color rgb="FF000000"/>
        <rFont val="楷体"/>
        <charset val="134"/>
      </rPr>
      <t>长鑫存储技术有限公司</t>
    </r>
  </si>
  <si>
    <r>
      <t>156.5</t>
    </r>
    <r>
      <rPr>
        <sz val="9"/>
        <color rgb="FF000000"/>
        <rFont val="楷体"/>
        <charset val="134"/>
      </rPr>
      <t>亿人民币</t>
    </r>
  </si>
  <si>
    <r>
      <rPr>
        <sz val="9"/>
        <color rgb="FF000000"/>
        <rFont val="楷体"/>
        <charset val="134"/>
      </rPr>
      <t>新鲜严选天鲜配</t>
    </r>
  </si>
  <si>
    <r>
      <rPr>
        <sz val="9"/>
        <color rgb="FF000000"/>
        <rFont val="楷体"/>
        <charset val="134"/>
      </rPr>
      <t>新鲜严选天鲜配</t>
    </r>
  </si>
  <si>
    <r>
      <rPr>
        <sz val="9"/>
        <color rgb="FF000000"/>
        <rFont val="楷体"/>
        <charset val="134"/>
      </rPr>
      <t>天鲜配（上海）科技有限公司</t>
    </r>
  </si>
  <si>
    <r>
      <t>Area28 Technologies</t>
    </r>
    <r>
      <rPr>
        <sz val="9"/>
        <color rgb="FF000000"/>
        <rFont val="楷体"/>
        <charset val="134"/>
      </rPr>
      <t>是一家中国香港的游戏开发服务提供商，致力于打造</t>
    </r>
    <r>
      <rPr>
        <sz val="9"/>
        <color rgb="FF000000"/>
        <rFont val="Arial"/>
        <charset val="134"/>
      </rPr>
      <t>“</t>
    </r>
    <r>
      <rPr>
        <sz val="9"/>
        <color rgb="FF000000"/>
        <rFont val="楷体"/>
        <charset val="134"/>
      </rPr>
      <t>世界上第一个基于云的协作平台和游戏引擎，让游戏开发团队能够实时连接和创造</t>
    </r>
    <r>
      <rPr>
        <sz val="9"/>
        <color rgb="FF000000"/>
        <rFont val="Arial"/>
        <charset val="134"/>
      </rPr>
      <t>”</t>
    </r>
    <r>
      <rPr>
        <sz val="9"/>
        <color rgb="FF000000"/>
        <rFont val="楷体"/>
        <charset val="134"/>
      </rPr>
      <t>。</t>
    </r>
  </si>
  <si>
    <r>
      <t>215</t>
    </r>
    <r>
      <rPr>
        <sz val="9"/>
        <color rgb="FF000000"/>
        <rFont val="楷体"/>
        <charset val="134"/>
      </rPr>
      <t>万美元</t>
    </r>
  </si>
  <si>
    <r>
      <t>1397.5</t>
    </r>
    <r>
      <rPr>
        <sz val="9"/>
        <color rgb="FF000000"/>
        <rFont val="楷体"/>
        <charset val="134"/>
      </rPr>
      <t>万</t>
    </r>
  </si>
  <si>
    <r>
      <t>6987.5</t>
    </r>
    <r>
      <rPr>
        <sz val="9"/>
        <color rgb="FF000000"/>
        <rFont val="楷体"/>
        <charset val="134"/>
      </rPr>
      <t>万元</t>
    </r>
  </si>
  <si>
    <r>
      <rPr>
        <sz val="9"/>
        <color rgb="FF000000"/>
        <rFont val="楷体"/>
        <charset val="134"/>
      </rPr>
      <t>昕动出行</t>
    </r>
  </si>
  <si>
    <r>
      <rPr>
        <sz val="9"/>
        <color rgb="FF000000"/>
        <rFont val="楷体"/>
        <charset val="134"/>
      </rPr>
      <t>昕动出行</t>
    </r>
  </si>
  <si>
    <r>
      <rPr>
        <sz val="9"/>
        <color rgb="FF000000"/>
        <rFont val="楷体"/>
        <charset val="134"/>
      </rPr>
      <t>昕动出行是一家数据驱动的移动出行综合服务提供商，立足于粤港澳大湾区，计划走向全国，主要从事网约车、新能源汽车研发等相关业务。</t>
    </r>
  </si>
  <si>
    <r>
      <rPr>
        <sz val="9"/>
        <color rgb="FF000000"/>
        <rFont val="楷体"/>
        <charset val="134"/>
      </rPr>
      <t>广东昕动出行科技有限公司</t>
    </r>
  </si>
  <si>
    <r>
      <t>1500</t>
    </r>
    <r>
      <rPr>
        <sz val="9"/>
        <color rgb="FF000000"/>
        <rFont val="楷体"/>
        <charset val="134"/>
      </rPr>
      <t>万</t>
    </r>
  </si>
  <si>
    <r>
      <t>Quibi</t>
    </r>
    <r>
      <rPr>
        <sz val="9"/>
        <color rgb="FF000000"/>
        <rFont val="楷体"/>
        <charset val="134"/>
      </rPr>
      <t>是美国一家短视频制作及新闻资讯内容提供商，该公司主营短视频制作以及新闻资讯提供内容，其制作的短视频时长在</t>
    </r>
    <r>
      <rPr>
        <sz val="9"/>
        <color rgb="FF000000"/>
        <rFont val="Arial"/>
        <charset val="134"/>
      </rPr>
      <t>10</t>
    </r>
    <r>
      <rPr>
        <sz val="9"/>
        <color rgb="FF000000"/>
        <rFont val="楷体"/>
        <charset val="134"/>
      </rPr>
      <t>分钟左右，并且用户可在平台查看体育、生活等方面的资讯内容。</t>
    </r>
  </si>
  <si>
    <r>
      <t>191.75</t>
    </r>
    <r>
      <rPr>
        <sz val="9"/>
        <color rgb="FF000000"/>
        <rFont val="楷体"/>
        <charset val="134"/>
      </rPr>
      <t>亿</t>
    </r>
  </si>
  <si>
    <r>
      <t>Warner Bros.</t>
    </r>
    <r>
      <rPr>
        <sz val="9"/>
        <color rgb="FF000000"/>
        <rFont val="楷体"/>
        <charset val="134"/>
      </rPr>
      <t>华纳兄弟</t>
    </r>
    <r>
      <rPr>
        <sz val="9"/>
        <color rgb="FF000000"/>
        <rFont val="Arial"/>
        <charset val="134"/>
      </rPr>
      <t>,21st Century Fox</t>
    </r>
  </si>
  <si>
    <r>
      <rPr>
        <sz val="9"/>
        <color rgb="FF000000"/>
        <rFont val="楷体"/>
        <charset val="134"/>
      </rPr>
      <t>瀚博半导体</t>
    </r>
  </si>
  <si>
    <r>
      <rPr>
        <sz val="9"/>
        <color rgb="FF000000"/>
        <rFont val="楷体"/>
        <charset val="134"/>
      </rPr>
      <t>瀚博半导体（上海）有限公司</t>
    </r>
  </si>
  <si>
    <r>
      <rPr>
        <sz val="9"/>
        <color rgb="FF000000"/>
        <rFont val="楷体"/>
        <charset val="134"/>
      </rPr>
      <t>易平方</t>
    </r>
  </si>
  <si>
    <r>
      <rPr>
        <sz val="9"/>
        <color rgb="FF000000"/>
        <rFont val="楷体"/>
        <charset val="134"/>
      </rPr>
      <t>易平方</t>
    </r>
  </si>
  <si>
    <r>
      <rPr>
        <sz val="9"/>
        <color rgb="FF000000"/>
        <rFont val="楷体"/>
        <charset val="134"/>
      </rPr>
      <t>重庆市易平方科技有限公司</t>
    </r>
  </si>
  <si>
    <r>
      <rPr>
        <sz val="9"/>
        <color rgb="FF000000"/>
        <rFont val="楷体"/>
        <charset val="134"/>
      </rPr>
      <t>其他工业</t>
    </r>
  </si>
  <si>
    <r>
      <t>Amwise Diagnostics</t>
    </r>
    <r>
      <rPr>
        <sz val="9"/>
        <color rgb="FF000000"/>
        <rFont val="楷体"/>
        <charset val="134"/>
      </rPr>
      <t>是一个亚洲乳腺癌精准医疗平台，透过专利的基因分析检测技术，协助医师与病人拟定合适的治疗策略，以达治疗最佳化、副作用最小化的个人医类应用。已完成全球唯一采用亚洲人种基因库发展而成的乳腺癌复发风险检测，为临床提供肿瘤精准检测方案。</t>
    </r>
  </si>
  <si>
    <r>
      <rPr>
        <sz val="9"/>
        <color rgb="FF000000"/>
        <rFont val="楷体"/>
        <charset val="134"/>
      </rPr>
      <t>医疗信息化</t>
    </r>
  </si>
  <si>
    <r>
      <rPr>
        <sz val="9"/>
        <color rgb="FF000000"/>
        <rFont val="楷体"/>
        <charset val="134"/>
      </rPr>
      <t>先声控股</t>
    </r>
  </si>
  <si>
    <r>
      <rPr>
        <sz val="9"/>
        <color rgb="FF000000"/>
        <rFont val="楷体"/>
        <charset val="134"/>
      </rPr>
      <t>杰毅生物</t>
    </r>
  </si>
  <si>
    <r>
      <rPr>
        <sz val="9"/>
        <color rgb="FF000000"/>
        <rFont val="楷体"/>
        <charset val="134"/>
      </rPr>
      <t>杭州杰毅生物技术有限公司</t>
    </r>
  </si>
  <si>
    <r>
      <rPr>
        <sz val="9"/>
        <color rgb="FF000000"/>
        <rFont val="楷体"/>
        <charset val="134"/>
      </rPr>
      <t>辰德资本</t>
    </r>
  </si>
  <si>
    <r>
      <t>Hotelmize</t>
    </r>
    <r>
      <rPr>
        <sz val="9"/>
        <color rgb="FF000000"/>
        <rFont val="楷体"/>
        <charset val="134"/>
      </rPr>
      <t>是一家英国酒店</t>
    </r>
    <r>
      <rPr>
        <sz val="9"/>
        <color rgb="FF000000"/>
        <rFont val="Arial"/>
        <charset val="134"/>
      </rPr>
      <t>AI</t>
    </r>
    <r>
      <rPr>
        <sz val="9"/>
        <color rgb="FF000000"/>
        <rFont val="楷体"/>
        <charset val="134"/>
      </rPr>
      <t>价格预测和收益优化技术开发商，主要为酒店分销商、批发商和旅行代理提供利润优化方案。通过人工智能跟踪预测酒店价格波动，并将酒店客房作为商品来帮助酒店分销商提高盈利能力。并为用户提供了商业智能和收益管理系统。</t>
    </r>
  </si>
  <si>
    <r>
      <t>2.98</t>
    </r>
    <r>
      <rPr>
        <sz val="9"/>
        <color rgb="FF000000"/>
        <rFont val="楷体"/>
        <charset val="134"/>
      </rPr>
      <t>亿</t>
    </r>
  </si>
  <si>
    <r>
      <t>3.9</t>
    </r>
    <r>
      <rPr>
        <sz val="9"/>
        <color rgb="FF000000"/>
        <rFont val="楷体"/>
        <charset val="134"/>
      </rPr>
      <t>亿元</t>
    </r>
  </si>
  <si>
    <r>
      <rPr>
        <sz val="9"/>
        <color rgb="FF000000"/>
        <rFont val="楷体"/>
        <charset val="134"/>
      </rPr>
      <t>中科微针</t>
    </r>
  </si>
  <si>
    <r>
      <rPr>
        <sz val="9"/>
        <color rgb="FF000000"/>
        <rFont val="楷体"/>
        <charset val="134"/>
      </rPr>
      <t>中科微针（北京）科技有限公司</t>
    </r>
  </si>
  <si>
    <r>
      <rPr>
        <sz val="9"/>
        <color rgb="FF000000"/>
        <rFont val="楷体"/>
        <charset val="134"/>
      </rPr>
      <t>重庆中科盈晖基金</t>
    </r>
  </si>
  <si>
    <r>
      <rPr>
        <sz val="9"/>
        <color rgb="FF000000"/>
        <rFont val="楷体"/>
        <charset val="134"/>
      </rPr>
      <t>飞象互联</t>
    </r>
  </si>
  <si>
    <r>
      <rPr>
        <sz val="9"/>
        <color rgb="FF000000"/>
        <rFont val="楷体"/>
        <charset val="134"/>
      </rPr>
      <t>重庆飞象工业互联网有限公司</t>
    </r>
  </si>
  <si>
    <r>
      <rPr>
        <sz val="9"/>
        <color rgb="FF000000"/>
        <rFont val="楷体"/>
        <charset val="134"/>
      </rPr>
      <t>衢州新闻网</t>
    </r>
  </si>
  <si>
    <r>
      <rPr>
        <sz val="9"/>
        <color rgb="FF000000"/>
        <rFont val="楷体"/>
        <charset val="134"/>
      </rPr>
      <t>浙江信安数智科技有限公司</t>
    </r>
  </si>
  <si>
    <r>
      <rPr>
        <sz val="9"/>
        <color rgb="FF000000"/>
        <rFont val="楷体"/>
        <charset val="134"/>
      </rPr>
      <t>飞腾信息</t>
    </r>
  </si>
  <si>
    <r>
      <rPr>
        <sz val="9"/>
        <color rgb="FF000000"/>
        <rFont val="楷体"/>
        <charset val="134"/>
      </rPr>
      <t>飞腾信息技术有限公司</t>
    </r>
  </si>
  <si>
    <r>
      <rPr>
        <sz val="9"/>
        <color rgb="FF000000"/>
        <rFont val="楷体"/>
        <charset val="134"/>
      </rPr>
      <t>中青恒辉资产</t>
    </r>
  </si>
  <si>
    <r>
      <rPr>
        <sz val="9"/>
        <color rgb="FF000000"/>
        <rFont val="楷体"/>
        <charset val="134"/>
      </rPr>
      <t>昱林基金</t>
    </r>
  </si>
  <si>
    <r>
      <rPr>
        <sz val="9"/>
        <color rgb="FF000000"/>
        <rFont val="楷体"/>
        <charset val="134"/>
      </rPr>
      <t>鑫蜂维</t>
    </r>
  </si>
  <si>
    <r>
      <rPr>
        <sz val="9"/>
        <color rgb="FF000000"/>
        <rFont val="楷体"/>
        <charset val="134"/>
      </rPr>
      <t>鑫蜂维</t>
    </r>
  </si>
  <si>
    <r>
      <rPr>
        <sz val="9"/>
        <color rgb="FF000000"/>
        <rFont val="楷体"/>
        <charset val="134"/>
      </rPr>
      <t>杭州鑫蜂维网络科技有限公司</t>
    </r>
  </si>
  <si>
    <r>
      <rPr>
        <sz val="9"/>
        <color rgb="FF000000"/>
        <rFont val="楷体"/>
        <charset val="134"/>
      </rPr>
      <t>至临资本</t>
    </r>
  </si>
  <si>
    <r>
      <rPr>
        <sz val="9"/>
        <color rgb="FF000000"/>
        <rFont val="楷体"/>
        <charset val="134"/>
      </rPr>
      <t>海尔智家</t>
    </r>
  </si>
  <si>
    <r>
      <rPr>
        <sz val="9"/>
        <color rgb="FF000000"/>
        <rFont val="楷体"/>
        <charset val="134"/>
      </rPr>
      <t>海尔智家</t>
    </r>
  </si>
  <si>
    <r>
      <rPr>
        <sz val="9"/>
        <color rgb="FF000000"/>
        <rFont val="楷体"/>
        <charset val="134"/>
      </rPr>
      <t>海尔智家是为全球用户定制美好生活解决方案的智慧家庭生态品牌商，总部位于中国青岛。公司设计、制造及销售包括冰箱、洗衣机、空调、热水器、厨电及小家电等种类齐全的智慧家电，同时还专注于渠道综合服务业务。</t>
    </r>
  </si>
  <si>
    <r>
      <rPr>
        <sz val="9"/>
        <color rgb="FF000000"/>
        <rFont val="楷体"/>
        <charset val="134"/>
      </rPr>
      <t>海尔智家股份有限公司</t>
    </r>
  </si>
  <si>
    <r>
      <t>32.15</t>
    </r>
    <r>
      <rPr>
        <sz val="9"/>
        <color rgb="FF000000"/>
        <rFont val="楷体"/>
        <charset val="134"/>
      </rPr>
      <t>亿人民币</t>
    </r>
  </si>
  <si>
    <r>
      <t>36.84</t>
    </r>
    <r>
      <rPr>
        <sz val="9"/>
        <color rgb="FF000000"/>
        <rFont val="楷体"/>
        <charset val="134"/>
      </rPr>
      <t>亿</t>
    </r>
  </si>
  <si>
    <r>
      <t>160.75</t>
    </r>
    <r>
      <rPr>
        <sz val="9"/>
        <color rgb="FF000000"/>
        <rFont val="楷体"/>
        <charset val="134"/>
      </rPr>
      <t>亿元</t>
    </r>
  </si>
  <si>
    <r>
      <rPr>
        <sz val="9"/>
        <color rgb="FF000000"/>
        <rFont val="楷体"/>
        <charset val="134"/>
      </rPr>
      <t>青岛市崂山区海尔工业园内</t>
    </r>
  </si>
  <si>
    <r>
      <t>3.69</t>
    </r>
    <r>
      <rPr>
        <sz val="9"/>
        <color rgb="FF000000"/>
        <rFont val="楷体"/>
        <charset val="134"/>
      </rPr>
      <t>亿人民币</t>
    </r>
  </si>
  <si>
    <r>
      <rPr>
        <sz val="9"/>
        <color rgb="FF000000"/>
        <rFont val="楷体"/>
        <charset val="134"/>
      </rPr>
      <t>智己汽车</t>
    </r>
  </si>
  <si>
    <r>
      <rPr>
        <sz val="9"/>
        <color rgb="FF000000"/>
        <rFont val="楷体"/>
        <charset val="134"/>
      </rPr>
      <t>智己汽车</t>
    </r>
  </si>
  <si>
    <r>
      <rPr>
        <sz val="9"/>
        <color rgb="FF000000"/>
        <rFont val="楷体"/>
        <charset val="134"/>
      </rPr>
      <t>智己汽车科技有限公司</t>
    </r>
  </si>
  <si>
    <r>
      <t>300</t>
    </r>
    <r>
      <rPr>
        <sz val="9"/>
        <color rgb="FF000000"/>
        <rFont val="楷体"/>
        <charset val="134"/>
      </rPr>
      <t>亿元</t>
    </r>
  </si>
  <si>
    <r>
      <rPr>
        <sz val="9"/>
        <color rgb="FF000000"/>
        <rFont val="楷体"/>
        <charset val="134"/>
      </rPr>
      <t>张江高科技园区</t>
    </r>
  </si>
  <si>
    <r>
      <rPr>
        <sz val="9"/>
        <color rgb="FF000000"/>
        <rFont val="楷体"/>
        <charset val="134"/>
      </rPr>
      <t>及时格子</t>
    </r>
  </si>
  <si>
    <r>
      <rPr>
        <sz val="9"/>
        <color rgb="FF000000"/>
        <rFont val="楷体"/>
        <charset val="134"/>
      </rPr>
      <t>安徽简衣网络科技有限公司</t>
    </r>
  </si>
  <si>
    <r>
      <t>6800</t>
    </r>
    <r>
      <rPr>
        <sz val="9"/>
        <color rgb="FF000000"/>
        <rFont val="楷体"/>
        <charset val="134"/>
      </rPr>
      <t>万人民币</t>
    </r>
  </si>
  <si>
    <r>
      <rPr>
        <sz val="9"/>
        <color rgb="FF000000"/>
        <rFont val="楷体"/>
        <charset val="134"/>
      </rPr>
      <t>黑标创投</t>
    </r>
  </si>
  <si>
    <r>
      <rPr>
        <sz val="9"/>
        <color rgb="FF000000"/>
        <rFont val="楷体"/>
        <charset val="134"/>
      </rPr>
      <t>三禾服装</t>
    </r>
  </si>
  <si>
    <r>
      <rPr>
        <sz val="9"/>
        <color rgb="FF000000"/>
        <rFont val="楷体"/>
        <charset val="134"/>
      </rPr>
      <t>三禾服装</t>
    </r>
  </si>
  <si>
    <r>
      <rPr>
        <sz val="9"/>
        <color rgb="FF000000"/>
        <rFont val="楷体"/>
        <charset val="134"/>
      </rPr>
      <t>上海三禾服装是一家服装智能管理输送系统方案制造商，专注于为服装企业提供智能吊挂、悬挂输送、平面输送、服装分拣、悬挂服装智能立体仓储等解决方案。主要产品包括服装手动输送线、电动输送线、智能管理悬挂输送系统、智能管理平面输送系统、悬挂服装智能分拣系统等。</t>
    </r>
  </si>
  <si>
    <r>
      <rPr>
        <sz val="9"/>
        <color rgb="FF000000"/>
        <rFont val="楷体"/>
        <charset val="134"/>
      </rPr>
      <t>上海三禾服装物流设备制造有限公司</t>
    </r>
  </si>
  <si>
    <r>
      <rPr>
        <sz val="9"/>
        <color rgb="FF000000"/>
        <rFont val="楷体"/>
        <charset val="134"/>
      </rPr>
      <t>盒小马</t>
    </r>
  </si>
  <si>
    <r>
      <rPr>
        <sz val="9"/>
        <color rgb="FF000000"/>
        <rFont val="楷体"/>
        <charset val="134"/>
      </rPr>
      <t>盒小马</t>
    </r>
  </si>
  <si>
    <r>
      <rPr>
        <sz val="9"/>
        <color rgb="FF000000"/>
        <rFont val="楷体"/>
        <charset val="134"/>
      </rPr>
      <t>盒小马是一家生鲜产品精品超市，专注于销售新鲜产品的规模食品零售业务，由阿里巴巴和大润发超市联合打造，而后被大润发收购了全部股权。</t>
    </r>
  </si>
  <si>
    <r>
      <rPr>
        <sz val="9"/>
        <color rgb="FF000000"/>
        <rFont val="楷体"/>
        <charset val="134"/>
      </rPr>
      <t>上海盒小马网络科技有限公司</t>
    </r>
  </si>
  <si>
    <r>
      <t>2550</t>
    </r>
    <r>
      <rPr>
        <sz val="9"/>
        <color rgb="FF000000"/>
        <rFont val="楷体"/>
        <charset val="134"/>
      </rPr>
      <t>万人民币</t>
    </r>
  </si>
  <si>
    <r>
      <t>5100</t>
    </r>
    <r>
      <rPr>
        <sz val="9"/>
        <color rgb="FF000000"/>
        <rFont val="楷体"/>
        <charset val="134"/>
      </rPr>
      <t>万</t>
    </r>
  </si>
  <si>
    <r>
      <t>1.275</t>
    </r>
    <r>
      <rPr>
        <sz val="9"/>
        <color rgb="FF000000"/>
        <rFont val="楷体"/>
        <charset val="134"/>
      </rPr>
      <t>亿元</t>
    </r>
  </si>
  <si>
    <r>
      <rPr>
        <sz val="9"/>
        <color rgb="FF000000"/>
        <rFont val="楷体"/>
        <charset val="134"/>
      </rPr>
      <t>喜屏传媒</t>
    </r>
  </si>
  <si>
    <r>
      <rPr>
        <sz val="9"/>
        <color rgb="FF000000"/>
        <rFont val="楷体"/>
        <charset val="134"/>
      </rPr>
      <t>深圳喜屏文化传媒有限公司</t>
    </r>
  </si>
  <si>
    <r>
      <rPr>
        <sz val="9"/>
        <color rgb="FF000000"/>
        <rFont val="楷体"/>
        <charset val="134"/>
      </rPr>
      <t>青松基金</t>
    </r>
  </si>
  <si>
    <r>
      <rPr>
        <sz val="9"/>
        <color rgb="FF000000"/>
        <rFont val="楷体"/>
        <charset val="134"/>
      </rPr>
      <t>视杏科技</t>
    </r>
  </si>
  <si>
    <r>
      <rPr>
        <sz val="9"/>
        <color rgb="FF000000"/>
        <rFont val="楷体"/>
        <charset val="134"/>
      </rPr>
      <t>杭州视杏科技有限公司</t>
    </r>
  </si>
  <si>
    <r>
      <rPr>
        <sz val="9"/>
        <color rgb="FF000000"/>
        <rFont val="楷体"/>
        <charset val="134"/>
      </rPr>
      <t>恒宇医疗</t>
    </r>
  </si>
  <si>
    <r>
      <rPr>
        <sz val="9"/>
        <color rgb="FF000000"/>
        <rFont val="楷体"/>
        <charset val="134"/>
      </rPr>
      <t>恒宇医疗</t>
    </r>
  </si>
  <si>
    <r>
      <rPr>
        <sz val="9"/>
        <color rgb="FF000000"/>
        <rFont val="楷体"/>
        <charset val="134"/>
      </rPr>
      <t>天津恒宇医疗科技有限公司</t>
    </r>
  </si>
  <si>
    <r>
      <rPr>
        <sz val="9"/>
        <color rgb="FF000000"/>
        <rFont val="楷体"/>
        <charset val="134"/>
      </rPr>
      <t>金汇通基金</t>
    </r>
  </si>
  <si>
    <r>
      <t>2.5</t>
    </r>
    <r>
      <rPr>
        <sz val="9"/>
        <color rgb="FF000000"/>
        <rFont val="楷体"/>
        <charset val="134"/>
      </rPr>
      <t>亿</t>
    </r>
  </si>
  <si>
    <r>
      <rPr>
        <sz val="9"/>
        <color rgb="FF000000"/>
        <rFont val="楷体"/>
        <charset val="134"/>
      </rPr>
      <t>光大控股</t>
    </r>
  </si>
  <si>
    <r>
      <rPr>
        <sz val="9"/>
        <color rgb="FF000000"/>
        <rFont val="楷体"/>
        <charset val="134"/>
      </rPr>
      <t>证鸿基金</t>
    </r>
  </si>
  <si>
    <r>
      <t>JBD</t>
    </r>
    <r>
      <rPr>
        <sz val="9"/>
        <color rgb="FF000000"/>
        <rFont val="楷体"/>
        <charset val="134"/>
      </rPr>
      <t>显耀显示</t>
    </r>
  </si>
  <si>
    <r>
      <rPr>
        <sz val="9"/>
        <color rgb="FF000000"/>
        <rFont val="楷体"/>
        <charset val="134"/>
      </rPr>
      <t>上海显耀显示科技有限公司</t>
    </r>
  </si>
  <si>
    <r>
      <t>Samsung Ventures</t>
    </r>
    <r>
      <rPr>
        <sz val="9"/>
        <color rgb="FF000000"/>
        <rFont val="楷体"/>
        <charset val="134"/>
      </rPr>
      <t>三星</t>
    </r>
    <r>
      <rPr>
        <sz val="9"/>
        <color rgb="FF000000"/>
        <rFont val="Arial"/>
        <charset val="134"/>
      </rPr>
      <t>,</t>
    </r>
    <r>
      <rPr>
        <sz val="9"/>
        <color rgb="FF000000"/>
        <rFont val="楷体"/>
        <charset val="134"/>
      </rPr>
      <t>凯风创投</t>
    </r>
    <r>
      <rPr>
        <sz val="9"/>
        <color rgb="FF000000"/>
        <rFont val="Arial"/>
        <charset val="134"/>
      </rPr>
      <t>,</t>
    </r>
    <r>
      <rPr>
        <sz val="9"/>
        <color rgb="FF000000"/>
        <rFont val="楷体"/>
        <charset val="134"/>
      </rPr>
      <t>创谷投资</t>
    </r>
    <r>
      <rPr>
        <sz val="9"/>
        <color rgb="FF000000"/>
        <rFont val="Arial"/>
        <charset val="134"/>
      </rPr>
      <t>,</t>
    </r>
    <r>
      <rPr>
        <sz val="9"/>
        <color rgb="FF000000"/>
        <rFont val="楷体"/>
        <charset val="134"/>
      </rPr>
      <t>青鸟环宇</t>
    </r>
    <r>
      <rPr>
        <sz val="9"/>
        <color rgb="FF000000"/>
        <rFont val="Arial"/>
        <charset val="134"/>
      </rPr>
      <t>,</t>
    </r>
    <r>
      <rPr>
        <sz val="9"/>
        <color rgb="FF000000"/>
        <rFont val="楷体"/>
        <charset val="134"/>
      </rPr>
      <t>派诺资本</t>
    </r>
  </si>
  <si>
    <r>
      <t>HungryNaki</t>
    </r>
    <r>
      <rPr>
        <sz val="9"/>
        <color rgb="FF000000"/>
        <rFont val="楷体"/>
        <charset val="134"/>
      </rPr>
      <t>是一个孟加拉国外卖服务平台，通过该平台人们可以按需即时订餐送餐，也可以提前订餐。</t>
    </r>
  </si>
  <si>
    <r>
      <rPr>
        <sz val="9"/>
        <color rgb="FF000000"/>
        <rFont val="楷体"/>
        <charset val="134"/>
      </rPr>
      <t>顺丰同城</t>
    </r>
  </si>
  <si>
    <r>
      <rPr>
        <sz val="9"/>
        <color rgb="FF000000"/>
        <rFont val="楷体"/>
        <charset val="134"/>
      </rPr>
      <t>顺丰同城</t>
    </r>
  </si>
  <si>
    <r>
      <rPr>
        <sz val="9"/>
        <color rgb="FF000000"/>
        <rFont val="楷体"/>
        <charset val="134"/>
      </rPr>
      <t>杭州顺丰同城实业股份有限公司</t>
    </r>
  </si>
  <si>
    <r>
      <t>20.31</t>
    </r>
    <r>
      <rPr>
        <sz val="9"/>
        <color rgb="FF000000"/>
        <rFont val="楷体"/>
        <charset val="134"/>
      </rPr>
      <t>亿港元</t>
    </r>
  </si>
  <si>
    <r>
      <t>32.41</t>
    </r>
    <r>
      <rPr>
        <sz val="9"/>
        <color rgb="FF000000"/>
        <rFont val="楷体"/>
        <charset val="134"/>
      </rPr>
      <t>亿</t>
    </r>
  </si>
  <si>
    <r>
      <t>112</t>
    </r>
    <r>
      <rPr>
        <sz val="9"/>
        <color rgb="FF000000"/>
        <rFont val="楷体"/>
        <charset val="134"/>
      </rPr>
      <t>亿元</t>
    </r>
  </si>
  <si>
    <r>
      <t>8.9</t>
    </r>
    <r>
      <rPr>
        <sz val="9"/>
        <color rgb="FF000000"/>
        <rFont val="楷体"/>
        <charset val="134"/>
      </rPr>
      <t>亿港元</t>
    </r>
  </si>
  <si>
    <r>
      <t>4.09</t>
    </r>
    <r>
      <rPr>
        <sz val="9"/>
        <color rgb="FF000000"/>
        <rFont val="楷体"/>
        <charset val="134"/>
      </rPr>
      <t>亿人民币</t>
    </r>
  </si>
  <si>
    <r>
      <rPr>
        <sz val="9"/>
        <color rgb="FF000000"/>
        <rFont val="楷体"/>
        <charset val="134"/>
      </rPr>
      <t>顺丰速运</t>
    </r>
  </si>
  <si>
    <r>
      <rPr>
        <sz val="9"/>
        <color rgb="FF000000"/>
        <rFont val="楷体"/>
        <charset val="134"/>
      </rPr>
      <t>小蜜蜂智慧</t>
    </r>
  </si>
  <si>
    <r>
      <rPr>
        <sz val="9"/>
        <color rgb="FF000000"/>
        <rFont val="楷体"/>
        <charset val="134"/>
      </rPr>
      <t>西安小蜜蜂智慧技术有限公司</t>
    </r>
  </si>
  <si>
    <r>
      <t>KNOWIN</t>
    </r>
    <r>
      <rPr>
        <sz val="9"/>
        <color rgb="FF000000"/>
        <rFont val="楷体"/>
        <charset val="134"/>
      </rPr>
      <t>潮流实验室</t>
    </r>
  </si>
  <si>
    <r>
      <rPr>
        <sz val="9"/>
        <color rgb="FF000000"/>
        <rFont val="楷体"/>
        <charset val="134"/>
      </rPr>
      <t>上海汐果体育用品有限公司</t>
    </r>
  </si>
  <si>
    <r>
      <rPr>
        <sz val="9"/>
        <color rgb="FF000000"/>
        <rFont val="楷体"/>
        <charset val="134"/>
      </rPr>
      <t>法奥</t>
    </r>
    <r>
      <rPr>
        <sz val="9"/>
        <color rgb="FF000000"/>
        <rFont val="Arial"/>
        <charset val="134"/>
      </rPr>
      <t>FAIR</t>
    </r>
  </si>
  <si>
    <r>
      <rPr>
        <sz val="9"/>
        <color rgb="FF000000"/>
        <rFont val="楷体"/>
        <charset val="134"/>
      </rPr>
      <t>法奥意威（苏州）机器人系统有限公司</t>
    </r>
  </si>
  <si>
    <r>
      <rPr>
        <sz val="9"/>
        <color rgb="FF000000"/>
        <rFont val="楷体"/>
        <charset val="134"/>
      </rPr>
      <t>清流资本</t>
    </r>
  </si>
  <si>
    <r>
      <t>GoTo</t>
    </r>
    <r>
      <rPr>
        <sz val="9"/>
        <color rgb="FF000000"/>
        <rFont val="楷体"/>
        <charset val="134"/>
      </rPr>
      <t>是印尼两大互联网巨头</t>
    </r>
    <r>
      <rPr>
        <sz val="9"/>
        <color rgb="FF000000"/>
        <rFont val="Arial"/>
        <charset val="134"/>
      </rPr>
      <t>Gojek</t>
    </r>
    <r>
      <rPr>
        <sz val="9"/>
        <color rgb="FF000000"/>
        <rFont val="楷体"/>
        <charset val="134"/>
      </rPr>
      <t>与</t>
    </r>
    <r>
      <rPr>
        <sz val="9"/>
        <color rgb="FF000000"/>
        <rFont val="Arial"/>
        <charset val="134"/>
      </rPr>
      <t>Tokopedia</t>
    </r>
    <r>
      <rPr>
        <sz val="9"/>
        <color rgb="FF000000"/>
        <rFont val="楷体"/>
        <charset val="134"/>
      </rPr>
      <t>合并而来的，主营业务为网约车、线上购物及食品配送。</t>
    </r>
  </si>
  <si>
    <r>
      <t>188.5</t>
    </r>
    <r>
      <rPr>
        <sz val="9"/>
        <color rgb="FF000000"/>
        <rFont val="楷体"/>
        <charset val="134"/>
      </rPr>
      <t>亿</t>
    </r>
  </si>
  <si>
    <r>
      <t>1820</t>
    </r>
    <r>
      <rPr>
        <sz val="9"/>
        <color rgb="FF000000"/>
        <rFont val="楷体"/>
        <charset val="134"/>
      </rPr>
      <t>亿元</t>
    </r>
  </si>
  <si>
    <r>
      <t>13</t>
    </r>
    <r>
      <rPr>
        <sz val="9"/>
        <color rgb="FF000000"/>
        <rFont val="楷体"/>
        <charset val="134"/>
      </rPr>
      <t>亿美元</t>
    </r>
  </si>
  <si>
    <r>
      <t>Google</t>
    </r>
    <r>
      <rPr>
        <sz val="9"/>
        <color rgb="FF000000"/>
        <rFont val="楷体"/>
        <charset val="134"/>
      </rPr>
      <t>谷歌</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春华资本</t>
    </r>
    <r>
      <rPr>
        <sz val="9"/>
        <color rgb="FF000000"/>
        <rFont val="Arial"/>
        <charset val="134"/>
      </rPr>
      <t>Primavera,</t>
    </r>
    <r>
      <rPr>
        <sz val="9"/>
        <color rgb="FF000000"/>
        <rFont val="楷体"/>
        <charset val="134"/>
      </rPr>
      <t>阿布扎比投资局</t>
    </r>
    <r>
      <rPr>
        <sz val="9"/>
        <color rgb="FF000000"/>
        <rFont val="Arial"/>
        <charset val="134"/>
      </rPr>
      <t>ADIA,Avanda</t>
    </r>
  </si>
  <si>
    <r>
      <rPr>
        <sz val="9"/>
        <color rgb="FF000000"/>
        <rFont val="楷体"/>
        <charset val="134"/>
      </rPr>
      <t>上海悉喵科技有限公司</t>
    </r>
  </si>
  <si>
    <r>
      <rPr>
        <sz val="9"/>
        <color rgb="FF000000"/>
        <rFont val="楷体"/>
        <charset val="134"/>
      </rPr>
      <t>如涵文化</t>
    </r>
  </si>
  <si>
    <r>
      <rPr>
        <sz val="9"/>
        <color rgb="FF000000"/>
        <rFont val="楷体"/>
        <charset val="134"/>
      </rPr>
      <t>杭州如涵文化传播有限公司</t>
    </r>
  </si>
  <si>
    <r>
      <rPr>
        <sz val="9"/>
        <color rgb="FF000000"/>
        <rFont val="楷体"/>
        <charset val="134"/>
      </rPr>
      <t>涵意电商</t>
    </r>
  </si>
  <si>
    <r>
      <rPr>
        <sz val="9"/>
        <color rgb="FF000000"/>
        <rFont val="楷体"/>
        <charset val="134"/>
      </rPr>
      <t>杭州涵意电子商务有限公司</t>
    </r>
  </si>
  <si>
    <r>
      <rPr>
        <sz val="9"/>
        <color rgb="FF000000"/>
        <rFont val="楷体"/>
        <charset val="134"/>
      </rPr>
      <t>随幻科技</t>
    </r>
  </si>
  <si>
    <r>
      <rPr>
        <sz val="9"/>
        <color rgb="FF000000"/>
        <rFont val="楷体"/>
        <charset val="134"/>
      </rPr>
      <t>随幻科技</t>
    </r>
  </si>
  <si>
    <r>
      <rPr>
        <sz val="9"/>
        <color rgb="FF000000"/>
        <rFont val="楷体"/>
        <charset val="134"/>
      </rPr>
      <t>上海随幻智能科技有限公司</t>
    </r>
  </si>
  <si>
    <r>
      <rPr>
        <sz val="9"/>
        <color rgb="FF000000"/>
        <rFont val="楷体"/>
        <charset val="134"/>
      </rPr>
      <t>联想创投</t>
    </r>
  </si>
  <si>
    <r>
      <t>3.35</t>
    </r>
    <r>
      <rPr>
        <sz val="9"/>
        <color rgb="FF000000"/>
        <rFont val="楷体"/>
        <charset val="134"/>
      </rPr>
      <t>亿</t>
    </r>
  </si>
  <si>
    <r>
      <t>GGV</t>
    </r>
    <r>
      <rPr>
        <sz val="9"/>
        <color rgb="FF000000"/>
        <rFont val="楷体"/>
        <charset val="134"/>
      </rPr>
      <t>纪源资本</t>
    </r>
    <r>
      <rPr>
        <sz val="9"/>
        <color rgb="FF000000"/>
        <rFont val="Arial"/>
        <charset val="134"/>
      </rPr>
      <t>,</t>
    </r>
    <r>
      <rPr>
        <sz val="9"/>
        <color rgb="FF000000"/>
        <rFont val="楷体"/>
        <charset val="134"/>
      </rPr>
      <t>腾讯投资</t>
    </r>
  </si>
  <si>
    <r>
      <rPr>
        <sz val="9"/>
        <color rgb="FF000000"/>
        <rFont val="楷体"/>
        <charset val="134"/>
      </rPr>
      <t>上海今朝投资</t>
    </r>
  </si>
  <si>
    <r>
      <rPr>
        <sz val="9"/>
        <color rgb="FF000000"/>
        <rFont val="楷体"/>
        <charset val="134"/>
      </rPr>
      <t>博瑞迪生物</t>
    </r>
  </si>
  <si>
    <r>
      <rPr>
        <sz val="9"/>
        <color rgb="FF000000"/>
        <rFont val="楷体"/>
        <charset val="134"/>
      </rPr>
      <t>石家庄博瑞迪生物技术有限公司</t>
    </r>
  </si>
  <si>
    <r>
      <rPr>
        <sz val="9"/>
        <color rgb="FF000000"/>
        <rFont val="楷体"/>
        <charset val="134"/>
      </rPr>
      <t>中信农业基金</t>
    </r>
  </si>
  <si>
    <r>
      <rPr>
        <sz val="9"/>
        <color rgb="FF000000"/>
        <rFont val="楷体"/>
        <charset val="134"/>
      </rPr>
      <t>格兰菲</t>
    </r>
  </si>
  <si>
    <r>
      <rPr>
        <sz val="9"/>
        <color rgb="FF000000"/>
        <rFont val="楷体"/>
        <charset val="134"/>
      </rPr>
      <t>格兰菲智能科技有限公司</t>
    </r>
  </si>
  <si>
    <r>
      <rPr>
        <sz val="9"/>
        <color rgb="FF000000"/>
        <rFont val="楷体"/>
        <charset val="134"/>
      </rPr>
      <t>圣彼得堡</t>
    </r>
  </si>
  <si>
    <r>
      <rPr>
        <sz val="9"/>
        <color rgb="FF000000"/>
        <rFont val="楷体"/>
        <charset val="134"/>
      </rPr>
      <t>泰乐坊</t>
    </r>
  </si>
  <si>
    <r>
      <rPr>
        <sz val="9"/>
        <color rgb="FF000000"/>
        <rFont val="楷体"/>
        <charset val="134"/>
      </rPr>
      <t>上海泰乐坊科技有限公司</t>
    </r>
  </si>
  <si>
    <r>
      <t>CrownX</t>
    </r>
    <r>
      <rPr>
        <sz val="9"/>
        <color rgb="FF000000"/>
        <rFont val="楷体"/>
        <charset val="134"/>
      </rPr>
      <t>是一家越南在线购物平台，该公司开发了自动补货系统，主要提供多种品类的杂货，致力于为用户提供在线购物服务。</t>
    </r>
  </si>
  <si>
    <r>
      <t>TPG</t>
    </r>
    <r>
      <rPr>
        <sz val="9"/>
        <color rgb="FF000000"/>
        <rFont val="楷体"/>
        <charset val="134"/>
      </rPr>
      <t>德太资本</t>
    </r>
    <r>
      <rPr>
        <sz val="9"/>
        <color rgb="FF000000"/>
        <rFont val="Arial"/>
        <charset val="134"/>
      </rPr>
      <t>,Platinum Orchid,SeaTown Master Fund</t>
    </r>
  </si>
  <si>
    <r>
      <t>48.75</t>
    </r>
    <r>
      <rPr>
        <sz val="9"/>
        <color rgb="FF000000"/>
        <rFont val="楷体"/>
        <charset val="134"/>
      </rPr>
      <t>亿</t>
    </r>
  </si>
  <si>
    <r>
      <t>520</t>
    </r>
    <r>
      <rPr>
        <sz val="9"/>
        <color rgb="FF000000"/>
        <rFont val="楷体"/>
        <charset val="134"/>
      </rPr>
      <t>亿元</t>
    </r>
  </si>
  <si>
    <r>
      <rPr>
        <sz val="9"/>
        <color rgb="FF000000"/>
        <rFont val="楷体"/>
        <charset val="134"/>
      </rPr>
      <t>济达交通</t>
    </r>
  </si>
  <si>
    <r>
      <rPr>
        <sz val="9"/>
        <color rgb="FF000000"/>
        <rFont val="楷体"/>
        <charset val="134"/>
      </rPr>
      <t>上海济达交通科技有限公司</t>
    </r>
  </si>
  <si>
    <r>
      <rPr>
        <sz val="9"/>
        <color rgb="FF000000"/>
        <rFont val="楷体"/>
        <charset val="134"/>
      </rPr>
      <t>森宝积木</t>
    </r>
  </si>
  <si>
    <r>
      <rPr>
        <sz val="9"/>
        <color rgb="FF000000"/>
        <rFont val="楷体"/>
        <charset val="134"/>
      </rPr>
      <t>广东森宝文化实业有限公司</t>
    </r>
  </si>
  <si>
    <r>
      <rPr>
        <sz val="9"/>
        <color rgb="FF000000"/>
        <rFont val="楷体"/>
        <charset val="134"/>
      </rPr>
      <t>汕头市澄海区上华镇下陈村塘下南旱园</t>
    </r>
  </si>
  <si>
    <r>
      <rPr>
        <sz val="9"/>
        <color rgb="FF000000"/>
        <rFont val="楷体"/>
        <charset val="134"/>
      </rPr>
      <t>杰成新能源</t>
    </r>
  </si>
  <si>
    <r>
      <rPr>
        <sz val="9"/>
        <color rgb="FF000000"/>
        <rFont val="楷体"/>
        <charset val="134"/>
      </rPr>
      <t>深圳市杰成镍钴新能源科技有限公司</t>
    </r>
  </si>
  <si>
    <r>
      <t>Unity</t>
    </r>
    <r>
      <rPr>
        <sz val="9"/>
        <color rgb="FF000000"/>
        <rFont val="楷体"/>
        <charset val="134"/>
      </rPr>
      <t>中国</t>
    </r>
  </si>
  <si>
    <r>
      <rPr>
        <sz val="9"/>
        <color rgb="FF000000"/>
        <rFont val="楷体"/>
        <charset val="134"/>
      </rPr>
      <t>优三缔科技（上海）有限公司</t>
    </r>
  </si>
  <si>
    <r>
      <t>WearLively</t>
    </r>
    <r>
      <rPr>
        <sz val="9"/>
        <color rgb="FF000000"/>
        <rFont val="楷体"/>
        <charset val="134"/>
      </rPr>
      <t>是一个内衣品牌，融合内衣</t>
    </r>
    <r>
      <rPr>
        <sz val="9"/>
        <color rgb="FF000000"/>
        <rFont val="Arial"/>
        <charset val="134"/>
      </rPr>
      <t>+</t>
    </r>
    <r>
      <rPr>
        <sz val="9"/>
        <color rgb="FF000000"/>
        <rFont val="楷体"/>
        <charset val="134"/>
      </rPr>
      <t>泳衣</t>
    </r>
    <r>
      <rPr>
        <sz val="9"/>
        <color rgb="FF000000"/>
        <rFont val="Arial"/>
        <charset val="134"/>
      </rPr>
      <t>+</t>
    </r>
    <r>
      <rPr>
        <sz val="9"/>
        <color rgb="FF000000"/>
        <rFont val="楷体"/>
        <charset val="134"/>
      </rPr>
      <t>运动内衣的风格，主要为女性用户提供文胸、泳衣等内衣产品，同时内衣特性主打舒适和健康；并通过自建电商平台</t>
    </r>
    <r>
      <rPr>
        <sz val="9"/>
        <color rgb="FF000000"/>
        <rFont val="Arial"/>
        <charset val="134"/>
      </rPr>
      <t>wearLIVELY.com</t>
    </r>
    <r>
      <rPr>
        <sz val="9"/>
        <color rgb="FF000000"/>
        <rFont val="楷体"/>
        <charset val="134"/>
      </rPr>
      <t>进行销售。</t>
    </r>
  </si>
  <si>
    <r>
      <t>GGV</t>
    </r>
    <r>
      <rPr>
        <sz val="9"/>
        <color rgb="FF000000"/>
        <rFont val="楷体"/>
        <charset val="134"/>
      </rPr>
      <t>纪源资本</t>
    </r>
    <r>
      <rPr>
        <sz val="9"/>
        <color rgb="FF000000"/>
        <rFont val="Arial"/>
        <charset val="134"/>
      </rPr>
      <t>,</t>
    </r>
    <r>
      <rPr>
        <sz val="9"/>
        <color rgb="FF000000"/>
        <rFont val="楷体"/>
        <charset val="134"/>
      </rPr>
      <t>阿里巴巴</t>
    </r>
    <r>
      <rPr>
        <sz val="9"/>
        <color rgb="FF000000"/>
        <rFont val="Arial"/>
        <charset val="134"/>
      </rPr>
      <t>,Poshmark,Gelmart International</t>
    </r>
  </si>
  <si>
    <r>
      <t>4550</t>
    </r>
    <r>
      <rPr>
        <sz val="9"/>
        <color rgb="FF000000"/>
        <rFont val="楷体"/>
        <charset val="134"/>
      </rPr>
      <t>万</t>
    </r>
  </si>
  <si>
    <r>
      <t>1.3</t>
    </r>
    <r>
      <rPr>
        <sz val="9"/>
        <color rgb="FF000000"/>
        <rFont val="楷体"/>
        <charset val="134"/>
      </rPr>
      <t>亿元</t>
    </r>
  </si>
  <si>
    <r>
      <t>GGV</t>
    </r>
    <r>
      <rPr>
        <sz val="9"/>
        <color rgb="FF000000"/>
        <rFont val="楷体"/>
        <charset val="134"/>
      </rPr>
      <t>纪源资本</t>
    </r>
    <r>
      <rPr>
        <sz val="9"/>
        <color rgb="FF000000"/>
        <rFont val="Arial"/>
        <charset val="134"/>
      </rPr>
      <t>,NF Ventures,Harvey Sanders</t>
    </r>
  </si>
  <si>
    <r>
      <rPr>
        <sz val="9"/>
        <color rgb="FF000000"/>
        <rFont val="楷体"/>
        <charset val="134"/>
      </rPr>
      <t>十方运动</t>
    </r>
    <r>
      <rPr>
        <sz val="9"/>
        <color rgb="FF000000"/>
        <rFont val="Arial"/>
        <charset val="134"/>
      </rPr>
      <t>TENWAYS</t>
    </r>
  </si>
  <si>
    <r>
      <rPr>
        <sz val="9"/>
        <color rgb="FF000000"/>
        <rFont val="楷体"/>
        <charset val="134"/>
      </rPr>
      <t>深圳市十方运动科技有限公司</t>
    </r>
  </si>
  <si>
    <r>
      <t>3.6</t>
    </r>
    <r>
      <rPr>
        <sz val="9"/>
        <color rgb="FF000000"/>
        <rFont val="楷体"/>
        <charset val="134"/>
      </rPr>
      <t>亿</t>
    </r>
  </si>
  <si>
    <r>
      <t>24</t>
    </r>
    <r>
      <rPr>
        <sz val="9"/>
        <color rgb="FF000000"/>
        <rFont val="楷体"/>
        <charset val="134"/>
      </rPr>
      <t>亿元</t>
    </r>
  </si>
  <si>
    <r>
      <rPr>
        <sz val="9"/>
        <color rgb="FF000000"/>
        <rFont val="楷体"/>
        <charset val="134"/>
      </rPr>
      <t>高瓴创投</t>
    </r>
  </si>
  <si>
    <r>
      <rPr>
        <sz val="9"/>
        <color rgb="FF000000"/>
        <rFont val="楷体"/>
        <charset val="134"/>
      </rPr>
      <t>徕芬科技</t>
    </r>
  </si>
  <si>
    <r>
      <rPr>
        <sz val="9"/>
        <color rgb="FF000000"/>
        <rFont val="楷体"/>
        <charset val="134"/>
      </rPr>
      <t>深圳术叶创新科技有限公司</t>
    </r>
  </si>
  <si>
    <r>
      <rPr>
        <sz val="9"/>
        <color rgb="FF000000"/>
        <rFont val="楷体"/>
        <charset val="134"/>
      </rPr>
      <t>科威特</t>
    </r>
  </si>
  <si>
    <r>
      <t>320</t>
    </r>
    <r>
      <rPr>
        <sz val="9"/>
        <color rgb="FF000000"/>
        <rFont val="楷体"/>
        <charset val="134"/>
      </rPr>
      <t>万美元</t>
    </r>
  </si>
  <si>
    <r>
      <rPr>
        <sz val="9"/>
        <color rgb="FF000000"/>
        <rFont val="楷体"/>
        <charset val="134"/>
      </rPr>
      <t>致敬未知</t>
    </r>
  </si>
  <si>
    <r>
      <rPr>
        <sz val="9"/>
        <color rgb="FF000000"/>
        <rFont val="楷体"/>
        <charset val="134"/>
      </rPr>
      <t>北京致敬未知科技有限公司</t>
    </r>
  </si>
  <si>
    <t>公司简介</t>
  </si>
  <si>
    <t>成立时间</t>
  </si>
  <si>
    <t>地点</t>
  </si>
  <si>
    <t>行业</t>
  </si>
  <si>
    <t>子行业</t>
  </si>
  <si>
    <t>融资时间</t>
  </si>
  <si>
    <t>轮次</t>
  </si>
  <si>
    <t>融资金额</t>
  </si>
  <si>
    <t>投资方</t>
  </si>
  <si>
    <t>团队</t>
  </si>
  <si>
    <t>2019-08-22</t>
  </si>
  <si>
    <t>友宝</t>
  </si>
  <si>
    <t>友宝在线是一家智能自动售货机运营商，以自动售货机为核心，通过线上、线下两种渠道销售饮料、食品等日用快消品，并辅之以售货机销售、租赁及售货机广告、陈列等相关增值服务，主要产品有自动售货机、便利柜、售货机与便利柜组合。</t>
  </si>
  <si>
    <t>北京友宝在线科技股份有限公司</t>
  </si>
  <si>
    <t>http://ubox.cn</t>
  </si>
  <si>
    <r>
      <rPr>
        <sz val="9"/>
        <color rgb="FF000000"/>
        <rFont val="Arial"/>
        <charset val="134"/>
      </rPr>
      <t>34.93</t>
    </r>
    <r>
      <rPr>
        <sz val="9"/>
        <color rgb="FF000000"/>
        <rFont val="楷体"/>
        <charset val="134"/>
      </rPr>
      <t>亿</t>
    </r>
  </si>
  <si>
    <r>
      <rPr>
        <sz val="9"/>
        <color rgb="FF000000"/>
        <rFont val="Arial"/>
        <charset val="134"/>
      </rPr>
      <t>54.22</t>
    </r>
    <r>
      <rPr>
        <sz val="9"/>
        <color rgb="FF000000"/>
        <rFont val="楷体"/>
        <charset val="134"/>
      </rPr>
      <t>亿元</t>
    </r>
  </si>
  <si>
    <r>
      <rPr>
        <sz val="9"/>
        <color rgb="FF000000"/>
        <rFont val="楷体"/>
        <charset val="134"/>
      </rPr>
      <t>王滨</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李明浩</t>
    </r>
    <r>
      <rPr>
        <sz val="9"/>
        <color rgb="FF000000"/>
        <rFont val="Arial"/>
        <charset val="134"/>
      </rPr>
      <t>:CEO,</t>
    </r>
    <r>
      <rPr>
        <sz val="9"/>
        <color rgb="FF000000"/>
        <rFont val="楷体"/>
        <charset val="134"/>
      </rPr>
      <t>黄次南</t>
    </r>
    <r>
      <rPr>
        <sz val="9"/>
        <color rgb="FF000000"/>
        <rFont val="Arial"/>
        <charset val="134"/>
      </rPr>
      <t>:CFO</t>
    </r>
  </si>
  <si>
    <r>
      <rPr>
        <sz val="9"/>
        <color rgb="FF000000"/>
        <rFont val="楷体"/>
        <charset val="134"/>
      </rPr>
      <t>北京市朝阳区广顺北大街</t>
    </r>
    <r>
      <rPr>
        <sz val="9"/>
        <color rgb="FF000000"/>
        <rFont val="Arial"/>
        <charset val="134"/>
      </rPr>
      <t>5</t>
    </r>
    <r>
      <rPr>
        <sz val="9"/>
        <color rgb="FF000000"/>
        <rFont val="楷体"/>
        <charset val="134"/>
      </rPr>
      <t>号院融创动力四层</t>
    </r>
  </si>
  <si>
    <t>010-5798-2371</t>
  </si>
  <si>
    <t>hr2012@ubox.cn</t>
  </si>
  <si>
    <t>2019-03-12</t>
  </si>
  <si>
    <t>2018-10-10</t>
  </si>
  <si>
    <r>
      <rPr>
        <sz val="9"/>
        <color rgb="FF000000"/>
        <rFont val="楷体"/>
        <charset val="134"/>
      </rPr>
      <t>灏浚投资</t>
    </r>
    <r>
      <rPr>
        <sz val="9"/>
        <color rgb="FF000000"/>
        <rFont val="Arial"/>
        <charset val="134"/>
      </rPr>
      <t>,</t>
    </r>
    <r>
      <rPr>
        <sz val="9"/>
        <color rgb="FF000000"/>
        <rFont val="楷体"/>
        <charset val="134"/>
      </rPr>
      <t>海逸投资</t>
    </r>
  </si>
  <si>
    <t>2017-11-01</t>
  </si>
  <si>
    <t>甲子启航</t>
  </si>
  <si>
    <t>2017-06-30</t>
  </si>
  <si>
    <r>
      <rPr>
        <sz val="9"/>
        <color rgb="FF000000"/>
        <rFont val="Arial"/>
        <charset val="134"/>
      </rPr>
      <t>5.3</t>
    </r>
    <r>
      <rPr>
        <sz val="9"/>
        <color rgb="FF000000"/>
        <rFont val="楷体"/>
        <charset val="134"/>
      </rPr>
      <t>亿人民币</t>
    </r>
  </si>
  <si>
    <r>
      <rPr>
        <sz val="9"/>
        <color rgb="FF000000"/>
        <rFont val="楷体"/>
        <charset val="134"/>
      </rPr>
      <t>凯雷投资</t>
    </r>
    <r>
      <rPr>
        <sz val="9"/>
        <color rgb="FF000000"/>
        <rFont val="Arial"/>
        <charset val="134"/>
      </rPr>
      <t>,</t>
    </r>
    <r>
      <rPr>
        <sz val="9"/>
        <color rgb="FF000000"/>
        <rFont val="楷体"/>
        <charset val="134"/>
      </rPr>
      <t>海尔</t>
    </r>
  </si>
  <si>
    <t>2016-02-24</t>
  </si>
  <si>
    <t>2015-07-30</t>
  </si>
  <si>
    <t>2015-06-19</t>
  </si>
  <si>
    <r>
      <rPr>
        <sz val="9"/>
        <color rgb="FF000000"/>
        <rFont val="楷体"/>
        <charset val="134"/>
      </rPr>
      <t>北极光创投</t>
    </r>
    <r>
      <rPr>
        <sz val="9"/>
        <color rgb="FF000000"/>
        <rFont val="Arial"/>
        <charset val="134"/>
      </rPr>
      <t>,</t>
    </r>
    <r>
      <rPr>
        <sz val="9"/>
        <color rgb="FF000000"/>
        <rFont val="楷体"/>
        <charset val="134"/>
      </rPr>
      <t>汉能投资</t>
    </r>
    <r>
      <rPr>
        <sz val="9"/>
        <color rgb="FF000000"/>
        <rFont val="Arial"/>
        <charset val="134"/>
      </rPr>
      <t>,</t>
    </r>
    <r>
      <rPr>
        <sz val="9"/>
        <color rgb="FF000000"/>
        <rFont val="楷体"/>
        <charset val="134"/>
      </rPr>
      <t>华住酒店集团</t>
    </r>
    <r>
      <rPr>
        <sz val="9"/>
        <color rgb="FF000000"/>
        <rFont val="Arial"/>
        <charset val="134"/>
      </rPr>
      <t>,</t>
    </r>
    <r>
      <rPr>
        <sz val="9"/>
        <color rgb="FF000000"/>
        <rFont val="楷体"/>
        <charset val="134"/>
      </rPr>
      <t>大得宏强</t>
    </r>
    <r>
      <rPr>
        <sz val="9"/>
        <color rgb="FF000000"/>
        <rFont val="Arial"/>
        <charset val="134"/>
      </rPr>
      <t>,</t>
    </r>
    <r>
      <rPr>
        <sz val="9"/>
        <color rgb="FF000000"/>
        <rFont val="楷体"/>
        <charset val="134"/>
      </rPr>
      <t>长阳创投</t>
    </r>
  </si>
  <si>
    <t>2012-06-03</t>
  </si>
  <si>
    <r>
      <rPr>
        <sz val="9"/>
        <color rgb="FF000000"/>
        <rFont val="楷体"/>
        <charset val="134"/>
      </rPr>
      <t>云锋基金</t>
    </r>
    <r>
      <rPr>
        <sz val="9"/>
        <color rgb="FF000000"/>
        <rFont val="Arial"/>
        <charset val="134"/>
      </rPr>
      <t>,</t>
    </r>
    <r>
      <rPr>
        <sz val="9"/>
        <color rgb="FF000000"/>
        <rFont val="楷体"/>
        <charset val="134"/>
      </rPr>
      <t>汉景家族办公室</t>
    </r>
  </si>
  <si>
    <t>2011-12-01</t>
  </si>
  <si>
    <r>
      <rPr>
        <sz val="9"/>
        <color rgb="FF000000"/>
        <rFont val="楷体"/>
        <charset val="134"/>
      </rPr>
      <t>风和投资</t>
    </r>
    <r>
      <rPr>
        <sz val="9"/>
        <color rgb="FF000000"/>
        <rFont val="Arial"/>
        <charset val="134"/>
      </rPr>
      <t>,</t>
    </r>
    <r>
      <rPr>
        <sz val="9"/>
        <color rgb="FF000000"/>
        <rFont val="楷体"/>
        <charset val="134"/>
      </rPr>
      <t>汉能投资</t>
    </r>
  </si>
  <si>
    <t>2011-01-01</t>
  </si>
  <si>
    <t>2021-06-30</t>
  </si>
  <si>
    <t>2019-07-25</t>
  </si>
  <si>
    <t>2018-04-05</t>
  </si>
  <si>
    <t>2017-12-21</t>
  </si>
  <si>
    <t>2017-04-28</t>
  </si>
  <si>
    <t>2016-08-16</t>
  </si>
  <si>
    <t>2016-06-22</t>
  </si>
  <si>
    <t>2016-06-16</t>
  </si>
  <si>
    <t>2015-05-27</t>
  </si>
  <si>
    <t>2015-01-01</t>
  </si>
  <si>
    <t>2014-12-09</t>
  </si>
  <si>
    <t>2014-01-01</t>
  </si>
  <si>
    <t>2012-09-01</t>
  </si>
  <si>
    <t>2012-07-01</t>
  </si>
  <si>
    <t>2020-02-20</t>
  </si>
  <si>
    <t>雅座</t>
  </si>
  <si>
    <r>
      <rPr>
        <sz val="9"/>
        <color rgb="FF000000"/>
        <rFont val="楷体"/>
        <charset val="134"/>
      </rPr>
      <t>雅座致力为餐饮企业提供基于</t>
    </r>
    <r>
      <rPr>
        <sz val="9"/>
        <color rgb="FF000000"/>
        <rFont val="Arial"/>
        <charset val="134"/>
      </rPr>
      <t>CRM</t>
    </r>
    <r>
      <rPr>
        <sz val="9"/>
        <color rgb="FF000000"/>
        <rFont val="楷体"/>
        <charset val="134"/>
      </rPr>
      <t>的会员营销服务，在无锡建有餐饮数据灾备中心、产品研发中心、客服中心和提供专业管理培训的雅座商学院。</t>
    </r>
  </si>
  <si>
    <t>雅座在线（北京）科技发展有限公司</t>
  </si>
  <si>
    <t>http://www.yazuo.com</t>
  </si>
  <si>
    <t>微盟</t>
  </si>
  <si>
    <r>
      <rPr>
        <sz val="9"/>
        <color rgb="FF000000"/>
        <rFont val="Arial"/>
        <charset val="134"/>
      </rPr>
      <t>4.25</t>
    </r>
    <r>
      <rPr>
        <sz val="9"/>
        <color rgb="FF000000"/>
        <rFont val="楷体"/>
        <charset val="134"/>
      </rPr>
      <t>亿</t>
    </r>
  </si>
  <si>
    <r>
      <rPr>
        <sz val="9"/>
        <color rgb="FF000000"/>
        <rFont val="Arial"/>
        <charset val="134"/>
      </rPr>
      <t>5.7445</t>
    </r>
    <r>
      <rPr>
        <sz val="9"/>
        <color rgb="FF000000"/>
        <rFont val="楷体"/>
        <charset val="134"/>
      </rPr>
      <t>亿元</t>
    </r>
  </si>
  <si>
    <r>
      <rPr>
        <sz val="9"/>
        <color rgb="FF000000"/>
        <rFont val="楷体"/>
        <charset val="134"/>
      </rPr>
      <t>白昱</t>
    </r>
    <r>
      <rPr>
        <sz val="9"/>
        <color rgb="FF000000"/>
        <rFont val="Arial"/>
        <charset val="134"/>
      </rPr>
      <t>:CEO,</t>
    </r>
    <r>
      <rPr>
        <sz val="9"/>
        <color rgb="FF000000"/>
        <rFont val="楷体"/>
        <charset val="134"/>
      </rPr>
      <t>郝文</t>
    </r>
    <r>
      <rPr>
        <sz val="9"/>
        <color rgb="FF000000"/>
        <rFont val="Arial"/>
        <charset val="134"/>
      </rPr>
      <t>:</t>
    </r>
    <r>
      <rPr>
        <sz val="9"/>
        <color rgb="FF000000"/>
        <rFont val="楷体"/>
        <charset val="134"/>
      </rPr>
      <t>总裁</t>
    </r>
  </si>
  <si>
    <r>
      <rPr>
        <sz val="9"/>
        <color rgb="FF000000"/>
        <rFont val="楷体"/>
        <charset val="134"/>
      </rPr>
      <t>北京市朝阳区三间房东路</t>
    </r>
    <r>
      <rPr>
        <sz val="9"/>
        <color rgb="FF000000"/>
        <rFont val="Arial"/>
        <charset val="134"/>
      </rPr>
      <t>1</t>
    </r>
    <r>
      <rPr>
        <sz val="9"/>
        <color rgb="FF000000"/>
        <rFont val="楷体"/>
        <charset val="134"/>
      </rPr>
      <t>号懋隆文化创意产业园</t>
    </r>
    <r>
      <rPr>
        <sz val="9"/>
        <color rgb="FF000000"/>
        <rFont val="Arial"/>
        <charset val="134"/>
      </rPr>
      <t>A</t>
    </r>
    <r>
      <rPr>
        <sz val="9"/>
        <color rgb="FF000000"/>
        <rFont val="楷体"/>
        <charset val="134"/>
      </rPr>
      <t>座四层</t>
    </r>
  </si>
  <si>
    <t>010-85890016</t>
  </si>
  <si>
    <t>wanglu@yazuo.com</t>
  </si>
  <si>
    <t>2015-06-15</t>
  </si>
  <si>
    <t>2010-12-19</t>
  </si>
  <si>
    <t>荷塘创投</t>
  </si>
  <si>
    <t>2020-12-05</t>
  </si>
  <si>
    <t>雪球</t>
  </si>
  <si>
    <r>
      <rPr>
        <sz val="9"/>
        <color rgb="FF000000"/>
        <rFont val="楷体"/>
        <charset val="134"/>
      </rPr>
      <t>雪球公司成立于</t>
    </r>
    <r>
      <rPr>
        <sz val="9"/>
        <color rgb="FF000000"/>
        <rFont val="Arial"/>
        <charset val="134"/>
      </rPr>
      <t>2010</t>
    </r>
    <r>
      <rPr>
        <sz val="9"/>
        <color rgb="FF000000"/>
        <rFont val="楷体"/>
        <charset val="134"/>
      </rPr>
      <t>年</t>
    </r>
    <r>
      <rPr>
        <sz val="9"/>
        <color rgb="FF000000"/>
        <rFont val="Arial"/>
        <charset val="134"/>
      </rPr>
      <t>3</t>
    </r>
    <r>
      <rPr>
        <sz val="9"/>
        <color rgb="FF000000"/>
        <rFont val="楷体"/>
        <charset val="134"/>
      </rPr>
      <t>月，旗下拥有手机炒股应用</t>
    </r>
    <r>
      <rPr>
        <sz val="9"/>
        <color rgb="FF000000"/>
        <rFont val="Arial"/>
        <charset val="134"/>
      </rPr>
      <t>“</t>
    </r>
    <r>
      <rPr>
        <sz val="9"/>
        <color rgb="FF000000"/>
        <rFont val="楷体"/>
        <charset val="134"/>
      </rPr>
      <t>雪球</t>
    </r>
    <r>
      <rPr>
        <sz val="9"/>
        <color rgb="FF000000"/>
        <rFont val="Arial"/>
        <charset val="134"/>
      </rPr>
      <t>”</t>
    </r>
    <r>
      <rPr>
        <sz val="9"/>
        <color rgb="FF000000"/>
        <rFont val="楷体"/>
        <charset val="134"/>
      </rPr>
      <t>及网站</t>
    </r>
    <r>
      <rPr>
        <sz val="9"/>
        <color rgb="FF000000"/>
        <rFont val="Arial"/>
        <charset val="134"/>
      </rPr>
      <t>“</t>
    </r>
    <r>
      <rPr>
        <sz val="9"/>
        <color rgb="FF000000"/>
        <rFont val="楷体"/>
        <charset val="134"/>
      </rPr>
      <t>雪球</t>
    </r>
    <r>
      <rPr>
        <sz val="9"/>
        <color rgb="FF000000"/>
        <rFont val="Arial"/>
        <charset val="134"/>
      </rPr>
      <t>”xueqiu.com</t>
    </r>
    <r>
      <rPr>
        <sz val="9"/>
        <color rgb="FF000000"/>
        <rFont val="楷体"/>
        <charset val="134"/>
      </rPr>
      <t>，雪球</t>
    </r>
    <r>
      <rPr>
        <sz val="9"/>
        <color rgb="FF000000"/>
        <rFont val="Arial"/>
        <charset val="134"/>
      </rPr>
      <t>App</t>
    </r>
    <r>
      <rPr>
        <sz val="9"/>
        <color rgb="FF000000"/>
        <rFont val="楷体"/>
        <charset val="134"/>
      </rPr>
      <t>是一款解决股票买什么好问题的手机炒股应用。从社区出发，雪球为中国投资者提供跨市场跨品种的免费行情资讯和便捷高效的股票、基金和私募交易服务，构建了「投前决策</t>
    </r>
    <r>
      <rPr>
        <sz val="9"/>
        <color rgb="FF000000"/>
        <rFont val="Arial"/>
        <charset val="134"/>
      </rPr>
      <t>-</t>
    </r>
    <r>
      <rPr>
        <sz val="9"/>
        <color rgb="FF000000"/>
        <rFont val="楷体"/>
        <charset val="134"/>
      </rPr>
      <t>投资交易</t>
    </r>
    <r>
      <rPr>
        <sz val="9"/>
        <color rgb="FF000000"/>
        <rFont val="Arial"/>
        <charset val="134"/>
      </rPr>
      <t>-</t>
    </r>
    <r>
      <rPr>
        <sz val="9"/>
        <color rgb="FF000000"/>
        <rFont val="楷体"/>
        <charset val="134"/>
      </rPr>
      <t>投后陪伴」的全流程服务链路。</t>
    </r>
  </si>
  <si>
    <t>北京雪球信息科技有限公司</t>
  </si>
  <si>
    <t>https://xueqiu.com/</t>
  </si>
  <si>
    <t>股票</t>
  </si>
  <si>
    <t>兰馨亚洲</t>
  </si>
  <si>
    <r>
      <rPr>
        <sz val="9"/>
        <color rgb="FF000000"/>
        <rFont val="Arial"/>
        <charset val="134"/>
      </rPr>
      <t>19.08</t>
    </r>
    <r>
      <rPr>
        <sz val="9"/>
        <color rgb="FF000000"/>
        <rFont val="楷体"/>
        <charset val="134"/>
      </rPr>
      <t>亿</t>
    </r>
  </si>
  <si>
    <r>
      <rPr>
        <sz val="9"/>
        <color rgb="FF000000"/>
        <rFont val="楷体"/>
        <charset val="134"/>
      </rPr>
      <t>方三文</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李楠</t>
    </r>
    <r>
      <rPr>
        <sz val="9"/>
        <color rgb="FF000000"/>
        <rFont val="Arial"/>
        <charset val="134"/>
      </rPr>
      <t>:CEO</t>
    </r>
  </si>
  <si>
    <r>
      <rPr>
        <sz val="9"/>
        <color rgb="FF000000"/>
        <rFont val="楷体"/>
        <charset val="134"/>
      </rPr>
      <t>北京朝阳区阜通东大街</t>
    </r>
    <r>
      <rPr>
        <sz val="9"/>
        <color rgb="FF000000"/>
        <rFont val="Arial"/>
        <charset val="134"/>
      </rPr>
      <t>1</t>
    </r>
    <r>
      <rPr>
        <sz val="9"/>
        <color rgb="FF000000"/>
        <rFont val="楷体"/>
        <charset val="134"/>
      </rPr>
      <t>号院望京</t>
    </r>
    <r>
      <rPr>
        <sz val="9"/>
        <color rgb="FF000000"/>
        <rFont val="Arial"/>
        <charset val="134"/>
      </rPr>
      <t>SOHO T3 A</t>
    </r>
    <r>
      <rPr>
        <sz val="9"/>
        <color rgb="FF000000"/>
        <rFont val="楷体"/>
        <charset val="134"/>
      </rPr>
      <t>座</t>
    </r>
    <r>
      <rPr>
        <sz val="9"/>
        <color rgb="FF000000"/>
        <rFont val="Arial"/>
        <charset val="134"/>
      </rPr>
      <t>19</t>
    </r>
    <r>
      <rPr>
        <sz val="9"/>
        <color rgb="FF000000"/>
        <rFont val="楷体"/>
        <charset val="134"/>
      </rPr>
      <t>层</t>
    </r>
  </si>
  <si>
    <t>010-6184-0600</t>
  </si>
  <si>
    <t>suixin@xueqiu.com</t>
  </si>
  <si>
    <t>2018-07-16</t>
  </si>
  <si>
    <t>2014-09-01</t>
  </si>
  <si>
    <r>
      <rPr>
        <sz val="9"/>
        <color rgb="FF000000"/>
        <rFont val="楷体"/>
        <charset val="134"/>
      </rPr>
      <t>五源资本</t>
    </r>
    <r>
      <rPr>
        <sz val="9"/>
        <color rgb="FF000000"/>
        <rFont val="Arial"/>
        <charset val="134"/>
      </rPr>
      <t>,</t>
    </r>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</si>
  <si>
    <r>
      <rPr>
        <sz val="9"/>
        <color rgb="FF000000"/>
        <rFont val="楷体"/>
        <charset val="134"/>
      </rPr>
      <t>红杉资本中国</t>
    </r>
    <r>
      <rPr>
        <sz val="9"/>
        <color rgb="FF000000"/>
        <rFont val="Arial"/>
        <charset val="134"/>
      </rPr>
      <t>,</t>
    </r>
    <r>
      <rPr>
        <sz val="9"/>
        <color rgb="FF000000"/>
        <rFont val="楷体"/>
        <charset val="134"/>
      </rPr>
      <t>五源资本</t>
    </r>
  </si>
  <si>
    <t>2011-06-04</t>
  </si>
  <si>
    <t>2010-06-01</t>
  </si>
  <si>
    <t>2014-08-21</t>
  </si>
  <si>
    <t>维天运通</t>
  </si>
  <si>
    <r>
      <rPr>
        <sz val="9"/>
        <color rgb="FF000000"/>
        <rFont val="楷体"/>
        <charset val="134"/>
      </rPr>
      <t>维天运通是一家全链路数字货运服务商，致力于通过创新的技术应用和服务模式打造良性货运生态圈。面向货运行业各个参与方，提供一系列数字化货运服务及解决方案，现已形成</t>
    </r>
    <r>
      <rPr>
        <sz val="9"/>
        <color rgb="FF000000"/>
        <rFont val="Arial"/>
        <charset val="134"/>
      </rPr>
      <t>“</t>
    </r>
    <r>
      <rPr>
        <sz val="9"/>
        <color rgb="FF000000"/>
        <rFont val="楷体"/>
        <charset val="134"/>
      </rPr>
      <t>全链路数字货运</t>
    </r>
    <r>
      <rPr>
        <sz val="9"/>
        <color rgb="FF000000"/>
        <rFont val="Arial"/>
        <charset val="134"/>
      </rPr>
      <t>+</t>
    </r>
    <r>
      <rPr>
        <sz val="9"/>
        <color rgb="FF000000"/>
        <rFont val="楷体"/>
        <charset val="134"/>
      </rPr>
      <t>货车司机职业社区</t>
    </r>
    <r>
      <rPr>
        <sz val="9"/>
        <color rgb="FF000000"/>
        <rFont val="Arial"/>
        <charset val="134"/>
      </rPr>
      <t>+</t>
    </r>
    <r>
      <rPr>
        <sz val="9"/>
        <color rgb="FF000000"/>
        <rFont val="楷体"/>
        <charset val="134"/>
      </rPr>
      <t>车后服务</t>
    </r>
    <r>
      <rPr>
        <sz val="9"/>
        <color rgb="FF000000"/>
        <rFont val="Arial"/>
        <charset val="134"/>
      </rPr>
      <t>”</t>
    </r>
    <r>
      <rPr>
        <sz val="9"/>
        <color rgb="FF000000"/>
        <rFont val="楷体"/>
        <charset val="134"/>
      </rPr>
      <t>的业务布局。公司旗下拥有</t>
    </r>
    <r>
      <rPr>
        <sz val="9"/>
        <color rgb="FF000000"/>
        <rFont val="Arial"/>
        <charset val="134"/>
      </rPr>
      <t>4</t>
    </r>
    <r>
      <rPr>
        <sz val="9"/>
        <color rgb="FF000000"/>
        <rFont val="楷体"/>
        <charset val="134"/>
      </rPr>
      <t>个研发基地、</t>
    </r>
    <r>
      <rPr>
        <sz val="9"/>
        <color rgb="FF000000"/>
        <rFont val="Arial"/>
        <charset val="134"/>
      </rPr>
      <t>20</t>
    </r>
    <r>
      <rPr>
        <sz val="9"/>
        <color rgb="FF000000"/>
        <rFont val="楷体"/>
        <charset val="134"/>
      </rPr>
      <t>余家分子公司，服务网络覆盖全国。旗下全链路数字货运业务</t>
    </r>
    <r>
      <rPr>
        <sz val="9"/>
        <color rgb="FF000000"/>
        <rFont val="Arial"/>
        <charset val="134"/>
      </rPr>
      <t>“</t>
    </r>
    <r>
      <rPr>
        <sz val="9"/>
        <color rgb="FF000000"/>
        <rFont val="楷体"/>
        <charset val="134"/>
      </rPr>
      <t>路歌</t>
    </r>
    <r>
      <rPr>
        <sz val="9"/>
        <color rgb="FF000000"/>
        <rFont val="Arial"/>
        <charset val="134"/>
      </rPr>
      <t>”</t>
    </r>
    <r>
      <rPr>
        <sz val="9"/>
        <color rgb="FF000000"/>
        <rFont val="楷体"/>
        <charset val="134"/>
      </rPr>
      <t>，为行业提供便捷、高效及标准化的全链路数字化货运服务及解决方案，通过数字化运力采购、数字化业务运作、数字化财务结算三个环节，帮助物流企业实现全链路的数字化转型。</t>
    </r>
  </si>
  <si>
    <t>合肥维天运通信息科技股份有限公司</t>
  </si>
  <si>
    <t>http://www.log56.com</t>
  </si>
  <si>
    <t>物流信息化</t>
  </si>
  <si>
    <r>
      <rPr>
        <sz val="9"/>
        <color rgb="FF000000"/>
        <rFont val="Arial"/>
        <charset val="134"/>
      </rPr>
      <t>1.25</t>
    </r>
    <r>
      <rPr>
        <sz val="9"/>
        <color rgb="FF000000"/>
        <rFont val="楷体"/>
        <charset val="134"/>
      </rPr>
      <t>亿港元</t>
    </r>
  </si>
  <si>
    <r>
      <rPr>
        <sz val="9"/>
        <color rgb="FF000000"/>
        <rFont val="Arial"/>
        <charset val="134"/>
      </rPr>
      <t>6</t>
    </r>
    <r>
      <rPr>
        <sz val="9"/>
        <color rgb="FF000000"/>
        <rFont val="楷体"/>
        <charset val="134"/>
      </rPr>
      <t>亿</t>
    </r>
  </si>
  <si>
    <r>
      <rPr>
        <sz val="9"/>
        <color rgb="FF000000"/>
        <rFont val="Arial"/>
        <charset val="134"/>
      </rPr>
      <t>32.336</t>
    </r>
    <r>
      <rPr>
        <sz val="9"/>
        <color rgb="FF000000"/>
        <rFont val="楷体"/>
        <charset val="134"/>
      </rPr>
      <t>亿元</t>
    </r>
  </si>
  <si>
    <r>
      <rPr>
        <sz val="9"/>
        <color rgb="FF000000"/>
        <rFont val="楷体"/>
        <charset val="134"/>
      </rPr>
      <t>冯雷</t>
    </r>
    <r>
      <rPr>
        <sz val="9"/>
        <color rgb="FF000000"/>
        <rFont val="Arial"/>
        <charset val="134"/>
      </rPr>
      <t>:CEO</t>
    </r>
  </si>
  <si>
    <r>
      <rPr>
        <sz val="9"/>
        <color rgb="FF000000"/>
        <rFont val="楷体"/>
        <charset val="134"/>
      </rPr>
      <t>合肥市高新区创新大道</t>
    </r>
    <r>
      <rPr>
        <sz val="9"/>
        <color rgb="FF000000"/>
        <rFont val="Arial"/>
        <charset val="134"/>
      </rPr>
      <t>2700</t>
    </r>
    <r>
      <rPr>
        <sz val="9"/>
        <color rgb="FF000000"/>
        <rFont val="楷体"/>
        <charset val="134"/>
      </rPr>
      <t>号</t>
    </r>
  </si>
  <si>
    <t>2019-05-06</t>
  </si>
  <si>
    <t>2016-01-19</t>
  </si>
  <si>
    <r>
      <rPr>
        <sz val="9"/>
        <color rgb="FF000000"/>
        <rFont val="楷体"/>
        <charset val="134"/>
      </rPr>
      <t>毅达资本</t>
    </r>
    <r>
      <rPr>
        <sz val="9"/>
        <color rgb="FF000000"/>
        <rFont val="Arial"/>
        <charset val="134"/>
      </rPr>
      <t>,</t>
    </r>
    <r>
      <rPr>
        <sz val="9"/>
        <color rgb="FF000000"/>
        <rFont val="楷体"/>
        <charset val="134"/>
      </rPr>
      <t>凯风创投</t>
    </r>
    <r>
      <rPr>
        <sz val="9"/>
        <color rgb="FF000000"/>
        <rFont val="Arial"/>
        <charset val="134"/>
      </rPr>
      <t>,</t>
    </r>
    <r>
      <rPr>
        <sz val="9"/>
        <color rgb="FF000000"/>
        <rFont val="楷体"/>
        <charset val="134"/>
      </rPr>
      <t>上海融川投资</t>
    </r>
    <r>
      <rPr>
        <sz val="9"/>
        <color rgb="FF000000"/>
        <rFont val="Arial"/>
        <charset val="134"/>
      </rPr>
      <t>,</t>
    </r>
    <r>
      <rPr>
        <sz val="9"/>
        <color rgb="FF000000"/>
        <rFont val="楷体"/>
        <charset val="134"/>
      </rPr>
      <t>江苏高投</t>
    </r>
    <r>
      <rPr>
        <sz val="9"/>
        <color rgb="FF000000"/>
        <rFont val="Arial"/>
        <charset val="134"/>
      </rPr>
      <t>,</t>
    </r>
    <r>
      <rPr>
        <sz val="9"/>
        <color rgb="FF000000"/>
        <rFont val="楷体"/>
        <charset val="134"/>
      </rPr>
      <t>时间投资</t>
    </r>
    <r>
      <rPr>
        <sz val="9"/>
        <color rgb="FF000000"/>
        <rFont val="Arial"/>
        <charset val="134"/>
      </rPr>
      <t>,</t>
    </r>
    <r>
      <rPr>
        <sz val="9"/>
        <color rgb="FF000000"/>
        <rFont val="楷体"/>
        <charset val="134"/>
      </rPr>
      <t>路歌投资</t>
    </r>
    <r>
      <rPr>
        <sz val="9"/>
        <color rgb="FF000000"/>
        <rFont val="Arial"/>
        <charset val="134"/>
      </rPr>
      <t>,</t>
    </r>
    <r>
      <rPr>
        <sz val="9"/>
        <color rgb="FF000000"/>
        <rFont val="楷体"/>
        <charset val="134"/>
      </rPr>
      <t>华成智讯</t>
    </r>
  </si>
  <si>
    <t>2015-03-19</t>
  </si>
  <si>
    <t>凯风创投</t>
  </si>
  <si>
    <t>2017-04-06</t>
  </si>
  <si>
    <t>2016-11-16</t>
  </si>
  <si>
    <t>2013-01-03</t>
  </si>
  <si>
    <t>36氪集团</t>
  </si>
  <si>
    <r>
      <rPr>
        <sz val="9"/>
        <color rgb="FF000000"/>
        <rFont val="Arial"/>
        <charset val="134"/>
      </rPr>
      <t>36</t>
    </r>
    <r>
      <rPr>
        <sz val="9"/>
        <color rgb="FF000000"/>
        <rFont val="楷体"/>
        <charset val="134"/>
      </rPr>
      <t>氪集团</t>
    </r>
  </si>
  <si>
    <r>
      <rPr>
        <sz val="9"/>
        <color rgb="FF000000"/>
        <rFont val="楷体"/>
        <charset val="134"/>
      </rPr>
      <t>协力筑成金融是一家关注金融科技及投融资服务的综合服务集团，旗下包括</t>
    </r>
    <r>
      <rPr>
        <sz val="9"/>
        <color rgb="FF000000"/>
        <rFont val="Arial"/>
        <charset val="134"/>
      </rPr>
      <t>36</t>
    </r>
    <r>
      <rPr>
        <sz val="9"/>
        <color rgb="FF000000"/>
        <rFont val="楷体"/>
        <charset val="134"/>
      </rPr>
      <t>氪媒体、氪空间、创投三大子公司业务，致力于为创业者以及中小企业提供的全方位的系统服务，包括从资讯信息到帮助对接融资渠道、直接获得资金，到解决办公场地以及相关的配套孵化服务等。</t>
    </r>
  </si>
  <si>
    <t>北京协力筑成科技信息服务股份有限公司</t>
  </si>
  <si>
    <t>http://www.36kr.com/</t>
  </si>
  <si>
    <t>创业服务</t>
  </si>
  <si>
    <t>招商局创投</t>
  </si>
  <si>
    <r>
      <rPr>
        <sz val="9"/>
        <color rgb="FF000000"/>
        <rFont val="Arial"/>
        <charset val="134"/>
      </rPr>
      <t>11.77</t>
    </r>
    <r>
      <rPr>
        <sz val="9"/>
        <color rgb="FF000000"/>
        <rFont val="楷体"/>
        <charset val="134"/>
      </rPr>
      <t>亿</t>
    </r>
  </si>
  <si>
    <r>
      <rPr>
        <sz val="9"/>
        <color rgb="FF000000"/>
        <rFont val="楷体"/>
        <charset val="134"/>
      </rPr>
      <t>刘成城</t>
    </r>
    <r>
      <rPr>
        <sz val="9"/>
        <color rgb="FF000000"/>
        <rFont val="Arial"/>
        <charset val="134"/>
      </rPr>
      <t>:CEO,</t>
    </r>
    <r>
      <rPr>
        <sz val="9"/>
        <color rgb="FF000000"/>
        <rFont val="楷体"/>
        <charset val="134"/>
      </rPr>
      <t>李艳波</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林都迪</t>
    </r>
    <r>
      <rPr>
        <sz val="9"/>
        <color rgb="FF000000"/>
        <rFont val="Arial"/>
        <charset val="134"/>
      </rPr>
      <t>:</t>
    </r>
    <r>
      <rPr>
        <sz val="9"/>
        <color rgb="FF000000"/>
        <rFont val="楷体"/>
        <charset val="134"/>
      </rPr>
      <t>氪空间董事长</t>
    </r>
    <r>
      <rPr>
        <sz val="9"/>
        <color rgb="FF000000"/>
        <rFont val="Arial"/>
        <charset val="134"/>
      </rPr>
      <t>,</t>
    </r>
    <r>
      <rPr>
        <sz val="9"/>
        <color rgb="FF000000"/>
        <rFont val="楷体"/>
        <charset val="134"/>
      </rPr>
      <t>王壮</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项新智</t>
    </r>
    <r>
      <rPr>
        <sz val="9"/>
        <color rgb="FF000000"/>
        <rFont val="Arial"/>
        <charset val="134"/>
      </rPr>
      <t>:</t>
    </r>
    <r>
      <rPr>
        <sz val="9"/>
        <color rgb="FF000000"/>
        <rFont val="楷体"/>
        <charset val="134"/>
      </rPr>
      <t>技术总监</t>
    </r>
    <r>
      <rPr>
        <sz val="9"/>
        <color rgb="FF000000"/>
        <rFont val="Arial"/>
        <charset val="134"/>
      </rPr>
      <t>,</t>
    </r>
    <r>
      <rPr>
        <sz val="9"/>
        <color rgb="FF000000"/>
        <rFont val="楷体"/>
        <charset val="134"/>
      </rPr>
      <t>冯大刚</t>
    </r>
    <r>
      <rPr>
        <sz val="9"/>
        <color rgb="FF000000"/>
        <rFont val="Arial"/>
        <charset val="134"/>
      </rPr>
      <t>:</t>
    </r>
    <r>
      <rPr>
        <sz val="9"/>
        <color rgb="FF000000"/>
        <rFont val="楷体"/>
        <charset val="134"/>
      </rPr>
      <t>总裁</t>
    </r>
  </si>
  <si>
    <t>北京市海淀区中关村创业大街</t>
  </si>
  <si>
    <t>400-995-3636</t>
  </si>
  <si>
    <t>business@36kr.com</t>
  </si>
  <si>
    <t>2016-11-01</t>
  </si>
  <si>
    <t>卓实基金</t>
  </si>
  <si>
    <t>2016-05-10</t>
  </si>
  <si>
    <r>
      <rPr>
        <sz val="9"/>
        <color rgb="FF000000"/>
        <rFont val="楷体"/>
        <charset val="134"/>
      </rPr>
      <t>永柏资本</t>
    </r>
    <r>
      <rPr>
        <sz val="9"/>
        <color rgb="FF000000"/>
        <rFont val="Arial"/>
        <charset val="134"/>
      </rPr>
      <t>PGA Ventures</t>
    </r>
  </si>
  <si>
    <t>2015-10-15</t>
  </si>
  <si>
    <r>
      <rPr>
        <sz val="9"/>
        <color rgb="FF000000"/>
        <rFont val="楷体"/>
        <charset val="134"/>
      </rPr>
      <t>经纬创投</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华泰证券</t>
    </r>
  </si>
  <si>
    <t>2014-11-30</t>
  </si>
  <si>
    <r>
      <rPr>
        <sz val="9"/>
        <color rgb="FF000000"/>
        <rFont val="Arial"/>
        <charset val="134"/>
      </rPr>
      <t>Infinity Venture Partners</t>
    </r>
    <r>
      <rPr>
        <sz val="9"/>
        <color rgb="FF000000"/>
        <rFont val="楷体"/>
        <charset val="134"/>
      </rPr>
      <t>（</t>
    </r>
    <r>
      <rPr>
        <sz val="9"/>
        <color rgb="FF000000"/>
        <rFont val="Arial"/>
        <charset val="134"/>
      </rPr>
      <t>IVP</t>
    </r>
    <r>
      <rPr>
        <sz val="9"/>
        <color rgb="FF000000"/>
        <rFont val="楷体"/>
        <charset val="134"/>
      </rPr>
      <t>）</t>
    </r>
  </si>
  <si>
    <t>2012-06-12</t>
  </si>
  <si>
    <t>2011-04-01</t>
  </si>
  <si>
    <t>2019-05-08</t>
  </si>
  <si>
    <t>旷视科技MEGVII</t>
  </si>
  <si>
    <r>
      <rPr>
        <sz val="9"/>
        <color rgb="FF000000"/>
        <rFont val="楷体"/>
        <charset val="134"/>
      </rPr>
      <t>旷视科技</t>
    </r>
    <r>
      <rPr>
        <sz val="9"/>
        <color rgb="FF000000"/>
        <rFont val="Arial"/>
        <charset val="134"/>
      </rPr>
      <t>MEGVII</t>
    </r>
  </si>
  <si>
    <r>
      <rPr>
        <sz val="9"/>
        <color rgb="FF000000"/>
        <rFont val="楷体"/>
        <charset val="134"/>
      </rPr>
      <t>旷视科技</t>
    </r>
    <r>
      <rPr>
        <sz val="9"/>
        <color rgb="FF000000"/>
        <rFont val="Arial"/>
        <charset val="134"/>
      </rPr>
      <t>MEGVII</t>
    </r>
    <r>
      <rPr>
        <sz val="9"/>
        <color rgb="FF000000"/>
        <rFont val="楷体"/>
        <charset val="134"/>
      </rPr>
      <t>是一家领先的人工智能科技企业，以自研视觉感知算法引擎为核心，致力于持续打造在各商业领域的</t>
    </r>
    <r>
      <rPr>
        <sz val="9"/>
        <color rgb="FF000000"/>
        <rFont val="Arial"/>
        <charset val="134"/>
      </rPr>
      <t xml:space="preserve"> AIoT </t>
    </r>
    <r>
      <rPr>
        <sz val="9"/>
        <color rgb="FF000000"/>
        <rFont val="楷体"/>
        <charset val="134"/>
      </rPr>
      <t>操作系统，以及深度构建具备连接百亿物联网设备能力的生态系统。旷视持续聚焦算法与工程创新，通过底层统一的</t>
    </r>
    <r>
      <rPr>
        <sz val="9"/>
        <color rgb="FF000000"/>
        <rFont val="Arial"/>
        <charset val="134"/>
      </rPr>
      <t xml:space="preserve"> AIoT </t>
    </r>
    <r>
      <rPr>
        <sz val="9"/>
        <color rgb="FF000000"/>
        <rFont val="楷体"/>
        <charset val="134"/>
      </rPr>
      <t>操作系统</t>
    </r>
    <r>
      <rPr>
        <sz val="9"/>
        <color rgb="FF000000"/>
        <rFont val="Arial"/>
        <charset val="134"/>
      </rPr>
      <t>(AIoT OS)</t>
    </r>
    <r>
      <rPr>
        <sz val="9"/>
        <color rgb="FF000000"/>
        <rFont val="楷体"/>
        <charset val="134"/>
      </rPr>
      <t>建设，旷视正在为</t>
    </r>
    <r>
      <rPr>
        <sz val="9"/>
        <color rgb="FF000000"/>
        <rFont val="Arial"/>
        <charset val="134"/>
      </rPr>
      <t xml:space="preserve"> 200 </t>
    </r>
    <r>
      <rPr>
        <sz val="9"/>
        <color rgb="FF000000"/>
        <rFont val="楷体"/>
        <charset val="134"/>
      </rPr>
      <t>多个国家和地区的数十万开发者，及上千家行业客户提供智能物联服务及解决方案。</t>
    </r>
  </si>
  <si>
    <t>旷视科技有限公司</t>
  </si>
  <si>
    <t>https://megvii.com/</t>
  </si>
  <si>
    <r>
      <rPr>
        <sz val="9"/>
        <color rgb="FF000000"/>
        <rFont val="Arial"/>
        <charset val="134"/>
      </rPr>
      <t>Macquarie</t>
    </r>
    <r>
      <rPr>
        <sz val="9"/>
        <color rgb="FF000000"/>
        <rFont val="楷体"/>
        <charset val="134"/>
      </rPr>
      <t>麦格理</t>
    </r>
    <r>
      <rPr>
        <sz val="9"/>
        <color rgb="FF000000"/>
        <rFont val="Arial"/>
        <charset val="134"/>
      </rPr>
      <t>,</t>
    </r>
    <r>
      <rPr>
        <sz val="9"/>
        <color rgb="FF000000"/>
        <rFont val="楷体"/>
        <charset val="134"/>
      </rPr>
      <t>中银投资</t>
    </r>
    <r>
      <rPr>
        <sz val="9"/>
        <color rgb="FF000000"/>
        <rFont val="Arial"/>
        <charset val="134"/>
      </rPr>
      <t>,</t>
    </r>
    <r>
      <rPr>
        <sz val="9"/>
        <color rgb="FF000000"/>
        <rFont val="楷体"/>
        <charset val="134"/>
      </rPr>
      <t>阿布扎比投资局</t>
    </r>
    <r>
      <rPr>
        <sz val="9"/>
        <color rgb="FF000000"/>
        <rFont val="Arial"/>
        <charset val="134"/>
      </rPr>
      <t>ADIA,</t>
    </r>
    <r>
      <rPr>
        <sz val="9"/>
        <color rgb="FF000000"/>
        <rFont val="楷体"/>
        <charset val="134"/>
      </rPr>
      <t>工银资管</t>
    </r>
  </si>
  <si>
    <r>
      <rPr>
        <sz val="9"/>
        <color rgb="FF000000"/>
        <rFont val="Arial"/>
        <charset val="134"/>
      </rPr>
      <t>81.67</t>
    </r>
    <r>
      <rPr>
        <sz val="9"/>
        <color rgb="FF000000"/>
        <rFont val="楷体"/>
        <charset val="134"/>
      </rPr>
      <t>亿</t>
    </r>
  </si>
  <si>
    <r>
      <rPr>
        <sz val="9"/>
        <color rgb="FF000000"/>
        <rFont val="Arial"/>
        <charset val="134"/>
      </rPr>
      <t>265.85</t>
    </r>
    <r>
      <rPr>
        <sz val="9"/>
        <color rgb="FF000000"/>
        <rFont val="楷体"/>
        <charset val="134"/>
      </rPr>
      <t>亿元</t>
    </r>
  </si>
  <si>
    <r>
      <rPr>
        <sz val="9"/>
        <color rgb="FF000000"/>
        <rFont val="楷体"/>
        <charset val="134"/>
      </rPr>
      <t>印奇</t>
    </r>
    <r>
      <rPr>
        <sz val="9"/>
        <color rgb="FF000000"/>
        <rFont val="Arial"/>
        <charset val="134"/>
      </rPr>
      <t>:</t>
    </r>
    <r>
      <rPr>
        <sz val="9"/>
        <color rgb="FF000000"/>
        <rFont val="楷体"/>
        <charset val="134"/>
      </rPr>
      <t>联合创始人兼</t>
    </r>
    <r>
      <rPr>
        <sz val="9"/>
        <color rgb="FF000000"/>
        <rFont val="Arial"/>
        <charset val="134"/>
      </rPr>
      <t>CEO,</t>
    </r>
    <r>
      <rPr>
        <sz val="9"/>
        <color rgb="FF000000"/>
        <rFont val="楷体"/>
        <charset val="134"/>
      </rPr>
      <t>唐文斌</t>
    </r>
    <r>
      <rPr>
        <sz val="9"/>
        <color rgb="FF000000"/>
        <rFont val="Arial"/>
        <charset val="134"/>
      </rPr>
      <t>:</t>
    </r>
    <r>
      <rPr>
        <sz val="9"/>
        <color rgb="FF000000"/>
        <rFont val="楷体"/>
        <charset val="134"/>
      </rPr>
      <t>联合创始人兼</t>
    </r>
    <r>
      <rPr>
        <sz val="9"/>
        <color rgb="FF000000"/>
        <rFont val="Arial"/>
        <charset val="134"/>
      </rPr>
      <t>CTO,</t>
    </r>
    <r>
      <rPr>
        <sz val="9"/>
        <color rgb="FF000000"/>
        <rFont val="楷体"/>
        <charset val="134"/>
      </rPr>
      <t>杨沐</t>
    </r>
    <r>
      <rPr>
        <sz val="9"/>
        <color rgb="FF000000"/>
        <rFont val="Arial"/>
        <charset val="134"/>
      </rPr>
      <t>:</t>
    </r>
    <r>
      <rPr>
        <sz val="9"/>
        <color rgb="FF000000"/>
        <rFont val="楷体"/>
        <charset val="134"/>
      </rPr>
      <t>联合创始人兼高级副总裁</t>
    </r>
    <r>
      <rPr>
        <sz val="9"/>
        <color rgb="FF000000"/>
        <rFont val="Arial"/>
        <charset val="134"/>
      </rPr>
      <t>,</t>
    </r>
    <r>
      <rPr>
        <sz val="9"/>
        <color rgb="FF000000"/>
        <rFont val="楷体"/>
        <charset val="134"/>
      </rPr>
      <t>孙剑</t>
    </r>
    <r>
      <rPr>
        <sz val="9"/>
        <color rgb="FF000000"/>
        <rFont val="Arial"/>
        <charset val="134"/>
      </rPr>
      <t>-</t>
    </r>
    <r>
      <rPr>
        <sz val="9"/>
        <color rgb="FF000000"/>
        <rFont val="楷体"/>
        <charset val="134"/>
      </rPr>
      <t>已去世</t>
    </r>
    <r>
      <rPr>
        <sz val="9"/>
        <color rgb="FF000000"/>
        <rFont val="Arial"/>
        <charset val="134"/>
      </rPr>
      <t>:</t>
    </r>
    <r>
      <rPr>
        <sz val="9"/>
        <color rgb="FF000000"/>
        <rFont val="楷体"/>
        <charset val="134"/>
      </rPr>
      <t>首席科学家</t>
    </r>
  </si>
  <si>
    <r>
      <rPr>
        <sz val="9"/>
        <color rgb="FF000000"/>
        <rFont val="楷体"/>
        <charset val="134"/>
      </rPr>
      <t>北京市海淀区科学院南路</t>
    </r>
    <r>
      <rPr>
        <sz val="9"/>
        <color rgb="FF000000"/>
        <rFont val="Arial"/>
        <charset val="134"/>
      </rPr>
      <t>2</t>
    </r>
    <r>
      <rPr>
        <sz val="9"/>
        <color rgb="FF000000"/>
        <rFont val="楷体"/>
        <charset val="134"/>
      </rPr>
      <t>号融科资讯中心</t>
    </r>
    <r>
      <rPr>
        <sz val="9"/>
        <color rgb="FF000000"/>
        <rFont val="Arial"/>
        <charset val="134"/>
      </rPr>
      <t>A</t>
    </r>
    <r>
      <rPr>
        <sz val="9"/>
        <color rgb="FF000000"/>
        <rFont val="楷体"/>
        <charset val="134"/>
      </rPr>
      <t>座</t>
    </r>
    <r>
      <rPr>
        <sz val="9"/>
        <color rgb="FF000000"/>
        <rFont val="Arial"/>
        <charset val="134"/>
      </rPr>
      <t>3</t>
    </r>
    <r>
      <rPr>
        <sz val="9"/>
        <color rgb="FF000000"/>
        <rFont val="楷体"/>
        <charset val="134"/>
      </rPr>
      <t>层</t>
    </r>
  </si>
  <si>
    <t>400-6700-866</t>
  </si>
  <si>
    <t>business@megvii.com</t>
  </si>
  <si>
    <t>2017-10-31</t>
  </si>
  <si>
    <r>
      <rPr>
        <sz val="9"/>
        <color rgb="FF000000"/>
        <rFont val="Arial"/>
        <charset val="134"/>
      </rPr>
      <t>4.6</t>
    </r>
    <r>
      <rPr>
        <sz val="9"/>
        <color rgb="FF000000"/>
        <rFont val="楷体"/>
        <charset val="134"/>
      </rPr>
      <t>亿美元</t>
    </r>
  </si>
  <si>
    <r>
      <rPr>
        <sz val="9"/>
        <color rgb="FF000000"/>
        <rFont val="Arial"/>
        <charset val="134"/>
      </rPr>
      <t>SK</t>
    </r>
    <r>
      <rPr>
        <sz val="9"/>
        <color rgb="FF000000"/>
        <rFont val="楷体"/>
        <charset val="134"/>
      </rPr>
      <t>电讯创投</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富士康</t>
    </r>
    <r>
      <rPr>
        <sz val="9"/>
        <color rgb="FF000000"/>
        <rFont val="Arial"/>
        <charset val="134"/>
      </rPr>
      <t>Foxconn,</t>
    </r>
    <r>
      <rPr>
        <sz val="9"/>
        <color rgb="FF000000"/>
        <rFont val="楷体"/>
        <charset val="134"/>
      </rPr>
      <t>阳光保险</t>
    </r>
    <r>
      <rPr>
        <sz val="9"/>
        <color rgb="FF000000"/>
        <rFont val="Arial"/>
        <charset val="134"/>
      </rPr>
      <t>,</t>
    </r>
    <r>
      <rPr>
        <sz val="9"/>
        <color rgb="FF000000"/>
        <rFont val="楷体"/>
        <charset val="134"/>
      </rPr>
      <t>中国国有资本风险投资基金（国风投基金）</t>
    </r>
    <r>
      <rPr>
        <sz val="9"/>
        <color rgb="FF000000"/>
        <rFont val="Arial"/>
        <charset val="134"/>
      </rPr>
      <t>,</t>
    </r>
    <r>
      <rPr>
        <sz val="9"/>
        <color rgb="FF000000"/>
        <rFont val="楷体"/>
        <charset val="134"/>
      </rPr>
      <t>中俄投资基金</t>
    </r>
  </si>
  <si>
    <t>2015-04-01</t>
  </si>
  <si>
    <t>2014-12-05</t>
  </si>
  <si>
    <t>2014-08-19</t>
  </si>
  <si>
    <r>
      <rPr>
        <sz val="9"/>
        <color rgb="FF000000"/>
        <rFont val="楷体"/>
        <charset val="134"/>
      </rPr>
      <t>创新工场</t>
    </r>
    <r>
      <rPr>
        <sz val="9"/>
        <color rgb="FF000000"/>
        <rFont val="Arial"/>
        <charset val="134"/>
      </rPr>
      <t>,</t>
    </r>
    <r>
      <rPr>
        <sz val="9"/>
        <color rgb="FF000000"/>
        <rFont val="楷体"/>
        <charset val="134"/>
      </rPr>
      <t>蚂蚁集团</t>
    </r>
  </si>
  <si>
    <t>2013-07-01</t>
  </si>
  <si>
    <t>2012-08-12</t>
  </si>
  <si>
    <t>2018-05-11</t>
  </si>
  <si>
    <t>2016-12-30</t>
  </si>
  <si>
    <t>2015-10-28</t>
  </si>
  <si>
    <t>2015-01-15</t>
  </si>
  <si>
    <t>2014-08-12</t>
  </si>
  <si>
    <t>2013-10-03</t>
  </si>
  <si>
    <t>2014-07-16</t>
  </si>
  <si>
    <t>2018-04-02</t>
  </si>
  <si>
    <t>2017-06-02</t>
  </si>
  <si>
    <t>2016-04-13</t>
  </si>
  <si>
    <t>2015-11-13</t>
  </si>
  <si>
    <t>2015-08-27</t>
  </si>
  <si>
    <t>2013-11-01</t>
  </si>
  <si>
    <t>2011-03-01</t>
  </si>
  <si>
    <t>2019-03-04</t>
  </si>
  <si>
    <t>虎嗅网</t>
  </si>
  <si>
    <t>虎嗅是一个聚焦科技与创新的资讯平台，致力于为一切热爱思考与发现的用户，提供有效率的信息服务，从而帮助他们更清晰准确地洞察世界、实现更好的创新与创造。</t>
  </si>
  <si>
    <t>北京虎嗅信息科技股份有限公司</t>
  </si>
  <si>
    <t>http://www.huxiu.com</t>
  </si>
  <si>
    <r>
      <rPr>
        <sz val="9"/>
        <color rgb="FF000000"/>
        <rFont val="Arial"/>
        <charset val="134"/>
      </rPr>
      <t>2.59</t>
    </r>
    <r>
      <rPr>
        <sz val="9"/>
        <color rgb="FF000000"/>
        <rFont val="楷体"/>
        <charset val="134"/>
      </rPr>
      <t>亿</t>
    </r>
  </si>
  <si>
    <r>
      <rPr>
        <sz val="9"/>
        <color rgb="FF000000"/>
        <rFont val="楷体"/>
        <charset val="134"/>
      </rPr>
      <t>李岷</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蔡钰</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韩祖利</t>
    </r>
    <r>
      <rPr>
        <sz val="9"/>
        <color rgb="FF000000"/>
        <rFont val="Arial"/>
        <charset val="134"/>
      </rPr>
      <t>:</t>
    </r>
    <r>
      <rPr>
        <sz val="9"/>
        <color rgb="FF000000"/>
        <rFont val="楷体"/>
        <charset val="134"/>
      </rPr>
      <t>联合创始人</t>
    </r>
  </si>
  <si>
    <r>
      <rPr>
        <sz val="9"/>
        <color rgb="FF000000"/>
        <rFont val="楷体"/>
        <charset val="134"/>
      </rPr>
      <t>北京市东城区美术馆后街</t>
    </r>
    <r>
      <rPr>
        <sz val="9"/>
        <color rgb="FF000000"/>
        <rFont val="Arial"/>
        <charset val="134"/>
      </rPr>
      <t>77</t>
    </r>
    <r>
      <rPr>
        <sz val="9"/>
        <color rgb="FF000000"/>
        <rFont val="楷体"/>
        <charset val="134"/>
      </rPr>
      <t>号</t>
    </r>
    <r>
      <rPr>
        <sz val="9"/>
        <color rgb="FF000000"/>
        <rFont val="Arial"/>
        <charset val="134"/>
      </rPr>
      <t>77</t>
    </r>
    <r>
      <rPr>
        <sz val="9"/>
        <color rgb="FF000000"/>
        <rFont val="楷体"/>
        <charset val="134"/>
      </rPr>
      <t>文创园</t>
    </r>
    <r>
      <rPr>
        <sz val="9"/>
        <color rgb="FF000000"/>
        <rFont val="Arial"/>
        <charset val="134"/>
      </rPr>
      <t>2</t>
    </r>
    <r>
      <rPr>
        <sz val="9"/>
        <color rgb="FF000000"/>
        <rFont val="楷体"/>
        <charset val="134"/>
      </rPr>
      <t>号楼</t>
    </r>
    <r>
      <rPr>
        <sz val="9"/>
        <color rgb="FF000000"/>
        <rFont val="Arial"/>
        <charset val="134"/>
      </rPr>
      <t>302</t>
    </r>
  </si>
  <si>
    <t>010-5753-8155</t>
  </si>
  <si>
    <t>hezuo@huxiu.com</t>
  </si>
  <si>
    <t>2019-01-29</t>
  </si>
  <si>
    <t>2015-12-01</t>
  </si>
  <si>
    <t>2014-06-03</t>
  </si>
  <si>
    <r>
      <rPr>
        <sz val="9"/>
        <color rgb="FF000000"/>
        <rFont val="Arial"/>
        <charset val="134"/>
      </rPr>
      <t>2484</t>
    </r>
    <r>
      <rPr>
        <sz val="9"/>
        <color rgb="FF000000"/>
        <rFont val="楷体"/>
        <charset val="134"/>
      </rPr>
      <t>万人民币</t>
    </r>
  </si>
  <si>
    <t>2012-07-15</t>
  </si>
  <si>
    <t>传媒梦工场</t>
  </si>
  <si>
    <t>2012-05-30</t>
  </si>
  <si>
    <t>2019-01-28</t>
  </si>
  <si>
    <t>2015-08-28</t>
  </si>
  <si>
    <t>2015-07-23</t>
  </si>
  <si>
    <t>2014-09-30</t>
  </si>
  <si>
    <t>2012-08-01</t>
  </si>
  <si>
    <t>2005-01-08</t>
  </si>
  <si>
    <t>2017-07-04</t>
  </si>
  <si>
    <t>中科虹霸</t>
  </si>
  <si>
    <r>
      <rPr>
        <sz val="9"/>
        <color rgb="FF000000"/>
        <rFont val="楷体"/>
        <charset val="134"/>
      </rPr>
      <t>中科虹霸由中科院自动化研究所设立，专业从事机器视觉、生物特征识别等人工智能领域的技术研究、</t>
    </r>
    <r>
      <rPr>
        <sz val="9"/>
        <color rgb="FF000000"/>
        <rFont val="Arial"/>
        <charset val="134"/>
      </rPr>
      <t xml:space="preserve"> </t>
    </r>
    <r>
      <rPr>
        <sz val="9"/>
        <color rgb="FF000000"/>
        <rFont val="楷体"/>
        <charset val="134"/>
      </rPr>
      <t>产品开发与成果转化的国家级高新技术企业。独有的虹膜识别核心技术源自模式识别国家重点实验室谭铁牛院士团队</t>
    </r>
    <r>
      <rPr>
        <sz val="9"/>
        <color rgb="FF000000"/>
        <rFont val="Arial"/>
        <charset val="134"/>
      </rPr>
      <t>20</t>
    </r>
    <r>
      <rPr>
        <sz val="9"/>
        <color rgb="FF000000"/>
        <rFont val="楷体"/>
        <charset val="134"/>
      </rPr>
      <t>多年科研成果积累，虹霸致力于为全球行业用户提供生物特征识别技术和解决方案，构建行业级、城市级、国家级的身份认证系统。中科虹霸研发的虹膜识别技术、产品已广泛应用于公安、金融、智能终端、矿山等领域，合作伙伴包含蚂蚁金服、华为、展讯通信、高通、联想等行业级头部企业，同时服务于国家公安部、北京市公安局、中国移动、中国电信、中国银行、神华集团、中煤集团等政府部门和大型央企。</t>
    </r>
  </si>
  <si>
    <t>北京中科虹霸科技有限公司</t>
  </si>
  <si>
    <t>http://www.irisking.com/</t>
  </si>
  <si>
    <t>2006-12</t>
  </si>
  <si>
    <r>
      <rPr>
        <sz val="9"/>
        <color rgb="FF000000"/>
        <rFont val="Arial"/>
        <charset val="134"/>
      </rPr>
      <t>1.58</t>
    </r>
    <r>
      <rPr>
        <sz val="9"/>
        <color rgb="FF000000"/>
        <rFont val="楷体"/>
        <charset val="134"/>
      </rPr>
      <t>亿</t>
    </r>
  </si>
  <si>
    <r>
      <rPr>
        <sz val="9"/>
        <color rgb="FF000000"/>
        <rFont val="楷体"/>
        <charset val="134"/>
      </rPr>
      <t>谭铁牛</t>
    </r>
    <r>
      <rPr>
        <sz val="9"/>
        <color rgb="FF000000"/>
        <rFont val="Arial"/>
        <charset val="134"/>
      </rPr>
      <t>:</t>
    </r>
    <r>
      <rPr>
        <sz val="9"/>
        <color rgb="FF000000"/>
        <rFont val="楷体"/>
        <charset val="134"/>
      </rPr>
      <t>创始人</t>
    </r>
  </si>
  <si>
    <r>
      <rPr>
        <sz val="9"/>
        <color rgb="FF000000"/>
        <rFont val="楷体"/>
        <charset val="134"/>
      </rPr>
      <t>海淀区北四环西路</t>
    </r>
    <r>
      <rPr>
        <sz val="9"/>
        <color rgb="FF000000"/>
        <rFont val="Arial"/>
        <charset val="134"/>
      </rPr>
      <t>9</t>
    </r>
    <r>
      <rPr>
        <sz val="9"/>
        <color rgb="FF000000"/>
        <rFont val="楷体"/>
        <charset val="134"/>
      </rPr>
      <t>号银谷大厦</t>
    </r>
    <r>
      <rPr>
        <sz val="9"/>
        <color rgb="FF000000"/>
        <rFont val="Arial"/>
        <charset val="134"/>
      </rPr>
      <t>7</t>
    </r>
    <r>
      <rPr>
        <sz val="9"/>
        <color rgb="FF000000"/>
        <rFont val="楷体"/>
        <charset val="134"/>
      </rPr>
      <t>层</t>
    </r>
  </si>
  <si>
    <t>010-6252-9086</t>
  </si>
  <si>
    <t>business@irisking.com</t>
  </si>
  <si>
    <t>中关村发展集团</t>
  </si>
  <si>
    <t>2009-07-15</t>
  </si>
  <si>
    <t>联想集团</t>
  </si>
  <si>
    <t>2008-01-13</t>
  </si>
  <si>
    <t>数米基金网</t>
  </si>
  <si>
    <t>数米基金网是一个基金资讯、数据、在线购买和交易网站，杭州数米基金销售有限公司旗下网站。</t>
  </si>
  <si>
    <t>蚂蚁（杭州）基金销售有限公司</t>
  </si>
  <si>
    <t>http://www.fund123.cn</t>
  </si>
  <si>
    <r>
      <rPr>
        <sz val="9"/>
        <color rgb="FF000000"/>
        <rFont val="Arial"/>
        <charset val="134"/>
      </rPr>
      <t>1.99</t>
    </r>
    <r>
      <rPr>
        <sz val="9"/>
        <color rgb="FF000000"/>
        <rFont val="楷体"/>
        <charset val="134"/>
      </rPr>
      <t>亿人民币</t>
    </r>
  </si>
  <si>
    <r>
      <rPr>
        <sz val="9"/>
        <color rgb="FF000000"/>
        <rFont val="Arial"/>
        <charset val="134"/>
      </rPr>
      <t>2.45</t>
    </r>
    <r>
      <rPr>
        <sz val="9"/>
        <color rgb="FF000000"/>
        <rFont val="楷体"/>
        <charset val="134"/>
      </rPr>
      <t>亿</t>
    </r>
  </si>
  <si>
    <r>
      <rPr>
        <sz val="9"/>
        <color rgb="FF000000"/>
        <rFont val="Arial"/>
        <charset val="134"/>
      </rPr>
      <t>9.95</t>
    </r>
    <r>
      <rPr>
        <sz val="9"/>
        <color rgb="FF000000"/>
        <rFont val="楷体"/>
        <charset val="134"/>
      </rPr>
      <t>亿元</t>
    </r>
  </si>
  <si>
    <r>
      <rPr>
        <sz val="9"/>
        <color rgb="FF000000"/>
        <rFont val="楷体"/>
        <charset val="134"/>
      </rPr>
      <t>陈鹏</t>
    </r>
    <r>
      <rPr>
        <sz val="9"/>
        <color rgb="FF000000"/>
        <rFont val="Arial"/>
        <charset val="134"/>
      </rPr>
      <t>:CEO</t>
    </r>
  </si>
  <si>
    <t>2013-11-13</t>
  </si>
  <si>
    <r>
      <rPr>
        <sz val="9"/>
        <color rgb="FF000000"/>
        <rFont val="Arial"/>
        <charset val="134"/>
      </rPr>
      <t>1558</t>
    </r>
    <r>
      <rPr>
        <sz val="9"/>
        <color rgb="FF000000"/>
        <rFont val="楷体"/>
        <charset val="134"/>
      </rPr>
      <t>万人民币</t>
    </r>
  </si>
  <si>
    <t>恒生电子</t>
  </si>
  <si>
    <t>2011-11-01</t>
  </si>
  <si>
    <t>2018-04-08</t>
  </si>
  <si>
    <t>八爪鱼在线旅游</t>
  </si>
  <si>
    <t>八爪鱼在线旅游是一家在线旅游综合分销平台，提供国内短线、国内长线、出境旅游、自由行、机票预定、租车、门票等全线旅游产品的在线同业分销平台，八爪鱼在线旅游发展有限公司旗下。</t>
  </si>
  <si>
    <t>八爪鱼在线旅游发展有限公司</t>
  </si>
  <si>
    <t>http://www.8trip.cn</t>
  </si>
  <si>
    <t>2011-12</t>
  </si>
  <si>
    <r>
      <rPr>
        <sz val="9"/>
        <color rgb="FF000000"/>
        <rFont val="楷体"/>
        <charset val="134"/>
      </rPr>
      <t>蚂蚁集团</t>
    </r>
    <r>
      <rPr>
        <sz val="9"/>
        <color rgb="FF000000"/>
        <rFont val="Arial"/>
        <charset val="134"/>
      </rPr>
      <t>,</t>
    </r>
    <r>
      <rPr>
        <sz val="9"/>
        <color rgb="FF000000"/>
        <rFont val="楷体"/>
        <charset val="134"/>
      </rPr>
      <t>博宁资本</t>
    </r>
    <r>
      <rPr>
        <sz val="9"/>
        <color rgb="FF000000"/>
        <rFont val="Arial"/>
        <charset val="134"/>
      </rPr>
      <t>,</t>
    </r>
    <r>
      <rPr>
        <sz val="9"/>
        <color rgb="FF000000"/>
        <rFont val="楷体"/>
        <charset val="134"/>
      </rPr>
      <t>建银国际</t>
    </r>
  </si>
  <si>
    <r>
      <rPr>
        <sz val="9"/>
        <color rgb="FF000000"/>
        <rFont val="Arial"/>
        <charset val="134"/>
      </rPr>
      <t>9.5</t>
    </r>
    <r>
      <rPr>
        <sz val="9"/>
        <color rgb="FF000000"/>
        <rFont val="楷体"/>
        <charset val="134"/>
      </rPr>
      <t>亿</t>
    </r>
  </si>
  <si>
    <r>
      <rPr>
        <sz val="9"/>
        <color rgb="FF000000"/>
        <rFont val="楷体"/>
        <charset val="134"/>
      </rPr>
      <t>袁栋</t>
    </r>
    <r>
      <rPr>
        <sz val="9"/>
        <color rgb="FF000000"/>
        <rFont val="Arial"/>
        <charset val="134"/>
      </rPr>
      <t>:</t>
    </r>
    <r>
      <rPr>
        <sz val="9"/>
        <color rgb="FF000000"/>
        <rFont val="楷体"/>
        <charset val="134"/>
      </rPr>
      <t>创始人兼</t>
    </r>
    <r>
      <rPr>
        <sz val="9"/>
        <color rgb="FF000000"/>
        <rFont val="Arial"/>
        <charset val="134"/>
      </rPr>
      <t>CEO</t>
    </r>
  </si>
  <si>
    <t>前海梧桐并购基金</t>
  </si>
  <si>
    <t>2016-08-23</t>
  </si>
  <si>
    <r>
      <rPr>
        <sz val="9"/>
        <color rgb="FF000000"/>
        <rFont val="Arial"/>
        <charset val="134"/>
      </rPr>
      <t>1.7</t>
    </r>
    <r>
      <rPr>
        <sz val="9"/>
        <color rgb="FF000000"/>
        <rFont val="楷体"/>
        <charset val="134"/>
      </rPr>
      <t>亿人民币</t>
    </r>
  </si>
  <si>
    <t>腾邦国际</t>
  </si>
  <si>
    <r>
      <rPr>
        <sz val="9"/>
        <color rgb="FF000000"/>
        <rFont val="楷体"/>
        <charset val="134"/>
      </rPr>
      <t>软银中国资本</t>
    </r>
    <r>
      <rPr>
        <sz val="9"/>
        <color rgb="FF000000"/>
        <rFont val="Arial"/>
        <charset val="134"/>
      </rPr>
      <t>,</t>
    </r>
    <r>
      <rPr>
        <sz val="9"/>
        <color rgb="FF000000"/>
        <rFont val="楷体"/>
        <charset val="134"/>
      </rPr>
      <t>嘉御资本</t>
    </r>
  </si>
  <si>
    <t>2022-01-24</t>
  </si>
  <si>
    <t>深大智能</t>
  </si>
  <si>
    <r>
      <rPr>
        <sz val="9"/>
        <color rgb="FF000000"/>
        <rFont val="楷体"/>
        <charset val="134"/>
      </rPr>
      <t>浙江深大智能集团专注于提供智慧旅游全产业链产品创新、产业规划和运营服务，致力于发展成为拥有旅游行业大数据的信息化与运营综合服务商，实施国际化、全球化的发展战略。已成为集行业整体解决方案、智慧旅游公众服务支撑平台</t>
    </r>
    <r>
      <rPr>
        <sz val="9"/>
        <color rgb="FF000000"/>
        <rFont val="Arial"/>
        <charset val="134"/>
      </rPr>
      <t>“</t>
    </r>
    <r>
      <rPr>
        <sz val="9"/>
        <color rgb="FF000000"/>
        <rFont val="楷体"/>
        <charset val="134"/>
      </rPr>
      <t>智游宝</t>
    </r>
    <r>
      <rPr>
        <sz val="9"/>
        <color rgb="FF000000"/>
        <rFont val="Arial"/>
        <charset val="134"/>
      </rPr>
      <t>”</t>
    </r>
    <r>
      <rPr>
        <sz val="9"/>
        <color rgb="FF000000"/>
        <rFont val="楷体"/>
        <charset val="134"/>
      </rPr>
      <t>、旅游目的地</t>
    </r>
    <r>
      <rPr>
        <sz val="9"/>
        <color rgb="FF000000"/>
        <rFont val="Arial"/>
        <charset val="134"/>
      </rPr>
      <t>LOTS</t>
    </r>
    <r>
      <rPr>
        <sz val="9"/>
        <color rgb="FF000000"/>
        <rFont val="楷体"/>
        <charset val="134"/>
      </rPr>
      <t>（</t>
    </r>
    <r>
      <rPr>
        <sz val="9"/>
        <color rgb="FF000000"/>
        <rFont val="Arial"/>
        <charset val="134"/>
      </rPr>
      <t>Local Online Travel Supplier &amp; Service</t>
    </r>
    <r>
      <rPr>
        <sz val="9"/>
        <color rgb="FF000000"/>
        <rFont val="楷体"/>
        <charset val="134"/>
      </rPr>
      <t>）投资建设运营、旅游大数据、旅游产业投融资五大业务板块协同发展的企业集团。</t>
    </r>
  </si>
  <si>
    <t>浙江深大智能科技有限公司</t>
  </si>
  <si>
    <t>http://www.sendinfo.com.cn</t>
  </si>
  <si>
    <r>
      <rPr>
        <sz val="9"/>
        <color rgb="FF000000"/>
        <rFont val="楷体"/>
        <charset val="134"/>
      </rPr>
      <t>杭州市西湖区西斗门路</t>
    </r>
    <r>
      <rPr>
        <sz val="9"/>
        <color rgb="FF000000"/>
        <rFont val="Arial"/>
        <charset val="134"/>
      </rPr>
      <t>3</t>
    </r>
    <r>
      <rPr>
        <sz val="9"/>
        <color rgb="FF000000"/>
        <rFont val="楷体"/>
        <charset val="134"/>
      </rPr>
      <t>号天堂软件园</t>
    </r>
    <r>
      <rPr>
        <sz val="9"/>
        <color rgb="FF000000"/>
        <rFont val="Arial"/>
        <charset val="134"/>
      </rPr>
      <t>E</t>
    </r>
    <r>
      <rPr>
        <sz val="9"/>
        <color rgb="FF000000"/>
        <rFont val="楷体"/>
        <charset val="134"/>
      </rPr>
      <t>幢</t>
    </r>
    <r>
      <rPr>
        <sz val="9"/>
        <color rgb="FF000000"/>
        <rFont val="Arial"/>
        <charset val="134"/>
      </rPr>
      <t>6-7</t>
    </r>
    <r>
      <rPr>
        <sz val="9"/>
        <color rgb="FF000000"/>
        <rFont val="楷体"/>
        <charset val="134"/>
      </rPr>
      <t>层</t>
    </r>
  </si>
  <si>
    <t>2015-10-30</t>
  </si>
  <si>
    <t>中国文化产业投资基金</t>
  </si>
  <si>
    <r>
      <rPr>
        <sz val="9"/>
        <color rgb="FF000000"/>
        <rFont val="楷体"/>
        <charset val="134"/>
      </rPr>
      <t>浙创投</t>
    </r>
    <r>
      <rPr>
        <sz val="9"/>
        <color rgb="FF000000"/>
        <rFont val="Arial"/>
        <charset val="134"/>
      </rPr>
      <t>,</t>
    </r>
    <r>
      <rPr>
        <sz val="9"/>
        <color rgb="FF000000"/>
        <rFont val="楷体"/>
        <charset val="134"/>
      </rPr>
      <t>中国文化产业投资基金</t>
    </r>
  </si>
  <si>
    <t>2016-11-02</t>
  </si>
  <si>
    <t>财新传媒</t>
  </si>
  <si>
    <t>财新传媒是一家提供财经新闻及资讯服务的全媒体集团，旗下拥有包括网站、期刊、视频、图书、会议等多层次的业务平台。</t>
  </si>
  <si>
    <t>财新传媒有限公司</t>
  </si>
  <si>
    <t>http://www.caixin.com/</t>
  </si>
  <si>
    <r>
      <rPr>
        <sz val="9"/>
        <color rgb="FF000000"/>
        <rFont val="楷体"/>
        <charset val="134"/>
      </rPr>
      <t>千合资本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荣正投资</t>
    </r>
    <r>
      <rPr>
        <sz val="9"/>
        <color rgb="FF000000"/>
        <rFont val="Arial"/>
        <charset val="134"/>
      </rPr>
      <t>,</t>
    </r>
    <r>
      <rPr>
        <sz val="9"/>
        <color rgb="FF000000"/>
        <rFont val="楷体"/>
        <charset val="134"/>
      </rPr>
      <t>西部资本</t>
    </r>
    <r>
      <rPr>
        <sz val="9"/>
        <color rgb="FF000000"/>
        <rFont val="Arial"/>
        <charset val="134"/>
      </rPr>
      <t>,</t>
    </r>
    <r>
      <rPr>
        <sz val="9"/>
        <color rgb="FF000000"/>
        <rFont val="楷体"/>
        <charset val="134"/>
      </rPr>
      <t>邦信资产</t>
    </r>
    <r>
      <rPr>
        <sz val="9"/>
        <color rgb="FF000000"/>
        <rFont val="Arial"/>
        <charset val="134"/>
      </rPr>
      <t>,</t>
    </r>
    <r>
      <rPr>
        <sz val="9"/>
        <color rgb="FF000000"/>
        <rFont val="楷体"/>
        <charset val="134"/>
      </rPr>
      <t>万融投资</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东资股权投资基金</t>
    </r>
  </si>
  <si>
    <r>
      <rPr>
        <sz val="9"/>
        <color rgb="FF000000"/>
        <rFont val="楷体"/>
        <charset val="134"/>
      </rPr>
      <t>胡舒立</t>
    </r>
    <r>
      <rPr>
        <sz val="9"/>
        <color rgb="FF000000"/>
        <rFont val="Arial"/>
        <charset val="134"/>
      </rPr>
      <t>:</t>
    </r>
    <r>
      <rPr>
        <sz val="9"/>
        <color rgb="FF000000"/>
        <rFont val="楷体"/>
        <charset val="134"/>
      </rPr>
      <t>创始人</t>
    </r>
  </si>
  <si>
    <r>
      <rPr>
        <sz val="9"/>
        <color rgb="FF000000"/>
        <rFont val="楷体"/>
        <charset val="134"/>
      </rPr>
      <t>北京市朝阳区工体北路</t>
    </r>
    <r>
      <rPr>
        <sz val="9"/>
        <color rgb="FF000000"/>
        <rFont val="Arial"/>
        <charset val="134"/>
      </rPr>
      <t>8</t>
    </r>
    <r>
      <rPr>
        <sz val="9"/>
        <color rgb="FF000000"/>
        <rFont val="楷体"/>
        <charset val="134"/>
      </rPr>
      <t>号院三里屯</t>
    </r>
    <r>
      <rPr>
        <sz val="9"/>
        <color rgb="FF000000"/>
        <rFont val="Arial"/>
        <charset val="134"/>
      </rPr>
      <t>SOHO 6</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t>
    </r>
    <r>
      <rPr>
        <sz val="9"/>
        <color rgb="FF000000"/>
        <rFont val="楷体"/>
        <charset val="134"/>
      </rPr>
      <t>工人体育场北路</t>
    </r>
    <r>
      <rPr>
        <sz val="9"/>
        <color rgb="FF000000"/>
        <rFont val="Arial"/>
        <charset val="134"/>
      </rPr>
      <t>8</t>
    </r>
    <r>
      <rPr>
        <sz val="9"/>
        <color rgb="FF000000"/>
        <rFont val="楷体"/>
        <charset val="134"/>
      </rPr>
      <t>号院</t>
    </r>
    <r>
      <rPr>
        <sz val="9"/>
        <color rgb="FF000000"/>
        <rFont val="Arial"/>
        <charset val="134"/>
      </rPr>
      <t>5</t>
    </r>
    <r>
      <rPr>
        <sz val="9"/>
        <color rgb="FF000000"/>
        <rFont val="楷体"/>
        <charset val="134"/>
      </rPr>
      <t>号楼</t>
    </r>
    <r>
      <rPr>
        <sz val="9"/>
        <color rgb="FF000000"/>
        <rFont val="Arial"/>
        <charset val="134"/>
      </rPr>
      <t>4</t>
    </r>
    <r>
      <rPr>
        <sz val="9"/>
        <color rgb="FF000000"/>
        <rFont val="楷体"/>
        <charset val="134"/>
      </rPr>
      <t>层</t>
    </r>
    <r>
      <rPr>
        <sz val="9"/>
        <color rgb="FF000000"/>
        <rFont val="Arial"/>
        <charset val="134"/>
      </rPr>
      <t>6510</t>
    </r>
    <r>
      <rPr>
        <sz val="9"/>
        <color rgb="FF000000"/>
        <rFont val="楷体"/>
        <charset val="134"/>
      </rPr>
      <t>号</t>
    </r>
  </si>
  <si>
    <t>400-696-0110/010-58103380</t>
  </si>
  <si>
    <t>service@caixin.com</t>
  </si>
  <si>
    <t>2016-03-02</t>
  </si>
  <si>
    <r>
      <rPr>
        <sz val="9"/>
        <color rgb="FF000000"/>
        <rFont val="楷体"/>
        <charset val="134"/>
      </rPr>
      <t>蚂蚁集团</t>
    </r>
    <r>
      <rPr>
        <sz val="9"/>
        <color rgb="FF000000"/>
        <rFont val="Arial"/>
        <charset val="134"/>
      </rPr>
      <t>,</t>
    </r>
    <r>
      <rPr>
        <sz val="9"/>
        <color rgb="FF000000"/>
        <rFont val="楷体"/>
        <charset val="134"/>
      </rPr>
      <t>荣正投资</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东资基金</t>
    </r>
  </si>
  <si>
    <t>2013-12-19</t>
  </si>
  <si>
    <t>2012-07-19</t>
  </si>
  <si>
    <t>2010-01-23</t>
  </si>
  <si>
    <r>
      <rPr>
        <sz val="9"/>
        <color rgb="FF000000"/>
        <rFont val="楷体"/>
        <charset val="134"/>
      </rPr>
      <t>浙报传媒</t>
    </r>
    <r>
      <rPr>
        <sz val="9"/>
        <color rgb="FF000000"/>
        <rFont val="Arial"/>
        <charset val="134"/>
      </rPr>
      <t>(</t>
    </r>
    <r>
      <rPr>
        <sz val="9"/>
        <color rgb="FF000000"/>
        <rFont val="楷体"/>
        <charset val="134"/>
      </rPr>
      <t>东方星空</t>
    </r>
    <r>
      <rPr>
        <sz val="9"/>
        <color rgb="FF000000"/>
        <rFont val="Arial"/>
        <charset val="134"/>
      </rPr>
      <t>)</t>
    </r>
  </si>
  <si>
    <t>2014-10-21</t>
  </si>
  <si>
    <t>2015-01-25</t>
  </si>
  <si>
    <t>网金社</t>
  </si>
  <si>
    <t>网金社是一家互联网金融资产交易平台，由中投保、蚂蚁金服、恒生电子联袂打造，为用户提供理财、抵押借贷、车贷、放贷等综合金融服务。</t>
  </si>
  <si>
    <t>浙江三潭科技股份有限公司</t>
  </si>
  <si>
    <t>https://www.wjs.com/</t>
  </si>
  <si>
    <r>
      <rPr>
        <sz val="9"/>
        <color rgb="FF000000"/>
        <rFont val="楷体"/>
        <charset val="134"/>
      </rPr>
      <t>蚂蚁集团</t>
    </r>
    <r>
      <rPr>
        <sz val="9"/>
        <color rgb="FF000000"/>
        <rFont val="Arial"/>
        <charset val="134"/>
      </rPr>
      <t>,</t>
    </r>
    <r>
      <rPr>
        <sz val="9"/>
        <color rgb="FF000000"/>
        <rFont val="楷体"/>
        <charset val="134"/>
      </rPr>
      <t>恒生电子</t>
    </r>
  </si>
  <si>
    <r>
      <rPr>
        <sz val="9"/>
        <color rgb="FF000000"/>
        <rFont val="楷体"/>
        <charset val="134"/>
      </rPr>
      <t>浙江省杭州市西湖区古荡街道西溪新座</t>
    </r>
    <r>
      <rPr>
        <sz val="9"/>
        <color rgb="FF000000"/>
        <rFont val="Arial"/>
        <charset val="134"/>
      </rPr>
      <t>5</t>
    </r>
    <r>
      <rPr>
        <sz val="9"/>
        <color rgb="FF000000"/>
        <rFont val="楷体"/>
        <charset val="134"/>
      </rPr>
      <t>幢</t>
    </r>
    <r>
      <rPr>
        <sz val="9"/>
        <color rgb="FF000000"/>
        <rFont val="Arial"/>
        <charset val="134"/>
      </rPr>
      <t>801</t>
    </r>
    <r>
      <rPr>
        <sz val="9"/>
        <color rgb="FF000000"/>
        <rFont val="楷体"/>
        <charset val="134"/>
      </rPr>
      <t>室</t>
    </r>
  </si>
  <si>
    <t>400-998-7676</t>
  </si>
  <si>
    <t>service@wjs.com;william.tam@hongkongstorage.com</t>
  </si>
  <si>
    <t>2015-11-07</t>
  </si>
  <si>
    <t>德邦证券</t>
  </si>
  <si>
    <t>德邦证券是一家具有股票主承销资格的全国性综合类证券公司，公司目前拥有开放式证券投资基金代销业务资格、权证交易资格和结算资格等。</t>
  </si>
  <si>
    <t>德邦证券股份有限公司</t>
  </si>
  <si>
    <t>http://www.tebon.com.cn/</t>
  </si>
  <si>
    <t>2003-05</t>
  </si>
  <si>
    <r>
      <rPr>
        <sz val="9"/>
        <color rgb="FF000000"/>
        <rFont val="楷体"/>
        <charset val="134"/>
      </rPr>
      <t>上海市福山路</t>
    </r>
    <r>
      <rPr>
        <sz val="9"/>
        <color rgb="FF000000"/>
        <rFont val="Arial"/>
        <charset val="134"/>
      </rPr>
      <t>500</t>
    </r>
    <r>
      <rPr>
        <sz val="9"/>
        <color rgb="FF000000"/>
        <rFont val="楷体"/>
        <charset val="134"/>
      </rPr>
      <t>号城建国际中心</t>
    </r>
    <r>
      <rPr>
        <sz val="9"/>
        <color rgb="FF000000"/>
        <rFont val="Arial"/>
        <charset val="134"/>
      </rPr>
      <t>29</t>
    </r>
    <r>
      <rPr>
        <sz val="9"/>
        <color rgb="FF000000"/>
        <rFont val="楷体"/>
        <charset val="134"/>
      </rPr>
      <t>楼</t>
    </r>
  </si>
  <si>
    <t>021-68761616</t>
  </si>
  <si>
    <t>webmaster@tebon.com.cn;william.tam@hongkongstorage</t>
  </si>
  <si>
    <t>2019-04-01</t>
  </si>
  <si>
    <t>恒生电子是一家金融软件和网络服务供应商，业务范围包括证券、基金、期货、银行、信托、保险、财资管理、通信、电子商务等。</t>
  </si>
  <si>
    <t>杭州恒生电子集团有限公司</t>
  </si>
  <si>
    <t>http://www.hundsun.com</t>
  </si>
  <si>
    <t>1998-09</t>
  </si>
  <si>
    <r>
      <rPr>
        <sz val="9"/>
        <color rgb="FF000000"/>
        <rFont val="Arial"/>
        <charset val="134"/>
      </rPr>
      <t>33.99</t>
    </r>
    <r>
      <rPr>
        <sz val="9"/>
        <color rgb="FF000000"/>
        <rFont val="楷体"/>
        <charset val="134"/>
      </rPr>
      <t>亿</t>
    </r>
  </si>
  <si>
    <r>
      <rPr>
        <sz val="9"/>
        <color rgb="FF000000"/>
        <rFont val="楷体"/>
        <charset val="134"/>
      </rPr>
      <t>彭政纲</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刘曙峰</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柳阳</t>
    </r>
    <r>
      <rPr>
        <sz val="9"/>
        <color rgb="FF000000"/>
        <rFont val="Arial"/>
        <charset val="134"/>
      </rPr>
      <t>:</t>
    </r>
    <r>
      <rPr>
        <sz val="9"/>
        <color rgb="FF000000"/>
        <rFont val="楷体"/>
        <charset val="134"/>
      </rPr>
      <t>联合创始人</t>
    </r>
  </si>
  <si>
    <r>
      <rPr>
        <sz val="9"/>
        <color rgb="FF000000"/>
        <rFont val="楷体"/>
        <charset val="134"/>
      </rPr>
      <t>杭州市滨江区江南大道</t>
    </r>
    <r>
      <rPr>
        <sz val="9"/>
        <color rgb="FF000000"/>
        <rFont val="Arial"/>
        <charset val="134"/>
      </rPr>
      <t>3588</t>
    </r>
    <r>
      <rPr>
        <sz val="9"/>
        <color rgb="FF000000"/>
        <rFont val="楷体"/>
        <charset val="134"/>
      </rPr>
      <t>号恒生大厦</t>
    </r>
    <r>
      <rPr>
        <sz val="9"/>
        <color rgb="FF000000"/>
        <rFont val="Arial"/>
        <charset val="134"/>
      </rPr>
      <t>11</t>
    </r>
    <r>
      <rPr>
        <sz val="9"/>
        <color rgb="FF000000"/>
        <rFont val="楷体"/>
        <charset val="134"/>
      </rPr>
      <t>楼</t>
    </r>
  </si>
  <si>
    <t>domain@hundsun.com</t>
  </si>
  <si>
    <t>2015-05-01</t>
  </si>
  <si>
    <t>2014-04-03</t>
  </si>
  <si>
    <r>
      <rPr>
        <sz val="9"/>
        <color rgb="FF000000"/>
        <rFont val="Arial"/>
        <charset val="134"/>
      </rPr>
      <t>32.99</t>
    </r>
    <r>
      <rPr>
        <sz val="9"/>
        <color rgb="FF000000"/>
        <rFont val="楷体"/>
        <charset val="134"/>
      </rPr>
      <t>亿人民币</t>
    </r>
  </si>
  <si>
    <t>浙江融信</t>
  </si>
  <si>
    <t>2017-12-30</t>
  </si>
  <si>
    <t>蘑菇租房</t>
  </si>
  <si>
    <r>
      <rPr>
        <sz val="9"/>
        <color rgb="FF000000"/>
        <rFont val="楷体"/>
        <charset val="134"/>
      </rPr>
      <t>蘑菇租房是国内真实的租房平台，</t>
    </r>
    <r>
      <rPr>
        <sz val="9"/>
        <color rgb="FF000000"/>
        <rFont val="Arial"/>
        <charset val="134"/>
      </rPr>
      <t>2014</t>
    </r>
    <r>
      <rPr>
        <sz val="9"/>
        <color rgb="FF000000"/>
        <rFont val="楷体"/>
        <charset val="134"/>
      </rPr>
      <t>年创立于上海，已覆盖北京、深圳等一线城市，以</t>
    </r>
    <r>
      <rPr>
        <sz val="9"/>
        <color rgb="FF000000"/>
        <rFont val="Arial"/>
        <charset val="134"/>
      </rPr>
      <t>“</t>
    </r>
    <r>
      <rPr>
        <sz val="9"/>
        <color rgb="FF000000"/>
        <rFont val="楷体"/>
        <charset val="134"/>
      </rPr>
      <t>真房源、房租月付、免中介费</t>
    </r>
    <r>
      <rPr>
        <sz val="9"/>
        <color rgb="FF000000"/>
        <rFont val="Arial"/>
        <charset val="134"/>
      </rPr>
      <t>”</t>
    </r>
    <r>
      <rPr>
        <sz val="9"/>
        <color rgb="FF000000"/>
        <rFont val="楷体"/>
        <charset val="134"/>
      </rPr>
      <t>等产品特色受到广大租房人群欢迎。并连续获得</t>
    </r>
    <r>
      <rPr>
        <sz val="9"/>
        <color rgb="FF000000"/>
        <rFont val="Arial"/>
        <charset val="134"/>
      </rPr>
      <t>IDG</t>
    </r>
    <r>
      <rPr>
        <sz val="9"/>
        <color rgb="FF000000"/>
        <rFont val="楷体"/>
        <charset val="134"/>
      </rPr>
      <t>资本、中国平安、海通开元、韩国</t>
    </r>
    <r>
      <rPr>
        <sz val="9"/>
        <color rgb="FF000000"/>
        <rFont val="Arial"/>
        <charset val="134"/>
      </rPr>
      <t>KTB</t>
    </r>
    <r>
      <rPr>
        <sz val="9"/>
        <color rgb="FF000000"/>
        <rFont val="楷体"/>
        <charset val="134"/>
      </rPr>
      <t>等多家国际知名投资机构风险投资，与蚂蚁金服达成深度战略合作。</t>
    </r>
  </si>
  <si>
    <t>上海墨果物业管理有限公司</t>
  </si>
  <si>
    <t>http://www.mogoroom.com</t>
  </si>
  <si>
    <r>
      <rPr>
        <sz val="9"/>
        <color rgb="FF000000"/>
        <rFont val="楷体"/>
        <charset val="134"/>
      </rPr>
      <t>巨人网络</t>
    </r>
    <r>
      <rPr>
        <sz val="9"/>
        <color rgb="FF000000"/>
        <rFont val="Arial"/>
        <charset val="134"/>
      </rPr>
      <t>(</t>
    </r>
    <r>
      <rPr>
        <sz val="9"/>
        <color rgb="FF000000"/>
        <rFont val="楷体"/>
        <charset val="134"/>
      </rPr>
      <t>巨人创投</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蚂蚁集团</t>
    </r>
  </si>
  <si>
    <r>
      <rPr>
        <sz val="9"/>
        <color rgb="FF000000"/>
        <rFont val="Arial"/>
        <charset val="134"/>
      </rPr>
      <t>7.78</t>
    </r>
    <r>
      <rPr>
        <sz val="9"/>
        <color rgb="FF000000"/>
        <rFont val="楷体"/>
        <charset val="134"/>
      </rPr>
      <t>亿</t>
    </r>
  </si>
  <si>
    <r>
      <rPr>
        <sz val="9"/>
        <color rgb="FF000000"/>
        <rFont val="Arial"/>
        <charset val="134"/>
      </rPr>
      <t>14.95</t>
    </r>
    <r>
      <rPr>
        <sz val="9"/>
        <color rgb="FF000000"/>
        <rFont val="楷体"/>
        <charset val="134"/>
      </rPr>
      <t>亿元</t>
    </r>
  </si>
  <si>
    <r>
      <rPr>
        <sz val="9"/>
        <color rgb="FF000000"/>
        <rFont val="楷体"/>
        <charset val="134"/>
      </rPr>
      <t>马晓军</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龙东平</t>
    </r>
    <r>
      <rPr>
        <sz val="9"/>
        <color rgb="FF000000"/>
        <rFont val="Arial"/>
        <charset val="134"/>
      </rPr>
      <t>:</t>
    </r>
    <r>
      <rPr>
        <sz val="9"/>
        <color rgb="FF000000"/>
        <rFont val="楷体"/>
        <charset val="134"/>
      </rPr>
      <t>联合创始人</t>
    </r>
  </si>
  <si>
    <r>
      <rPr>
        <sz val="9"/>
        <color rgb="FF000000"/>
        <rFont val="楷体"/>
        <charset val="134"/>
      </rPr>
      <t>上海市奉贤区民乐路</t>
    </r>
    <r>
      <rPr>
        <sz val="9"/>
        <color rgb="FF000000"/>
        <rFont val="Arial"/>
        <charset val="134"/>
      </rPr>
      <t>88</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4241</t>
    </r>
    <r>
      <rPr>
        <sz val="9"/>
        <color rgb="FF000000"/>
        <rFont val="楷体"/>
        <charset val="134"/>
      </rPr>
      <t>室</t>
    </r>
  </si>
  <si>
    <t>400-060-6868</t>
  </si>
  <si>
    <t>david@mogoroom.com</t>
  </si>
  <si>
    <t>2015-11-04</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</si>
  <si>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平安创新投资基金</t>
    </r>
    <r>
      <rPr>
        <sz val="9"/>
        <color rgb="FF000000"/>
        <rFont val="Arial"/>
        <charset val="134"/>
      </rPr>
      <t>,KTB</t>
    </r>
    <r>
      <rPr>
        <sz val="9"/>
        <color rgb="FF000000"/>
        <rFont val="楷体"/>
        <charset val="134"/>
      </rPr>
      <t>投资集团</t>
    </r>
    <r>
      <rPr>
        <sz val="9"/>
        <color rgb="FF000000"/>
        <rFont val="Arial"/>
        <charset val="134"/>
      </rPr>
      <t>,</t>
    </r>
    <r>
      <rPr>
        <sz val="9"/>
        <color rgb="FF000000"/>
        <rFont val="楷体"/>
        <charset val="134"/>
      </rPr>
      <t>海通开元</t>
    </r>
  </si>
  <si>
    <t>2014-12-17</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</si>
  <si>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平安创新投资基金</t>
    </r>
    <r>
      <rPr>
        <sz val="9"/>
        <color rgb="FF000000"/>
        <rFont val="Arial"/>
        <charset val="134"/>
      </rPr>
      <t>,</t>
    </r>
    <r>
      <rPr>
        <sz val="9"/>
        <color rgb="FF000000"/>
        <rFont val="楷体"/>
        <charset val="134"/>
      </rPr>
      <t>海通开元</t>
    </r>
    <r>
      <rPr>
        <sz val="9"/>
        <color rgb="FF000000"/>
        <rFont val="Arial"/>
        <charset val="134"/>
      </rPr>
      <t>,</t>
    </r>
    <r>
      <rPr>
        <sz val="9"/>
        <color rgb="FF000000"/>
        <rFont val="楷体"/>
        <charset val="134"/>
      </rPr>
      <t>金昌投资</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</si>
  <si>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平安创新投资基金</t>
    </r>
  </si>
  <si>
    <t>2022-07-07</t>
  </si>
  <si>
    <t>奥比中光</t>
  </si>
  <si>
    <r>
      <rPr>
        <sz val="9"/>
        <color rgb="FF000000"/>
        <rFont val="楷体"/>
        <charset val="134"/>
      </rPr>
      <t>奥比中光是一家</t>
    </r>
    <r>
      <rPr>
        <sz val="9"/>
        <color rgb="FF000000"/>
        <rFont val="Arial"/>
        <charset val="134"/>
      </rPr>
      <t>3D</t>
    </r>
    <r>
      <rPr>
        <sz val="9"/>
        <color rgb="FF000000"/>
        <rFont val="楷体"/>
        <charset val="134"/>
      </rPr>
      <t>视觉感知整体技术方案提供商。公司已构建起</t>
    </r>
    <r>
      <rPr>
        <sz val="9"/>
        <color rgb="FF000000"/>
        <rFont val="Arial"/>
        <charset val="134"/>
      </rPr>
      <t>“</t>
    </r>
    <r>
      <rPr>
        <sz val="9"/>
        <color rgb="FF000000"/>
        <rFont val="楷体"/>
        <charset val="134"/>
      </rPr>
      <t>全栈式技术研发能力</t>
    </r>
    <r>
      <rPr>
        <sz val="9"/>
        <color rgb="FF000000"/>
        <rFont val="Arial"/>
        <charset val="134"/>
      </rPr>
      <t>+</t>
    </r>
    <r>
      <rPr>
        <sz val="9"/>
        <color rgb="FF000000"/>
        <rFont val="楷体"/>
        <charset val="134"/>
      </rPr>
      <t>全领域技术路线布局</t>
    </r>
    <r>
      <rPr>
        <sz val="9"/>
        <color rgb="FF000000"/>
        <rFont val="Arial"/>
        <charset val="134"/>
      </rPr>
      <t>”</t>
    </r>
    <r>
      <rPr>
        <sz val="9"/>
        <color rgb="FF000000"/>
        <rFont val="楷体"/>
        <charset val="134"/>
      </rPr>
      <t>的</t>
    </r>
    <r>
      <rPr>
        <sz val="9"/>
        <color rgb="FF000000"/>
        <rFont val="Arial"/>
        <charset val="134"/>
      </rPr>
      <t xml:space="preserve"> 3D</t>
    </r>
    <r>
      <rPr>
        <sz val="9"/>
        <color rgb="FF000000"/>
        <rFont val="楷体"/>
        <charset val="134"/>
      </rPr>
      <t>视觉感知技术体系，在技术纵向上对包括深度引擎芯片、感光芯片、专用光学系统等在内的核心底层技术以及</t>
    </r>
    <r>
      <rPr>
        <sz val="9"/>
        <color rgb="FF000000"/>
        <rFont val="Arial"/>
        <charset val="134"/>
      </rPr>
      <t>SDK</t>
    </r>
    <r>
      <rPr>
        <sz val="9"/>
        <color rgb="FF000000"/>
        <rFont val="楷体"/>
        <charset val="134"/>
      </rPr>
      <t>、行业应用算法等全链路技术进行全栈式自主研发，在技术横向上对结构光、</t>
    </r>
    <r>
      <rPr>
        <sz val="9"/>
        <color rgb="FF000000"/>
        <rFont val="Arial"/>
        <charset val="134"/>
      </rPr>
      <t>iToF</t>
    </r>
    <r>
      <rPr>
        <sz val="9"/>
        <color rgb="FF000000"/>
        <rFont val="楷体"/>
        <charset val="134"/>
      </rPr>
      <t>、双目、</t>
    </r>
    <r>
      <rPr>
        <sz val="9"/>
        <color rgb="FF000000"/>
        <rFont val="Arial"/>
        <charset val="134"/>
      </rPr>
      <t>dToF</t>
    </r>
    <r>
      <rPr>
        <sz val="9"/>
        <color rgb="FF000000"/>
        <rFont val="楷体"/>
        <charset val="134"/>
      </rPr>
      <t>、</t>
    </r>
    <r>
      <rPr>
        <sz val="9"/>
        <color rgb="FF000000"/>
        <rFont val="Arial"/>
        <charset val="134"/>
      </rPr>
      <t>Lidar</t>
    </r>
    <r>
      <rPr>
        <sz val="9"/>
        <color rgb="FF000000"/>
        <rFont val="楷体"/>
        <charset val="134"/>
      </rPr>
      <t>、工业三维测量进行全领域布局。</t>
    </r>
  </si>
  <si>
    <t>奥比中光科技集团股份有限公司</t>
  </si>
  <si>
    <t>http://www.orbbec.com.cn/</t>
  </si>
  <si>
    <t>传感设备</t>
  </si>
  <si>
    <r>
      <rPr>
        <sz val="9"/>
        <color rgb="FF000000"/>
        <rFont val="Arial"/>
        <charset val="134"/>
      </rPr>
      <t>12.4</t>
    </r>
    <r>
      <rPr>
        <sz val="9"/>
        <color rgb="FF000000"/>
        <rFont val="楷体"/>
        <charset val="134"/>
      </rPr>
      <t>亿人民币</t>
    </r>
  </si>
  <si>
    <r>
      <rPr>
        <sz val="9"/>
        <color rgb="FF000000"/>
        <rFont val="Arial"/>
        <charset val="134"/>
      </rPr>
      <t>26.4</t>
    </r>
    <r>
      <rPr>
        <sz val="9"/>
        <color rgb="FF000000"/>
        <rFont val="楷体"/>
        <charset val="134"/>
      </rPr>
      <t>亿</t>
    </r>
  </si>
  <si>
    <r>
      <rPr>
        <sz val="9"/>
        <color rgb="FF000000"/>
        <rFont val="Arial"/>
        <charset val="134"/>
      </rPr>
      <t>124</t>
    </r>
    <r>
      <rPr>
        <sz val="9"/>
        <color rgb="FF000000"/>
        <rFont val="楷体"/>
        <charset val="134"/>
      </rPr>
      <t>亿元</t>
    </r>
  </si>
  <si>
    <r>
      <rPr>
        <sz val="9"/>
        <color rgb="FF000000"/>
        <rFont val="楷体"/>
        <charset val="134"/>
      </rPr>
      <t>黄源浩</t>
    </r>
    <r>
      <rPr>
        <sz val="9"/>
        <color rgb="FF000000"/>
        <rFont val="Arial"/>
        <charset val="134"/>
      </rPr>
      <t>:</t>
    </r>
    <r>
      <rPr>
        <sz val="9"/>
        <color rgb="FF000000"/>
        <rFont val="楷体"/>
        <charset val="134"/>
      </rPr>
      <t>创始人</t>
    </r>
  </si>
  <si>
    <r>
      <rPr>
        <sz val="9"/>
        <color rgb="FF000000"/>
        <rFont val="楷体"/>
        <charset val="134"/>
      </rPr>
      <t>深圳市南山区粤海街道学府路</t>
    </r>
    <r>
      <rPr>
        <sz val="9"/>
        <color rgb="FF000000"/>
        <rFont val="Arial"/>
        <charset val="134"/>
      </rPr>
      <t>63</t>
    </r>
    <r>
      <rPr>
        <sz val="9"/>
        <color rgb="FF000000"/>
        <rFont val="楷体"/>
        <charset val="134"/>
      </rPr>
      <t>号高新区联合总部大厦</t>
    </r>
    <r>
      <rPr>
        <sz val="9"/>
        <color rgb="FF000000"/>
        <rFont val="Arial"/>
        <charset val="134"/>
      </rPr>
      <t>11-13</t>
    </r>
    <r>
      <rPr>
        <sz val="9"/>
        <color rgb="FF000000"/>
        <rFont val="楷体"/>
        <charset val="134"/>
      </rPr>
      <t>楼</t>
    </r>
  </si>
  <si>
    <t>400-830-8002</t>
  </si>
  <si>
    <t>business@orbbec.com</t>
  </si>
  <si>
    <t>2018-05-21</t>
  </si>
  <si>
    <r>
      <rPr>
        <sz val="9"/>
        <color rgb="FF000000"/>
        <rFont val="楷体"/>
        <charset val="134"/>
      </rPr>
      <t>松禾资本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蚂蚁集团</t>
    </r>
    <r>
      <rPr>
        <sz val="9"/>
        <color rgb="FF000000"/>
        <rFont val="Arial"/>
        <charset val="134"/>
      </rPr>
      <t>,</t>
    </r>
    <r>
      <rPr>
        <sz val="9"/>
        <color rgb="FF000000"/>
        <rFont val="楷体"/>
        <charset val="134"/>
      </rPr>
      <t>仁智资本</t>
    </r>
    <r>
      <rPr>
        <sz val="9"/>
        <color rgb="FF000000"/>
        <rFont val="Arial"/>
        <charset val="134"/>
      </rPr>
      <t>,</t>
    </r>
    <r>
      <rPr>
        <sz val="9"/>
        <color rgb="FF000000"/>
        <rFont val="楷体"/>
        <charset val="134"/>
      </rPr>
      <t>天狼星资本</t>
    </r>
  </si>
  <si>
    <r>
      <rPr>
        <sz val="9"/>
        <color rgb="FF000000"/>
        <rFont val="楷体"/>
        <charset val="134"/>
      </rPr>
      <t>松禾资本</t>
    </r>
    <r>
      <rPr>
        <sz val="9"/>
        <color rgb="FF000000"/>
        <rFont val="Arial"/>
        <charset val="134"/>
      </rPr>
      <t>,</t>
    </r>
    <r>
      <rPr>
        <sz val="9"/>
        <color rgb="FF000000"/>
        <rFont val="楷体"/>
        <charset val="134"/>
      </rPr>
      <t>仁智资本</t>
    </r>
    <r>
      <rPr>
        <sz val="9"/>
        <color rgb="FF000000"/>
        <rFont val="Arial"/>
        <charset val="134"/>
      </rPr>
      <t>,</t>
    </r>
    <r>
      <rPr>
        <sz val="9"/>
        <color rgb="FF000000"/>
        <rFont val="楷体"/>
        <charset val="134"/>
      </rPr>
      <t>天狼星资本</t>
    </r>
  </si>
  <si>
    <r>
      <rPr>
        <sz val="9"/>
        <color rgb="FF000000"/>
        <rFont val="楷体"/>
        <charset val="134"/>
      </rPr>
      <t>赛富基金</t>
    </r>
    <r>
      <rPr>
        <sz val="9"/>
        <color rgb="FF000000"/>
        <rFont val="Arial"/>
        <charset val="134"/>
      </rPr>
      <t>SAIF Partners,</t>
    </r>
    <r>
      <rPr>
        <sz val="9"/>
        <color rgb="FF000000"/>
        <rFont val="楷体"/>
        <charset val="134"/>
      </rPr>
      <t>广发信德</t>
    </r>
    <r>
      <rPr>
        <sz val="9"/>
        <color rgb="FF000000"/>
        <rFont val="Arial"/>
        <charset val="134"/>
      </rPr>
      <t>,</t>
    </r>
    <r>
      <rPr>
        <sz val="9"/>
        <color rgb="FF000000"/>
        <rFont val="楷体"/>
        <charset val="134"/>
      </rPr>
      <t>联发科</t>
    </r>
    <r>
      <rPr>
        <sz val="9"/>
        <color rgb="FF000000"/>
        <rFont val="Arial"/>
        <charset val="134"/>
      </rPr>
      <t>MTK,</t>
    </r>
    <r>
      <rPr>
        <sz val="9"/>
        <color rgb="FF000000"/>
        <rFont val="楷体"/>
        <charset val="134"/>
      </rPr>
      <t>金石投资</t>
    </r>
    <r>
      <rPr>
        <sz val="9"/>
        <color rgb="FF000000"/>
        <rFont val="Arial"/>
        <charset val="134"/>
      </rPr>
      <t>,</t>
    </r>
    <r>
      <rPr>
        <sz val="9"/>
        <color rgb="FF000000"/>
        <rFont val="楷体"/>
        <charset val="134"/>
      </rPr>
      <t>仁智资本</t>
    </r>
    <r>
      <rPr>
        <sz val="9"/>
        <color rgb="FF000000"/>
        <rFont val="Arial"/>
        <charset val="134"/>
      </rPr>
      <t>,</t>
    </r>
    <r>
      <rPr>
        <sz val="9"/>
        <color rgb="FF000000"/>
        <rFont val="楷体"/>
        <charset val="134"/>
      </rPr>
      <t>华大恒通</t>
    </r>
  </si>
  <si>
    <t>2015-08-04</t>
  </si>
  <si>
    <t>弘德投资</t>
  </si>
  <si>
    <t>2016-10-02</t>
  </si>
  <si>
    <t>连山融资项目</t>
  </si>
  <si>
    <t>上海富捷信息技术有限公司</t>
  </si>
  <si>
    <t>供应链金融</t>
  </si>
  <si>
    <r>
      <rPr>
        <sz val="9"/>
        <color rgb="FF000000"/>
        <rFont val="Arial"/>
        <charset val="134"/>
      </rPr>
      <t>9500</t>
    </r>
    <r>
      <rPr>
        <sz val="9"/>
        <color rgb="FF000000"/>
        <rFont val="楷体"/>
        <charset val="134"/>
      </rPr>
      <t>万</t>
    </r>
  </si>
  <si>
    <r>
      <rPr>
        <sz val="9"/>
        <color rgb="FF000000"/>
        <rFont val="楷体"/>
        <charset val="134"/>
      </rPr>
      <t>上海市浦东新区杨高南路</t>
    </r>
    <r>
      <rPr>
        <sz val="9"/>
        <color rgb="FF000000"/>
        <rFont val="Arial"/>
        <charset val="134"/>
      </rPr>
      <t>428</t>
    </r>
    <r>
      <rPr>
        <sz val="9"/>
        <color rgb="FF000000"/>
        <rFont val="楷体"/>
        <charset val="134"/>
      </rPr>
      <t>号</t>
    </r>
    <r>
      <rPr>
        <sz val="9"/>
        <color rgb="FF000000"/>
        <rFont val="Arial"/>
        <charset val="134"/>
      </rPr>
      <t xml:space="preserve"> 2</t>
    </r>
    <r>
      <rPr>
        <sz val="9"/>
        <color rgb="FF000000"/>
        <rFont val="楷体"/>
        <charset val="134"/>
      </rPr>
      <t>号楼</t>
    </r>
    <r>
      <rPr>
        <sz val="9"/>
        <color rgb="FF000000"/>
        <rFont val="Arial"/>
        <charset val="134"/>
      </rPr>
      <t>17D</t>
    </r>
  </si>
  <si>
    <t>400-101-9595</t>
  </si>
  <si>
    <t>bd@netfinworks.com</t>
  </si>
  <si>
    <t>2014-05-31</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</si>
  <si>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云启资本</t>
    </r>
  </si>
  <si>
    <t>2017-10-18</t>
  </si>
  <si>
    <t>趣店集团</t>
  </si>
  <si>
    <r>
      <rPr>
        <sz val="9"/>
        <color rgb="FF000000"/>
        <rFont val="楷体"/>
        <charset val="134"/>
      </rPr>
      <t>趣店</t>
    </r>
    <r>
      <rPr>
        <sz val="9"/>
        <color rgb="FF000000"/>
        <rFont val="Arial"/>
        <charset val="134"/>
      </rPr>
      <t>(</t>
    </r>
    <r>
      <rPr>
        <sz val="9"/>
        <color rgb="FF000000"/>
        <rFont val="楷体"/>
        <charset val="134"/>
      </rPr>
      <t>此前叫：趣分期</t>
    </r>
    <r>
      <rPr>
        <sz val="9"/>
        <color rgb="FF000000"/>
        <rFont val="Arial"/>
        <charset val="134"/>
      </rPr>
      <t>)</t>
    </r>
    <r>
      <rPr>
        <sz val="9"/>
        <color rgb="FF000000"/>
        <rFont val="楷体"/>
        <charset val="134"/>
      </rPr>
      <t>是一个面向大学生的分期付款购物</t>
    </r>
    <r>
      <rPr>
        <sz val="9"/>
        <color rgb="FF000000"/>
        <rFont val="Arial"/>
        <charset val="134"/>
      </rPr>
      <t>+P2P</t>
    </r>
    <r>
      <rPr>
        <sz val="9"/>
        <color rgb="FF000000"/>
        <rFont val="楷体"/>
        <charset val="134"/>
      </rPr>
      <t>理财平台，为全国各地大学生提供趣分期消费服务，</t>
    </r>
    <r>
      <rPr>
        <sz val="9"/>
        <color rgb="FF000000"/>
        <rFont val="Arial"/>
        <charset val="134"/>
      </rPr>
      <t>2016</t>
    </r>
    <r>
      <rPr>
        <sz val="9"/>
        <color rgb="FF000000"/>
        <rFont val="楷体"/>
        <charset val="134"/>
      </rPr>
      <t>年业务进行转型升级为面向白领人群的消费金融公司。隶属于北京快乐时代科技发展有限公司。</t>
    </r>
  </si>
  <si>
    <t>北京快乐时代科技发展有限公司</t>
  </si>
  <si>
    <t>http://www.qufenqi.com</t>
  </si>
  <si>
    <t>消费金融</t>
  </si>
  <si>
    <r>
      <rPr>
        <sz val="9"/>
        <color rgb="FF000000"/>
        <rFont val="Arial"/>
        <charset val="134"/>
      </rPr>
      <t>9</t>
    </r>
    <r>
      <rPr>
        <sz val="9"/>
        <color rgb="FF000000"/>
        <rFont val="楷体"/>
        <charset val="134"/>
      </rPr>
      <t>亿美元</t>
    </r>
  </si>
  <si>
    <r>
      <rPr>
        <sz val="9"/>
        <color rgb="FF000000"/>
        <rFont val="Arial"/>
        <charset val="134"/>
      </rPr>
      <t>110.38</t>
    </r>
    <r>
      <rPr>
        <sz val="9"/>
        <color rgb="FF000000"/>
        <rFont val="楷体"/>
        <charset val="134"/>
      </rPr>
      <t>亿</t>
    </r>
  </si>
  <si>
    <r>
      <rPr>
        <sz val="9"/>
        <color rgb="FF000000"/>
        <rFont val="Arial"/>
        <charset val="134"/>
      </rPr>
      <t>513.5</t>
    </r>
    <r>
      <rPr>
        <sz val="9"/>
        <color rgb="FF000000"/>
        <rFont val="楷体"/>
        <charset val="134"/>
      </rPr>
      <t>亿元</t>
    </r>
  </si>
  <si>
    <r>
      <rPr>
        <sz val="9"/>
        <color rgb="FF000000"/>
        <rFont val="楷体"/>
        <charset val="134"/>
      </rPr>
      <t>罗敏</t>
    </r>
    <r>
      <rPr>
        <sz val="9"/>
        <color rgb="FF000000"/>
        <rFont val="Arial"/>
        <charset val="134"/>
      </rPr>
      <t>:CEO,</t>
    </r>
    <r>
      <rPr>
        <sz val="9"/>
        <color rgb="FF000000"/>
        <rFont val="楷体"/>
        <charset val="134"/>
      </rPr>
      <t>刘爽</t>
    </r>
    <r>
      <rPr>
        <sz val="9"/>
        <color rgb="FF000000"/>
        <rFont val="Arial"/>
        <charset val="134"/>
      </rPr>
      <t>:COO,</t>
    </r>
    <r>
      <rPr>
        <sz val="9"/>
        <color rgb="FF000000"/>
        <rFont val="楷体"/>
        <charset val="134"/>
      </rPr>
      <t>邓巍</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张青青</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何洪佳</t>
    </r>
    <r>
      <rPr>
        <sz val="9"/>
        <color rgb="FF000000"/>
        <rFont val="Arial"/>
        <charset val="134"/>
      </rPr>
      <t>:</t>
    </r>
    <r>
      <rPr>
        <sz val="9"/>
        <color rgb="FF000000"/>
        <rFont val="楷体"/>
        <charset val="134"/>
      </rPr>
      <t>副总裁</t>
    </r>
  </si>
  <si>
    <r>
      <rPr>
        <sz val="9"/>
        <color rgb="FF000000"/>
        <rFont val="楷体"/>
        <charset val="134"/>
      </rPr>
      <t>北京市海淀区丹棱街</t>
    </r>
    <r>
      <rPr>
        <sz val="9"/>
        <color rgb="FF000000"/>
        <rFont val="Arial"/>
        <charset val="134"/>
      </rPr>
      <t>1</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12</t>
    </r>
    <r>
      <rPr>
        <sz val="9"/>
        <color rgb="FF000000"/>
        <rFont val="楷体"/>
        <charset val="134"/>
      </rPr>
      <t>层</t>
    </r>
    <r>
      <rPr>
        <sz val="9"/>
        <color rgb="FF000000"/>
        <rFont val="Arial"/>
        <charset val="134"/>
      </rPr>
      <t>1</t>
    </r>
    <r>
      <rPr>
        <sz val="9"/>
        <color rgb="FF000000"/>
        <rFont val="楷体"/>
        <charset val="134"/>
      </rPr>
      <t>单元</t>
    </r>
  </si>
  <si>
    <t>010-86392999</t>
  </si>
  <si>
    <t>bd@qudian.com</t>
  </si>
  <si>
    <t>2016-10-25</t>
  </si>
  <si>
    <r>
      <rPr>
        <sz val="9"/>
        <color rgb="FF000000"/>
        <rFont val="Arial"/>
        <charset val="134"/>
      </rPr>
      <t>3.75</t>
    </r>
    <r>
      <rPr>
        <sz val="9"/>
        <color rgb="FF000000"/>
        <rFont val="楷体"/>
        <charset val="134"/>
      </rPr>
      <t>亿人民币</t>
    </r>
  </si>
  <si>
    <r>
      <rPr>
        <sz val="9"/>
        <color rgb="FF000000"/>
        <rFont val="楷体"/>
        <charset val="134"/>
      </rPr>
      <t>国盛金控</t>
    </r>
    <r>
      <rPr>
        <sz val="9"/>
        <color rgb="FF000000"/>
        <rFont val="Arial"/>
        <charset val="134"/>
      </rPr>
      <t>(</t>
    </r>
    <r>
      <rPr>
        <sz val="9"/>
        <color rgb="FF000000"/>
        <rFont val="楷体"/>
        <charset val="134"/>
      </rPr>
      <t>华声股份</t>
    </r>
    <r>
      <rPr>
        <sz val="9"/>
        <color rgb="FF000000"/>
        <rFont val="Arial"/>
        <charset val="134"/>
      </rPr>
      <t>)</t>
    </r>
  </si>
  <si>
    <t>2016-07-07</t>
  </si>
  <si>
    <r>
      <rPr>
        <sz val="9"/>
        <color rgb="FF000000"/>
        <rFont val="楷体"/>
        <charset val="134"/>
      </rPr>
      <t>凤凰祥瑞</t>
    </r>
    <r>
      <rPr>
        <sz val="9"/>
        <color rgb="FF000000"/>
        <rFont val="Arial"/>
        <charset val="134"/>
      </rPr>
      <t>,</t>
    </r>
    <r>
      <rPr>
        <sz val="9"/>
        <color rgb="FF000000"/>
        <rFont val="楷体"/>
        <charset val="134"/>
      </rPr>
      <t>联络互动</t>
    </r>
    <r>
      <rPr>
        <sz val="9"/>
        <color rgb="FF000000"/>
        <rFont val="Arial"/>
        <charset val="134"/>
      </rPr>
      <t>,</t>
    </r>
    <r>
      <rPr>
        <sz val="9"/>
        <color rgb="FF000000"/>
        <rFont val="楷体"/>
        <charset val="134"/>
      </rPr>
      <t>凤凰财富</t>
    </r>
  </si>
  <si>
    <t>2016-01-06</t>
  </si>
  <si>
    <t>2015-08-11</t>
  </si>
  <si>
    <r>
      <rPr>
        <sz val="9"/>
        <color rgb="FF000000"/>
        <rFont val="楷体"/>
        <charset val="134"/>
      </rPr>
      <t>蓝驰创投</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昆仑万维</t>
    </r>
    <r>
      <rPr>
        <sz val="9"/>
        <color rgb="FF000000"/>
        <rFont val="Arial"/>
        <charset val="134"/>
      </rPr>
      <t>,</t>
    </r>
    <r>
      <rPr>
        <sz val="9"/>
        <color rgb="FF000000"/>
        <rFont val="楷体"/>
        <charset val="134"/>
      </rPr>
      <t>蚂蚁集团</t>
    </r>
  </si>
  <si>
    <t>2014-12-02</t>
  </si>
  <si>
    <r>
      <rPr>
        <sz val="9"/>
        <color rgb="FF000000"/>
        <rFont val="楷体"/>
        <charset val="134"/>
      </rPr>
      <t>蓝驰创投</t>
    </r>
    <r>
      <rPr>
        <sz val="9"/>
        <color rgb="FF000000"/>
        <rFont val="Arial"/>
        <charset val="134"/>
      </rPr>
      <t>,</t>
    </r>
    <r>
      <rPr>
        <sz val="9"/>
        <color rgb="FF000000"/>
        <rFont val="楷体"/>
        <charset val="134"/>
      </rPr>
      <t>源码资本</t>
    </r>
  </si>
  <si>
    <t>2014-07-01</t>
  </si>
  <si>
    <r>
      <rPr>
        <sz val="9"/>
        <color rgb="FF000000"/>
        <rFont val="楷体"/>
        <charset val="134"/>
      </rPr>
      <t>陈华</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李树斌</t>
    </r>
    <r>
      <rPr>
        <sz val="9"/>
        <color rgb="FF000000"/>
        <rFont val="Arial"/>
        <charset val="134"/>
      </rPr>
      <t>,</t>
    </r>
    <r>
      <rPr>
        <sz val="9"/>
        <color rgb="FF000000"/>
        <rFont val="楷体"/>
        <charset val="134"/>
      </rPr>
      <t>李想</t>
    </r>
    <r>
      <rPr>
        <sz val="9"/>
        <color rgb="FF000000"/>
        <rFont val="Arial"/>
        <charset val="134"/>
      </rPr>
      <t>,</t>
    </r>
    <r>
      <rPr>
        <sz val="9"/>
        <color rgb="FF000000"/>
        <rFont val="楷体"/>
        <charset val="134"/>
      </rPr>
      <t>鲍岳桥</t>
    </r>
  </si>
  <si>
    <t>2022-04-19</t>
  </si>
  <si>
    <t>2C2P</t>
  </si>
  <si>
    <r>
      <rPr>
        <sz val="9"/>
        <color rgb="FF000000"/>
        <rFont val="Arial"/>
        <charset val="134"/>
      </rPr>
      <t xml:space="preserve">2C2P </t>
    </r>
    <r>
      <rPr>
        <sz val="9"/>
        <color rgb="FF000000"/>
        <rFont val="楷体"/>
        <charset val="134"/>
      </rPr>
      <t>成立于</t>
    </r>
    <r>
      <rPr>
        <sz val="9"/>
        <color rgb="FF000000"/>
        <rFont val="Arial"/>
        <charset val="134"/>
      </rPr>
      <t>2008</t>
    </r>
    <r>
      <rPr>
        <sz val="9"/>
        <color rgb="FF000000"/>
        <rFont val="楷体"/>
        <charset val="134"/>
      </rPr>
      <t>年，是一家主打东南亚市场的第三方支付服务商，为电子商务、金融服务和旅游等行业的企业提供全球支付服务。</t>
    </r>
  </si>
  <si>
    <t>http://www.2c2p.com/</t>
  </si>
  <si>
    <r>
      <rPr>
        <sz val="9"/>
        <color rgb="FF000000"/>
        <rFont val="Arial"/>
        <charset val="134"/>
      </rPr>
      <t>6.05</t>
    </r>
    <r>
      <rPr>
        <sz val="9"/>
        <color rgb="FF000000"/>
        <rFont val="楷体"/>
        <charset val="134"/>
      </rPr>
      <t>亿</t>
    </r>
  </si>
  <si>
    <t>Andy Hidayat:Co-founder (Indonesia) &amp; Investor,Aung Kyaw Moe:Founder &amp; Group CEO,Kavin Tantipongsakul:IT Infrastructure &amp; Security Manager,Murat Abdrakhmanov:Co-investor,Piyachart Ratanaprasartporn:CEO,Pyisoe Yarzar:Senior Product Manager</t>
  </si>
  <si>
    <t>2019-11-27</t>
  </si>
  <si>
    <r>
      <rPr>
        <sz val="9"/>
        <color rgb="FF000000"/>
        <rFont val="Arial"/>
        <charset val="134"/>
      </rPr>
      <t>International Finance Corporation,Arbor Ventures</t>
    </r>
    <r>
      <rPr>
        <sz val="9"/>
        <color rgb="FF000000"/>
        <rFont val="楷体"/>
        <charset val="134"/>
      </rPr>
      <t>乔木创投</t>
    </r>
    <r>
      <rPr>
        <sz val="9"/>
        <color rgb="FF000000"/>
        <rFont val="Arial"/>
        <charset val="134"/>
      </rPr>
      <t>,Cento Ventures</t>
    </r>
  </si>
  <si>
    <t>2016-12-19</t>
  </si>
  <si>
    <t>2016-08-31</t>
  </si>
  <si>
    <t>Digital Spring Ventures</t>
  </si>
  <si>
    <t>2015-08-30</t>
  </si>
  <si>
    <t>2015-04-30</t>
  </si>
  <si>
    <t>GMO Venture Partners</t>
  </si>
  <si>
    <t>2014-02-24</t>
  </si>
  <si>
    <t>2011-11-29</t>
  </si>
  <si>
    <t>Cento Ventures</t>
  </si>
  <si>
    <t>2021-09-18</t>
  </si>
  <si>
    <t>e签宝</t>
  </si>
  <si>
    <r>
      <rPr>
        <sz val="9"/>
        <color rgb="FF000000"/>
        <rFont val="Arial"/>
        <charset val="134"/>
      </rPr>
      <t>e</t>
    </r>
    <r>
      <rPr>
        <sz val="9"/>
        <color rgb="FF000000"/>
        <rFont val="楷体"/>
        <charset val="134"/>
      </rPr>
      <t>签宝</t>
    </r>
  </si>
  <si>
    <r>
      <rPr>
        <sz val="9"/>
        <color rgb="FF000000"/>
        <rFont val="Arial"/>
        <charset val="134"/>
      </rPr>
      <t>e</t>
    </r>
    <r>
      <rPr>
        <sz val="9"/>
        <color rgb="FF000000"/>
        <rFont val="楷体"/>
        <charset val="134"/>
      </rPr>
      <t>签宝是中国规模最大的在线电子签名平台。从电子签名到文档归档管理，从签名数据存证到司法出证，</t>
    </r>
    <r>
      <rPr>
        <sz val="9"/>
        <color rgb="FF000000"/>
        <rFont val="Arial"/>
        <charset val="134"/>
      </rPr>
      <t>e</t>
    </r>
    <r>
      <rPr>
        <sz val="9"/>
        <color rgb="FF000000"/>
        <rFont val="楷体"/>
        <charset val="134"/>
      </rPr>
      <t>签宝提供了一套完整的电子签名生态服务。合作伙伴包括阿里巴巴、百度、海康威视、大华股份、顶新集团等顶级企业。</t>
    </r>
  </si>
  <si>
    <t>杭州天谷信息科技有限公司</t>
  </si>
  <si>
    <t>https://www.tsign.cn</t>
  </si>
  <si>
    <t>2002-12</t>
  </si>
  <si>
    <t>金格科技</t>
  </si>
  <si>
    <r>
      <rPr>
        <sz val="9"/>
        <color rgb="FF000000"/>
        <rFont val="Arial"/>
        <charset val="134"/>
      </rPr>
      <t>30.46</t>
    </r>
    <r>
      <rPr>
        <sz val="9"/>
        <color rgb="FF000000"/>
        <rFont val="楷体"/>
        <charset val="134"/>
      </rPr>
      <t>亿</t>
    </r>
  </si>
  <si>
    <r>
      <rPr>
        <sz val="9"/>
        <color rgb="FF000000"/>
        <rFont val="楷体"/>
        <charset val="134"/>
      </rPr>
      <t>何一兵</t>
    </r>
    <r>
      <rPr>
        <sz val="9"/>
        <color rgb="FF000000"/>
        <rFont val="Arial"/>
        <charset val="134"/>
      </rPr>
      <t>:CEO,</t>
    </r>
    <r>
      <rPr>
        <sz val="9"/>
        <color rgb="FF000000"/>
        <rFont val="楷体"/>
        <charset val="134"/>
      </rPr>
      <t>吕城江</t>
    </r>
    <r>
      <rPr>
        <sz val="9"/>
        <color rgb="FF000000"/>
        <rFont val="Arial"/>
        <charset val="134"/>
      </rPr>
      <t>:</t>
    </r>
    <r>
      <rPr>
        <sz val="9"/>
        <color rgb="FF000000"/>
        <rFont val="楷体"/>
        <charset val="134"/>
      </rPr>
      <t>运营副总裁</t>
    </r>
  </si>
  <si>
    <r>
      <rPr>
        <sz val="9"/>
        <color rgb="FF000000"/>
        <rFont val="楷体"/>
        <charset val="134"/>
      </rPr>
      <t>杭州市西湖区西斗门路</t>
    </r>
    <r>
      <rPr>
        <sz val="9"/>
        <color rgb="FF000000"/>
        <rFont val="Arial"/>
        <charset val="134"/>
      </rPr>
      <t>3</t>
    </r>
    <r>
      <rPr>
        <sz val="9"/>
        <color rgb="FF000000"/>
        <rFont val="楷体"/>
        <charset val="134"/>
      </rPr>
      <t>号</t>
    </r>
    <r>
      <rPr>
        <sz val="9"/>
        <color rgb="FF000000"/>
        <rFont val="Arial"/>
        <charset val="134"/>
      </rPr>
      <t xml:space="preserve"> </t>
    </r>
    <r>
      <rPr>
        <sz val="9"/>
        <color rgb="FF000000"/>
        <rFont val="楷体"/>
        <charset val="134"/>
      </rPr>
      <t>天堂软件园</t>
    </r>
    <r>
      <rPr>
        <sz val="9"/>
        <color rgb="FF000000"/>
        <rFont val="Arial"/>
        <charset val="134"/>
      </rPr>
      <t>E</t>
    </r>
    <r>
      <rPr>
        <sz val="9"/>
        <color rgb="FF000000"/>
        <rFont val="楷体"/>
        <charset val="134"/>
      </rPr>
      <t>幢</t>
    </r>
    <r>
      <rPr>
        <sz val="9"/>
        <color rgb="FF000000"/>
        <rFont val="Arial"/>
        <charset val="134"/>
      </rPr>
      <t>9F</t>
    </r>
  </si>
  <si>
    <t>400-087-8198</t>
  </si>
  <si>
    <t>market@esign.cn</t>
  </si>
  <si>
    <t>2021-09-13</t>
  </si>
  <si>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国海创新资本</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温氏投资</t>
    </r>
    <r>
      <rPr>
        <sz val="9"/>
        <color rgb="FF000000"/>
        <rFont val="Arial"/>
        <charset val="134"/>
      </rPr>
      <t>,</t>
    </r>
    <r>
      <rPr>
        <sz val="9"/>
        <color rgb="FF000000"/>
        <rFont val="楷体"/>
        <charset val="134"/>
      </rPr>
      <t>隐山资本</t>
    </r>
    <r>
      <rPr>
        <sz val="9"/>
        <color rgb="FF000000"/>
        <rFont val="Arial"/>
        <charset val="134"/>
      </rPr>
      <t>,</t>
    </r>
    <r>
      <rPr>
        <sz val="9"/>
        <color rgb="FF000000"/>
        <rFont val="楷体"/>
        <charset val="134"/>
      </rPr>
      <t>广投资本</t>
    </r>
  </si>
  <si>
    <t>2020-11-05</t>
  </si>
  <si>
    <r>
      <rPr>
        <sz val="9"/>
        <color rgb="FF000000"/>
        <rFont val="楷体"/>
        <charset val="134"/>
      </rPr>
      <t>深创投</t>
    </r>
    <r>
      <rPr>
        <sz val="9"/>
        <color rgb="FF000000"/>
        <rFont val="Arial"/>
        <charset val="134"/>
      </rPr>
      <t>,</t>
    </r>
    <r>
      <rPr>
        <sz val="9"/>
        <color rgb="FF000000"/>
        <rFont val="楷体"/>
        <charset val="134"/>
      </rPr>
      <t>戈壁创投</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通衡浙商资本</t>
    </r>
    <r>
      <rPr>
        <sz val="9"/>
        <color rgb="FF000000"/>
        <rFont val="Arial"/>
        <charset val="134"/>
      </rPr>
      <t>,</t>
    </r>
    <r>
      <rPr>
        <sz val="9"/>
        <color rgb="FF000000"/>
        <rFont val="楷体"/>
        <charset val="134"/>
      </rPr>
      <t>凡创资本</t>
    </r>
    <r>
      <rPr>
        <sz val="9"/>
        <color rgb="FF000000"/>
        <rFont val="Arial"/>
        <charset val="134"/>
      </rPr>
      <t>,</t>
    </r>
    <r>
      <rPr>
        <sz val="9"/>
        <color rgb="FF000000"/>
        <rFont val="楷体"/>
        <charset val="134"/>
      </rPr>
      <t>恒大高科技</t>
    </r>
  </si>
  <si>
    <r>
      <rPr>
        <sz val="9"/>
        <color rgb="FF000000"/>
        <rFont val="楷体"/>
        <charset val="134"/>
      </rPr>
      <t>戈壁创投</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靖亚资本</t>
    </r>
  </si>
  <si>
    <r>
      <rPr>
        <sz val="9"/>
        <color rgb="FF000000"/>
        <rFont val="楷体"/>
        <charset val="134"/>
      </rPr>
      <t>前海梧桐并购基金</t>
    </r>
    <r>
      <rPr>
        <sz val="9"/>
        <color rgb="FF000000"/>
        <rFont val="Arial"/>
        <charset val="134"/>
      </rPr>
      <t>,</t>
    </r>
    <r>
      <rPr>
        <sz val="9"/>
        <color rgb="FF000000"/>
        <rFont val="楷体"/>
        <charset val="134"/>
      </rPr>
      <t>清控银杏创投</t>
    </r>
  </si>
  <si>
    <r>
      <rPr>
        <sz val="9"/>
        <color rgb="FF000000"/>
        <rFont val="楷体"/>
        <charset val="134"/>
      </rPr>
      <t>东方富海</t>
    </r>
    <r>
      <rPr>
        <sz val="9"/>
        <color rgb="FF000000"/>
        <rFont val="Arial"/>
        <charset val="134"/>
      </rPr>
      <t>,</t>
    </r>
    <r>
      <rPr>
        <sz val="9"/>
        <color rgb="FF000000"/>
        <rFont val="楷体"/>
        <charset val="134"/>
      </rPr>
      <t>清控银杏创投</t>
    </r>
  </si>
  <si>
    <t>2015-09-23</t>
  </si>
  <si>
    <r>
      <rPr>
        <sz val="9"/>
        <color rgb="FF000000"/>
        <rFont val="楷体"/>
        <charset val="134"/>
      </rPr>
      <t>集素资本</t>
    </r>
    <r>
      <rPr>
        <sz val="9"/>
        <color rgb="FF000000"/>
        <rFont val="Arial"/>
        <charset val="134"/>
      </rPr>
      <t>,</t>
    </r>
    <r>
      <rPr>
        <sz val="9"/>
        <color rgb="FF000000"/>
        <rFont val="楷体"/>
        <charset val="134"/>
      </rPr>
      <t>绩优投资</t>
    </r>
    <r>
      <rPr>
        <sz val="9"/>
        <color rgb="FF000000"/>
        <rFont val="Arial"/>
        <charset val="134"/>
      </rPr>
      <t>,</t>
    </r>
    <r>
      <rPr>
        <sz val="9"/>
        <color rgb="FF000000"/>
        <rFont val="楷体"/>
        <charset val="134"/>
      </rPr>
      <t>枫惠投资</t>
    </r>
  </si>
  <si>
    <t>2016-09-14</t>
  </si>
  <si>
    <t>EyeVerify</t>
  </si>
  <si>
    <r>
      <rPr>
        <sz val="9"/>
        <color rgb="FF000000"/>
        <rFont val="Arial"/>
        <charset val="134"/>
      </rPr>
      <t>EyeVerify</t>
    </r>
    <r>
      <rPr>
        <sz val="9"/>
        <color rgb="FF000000"/>
        <rFont val="楷体"/>
        <charset val="134"/>
      </rPr>
      <t>是一家生物识别技术公司，目前正在研发从眼球照片中提取数据点的技术，以取代密码和指纹识别等。</t>
    </r>
  </si>
  <si>
    <t>http://www.eyeverify.com/</t>
  </si>
  <si>
    <r>
      <rPr>
        <sz val="9"/>
        <color rgb="FF000000"/>
        <rFont val="Arial"/>
        <charset val="134"/>
      </rPr>
      <t>4.94</t>
    </r>
    <r>
      <rPr>
        <sz val="9"/>
        <color rgb="FF000000"/>
        <rFont val="楷体"/>
        <charset val="134"/>
      </rPr>
      <t>亿</t>
    </r>
  </si>
  <si>
    <r>
      <rPr>
        <sz val="9"/>
        <color rgb="FF000000"/>
        <rFont val="Arial"/>
        <charset val="134"/>
      </rPr>
      <t>22.75</t>
    </r>
    <r>
      <rPr>
        <sz val="9"/>
        <color rgb="FF000000"/>
        <rFont val="楷体"/>
        <charset val="134"/>
      </rPr>
      <t>亿元</t>
    </r>
  </si>
  <si>
    <t>Reza Derakhshani:Chief Science Officer</t>
  </si>
  <si>
    <t>2014-07-10</t>
  </si>
  <si>
    <r>
      <rPr>
        <sz val="9"/>
        <color rgb="FF000000"/>
        <rFont val="楷体"/>
        <charset val="134"/>
      </rPr>
      <t>奇虎</t>
    </r>
    <r>
      <rPr>
        <sz val="9"/>
        <color rgb="FF000000"/>
        <rFont val="Arial"/>
        <charset val="134"/>
      </rPr>
      <t>360,Samsung Ventures</t>
    </r>
    <r>
      <rPr>
        <sz val="9"/>
        <color rgb="FF000000"/>
        <rFont val="楷体"/>
        <charset val="134"/>
      </rPr>
      <t>三星</t>
    </r>
  </si>
  <si>
    <t>玻森数据BosonNLP</t>
  </si>
  <si>
    <r>
      <rPr>
        <sz val="9"/>
        <color rgb="FF000000"/>
        <rFont val="楷体"/>
        <charset val="134"/>
      </rPr>
      <t>玻森数据</t>
    </r>
    <r>
      <rPr>
        <sz val="9"/>
        <color rgb="FF000000"/>
        <rFont val="Arial"/>
        <charset val="134"/>
      </rPr>
      <t>BosonNLP</t>
    </r>
  </si>
  <si>
    <r>
      <rPr>
        <sz val="9"/>
        <color rgb="FF000000"/>
        <rFont val="楷体"/>
        <charset val="134"/>
      </rPr>
      <t>玻森数据</t>
    </r>
    <r>
      <rPr>
        <sz val="9"/>
        <color rgb="FF000000"/>
        <rFont val="Arial"/>
        <charset val="134"/>
      </rPr>
      <t>BosonNLP</t>
    </r>
    <r>
      <rPr>
        <sz val="9"/>
        <color rgb="FF000000"/>
        <rFont val="楷体"/>
        <charset val="134"/>
      </rPr>
      <t>是一家中文自然语言分析云服务提供商，旗下有中文语义开放平台</t>
    </r>
    <r>
      <rPr>
        <sz val="9"/>
        <color rgb="FF000000"/>
        <rFont val="Arial"/>
        <charset val="134"/>
      </rPr>
      <t xml:space="preserve"> BosonNLP</t>
    </r>
    <r>
      <rPr>
        <sz val="9"/>
        <color rgb="FF000000"/>
        <rFont val="楷体"/>
        <charset val="134"/>
      </rPr>
      <t>、企业征信服务网站</t>
    </r>
    <r>
      <rPr>
        <sz val="9"/>
        <color rgb="FF000000"/>
        <rFont val="Arial"/>
        <charset val="134"/>
      </rPr>
      <t>“</t>
    </r>
    <r>
      <rPr>
        <sz val="9"/>
        <color rgb="FF000000"/>
        <rFont val="楷体"/>
        <charset val="134"/>
      </rPr>
      <t>风报</t>
    </r>
    <r>
      <rPr>
        <sz val="9"/>
        <color rgb="FF000000"/>
        <rFont val="Arial"/>
        <charset val="134"/>
      </rPr>
      <t>”</t>
    </r>
    <r>
      <rPr>
        <sz val="9"/>
        <color rgb="FF000000"/>
        <rFont val="楷体"/>
        <charset val="134"/>
      </rPr>
      <t>等。</t>
    </r>
  </si>
  <si>
    <t>上海玻森数据科技有限公司</t>
  </si>
  <si>
    <t>http://bosonnlp.com/</t>
  </si>
  <si>
    <r>
      <rPr>
        <sz val="9"/>
        <color rgb="FF000000"/>
        <rFont val="Arial"/>
        <charset val="134"/>
      </rPr>
      <t>6300</t>
    </r>
    <r>
      <rPr>
        <sz val="9"/>
        <color rgb="FF000000"/>
        <rFont val="楷体"/>
        <charset val="134"/>
      </rPr>
      <t>万</t>
    </r>
  </si>
  <si>
    <r>
      <rPr>
        <sz val="9"/>
        <color rgb="FF000000"/>
        <rFont val="楷体"/>
        <charset val="134"/>
      </rPr>
      <t>李臻</t>
    </r>
    <r>
      <rPr>
        <sz val="9"/>
        <color rgb="FF000000"/>
        <rFont val="Arial"/>
        <charset val="134"/>
      </rPr>
      <t>:CEO,</t>
    </r>
    <r>
      <rPr>
        <sz val="9"/>
        <color rgb="FF000000"/>
        <rFont val="楷体"/>
        <charset val="134"/>
      </rPr>
      <t>纪敏</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闵可锐</t>
    </r>
    <r>
      <rPr>
        <sz val="9"/>
        <color rgb="FF000000"/>
        <rFont val="Arial"/>
        <charset val="134"/>
      </rPr>
      <t>:CTO</t>
    </r>
  </si>
  <si>
    <r>
      <rPr>
        <sz val="9"/>
        <color rgb="FF000000"/>
        <rFont val="楷体"/>
        <charset val="134"/>
      </rPr>
      <t>上海市安福路</t>
    </r>
    <r>
      <rPr>
        <sz val="9"/>
        <color rgb="FF000000"/>
        <rFont val="Arial"/>
        <charset val="134"/>
      </rPr>
      <t>288</t>
    </r>
    <r>
      <rPr>
        <sz val="9"/>
        <color rgb="FF000000"/>
        <rFont val="楷体"/>
        <charset val="134"/>
      </rPr>
      <t>号</t>
    </r>
    <r>
      <rPr>
        <sz val="9"/>
        <color rgb="FF000000"/>
        <rFont val="Arial"/>
        <charset val="134"/>
      </rPr>
      <t>12</t>
    </r>
    <r>
      <rPr>
        <sz val="9"/>
        <color rgb="FF000000"/>
        <rFont val="楷体"/>
        <charset val="134"/>
      </rPr>
      <t>楼</t>
    </r>
  </si>
  <si>
    <t>021-52671092-212</t>
  </si>
  <si>
    <t>jane.li@bosondata.com.cn</t>
  </si>
  <si>
    <t>2016-05-27</t>
  </si>
  <si>
    <r>
      <rPr>
        <sz val="9"/>
        <color rgb="FF000000"/>
        <rFont val="楷体"/>
        <charset val="134"/>
      </rPr>
      <t>常春藤资本</t>
    </r>
    <r>
      <rPr>
        <sz val="9"/>
        <color rgb="FF000000"/>
        <rFont val="Arial"/>
        <charset val="134"/>
      </rPr>
      <t>,</t>
    </r>
    <r>
      <rPr>
        <sz val="9"/>
        <color rgb="FF000000"/>
        <rFont val="楷体"/>
        <charset val="134"/>
      </rPr>
      <t>东熙资本</t>
    </r>
    <r>
      <rPr>
        <sz val="9"/>
        <color rgb="FF000000"/>
        <rFont val="Arial"/>
        <charset val="134"/>
      </rPr>
      <t>,</t>
    </r>
    <r>
      <rPr>
        <sz val="9"/>
        <color rgb="FF000000"/>
        <rFont val="楷体"/>
        <charset val="134"/>
      </rPr>
      <t>信诺资本</t>
    </r>
  </si>
  <si>
    <t>创势资本</t>
  </si>
  <si>
    <t>2013-03-31</t>
  </si>
  <si>
    <r>
      <rPr>
        <sz val="9"/>
        <color rgb="FF000000"/>
        <rFont val="楷体"/>
        <charset val="134"/>
      </rPr>
      <t>荣之联</t>
    </r>
    <r>
      <rPr>
        <sz val="9"/>
        <color rgb="FF000000"/>
        <rFont val="Arial"/>
        <charset val="134"/>
      </rPr>
      <t>,</t>
    </r>
    <r>
      <rPr>
        <sz val="9"/>
        <color rgb="FF000000"/>
        <rFont val="楷体"/>
        <charset val="134"/>
      </rPr>
      <t>方信资本</t>
    </r>
  </si>
  <si>
    <t>2019-11-26</t>
  </si>
  <si>
    <t>浙商银行</t>
  </si>
  <si>
    <t>浙商银行是一家股份制商业银行。面向个人用户提供存贷、投资理财、信用卡、私人银行等服务；面向企业提供存款、融资贷款、资产托管、跨境交易、国际结算等服务；并且开通了直销银行服务。</t>
  </si>
  <si>
    <t>浙商银行股份有限公司</t>
  </si>
  <si>
    <t>http://www.czbank.com/</t>
  </si>
  <si>
    <t>1993-04</t>
  </si>
  <si>
    <r>
      <rPr>
        <sz val="9"/>
        <color rgb="FF000000"/>
        <rFont val="Arial"/>
        <charset val="134"/>
      </rPr>
      <t>126</t>
    </r>
    <r>
      <rPr>
        <sz val="9"/>
        <color rgb="FF000000"/>
        <rFont val="楷体"/>
        <charset val="134"/>
      </rPr>
      <t>亿人民币</t>
    </r>
  </si>
  <si>
    <r>
      <rPr>
        <sz val="9"/>
        <color rgb="FF000000"/>
        <rFont val="Arial"/>
        <charset val="134"/>
      </rPr>
      <t>220.68</t>
    </r>
    <r>
      <rPr>
        <sz val="9"/>
        <color rgb="FF000000"/>
        <rFont val="楷体"/>
        <charset val="134"/>
      </rPr>
      <t>亿</t>
    </r>
  </si>
  <si>
    <r>
      <rPr>
        <sz val="9"/>
        <color rgb="FF000000"/>
        <rFont val="Arial"/>
        <charset val="134"/>
      </rPr>
      <t>1050.67</t>
    </r>
    <r>
      <rPr>
        <sz val="9"/>
        <color rgb="FF000000"/>
        <rFont val="楷体"/>
        <charset val="134"/>
      </rPr>
      <t>亿元</t>
    </r>
  </si>
  <si>
    <r>
      <rPr>
        <sz val="9"/>
        <color rgb="FF000000"/>
        <rFont val="楷体"/>
        <charset val="134"/>
      </rPr>
      <t>浙江省杭州市庆春路</t>
    </r>
    <r>
      <rPr>
        <sz val="9"/>
        <color rgb="FF000000"/>
        <rFont val="Arial"/>
        <charset val="134"/>
      </rPr>
      <t>288</t>
    </r>
    <r>
      <rPr>
        <sz val="9"/>
        <color rgb="FF000000"/>
        <rFont val="楷体"/>
        <charset val="134"/>
      </rPr>
      <t>号</t>
    </r>
  </si>
  <si>
    <t>95527@czbank.com</t>
  </si>
  <si>
    <t>2016-04-02</t>
  </si>
  <si>
    <r>
      <rPr>
        <sz val="9"/>
        <color rgb="FF000000"/>
        <rFont val="Arial"/>
        <charset val="134"/>
      </rPr>
      <t>115.91</t>
    </r>
    <r>
      <rPr>
        <sz val="9"/>
        <color rgb="FF000000"/>
        <rFont val="楷体"/>
        <charset val="134"/>
      </rPr>
      <t>亿港元</t>
    </r>
  </si>
  <si>
    <t>2014-11-18</t>
  </si>
  <si>
    <t>V-Key</t>
  </si>
  <si>
    <r>
      <rPr>
        <sz val="9"/>
        <color rgb="FF000000"/>
        <rFont val="Arial"/>
        <charset val="134"/>
      </rPr>
      <t>V-Key</t>
    </r>
    <r>
      <rPr>
        <sz val="9"/>
        <color rgb="FF000000"/>
        <rFont val="楷体"/>
        <charset val="134"/>
      </rPr>
      <t>是新加坡一家移动支付安全技术开发商，其开发的</t>
    </r>
    <r>
      <rPr>
        <sz val="9"/>
        <color rgb="FF000000"/>
        <rFont val="Arial"/>
        <charset val="134"/>
      </rPr>
      <t>V-OS</t>
    </r>
    <r>
      <rPr>
        <sz val="9"/>
        <color rgb="FF000000"/>
        <rFont val="楷体"/>
        <charset val="134"/>
      </rPr>
      <t>和</t>
    </r>
    <r>
      <rPr>
        <sz val="9"/>
        <color rgb="FF000000"/>
        <rFont val="Arial"/>
        <charset val="134"/>
      </rPr>
      <t>V-Guard</t>
    </r>
    <r>
      <rPr>
        <sz val="9"/>
        <color rgb="FF000000"/>
        <rFont val="楷体"/>
        <charset val="134"/>
      </rPr>
      <t>解决方案能够为移动支付提供强大的安全性，并支持简化移动身份、数据和电子商务交易流程的功能。</t>
    </r>
  </si>
  <si>
    <t>http://www.v-key.com/</t>
  </si>
  <si>
    <r>
      <rPr>
        <sz val="9"/>
        <color rgb="FF000000"/>
        <rFont val="楷体"/>
        <charset val="134"/>
      </rPr>
      <t>盈富泰克</t>
    </r>
    <r>
      <rPr>
        <sz val="9"/>
        <color rgb="FF000000"/>
        <rFont val="Arial"/>
        <charset val="134"/>
      </rPr>
      <t>,</t>
    </r>
    <r>
      <rPr>
        <sz val="9"/>
        <color rgb="FF000000"/>
        <rFont val="楷体"/>
        <charset val="134"/>
      </rPr>
      <t>蚂蚁集团</t>
    </r>
  </si>
  <si>
    <r>
      <rPr>
        <sz val="9"/>
        <color rgb="FF000000"/>
        <rFont val="Arial"/>
        <charset val="134"/>
      </rPr>
      <t>7800</t>
    </r>
    <r>
      <rPr>
        <sz val="9"/>
        <color rgb="FF000000"/>
        <rFont val="楷体"/>
        <charset val="134"/>
      </rPr>
      <t>万</t>
    </r>
  </si>
  <si>
    <t>Benjamin Mah:Co-Founder &amp; CEO,Eddie Chau:Co-founder &amp; Chairman,Joseph Gan:Co-Founder and CEO</t>
  </si>
  <si>
    <t>2021-02-25</t>
  </si>
  <si>
    <t>2020-11-07</t>
  </si>
  <si>
    <t>2020-09-14</t>
  </si>
  <si>
    <t>2020-09-11</t>
  </si>
  <si>
    <t>2020-04-08</t>
  </si>
  <si>
    <t>2020-01-10</t>
  </si>
  <si>
    <t>2019-10-05</t>
  </si>
  <si>
    <t>2019-03-01</t>
  </si>
  <si>
    <t>2018-10-15</t>
  </si>
  <si>
    <t>2018-08-06</t>
  </si>
  <si>
    <t>2017-05-02</t>
  </si>
  <si>
    <t>2015-09-08</t>
  </si>
  <si>
    <t>2014-11-19</t>
  </si>
  <si>
    <t>2013-11-21</t>
  </si>
  <si>
    <t>2013-02-28</t>
  </si>
  <si>
    <t>2012-09-28</t>
  </si>
  <si>
    <t>2011-09-28</t>
  </si>
  <si>
    <t>2017-07-24</t>
  </si>
  <si>
    <t>淘票票</t>
  </si>
  <si>
    <r>
      <rPr>
        <sz val="9"/>
        <color rgb="FF000000"/>
        <rFont val="楷体"/>
        <charset val="134"/>
      </rPr>
      <t>淘宝电影（淘票票）是阿里巴巴影业集团（</t>
    </r>
    <r>
      <rPr>
        <sz val="9"/>
        <color rgb="FF000000"/>
        <rFont val="Arial"/>
        <charset val="134"/>
      </rPr>
      <t>HK:01060</t>
    </r>
    <r>
      <rPr>
        <sz val="9"/>
        <color rgb="FF000000"/>
        <rFont val="楷体"/>
        <charset val="134"/>
      </rPr>
      <t>）旗下的互联网售票业务平台，</t>
    </r>
    <r>
      <rPr>
        <sz val="9"/>
        <color rgb="FF000000"/>
        <rFont val="Arial"/>
        <charset val="134"/>
      </rPr>
      <t>2016</t>
    </r>
    <r>
      <rPr>
        <sz val="9"/>
        <color rgb="FF000000"/>
        <rFont val="楷体"/>
        <charset val="134"/>
      </rPr>
      <t>年融资拆分独立发展，是一个在线预订电影票平台，除提供在线订票业务，同时淘票票专业版通过与阿里海量用户数据的结合，为电影人提供了秒级实时票房、排片、影院经营、上映日历和用户画像等数据服务，丰富了电影行业数据维度，提升了行业决策效率。并与演出类票务服务提供商大麦网合作提供票务业务。</t>
    </r>
  </si>
  <si>
    <t>杭州淘票票科技有限公司</t>
  </si>
  <si>
    <t>https://dianying.taobao.com/</t>
  </si>
  <si>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</si>
  <si>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30.33</t>
    </r>
    <r>
      <rPr>
        <sz val="9"/>
        <color rgb="FF000000"/>
        <rFont val="楷体"/>
        <charset val="134"/>
      </rPr>
      <t>亿</t>
    </r>
  </si>
  <si>
    <r>
      <rPr>
        <sz val="9"/>
        <color rgb="FF000000"/>
        <rFont val="Arial"/>
        <charset val="134"/>
      </rPr>
      <t>146</t>
    </r>
    <r>
      <rPr>
        <sz val="9"/>
        <color rgb="FF000000"/>
        <rFont val="楷体"/>
        <charset val="134"/>
      </rPr>
      <t>亿元</t>
    </r>
  </si>
  <si>
    <r>
      <rPr>
        <sz val="9"/>
        <color rgb="FF000000"/>
        <rFont val="楷体"/>
        <charset val="134"/>
      </rPr>
      <t>李捷</t>
    </r>
    <r>
      <rPr>
        <sz val="9"/>
        <color rgb="FF000000"/>
        <rFont val="Arial"/>
        <charset val="134"/>
      </rPr>
      <t>:CEO</t>
    </r>
  </si>
  <si>
    <r>
      <rPr>
        <sz val="9"/>
        <color rgb="FF000000"/>
        <rFont val="楷体"/>
        <charset val="134"/>
      </rPr>
      <t>杭州市余杭区文一西路</t>
    </r>
    <r>
      <rPr>
        <sz val="9"/>
        <color rgb="FF000000"/>
        <rFont val="Arial"/>
        <charset val="134"/>
      </rPr>
      <t>969</t>
    </r>
    <r>
      <rPr>
        <sz val="9"/>
        <color rgb="FF000000"/>
        <rFont val="楷体"/>
        <charset val="134"/>
      </rPr>
      <t>号阿里巴巴西溪园区</t>
    </r>
  </si>
  <si>
    <t>0571-8815-7838</t>
  </si>
  <si>
    <t>2016-05-15</t>
  </si>
  <si>
    <r>
      <rPr>
        <sz val="9"/>
        <color rgb="FF000000"/>
        <rFont val="Arial"/>
        <charset val="134"/>
      </rPr>
      <t>17</t>
    </r>
    <r>
      <rPr>
        <sz val="9"/>
        <color rgb="FF000000"/>
        <rFont val="楷体"/>
        <charset val="134"/>
      </rPr>
      <t>亿人民币</t>
    </r>
  </si>
  <si>
    <r>
      <rPr>
        <sz val="9"/>
        <color rgb="FF000000"/>
        <rFont val="楷体"/>
        <charset val="134"/>
      </rPr>
      <t>鼎晖投资</t>
    </r>
    <r>
      <rPr>
        <sz val="9"/>
        <color rgb="FF000000"/>
        <rFont val="Arial"/>
        <charset val="134"/>
      </rPr>
      <t>,</t>
    </r>
    <r>
      <rPr>
        <sz val="9"/>
        <color rgb="FF000000"/>
        <rFont val="楷体"/>
        <charset val="134"/>
      </rPr>
      <t>新浪微博基金</t>
    </r>
    <r>
      <rPr>
        <sz val="9"/>
        <color rgb="FF000000"/>
        <rFont val="Arial"/>
        <charset val="134"/>
      </rPr>
      <t>,</t>
    </r>
    <r>
      <rPr>
        <sz val="9"/>
        <color rgb="FF000000"/>
        <rFont val="楷体"/>
        <charset val="134"/>
      </rPr>
      <t>华策影视</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南派泛娱</t>
    </r>
    <r>
      <rPr>
        <sz val="9"/>
        <color rgb="FF000000"/>
        <rFont val="Arial"/>
        <charset val="134"/>
      </rPr>
      <t>,</t>
    </r>
    <r>
      <rPr>
        <sz val="9"/>
        <color rgb="FF000000"/>
        <rFont val="楷体"/>
        <charset val="134"/>
      </rPr>
      <t>博纳影业</t>
    </r>
    <r>
      <rPr>
        <sz val="9"/>
        <color rgb="FF000000"/>
        <rFont val="Arial"/>
        <charset val="134"/>
      </rPr>
      <t>,</t>
    </r>
    <r>
      <rPr>
        <sz val="9"/>
        <color rgb="FF000000"/>
        <rFont val="楷体"/>
        <charset val="134"/>
      </rPr>
      <t>和和影业</t>
    </r>
    <r>
      <rPr>
        <sz val="9"/>
        <color rgb="FF000000"/>
        <rFont val="Arial"/>
        <charset val="134"/>
      </rPr>
      <t>,</t>
    </r>
    <r>
      <rPr>
        <sz val="9"/>
        <color rgb="FF000000"/>
        <rFont val="楷体"/>
        <charset val="134"/>
      </rPr>
      <t>联瑞影业</t>
    </r>
  </si>
  <si>
    <t>2018-09-17</t>
  </si>
  <si>
    <t>安心记加班</t>
  </si>
  <si>
    <t>安心记加班是一款手机记录加班时间的工具型应用，可以帮助用户准确的计算出不同时间段的加班收入，同时可以帮助用户归纳和统计这些数据，以便于工资的核算，并为用户提供工资明细查看、交友等功能。</t>
  </si>
  <si>
    <t>上海慧贤网络科技有限公司</t>
  </si>
  <si>
    <t>http://www.julanling.com/</t>
  </si>
  <si>
    <t>人力资源</t>
  </si>
  <si>
    <r>
      <rPr>
        <sz val="9"/>
        <color rgb="FF000000"/>
        <rFont val="楷体"/>
        <charset val="134"/>
      </rPr>
      <t>顺为资本</t>
    </r>
    <r>
      <rPr>
        <sz val="9"/>
        <color rgb="FF000000"/>
        <rFont val="Arial"/>
        <charset val="134"/>
      </rPr>
      <t>,</t>
    </r>
    <r>
      <rPr>
        <sz val="9"/>
        <color rgb="FF000000"/>
        <rFont val="楷体"/>
        <charset val="134"/>
      </rPr>
      <t>蚂蚁集团</t>
    </r>
  </si>
  <si>
    <r>
      <rPr>
        <sz val="9"/>
        <color rgb="FF000000"/>
        <rFont val="Arial"/>
        <charset val="134"/>
      </rPr>
      <t>1.36</t>
    </r>
    <r>
      <rPr>
        <sz val="9"/>
        <color rgb="FF000000"/>
        <rFont val="楷体"/>
        <charset val="134"/>
      </rPr>
      <t>亿</t>
    </r>
  </si>
  <si>
    <r>
      <rPr>
        <sz val="9"/>
        <color rgb="FF000000"/>
        <rFont val="楷体"/>
        <charset val="134"/>
      </rPr>
      <t>姚笛</t>
    </r>
    <r>
      <rPr>
        <sz val="9"/>
        <color rgb="FF000000"/>
        <rFont val="Arial"/>
        <charset val="134"/>
      </rPr>
      <t>:</t>
    </r>
    <r>
      <rPr>
        <sz val="9"/>
        <color rgb="FF000000"/>
        <rFont val="楷体"/>
        <charset val="134"/>
      </rPr>
      <t>创始人</t>
    </r>
  </si>
  <si>
    <r>
      <rPr>
        <sz val="9"/>
        <color rgb="FF000000"/>
        <rFont val="楷体"/>
        <charset val="134"/>
      </rPr>
      <t>上海市徐汇区田林东路</t>
    </r>
    <r>
      <rPr>
        <sz val="9"/>
        <color rgb="FF000000"/>
        <rFont val="Arial"/>
        <charset val="134"/>
      </rPr>
      <t>588</t>
    </r>
    <r>
      <rPr>
        <sz val="9"/>
        <color rgb="FF000000"/>
        <rFont val="楷体"/>
        <charset val="134"/>
      </rPr>
      <t>号</t>
    </r>
    <r>
      <rPr>
        <sz val="9"/>
        <color rgb="FF000000"/>
        <rFont val="Arial"/>
        <charset val="134"/>
      </rPr>
      <t>E487</t>
    </r>
    <r>
      <rPr>
        <sz val="9"/>
        <color rgb="FF000000"/>
        <rFont val="楷体"/>
        <charset val="134"/>
      </rPr>
      <t>室</t>
    </r>
  </si>
  <si>
    <t>media@julanling.com</t>
  </si>
  <si>
    <t>2017-02-09</t>
  </si>
  <si>
    <r>
      <rPr>
        <sz val="9"/>
        <color rgb="FF000000"/>
        <rFont val="楷体"/>
        <charset val="134"/>
      </rPr>
      <t>九合创投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小米集团</t>
    </r>
  </si>
  <si>
    <t>2016-08-18</t>
  </si>
  <si>
    <t>创投圈拓璞基金</t>
  </si>
  <si>
    <t>2018-07-23</t>
  </si>
  <si>
    <t>金贝塔</t>
  </si>
  <si>
    <r>
      <rPr>
        <sz val="9"/>
        <color rgb="FF000000"/>
        <rFont val="楷体"/>
        <charset val="134"/>
      </rPr>
      <t>金贝塔是一个主打社交股票投资的移动应用，打造中国版本的</t>
    </r>
    <r>
      <rPr>
        <sz val="9"/>
        <color rgb="FF000000"/>
        <rFont val="Arial"/>
        <charset val="134"/>
      </rPr>
      <t>Motif</t>
    </r>
    <r>
      <rPr>
        <sz val="9"/>
        <color rgb="FF000000"/>
        <rFont val="楷体"/>
        <charset val="134"/>
      </rPr>
      <t>，深圳市金篮子网络有限公司旗下产品（嘉实基金子公司）。</t>
    </r>
  </si>
  <si>
    <t>金贝塔网络金融科技（深圳）有限公司</t>
  </si>
  <si>
    <t>http://www.smarti.cn/</t>
  </si>
  <si>
    <t>人保远望</t>
  </si>
  <si>
    <r>
      <rPr>
        <sz val="9"/>
        <color rgb="FF000000"/>
        <rFont val="楷体"/>
        <charset val="134"/>
      </rPr>
      <t>戴京焦</t>
    </r>
    <r>
      <rPr>
        <sz val="9"/>
        <color rgb="FF000000"/>
        <rFont val="Arial"/>
        <charset val="134"/>
      </rPr>
      <t>:CEO</t>
    </r>
  </si>
  <si>
    <t>2016-07-08</t>
  </si>
  <si>
    <t>2015-02-11</t>
  </si>
  <si>
    <t>德邦基金</t>
  </si>
  <si>
    <r>
      <rPr>
        <sz val="9"/>
        <color rgb="FF000000"/>
        <rFont val="楷体"/>
        <charset val="134"/>
      </rPr>
      <t>德邦基金成立于</t>
    </r>
    <r>
      <rPr>
        <sz val="9"/>
        <color rgb="FF000000"/>
        <rFont val="Arial"/>
        <charset val="134"/>
      </rPr>
      <t>2012</t>
    </r>
    <r>
      <rPr>
        <sz val="9"/>
        <color rgb="FF000000"/>
        <rFont val="楷体"/>
        <charset val="134"/>
      </rPr>
      <t>年初，是中国证监会审核批准成立的第</t>
    </r>
    <r>
      <rPr>
        <sz val="9"/>
        <color rgb="FF000000"/>
        <rFont val="Arial"/>
        <charset val="134"/>
      </rPr>
      <t>70</t>
    </r>
    <r>
      <rPr>
        <sz val="9"/>
        <color rgb="FF000000"/>
        <rFont val="楷体"/>
        <charset val="134"/>
      </rPr>
      <t>家基金公司。</t>
    </r>
  </si>
  <si>
    <t>德邦基金管理有限公司</t>
  </si>
  <si>
    <t>http://www.dbfund.com.cn</t>
  </si>
  <si>
    <r>
      <rPr>
        <sz val="9"/>
        <color rgb="FF000000"/>
        <rFont val="楷体"/>
        <charset val="134"/>
      </rPr>
      <t>白仲光</t>
    </r>
    <r>
      <rPr>
        <sz val="9"/>
        <color rgb="FF000000"/>
        <rFont val="Arial"/>
        <charset val="134"/>
      </rPr>
      <t>:</t>
    </r>
    <r>
      <rPr>
        <sz val="9"/>
        <color rgb="FF000000"/>
        <rFont val="楷体"/>
        <charset val="134"/>
      </rPr>
      <t>基金经理</t>
    </r>
    <r>
      <rPr>
        <sz val="9"/>
        <color rgb="FF000000"/>
        <rFont val="Arial"/>
        <charset val="134"/>
      </rPr>
      <t>,</t>
    </r>
    <r>
      <rPr>
        <sz val="9"/>
        <color rgb="FF000000"/>
        <rFont val="楷体"/>
        <charset val="134"/>
      </rPr>
      <t>何晶</t>
    </r>
    <r>
      <rPr>
        <sz val="9"/>
        <color rgb="FF000000"/>
        <rFont val="Arial"/>
        <charset val="134"/>
      </rPr>
      <t>:</t>
    </r>
    <r>
      <rPr>
        <sz val="9"/>
        <color rgb="FF000000"/>
        <rFont val="楷体"/>
        <charset val="134"/>
      </rPr>
      <t>基金经理</t>
    </r>
    <r>
      <rPr>
        <sz val="9"/>
        <color rgb="FF000000"/>
        <rFont val="Arial"/>
        <charset val="134"/>
      </rPr>
      <t>,</t>
    </r>
    <r>
      <rPr>
        <sz val="9"/>
        <color rgb="FF000000"/>
        <rFont val="楷体"/>
        <charset val="134"/>
      </rPr>
      <t>侯慧娣</t>
    </r>
    <r>
      <rPr>
        <sz val="9"/>
        <color rgb="FF000000"/>
        <rFont val="Arial"/>
        <charset val="134"/>
      </rPr>
      <t>:</t>
    </r>
    <r>
      <rPr>
        <sz val="9"/>
        <color rgb="FF000000"/>
        <rFont val="楷体"/>
        <charset val="134"/>
      </rPr>
      <t>基金经理</t>
    </r>
  </si>
  <si>
    <t>2016-06-10</t>
  </si>
  <si>
    <t>朝阳永续</t>
  </si>
  <si>
    <r>
      <rPr>
        <sz val="9"/>
        <color rgb="FF000000"/>
        <rFont val="楷体"/>
        <charset val="134"/>
      </rPr>
      <t>上海朝阳永续信息技术股份有限公司（简称：朝阳永续）成立于</t>
    </r>
    <r>
      <rPr>
        <sz val="9"/>
        <color rgb="FF000000"/>
        <rFont val="Arial"/>
        <charset val="134"/>
      </rPr>
      <t>2003</t>
    </r>
    <r>
      <rPr>
        <sz val="9"/>
        <color rgb="FF000000"/>
        <rFont val="楷体"/>
        <charset val="134"/>
      </rPr>
      <t>年，总部位于上海浦东，公司股东包括蚂蚁金服、国金。金融数据提供商，私募基金数据及评测体系提供商，中国私募基金系列指数、超预期指数的发起者，财富管理者的服务平台，中国</t>
    </r>
    <r>
      <rPr>
        <sz val="9"/>
        <color rgb="FF000000"/>
        <rFont val="Arial"/>
        <charset val="134"/>
      </rPr>
      <t>Fintech City</t>
    </r>
    <r>
      <rPr>
        <sz val="9"/>
        <color rgb="FF000000"/>
        <rFont val="楷体"/>
        <charset val="134"/>
      </rPr>
      <t>金融分享城市构造者。</t>
    </r>
  </si>
  <si>
    <t>上海朝阳永续信息技术股份有限公司</t>
  </si>
  <si>
    <t>http://www.suntime2003.com/</t>
  </si>
  <si>
    <t>2003-10</t>
  </si>
  <si>
    <t>金融信息化</t>
  </si>
  <si>
    <r>
      <rPr>
        <sz val="9"/>
        <color rgb="FF000000"/>
        <rFont val="楷体"/>
        <charset val="134"/>
      </rPr>
      <t>廖冰</t>
    </r>
    <r>
      <rPr>
        <sz val="9"/>
        <color rgb="FF000000"/>
        <rFont val="Arial"/>
        <charset val="134"/>
      </rPr>
      <t>:</t>
    </r>
    <r>
      <rPr>
        <sz val="9"/>
        <color rgb="FF000000"/>
        <rFont val="楷体"/>
        <charset val="134"/>
      </rPr>
      <t>创始人</t>
    </r>
  </si>
  <si>
    <r>
      <rPr>
        <sz val="9"/>
        <color rgb="FF000000"/>
        <rFont val="楷体"/>
        <charset val="134"/>
      </rPr>
      <t>上海市浦东新区陆家嘴丰禾路</t>
    </r>
    <r>
      <rPr>
        <sz val="9"/>
        <color rgb="FF000000"/>
        <rFont val="Arial"/>
        <charset val="134"/>
      </rPr>
      <t>1</t>
    </r>
    <r>
      <rPr>
        <sz val="9"/>
        <color rgb="FF000000"/>
        <rFont val="楷体"/>
        <charset val="134"/>
      </rPr>
      <t>号港务大厦北</t>
    </r>
    <r>
      <rPr>
        <sz val="9"/>
        <color rgb="FF000000"/>
        <rFont val="Arial"/>
        <charset val="134"/>
      </rPr>
      <t>4F</t>
    </r>
    <r>
      <rPr>
        <sz val="9"/>
        <color rgb="FF000000"/>
        <rFont val="楷体"/>
        <charset val="134"/>
      </rPr>
      <t>、</t>
    </r>
    <r>
      <rPr>
        <sz val="9"/>
        <color rgb="FF000000"/>
        <rFont val="Arial"/>
        <charset val="134"/>
      </rPr>
      <t>26F</t>
    </r>
    <r>
      <rPr>
        <sz val="9"/>
        <color rgb="FF000000"/>
        <rFont val="楷体"/>
        <charset val="134"/>
      </rPr>
      <t>、</t>
    </r>
    <r>
      <rPr>
        <sz val="9"/>
        <color rgb="FF000000"/>
        <rFont val="Arial"/>
        <charset val="134"/>
      </rPr>
      <t>27F</t>
    </r>
  </si>
  <si>
    <t>021-6888-9706</t>
  </si>
  <si>
    <t>serve@go-goal.com</t>
  </si>
  <si>
    <t>2018-05-17</t>
  </si>
  <si>
    <t>南方银谷</t>
  </si>
  <si>
    <r>
      <rPr>
        <sz val="9"/>
        <color rgb="FF000000"/>
        <rFont val="楷体"/>
        <charset val="134"/>
      </rPr>
      <t>南方银谷是一家主打地铁</t>
    </r>
    <r>
      <rPr>
        <sz val="9"/>
        <color rgb="FF000000"/>
        <rFont val="Arial"/>
        <charset val="134"/>
      </rPr>
      <t>WiFi</t>
    </r>
    <r>
      <rPr>
        <sz val="9"/>
        <color rgb="FF000000"/>
        <rFont val="楷体"/>
        <charset val="134"/>
      </rPr>
      <t>解决方案及移动广告的科技公司，旗下有花生移动</t>
    </r>
    <r>
      <rPr>
        <sz val="9"/>
        <color rgb="FF000000"/>
        <rFont val="Arial"/>
        <charset val="134"/>
      </rPr>
      <t>APP</t>
    </r>
    <r>
      <rPr>
        <sz val="9"/>
        <color rgb="FF000000"/>
        <rFont val="楷体"/>
        <charset val="134"/>
      </rPr>
      <t>等，隶属于深圳市南方银谷科技有限公司。</t>
    </r>
  </si>
  <si>
    <t>南方银谷科技有限公司</t>
  </si>
  <si>
    <t>http://www.nfyg.com.cn</t>
  </si>
  <si>
    <t>移动及网络广告</t>
  </si>
  <si>
    <r>
      <rPr>
        <sz val="9"/>
        <color rgb="FF000000"/>
        <rFont val="楷体"/>
        <charset val="134"/>
      </rPr>
      <t>蚂蚁集团</t>
    </r>
    <r>
      <rPr>
        <sz val="9"/>
        <color rgb="FF000000"/>
        <rFont val="Arial"/>
        <charset val="134"/>
      </rPr>
      <t>,</t>
    </r>
    <r>
      <rPr>
        <sz val="9"/>
        <color rgb="FF000000"/>
        <rFont val="楷体"/>
        <charset val="134"/>
      </rPr>
      <t>富坤创投</t>
    </r>
  </si>
  <si>
    <r>
      <rPr>
        <sz val="9"/>
        <color rgb="FF000000"/>
        <rFont val="楷体"/>
        <charset val="134"/>
      </rPr>
      <t>周发展</t>
    </r>
    <r>
      <rPr>
        <sz val="9"/>
        <color rgb="FF000000"/>
        <rFont val="Arial"/>
        <charset val="134"/>
      </rPr>
      <t>:</t>
    </r>
    <r>
      <rPr>
        <sz val="9"/>
        <color rgb="FF000000"/>
        <rFont val="楷体"/>
        <charset val="134"/>
      </rPr>
      <t>董事长</t>
    </r>
  </si>
  <si>
    <r>
      <rPr>
        <sz val="9"/>
        <color rgb="FF000000"/>
        <rFont val="楷体"/>
        <charset val="134"/>
      </rPr>
      <t>深圳市南山区西丽学苑大道</t>
    </r>
    <r>
      <rPr>
        <sz val="9"/>
        <color rgb="FF000000"/>
        <rFont val="Arial"/>
        <charset val="134"/>
      </rPr>
      <t>1001</t>
    </r>
    <r>
      <rPr>
        <sz val="9"/>
        <color rgb="FF000000"/>
        <rFont val="楷体"/>
        <charset val="134"/>
      </rPr>
      <t>号南山智园</t>
    </r>
    <r>
      <rPr>
        <sz val="9"/>
        <color rgb="FF000000"/>
        <rFont val="Arial"/>
        <charset val="134"/>
      </rPr>
      <t>C1</t>
    </r>
    <r>
      <rPr>
        <sz val="9"/>
        <color rgb="FF000000"/>
        <rFont val="楷体"/>
        <charset val="134"/>
      </rPr>
      <t>栋</t>
    </r>
    <r>
      <rPr>
        <sz val="9"/>
        <color rgb="FF000000"/>
        <rFont val="Arial"/>
        <charset val="134"/>
      </rPr>
      <t>17</t>
    </r>
    <r>
      <rPr>
        <sz val="9"/>
        <color rgb="FF000000"/>
        <rFont val="楷体"/>
        <charset val="134"/>
      </rPr>
      <t>楼</t>
    </r>
  </si>
  <si>
    <t>0755-61880995</t>
  </si>
  <si>
    <t>800@NFYG.COM.CN</t>
  </si>
  <si>
    <t>2017-10-01</t>
  </si>
  <si>
    <r>
      <rPr>
        <sz val="9"/>
        <color rgb="FF000000"/>
        <rFont val="楷体"/>
        <charset val="134"/>
      </rPr>
      <t>君心盈泰</t>
    </r>
    <r>
      <rPr>
        <sz val="9"/>
        <color rgb="FF000000"/>
        <rFont val="Arial"/>
        <charset val="134"/>
      </rPr>
      <t>,</t>
    </r>
    <r>
      <rPr>
        <sz val="9"/>
        <color rgb="FF000000"/>
        <rFont val="楷体"/>
        <charset val="134"/>
      </rPr>
      <t>广州润策投资管理有限公司</t>
    </r>
  </si>
  <si>
    <t>2014-12-27</t>
  </si>
  <si>
    <r>
      <rPr>
        <sz val="9"/>
        <color rgb="FF000000"/>
        <rFont val="楷体"/>
        <charset val="134"/>
      </rPr>
      <t>奇虎</t>
    </r>
    <r>
      <rPr>
        <sz val="9"/>
        <color rgb="FF000000"/>
        <rFont val="Arial"/>
        <charset val="134"/>
      </rPr>
      <t>360,</t>
    </r>
    <r>
      <rPr>
        <sz val="9"/>
        <color rgb="FF000000"/>
        <rFont val="楷体"/>
        <charset val="134"/>
      </rPr>
      <t>平安信托</t>
    </r>
  </si>
  <si>
    <t>2014-01-22</t>
  </si>
  <si>
    <r>
      <rPr>
        <sz val="9"/>
        <color rgb="FF000000"/>
        <rFont val="楷体"/>
        <charset val="134"/>
      </rPr>
      <t>奇虎</t>
    </r>
    <r>
      <rPr>
        <sz val="9"/>
        <color rgb="FF000000"/>
        <rFont val="Arial"/>
        <charset val="134"/>
      </rPr>
      <t>360,</t>
    </r>
    <r>
      <rPr>
        <sz val="9"/>
        <color rgb="FF000000"/>
        <rFont val="楷体"/>
        <charset val="134"/>
      </rPr>
      <t>平安创新投资基金</t>
    </r>
  </si>
  <si>
    <t>2013-01-12</t>
  </si>
  <si>
    <r>
      <rPr>
        <sz val="9"/>
        <color rgb="FF000000"/>
        <rFont val="楷体"/>
        <charset val="134"/>
      </rPr>
      <t>松禾资本</t>
    </r>
    <r>
      <rPr>
        <sz val="9"/>
        <color rgb="FF000000"/>
        <rFont val="Arial"/>
        <charset val="134"/>
      </rPr>
      <t>,</t>
    </r>
    <r>
      <rPr>
        <sz val="9"/>
        <color rgb="FF000000"/>
        <rFont val="楷体"/>
        <charset val="134"/>
      </rPr>
      <t>分享投资</t>
    </r>
  </si>
  <si>
    <t>2018-03-04</t>
  </si>
  <si>
    <t>2017-07-01</t>
  </si>
  <si>
    <t>2017-04-22</t>
  </si>
  <si>
    <t>2017-03-01</t>
  </si>
  <si>
    <t>2016-10-10</t>
  </si>
  <si>
    <t>2016-09-02</t>
  </si>
  <si>
    <t>2016-02-01</t>
  </si>
  <si>
    <t>2015-12-02</t>
  </si>
  <si>
    <t>2015-03-17</t>
  </si>
  <si>
    <t>2017-09-28</t>
  </si>
  <si>
    <t>众安保险</t>
  </si>
  <si>
    <r>
      <rPr>
        <sz val="9"/>
        <color rgb="FF000000"/>
        <rFont val="楷体"/>
        <charset val="134"/>
      </rPr>
      <t>众安保险是一家提供与互联网交易直接相关的企业</t>
    </r>
    <r>
      <rPr>
        <sz val="9"/>
        <color rgb="FF000000"/>
        <rFont val="Arial"/>
        <charset val="134"/>
      </rPr>
      <t>/</t>
    </r>
    <r>
      <rPr>
        <sz val="9"/>
        <color rgb="FF000000"/>
        <rFont val="楷体"/>
        <charset val="134"/>
      </rPr>
      <t>家庭财产保险、货运保险、责任保险、信用保证保险等服务的互联网保险公司。</t>
    </r>
  </si>
  <si>
    <t>众安在线财产保险股份有限公司</t>
  </si>
  <si>
    <t>https://www.zhongan.com/</t>
  </si>
  <si>
    <r>
      <rPr>
        <sz val="9"/>
        <color rgb="FF000000"/>
        <rFont val="Arial"/>
        <charset val="134"/>
      </rPr>
      <t>104.7</t>
    </r>
    <r>
      <rPr>
        <sz val="9"/>
        <color rgb="FF000000"/>
        <rFont val="楷体"/>
        <charset val="134"/>
      </rPr>
      <t>亿港元</t>
    </r>
  </si>
  <si>
    <r>
      <rPr>
        <sz val="9"/>
        <color rgb="FF000000"/>
        <rFont val="Arial"/>
        <charset val="134"/>
      </rPr>
      <t>144.48</t>
    </r>
    <r>
      <rPr>
        <sz val="9"/>
        <color rgb="FF000000"/>
        <rFont val="楷体"/>
        <charset val="134"/>
      </rPr>
      <t>亿</t>
    </r>
  </si>
  <si>
    <r>
      <rPr>
        <sz val="9"/>
        <color rgb="FF000000"/>
        <rFont val="Arial"/>
        <charset val="134"/>
      </rPr>
      <t>418.8</t>
    </r>
    <r>
      <rPr>
        <sz val="9"/>
        <color rgb="FF000000"/>
        <rFont val="楷体"/>
        <charset val="134"/>
      </rPr>
      <t>亿元</t>
    </r>
  </si>
  <si>
    <r>
      <rPr>
        <sz val="9"/>
        <color rgb="FF000000"/>
        <rFont val="楷体"/>
        <charset val="134"/>
      </rPr>
      <t>陈劲</t>
    </r>
    <r>
      <rPr>
        <sz val="9"/>
        <color rgb="FF000000"/>
        <rFont val="Arial"/>
        <charset val="134"/>
      </rPr>
      <t>:</t>
    </r>
    <r>
      <rPr>
        <sz val="9"/>
        <color rgb="FF000000"/>
        <rFont val="楷体"/>
        <charset val="134"/>
      </rPr>
      <t>总经理</t>
    </r>
  </si>
  <si>
    <r>
      <rPr>
        <sz val="9"/>
        <color rgb="FF000000"/>
        <rFont val="楷体"/>
        <charset val="134"/>
      </rPr>
      <t>上海市黄浦区</t>
    </r>
    <r>
      <rPr>
        <sz val="9"/>
        <color rgb="FF000000"/>
        <rFont val="Arial"/>
        <charset val="134"/>
      </rPr>
      <t xml:space="preserve"> </t>
    </r>
    <r>
      <rPr>
        <sz val="9"/>
        <color rgb="FF000000"/>
        <rFont val="楷体"/>
        <charset val="134"/>
      </rPr>
      <t>圆明园路</t>
    </r>
    <r>
      <rPr>
        <sz val="9"/>
        <color rgb="FF000000"/>
        <rFont val="Arial"/>
        <charset val="134"/>
      </rPr>
      <t>169</t>
    </r>
    <r>
      <rPr>
        <sz val="9"/>
        <color rgb="FF000000"/>
        <rFont val="楷体"/>
        <charset val="134"/>
      </rPr>
      <t>号</t>
    </r>
    <r>
      <rPr>
        <sz val="9"/>
        <color rgb="FF000000"/>
        <rFont val="Arial"/>
        <charset val="134"/>
      </rPr>
      <t xml:space="preserve"> </t>
    </r>
    <r>
      <rPr>
        <sz val="9"/>
        <color rgb="FF000000"/>
        <rFont val="楷体"/>
        <charset val="134"/>
      </rPr>
      <t>协进大楼</t>
    </r>
    <r>
      <rPr>
        <sz val="9"/>
        <color rgb="FF000000"/>
        <rFont val="Arial"/>
        <charset val="134"/>
      </rPr>
      <t xml:space="preserve"> 4-5F</t>
    </r>
  </si>
  <si>
    <t>400-999-9595</t>
  </si>
  <si>
    <t>cs@zhongan.com</t>
  </si>
  <si>
    <r>
      <rPr>
        <sz val="9"/>
        <color rgb="FF000000"/>
        <rFont val="Arial"/>
        <charset val="134"/>
      </rPr>
      <t>9.34</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</si>
  <si>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赛富基金</t>
    </r>
    <r>
      <rPr>
        <sz val="9"/>
        <color rgb="FF000000"/>
        <rFont val="Arial"/>
        <charset val="134"/>
      </rPr>
      <t>SAIF Partners,Morgan Stanley</t>
    </r>
    <r>
      <rPr>
        <sz val="9"/>
        <color rgb="FF000000"/>
        <rFont val="楷体"/>
        <charset val="134"/>
      </rPr>
      <t>摩根士丹利</t>
    </r>
    <r>
      <rPr>
        <sz val="9"/>
        <color rgb="FF000000"/>
        <rFont val="Arial"/>
        <charset val="134"/>
      </rPr>
      <t>,</t>
    </r>
    <r>
      <rPr>
        <sz val="9"/>
        <color rgb="FF000000"/>
        <rFont val="楷体"/>
        <charset val="134"/>
      </rPr>
      <t>天壹资本</t>
    </r>
  </si>
  <si>
    <t>2014-06-15</t>
  </si>
  <si>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锴明投资</t>
    </r>
    <r>
      <rPr>
        <sz val="9"/>
        <color rgb="FF000000"/>
        <rFont val="Arial"/>
        <charset val="134"/>
      </rPr>
      <t>ClearVue,</t>
    </r>
    <r>
      <rPr>
        <sz val="9"/>
        <color rgb="FF000000"/>
        <rFont val="楷体"/>
        <charset val="134"/>
      </rPr>
      <t>蚂蚁集团</t>
    </r>
    <r>
      <rPr>
        <sz val="9"/>
        <color rgb="FF000000"/>
        <rFont val="Arial"/>
        <charset val="134"/>
      </rPr>
      <t>,</t>
    </r>
    <r>
      <rPr>
        <sz val="9"/>
        <color rgb="FF000000"/>
        <rFont val="楷体"/>
        <charset val="134"/>
      </rPr>
      <t>中国平安</t>
    </r>
  </si>
  <si>
    <t>2016-07-18</t>
  </si>
  <si>
    <t>二维火</t>
  </si>
  <si>
    <t>二维火是一家专注餐饮云收银系统的技术公司，致力于帮助餐饮等行业实现互联网信息化，包括手机点餐、支付、营销互动等，杭州迪火科技有限公司旗下产品。</t>
  </si>
  <si>
    <t>杭州迪火科技有限公司</t>
  </si>
  <si>
    <t>http://www.zm1717.com</t>
  </si>
  <si>
    <r>
      <rPr>
        <sz val="9"/>
        <color rgb="FF000000"/>
        <rFont val="Arial"/>
        <charset val="134"/>
      </rPr>
      <t>3.33</t>
    </r>
    <r>
      <rPr>
        <sz val="9"/>
        <color rgb="FF000000"/>
        <rFont val="楷体"/>
        <charset val="134"/>
      </rPr>
      <t>亿</t>
    </r>
  </si>
  <si>
    <r>
      <rPr>
        <sz val="9"/>
        <color rgb="FF000000"/>
        <rFont val="Arial"/>
        <charset val="134"/>
      </rPr>
      <t>12</t>
    </r>
    <r>
      <rPr>
        <sz val="9"/>
        <color rgb="FF000000"/>
        <rFont val="楷体"/>
        <charset val="134"/>
      </rPr>
      <t>亿元</t>
    </r>
  </si>
  <si>
    <r>
      <rPr>
        <sz val="9"/>
        <color rgb="FF000000"/>
        <rFont val="楷体"/>
        <charset val="134"/>
      </rPr>
      <t>赵光军</t>
    </r>
    <r>
      <rPr>
        <sz val="9"/>
        <color rgb="FF000000"/>
        <rFont val="Arial"/>
        <charset val="134"/>
      </rPr>
      <t>:CEO</t>
    </r>
  </si>
  <si>
    <r>
      <rPr>
        <sz val="9"/>
        <color rgb="FF000000"/>
        <rFont val="楷体"/>
        <charset val="134"/>
      </rPr>
      <t>浙江省杭州市拱墅区教工路</t>
    </r>
    <r>
      <rPr>
        <sz val="9"/>
        <color rgb="FF000000"/>
        <rFont val="Arial"/>
        <charset val="134"/>
      </rPr>
      <t>552</t>
    </r>
    <r>
      <rPr>
        <sz val="9"/>
        <color rgb="FF000000"/>
        <rFont val="楷体"/>
        <charset val="134"/>
      </rPr>
      <t>号二维火科技大厦</t>
    </r>
  </si>
  <si>
    <t>400-0166-588</t>
  </si>
  <si>
    <t>ziteng@2dfire.com</t>
  </si>
  <si>
    <t>2014-07-19</t>
  </si>
  <si>
    <t>华创资本</t>
  </si>
  <si>
    <t>2013-09-27</t>
  </si>
  <si>
    <t>BLUE Mobile</t>
  </si>
  <si>
    <r>
      <rPr>
        <sz val="9"/>
        <color rgb="FF000000"/>
        <rFont val="Arial"/>
        <charset val="134"/>
      </rPr>
      <t>BLUE Mobile</t>
    </r>
    <r>
      <rPr>
        <sz val="9"/>
        <color rgb="FF000000"/>
        <rFont val="楷体"/>
        <charset val="134"/>
      </rPr>
      <t>成立于</t>
    </r>
    <r>
      <rPr>
        <sz val="9"/>
        <color rgb="FF000000"/>
        <rFont val="Arial"/>
        <charset val="134"/>
      </rPr>
      <t>2015</t>
    </r>
    <r>
      <rPr>
        <sz val="9"/>
        <color rgb="FF000000"/>
        <rFont val="楷体"/>
        <charset val="134"/>
      </rPr>
      <t>年，公司定位东南亚新零售</t>
    </r>
    <r>
      <rPr>
        <sz val="9"/>
        <color rgb="FF000000"/>
        <rFont val="Arial"/>
        <charset val="134"/>
      </rPr>
      <t>+</t>
    </r>
    <r>
      <rPr>
        <sz val="9"/>
        <color rgb="FF000000"/>
        <rFont val="楷体"/>
        <charset val="134"/>
      </rPr>
      <t>新金融平台。目前在印尼和泰国运营超过</t>
    </r>
    <r>
      <rPr>
        <sz val="9"/>
        <color rgb="FF000000"/>
        <rFont val="Arial"/>
        <charset val="134"/>
      </rPr>
      <t>6000</t>
    </r>
    <r>
      <rPr>
        <sz val="9"/>
        <color rgb="FF000000"/>
        <rFont val="楷体"/>
        <charset val="134"/>
      </rPr>
      <t>台</t>
    </r>
    <r>
      <rPr>
        <sz val="9"/>
        <color rgb="FF000000"/>
        <rFont val="Arial"/>
        <charset val="134"/>
      </rPr>
      <t xml:space="preserve">BLUEmart </t>
    </r>
    <r>
      <rPr>
        <sz val="9"/>
        <color rgb="FF000000"/>
        <rFont val="楷体"/>
        <charset val="134"/>
      </rPr>
      <t>智能售货机，向消费者提供饮料和零食等高频、刚需、小额的快消品。公司目前主要在曼谷和雅加达地区运营，铺设点位包括写字楼、公寓、商场、校园、工厂等人群聚集区。</t>
    </r>
  </si>
  <si>
    <t>深圳锐蓝创想科技有限公司</t>
  </si>
  <si>
    <t>https://www.bluepay.asia/</t>
  </si>
  <si>
    <r>
      <rPr>
        <sz val="9"/>
        <color rgb="FF000000"/>
        <rFont val="楷体"/>
        <charset val="134"/>
      </rPr>
      <t>愉悦资本</t>
    </r>
    <r>
      <rPr>
        <sz val="9"/>
        <color rgb="FF000000"/>
        <rFont val="Arial"/>
        <charset val="134"/>
      </rPr>
      <t>,</t>
    </r>
    <r>
      <rPr>
        <sz val="9"/>
        <color rgb="FF000000"/>
        <rFont val="楷体"/>
        <charset val="134"/>
      </rPr>
      <t>蚂蚁集团</t>
    </r>
  </si>
  <si>
    <r>
      <rPr>
        <sz val="9"/>
        <color rgb="FF000000"/>
        <rFont val="Arial"/>
        <charset val="134"/>
      </rPr>
      <t>4.78</t>
    </r>
    <r>
      <rPr>
        <sz val="9"/>
        <color rgb="FF000000"/>
        <rFont val="楷体"/>
        <charset val="134"/>
      </rPr>
      <t>亿</t>
    </r>
  </si>
  <si>
    <r>
      <rPr>
        <sz val="9"/>
        <color rgb="FF000000"/>
        <rFont val="楷体"/>
        <charset val="134"/>
      </rPr>
      <t>陈锐</t>
    </r>
    <r>
      <rPr>
        <sz val="9"/>
        <color rgb="FF000000"/>
        <rFont val="Arial"/>
        <charset val="134"/>
      </rPr>
      <t>:CEO</t>
    </r>
  </si>
  <si>
    <r>
      <rPr>
        <sz val="9"/>
        <color rgb="FF000000"/>
        <rFont val="楷体"/>
        <charset val="134"/>
      </rPr>
      <t>深圳市南山区粤海街道高新科技园南一路</t>
    </r>
    <r>
      <rPr>
        <sz val="9"/>
        <color rgb="FF000000"/>
        <rFont val="Arial"/>
        <charset val="134"/>
      </rPr>
      <t>TCL</t>
    </r>
    <r>
      <rPr>
        <sz val="9"/>
        <color rgb="FF000000"/>
        <rFont val="楷体"/>
        <charset val="134"/>
      </rPr>
      <t>大厦</t>
    </r>
    <r>
      <rPr>
        <sz val="9"/>
        <color rgb="FF000000"/>
        <rFont val="Arial"/>
        <charset val="134"/>
      </rPr>
      <t>B</t>
    </r>
    <r>
      <rPr>
        <sz val="9"/>
        <color rgb="FF000000"/>
        <rFont val="楷体"/>
        <charset val="134"/>
      </rPr>
      <t>座</t>
    </r>
    <r>
      <rPr>
        <sz val="9"/>
        <color rgb="FF000000"/>
        <rFont val="Arial"/>
        <charset val="134"/>
      </rPr>
      <t>1103</t>
    </r>
  </si>
  <si>
    <t>02-033-0080</t>
  </si>
  <si>
    <t>amy@bluepay.asia</t>
  </si>
  <si>
    <t>愉悦资本</t>
  </si>
  <si>
    <t>嘉御资本</t>
  </si>
  <si>
    <t>2016-03-08</t>
  </si>
  <si>
    <r>
      <rPr>
        <sz val="9"/>
        <color rgb="FF000000"/>
        <rFont val="楷体"/>
        <charset val="134"/>
      </rPr>
      <t>嘉御资本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愉悦资本</t>
    </r>
  </si>
  <si>
    <t>空中网</t>
  </si>
  <si>
    <t>2018-05-05</t>
  </si>
  <si>
    <t>停简单</t>
  </si>
  <si>
    <t>停简单是一个主打停车服务的解决方案服务商，为停车场、车主提供智能停车服务，隶属于北京停简单信息技术有限公司。</t>
  </si>
  <si>
    <t>北京停简单信息技术有限公司</t>
  </si>
  <si>
    <t>http://tingjiandan.com/</t>
  </si>
  <si>
    <r>
      <rPr>
        <sz val="9"/>
        <color rgb="FF000000"/>
        <rFont val="楷体"/>
        <charset val="134"/>
      </rPr>
      <t>蚂蚁集团</t>
    </r>
    <r>
      <rPr>
        <sz val="9"/>
        <color rgb="FF000000"/>
        <rFont val="Arial"/>
        <charset val="134"/>
      </rPr>
      <t>,</t>
    </r>
    <r>
      <rPr>
        <sz val="9"/>
        <color rgb="FF000000"/>
        <rFont val="楷体"/>
        <charset val="134"/>
      </rPr>
      <t>阳光海天</t>
    </r>
  </si>
  <si>
    <r>
      <rPr>
        <sz val="9"/>
        <color rgb="FF000000"/>
        <rFont val="楷体"/>
        <charset val="134"/>
      </rPr>
      <t>柳文超</t>
    </r>
    <r>
      <rPr>
        <sz val="9"/>
        <color rgb="FF000000"/>
        <rFont val="Arial"/>
        <charset val="134"/>
      </rPr>
      <t>:CEO</t>
    </r>
  </si>
  <si>
    <r>
      <rPr>
        <sz val="9"/>
        <color rgb="FF000000"/>
        <rFont val="楷体"/>
        <charset val="134"/>
      </rPr>
      <t>北京市海淀区上地信息路</t>
    </r>
    <r>
      <rPr>
        <sz val="9"/>
        <color rgb="FF000000"/>
        <rFont val="Arial"/>
        <charset val="134"/>
      </rPr>
      <t>26</t>
    </r>
    <r>
      <rPr>
        <sz val="9"/>
        <color rgb="FF000000"/>
        <rFont val="楷体"/>
        <charset val="134"/>
      </rPr>
      <t>号</t>
    </r>
    <r>
      <rPr>
        <sz val="9"/>
        <color rgb="FF000000"/>
        <rFont val="Arial"/>
        <charset val="134"/>
      </rPr>
      <t>01</t>
    </r>
    <r>
      <rPr>
        <sz val="9"/>
        <color rgb="FF000000"/>
        <rFont val="楷体"/>
        <charset val="134"/>
      </rPr>
      <t>层</t>
    </r>
    <r>
      <rPr>
        <sz val="9"/>
        <color rgb="FF000000"/>
        <rFont val="Arial"/>
        <charset val="134"/>
      </rPr>
      <t>0112-69</t>
    </r>
    <r>
      <rPr>
        <sz val="9"/>
        <color rgb="FF000000"/>
        <rFont val="楷体"/>
        <charset val="134"/>
      </rPr>
      <t>室</t>
    </r>
  </si>
  <si>
    <t>010-82865523</t>
  </si>
  <si>
    <t>yan.ji@tingjiandan.com</t>
  </si>
  <si>
    <r>
      <rPr>
        <sz val="9"/>
        <color rgb="FF000000"/>
        <rFont val="楷体"/>
        <charset val="134"/>
      </rPr>
      <t>复星集团</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红星美凯龙</t>
    </r>
    <r>
      <rPr>
        <sz val="9"/>
        <color rgb="FF000000"/>
        <rFont val="Arial"/>
        <charset val="134"/>
      </rPr>
      <t>,</t>
    </r>
    <r>
      <rPr>
        <sz val="9"/>
        <color rgb="FF000000"/>
        <rFont val="楷体"/>
        <charset val="134"/>
      </rPr>
      <t>中民投</t>
    </r>
  </si>
  <si>
    <t>2015-09-22</t>
  </si>
  <si>
    <t>峰瑞资本</t>
  </si>
  <si>
    <t>2015-04-10</t>
  </si>
  <si>
    <t>2022-12-30</t>
  </si>
  <si>
    <t>Akulaku</t>
  </si>
  <si>
    <r>
      <rPr>
        <sz val="9"/>
        <color rgb="FF000000"/>
        <rFont val="Arial"/>
        <charset val="134"/>
      </rPr>
      <t>Akulaku</t>
    </r>
    <r>
      <rPr>
        <sz val="9"/>
        <color rgb="FF000000"/>
        <rFont val="楷体"/>
        <charset val="134"/>
      </rPr>
      <t>是一家主打海外市场的分期购物电商平台，致力于为南亚和东南亚用户提供便捷的消费金融服务，产品目前已经在马来西亚、印尼、菲律宾等地区上线使用。岩心科技（深圳）有限公司旗下产品。</t>
    </r>
  </si>
  <si>
    <t>岩心科技（深圳）有限公司</t>
  </si>
  <si>
    <t>http://www.akulaku.com/</t>
  </si>
  <si>
    <t>MUFG Innovation Partners</t>
  </si>
  <si>
    <r>
      <rPr>
        <sz val="9"/>
        <color rgb="FF000000"/>
        <rFont val="Arial"/>
        <charset val="134"/>
      </rPr>
      <t>32.5</t>
    </r>
    <r>
      <rPr>
        <sz val="9"/>
        <color rgb="FF000000"/>
        <rFont val="楷体"/>
        <charset val="134"/>
      </rPr>
      <t>亿</t>
    </r>
  </si>
  <si>
    <r>
      <rPr>
        <sz val="9"/>
        <color rgb="FF000000"/>
        <rFont val="楷体"/>
        <charset val="134"/>
      </rPr>
      <t>李文博</t>
    </r>
    <r>
      <rPr>
        <sz val="9"/>
        <color rgb="FF000000"/>
        <rFont val="Arial"/>
        <charset val="134"/>
      </rPr>
      <t>:CEO</t>
    </r>
  </si>
  <si>
    <r>
      <rPr>
        <sz val="9"/>
        <color rgb="FF000000"/>
        <rFont val="楷体"/>
        <charset val="134"/>
      </rPr>
      <t>深圳市南山区登良路</t>
    </r>
    <r>
      <rPr>
        <sz val="9"/>
        <color rgb="FF000000"/>
        <rFont val="Arial"/>
        <charset val="134"/>
      </rPr>
      <t>26</t>
    </r>
    <r>
      <rPr>
        <sz val="9"/>
        <color rgb="FF000000"/>
        <rFont val="楷体"/>
        <charset val="134"/>
      </rPr>
      <t>号公园道大厦</t>
    </r>
    <r>
      <rPr>
        <sz val="9"/>
        <color rgb="FF000000"/>
        <rFont val="Arial"/>
        <charset val="134"/>
      </rPr>
      <t>B</t>
    </r>
    <r>
      <rPr>
        <sz val="9"/>
        <color rgb="FF000000"/>
        <rFont val="楷体"/>
        <charset val="134"/>
      </rPr>
      <t>栋</t>
    </r>
    <r>
      <rPr>
        <sz val="9"/>
        <color rgb="FF000000"/>
        <rFont val="Arial"/>
        <charset val="134"/>
      </rPr>
      <t>1909</t>
    </r>
    <r>
      <rPr>
        <sz val="9"/>
        <color rgb="FF000000"/>
        <rFont val="楷体"/>
        <charset val="134"/>
      </rPr>
      <t>室</t>
    </r>
  </si>
  <si>
    <t>1015907893@QQ.COM</t>
  </si>
  <si>
    <t>Lend East</t>
  </si>
  <si>
    <t>2018-10-30</t>
  </si>
  <si>
    <r>
      <rPr>
        <sz val="9"/>
        <color rgb="FF000000"/>
        <rFont val="楷体"/>
        <charset val="134"/>
      </rPr>
      <t>启明创投</t>
    </r>
    <r>
      <rPr>
        <sz val="9"/>
        <color rgb="FF000000"/>
        <rFont val="Arial"/>
        <charset val="134"/>
      </rPr>
      <t>,Sequoia Capital</t>
    </r>
    <r>
      <rPr>
        <sz val="9"/>
        <color rgb="FF000000"/>
        <rFont val="楷体"/>
        <charset val="134"/>
      </rPr>
      <t>红杉</t>
    </r>
    <r>
      <rPr>
        <sz val="9"/>
        <color rgb="FF000000"/>
        <rFont val="Arial"/>
        <charset val="134"/>
      </rPr>
      <t>,</t>
    </r>
    <r>
      <rPr>
        <sz val="9"/>
        <color rgb="FF000000"/>
        <rFont val="楷体"/>
        <charset val="134"/>
      </rPr>
      <t>凡普金科</t>
    </r>
    <r>
      <rPr>
        <sz val="9"/>
        <color rgb="FF000000"/>
        <rFont val="Arial"/>
        <charset val="134"/>
      </rPr>
      <t>,BlueSky Venture Capital</t>
    </r>
  </si>
  <si>
    <t>2017-07-06</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</si>
  <si>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顺为资本</t>
    </r>
    <r>
      <rPr>
        <sz val="9"/>
        <color rgb="FF000000"/>
        <rFont val="Arial"/>
        <charset val="134"/>
      </rPr>
      <t>,Arbor Ventures</t>
    </r>
    <r>
      <rPr>
        <sz val="9"/>
        <color rgb="FF000000"/>
        <rFont val="楷体"/>
        <charset val="134"/>
      </rPr>
      <t>乔木创投</t>
    </r>
    <r>
      <rPr>
        <sz val="9"/>
        <color rgb="FF000000"/>
        <rFont val="Arial"/>
        <charset val="134"/>
      </rPr>
      <t>,DCM</t>
    </r>
    <r>
      <rPr>
        <sz val="9"/>
        <color rgb="FF000000"/>
        <rFont val="楷体"/>
        <charset val="134"/>
      </rPr>
      <t>海外</t>
    </r>
    <r>
      <rPr>
        <sz val="9"/>
        <color rgb="FF000000"/>
        <rFont val="Arial"/>
        <charset val="134"/>
      </rPr>
      <t>,</t>
    </r>
    <r>
      <rPr>
        <sz val="9"/>
        <color rgb="FF000000"/>
        <rFont val="楷体"/>
        <charset val="134"/>
      </rPr>
      <t>微光创投</t>
    </r>
  </si>
  <si>
    <t>2017-02-01</t>
  </si>
  <si>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微光创投</t>
    </r>
  </si>
  <si>
    <t>2016-03-27</t>
  </si>
  <si>
    <r>
      <rPr>
        <sz val="9"/>
        <color rgb="FF000000"/>
        <rFont val="Arial"/>
        <charset val="134"/>
      </rPr>
      <t>IDG</t>
    </r>
    <r>
      <rPr>
        <sz val="9"/>
        <color rgb="FF000000"/>
        <rFont val="楷体"/>
        <charset val="134"/>
      </rPr>
      <t>资本</t>
    </r>
    <r>
      <rPr>
        <sz val="9"/>
        <color rgb="FF000000"/>
        <rFont val="Arial"/>
        <charset val="134"/>
      </rPr>
      <t>,DCM</t>
    </r>
    <r>
      <rPr>
        <sz val="9"/>
        <color rgb="FF000000"/>
        <rFont val="楷体"/>
        <charset val="134"/>
      </rPr>
      <t>中国</t>
    </r>
  </si>
  <si>
    <t>2018-05-18</t>
  </si>
  <si>
    <t>噼里啪</t>
  </si>
  <si>
    <t>噼里啪是一家为中小企业提供企业财税、记账服务的公司，隶属于北京爱康鼎科技有限公司。</t>
  </si>
  <si>
    <t>北京爱康鼎科技有限公司</t>
  </si>
  <si>
    <t>http://i-counting.cn</t>
  </si>
  <si>
    <r>
      <rPr>
        <sz val="9"/>
        <color rgb="FF000000"/>
        <rFont val="楷体"/>
        <charset val="134"/>
      </rPr>
      <t>金沙江创投</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蚂蚁集团</t>
    </r>
  </si>
  <si>
    <r>
      <rPr>
        <sz val="9"/>
        <color rgb="FF000000"/>
        <rFont val="Arial"/>
        <charset val="134"/>
      </rPr>
      <t>4.09</t>
    </r>
    <r>
      <rPr>
        <sz val="9"/>
        <color rgb="FF000000"/>
        <rFont val="楷体"/>
        <charset val="134"/>
      </rPr>
      <t>亿</t>
    </r>
  </si>
  <si>
    <r>
      <rPr>
        <sz val="9"/>
        <color rgb="FF000000"/>
        <rFont val="楷体"/>
        <charset val="134"/>
      </rPr>
      <t>樊祎</t>
    </r>
    <r>
      <rPr>
        <sz val="9"/>
        <color rgb="FF000000"/>
        <rFont val="Arial"/>
        <charset val="134"/>
      </rPr>
      <t>:CEO</t>
    </r>
  </si>
  <si>
    <r>
      <rPr>
        <sz val="9"/>
        <color rgb="FF000000"/>
        <rFont val="楷体"/>
        <charset val="134"/>
      </rPr>
      <t>北京市朝阳区北苑路</t>
    </r>
    <r>
      <rPr>
        <sz val="9"/>
        <color rgb="FF000000"/>
        <rFont val="Arial"/>
        <charset val="134"/>
      </rPr>
      <t xml:space="preserve"> 170</t>
    </r>
    <r>
      <rPr>
        <sz val="9"/>
        <color rgb="FF000000"/>
        <rFont val="楷体"/>
        <charset val="134"/>
      </rPr>
      <t>号凯旋中心</t>
    </r>
    <r>
      <rPr>
        <sz val="9"/>
        <color rgb="FF000000"/>
        <rFont val="Arial"/>
        <charset val="134"/>
      </rPr>
      <t>C</t>
    </r>
    <r>
      <rPr>
        <sz val="9"/>
        <color rgb="FF000000"/>
        <rFont val="楷体"/>
        <charset val="134"/>
      </rPr>
      <t>座</t>
    </r>
    <r>
      <rPr>
        <sz val="9"/>
        <color rgb="FF000000"/>
        <rFont val="Arial"/>
        <charset val="134"/>
      </rPr>
      <t>18</t>
    </r>
    <r>
      <rPr>
        <sz val="9"/>
        <color rgb="FF000000"/>
        <rFont val="楷体"/>
        <charset val="134"/>
      </rPr>
      <t>层</t>
    </r>
  </si>
  <si>
    <t>010-5335-3353</t>
  </si>
  <si>
    <t>lufeng360@163.com</t>
  </si>
  <si>
    <t>2017-06-06</t>
  </si>
  <si>
    <r>
      <rPr>
        <sz val="9"/>
        <color rgb="FF000000"/>
        <rFont val="Arial"/>
        <charset val="134"/>
      </rPr>
      <t>7800</t>
    </r>
    <r>
      <rPr>
        <sz val="9"/>
        <color rgb="FF000000"/>
        <rFont val="楷体"/>
        <charset val="134"/>
      </rPr>
      <t>万人民币</t>
    </r>
  </si>
  <si>
    <r>
      <rPr>
        <sz val="9"/>
        <color rgb="FF000000"/>
        <rFont val="楷体"/>
        <charset val="134"/>
      </rPr>
      <t>金沙江创投</t>
    </r>
    <r>
      <rPr>
        <sz val="9"/>
        <color rgb="FF000000"/>
        <rFont val="Arial"/>
        <charset val="134"/>
      </rPr>
      <t>,DCM</t>
    </r>
    <r>
      <rPr>
        <sz val="9"/>
        <color rgb="FF000000"/>
        <rFont val="楷体"/>
        <charset val="134"/>
      </rPr>
      <t>中国</t>
    </r>
  </si>
  <si>
    <t>2016-08-26</t>
  </si>
  <si>
    <t>2015-06-26</t>
  </si>
  <si>
    <t>2021-09-06</t>
  </si>
  <si>
    <t>Chope</t>
  </si>
  <si>
    <r>
      <rPr>
        <sz val="9"/>
        <color rgb="FF000000"/>
        <rFont val="Arial"/>
        <charset val="134"/>
      </rPr>
      <t>Chope</t>
    </r>
    <r>
      <rPr>
        <sz val="9"/>
        <color rgb="FF000000"/>
        <rFont val="楷体"/>
        <charset val="134"/>
      </rPr>
      <t>是新加坡一家在线餐厅预订商，同时也是一个综合性的餐厅管理和营销平台，给人们提供更好订餐体验以避免排队等问题。</t>
    </r>
  </si>
  <si>
    <t>http://www.chope.co/</t>
  </si>
  <si>
    <r>
      <rPr>
        <sz val="9"/>
        <color rgb="FF000000"/>
        <rFont val="Arial"/>
        <charset val="134"/>
      </rPr>
      <t>2.56</t>
    </r>
    <r>
      <rPr>
        <sz val="9"/>
        <color rgb="FF000000"/>
        <rFont val="楷体"/>
        <charset val="134"/>
      </rPr>
      <t>亿</t>
    </r>
  </si>
  <si>
    <r>
      <rPr>
        <sz val="9"/>
        <color rgb="FF000000"/>
        <rFont val="Arial"/>
        <charset val="134"/>
      </rPr>
      <t>5.85</t>
    </r>
    <r>
      <rPr>
        <sz val="9"/>
        <color rgb="FF000000"/>
        <rFont val="楷体"/>
        <charset val="134"/>
      </rPr>
      <t>亿元</t>
    </r>
  </si>
  <si>
    <t>Arrif Ziaudeen:CEO,Dinesh Balasingam:Regional Head of Business, Singapore,Dmitry Alimov:Investor,Kunal Narang:Region General Manager, Indonesia &amp; Thailand,Louis Chaffard:General Manager (Shanghai),Mark Lau:Lead Software Engineer,Rufus Jiang:Chief Technology Officer</t>
  </si>
  <si>
    <t>2017-10-16</t>
  </si>
  <si>
    <r>
      <rPr>
        <sz val="9"/>
        <color rgb="FF000000"/>
        <rFont val="Arial"/>
        <charset val="134"/>
      </rPr>
      <t>SIG</t>
    </r>
    <r>
      <rPr>
        <sz val="9"/>
        <color rgb="FF000000"/>
        <rFont val="楷体"/>
        <charset val="134"/>
      </rPr>
      <t>海纳亚洲</t>
    </r>
    <r>
      <rPr>
        <sz val="9"/>
        <color rgb="FF000000"/>
        <rFont val="Arial"/>
        <charset val="134"/>
      </rPr>
      <t>,Square Peg Capital,NSI Ventures,DSG Consumer Partners,C31 Ventures,Moelis Australia,SPH Ventures</t>
    </r>
  </si>
  <si>
    <t>Singapore Press Holdings,NSI Ventures</t>
  </si>
  <si>
    <t>2013-03-15</t>
  </si>
  <si>
    <t>Singapore Press Holdings</t>
  </si>
  <si>
    <r>
      <rPr>
        <sz val="9"/>
        <color rgb="FF000000"/>
        <rFont val="Arial"/>
        <charset val="134"/>
      </rPr>
      <t>82</t>
    </r>
    <r>
      <rPr>
        <sz val="9"/>
        <color rgb="FF000000"/>
        <rFont val="楷体"/>
        <charset val="134"/>
      </rPr>
      <t>万美元</t>
    </r>
  </si>
  <si>
    <t>Innosight Ventures</t>
  </si>
  <si>
    <t>数位</t>
  </si>
  <si>
    <r>
      <rPr>
        <sz val="9"/>
        <color rgb="FF000000"/>
        <rFont val="楷体"/>
        <charset val="134"/>
      </rPr>
      <t>数位是一家由蚂蚁金服、博将、赛富等知名机构投资，基于人工智能、大数据技术，为企业提供线下城市、区域、市场、行业、品牌、商圈、门店、客流等线下数据查询和智能分析的大数据公司。基于</t>
    </r>
    <r>
      <rPr>
        <sz val="9"/>
        <color rgb="FF000000"/>
        <rFont val="Arial"/>
        <charset val="134"/>
      </rPr>
      <t>6</t>
    </r>
    <r>
      <rPr>
        <sz val="9"/>
        <color rgb="FF000000"/>
        <rFont val="楷体"/>
        <charset val="134"/>
      </rPr>
      <t>年在线下大数据行业的深耕和数据沉淀，持续推出服务不同行业的大数据产品，无论是面向线下开店人的数据产品</t>
    </r>
    <r>
      <rPr>
        <sz val="9"/>
        <color rgb="FF000000"/>
        <rFont val="Arial"/>
        <charset val="134"/>
      </rPr>
      <t>——</t>
    </r>
    <r>
      <rPr>
        <sz val="9"/>
        <color rgb="FF000000"/>
        <rFont val="楷体"/>
        <charset val="134"/>
      </rPr>
      <t>上上参谋</t>
    </r>
    <r>
      <rPr>
        <sz val="9"/>
        <color rgb="FF000000"/>
        <rFont val="Arial"/>
        <charset val="134"/>
      </rPr>
      <t>APP</t>
    </r>
    <r>
      <rPr>
        <sz val="9"/>
        <color rgb="FF000000"/>
        <rFont val="楷体"/>
        <charset val="134"/>
      </rPr>
      <t>，还是面向线下全行业的全维度数据查询产品</t>
    </r>
    <r>
      <rPr>
        <sz val="9"/>
        <color rgb="FF000000"/>
        <rFont val="Arial"/>
        <charset val="134"/>
      </rPr>
      <t>——</t>
    </r>
    <r>
      <rPr>
        <sz val="9"/>
        <color rgb="FF000000"/>
        <rFont val="楷体"/>
        <charset val="134"/>
      </rPr>
      <t>数位观察，数位一直致力于为线下企业提供普惠的大数据产品服务，让大数据成为新引擎、新动力。</t>
    </r>
  </si>
  <si>
    <t>深圳数位大数据科技有限公司</t>
  </si>
  <si>
    <t>http://www.szshuwei.com/</t>
  </si>
  <si>
    <r>
      <rPr>
        <sz val="9"/>
        <color rgb="FF000000"/>
        <rFont val="楷体"/>
        <charset val="134"/>
      </rPr>
      <t>博将资本</t>
    </r>
    <r>
      <rPr>
        <sz val="9"/>
        <color rgb="FF000000"/>
        <rFont val="Arial"/>
        <charset val="134"/>
      </rPr>
      <t>,</t>
    </r>
    <r>
      <rPr>
        <sz val="9"/>
        <color rgb="FF000000"/>
        <rFont val="楷体"/>
        <charset val="134"/>
      </rPr>
      <t>新恒利达资本</t>
    </r>
    <r>
      <rPr>
        <sz val="9"/>
        <color rgb="FF000000"/>
        <rFont val="Arial"/>
        <charset val="134"/>
      </rPr>
      <t>,</t>
    </r>
    <r>
      <rPr>
        <sz val="9"/>
        <color rgb="FF000000"/>
        <rFont val="楷体"/>
        <charset val="134"/>
      </rPr>
      <t>里程资本</t>
    </r>
  </si>
  <si>
    <r>
      <rPr>
        <sz val="9"/>
        <color rgb="FF000000"/>
        <rFont val="Arial"/>
        <charset val="134"/>
      </rPr>
      <t>7.2</t>
    </r>
    <r>
      <rPr>
        <sz val="9"/>
        <color rgb="FF000000"/>
        <rFont val="楷体"/>
        <charset val="134"/>
      </rPr>
      <t>亿</t>
    </r>
  </si>
  <si>
    <r>
      <rPr>
        <sz val="9"/>
        <color rgb="FF000000"/>
        <rFont val="楷体"/>
        <charset val="134"/>
      </rPr>
      <t>黄兴丽</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</si>
  <si>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深圳市南山区粤海街道海天一路</t>
    </r>
    <r>
      <rPr>
        <sz val="9"/>
        <color rgb="FF000000"/>
        <rFont val="Arial"/>
        <charset val="134"/>
      </rPr>
      <t>19</t>
    </r>
    <r>
      <rPr>
        <sz val="9"/>
        <color rgb="FF000000"/>
        <rFont val="楷体"/>
        <charset val="134"/>
      </rPr>
      <t>号软件产业基地</t>
    </r>
    <r>
      <rPr>
        <sz val="9"/>
        <color rgb="FF000000"/>
        <rFont val="Arial"/>
        <charset val="134"/>
      </rPr>
      <t>5</t>
    </r>
    <r>
      <rPr>
        <sz val="9"/>
        <color rgb="FF000000"/>
        <rFont val="楷体"/>
        <charset val="134"/>
      </rPr>
      <t>栋</t>
    </r>
    <r>
      <rPr>
        <sz val="9"/>
        <color rgb="FF000000"/>
        <rFont val="Arial"/>
        <charset val="134"/>
      </rPr>
      <t>C</t>
    </r>
    <r>
      <rPr>
        <sz val="9"/>
        <color rgb="FF000000"/>
        <rFont val="楷体"/>
        <charset val="134"/>
      </rPr>
      <t>座</t>
    </r>
  </si>
  <si>
    <t>400-698-8881</t>
  </si>
  <si>
    <t>j.xu@nf-3.com</t>
  </si>
  <si>
    <r>
      <rPr>
        <sz val="9"/>
        <color rgb="FF000000"/>
        <rFont val="楷体"/>
        <charset val="134"/>
      </rPr>
      <t>蚂蚁集团</t>
    </r>
    <r>
      <rPr>
        <sz val="9"/>
        <color rgb="FF000000"/>
        <rFont val="Arial"/>
        <charset val="134"/>
      </rPr>
      <t>,</t>
    </r>
    <r>
      <rPr>
        <sz val="9"/>
        <color rgb="FF000000"/>
        <rFont val="楷体"/>
        <charset val="134"/>
      </rPr>
      <t>华盛一泓</t>
    </r>
  </si>
  <si>
    <t>2018-07-24</t>
  </si>
  <si>
    <r>
      <rPr>
        <sz val="9"/>
        <color rgb="FF000000"/>
        <rFont val="楷体"/>
        <charset val="134"/>
      </rPr>
      <t>赛富基金</t>
    </r>
    <r>
      <rPr>
        <sz val="9"/>
        <color rgb="FF000000"/>
        <rFont val="Arial"/>
        <charset val="134"/>
      </rPr>
      <t>SAIF Partners,</t>
    </r>
    <r>
      <rPr>
        <sz val="9"/>
        <color rgb="FF000000"/>
        <rFont val="楷体"/>
        <charset val="134"/>
      </rPr>
      <t>长润资本</t>
    </r>
  </si>
  <si>
    <t>2017-11-08</t>
  </si>
  <si>
    <t>东方富海</t>
  </si>
  <si>
    <t>2017-09-07</t>
  </si>
  <si>
    <r>
      <rPr>
        <sz val="9"/>
        <color rgb="FF000000"/>
        <rFont val="楷体"/>
        <charset val="134"/>
      </rPr>
      <t>复星锐正资本</t>
    </r>
    <r>
      <rPr>
        <sz val="9"/>
        <color rgb="FF000000"/>
        <rFont val="Arial"/>
        <charset val="134"/>
      </rPr>
      <t>,</t>
    </r>
    <r>
      <rPr>
        <sz val="9"/>
        <color rgb="FF000000"/>
        <rFont val="楷体"/>
        <charset val="134"/>
      </rPr>
      <t>极光</t>
    </r>
  </si>
  <si>
    <t>2016-12-08</t>
  </si>
  <si>
    <r>
      <rPr>
        <sz val="9"/>
        <color rgb="FF000000"/>
        <rFont val="Arial"/>
        <charset val="134"/>
      </rPr>
      <t>600</t>
    </r>
    <r>
      <rPr>
        <sz val="9"/>
        <color rgb="FF000000"/>
        <rFont val="楷体"/>
        <charset val="134"/>
      </rPr>
      <t>万人民币</t>
    </r>
  </si>
  <si>
    <t>博将资本</t>
  </si>
  <si>
    <t>2015-05-22</t>
  </si>
  <si>
    <t>丹来资产</t>
  </si>
  <si>
    <t>2014-12-01</t>
  </si>
  <si>
    <t>2015-03-30</t>
  </si>
  <si>
    <t>北京鹰胜网络验证</t>
  </si>
  <si>
    <r>
      <rPr>
        <sz val="9"/>
        <color rgb="FF000000"/>
        <rFont val="楷体"/>
        <charset val="134"/>
      </rPr>
      <t>北京鹰胜网络验证是一家人脸识别技术公司，致力于将人脸识别与验证运用于金融领域，由蚂蚁金服与</t>
    </r>
    <r>
      <rPr>
        <sz val="9"/>
        <color rgb="FF000000"/>
        <rFont val="Arial"/>
        <charset val="134"/>
      </rPr>
      <t>Face++</t>
    </r>
    <r>
      <rPr>
        <sz val="9"/>
        <color rgb="FF000000"/>
        <rFont val="楷体"/>
        <charset val="134"/>
      </rPr>
      <t>联合成立。</t>
    </r>
  </si>
  <si>
    <t>北京云慧联信息技术有限公司</t>
  </si>
  <si>
    <r>
      <rPr>
        <sz val="9"/>
        <color rgb="FF000000"/>
        <rFont val="楷体"/>
        <charset val="134"/>
      </rPr>
      <t>蚂蚁集团</t>
    </r>
    <r>
      <rPr>
        <sz val="9"/>
        <color rgb="FF000000"/>
        <rFont val="Arial"/>
        <charset val="134"/>
      </rPr>
      <t>,</t>
    </r>
    <r>
      <rPr>
        <sz val="9"/>
        <color rgb="FF000000"/>
        <rFont val="楷体"/>
        <charset val="134"/>
      </rPr>
      <t>旷视科技</t>
    </r>
    <r>
      <rPr>
        <sz val="9"/>
        <color rgb="FF000000"/>
        <rFont val="Arial"/>
        <charset val="134"/>
      </rPr>
      <t>MEGVII</t>
    </r>
  </si>
  <si>
    <r>
      <rPr>
        <sz val="9"/>
        <color rgb="FF000000"/>
        <rFont val="楷体"/>
        <charset val="134"/>
      </rPr>
      <t>北京市海淀区丹棱街</t>
    </r>
    <r>
      <rPr>
        <sz val="9"/>
        <color rgb="FF000000"/>
        <rFont val="Arial"/>
        <charset val="134"/>
      </rPr>
      <t>1</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2304</t>
    </r>
    <r>
      <rPr>
        <sz val="9"/>
        <color rgb="FF000000"/>
        <rFont val="楷体"/>
        <charset val="134"/>
      </rPr>
      <t>室</t>
    </r>
  </si>
  <si>
    <t>2016-06-30</t>
  </si>
  <si>
    <t>小小财技</t>
  </si>
  <si>
    <r>
      <rPr>
        <sz val="9"/>
        <color rgb="FF000000"/>
        <rFont val="楷体"/>
        <charset val="134"/>
      </rPr>
      <t>小小财技是一家服务于中产家庭理财服务的微信媒体，由上海飘红信息技术有限公司创办</t>
    </r>
    <r>
      <rPr>
        <sz val="9"/>
        <color rgb="FF000000"/>
        <rFont val="Arial"/>
        <charset val="134"/>
      </rPr>
      <t>.</t>
    </r>
  </si>
  <si>
    <t>上海飘红信息技术有限公司</t>
  </si>
  <si>
    <r>
      <rPr>
        <sz val="9"/>
        <color rgb="FF000000"/>
        <rFont val="楷体"/>
        <charset val="134"/>
      </rPr>
      <t>王吉陆</t>
    </r>
    <r>
      <rPr>
        <sz val="9"/>
        <color rgb="FF000000"/>
        <rFont val="Arial"/>
        <charset val="134"/>
      </rPr>
      <t>:CEO</t>
    </r>
  </si>
  <si>
    <t>未来安全</t>
  </si>
  <si>
    <r>
      <rPr>
        <sz val="9"/>
        <color rgb="FF000000"/>
        <rFont val="楷体"/>
        <charset val="134"/>
      </rPr>
      <t>未来安全是一家专注于信息安全的服务提供商，旗下有信息安全垂直媒体</t>
    </r>
    <r>
      <rPr>
        <sz val="9"/>
        <color rgb="FF000000"/>
        <rFont val="Arial"/>
        <charset val="134"/>
      </rPr>
      <t>“</t>
    </r>
    <r>
      <rPr>
        <sz val="9"/>
        <color rgb="FF000000"/>
        <rFont val="楷体"/>
        <charset val="134"/>
      </rPr>
      <t>嘶吼网</t>
    </r>
    <r>
      <rPr>
        <sz val="9"/>
        <color rgb="FF000000"/>
        <rFont val="Arial"/>
        <charset val="134"/>
      </rPr>
      <t>”</t>
    </r>
    <r>
      <rPr>
        <sz val="9"/>
        <color rgb="FF000000"/>
        <rFont val="楷体"/>
        <charset val="134"/>
      </rPr>
      <t>、</t>
    </r>
    <r>
      <rPr>
        <sz val="9"/>
        <color rgb="FF000000"/>
        <rFont val="Arial"/>
        <charset val="134"/>
      </rPr>
      <t>"XPwn</t>
    </r>
    <r>
      <rPr>
        <sz val="9"/>
        <color rgb="FF000000"/>
        <rFont val="楷体"/>
        <charset val="134"/>
      </rPr>
      <t>未来安全探索</t>
    </r>
    <r>
      <rPr>
        <sz val="9"/>
        <color rgb="FF000000"/>
        <rFont val="Arial"/>
        <charset val="134"/>
      </rPr>
      <t>"</t>
    </r>
    <r>
      <rPr>
        <sz val="9"/>
        <color rgb="FF000000"/>
        <rFont val="楷体"/>
        <charset val="134"/>
      </rPr>
      <t>活动，</t>
    </r>
    <r>
      <rPr>
        <sz val="9"/>
        <color rgb="FF000000"/>
        <rFont val="Arial"/>
        <charset val="134"/>
      </rPr>
      <t>XCon</t>
    </r>
    <r>
      <rPr>
        <sz val="9"/>
        <color rgb="FF000000"/>
        <rFont val="楷体"/>
        <charset val="134"/>
      </rPr>
      <t>安全焦点信息安全技术峰会等。</t>
    </r>
  </si>
  <si>
    <t>北京未来安全信息技术有限公司</t>
  </si>
  <si>
    <t>http://www.xfuturesec.com/</t>
  </si>
  <si>
    <r>
      <rPr>
        <sz val="9"/>
        <color rgb="FF000000"/>
        <rFont val="楷体"/>
        <charset val="134"/>
      </rPr>
      <t>王英键</t>
    </r>
    <r>
      <rPr>
        <sz val="9"/>
        <color rgb="FF000000"/>
        <rFont val="Arial"/>
        <charset val="134"/>
      </rPr>
      <t>:CEO</t>
    </r>
  </si>
  <si>
    <r>
      <rPr>
        <sz val="9"/>
        <color rgb="FF000000"/>
        <rFont val="楷体"/>
        <charset val="134"/>
      </rPr>
      <t>北京市海淀区信息路甲</t>
    </r>
    <r>
      <rPr>
        <sz val="9"/>
        <color rgb="FF000000"/>
        <rFont val="Arial"/>
        <charset val="134"/>
      </rPr>
      <t>28</t>
    </r>
    <r>
      <rPr>
        <sz val="9"/>
        <color rgb="FF000000"/>
        <rFont val="楷体"/>
        <charset val="134"/>
      </rPr>
      <t>号</t>
    </r>
    <r>
      <rPr>
        <sz val="9"/>
        <color rgb="FF000000"/>
        <rFont val="Arial"/>
        <charset val="134"/>
      </rPr>
      <t>B</t>
    </r>
    <r>
      <rPr>
        <sz val="9"/>
        <color rgb="FF000000"/>
        <rFont val="楷体"/>
        <charset val="134"/>
      </rPr>
      <t>座</t>
    </r>
    <r>
      <rPr>
        <sz val="9"/>
        <color rgb="FF000000"/>
        <rFont val="Arial"/>
        <charset val="134"/>
      </rPr>
      <t>(</t>
    </r>
    <r>
      <rPr>
        <sz val="9"/>
        <color rgb="FF000000"/>
        <rFont val="楷体"/>
        <charset val="134"/>
      </rPr>
      <t>二层</t>
    </r>
    <r>
      <rPr>
        <sz val="9"/>
        <color rgb="FF000000"/>
        <rFont val="Arial"/>
        <charset val="134"/>
      </rPr>
      <t>)02B-299</t>
    </r>
    <r>
      <rPr>
        <sz val="9"/>
        <color rgb="FF000000"/>
        <rFont val="楷体"/>
        <charset val="134"/>
      </rPr>
      <t>号</t>
    </r>
  </si>
  <si>
    <t xml:space="preserve">010-62029792 </t>
  </si>
  <si>
    <t>ceo@xfuturesec.com</t>
  </si>
  <si>
    <t>2021-06-23</t>
  </si>
  <si>
    <t>中和农信</t>
  </si>
  <si>
    <r>
      <rPr>
        <sz val="9"/>
        <color rgb="FF000000"/>
        <rFont val="楷体"/>
        <charset val="134"/>
      </rPr>
      <t>中和农信是一家专注于农村中低收入群体小额信贷的社会企业，起源于</t>
    </r>
    <r>
      <rPr>
        <sz val="9"/>
        <color rgb="FF000000"/>
        <rFont val="Arial"/>
        <charset val="134"/>
      </rPr>
      <t>1996</t>
    </r>
    <r>
      <rPr>
        <sz val="9"/>
        <color rgb="FF000000"/>
        <rFont val="楷体"/>
        <charset val="134"/>
      </rPr>
      <t>年，前身是中国扶贫基金会小额信贷项目部，于</t>
    </r>
    <r>
      <rPr>
        <sz val="9"/>
        <color rgb="FF000000"/>
        <rFont val="Arial"/>
        <charset val="134"/>
      </rPr>
      <t>2008</t>
    </r>
    <r>
      <rPr>
        <sz val="9"/>
        <color rgb="FF000000"/>
        <rFont val="楷体"/>
        <charset val="134"/>
      </rPr>
      <t>年转制成公司化运作。中和农信旨在通过无需抵押，上门服务的小额信贷方式支持贫困地区中低收入家庭开展创收性活动，同时还提供多种形式的非金融服务，全面提升客户的综合能力，从而实现可持续脱贫致富。</t>
    </r>
  </si>
  <si>
    <t>中和农信控股有限公司</t>
  </si>
  <si>
    <t>http://www.cfpamf.org.cn/</t>
  </si>
  <si>
    <t>借贷</t>
  </si>
  <si>
    <r>
      <rPr>
        <sz val="9"/>
        <color rgb="FF000000"/>
        <rFont val="楷体"/>
        <charset val="134"/>
      </rPr>
      <t>安大略省教师退休基金</t>
    </r>
    <r>
      <rPr>
        <sz val="9"/>
        <color rgb="FF000000"/>
        <rFont val="Arial"/>
        <charset val="134"/>
      </rPr>
      <t>Ontario Teachers,ABC World Asia</t>
    </r>
  </si>
  <si>
    <r>
      <rPr>
        <sz val="9"/>
        <color rgb="FF000000"/>
        <rFont val="Arial"/>
        <charset val="134"/>
      </rPr>
      <t>22.55</t>
    </r>
    <r>
      <rPr>
        <sz val="9"/>
        <color rgb="FF000000"/>
        <rFont val="楷体"/>
        <charset val="134"/>
      </rPr>
      <t>亿</t>
    </r>
  </si>
  <si>
    <r>
      <rPr>
        <sz val="9"/>
        <color rgb="FF000000"/>
        <rFont val="楷体"/>
        <charset val="134"/>
      </rPr>
      <t>王行最</t>
    </r>
    <r>
      <rPr>
        <sz val="9"/>
        <color rgb="FF000000"/>
        <rFont val="Arial"/>
        <charset val="134"/>
      </rPr>
      <t>:</t>
    </r>
    <r>
      <rPr>
        <sz val="9"/>
        <color rgb="FF000000"/>
        <rFont val="楷体"/>
        <charset val="134"/>
      </rPr>
      <t>董事长</t>
    </r>
  </si>
  <si>
    <r>
      <rPr>
        <sz val="9"/>
        <color rgb="FF000000"/>
        <rFont val="楷体"/>
        <charset val="134"/>
      </rPr>
      <t>北京市海淀区双榆树西里</t>
    </r>
    <r>
      <rPr>
        <sz val="9"/>
        <color rgb="FF000000"/>
        <rFont val="Arial"/>
        <charset val="134"/>
      </rPr>
      <t>36</t>
    </r>
    <r>
      <rPr>
        <sz val="9"/>
        <color rgb="FF000000"/>
        <rFont val="楷体"/>
        <charset val="134"/>
      </rPr>
      <t>号南楼</t>
    </r>
    <r>
      <rPr>
        <sz val="9"/>
        <color rgb="FF000000"/>
        <rFont val="Arial"/>
        <charset val="134"/>
      </rPr>
      <t>2</t>
    </r>
    <r>
      <rPr>
        <sz val="9"/>
        <color rgb="FF000000"/>
        <rFont val="楷体"/>
        <charset val="134"/>
      </rPr>
      <t>层</t>
    </r>
  </si>
  <si>
    <r>
      <rPr>
        <sz val="9"/>
        <color rgb="FF000000"/>
        <rFont val="Arial"/>
        <charset val="134"/>
      </rPr>
      <t xml:space="preserve">010-8287 2688 </t>
    </r>
    <r>
      <rPr>
        <sz val="9"/>
        <color rgb="FF000000"/>
        <rFont val="楷体"/>
        <charset val="134"/>
      </rPr>
      <t>转</t>
    </r>
    <r>
      <rPr>
        <sz val="9"/>
        <color rgb="FF000000"/>
        <rFont val="Arial"/>
        <charset val="134"/>
      </rPr>
      <t xml:space="preserve"> 262  </t>
    </r>
  </si>
  <si>
    <t xml:space="preserve">sc@cfpamf.org.cn </t>
  </si>
  <si>
    <t>2018-11-06</t>
  </si>
  <si>
    <r>
      <rPr>
        <sz val="9"/>
        <color rgb="FF000000"/>
        <rFont val="楷体"/>
        <charset val="134"/>
      </rPr>
      <t>睿思基金</t>
    </r>
    <r>
      <rPr>
        <sz val="9"/>
        <color rgb="FF000000"/>
        <rFont val="Arial"/>
        <charset val="134"/>
      </rPr>
      <t>,</t>
    </r>
    <r>
      <rPr>
        <sz val="9"/>
        <color rgb="FF000000"/>
        <rFont val="楷体"/>
        <charset val="134"/>
      </rPr>
      <t>仁达普惠</t>
    </r>
  </si>
  <si>
    <t>2016-12-23</t>
  </si>
  <si>
    <r>
      <rPr>
        <sz val="9"/>
        <color rgb="FF000000"/>
        <rFont val="Arial"/>
        <charset val="134"/>
      </rPr>
      <t>IFC</t>
    </r>
    <r>
      <rPr>
        <sz val="9"/>
        <color rgb="FF000000"/>
        <rFont val="楷体"/>
        <charset val="134"/>
      </rPr>
      <t>国际金融公司</t>
    </r>
    <r>
      <rPr>
        <sz val="9"/>
        <color rgb="FF000000"/>
        <rFont val="Arial"/>
        <charset val="134"/>
      </rPr>
      <t>,</t>
    </r>
    <r>
      <rPr>
        <sz val="9"/>
        <color rgb="FF000000"/>
        <rFont val="楷体"/>
        <charset val="134"/>
      </rPr>
      <t>蚂蚁集团</t>
    </r>
    <r>
      <rPr>
        <sz val="9"/>
        <color rgb="FF000000"/>
        <rFont val="Arial"/>
        <charset val="134"/>
      </rPr>
      <t xml:space="preserve">, </t>
    </r>
    <r>
      <rPr>
        <sz val="9"/>
        <color rgb="FF000000"/>
        <rFont val="楷体"/>
        <charset val="134"/>
      </rPr>
      <t>香港天天向上基金</t>
    </r>
  </si>
  <si>
    <t>2015-11-12</t>
  </si>
  <si>
    <r>
      <rPr>
        <sz val="9"/>
        <color rgb="FF000000"/>
        <rFont val="Arial"/>
        <charset val="134"/>
      </rPr>
      <t xml:space="preserve"> </t>
    </r>
    <r>
      <rPr>
        <sz val="9"/>
        <color rgb="FF000000"/>
        <rFont val="楷体"/>
        <charset val="134"/>
      </rPr>
      <t>香港天天向上基金</t>
    </r>
  </si>
  <si>
    <t>2010-04-09</t>
  </si>
  <si>
    <r>
      <rPr>
        <sz val="9"/>
        <color rgb="FF000000"/>
        <rFont val="楷体"/>
        <charset val="134"/>
      </rPr>
      <t>红杉资本中国</t>
    </r>
    <r>
      <rPr>
        <sz val="9"/>
        <color rgb="FF000000"/>
        <rFont val="Arial"/>
        <charset val="134"/>
      </rPr>
      <t>,</t>
    </r>
    <r>
      <rPr>
        <sz val="9"/>
        <color rgb="FF000000"/>
        <rFont val="楷体"/>
        <charset val="134"/>
      </rPr>
      <t>世界银行</t>
    </r>
  </si>
  <si>
    <t>2017-03-13</t>
  </si>
  <si>
    <t>农联中鑫</t>
  </si>
  <si>
    <t>农联中鑫科技是一家农村金融服务提供商，由中华保险和蚂蚁金服投资设立，提供从贷款到销售的金融服务、生态服务。</t>
  </si>
  <si>
    <t>农联中鑫科技股份有限公司</t>
  </si>
  <si>
    <r>
      <rPr>
        <sz val="9"/>
        <color rgb="FF000000"/>
        <rFont val="楷体"/>
        <charset val="134"/>
      </rPr>
      <t>宁波市鄞州区首南西路</t>
    </r>
    <r>
      <rPr>
        <sz val="9"/>
        <color rgb="FF000000"/>
        <rFont val="Arial"/>
        <charset val="134"/>
      </rPr>
      <t>88</t>
    </r>
    <r>
      <rPr>
        <sz val="9"/>
        <color rgb="FF000000"/>
        <rFont val="楷体"/>
        <charset val="134"/>
      </rPr>
      <t>、</t>
    </r>
    <r>
      <rPr>
        <sz val="9"/>
        <color rgb="FF000000"/>
        <rFont val="Arial"/>
        <charset val="134"/>
      </rPr>
      <t>76</t>
    </r>
    <r>
      <rPr>
        <sz val="9"/>
        <color rgb="FF000000"/>
        <rFont val="楷体"/>
        <charset val="134"/>
      </rPr>
      <t>号鄞城大厦</t>
    </r>
    <r>
      <rPr>
        <sz val="9"/>
        <color rgb="FF000000"/>
        <rFont val="Arial"/>
        <charset val="134"/>
      </rPr>
      <t>B</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207</t>
    </r>
    <r>
      <rPr>
        <sz val="9"/>
        <color rgb="FF000000"/>
        <rFont val="楷体"/>
        <charset val="134"/>
      </rPr>
      <t>室</t>
    </r>
    <r>
      <rPr>
        <sz val="9"/>
        <color rgb="FF000000"/>
        <rFont val="Arial"/>
        <charset val="134"/>
      </rPr>
      <t xml:space="preserve"> </t>
    </r>
  </si>
  <si>
    <t>2016-06-25</t>
  </si>
  <si>
    <t>摇滚客</t>
  </si>
  <si>
    <t>摇滚客是一家专注于摇滚乐欣赏与传播的视听分享平台，通过分享优质的视频与新闻，让大众了解新时代独立音乐，同时汇集中国优秀乐评人与音乐人，提供音乐行业分析与幕后创作揭秘，也定期在全国各地举办线下开放日活动。</t>
  </si>
  <si>
    <t>南京果酱文化发展有限公司</t>
  </si>
  <si>
    <t>http://rockerfm.com/</t>
  </si>
  <si>
    <r>
      <rPr>
        <sz val="9"/>
        <color rgb="FF000000"/>
        <rFont val="楷体"/>
        <charset val="134"/>
      </rPr>
      <t>银杏谷资本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齐一资本</t>
    </r>
  </si>
  <si>
    <r>
      <rPr>
        <sz val="9"/>
        <color rgb="FF000000"/>
        <rFont val="Arial"/>
        <charset val="134"/>
      </rPr>
      <t>3200</t>
    </r>
    <r>
      <rPr>
        <sz val="9"/>
        <color rgb="FF000000"/>
        <rFont val="楷体"/>
        <charset val="134"/>
      </rPr>
      <t>万</t>
    </r>
  </si>
  <si>
    <r>
      <rPr>
        <sz val="9"/>
        <color rgb="FF000000"/>
        <rFont val="楷体"/>
        <charset val="134"/>
      </rPr>
      <t>邹扬</t>
    </r>
    <r>
      <rPr>
        <sz val="9"/>
        <color rgb="FF000000"/>
        <rFont val="Arial"/>
        <charset val="134"/>
      </rPr>
      <t>:</t>
    </r>
    <r>
      <rPr>
        <sz val="9"/>
        <color rgb="FF000000"/>
        <rFont val="楷体"/>
        <charset val="134"/>
      </rPr>
      <t>创始人</t>
    </r>
    <r>
      <rPr>
        <sz val="9"/>
        <color rgb="FF000000"/>
        <rFont val="Arial"/>
        <charset val="134"/>
      </rPr>
      <t>&amp;CEO,</t>
    </r>
    <r>
      <rPr>
        <sz val="9"/>
        <color rgb="FF000000"/>
        <rFont val="楷体"/>
        <charset val="134"/>
      </rPr>
      <t>朱春龙</t>
    </r>
    <r>
      <rPr>
        <sz val="9"/>
        <color rgb="FF000000"/>
        <rFont val="Arial"/>
        <charset val="134"/>
      </rPr>
      <t>:COO,</t>
    </r>
    <r>
      <rPr>
        <sz val="9"/>
        <color rgb="FF000000"/>
        <rFont val="楷体"/>
        <charset val="134"/>
      </rPr>
      <t>朱洪永</t>
    </r>
    <r>
      <rPr>
        <sz val="9"/>
        <color rgb="FF000000"/>
        <rFont val="Arial"/>
        <charset val="134"/>
      </rPr>
      <t>:CTO</t>
    </r>
  </si>
  <si>
    <t>he@rockerfm.com</t>
  </si>
  <si>
    <t>杭州多牛资本</t>
  </si>
  <si>
    <t>2021-05-10</t>
  </si>
  <si>
    <t>青团社</t>
  </si>
  <si>
    <r>
      <rPr>
        <sz val="9"/>
        <color rgb="FF000000"/>
        <rFont val="楷体"/>
        <charset val="134"/>
      </rPr>
      <t>青团社是一家一站式灵活用工招聘服务平台，基于精准的用户画像及庞大的人才资源库，青团社为超过</t>
    </r>
    <r>
      <rPr>
        <sz val="9"/>
        <color rgb="FF000000"/>
        <rFont val="Arial"/>
        <charset val="134"/>
      </rPr>
      <t>40</t>
    </r>
    <r>
      <rPr>
        <sz val="9"/>
        <color rgb="FF000000"/>
        <rFont val="楷体"/>
        <charset val="134"/>
      </rPr>
      <t>万</t>
    </r>
    <r>
      <rPr>
        <sz val="9"/>
        <color rgb="FF000000"/>
        <rFont val="Arial"/>
        <charset val="134"/>
      </rPr>
      <t>+</t>
    </r>
    <r>
      <rPr>
        <sz val="9"/>
        <color rgb="FF000000"/>
        <rFont val="楷体"/>
        <charset val="134"/>
      </rPr>
      <t>企业提供兼职招聘与管理服务，有效降低用工成本，提升经营效率。针对求职者，平台兼职岗位覆盖餐饮服务、店员导购、客服话务、家教培训、行政文员、信息标注等兼职品类。针对企业，青团社提供专业的灵活用工服务，包括兼职招聘、在线众包和</t>
    </r>
    <r>
      <rPr>
        <sz val="9"/>
        <color rgb="FF000000"/>
        <rFont val="Arial"/>
        <charset val="134"/>
      </rPr>
      <t>RPO</t>
    </r>
    <r>
      <rPr>
        <sz val="9"/>
        <color rgb="FF000000"/>
        <rFont val="楷体"/>
        <charset val="134"/>
      </rPr>
      <t>等。青团社旗下包含青团兼职、云地推、青团宝三大业务。</t>
    </r>
  </si>
  <si>
    <t>杭州弧途科技有限公司</t>
  </si>
  <si>
    <t>http://www.qtshe.com/</t>
  </si>
  <si>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浅石创投</t>
    </r>
    <r>
      <rPr>
        <sz val="9"/>
        <color rgb="FF000000"/>
        <rFont val="Arial"/>
        <charset val="134"/>
      </rPr>
      <t>,</t>
    </r>
    <r>
      <rPr>
        <sz val="9"/>
        <color rgb="FF000000"/>
        <rFont val="楷体"/>
        <charset val="134"/>
      </rPr>
      <t>东方证券</t>
    </r>
    <r>
      <rPr>
        <sz val="9"/>
        <color rgb="FF000000"/>
        <rFont val="Arial"/>
        <charset val="134"/>
      </rPr>
      <t>(</t>
    </r>
    <r>
      <rPr>
        <sz val="9"/>
        <color rgb="FF000000"/>
        <rFont val="楷体"/>
        <charset val="134"/>
      </rPr>
      <t>东方星晖</t>
    </r>
    <r>
      <rPr>
        <sz val="9"/>
        <color rgb="FF000000"/>
        <rFont val="Arial"/>
        <charset val="134"/>
      </rPr>
      <t>),</t>
    </r>
    <r>
      <rPr>
        <sz val="9"/>
        <color rgb="FF000000"/>
        <rFont val="楷体"/>
        <charset val="134"/>
      </rPr>
      <t>恒生电子</t>
    </r>
    <r>
      <rPr>
        <sz val="9"/>
        <color rgb="FF000000"/>
        <rFont val="Arial"/>
        <charset val="134"/>
      </rPr>
      <t>,</t>
    </r>
    <r>
      <rPr>
        <sz val="9"/>
        <color rgb="FF000000"/>
        <rFont val="楷体"/>
        <charset val="134"/>
      </rPr>
      <t>安益盛银</t>
    </r>
  </si>
  <si>
    <r>
      <rPr>
        <sz val="9"/>
        <color rgb="FF000000"/>
        <rFont val="楷体"/>
        <charset val="134"/>
      </rPr>
      <t>邓建波</t>
    </r>
    <r>
      <rPr>
        <sz val="9"/>
        <color rgb="FF000000"/>
        <rFont val="Arial"/>
        <charset val="134"/>
      </rPr>
      <t>:</t>
    </r>
    <r>
      <rPr>
        <sz val="9"/>
        <color rgb="FF000000"/>
        <rFont val="楷体"/>
        <charset val="134"/>
      </rPr>
      <t>创始人</t>
    </r>
  </si>
  <si>
    <r>
      <rPr>
        <sz val="9"/>
        <color rgb="FF000000"/>
        <rFont val="楷体"/>
        <charset val="134"/>
      </rPr>
      <t>杭州市余杭区文一西路</t>
    </r>
    <r>
      <rPr>
        <sz val="9"/>
        <color rgb="FF000000"/>
        <rFont val="Arial"/>
        <charset val="134"/>
      </rPr>
      <t>1380</t>
    </r>
    <r>
      <rPr>
        <sz val="9"/>
        <color rgb="FF000000"/>
        <rFont val="楷体"/>
        <charset val="134"/>
      </rPr>
      <t>号金之源大厦</t>
    </r>
  </si>
  <si>
    <t>0571-5607-6688</t>
  </si>
  <si>
    <t>chenke@qtshe.com</t>
  </si>
  <si>
    <t>2020-10-16</t>
  </si>
  <si>
    <t>2019-02-27</t>
  </si>
  <si>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保利资本</t>
    </r>
  </si>
  <si>
    <t>2017-10-13</t>
  </si>
  <si>
    <r>
      <rPr>
        <sz val="9"/>
        <color rgb="FF000000"/>
        <rFont val="楷体"/>
        <charset val="134"/>
      </rPr>
      <t>百姓网</t>
    </r>
    <r>
      <rPr>
        <sz val="9"/>
        <color rgb="FF000000"/>
        <rFont val="Arial"/>
        <charset val="134"/>
      </rPr>
      <t>,</t>
    </r>
    <r>
      <rPr>
        <sz val="9"/>
        <color rgb="FF000000"/>
        <rFont val="楷体"/>
        <charset val="134"/>
      </rPr>
      <t>安持资本</t>
    </r>
    <r>
      <rPr>
        <sz val="9"/>
        <color rgb="FF000000"/>
        <rFont val="Arial"/>
        <charset val="134"/>
      </rPr>
      <t>,</t>
    </r>
    <r>
      <rPr>
        <sz val="9"/>
        <color rgb="FF000000"/>
        <rFont val="楷体"/>
        <charset val="134"/>
      </rPr>
      <t>梁伟平</t>
    </r>
    <r>
      <rPr>
        <sz val="9"/>
        <color rgb="FF000000"/>
        <rFont val="Arial"/>
        <charset val="134"/>
      </rPr>
      <t>,</t>
    </r>
    <r>
      <rPr>
        <sz val="9"/>
        <color rgb="FF000000"/>
        <rFont val="楷体"/>
        <charset val="134"/>
      </rPr>
      <t>金哲资本</t>
    </r>
  </si>
  <si>
    <r>
      <rPr>
        <sz val="9"/>
        <color rgb="FF000000"/>
        <rFont val="Arial"/>
        <charset val="134"/>
      </rPr>
      <t>5500</t>
    </r>
    <r>
      <rPr>
        <sz val="9"/>
        <color rgb="FF000000"/>
        <rFont val="楷体"/>
        <charset val="134"/>
      </rPr>
      <t>万人民币</t>
    </r>
  </si>
  <si>
    <t>猪八戒网</t>
  </si>
  <si>
    <t>2015-05-05</t>
  </si>
  <si>
    <r>
      <rPr>
        <sz val="9"/>
        <color rgb="FF000000"/>
        <rFont val="楷体"/>
        <charset val="134"/>
      </rPr>
      <t>红石诚金</t>
    </r>
    <r>
      <rPr>
        <sz val="9"/>
        <color rgb="FF000000"/>
        <rFont val="Arial"/>
        <charset val="134"/>
      </rPr>
      <t>,</t>
    </r>
    <r>
      <rPr>
        <sz val="9"/>
        <color rgb="FF000000"/>
        <rFont val="楷体"/>
        <charset val="134"/>
      </rPr>
      <t>初心资本</t>
    </r>
    <r>
      <rPr>
        <sz val="9"/>
        <color rgb="FF000000"/>
        <rFont val="Arial"/>
        <charset val="134"/>
      </rPr>
      <t>,</t>
    </r>
    <r>
      <rPr>
        <sz val="9"/>
        <color rgb="FF000000"/>
        <rFont val="楷体"/>
        <charset val="134"/>
      </rPr>
      <t>立元创投</t>
    </r>
    <r>
      <rPr>
        <sz val="9"/>
        <color rgb="FF000000"/>
        <rFont val="Arial"/>
        <charset val="134"/>
      </rPr>
      <t>,</t>
    </r>
    <r>
      <rPr>
        <sz val="9"/>
        <color rgb="FF000000"/>
        <rFont val="楷体"/>
        <charset val="134"/>
      </rPr>
      <t>追远创投</t>
    </r>
    <r>
      <rPr>
        <sz val="9"/>
        <color rgb="FF000000"/>
        <rFont val="Arial"/>
        <charset val="134"/>
      </rPr>
      <t>,</t>
    </r>
    <r>
      <rPr>
        <sz val="9"/>
        <color rgb="FF000000"/>
        <rFont val="楷体"/>
        <charset val="134"/>
      </rPr>
      <t>刘成敏</t>
    </r>
  </si>
  <si>
    <t>2014-04-15</t>
  </si>
  <si>
    <t>华旦天使投资</t>
  </si>
  <si>
    <t>垂衣CHAMPZEE</t>
  </si>
  <si>
    <r>
      <rPr>
        <sz val="9"/>
        <color rgb="FF000000"/>
        <rFont val="楷体"/>
        <charset val="134"/>
      </rPr>
      <t>垂衣</t>
    </r>
    <r>
      <rPr>
        <sz val="9"/>
        <color rgb="FF000000"/>
        <rFont val="Arial"/>
        <charset val="134"/>
      </rPr>
      <t>CHAMPZEE</t>
    </r>
  </si>
  <si>
    <r>
      <rPr>
        <sz val="9"/>
        <color rgb="FF000000"/>
        <rFont val="楷体"/>
        <charset val="134"/>
      </rPr>
      <t>垂衣</t>
    </r>
    <r>
      <rPr>
        <sz val="9"/>
        <color rgb="FF000000"/>
        <rFont val="Arial"/>
        <charset val="134"/>
      </rPr>
      <t>(CHAMPZEE)</t>
    </r>
    <r>
      <rPr>
        <sz val="9"/>
        <color rgb="FF000000"/>
        <rFont val="楷体"/>
        <charset val="134"/>
      </rPr>
      <t>是一家专业搭配</t>
    </r>
    <r>
      <rPr>
        <sz val="9"/>
        <color rgb="FF000000"/>
        <rFont val="Arial"/>
        <charset val="134"/>
      </rPr>
      <t>+</t>
    </r>
    <r>
      <rPr>
        <sz val="9"/>
        <color rgb="FF000000"/>
        <rFont val="楷体"/>
        <charset val="134"/>
      </rPr>
      <t>机器算法的订阅制男装零售平台，通过追踪用户的每一次决策行为，学习用户的决策思路，逐步完善对于用户穿衣偏好的理解，更加有效的为用户搭配适合的着装。垂衣结合用户喜好、性格以及科技、数据的分析，理型师一对一服务，在全球精致品牌中精选最符合用户品味、身型和着装场合的服饰，为每位用户提供专业、个性化的选品和着装搭配。</t>
    </r>
  </si>
  <si>
    <t>杭州垂衣网络科技有限公司</t>
  </si>
  <si>
    <t>http://www.champzee.com/</t>
  </si>
  <si>
    <t>敦鸿资产</t>
  </si>
  <si>
    <r>
      <rPr>
        <sz val="9"/>
        <color rgb="FF000000"/>
        <rFont val="Arial"/>
        <charset val="134"/>
      </rPr>
      <t>1.88</t>
    </r>
    <r>
      <rPr>
        <sz val="9"/>
        <color rgb="FF000000"/>
        <rFont val="楷体"/>
        <charset val="134"/>
      </rPr>
      <t>亿</t>
    </r>
  </si>
  <si>
    <r>
      <rPr>
        <sz val="9"/>
        <color rgb="FF000000"/>
        <rFont val="楷体"/>
        <charset val="134"/>
      </rPr>
      <t>陈曦</t>
    </r>
    <r>
      <rPr>
        <sz val="9"/>
        <color rgb="FF000000"/>
        <rFont val="Arial"/>
        <charset val="134"/>
      </rPr>
      <t>:CEO</t>
    </r>
  </si>
  <si>
    <r>
      <rPr>
        <sz val="9"/>
        <color rgb="FF000000"/>
        <rFont val="楷体"/>
        <charset val="134"/>
      </rPr>
      <t>杭州市滨江区滨安路</t>
    </r>
    <r>
      <rPr>
        <sz val="9"/>
        <color rgb="FF000000"/>
        <rFont val="Arial"/>
        <charset val="134"/>
      </rPr>
      <t>1181</t>
    </r>
    <r>
      <rPr>
        <sz val="9"/>
        <color rgb="FF000000"/>
        <rFont val="楷体"/>
        <charset val="134"/>
      </rPr>
      <t>号王道公园</t>
    </r>
    <r>
      <rPr>
        <sz val="9"/>
        <color rgb="FF000000"/>
        <rFont val="Arial"/>
        <charset val="134"/>
      </rPr>
      <t>1</t>
    </r>
    <r>
      <rPr>
        <sz val="9"/>
        <color rgb="FF000000"/>
        <rFont val="楷体"/>
        <charset val="134"/>
      </rPr>
      <t>号楼</t>
    </r>
    <r>
      <rPr>
        <sz val="9"/>
        <color rgb="FF000000"/>
        <rFont val="Arial"/>
        <charset val="134"/>
      </rPr>
      <t>513</t>
    </r>
  </si>
  <si>
    <t>0571-2809-0986</t>
  </si>
  <si>
    <t>2018-09-25</t>
  </si>
  <si>
    <r>
      <rPr>
        <sz val="9"/>
        <color rgb="FF000000"/>
        <rFont val="楷体"/>
        <charset val="134"/>
      </rPr>
      <t>蚂蚁集团</t>
    </r>
    <r>
      <rPr>
        <sz val="9"/>
        <color rgb="FF000000"/>
        <rFont val="Arial"/>
        <charset val="134"/>
      </rPr>
      <t>,</t>
    </r>
    <r>
      <rPr>
        <sz val="9"/>
        <color rgb="FF000000"/>
        <rFont val="楷体"/>
        <charset val="134"/>
      </rPr>
      <t>晨山资本</t>
    </r>
  </si>
  <si>
    <t>2017-12-20</t>
  </si>
  <si>
    <r>
      <rPr>
        <sz val="9"/>
        <color rgb="FF000000"/>
        <rFont val="楷体"/>
        <charset val="134"/>
      </rPr>
      <t>天使湾</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光合创投</t>
    </r>
    <r>
      <rPr>
        <sz val="9"/>
        <color rgb="FF000000"/>
        <rFont val="Arial"/>
        <charset val="134"/>
      </rPr>
      <t>(</t>
    </r>
    <r>
      <rPr>
        <sz val="9"/>
        <color rgb="FF000000"/>
        <rFont val="楷体"/>
        <charset val="134"/>
      </rPr>
      <t>光合基金</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云九资本</t>
    </r>
  </si>
  <si>
    <r>
      <rPr>
        <sz val="9"/>
        <color rgb="FF000000"/>
        <rFont val="Arial"/>
        <charset val="134"/>
      </rPr>
      <t>2200</t>
    </r>
    <r>
      <rPr>
        <sz val="9"/>
        <color rgb="FF000000"/>
        <rFont val="楷体"/>
        <charset val="134"/>
      </rPr>
      <t>万人民币</t>
    </r>
  </si>
  <si>
    <r>
      <rPr>
        <sz val="9"/>
        <color rgb="FF000000"/>
        <rFont val="楷体"/>
        <charset val="134"/>
      </rPr>
      <t>天使湾</t>
    </r>
    <r>
      <rPr>
        <sz val="9"/>
        <color rgb="FF000000"/>
        <rFont val="Arial"/>
        <charset val="134"/>
      </rPr>
      <t>,</t>
    </r>
    <r>
      <rPr>
        <sz val="9"/>
        <color rgb="FF000000"/>
        <rFont val="楷体"/>
        <charset val="134"/>
      </rPr>
      <t>光合创投</t>
    </r>
    <r>
      <rPr>
        <sz val="9"/>
        <color rgb="FF000000"/>
        <rFont val="Arial"/>
        <charset val="134"/>
      </rPr>
      <t>(</t>
    </r>
    <r>
      <rPr>
        <sz val="9"/>
        <color rgb="FF000000"/>
        <rFont val="楷体"/>
        <charset val="134"/>
      </rPr>
      <t>光合基金</t>
    </r>
    <r>
      <rPr>
        <sz val="9"/>
        <color rgb="FF000000"/>
        <rFont val="Arial"/>
        <charset val="134"/>
      </rPr>
      <t>),</t>
    </r>
    <r>
      <rPr>
        <sz val="9"/>
        <color rgb="FF000000"/>
        <rFont val="楷体"/>
        <charset val="134"/>
      </rPr>
      <t>元璟资本</t>
    </r>
  </si>
  <si>
    <t>2017-05-17</t>
  </si>
  <si>
    <t>天使湾</t>
  </si>
  <si>
    <t>2023-07-05</t>
  </si>
  <si>
    <t>洛克公园</t>
  </si>
  <si>
    <r>
      <rPr>
        <sz val="9"/>
        <color rgb="FF000000"/>
        <rFont val="楷体"/>
        <charset val="134"/>
      </rPr>
      <t>洛克公园是一家连锁体育场馆运营商，涵盖篮球、棒球、足球等多种运动场地，并且公司以场馆运营为切入点，提供体育赛事举办、球员培训、运动相关商品售卖等业务。同时公司也自创了篮球主题运动服饰品牌</t>
    </r>
    <r>
      <rPr>
        <sz val="9"/>
        <color rgb="FF000000"/>
        <rFont val="Arial"/>
        <charset val="134"/>
      </rPr>
      <t>Rucker Wear</t>
    </r>
    <r>
      <rPr>
        <sz val="9"/>
        <color rgb="FF000000"/>
        <rFont val="楷体"/>
        <charset val="134"/>
      </rPr>
      <t>。</t>
    </r>
  </si>
  <si>
    <t>上海洛合体育发展有限公司</t>
  </si>
  <si>
    <t>http://www.ruckerpark.com/</t>
  </si>
  <si>
    <t>2006-08</t>
  </si>
  <si>
    <t>体育设施及场馆</t>
  </si>
  <si>
    <r>
      <rPr>
        <sz val="9"/>
        <color rgb="FF000000"/>
        <rFont val="Arial"/>
        <charset val="134"/>
      </rPr>
      <t>6.2</t>
    </r>
    <r>
      <rPr>
        <sz val="9"/>
        <color rgb="FF000000"/>
        <rFont val="楷体"/>
        <charset val="134"/>
      </rPr>
      <t>亿</t>
    </r>
  </si>
  <si>
    <r>
      <rPr>
        <sz val="9"/>
        <color rgb="FF000000"/>
        <rFont val="楷体"/>
        <charset val="134"/>
      </rPr>
      <t>戴富祺</t>
    </r>
    <r>
      <rPr>
        <sz val="9"/>
        <color rgb="FF000000"/>
        <rFont val="Arial"/>
        <charset val="134"/>
      </rPr>
      <t>:CEO</t>
    </r>
  </si>
  <si>
    <t>2021-11-26</t>
  </si>
  <si>
    <r>
      <rPr>
        <sz val="9"/>
        <color rgb="FF000000"/>
        <rFont val="楷体"/>
        <charset val="134"/>
      </rPr>
      <t>兰馨亚洲</t>
    </r>
    <r>
      <rPr>
        <sz val="9"/>
        <color rgb="FF000000"/>
        <rFont val="Arial"/>
        <charset val="134"/>
      </rPr>
      <t>,</t>
    </r>
    <r>
      <rPr>
        <sz val="9"/>
        <color rgb="FF000000"/>
        <rFont val="楷体"/>
        <charset val="134"/>
      </rPr>
      <t>中金资本</t>
    </r>
  </si>
  <si>
    <t>2021-05-27</t>
  </si>
  <si>
    <r>
      <rPr>
        <sz val="9"/>
        <color rgb="FF000000"/>
        <rFont val="楷体"/>
        <charset val="134"/>
      </rPr>
      <t>青松基金</t>
    </r>
    <r>
      <rPr>
        <sz val="9"/>
        <color rgb="FF000000"/>
        <rFont val="Arial"/>
        <charset val="134"/>
      </rPr>
      <t>,</t>
    </r>
    <r>
      <rPr>
        <sz val="9"/>
        <color rgb="FF000000"/>
        <rFont val="楷体"/>
        <charset val="134"/>
      </rPr>
      <t>博瑞利保</t>
    </r>
  </si>
  <si>
    <t>亚商资本</t>
  </si>
  <si>
    <t>2016-09-06</t>
  </si>
  <si>
    <t>2015-03-16</t>
  </si>
  <si>
    <r>
      <rPr>
        <sz val="9"/>
        <color rgb="FF000000"/>
        <rFont val="楷体"/>
        <charset val="134"/>
      </rPr>
      <t>青松基金</t>
    </r>
    <r>
      <rPr>
        <sz val="9"/>
        <color rgb="FF000000"/>
        <rFont val="Arial"/>
        <charset val="134"/>
      </rPr>
      <t>,</t>
    </r>
    <r>
      <rPr>
        <sz val="9"/>
        <color rgb="FF000000"/>
        <rFont val="楷体"/>
        <charset val="134"/>
      </rPr>
      <t>荣正投资</t>
    </r>
  </si>
  <si>
    <t>2015-09-14</t>
  </si>
  <si>
    <t>国泰产险</t>
  </si>
  <si>
    <t>国泰产险是台湾国泰金控在中国大陆的全资财产险子公司。</t>
  </si>
  <si>
    <t>国泰财产保险有限责任公司</t>
  </si>
  <si>
    <t>http://www.cathay-ins.com.cn/</t>
  </si>
  <si>
    <t>2018-08-31</t>
  </si>
  <si>
    <t>海鸟窝</t>
  </si>
  <si>
    <t>海鸟窝科技是一个海岛旅游设备租赁平台，专注于海岛旅游服务平台的搭建，提供潜水摄影设备和浮潜设备、海岛游节目资讯以及个性潜水旅游路线以及海岛旅游落地服务，可在目的地租用海鸟窝设备和享受海鸟窝服务。</t>
  </si>
  <si>
    <t>北京海鸟窝科技有限公司</t>
  </si>
  <si>
    <t>http://www.hainiaowo.com/</t>
  </si>
  <si>
    <t>主题特色游</t>
  </si>
  <si>
    <r>
      <rPr>
        <sz val="9"/>
        <color rgb="FF000000"/>
        <rFont val="Arial"/>
        <charset val="134"/>
      </rPr>
      <t>5300</t>
    </r>
    <r>
      <rPr>
        <sz val="9"/>
        <color rgb="FF000000"/>
        <rFont val="楷体"/>
        <charset val="134"/>
      </rPr>
      <t>万</t>
    </r>
  </si>
  <si>
    <r>
      <rPr>
        <sz val="9"/>
        <color rgb="FF000000"/>
        <rFont val="楷体"/>
        <charset val="134"/>
      </rPr>
      <t>郭凯</t>
    </r>
    <r>
      <rPr>
        <sz val="9"/>
        <color rgb="FF000000"/>
        <rFont val="Arial"/>
        <charset val="134"/>
      </rPr>
      <t>:CEO,</t>
    </r>
    <r>
      <rPr>
        <sz val="9"/>
        <color rgb="FF000000"/>
        <rFont val="楷体"/>
        <charset val="134"/>
      </rPr>
      <t>何宏斌</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</si>
  <si>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北京市丰台区丰管路</t>
    </r>
    <r>
      <rPr>
        <sz val="9"/>
        <color rgb="FF000000"/>
        <rFont val="Arial"/>
        <charset val="134"/>
      </rPr>
      <t>16</t>
    </r>
    <r>
      <rPr>
        <sz val="9"/>
        <color rgb="FF000000"/>
        <rFont val="楷体"/>
        <charset val="134"/>
      </rPr>
      <t>号西国贸大厦</t>
    </r>
    <r>
      <rPr>
        <sz val="9"/>
        <color rgb="FF000000"/>
        <rFont val="Arial"/>
        <charset val="134"/>
      </rPr>
      <t>B1028</t>
    </r>
  </si>
  <si>
    <t>010-8383-2600</t>
  </si>
  <si>
    <t>service@hainiaowo.com</t>
  </si>
  <si>
    <t>2017-01-11</t>
  </si>
  <si>
    <r>
      <rPr>
        <sz val="9"/>
        <color rgb="FF000000"/>
        <rFont val="楷体"/>
        <charset val="134"/>
      </rPr>
      <t>易简集团</t>
    </r>
    <r>
      <rPr>
        <sz val="9"/>
        <color rgb="FF000000"/>
        <rFont val="Arial"/>
        <charset val="134"/>
      </rPr>
      <t>-</t>
    </r>
    <r>
      <rPr>
        <sz val="9"/>
        <color rgb="FF000000"/>
        <rFont val="楷体"/>
        <charset val="134"/>
      </rPr>
      <t>易简资本</t>
    </r>
    <r>
      <rPr>
        <sz val="9"/>
        <color rgb="FF000000"/>
        <rFont val="Arial"/>
        <charset val="134"/>
      </rPr>
      <t>,</t>
    </r>
    <r>
      <rPr>
        <sz val="9"/>
        <color rgb="FF000000"/>
        <rFont val="楷体"/>
        <charset val="134"/>
      </rPr>
      <t>宜华资本</t>
    </r>
    <r>
      <rPr>
        <sz val="9"/>
        <color rgb="FF000000"/>
        <rFont val="Arial"/>
        <charset val="134"/>
      </rPr>
      <t>,</t>
    </r>
    <r>
      <rPr>
        <sz val="9"/>
        <color rgb="FF000000"/>
        <rFont val="楷体"/>
        <charset val="134"/>
      </rPr>
      <t>康美资本</t>
    </r>
  </si>
  <si>
    <t>2016-02-03</t>
  </si>
  <si>
    <t>宜华资本</t>
  </si>
  <si>
    <t>MsParis女神派</t>
  </si>
  <si>
    <r>
      <rPr>
        <sz val="9"/>
        <color rgb="FF000000"/>
        <rFont val="Arial"/>
        <charset val="134"/>
      </rPr>
      <t>MsParis</t>
    </r>
    <r>
      <rPr>
        <sz val="9"/>
        <color rgb="FF000000"/>
        <rFont val="楷体"/>
        <charset val="134"/>
      </rPr>
      <t>女神派</t>
    </r>
  </si>
  <si>
    <r>
      <rPr>
        <sz val="9"/>
        <color rgb="FF000000"/>
        <rFont val="Arial"/>
        <charset val="134"/>
      </rPr>
      <t>MsParis</t>
    </r>
    <r>
      <rPr>
        <sz val="9"/>
        <color rgb="FF000000"/>
        <rFont val="楷体"/>
        <charset val="134"/>
      </rPr>
      <t>女神派是一个女装共享租赁平台，汇集超过</t>
    </r>
    <r>
      <rPr>
        <sz val="9"/>
        <color rgb="FF000000"/>
        <rFont val="Arial"/>
        <charset val="134"/>
      </rPr>
      <t>500</t>
    </r>
    <r>
      <rPr>
        <sz val="9"/>
        <color rgb="FF000000"/>
        <rFont val="楷体"/>
        <charset val="134"/>
      </rPr>
      <t>家国际品牌、</t>
    </r>
    <r>
      <rPr>
        <sz val="9"/>
        <color rgb="FF000000"/>
        <rFont val="Arial"/>
        <charset val="134"/>
      </rPr>
      <t>50</t>
    </r>
    <r>
      <rPr>
        <sz val="9"/>
        <color rgb="FF000000"/>
        <rFont val="楷体"/>
        <charset val="134"/>
      </rPr>
      <t>万款女装单品，满足用户通勤、约会、派对、宴会等场合需求，并通过自建清洗消毒中心对衣物进行清洗消毒，用户可单件租赁或购买，旗下涉及北上广地区四家实体店。</t>
    </r>
  </si>
  <si>
    <t>上海千颂网络科技有限公司</t>
  </si>
  <si>
    <t>http://www.msparis.com</t>
  </si>
  <si>
    <r>
      <rPr>
        <sz val="9"/>
        <color rgb="FF000000"/>
        <rFont val="楷体"/>
        <charset val="134"/>
      </rPr>
      <t>北极光创投</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蚂蚁集团</t>
    </r>
  </si>
  <si>
    <r>
      <rPr>
        <sz val="9"/>
        <color rgb="FF000000"/>
        <rFont val="Arial"/>
        <charset val="134"/>
      </rPr>
      <t>3.32</t>
    </r>
    <r>
      <rPr>
        <sz val="9"/>
        <color rgb="FF000000"/>
        <rFont val="楷体"/>
        <charset val="134"/>
      </rPr>
      <t>亿</t>
    </r>
  </si>
  <si>
    <r>
      <rPr>
        <sz val="9"/>
        <color rgb="FF000000"/>
        <rFont val="楷体"/>
        <charset val="134"/>
      </rPr>
      <t>徐百姿</t>
    </r>
    <r>
      <rPr>
        <sz val="9"/>
        <color rgb="FF000000"/>
        <rFont val="Arial"/>
        <charset val="134"/>
      </rPr>
      <t>:CEO</t>
    </r>
  </si>
  <si>
    <r>
      <rPr>
        <sz val="9"/>
        <color rgb="FF000000"/>
        <rFont val="楷体"/>
        <charset val="134"/>
      </rPr>
      <t>上海市黄浦区九江路</t>
    </r>
    <r>
      <rPr>
        <sz val="9"/>
        <color rgb="FF000000"/>
        <rFont val="Arial"/>
        <charset val="134"/>
      </rPr>
      <t>501</t>
    </r>
    <r>
      <rPr>
        <sz val="9"/>
        <color rgb="FF000000"/>
        <rFont val="楷体"/>
        <charset val="134"/>
      </rPr>
      <t>号</t>
    </r>
  </si>
  <si>
    <t>400-921-1666;4000-712-912</t>
  </si>
  <si>
    <t>partners@msparis.com</t>
  </si>
  <si>
    <t>2016-12-16</t>
  </si>
  <si>
    <r>
      <rPr>
        <sz val="9"/>
        <color rgb="FF000000"/>
        <rFont val="楷体"/>
        <charset val="134"/>
      </rPr>
      <t>北极光创投</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华创资本</t>
    </r>
  </si>
  <si>
    <t>2016-01-04</t>
  </si>
  <si>
    <t>2020-08-12</t>
  </si>
  <si>
    <t>2019-11-25</t>
  </si>
  <si>
    <t>2019-03-26</t>
  </si>
  <si>
    <t>2018-06-14</t>
  </si>
  <si>
    <t>2017-11-29</t>
  </si>
  <si>
    <t>2017-05-19</t>
  </si>
  <si>
    <t>2016-09-01</t>
  </si>
  <si>
    <t>2016-08-29</t>
  </si>
  <si>
    <t>2015-09-29</t>
  </si>
  <si>
    <t>2015-02-01</t>
  </si>
  <si>
    <t>2021-09-24</t>
  </si>
  <si>
    <t>利楚商服扫呗</t>
  </si>
  <si>
    <r>
      <rPr>
        <sz val="9"/>
        <color rgb="FF000000"/>
        <rFont val="楷体"/>
        <charset val="134"/>
      </rPr>
      <t>利楚商服是一家从事聚合支付技术研发和应用的科技企业，一方面为商业银行和金融机构提供支付收单外包和技术服务，另一方面为上百个行业及商家提供聚合支付综合解决方案，并成为商户数字化经营运营商。旗下拥有聚合支付品牌</t>
    </r>
    <r>
      <rPr>
        <sz val="9"/>
        <color rgb="FF000000"/>
        <rFont val="Arial"/>
        <charset val="134"/>
      </rPr>
      <t>“</t>
    </r>
    <r>
      <rPr>
        <sz val="9"/>
        <color rgb="FF000000"/>
        <rFont val="楷体"/>
        <charset val="134"/>
      </rPr>
      <t>扫呗</t>
    </r>
    <r>
      <rPr>
        <sz val="9"/>
        <color rgb="FF000000"/>
        <rFont val="Arial"/>
        <charset val="134"/>
      </rPr>
      <t>”</t>
    </r>
    <r>
      <rPr>
        <sz val="9"/>
        <color rgb="FF000000"/>
        <rFont val="楷体"/>
        <charset val="134"/>
      </rPr>
      <t>、数字化经营</t>
    </r>
    <r>
      <rPr>
        <sz val="9"/>
        <color rgb="FF000000"/>
        <rFont val="Arial"/>
        <charset val="134"/>
      </rPr>
      <t>SaaS</t>
    </r>
    <r>
      <rPr>
        <sz val="9"/>
        <color rgb="FF000000"/>
        <rFont val="楷体"/>
        <charset val="134"/>
      </rPr>
      <t>系统</t>
    </r>
    <r>
      <rPr>
        <sz val="9"/>
        <color rgb="FF000000"/>
        <rFont val="Arial"/>
        <charset val="134"/>
      </rPr>
      <t>“FU+”</t>
    </r>
    <r>
      <rPr>
        <sz val="9"/>
        <color rgb="FF000000"/>
        <rFont val="楷体"/>
        <charset val="134"/>
      </rPr>
      <t>、社交共创平台</t>
    </r>
    <r>
      <rPr>
        <sz val="9"/>
        <color rgb="FF000000"/>
        <rFont val="Arial"/>
        <charset val="134"/>
      </rPr>
      <t>“</t>
    </r>
    <r>
      <rPr>
        <sz val="9"/>
        <color rgb="FF000000"/>
        <rFont val="楷体"/>
        <charset val="134"/>
      </rPr>
      <t>来智慧</t>
    </r>
    <r>
      <rPr>
        <sz val="9"/>
        <color rgb="FF000000"/>
        <rFont val="Arial"/>
        <charset val="134"/>
      </rPr>
      <t>”3</t>
    </r>
    <r>
      <rPr>
        <sz val="9"/>
        <color rgb="FF000000"/>
        <rFont val="楷体"/>
        <charset val="134"/>
      </rPr>
      <t>大品牌体系，为商户提供包括会员、收银、聚合发券、小程序、消费分期、广告营销、商户贷款、社保、电子发票等在内的全套数字化增值服务。</t>
    </r>
  </si>
  <si>
    <t>武汉利楚商务服务有限公司</t>
  </si>
  <si>
    <t>http://www.lcsw.cn</t>
  </si>
  <si>
    <t>泰康人寿</t>
  </si>
  <si>
    <r>
      <rPr>
        <sz val="9"/>
        <color rgb="FF000000"/>
        <rFont val="楷体"/>
        <charset val="134"/>
      </rPr>
      <t>王朋</t>
    </r>
    <r>
      <rPr>
        <sz val="9"/>
        <color rgb="FF000000"/>
        <rFont val="Arial"/>
        <charset val="134"/>
      </rPr>
      <t>:</t>
    </r>
    <r>
      <rPr>
        <sz val="9"/>
        <color rgb="FF000000"/>
        <rFont val="楷体"/>
        <charset val="134"/>
      </rPr>
      <t>创始人</t>
    </r>
  </si>
  <si>
    <r>
      <rPr>
        <sz val="9"/>
        <color rgb="FF000000"/>
        <rFont val="楷体"/>
        <charset val="134"/>
      </rPr>
      <t>武汉市青山区和平大道钰龙时代中心</t>
    </r>
    <r>
      <rPr>
        <sz val="9"/>
        <color rgb="FF000000"/>
        <rFont val="Arial"/>
        <charset val="134"/>
      </rPr>
      <t>25</t>
    </r>
    <r>
      <rPr>
        <sz val="9"/>
        <color rgb="FF000000"/>
        <rFont val="楷体"/>
        <charset val="134"/>
      </rPr>
      <t>楼</t>
    </r>
  </si>
  <si>
    <t>400-027-0899</t>
  </si>
  <si>
    <t>lc@lcsw.cn</t>
  </si>
  <si>
    <t>2021-03-16</t>
  </si>
  <si>
    <r>
      <rPr>
        <sz val="9"/>
        <color rgb="FF000000"/>
        <rFont val="楷体"/>
        <charset val="134"/>
      </rPr>
      <t>腾讯投资</t>
    </r>
    <r>
      <rPr>
        <sz val="9"/>
        <color rgb="FF000000"/>
        <rFont val="Arial"/>
        <charset val="134"/>
      </rPr>
      <t>,</t>
    </r>
    <r>
      <rPr>
        <sz val="9"/>
        <color rgb="FF000000"/>
        <rFont val="楷体"/>
        <charset val="134"/>
      </rPr>
      <t>蚂蚁集团</t>
    </r>
  </si>
  <si>
    <r>
      <rPr>
        <sz val="9"/>
        <color rgb="FF000000"/>
        <rFont val="楷体"/>
        <charset val="134"/>
      </rPr>
      <t>富友金融</t>
    </r>
    <r>
      <rPr>
        <sz val="9"/>
        <color rgb="FF000000"/>
        <rFont val="Arial"/>
        <charset val="134"/>
      </rPr>
      <t>,</t>
    </r>
    <r>
      <rPr>
        <sz val="9"/>
        <color rgb="FF000000"/>
        <rFont val="楷体"/>
        <charset val="134"/>
      </rPr>
      <t>高文投资</t>
    </r>
  </si>
  <si>
    <t>2016-08-24</t>
  </si>
  <si>
    <t>富友金融</t>
  </si>
  <si>
    <t>2017-01-24</t>
  </si>
  <si>
    <t>2015-11-18</t>
  </si>
  <si>
    <t>2015-06-01</t>
  </si>
  <si>
    <t>2006-10-25</t>
  </si>
  <si>
    <t>2015-11-20</t>
  </si>
  <si>
    <t>天津金融资产交易所</t>
  </si>
  <si>
    <r>
      <rPr>
        <sz val="9"/>
        <color rgb="FF000000"/>
        <rFont val="楷体"/>
        <charset val="134"/>
      </rPr>
      <t>天津金融资产交易所是一家金融基础资产流转市场，目前有不良金融资产、金融企业国有资产、信贷类资产、信托资产、租赁资产、基金、保险资产等</t>
    </r>
    <r>
      <rPr>
        <sz val="9"/>
        <color rgb="FF000000"/>
        <rFont val="Arial"/>
        <charset val="134"/>
      </rPr>
      <t>9</t>
    </r>
    <r>
      <rPr>
        <sz val="9"/>
        <color rgb="FF000000"/>
        <rFont val="楷体"/>
        <charset val="134"/>
      </rPr>
      <t>个基础资产交易产品市场。</t>
    </r>
  </si>
  <si>
    <t>天津金融资产交易所有限责任公司</t>
  </si>
  <si>
    <t>http://www.tjfae.com/</t>
  </si>
  <si>
    <r>
      <rPr>
        <sz val="9"/>
        <color rgb="FF000000"/>
        <rFont val="楷体"/>
        <charset val="134"/>
      </rPr>
      <t>天津</t>
    </r>
    <r>
      <rPr>
        <sz val="9"/>
        <color rgb="FF000000"/>
        <rFont val="Arial"/>
        <charset val="134"/>
      </rPr>
      <t>-</t>
    </r>
    <r>
      <rPr>
        <sz val="9"/>
        <color rgb="FF000000"/>
        <rFont val="楷体"/>
        <charset val="134"/>
      </rPr>
      <t>河西区</t>
    </r>
  </si>
  <si>
    <r>
      <rPr>
        <sz val="9"/>
        <color rgb="FF000000"/>
        <rFont val="楷体"/>
        <charset val="134"/>
      </rPr>
      <t>蚂蚁集团</t>
    </r>
    <r>
      <rPr>
        <sz val="9"/>
        <color rgb="FF000000"/>
        <rFont val="Arial"/>
        <charset val="134"/>
      </rPr>
      <t>,</t>
    </r>
    <r>
      <rPr>
        <sz val="9"/>
        <color rgb="FF000000"/>
        <rFont val="楷体"/>
        <charset val="134"/>
      </rPr>
      <t>中信信托</t>
    </r>
  </si>
  <si>
    <t>nic@swissport.com</t>
  </si>
  <si>
    <t>2021-06-25</t>
  </si>
  <si>
    <t>四叶草安全</t>
  </si>
  <si>
    <r>
      <rPr>
        <sz val="9"/>
        <color rgb="FF000000"/>
        <rFont val="楷体"/>
        <charset val="134"/>
      </rPr>
      <t>四叶草安全是一家专业的网络安全综合解决方案提供商。秉承</t>
    </r>
    <r>
      <rPr>
        <sz val="9"/>
        <color rgb="FF000000"/>
        <rFont val="Arial"/>
        <charset val="134"/>
      </rPr>
      <t>“</t>
    </r>
    <r>
      <rPr>
        <sz val="9"/>
        <color rgb="FF000000"/>
        <rFont val="楷体"/>
        <charset val="134"/>
      </rPr>
      <t>以攻促防</t>
    </r>
    <r>
      <rPr>
        <sz val="9"/>
        <color rgb="FF000000"/>
        <rFont val="Arial"/>
        <charset val="134"/>
      </rPr>
      <t>”</t>
    </r>
    <r>
      <rPr>
        <sz val="9"/>
        <color rgb="FF000000"/>
        <rFont val="楷体"/>
        <charset val="134"/>
      </rPr>
      <t>的安全理念，专注于漏洞风险检测、安全防御建设和实战型人才培养，致力于帮助用户先于黑客发现并及时解决安全问题。研究领域涉及渗透测试、代码审计、逆向分析、移动终端安全、物联网安全、黑客行为分析、智能算法、漏洞数据的建模和安全人工智能等。</t>
    </r>
  </si>
  <si>
    <t>西安四叶草信息技术有限公司</t>
  </si>
  <si>
    <t>http://www.seclover.com/</t>
  </si>
  <si>
    <r>
      <rPr>
        <sz val="9"/>
        <color rgb="FF000000"/>
        <rFont val="楷体"/>
        <charset val="134"/>
      </rPr>
      <t>江南资本</t>
    </r>
    <r>
      <rPr>
        <sz val="9"/>
        <color rgb="FF000000"/>
        <rFont val="Arial"/>
        <charset val="134"/>
      </rPr>
      <t>,</t>
    </r>
    <r>
      <rPr>
        <sz val="9"/>
        <color rgb="FF000000"/>
        <rFont val="楷体"/>
        <charset val="134"/>
      </rPr>
      <t>西投控股</t>
    </r>
    <r>
      <rPr>
        <sz val="9"/>
        <color rgb="FF000000"/>
        <rFont val="Arial"/>
        <charset val="134"/>
      </rPr>
      <t>,</t>
    </r>
    <r>
      <rPr>
        <sz val="9"/>
        <color rgb="FF000000"/>
        <rFont val="楷体"/>
        <charset val="134"/>
      </rPr>
      <t>常青资本</t>
    </r>
  </si>
  <si>
    <r>
      <rPr>
        <sz val="9"/>
        <color rgb="FF000000"/>
        <rFont val="Arial"/>
        <charset val="134"/>
      </rPr>
      <t>5.97</t>
    </r>
    <r>
      <rPr>
        <sz val="9"/>
        <color rgb="FF000000"/>
        <rFont val="楷体"/>
        <charset val="134"/>
      </rPr>
      <t>亿</t>
    </r>
  </si>
  <si>
    <r>
      <rPr>
        <sz val="9"/>
        <color rgb="FF000000"/>
        <rFont val="楷体"/>
        <charset val="134"/>
      </rPr>
      <t>马坤</t>
    </r>
    <r>
      <rPr>
        <sz val="9"/>
        <color rgb="FF000000"/>
        <rFont val="Arial"/>
        <charset val="134"/>
      </rPr>
      <t>:CEO</t>
    </r>
  </si>
  <si>
    <r>
      <rPr>
        <sz val="9"/>
        <color rgb="FF000000"/>
        <rFont val="楷体"/>
        <charset val="134"/>
      </rPr>
      <t>西安高新区软件新城天谷八路</t>
    </r>
    <r>
      <rPr>
        <sz val="9"/>
        <color rgb="FF000000"/>
        <rFont val="Arial"/>
        <charset val="134"/>
      </rPr>
      <t>156</t>
    </r>
    <r>
      <rPr>
        <sz val="9"/>
        <color rgb="FF000000"/>
        <rFont val="楷体"/>
        <charset val="134"/>
      </rPr>
      <t>号云汇谷</t>
    </r>
    <r>
      <rPr>
        <sz val="9"/>
        <color rgb="FF000000"/>
        <rFont val="Arial"/>
        <charset val="134"/>
      </rPr>
      <t>C2</t>
    </r>
    <r>
      <rPr>
        <sz val="9"/>
        <color rgb="FF000000"/>
        <rFont val="楷体"/>
        <charset val="134"/>
      </rPr>
      <t>楼</t>
    </r>
    <r>
      <rPr>
        <sz val="9"/>
        <color rgb="FF000000"/>
        <rFont val="Arial"/>
        <charset val="134"/>
      </rPr>
      <t>17</t>
    </r>
    <r>
      <rPr>
        <sz val="9"/>
        <color rgb="FF000000"/>
        <rFont val="楷体"/>
        <charset val="134"/>
      </rPr>
      <t>层</t>
    </r>
  </si>
  <si>
    <t>400-029-4789</t>
  </si>
  <si>
    <t>support@seclover.com</t>
  </si>
  <si>
    <t>2019-04-17</t>
  </si>
  <si>
    <t>2017-12-29</t>
  </si>
  <si>
    <r>
      <rPr>
        <sz val="9"/>
        <color rgb="FF000000"/>
        <rFont val="Arial"/>
        <charset val="134"/>
      </rPr>
      <t>6700</t>
    </r>
    <r>
      <rPr>
        <sz val="9"/>
        <color rgb="FF000000"/>
        <rFont val="楷体"/>
        <charset val="134"/>
      </rPr>
      <t>万人民币</t>
    </r>
  </si>
  <si>
    <r>
      <rPr>
        <sz val="9"/>
        <color rgb="FF000000"/>
        <rFont val="楷体"/>
        <charset val="134"/>
      </rPr>
      <t>如山资本</t>
    </r>
    <r>
      <rPr>
        <sz val="9"/>
        <color rgb="FF000000"/>
        <rFont val="Arial"/>
        <charset val="134"/>
      </rPr>
      <t>,</t>
    </r>
    <r>
      <rPr>
        <sz val="9"/>
        <color rgb="FF000000"/>
        <rFont val="楷体"/>
        <charset val="134"/>
      </rPr>
      <t>鲁信创投</t>
    </r>
    <r>
      <rPr>
        <sz val="9"/>
        <color rgb="FF000000"/>
        <rFont val="Arial"/>
        <charset val="134"/>
      </rPr>
      <t>,</t>
    </r>
    <r>
      <rPr>
        <sz val="9"/>
        <color rgb="FF000000"/>
        <rFont val="楷体"/>
        <charset val="134"/>
      </rPr>
      <t>基石创投</t>
    </r>
  </si>
  <si>
    <t>如山资本</t>
  </si>
  <si>
    <t>2021-08-27</t>
  </si>
  <si>
    <t>微众信科</t>
  </si>
  <si>
    <r>
      <rPr>
        <sz val="9"/>
        <color rgb="FF000000"/>
        <rFont val="楷体"/>
        <charset val="134"/>
      </rPr>
      <t>微众信科</t>
    </r>
    <r>
      <rPr>
        <sz val="9"/>
        <color rgb="FF000000"/>
        <rFont val="Arial"/>
        <charset val="134"/>
      </rPr>
      <t>(</t>
    </r>
    <r>
      <rPr>
        <sz val="9"/>
        <color rgb="FF000000"/>
        <rFont val="楷体"/>
        <charset val="134"/>
      </rPr>
      <t>此前叫微众税银</t>
    </r>
    <r>
      <rPr>
        <sz val="9"/>
        <color rgb="FF000000"/>
        <rFont val="Arial"/>
        <charset val="134"/>
      </rPr>
      <t>)</t>
    </r>
    <r>
      <rPr>
        <sz val="9"/>
        <color rgb="FF000000"/>
        <rFont val="楷体"/>
        <charset val="134"/>
      </rPr>
      <t>是一家基于税务信息的大数据征信服务商，为全国中小微企业免费提供资信服务、融资流程服务、预授信服务等。</t>
    </r>
  </si>
  <si>
    <t>深圳微众信用科技股份有限公司</t>
  </si>
  <si>
    <t>http://www.vzoom.com</t>
  </si>
  <si>
    <t>信用及征信</t>
  </si>
  <si>
    <t>金融壹账通</t>
  </si>
  <si>
    <r>
      <rPr>
        <sz val="9"/>
        <color rgb="FF000000"/>
        <rFont val="Arial"/>
        <charset val="134"/>
      </rPr>
      <t>12.3</t>
    </r>
    <r>
      <rPr>
        <sz val="9"/>
        <color rgb="FF000000"/>
        <rFont val="楷体"/>
        <charset val="134"/>
      </rPr>
      <t>亿</t>
    </r>
  </si>
  <si>
    <r>
      <rPr>
        <sz val="9"/>
        <color rgb="FF000000"/>
        <rFont val="楷体"/>
        <charset val="134"/>
      </rPr>
      <t>耿心伟</t>
    </r>
    <r>
      <rPr>
        <sz val="9"/>
        <color rgb="FF000000"/>
        <rFont val="Arial"/>
        <charset val="134"/>
      </rPr>
      <t>:CEO</t>
    </r>
  </si>
  <si>
    <r>
      <rPr>
        <sz val="9"/>
        <color rgb="FF000000"/>
        <rFont val="楷体"/>
        <charset val="134"/>
      </rPr>
      <t>深圳市南山区高新科技园中区高新中三道</t>
    </r>
    <r>
      <rPr>
        <sz val="9"/>
        <color rgb="FF000000"/>
        <rFont val="Arial"/>
        <charset val="134"/>
      </rPr>
      <t>2</t>
    </r>
    <r>
      <rPr>
        <sz val="9"/>
        <color rgb="FF000000"/>
        <rFont val="楷体"/>
        <charset val="134"/>
      </rPr>
      <t>号软件园</t>
    </r>
  </si>
  <si>
    <t>4008-827-627</t>
  </si>
  <si>
    <t>service@vzoom.com</t>
  </si>
  <si>
    <r>
      <rPr>
        <sz val="9"/>
        <color rgb="FF000000"/>
        <rFont val="楷体"/>
        <charset val="134"/>
      </rPr>
      <t>金石投资</t>
    </r>
    <r>
      <rPr>
        <sz val="9"/>
        <color rgb="FF000000"/>
        <rFont val="Arial"/>
        <charset val="134"/>
      </rPr>
      <t>,</t>
    </r>
    <r>
      <rPr>
        <sz val="9"/>
        <color rgb="FF000000"/>
        <rFont val="楷体"/>
        <charset val="134"/>
      </rPr>
      <t>信达汉石</t>
    </r>
  </si>
  <si>
    <t>2019-04-02</t>
  </si>
  <si>
    <r>
      <rPr>
        <sz val="9"/>
        <color rgb="FF000000"/>
        <rFont val="楷体"/>
        <charset val="134"/>
      </rPr>
      <t>兴业资管</t>
    </r>
    <r>
      <rPr>
        <sz val="9"/>
        <color rgb="FF000000"/>
        <rFont val="Arial"/>
        <charset val="134"/>
      </rPr>
      <t>-</t>
    </r>
    <r>
      <rPr>
        <sz val="9"/>
        <color rgb="FF000000"/>
        <rFont val="楷体"/>
        <charset val="134"/>
      </rPr>
      <t>兴业证券</t>
    </r>
    <r>
      <rPr>
        <sz val="9"/>
        <color rgb="FF000000"/>
        <rFont val="Arial"/>
        <charset val="134"/>
      </rPr>
      <t>,</t>
    </r>
    <r>
      <rPr>
        <sz val="9"/>
        <color rgb="FF000000"/>
        <rFont val="楷体"/>
        <charset val="134"/>
      </rPr>
      <t>海通创新资本</t>
    </r>
    <r>
      <rPr>
        <sz val="9"/>
        <color rgb="FF000000"/>
        <rFont val="Arial"/>
        <charset val="134"/>
      </rPr>
      <t>,</t>
    </r>
    <r>
      <rPr>
        <sz val="9"/>
        <color rgb="FF000000"/>
        <rFont val="楷体"/>
        <charset val="134"/>
      </rPr>
      <t>华林资本</t>
    </r>
  </si>
  <si>
    <t>2018-07-26</t>
  </si>
  <si>
    <r>
      <rPr>
        <sz val="9"/>
        <color rgb="FF000000"/>
        <rFont val="楷体"/>
        <charset val="134"/>
      </rPr>
      <t>蚂蚁集团</t>
    </r>
    <r>
      <rPr>
        <sz val="9"/>
        <color rgb="FF000000"/>
        <rFont val="Arial"/>
        <charset val="134"/>
      </rPr>
      <t>,</t>
    </r>
    <r>
      <rPr>
        <sz val="9"/>
        <color rgb="FF000000"/>
        <rFont val="楷体"/>
        <charset val="134"/>
      </rPr>
      <t>三峡鑫泰</t>
    </r>
  </si>
  <si>
    <t>2017-07-15</t>
  </si>
  <si>
    <t>奥马电器</t>
  </si>
  <si>
    <t>2016-04-22</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</si>
  <si>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博时基金</t>
    </r>
    <r>
      <rPr>
        <sz val="9"/>
        <color rgb="FF000000"/>
        <rFont val="Arial"/>
        <charset val="134"/>
      </rPr>
      <t>,</t>
    </r>
    <r>
      <rPr>
        <sz val="9"/>
        <color rgb="FF000000"/>
        <rFont val="楷体"/>
        <charset val="134"/>
      </rPr>
      <t>海润国际并购基金</t>
    </r>
  </si>
  <si>
    <t>2023-03-29</t>
  </si>
  <si>
    <t>邮储银行</t>
  </si>
  <si>
    <r>
      <rPr>
        <sz val="9"/>
        <color rgb="FF000000"/>
        <rFont val="楷体"/>
        <charset val="134"/>
      </rPr>
      <t>中国邮政储蓄可追溯至</t>
    </r>
    <r>
      <rPr>
        <sz val="9"/>
        <color rgb="FF000000"/>
        <rFont val="Arial"/>
        <charset val="134"/>
      </rPr>
      <t>1919</t>
    </r>
    <r>
      <rPr>
        <sz val="9"/>
        <color rgb="FF000000"/>
        <rFont val="楷体"/>
        <charset val="134"/>
      </rPr>
      <t>年开办的邮政储金业务，至今已有百年历史。</t>
    </r>
    <r>
      <rPr>
        <sz val="9"/>
        <color rgb="FF000000"/>
        <rFont val="Arial"/>
        <charset val="134"/>
      </rPr>
      <t>2007</t>
    </r>
    <r>
      <rPr>
        <sz val="9"/>
        <color rgb="FF000000"/>
        <rFont val="楷体"/>
        <charset val="134"/>
      </rPr>
      <t>年</t>
    </r>
    <r>
      <rPr>
        <sz val="9"/>
        <color rgb="FF000000"/>
        <rFont val="Arial"/>
        <charset val="134"/>
      </rPr>
      <t>3</t>
    </r>
    <r>
      <rPr>
        <sz val="9"/>
        <color rgb="FF000000"/>
        <rFont val="楷体"/>
        <charset val="134"/>
      </rPr>
      <t>月，在改革原邮政储蓄管理体制基础上，中国邮政储蓄银行正式挂牌成立。</t>
    </r>
    <r>
      <rPr>
        <sz val="9"/>
        <color rgb="FF000000"/>
        <rFont val="Arial"/>
        <charset val="134"/>
      </rPr>
      <t>2012</t>
    </r>
    <r>
      <rPr>
        <sz val="9"/>
        <color rgb="FF000000"/>
        <rFont val="楷体"/>
        <charset val="134"/>
      </rPr>
      <t>年</t>
    </r>
    <r>
      <rPr>
        <sz val="9"/>
        <color rgb="FF000000"/>
        <rFont val="Arial"/>
        <charset val="134"/>
      </rPr>
      <t>1</t>
    </r>
    <r>
      <rPr>
        <sz val="9"/>
        <color rgb="FF000000"/>
        <rFont val="楷体"/>
        <charset val="134"/>
      </rPr>
      <t>月，整体改制为股份有限公司。</t>
    </r>
    <r>
      <rPr>
        <sz val="9"/>
        <color rgb="FF000000"/>
        <rFont val="Arial"/>
        <charset val="134"/>
      </rPr>
      <t>2016</t>
    </r>
    <r>
      <rPr>
        <sz val="9"/>
        <color rgb="FF000000"/>
        <rFont val="楷体"/>
        <charset val="134"/>
      </rPr>
      <t>年</t>
    </r>
    <r>
      <rPr>
        <sz val="9"/>
        <color rgb="FF000000"/>
        <rFont val="Arial"/>
        <charset val="134"/>
      </rPr>
      <t>9</t>
    </r>
    <r>
      <rPr>
        <sz val="9"/>
        <color rgb="FF000000"/>
        <rFont val="楷体"/>
        <charset val="134"/>
      </rPr>
      <t>月，在香港联交所挂牌上市。拥有近</t>
    </r>
    <r>
      <rPr>
        <sz val="9"/>
        <color rgb="FF000000"/>
        <rFont val="Arial"/>
        <charset val="134"/>
      </rPr>
      <t>4</t>
    </r>
    <r>
      <rPr>
        <sz val="9"/>
        <color rgb="FF000000"/>
        <rFont val="楷体"/>
        <charset val="134"/>
      </rPr>
      <t>万个营业网点，服务个人客户近</t>
    </r>
    <r>
      <rPr>
        <sz val="9"/>
        <color rgb="FF000000"/>
        <rFont val="Arial"/>
        <charset val="134"/>
      </rPr>
      <t>6</t>
    </r>
    <r>
      <rPr>
        <sz val="9"/>
        <color rgb="FF000000"/>
        <rFont val="楷体"/>
        <charset val="134"/>
      </rPr>
      <t>亿户，定位于服务</t>
    </r>
    <r>
      <rPr>
        <sz val="9"/>
        <color rgb="FF000000"/>
        <rFont val="Arial"/>
        <charset val="134"/>
      </rPr>
      <t>“</t>
    </r>
    <r>
      <rPr>
        <sz val="9"/>
        <color rgb="FF000000"/>
        <rFont val="楷体"/>
        <charset val="134"/>
      </rPr>
      <t>三农</t>
    </r>
    <r>
      <rPr>
        <sz val="9"/>
        <color rgb="FF000000"/>
        <rFont val="Arial"/>
        <charset val="134"/>
      </rPr>
      <t>”</t>
    </r>
    <r>
      <rPr>
        <sz val="9"/>
        <color rgb="FF000000"/>
        <rFont val="楷体"/>
        <charset val="134"/>
      </rPr>
      <t>、城乡居民和中小企业，致力于为中国经济转型中最具活力的客户群体提供服务，并加速向数据驱动、渠道协同、批零联动、运营高效的新零售银行转型。本行拥有优异的资产质量和显著的成长潜力，是中国领先的大型零售商业银行。</t>
    </r>
  </si>
  <si>
    <t>中国邮政储蓄银行股份有限公司</t>
  </si>
  <si>
    <t>http://www.psbc.com</t>
  </si>
  <si>
    <r>
      <rPr>
        <sz val="9"/>
        <color rgb="FF000000"/>
        <rFont val="Arial"/>
        <charset val="134"/>
      </rPr>
      <t>450</t>
    </r>
    <r>
      <rPr>
        <sz val="9"/>
        <color rgb="FF000000"/>
        <rFont val="楷体"/>
        <charset val="134"/>
      </rPr>
      <t>亿人民币</t>
    </r>
  </si>
  <si>
    <t>中国移动</t>
  </si>
  <si>
    <r>
      <rPr>
        <sz val="9"/>
        <color rgb="FF000000"/>
        <rFont val="Arial"/>
        <charset val="134"/>
      </rPr>
      <t>1681.02</t>
    </r>
    <r>
      <rPr>
        <sz val="9"/>
        <color rgb="FF000000"/>
        <rFont val="楷体"/>
        <charset val="134"/>
      </rPr>
      <t>亿</t>
    </r>
  </si>
  <si>
    <r>
      <rPr>
        <sz val="9"/>
        <color rgb="FF000000"/>
        <rFont val="Arial"/>
        <charset val="134"/>
      </rPr>
      <t>2250</t>
    </r>
    <r>
      <rPr>
        <sz val="9"/>
        <color rgb="FF000000"/>
        <rFont val="楷体"/>
        <charset val="134"/>
      </rPr>
      <t>亿元</t>
    </r>
  </si>
  <si>
    <r>
      <rPr>
        <sz val="9"/>
        <color rgb="FF000000"/>
        <rFont val="楷体"/>
        <charset val="134"/>
      </rPr>
      <t>北京市西城区金融大街</t>
    </r>
    <r>
      <rPr>
        <sz val="9"/>
        <color rgb="FF000000"/>
        <rFont val="Arial"/>
        <charset val="134"/>
      </rPr>
      <t>3</t>
    </r>
    <r>
      <rPr>
        <sz val="9"/>
        <color rgb="FF000000"/>
        <rFont val="楷体"/>
        <charset val="134"/>
      </rPr>
      <t>号</t>
    </r>
  </si>
  <si>
    <t>2019-12-10</t>
  </si>
  <si>
    <r>
      <rPr>
        <sz val="9"/>
        <color rgb="FF000000"/>
        <rFont val="Arial"/>
        <charset val="134"/>
      </rPr>
      <t>327</t>
    </r>
    <r>
      <rPr>
        <sz val="9"/>
        <color rgb="FF000000"/>
        <rFont val="楷体"/>
        <charset val="134"/>
      </rPr>
      <t>亿人民币</t>
    </r>
  </si>
  <si>
    <t>2016-09-28</t>
  </si>
  <si>
    <r>
      <rPr>
        <sz val="9"/>
        <color rgb="FF000000"/>
        <rFont val="Arial"/>
        <charset val="134"/>
      </rPr>
      <t>566.27</t>
    </r>
    <r>
      <rPr>
        <sz val="9"/>
        <color rgb="FF000000"/>
        <rFont val="楷体"/>
        <charset val="134"/>
      </rPr>
      <t>亿港元</t>
    </r>
  </si>
  <si>
    <t>2015-12-09</t>
  </si>
  <si>
    <r>
      <rPr>
        <sz val="9"/>
        <color rgb="FF000000"/>
        <rFont val="Arial"/>
        <charset val="134"/>
      </rPr>
      <t>451</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</si>
  <si>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Temasek,JPMorgan</t>
    </r>
    <r>
      <rPr>
        <sz val="9"/>
        <color rgb="FF000000"/>
        <rFont val="楷体"/>
        <charset val="134"/>
      </rPr>
      <t>摩根大通</t>
    </r>
    <r>
      <rPr>
        <sz val="9"/>
        <color rgb="FF000000"/>
        <rFont val="Arial"/>
        <charset val="134"/>
      </rPr>
      <t>,IFC</t>
    </r>
    <r>
      <rPr>
        <sz val="9"/>
        <color rgb="FF000000"/>
        <rFont val="楷体"/>
        <charset val="134"/>
      </rPr>
      <t>国际金融公司</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中国人寿</t>
    </r>
    <r>
      <rPr>
        <sz val="9"/>
        <color rgb="FF000000"/>
        <rFont val="Arial"/>
        <charset val="134"/>
      </rPr>
      <t>,UBS</t>
    </r>
    <r>
      <rPr>
        <sz val="9"/>
        <color rgb="FF000000"/>
        <rFont val="楷体"/>
        <charset val="134"/>
      </rPr>
      <t>瑞银</t>
    </r>
    <r>
      <rPr>
        <sz val="9"/>
        <color rgb="FF000000"/>
        <rFont val="Arial"/>
        <charset val="134"/>
      </rPr>
      <t>,</t>
    </r>
    <r>
      <rPr>
        <sz val="9"/>
        <color rgb="FF000000"/>
        <rFont val="楷体"/>
        <charset val="134"/>
      </rPr>
      <t>加拿大养老基金</t>
    </r>
    <r>
      <rPr>
        <sz val="9"/>
        <color rgb="FF000000"/>
        <rFont val="Arial"/>
        <charset val="134"/>
      </rPr>
      <t>(CPPIB),</t>
    </r>
    <r>
      <rPr>
        <sz val="9"/>
        <color rgb="FF000000"/>
        <rFont val="楷体"/>
        <charset val="134"/>
      </rPr>
      <t>中国电信</t>
    </r>
    <r>
      <rPr>
        <sz val="9"/>
        <color rgb="FF000000"/>
        <rFont val="Arial"/>
        <charset val="134"/>
      </rPr>
      <t>,</t>
    </r>
    <r>
      <rPr>
        <sz val="9"/>
        <color rgb="FF000000"/>
        <rFont val="楷体"/>
        <charset val="134"/>
      </rPr>
      <t>星展银行</t>
    </r>
  </si>
  <si>
    <t>2020-04-13</t>
  </si>
  <si>
    <t>校宝在线</t>
  </si>
  <si>
    <r>
      <rPr>
        <sz val="9"/>
        <color rgb="FF000000"/>
        <rFont val="楷体"/>
        <charset val="134"/>
      </rPr>
      <t>校宝在线（证券代码：</t>
    </r>
    <r>
      <rPr>
        <sz val="9"/>
        <color rgb="FF000000"/>
        <rFont val="Arial"/>
        <charset val="134"/>
      </rPr>
      <t>870705</t>
    </r>
    <r>
      <rPr>
        <sz val="9"/>
        <color rgb="FF000000"/>
        <rFont val="楷体"/>
        <charset val="134"/>
      </rPr>
      <t>）成立于</t>
    </r>
    <r>
      <rPr>
        <sz val="9"/>
        <color rgb="FF000000"/>
        <rFont val="Arial"/>
        <charset val="134"/>
      </rPr>
      <t>2010</t>
    </r>
    <r>
      <rPr>
        <sz val="9"/>
        <color rgb="FF000000"/>
        <rFont val="楷体"/>
        <charset val="134"/>
      </rPr>
      <t>年，是中国教育信息化综合服务提供商，行业内首家新三板挂牌企业。经过近十年在教育</t>
    </r>
    <r>
      <rPr>
        <sz val="9"/>
        <color rgb="FF000000"/>
        <rFont val="Arial"/>
        <charset val="134"/>
      </rPr>
      <t>SaaS</t>
    </r>
    <r>
      <rPr>
        <sz val="9"/>
        <color rgb="FF000000"/>
        <rFont val="楷体"/>
        <charset val="134"/>
      </rPr>
      <t>领域的深耕，校宝在线以</t>
    </r>
    <r>
      <rPr>
        <sz val="9"/>
        <color rgb="FF000000"/>
        <rFont val="Arial"/>
        <charset val="134"/>
      </rPr>
      <t>“</t>
    </r>
    <r>
      <rPr>
        <sz val="9"/>
        <color rgb="FF000000"/>
        <rFont val="楷体"/>
        <charset val="134"/>
      </rPr>
      <t>双轮驱动</t>
    </r>
    <r>
      <rPr>
        <sz val="9"/>
        <color rgb="FF000000"/>
        <rFont val="Arial"/>
        <charset val="134"/>
      </rPr>
      <t>+</t>
    </r>
    <r>
      <rPr>
        <sz val="9"/>
        <color rgb="FF000000"/>
        <rFont val="楷体"/>
        <charset val="134"/>
      </rPr>
      <t>增值服务</t>
    </r>
    <r>
      <rPr>
        <sz val="9"/>
        <color rgb="FF000000"/>
        <rFont val="Arial"/>
        <charset val="134"/>
      </rPr>
      <t>”</t>
    </r>
    <r>
      <rPr>
        <sz val="9"/>
        <color rgb="FF000000"/>
        <rFont val="楷体"/>
        <charset val="134"/>
      </rPr>
      <t>战略全面布局教育服务产业。即，校宝在线除了为教育培训机构与全日制学校提供</t>
    </r>
    <r>
      <rPr>
        <sz val="9"/>
        <color rgb="FF000000"/>
        <rFont val="Arial"/>
        <charset val="134"/>
      </rPr>
      <t>SaaS</t>
    </r>
    <r>
      <rPr>
        <sz val="9"/>
        <color rgb="FF000000"/>
        <rFont val="楷体"/>
        <charset val="134"/>
      </rPr>
      <t>信息化服务，更进一步用金融服务、内容服务和营销服务等增值服务全面赋能机构，真正助力机构成长与发展。</t>
    </r>
    <r>
      <rPr>
        <sz val="9"/>
        <color rgb="FF000000"/>
        <rFont val="Arial"/>
        <charset val="134"/>
      </rPr>
      <t xml:space="preserve">
</t>
    </r>
    <r>
      <rPr>
        <sz val="9"/>
        <color rgb="FF000000"/>
        <rFont val="楷体"/>
        <charset val="134"/>
      </rPr>
      <t>目前，校宝在线的产品已经全面覆盖教育培训机构及全日制学校领域，解决招生、教学、教务、财务等全方位运营及管理难题，持续从不同的层面为用户提供优质体验，现产品体系包含校宝</t>
    </r>
    <r>
      <rPr>
        <sz val="9"/>
        <color rgb="FF000000"/>
        <rFont val="Arial"/>
        <charset val="134"/>
      </rPr>
      <t>ERP</t>
    </r>
    <r>
      <rPr>
        <sz val="9"/>
        <color rgb="FF000000"/>
        <rFont val="楷体"/>
        <charset val="134"/>
      </rPr>
      <t>、校宝秀、校宝收银宝、校宝家、校宝智慧校园、校宝</t>
    </r>
    <r>
      <rPr>
        <sz val="9"/>
        <color rgb="FF000000"/>
        <rFont val="Arial"/>
        <charset val="134"/>
      </rPr>
      <t>1Course</t>
    </r>
    <r>
      <rPr>
        <sz val="9"/>
        <color rgb="FF000000"/>
        <rFont val="楷体"/>
        <charset val="134"/>
      </rPr>
      <t>、校宝学院、校宝安心保、校园宝。</t>
    </r>
  </si>
  <si>
    <t>校宝在线（杭州）科技股份有限公司</t>
  </si>
  <si>
    <t>http://www.xiaobaoonline.com/</t>
  </si>
  <si>
    <t>2010-04</t>
  </si>
  <si>
    <t>教育信息化</t>
  </si>
  <si>
    <r>
      <rPr>
        <sz val="9"/>
        <color rgb="FF000000"/>
        <rFont val="Arial"/>
        <charset val="134"/>
      </rPr>
      <t>4.6</t>
    </r>
    <r>
      <rPr>
        <sz val="9"/>
        <color rgb="FF000000"/>
        <rFont val="楷体"/>
        <charset val="134"/>
      </rPr>
      <t>亿</t>
    </r>
  </si>
  <si>
    <r>
      <rPr>
        <sz val="9"/>
        <color rgb="FF000000"/>
        <rFont val="楷体"/>
        <charset val="134"/>
      </rPr>
      <t>张以弛</t>
    </r>
    <r>
      <rPr>
        <sz val="9"/>
        <color rgb="FF000000"/>
        <rFont val="Arial"/>
        <charset val="134"/>
      </rPr>
      <t>:</t>
    </r>
    <r>
      <rPr>
        <sz val="9"/>
        <color rgb="FF000000"/>
        <rFont val="楷体"/>
        <charset val="134"/>
      </rPr>
      <t>董事长</t>
    </r>
    <r>
      <rPr>
        <sz val="9"/>
        <color rgb="FF000000"/>
        <rFont val="Arial"/>
        <charset val="134"/>
      </rPr>
      <t>/CEO,</t>
    </r>
    <r>
      <rPr>
        <sz val="9"/>
        <color rgb="FF000000"/>
        <rFont val="楷体"/>
        <charset val="134"/>
      </rPr>
      <t>孙琳</t>
    </r>
    <r>
      <rPr>
        <sz val="9"/>
        <color rgb="FF000000"/>
        <rFont val="Arial"/>
        <charset val="134"/>
      </rPr>
      <t>:CTO,</t>
    </r>
    <r>
      <rPr>
        <sz val="9"/>
        <color rgb="FF000000"/>
        <rFont val="楷体"/>
        <charset val="134"/>
      </rPr>
      <t>李杰</t>
    </r>
    <r>
      <rPr>
        <sz val="9"/>
        <color rgb="FF000000"/>
        <rFont val="Arial"/>
        <charset val="134"/>
      </rPr>
      <t>:CPO/</t>
    </r>
    <r>
      <rPr>
        <sz val="9"/>
        <color rgb="FF000000"/>
        <rFont val="楷体"/>
        <charset val="134"/>
      </rPr>
      <t>创新事业部总经理</t>
    </r>
    <r>
      <rPr>
        <sz val="9"/>
        <color rgb="FF000000"/>
        <rFont val="Arial"/>
        <charset val="134"/>
      </rPr>
      <t>,</t>
    </r>
    <r>
      <rPr>
        <sz val="9"/>
        <color rgb="FF000000"/>
        <rFont val="楷体"/>
        <charset val="134"/>
      </rPr>
      <t>徐世耀</t>
    </r>
    <r>
      <rPr>
        <sz val="9"/>
        <color rgb="FF000000"/>
        <rFont val="Arial"/>
        <charset val="134"/>
      </rPr>
      <t>:</t>
    </r>
    <r>
      <rPr>
        <sz val="9"/>
        <color rgb="FF000000"/>
        <rFont val="楷体"/>
        <charset val="134"/>
      </rPr>
      <t>教培事业部总经理</t>
    </r>
    <r>
      <rPr>
        <sz val="9"/>
        <color rgb="FF000000"/>
        <rFont val="Arial"/>
        <charset val="134"/>
      </rPr>
      <t>,</t>
    </r>
    <r>
      <rPr>
        <sz val="9"/>
        <color rgb="FF000000"/>
        <rFont val="楷体"/>
        <charset val="134"/>
      </rPr>
      <t>邹依依</t>
    </r>
    <r>
      <rPr>
        <sz val="9"/>
        <color rgb="FF000000"/>
        <rFont val="Arial"/>
        <charset val="134"/>
      </rPr>
      <t>:</t>
    </r>
    <r>
      <rPr>
        <sz val="9"/>
        <color rgb="FF000000"/>
        <rFont val="楷体"/>
        <charset val="134"/>
      </rPr>
      <t>学校事业部总经理</t>
    </r>
    <r>
      <rPr>
        <sz val="9"/>
        <color rgb="FF000000"/>
        <rFont val="Arial"/>
        <charset val="134"/>
      </rPr>
      <t>,</t>
    </r>
    <r>
      <rPr>
        <sz val="9"/>
        <color rgb="FF000000"/>
        <rFont val="楷体"/>
        <charset val="134"/>
      </rPr>
      <t>胡淼</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傅李侃</t>
    </r>
    <r>
      <rPr>
        <sz val="9"/>
        <color rgb="FF000000"/>
        <rFont val="Arial"/>
        <charset val="134"/>
      </rPr>
      <t>:</t>
    </r>
    <r>
      <rPr>
        <sz val="9"/>
        <color rgb="FF000000"/>
        <rFont val="楷体"/>
        <charset val="134"/>
      </rPr>
      <t>监事会主席</t>
    </r>
  </si>
  <si>
    <r>
      <rPr>
        <sz val="9"/>
        <color rgb="FF000000"/>
        <rFont val="楷体"/>
        <charset val="134"/>
      </rPr>
      <t>杭州市西湖区华星时代广场</t>
    </r>
    <r>
      <rPr>
        <sz val="9"/>
        <color rgb="FF000000"/>
        <rFont val="Arial"/>
        <charset val="134"/>
      </rPr>
      <t>A</t>
    </r>
    <r>
      <rPr>
        <sz val="9"/>
        <color rgb="FF000000"/>
        <rFont val="楷体"/>
        <charset val="134"/>
      </rPr>
      <t>座</t>
    </r>
    <r>
      <rPr>
        <sz val="9"/>
        <color rgb="FF000000"/>
        <rFont val="Arial"/>
        <charset val="134"/>
      </rPr>
      <t>24</t>
    </r>
    <r>
      <rPr>
        <sz val="9"/>
        <color rgb="FF000000"/>
        <rFont val="楷体"/>
        <charset val="134"/>
      </rPr>
      <t>层</t>
    </r>
  </si>
  <si>
    <t>0571-87007347</t>
  </si>
  <si>
    <t>pr@xiaobao100.com</t>
  </si>
  <si>
    <t>2018-05-10</t>
  </si>
  <si>
    <r>
      <rPr>
        <sz val="9"/>
        <color rgb="FF000000"/>
        <rFont val="楷体"/>
        <charset val="134"/>
      </rPr>
      <t>蚂蚁集团</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万融资本</t>
    </r>
  </si>
  <si>
    <t>2017-12-13</t>
  </si>
  <si>
    <t>2016-08-20</t>
  </si>
  <si>
    <r>
      <rPr>
        <sz val="9"/>
        <color rgb="FF000000"/>
        <rFont val="楷体"/>
        <charset val="134"/>
      </rPr>
      <t>梧桐树资本</t>
    </r>
    <r>
      <rPr>
        <sz val="9"/>
        <color rgb="FF000000"/>
        <rFont val="Arial"/>
        <charset val="134"/>
      </rPr>
      <t>,</t>
    </r>
    <r>
      <rPr>
        <sz val="9"/>
        <color rgb="FF000000"/>
        <rFont val="楷体"/>
        <charset val="134"/>
      </rPr>
      <t>普华资本</t>
    </r>
  </si>
  <si>
    <t>2014-04-26</t>
  </si>
  <si>
    <t>犀照科技</t>
  </si>
  <si>
    <r>
      <rPr>
        <sz val="9"/>
        <color rgb="FF000000"/>
        <rFont val="楷体"/>
        <charset val="134"/>
      </rPr>
      <t>杭州犀照科技是一家提供</t>
    </r>
    <r>
      <rPr>
        <sz val="9"/>
        <color rgb="FF000000"/>
        <rFont val="Arial"/>
        <charset val="134"/>
      </rPr>
      <t>“</t>
    </r>
    <r>
      <rPr>
        <sz val="9"/>
        <color rgb="FF000000"/>
        <rFont val="楷体"/>
        <charset val="134"/>
      </rPr>
      <t>现场新闻</t>
    </r>
    <r>
      <rPr>
        <sz val="9"/>
        <color rgb="FF000000"/>
        <rFont val="Arial"/>
        <charset val="134"/>
      </rPr>
      <t>”</t>
    </r>
    <r>
      <rPr>
        <sz val="9"/>
        <color rgb="FF000000"/>
        <rFont val="楷体"/>
        <charset val="134"/>
      </rPr>
      <t>服务的公司，公司建立了集智能采集、移动展示、数据分析、系统安全、实时交互为一体的移动智能服务系统，目前拥有移动新闻采编软件等多项知识产权，通过</t>
    </r>
    <r>
      <rPr>
        <sz val="9"/>
        <color rgb="FF000000"/>
        <rFont val="Arial"/>
        <charset val="134"/>
      </rPr>
      <t>“</t>
    </r>
    <r>
      <rPr>
        <sz val="9"/>
        <color rgb="FF000000"/>
        <rFont val="楷体"/>
        <charset val="134"/>
      </rPr>
      <t>我在现场</t>
    </r>
    <r>
      <rPr>
        <sz val="9"/>
        <color rgb="FF000000"/>
        <rFont val="Arial"/>
        <charset val="134"/>
      </rPr>
      <t>”app</t>
    </r>
    <r>
      <rPr>
        <sz val="9"/>
        <color rgb="FF000000"/>
        <rFont val="楷体"/>
        <charset val="134"/>
      </rPr>
      <t>亲临新闻事件、让在场的人说话。</t>
    </r>
  </si>
  <si>
    <t>杭州犀照科技有限公司</t>
  </si>
  <si>
    <r>
      <rPr>
        <sz val="9"/>
        <color rgb="FF000000"/>
        <rFont val="楷体"/>
        <charset val="134"/>
      </rPr>
      <t>杭州西湖区杭州西湖区文三路保俶路口</t>
    </r>
    <r>
      <rPr>
        <sz val="9"/>
        <color rgb="FF000000"/>
        <rFont val="Arial"/>
        <charset val="134"/>
      </rPr>
      <t xml:space="preserve"> </t>
    </r>
  </si>
  <si>
    <t xml:space="preserve">0571-88381560 </t>
  </si>
  <si>
    <t>13553356@QQ.com</t>
  </si>
  <si>
    <t>付呗</t>
  </si>
  <si>
    <r>
      <rPr>
        <sz val="9"/>
        <color rgb="FF000000"/>
        <rFont val="楷体"/>
        <charset val="134"/>
      </rPr>
      <t>付呗是一家移动支付解决方案提供商，致力于为商家支付、营销、运营提供一站式互联网解决方案，为银行及其他金融机构提供与移动支付相关的云服务，旗下拥有付呗、付呗二维码、付呗智能</t>
    </r>
    <r>
      <rPr>
        <sz val="9"/>
        <color rgb="FF000000"/>
        <rFont val="Arial"/>
        <charset val="134"/>
      </rPr>
      <t>POS</t>
    </r>
    <r>
      <rPr>
        <sz val="9"/>
        <color rgb="FF000000"/>
        <rFont val="楷体"/>
        <charset val="134"/>
      </rPr>
      <t>机、付呗支付盒子、付呗收银台、付呗收银插件等产品。</t>
    </r>
  </si>
  <si>
    <t>杭州首展科技有限公司</t>
  </si>
  <si>
    <t>http://www.51fubei.com/</t>
  </si>
  <si>
    <r>
      <rPr>
        <sz val="9"/>
        <color rgb="FF000000"/>
        <rFont val="Arial"/>
        <charset val="134"/>
      </rPr>
      <t>4.33</t>
    </r>
    <r>
      <rPr>
        <sz val="9"/>
        <color rgb="FF000000"/>
        <rFont val="楷体"/>
        <charset val="134"/>
      </rPr>
      <t>亿</t>
    </r>
  </si>
  <si>
    <r>
      <rPr>
        <sz val="9"/>
        <color rgb="FF000000"/>
        <rFont val="楷体"/>
        <charset val="134"/>
      </rPr>
      <t>冯秋杭</t>
    </r>
    <r>
      <rPr>
        <sz val="9"/>
        <color rgb="FF000000"/>
        <rFont val="Arial"/>
        <charset val="134"/>
      </rPr>
      <t>:</t>
    </r>
    <r>
      <rPr>
        <sz val="9"/>
        <color rgb="FF000000"/>
        <rFont val="楷体"/>
        <charset val="134"/>
      </rPr>
      <t>创始人</t>
    </r>
  </si>
  <si>
    <r>
      <rPr>
        <sz val="9"/>
        <color rgb="FF000000"/>
        <rFont val="楷体"/>
        <charset val="134"/>
      </rPr>
      <t>杭州市西湖区池华街与紫萱路交叉口丰盛九玺东区</t>
    </r>
    <r>
      <rPr>
        <sz val="9"/>
        <color rgb="FF000000"/>
        <rFont val="Arial"/>
        <charset val="134"/>
      </rPr>
      <t>12</t>
    </r>
    <r>
      <rPr>
        <sz val="9"/>
        <color rgb="FF000000"/>
        <rFont val="楷体"/>
        <charset val="134"/>
      </rPr>
      <t>幢</t>
    </r>
    <r>
      <rPr>
        <sz val="9"/>
        <color rgb="FF000000"/>
        <rFont val="Arial"/>
        <charset val="134"/>
      </rPr>
      <t>16-22</t>
    </r>
    <r>
      <rPr>
        <sz val="9"/>
        <color rgb="FF000000"/>
        <rFont val="楷体"/>
        <charset val="134"/>
      </rPr>
      <t>层</t>
    </r>
    <r>
      <rPr>
        <sz val="9"/>
        <color rgb="FF000000"/>
        <rFont val="Arial"/>
        <charset val="134"/>
      </rPr>
      <t>;</t>
    </r>
    <r>
      <rPr>
        <sz val="9"/>
        <color rgb="FF000000"/>
        <rFont val="楷体"/>
        <charset val="134"/>
      </rPr>
      <t>杭州市余杭区良渚街道勾庄路</t>
    </r>
    <r>
      <rPr>
        <sz val="9"/>
        <color rgb="FF000000"/>
        <rFont val="Arial"/>
        <charset val="134"/>
      </rPr>
      <t>218</t>
    </r>
    <r>
      <rPr>
        <sz val="9"/>
        <color rgb="FF000000"/>
        <rFont val="楷体"/>
        <charset val="134"/>
      </rPr>
      <t>号亿丰时代大厦</t>
    </r>
    <r>
      <rPr>
        <sz val="9"/>
        <color rgb="FF000000"/>
        <rFont val="Arial"/>
        <charset val="134"/>
      </rPr>
      <t>13</t>
    </r>
    <r>
      <rPr>
        <sz val="9"/>
        <color rgb="FF000000"/>
        <rFont val="楷体"/>
        <charset val="134"/>
      </rPr>
      <t>楼</t>
    </r>
  </si>
  <si>
    <t>0571-5787-9090</t>
  </si>
  <si>
    <t>2021-02-07</t>
  </si>
  <si>
    <t>移卡科技</t>
  </si>
  <si>
    <t>2016-06-03</t>
  </si>
  <si>
    <t>2018-05-16</t>
  </si>
  <si>
    <t>亿点连接</t>
  </si>
  <si>
    <r>
      <rPr>
        <sz val="9"/>
        <color rgb="FF000000"/>
        <rFont val="楷体"/>
        <charset val="134"/>
      </rPr>
      <t>亿点连接是一家商业</t>
    </r>
    <r>
      <rPr>
        <sz val="9"/>
        <color rgb="FF000000"/>
        <rFont val="Arial"/>
        <charset val="134"/>
      </rPr>
      <t>WIFI</t>
    </r>
    <r>
      <rPr>
        <sz val="9"/>
        <color rgb="FF000000"/>
        <rFont val="楷体"/>
        <charset val="134"/>
      </rPr>
      <t>服务提供商，致力于一键免费连接机场、车站等各大场所的商业</t>
    </r>
    <r>
      <rPr>
        <sz val="9"/>
        <color rgb="FF000000"/>
        <rFont val="Arial"/>
        <charset val="134"/>
      </rPr>
      <t>WIFI</t>
    </r>
    <r>
      <rPr>
        <sz val="9"/>
        <color rgb="FF000000"/>
        <rFont val="楷体"/>
        <charset val="134"/>
      </rPr>
      <t>，并且随时监测用户的网络环境，确保用户安全上网，此外还具有移动通话功能，可免费将来电转接至</t>
    </r>
    <r>
      <rPr>
        <sz val="9"/>
        <color rgb="FF000000"/>
        <rFont val="Arial"/>
        <charset val="134"/>
      </rPr>
      <t>App</t>
    </r>
    <r>
      <rPr>
        <sz val="9"/>
        <color rgb="FF000000"/>
        <rFont val="楷体"/>
        <charset val="134"/>
      </rPr>
      <t>中，即使没有开通漫游，也不会遗漏任何电话。</t>
    </r>
  </si>
  <si>
    <t>北京维太格科技有限公司</t>
  </si>
  <si>
    <t>http://www.billionconnect.com/</t>
  </si>
  <si>
    <r>
      <rPr>
        <sz val="9"/>
        <color rgb="FF000000"/>
        <rFont val="楷体"/>
        <charset val="134"/>
      </rPr>
      <t>章苏</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徐屾屾</t>
    </r>
    <r>
      <rPr>
        <sz val="9"/>
        <color rgb="FF000000"/>
        <rFont val="Arial"/>
        <charset val="134"/>
      </rPr>
      <t>:CEO</t>
    </r>
  </si>
  <si>
    <r>
      <rPr>
        <sz val="9"/>
        <color rgb="FF000000"/>
        <rFont val="楷体"/>
        <charset val="134"/>
      </rPr>
      <t>京信大厦</t>
    </r>
    <r>
      <rPr>
        <sz val="9"/>
        <color rgb="FF000000"/>
        <rFont val="Arial"/>
        <charset val="134"/>
      </rPr>
      <t>16</t>
    </r>
    <r>
      <rPr>
        <sz val="9"/>
        <color rgb="FF000000"/>
        <rFont val="楷体"/>
        <charset val="134"/>
      </rPr>
      <t>层（地铁亮马桥</t>
    </r>
    <r>
      <rPr>
        <sz val="9"/>
        <color rgb="FF000000"/>
        <rFont val="Arial"/>
        <charset val="134"/>
      </rPr>
      <t>A</t>
    </r>
    <r>
      <rPr>
        <sz val="9"/>
        <color rgb="FF000000"/>
        <rFont val="楷体"/>
        <charset val="134"/>
      </rPr>
      <t>西北口站，步行</t>
    </r>
    <r>
      <rPr>
        <sz val="9"/>
        <color rgb="FF000000"/>
        <rFont val="Arial"/>
        <charset val="134"/>
      </rPr>
      <t>850</t>
    </r>
    <r>
      <rPr>
        <sz val="9"/>
        <color rgb="FF000000"/>
        <rFont val="楷体"/>
        <charset val="134"/>
      </rPr>
      <t>米即到）</t>
    </r>
  </si>
  <si>
    <t>business@weitaige.com</t>
  </si>
  <si>
    <t>19pay</t>
  </si>
  <si>
    <r>
      <rPr>
        <sz val="9"/>
        <color rgb="FF000000"/>
        <rFont val="Arial"/>
        <charset val="134"/>
      </rPr>
      <t>19pay</t>
    </r>
    <r>
      <rPr>
        <sz val="9"/>
        <color rgb="FF000000"/>
        <rFont val="楷体"/>
        <charset val="134"/>
      </rPr>
      <t>是一个电子支付平台，致力于电子支付和电子商务领域的高新科技，隶属于北京高阳捷迅信息技术有限公司。</t>
    </r>
  </si>
  <si>
    <t>北京高阳捷迅信息技术有限公司</t>
  </si>
  <si>
    <t>http://www.19pay.com.cn</t>
  </si>
  <si>
    <r>
      <rPr>
        <sz val="9"/>
        <color rgb="FF000000"/>
        <rFont val="楷体"/>
        <charset val="134"/>
      </rPr>
      <t>中关村兴业</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滴滴出行</t>
    </r>
    <r>
      <rPr>
        <sz val="9"/>
        <color rgb="FF000000"/>
        <rFont val="Arial"/>
        <charset val="134"/>
      </rPr>
      <t>,</t>
    </r>
    <r>
      <rPr>
        <sz val="9"/>
        <color rgb="FF000000"/>
        <rFont val="楷体"/>
        <charset val="134"/>
      </rPr>
      <t>数字创盈</t>
    </r>
  </si>
  <si>
    <r>
      <rPr>
        <sz val="9"/>
        <color rgb="FF000000"/>
        <rFont val="Arial"/>
        <charset val="134"/>
      </rPr>
      <t>2.3</t>
    </r>
    <r>
      <rPr>
        <sz val="9"/>
        <color rgb="FF000000"/>
        <rFont val="楷体"/>
        <charset val="134"/>
      </rPr>
      <t>亿</t>
    </r>
  </si>
  <si>
    <r>
      <rPr>
        <sz val="9"/>
        <color rgb="FF000000"/>
        <rFont val="楷体"/>
        <charset val="134"/>
      </rPr>
      <t>曾东卫</t>
    </r>
    <r>
      <rPr>
        <sz val="9"/>
        <color rgb="FF000000"/>
        <rFont val="Arial"/>
        <charset val="134"/>
      </rPr>
      <t>:</t>
    </r>
    <r>
      <rPr>
        <sz val="9"/>
        <color rgb="FF000000"/>
        <rFont val="楷体"/>
        <charset val="134"/>
      </rPr>
      <t>创始人</t>
    </r>
  </si>
  <si>
    <r>
      <rPr>
        <sz val="9"/>
        <color rgb="FF000000"/>
        <rFont val="楷体"/>
        <charset val="134"/>
      </rPr>
      <t>北京市海淀区农大南路</t>
    </r>
    <r>
      <rPr>
        <sz val="9"/>
        <color rgb="FF000000"/>
        <rFont val="Arial"/>
        <charset val="134"/>
      </rPr>
      <t>88</t>
    </r>
    <r>
      <rPr>
        <sz val="9"/>
        <color rgb="FF000000"/>
        <rFont val="楷体"/>
        <charset val="134"/>
      </rPr>
      <t>号万霖大厦</t>
    </r>
    <r>
      <rPr>
        <sz val="9"/>
        <color rgb="FF000000"/>
        <rFont val="Arial"/>
        <charset val="134"/>
      </rPr>
      <t>2</t>
    </r>
    <r>
      <rPr>
        <sz val="9"/>
        <color rgb="FF000000"/>
        <rFont val="楷体"/>
        <charset val="134"/>
      </rPr>
      <t>层</t>
    </r>
  </si>
  <si>
    <t>400-019-1999</t>
  </si>
  <si>
    <t>2010-10-01</t>
  </si>
  <si>
    <r>
      <rPr>
        <sz val="9"/>
        <color rgb="FF000000"/>
        <rFont val="楷体"/>
        <charset val="134"/>
      </rPr>
      <t>红杉资本中国</t>
    </r>
    <r>
      <rPr>
        <sz val="9"/>
        <color rgb="FF000000"/>
        <rFont val="Arial"/>
        <charset val="134"/>
      </rPr>
      <t>,</t>
    </r>
    <r>
      <rPr>
        <sz val="9"/>
        <color rgb="FF000000"/>
        <rFont val="楷体"/>
        <charset val="134"/>
      </rPr>
      <t>清科创投</t>
    </r>
  </si>
  <si>
    <t>2017-08-11</t>
  </si>
  <si>
    <t>安天</t>
  </si>
  <si>
    <t>武汉安天信息技术有限责任公司是一家专注于移动互联网安全技术和产品安全研发的企业，致力于移动互联网安全技术研究和移动终端反病毒引擎研发，旨在通过其核心的反病毒引擎技术，为全球移动终端用户和合作者提供专业的安全防护能力和解决方案。</t>
  </si>
  <si>
    <t>武汉安天信息技术有限责任公司</t>
  </si>
  <si>
    <t>http://www.avlsec.com</t>
  </si>
  <si>
    <r>
      <rPr>
        <sz val="9"/>
        <color rgb="FF000000"/>
        <rFont val="楷体"/>
        <charset val="134"/>
      </rPr>
      <t>峰瑞资本</t>
    </r>
    <r>
      <rPr>
        <sz val="9"/>
        <color rgb="FF000000"/>
        <rFont val="Arial"/>
        <charset val="134"/>
      </rPr>
      <t>,</t>
    </r>
    <r>
      <rPr>
        <sz val="9"/>
        <color rgb="FF000000"/>
        <rFont val="楷体"/>
        <charset val="134"/>
      </rPr>
      <t>蚂蚁集团</t>
    </r>
  </si>
  <si>
    <r>
      <rPr>
        <sz val="9"/>
        <color rgb="FF000000"/>
        <rFont val="Arial"/>
        <charset val="134"/>
      </rPr>
      <t>2100</t>
    </r>
    <r>
      <rPr>
        <sz val="9"/>
        <color rgb="FF000000"/>
        <rFont val="楷体"/>
        <charset val="134"/>
      </rPr>
      <t>万</t>
    </r>
  </si>
  <si>
    <r>
      <rPr>
        <sz val="9"/>
        <color rgb="FF000000"/>
        <rFont val="楷体"/>
        <charset val="134"/>
      </rPr>
      <t>潘宣辰</t>
    </r>
    <r>
      <rPr>
        <sz val="9"/>
        <color rgb="FF000000"/>
        <rFont val="Arial"/>
        <charset val="134"/>
      </rPr>
      <t>:</t>
    </r>
    <r>
      <rPr>
        <sz val="9"/>
        <color rgb="FF000000"/>
        <rFont val="楷体"/>
        <charset val="134"/>
      </rPr>
      <t>创始人</t>
    </r>
  </si>
  <si>
    <r>
      <rPr>
        <sz val="9"/>
        <color rgb="FF000000"/>
        <rFont val="楷体"/>
        <charset val="134"/>
      </rPr>
      <t>湖北省武汉市东湖新技术开发区软件园东路</t>
    </r>
    <r>
      <rPr>
        <sz val="9"/>
        <color rgb="FF000000"/>
        <rFont val="Arial"/>
        <charset val="134"/>
      </rPr>
      <t>1</t>
    </r>
    <r>
      <rPr>
        <sz val="9"/>
        <color rgb="FF000000"/>
        <rFont val="楷体"/>
        <charset val="134"/>
      </rPr>
      <t>号软件产业</t>
    </r>
    <r>
      <rPr>
        <sz val="9"/>
        <color rgb="FF000000"/>
        <rFont val="Arial"/>
        <charset val="134"/>
      </rPr>
      <t>4.1</t>
    </r>
    <r>
      <rPr>
        <sz val="9"/>
        <color rgb="FF000000"/>
        <rFont val="楷体"/>
        <charset val="134"/>
      </rPr>
      <t>期</t>
    </r>
    <r>
      <rPr>
        <sz val="9"/>
        <color rgb="FF000000"/>
        <rFont val="Arial"/>
        <charset val="134"/>
      </rPr>
      <t>B4</t>
    </r>
    <r>
      <rPr>
        <sz val="9"/>
        <color rgb="FF000000"/>
        <rFont val="楷体"/>
        <charset val="134"/>
      </rPr>
      <t>栋</t>
    </r>
    <r>
      <rPr>
        <sz val="9"/>
        <color rgb="FF000000"/>
        <rFont val="Arial"/>
        <charset val="134"/>
      </rPr>
      <t>12</t>
    </r>
    <r>
      <rPr>
        <sz val="9"/>
        <color rgb="FF000000"/>
        <rFont val="楷体"/>
        <charset val="134"/>
      </rPr>
      <t>层</t>
    </r>
    <r>
      <rPr>
        <sz val="9"/>
        <color rgb="FF000000"/>
        <rFont val="Arial"/>
        <charset val="134"/>
      </rPr>
      <t>01</t>
    </r>
    <r>
      <rPr>
        <sz val="9"/>
        <color rgb="FF000000"/>
        <rFont val="楷体"/>
        <charset val="134"/>
      </rPr>
      <t>室</t>
    </r>
  </si>
  <si>
    <t>027-8766-8767</t>
  </si>
  <si>
    <t>avlsecurity@antiy.com</t>
  </si>
  <si>
    <t>2010-04-01</t>
  </si>
  <si>
    <t>猎豹移动</t>
  </si>
  <si>
    <t>2018-04-12</t>
  </si>
  <si>
    <t>内啥网</t>
  </si>
  <si>
    <t>内啥是一家旅行玩乐装备短租平台，旨在为租主和租客搭建一个诚信、有保障的分享交易平台，有效的将更多个人租主的闲置装备通过分享充分利用并发挥最大价值。</t>
  </si>
  <si>
    <t>盛世墨典（北京）信息技术有限公司</t>
  </si>
  <si>
    <t>http://www.neisha.cc</t>
  </si>
  <si>
    <r>
      <rPr>
        <sz val="9"/>
        <color rgb="FF000000"/>
        <rFont val="Arial"/>
        <charset val="134"/>
      </rPr>
      <t>6400</t>
    </r>
    <r>
      <rPr>
        <sz val="9"/>
        <color rgb="FF000000"/>
        <rFont val="楷体"/>
        <charset val="134"/>
      </rPr>
      <t>万</t>
    </r>
  </si>
  <si>
    <r>
      <rPr>
        <sz val="9"/>
        <color rgb="FF000000"/>
        <rFont val="楷体"/>
        <charset val="134"/>
      </rPr>
      <t>杨威</t>
    </r>
    <r>
      <rPr>
        <sz val="9"/>
        <color rgb="FF000000"/>
        <rFont val="Arial"/>
        <charset val="134"/>
      </rPr>
      <t>:CEO</t>
    </r>
  </si>
  <si>
    <r>
      <rPr>
        <sz val="9"/>
        <color rgb="FF000000"/>
        <rFont val="楷体"/>
        <charset val="134"/>
      </rPr>
      <t>北京市海淀区清河三街</t>
    </r>
    <r>
      <rPr>
        <sz val="9"/>
        <color rgb="FF000000"/>
        <rFont val="Arial"/>
        <charset val="134"/>
      </rPr>
      <t>95</t>
    </r>
    <r>
      <rPr>
        <sz val="9"/>
        <color rgb="FF000000"/>
        <rFont val="楷体"/>
        <charset val="134"/>
      </rPr>
      <t>号综合服务楼</t>
    </r>
    <r>
      <rPr>
        <sz val="9"/>
        <color rgb="FF000000"/>
        <rFont val="Arial"/>
        <charset val="134"/>
      </rPr>
      <t>12</t>
    </r>
    <r>
      <rPr>
        <sz val="9"/>
        <color rgb="FF000000"/>
        <rFont val="楷体"/>
        <charset val="134"/>
      </rPr>
      <t>层</t>
    </r>
    <r>
      <rPr>
        <sz val="9"/>
        <color rgb="FF000000"/>
        <rFont val="Arial"/>
        <charset val="134"/>
      </rPr>
      <t>156</t>
    </r>
    <r>
      <rPr>
        <sz val="9"/>
        <color rgb="FF000000"/>
        <rFont val="楷体"/>
        <charset val="134"/>
      </rPr>
      <t>室</t>
    </r>
  </si>
  <si>
    <t>400-051-1798</t>
  </si>
  <si>
    <t>coco@neisha.cc</t>
  </si>
  <si>
    <t>2017-08-18</t>
  </si>
  <si>
    <r>
      <rPr>
        <sz val="9"/>
        <color rgb="FF000000"/>
        <rFont val="楷体"/>
        <charset val="134"/>
      </rPr>
      <t>和盟创投</t>
    </r>
    <r>
      <rPr>
        <sz val="9"/>
        <color rgb="FF000000"/>
        <rFont val="Arial"/>
        <charset val="134"/>
      </rPr>
      <t>,</t>
    </r>
    <r>
      <rPr>
        <sz val="9"/>
        <color rgb="FF000000"/>
        <rFont val="楷体"/>
        <charset val="134"/>
      </rPr>
      <t>昂若资本</t>
    </r>
    <r>
      <rPr>
        <sz val="9"/>
        <color rgb="FF000000"/>
        <rFont val="Arial"/>
        <charset val="134"/>
      </rPr>
      <t>,</t>
    </r>
    <r>
      <rPr>
        <sz val="9"/>
        <color rgb="FF000000"/>
        <rFont val="楷体"/>
        <charset val="134"/>
      </rPr>
      <t>金科创投</t>
    </r>
  </si>
  <si>
    <t>2015-11-24</t>
  </si>
  <si>
    <r>
      <rPr>
        <sz val="9"/>
        <color rgb="FF000000"/>
        <rFont val="楷体"/>
        <charset val="134"/>
      </rPr>
      <t>隆领投资</t>
    </r>
    <r>
      <rPr>
        <sz val="9"/>
        <color rgb="FF000000"/>
        <rFont val="Arial"/>
        <charset val="134"/>
      </rPr>
      <t>,ONES Ventures</t>
    </r>
  </si>
  <si>
    <t>2015-11-01</t>
  </si>
  <si>
    <t>ONES Ventures</t>
  </si>
  <si>
    <t>2023-05-17</t>
  </si>
  <si>
    <t>人人租</t>
  </si>
  <si>
    <r>
      <rPr>
        <sz val="9"/>
        <color rgb="FF000000"/>
        <rFont val="楷体"/>
        <charset val="134"/>
      </rPr>
      <t>人人租是一家为企业和个人提供一站式设备信用免押租赁互联网平台，通过区块链技术</t>
    </r>
    <r>
      <rPr>
        <sz val="9"/>
        <color rgb="FF000000"/>
        <rFont val="Arial"/>
        <charset val="134"/>
      </rPr>
      <t>+</t>
    </r>
    <r>
      <rPr>
        <sz val="9"/>
        <color rgb="FF000000"/>
        <rFont val="楷体"/>
        <charset val="134"/>
      </rPr>
      <t>信用大数据</t>
    </r>
    <r>
      <rPr>
        <sz val="9"/>
        <color rgb="FF000000"/>
        <rFont val="Arial"/>
        <charset val="134"/>
      </rPr>
      <t>+</t>
    </r>
    <r>
      <rPr>
        <sz val="9"/>
        <color rgb="FF000000"/>
        <rFont val="楷体"/>
        <charset val="134"/>
      </rPr>
      <t>租后管理系统打造完整的数字化租赁服务闭环。人人租以企业办公设备免押租赁为起点，现覆盖办公设备、数码科技、家居家电、旅游户外、工程机械、工业、智能硬件等行业，是国内的设备机器租赁互联网服务平台。平台基于地理位置定位（</t>
    </r>
    <r>
      <rPr>
        <sz val="9"/>
        <color rgb="FF000000"/>
        <rFont val="Arial"/>
        <charset val="134"/>
      </rPr>
      <t>LBS</t>
    </r>
    <r>
      <rPr>
        <sz val="9"/>
        <color rgb="FF000000"/>
        <rFont val="楷体"/>
        <charset val="134"/>
      </rPr>
      <t>）为</t>
    </r>
    <r>
      <rPr>
        <sz val="9"/>
        <color rgb="FF000000"/>
        <rFont val="Arial"/>
        <charset val="134"/>
      </rPr>
      <t>200+</t>
    </r>
    <r>
      <rPr>
        <sz val="9"/>
        <color rgb="FF000000"/>
        <rFont val="楷体"/>
        <charset val="134"/>
      </rPr>
      <t>城市租户提供就近即时租赁服务，拥有超过</t>
    </r>
    <r>
      <rPr>
        <sz val="9"/>
        <color rgb="FF000000"/>
        <rFont val="Arial"/>
        <charset val="134"/>
      </rPr>
      <t>30000</t>
    </r>
    <r>
      <rPr>
        <sz val="9"/>
        <color rgb="FF000000"/>
        <rFont val="楷体"/>
        <charset val="134"/>
      </rPr>
      <t>个全国商家服务点，累计服务</t>
    </r>
    <r>
      <rPr>
        <sz val="9"/>
        <color rgb="FF000000"/>
        <rFont val="Arial"/>
        <charset val="134"/>
      </rPr>
      <t>1000</t>
    </r>
    <r>
      <rPr>
        <sz val="9"/>
        <color rgb="FF000000"/>
        <rFont val="楷体"/>
        <charset val="134"/>
      </rPr>
      <t>万</t>
    </r>
    <r>
      <rPr>
        <sz val="9"/>
        <color rgb="FF000000"/>
        <rFont val="Arial"/>
        <charset val="134"/>
      </rPr>
      <t>+</t>
    </r>
    <r>
      <rPr>
        <sz val="9"/>
        <color rgb="FF000000"/>
        <rFont val="楷体"/>
        <charset val="134"/>
      </rPr>
      <t>租户。</t>
    </r>
  </si>
  <si>
    <t>广州研趣信息科技有限公司</t>
  </si>
  <si>
    <t>http://www.rrzuji.com</t>
  </si>
  <si>
    <r>
      <rPr>
        <sz val="9"/>
        <color rgb="FF000000"/>
        <rFont val="楷体"/>
        <charset val="134"/>
      </rPr>
      <t>明裕创投</t>
    </r>
    <r>
      <rPr>
        <sz val="9"/>
        <color rgb="FF000000"/>
        <rFont val="Arial"/>
        <charset val="134"/>
      </rPr>
      <t>,</t>
    </r>
    <r>
      <rPr>
        <sz val="9"/>
        <color rgb="FF000000"/>
        <rFont val="楷体"/>
        <charset val="134"/>
      </rPr>
      <t>行至资本</t>
    </r>
    <r>
      <rPr>
        <sz val="9"/>
        <color rgb="FF000000"/>
        <rFont val="Arial"/>
        <charset val="134"/>
      </rPr>
      <t>,</t>
    </r>
    <r>
      <rPr>
        <sz val="9"/>
        <color rgb="FF000000"/>
        <rFont val="楷体"/>
        <charset val="134"/>
      </rPr>
      <t>天河基金</t>
    </r>
  </si>
  <si>
    <r>
      <rPr>
        <sz val="9"/>
        <color rgb="FF000000"/>
        <rFont val="Arial"/>
        <charset val="134"/>
      </rPr>
      <t>2.38</t>
    </r>
    <r>
      <rPr>
        <sz val="9"/>
        <color rgb="FF000000"/>
        <rFont val="楷体"/>
        <charset val="134"/>
      </rPr>
      <t>亿</t>
    </r>
  </si>
  <si>
    <r>
      <rPr>
        <sz val="9"/>
        <color rgb="FF000000"/>
        <rFont val="楷体"/>
        <charset val="134"/>
      </rPr>
      <t>洪国志</t>
    </r>
    <r>
      <rPr>
        <sz val="9"/>
        <color rgb="FF000000"/>
        <rFont val="Arial"/>
        <charset val="134"/>
      </rPr>
      <t>:CEO,</t>
    </r>
    <r>
      <rPr>
        <sz val="9"/>
        <color rgb="FF000000"/>
        <rFont val="楷体"/>
        <charset val="134"/>
      </rPr>
      <t>何泽霖</t>
    </r>
    <r>
      <rPr>
        <sz val="9"/>
        <color rgb="FF000000"/>
        <rFont val="Arial"/>
        <charset val="134"/>
      </rPr>
      <t>:CTO</t>
    </r>
  </si>
  <si>
    <r>
      <rPr>
        <sz val="9"/>
        <color rgb="FF000000"/>
        <rFont val="楷体"/>
        <charset val="134"/>
      </rPr>
      <t>广州市天河区体育西路</t>
    </r>
    <r>
      <rPr>
        <sz val="9"/>
        <color rgb="FF000000"/>
        <rFont val="Arial"/>
        <charset val="134"/>
      </rPr>
      <t>153</t>
    </r>
    <r>
      <rPr>
        <sz val="9"/>
        <color rgb="FF000000"/>
        <rFont val="楷体"/>
        <charset val="134"/>
      </rPr>
      <t>号天河大厦主写字楼</t>
    </r>
    <r>
      <rPr>
        <sz val="9"/>
        <color rgb="FF000000"/>
        <rFont val="Arial"/>
        <charset val="134"/>
      </rPr>
      <t xml:space="preserve"> 22</t>
    </r>
    <r>
      <rPr>
        <sz val="9"/>
        <color rgb="FF000000"/>
        <rFont val="楷体"/>
        <charset val="134"/>
      </rPr>
      <t>楼</t>
    </r>
  </si>
  <si>
    <t>020-2805-0999</t>
  </si>
  <si>
    <t>730107711@qq.com</t>
  </si>
  <si>
    <t>2021-01-04</t>
  </si>
  <si>
    <t>明裕创投</t>
  </si>
  <si>
    <t>2018-11-07</t>
  </si>
  <si>
    <t>2016-11-15</t>
  </si>
  <si>
    <t>领智创投</t>
  </si>
  <si>
    <t>2021-09-27</t>
  </si>
  <si>
    <t>Ascend Money</t>
  </si>
  <si>
    <r>
      <rPr>
        <sz val="9"/>
        <color rgb="FF000000"/>
        <rFont val="Arial"/>
        <charset val="134"/>
      </rPr>
      <t>Ascend Money</t>
    </r>
    <r>
      <rPr>
        <sz val="9"/>
        <color rgb="FF000000"/>
        <rFont val="楷体"/>
        <charset val="134"/>
      </rPr>
      <t>是一家来自泰国的第三方支付、企业小贷公司，从泰国第三大电信运营商</t>
    </r>
    <r>
      <rPr>
        <sz val="9"/>
        <color rgb="FF000000"/>
        <rFont val="Arial"/>
        <charset val="134"/>
      </rPr>
      <t>True Corporation</t>
    </r>
    <r>
      <rPr>
        <sz val="9"/>
        <color rgb="FF000000"/>
        <rFont val="楷体"/>
        <charset val="134"/>
      </rPr>
      <t>中分拆出来，隶属于泰国正大集团，旗下拥有泰国电子支付公司</t>
    </r>
    <r>
      <rPr>
        <sz val="9"/>
        <color rgb="FF000000"/>
        <rFont val="Arial"/>
        <charset val="134"/>
      </rPr>
      <t>True Money</t>
    </r>
    <r>
      <rPr>
        <sz val="9"/>
        <color rgb="FF000000"/>
        <rFont val="楷体"/>
        <charset val="134"/>
      </rPr>
      <t>和个人、企业融资公司</t>
    </r>
    <r>
      <rPr>
        <sz val="9"/>
        <color rgb="FF000000"/>
        <rFont val="Arial"/>
        <charset val="134"/>
      </rPr>
      <t>Ascend Nano</t>
    </r>
    <r>
      <rPr>
        <sz val="9"/>
        <color rgb="FF000000"/>
        <rFont val="楷体"/>
        <charset val="134"/>
      </rPr>
      <t>。</t>
    </r>
  </si>
  <si>
    <t>https://www.ascendmoneygroup.com/</t>
  </si>
  <si>
    <t>2008-01</t>
  </si>
  <si>
    <r>
      <rPr>
        <sz val="9"/>
        <color rgb="FF000000"/>
        <rFont val="楷体"/>
        <charset val="134"/>
      </rPr>
      <t>亚洲</t>
    </r>
    <r>
      <rPr>
        <sz val="9"/>
        <color rgb="FF000000"/>
        <rFont val="Arial"/>
        <charset val="134"/>
      </rPr>
      <t>-</t>
    </r>
    <r>
      <rPr>
        <sz val="9"/>
        <color rgb="FF000000"/>
        <rFont val="楷体"/>
        <charset val="134"/>
      </rPr>
      <t>泰国</t>
    </r>
  </si>
  <si>
    <r>
      <rPr>
        <sz val="9"/>
        <color rgb="FF000000"/>
        <rFont val="楷体"/>
        <charset val="134"/>
      </rPr>
      <t>蚂蚁集团</t>
    </r>
    <r>
      <rPr>
        <sz val="9"/>
        <color rgb="FF000000"/>
        <rFont val="Arial"/>
        <charset val="134"/>
      </rPr>
      <t>,Bow Wave</t>
    </r>
  </si>
  <si>
    <r>
      <rPr>
        <sz val="9"/>
        <color rgb="FF000000"/>
        <rFont val="Arial"/>
        <charset val="134"/>
      </rPr>
      <t>9.45</t>
    </r>
    <r>
      <rPr>
        <sz val="9"/>
        <color rgb="FF000000"/>
        <rFont val="楷体"/>
        <charset val="134"/>
      </rPr>
      <t>亿</t>
    </r>
  </si>
  <si>
    <t>Suphachai Chearavanont:Founder, Chairman</t>
  </si>
  <si>
    <t>2016-06-20</t>
  </si>
  <si>
    <t>2020-01-17</t>
  </si>
  <si>
    <t>蛋壳公寓</t>
  </si>
  <si>
    <r>
      <rPr>
        <sz val="9"/>
        <color rgb="FF000000"/>
        <rFont val="楷体"/>
        <charset val="134"/>
      </rPr>
      <t>蛋壳公寓是中国知名的互联网长租公寓运营商，致力于用互联网方式改造传统的住房租赁行业。公司成立于</t>
    </r>
    <r>
      <rPr>
        <sz val="9"/>
        <color rgb="FF000000"/>
        <rFont val="Arial"/>
        <charset val="134"/>
      </rPr>
      <t xml:space="preserve"> 2015 </t>
    </r>
    <r>
      <rPr>
        <sz val="9"/>
        <color rgb="FF000000"/>
        <rFont val="楷体"/>
        <charset val="134"/>
      </rPr>
      <t>年初，是一家以数据驱动为核心，提供高品质租住生活的资产管理和居住服务平台，产品形态涵盖合租公寓、整租公寓等，满足都市年轻白领多元化的居住需求。</t>
    </r>
  </si>
  <si>
    <t>紫梧桐（北京）资产管理有限公司</t>
  </si>
  <si>
    <t>https://www.danke.com/</t>
  </si>
  <si>
    <r>
      <rPr>
        <sz val="9"/>
        <color rgb="FF000000"/>
        <rFont val="Arial"/>
        <charset val="134"/>
      </rPr>
      <t>1.49</t>
    </r>
    <r>
      <rPr>
        <sz val="9"/>
        <color rgb="FF000000"/>
        <rFont val="楷体"/>
        <charset val="134"/>
      </rPr>
      <t>亿美元</t>
    </r>
  </si>
  <si>
    <r>
      <rPr>
        <sz val="9"/>
        <color rgb="FF000000"/>
        <rFont val="Arial"/>
        <charset val="134"/>
      </rPr>
      <t>68.92</t>
    </r>
    <r>
      <rPr>
        <sz val="9"/>
        <color rgb="FF000000"/>
        <rFont val="楷体"/>
        <charset val="134"/>
      </rPr>
      <t>亿</t>
    </r>
  </si>
  <si>
    <r>
      <rPr>
        <sz val="9"/>
        <color rgb="FF000000"/>
        <rFont val="Arial"/>
        <charset val="134"/>
      </rPr>
      <t>178.1</t>
    </r>
    <r>
      <rPr>
        <sz val="9"/>
        <color rgb="FF000000"/>
        <rFont val="楷体"/>
        <charset val="134"/>
      </rPr>
      <t>亿元</t>
    </r>
  </si>
  <si>
    <r>
      <rPr>
        <sz val="9"/>
        <color rgb="FF000000"/>
        <rFont val="楷体"/>
        <charset val="134"/>
      </rPr>
      <t>高靖</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沈博阳</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沈镇庆</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孙晓斌</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顾国栋</t>
    </r>
    <r>
      <rPr>
        <sz val="9"/>
        <color rgb="FF000000"/>
        <rFont val="Arial"/>
        <charset val="134"/>
      </rPr>
      <t>:COO</t>
    </r>
  </si>
  <si>
    <r>
      <rPr>
        <sz val="9"/>
        <color rgb="FF000000"/>
        <rFont val="楷体"/>
        <charset val="134"/>
      </rPr>
      <t>北京市东城区朝阳门内大街</t>
    </r>
    <r>
      <rPr>
        <sz val="9"/>
        <color rgb="FF000000"/>
        <rFont val="Arial"/>
        <charset val="134"/>
      </rPr>
      <t>8</t>
    </r>
    <r>
      <rPr>
        <sz val="9"/>
        <color rgb="FF000000"/>
        <rFont val="楷体"/>
        <charset val="134"/>
      </rPr>
      <t>号朝阳首府</t>
    </r>
    <r>
      <rPr>
        <sz val="9"/>
        <color rgb="FF000000"/>
        <rFont val="Arial"/>
        <charset val="134"/>
      </rPr>
      <t>2</t>
    </r>
    <r>
      <rPr>
        <sz val="9"/>
        <color rgb="FF000000"/>
        <rFont val="楷体"/>
        <charset val="134"/>
      </rPr>
      <t>层</t>
    </r>
    <r>
      <rPr>
        <sz val="9"/>
        <color rgb="FF000000"/>
        <rFont val="Arial"/>
        <charset val="134"/>
      </rPr>
      <t>212</t>
    </r>
  </si>
  <si>
    <t>400-818-5656</t>
  </si>
  <si>
    <t>bd@dankegongyu.com</t>
  </si>
  <si>
    <t>2019-10-29</t>
  </si>
  <si>
    <r>
      <rPr>
        <sz val="9"/>
        <color rgb="FF000000"/>
        <rFont val="Arial"/>
        <charset val="134"/>
      </rPr>
      <t>1.9</t>
    </r>
    <r>
      <rPr>
        <sz val="9"/>
        <color rgb="FF000000"/>
        <rFont val="楷体"/>
        <charset val="134"/>
      </rPr>
      <t>亿美元</t>
    </r>
  </si>
  <si>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春华资本</t>
    </r>
    <r>
      <rPr>
        <sz val="9"/>
        <color rgb="FF000000"/>
        <rFont val="Arial"/>
        <charset val="134"/>
      </rPr>
      <t>Primavera</t>
    </r>
  </si>
  <si>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高榕资本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蚂蚁集团</t>
    </r>
  </si>
  <si>
    <t>2018-06-06</t>
  </si>
  <si>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高榕资本</t>
    </r>
    <r>
      <rPr>
        <sz val="9"/>
        <color rgb="FF000000"/>
        <rFont val="Arial"/>
        <charset val="134"/>
      </rPr>
      <t>,Tiger Global</t>
    </r>
    <r>
      <rPr>
        <sz val="9"/>
        <color rgb="FF000000"/>
        <rFont val="楷体"/>
        <charset val="134"/>
      </rPr>
      <t>老虎海外</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酉金资本</t>
    </r>
    <r>
      <rPr>
        <sz val="9"/>
        <color rgb="FF000000"/>
        <rFont val="Arial"/>
        <charset val="134"/>
      </rPr>
      <t>Regent Capital</t>
    </r>
  </si>
  <si>
    <t>2018-02-26</t>
  </si>
  <si>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高榕资本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酉金资本</t>
    </r>
    <r>
      <rPr>
        <sz val="9"/>
        <color rgb="FF000000"/>
        <rFont val="Arial"/>
        <charset val="134"/>
      </rPr>
      <t>Regent Capital</t>
    </r>
  </si>
  <si>
    <t>2017-06-28</t>
  </si>
  <si>
    <r>
      <rPr>
        <sz val="9"/>
        <color rgb="FF000000"/>
        <rFont val="楷体"/>
        <charset val="134"/>
      </rPr>
      <t>开物投资</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优客工场</t>
    </r>
  </si>
  <si>
    <t>2015-05-11</t>
  </si>
  <si>
    <t>开物投资</t>
  </si>
  <si>
    <t>2015-01-06</t>
  </si>
  <si>
    <t>沈博阳</t>
  </si>
  <si>
    <t>2020-09-10</t>
  </si>
  <si>
    <t>百胜中国</t>
  </si>
  <si>
    <r>
      <rPr>
        <sz val="9"/>
        <color rgb="FF000000"/>
        <rFont val="楷体"/>
        <charset val="134"/>
      </rPr>
      <t>百胜中国控股有限公司是中国领先的餐饮公司，致力于成为全球最创新的餐饮先锋。自从</t>
    </r>
    <r>
      <rPr>
        <sz val="9"/>
        <color rgb="FF000000"/>
        <rFont val="Arial"/>
        <charset val="134"/>
      </rPr>
      <t>1987</t>
    </r>
    <r>
      <rPr>
        <sz val="9"/>
        <color rgb="FF000000"/>
        <rFont val="楷体"/>
        <charset val="134"/>
      </rPr>
      <t>年第一家餐厅开业以来，截至</t>
    </r>
    <r>
      <rPr>
        <sz val="9"/>
        <color rgb="FF000000"/>
        <rFont val="Arial"/>
        <charset val="134"/>
      </rPr>
      <t>2020</t>
    </r>
    <r>
      <rPr>
        <sz val="9"/>
        <color rgb="FF000000"/>
        <rFont val="楷体"/>
        <charset val="134"/>
      </rPr>
      <t>年</t>
    </r>
    <r>
      <rPr>
        <sz val="9"/>
        <color rgb="FF000000"/>
        <rFont val="Arial"/>
        <charset val="134"/>
      </rPr>
      <t>6</t>
    </r>
    <r>
      <rPr>
        <sz val="9"/>
        <color rgb="FF000000"/>
        <rFont val="楷体"/>
        <charset val="134"/>
      </rPr>
      <t>月底，百胜中国在中国的足迹遍布所有省市自治区（港澳台除外），在</t>
    </r>
    <r>
      <rPr>
        <sz val="9"/>
        <color rgb="FF000000"/>
        <rFont val="Arial"/>
        <charset val="134"/>
      </rPr>
      <t>1400</t>
    </r>
    <r>
      <rPr>
        <sz val="9"/>
        <color rgb="FF000000"/>
        <rFont val="楷体"/>
        <charset val="134"/>
      </rPr>
      <t>多座城镇经营着</t>
    </r>
    <r>
      <rPr>
        <sz val="9"/>
        <color rgb="FF000000"/>
        <rFont val="Arial"/>
        <charset val="134"/>
      </rPr>
      <t>9954</t>
    </r>
    <r>
      <rPr>
        <sz val="9"/>
        <color rgb="FF000000"/>
        <rFont val="楷体"/>
        <charset val="134"/>
      </rPr>
      <t>家餐厅。</t>
    </r>
    <r>
      <rPr>
        <sz val="9"/>
        <color rgb="FF000000"/>
        <rFont val="Arial"/>
        <charset val="134"/>
      </rPr>
      <t>2020</t>
    </r>
    <r>
      <rPr>
        <sz val="9"/>
        <color rgb="FF000000"/>
        <rFont val="楷体"/>
        <charset val="134"/>
      </rPr>
      <t>年，百胜中国位列《财富》美国</t>
    </r>
    <r>
      <rPr>
        <sz val="9"/>
        <color rgb="FF000000"/>
        <rFont val="Arial"/>
        <charset val="134"/>
      </rPr>
      <t>500</t>
    </r>
    <r>
      <rPr>
        <sz val="9"/>
        <color rgb="FF000000"/>
        <rFont val="楷体"/>
        <charset val="134"/>
      </rPr>
      <t>强排行榜第</t>
    </r>
    <r>
      <rPr>
        <sz val="9"/>
        <color rgb="FF000000"/>
        <rFont val="Arial"/>
        <charset val="134"/>
      </rPr>
      <t>361</t>
    </r>
    <r>
      <rPr>
        <sz val="9"/>
        <color rgb="FF000000"/>
        <rFont val="楷体"/>
        <charset val="134"/>
      </rPr>
      <t>位。百胜中国于</t>
    </r>
    <r>
      <rPr>
        <sz val="9"/>
        <color rgb="FF000000"/>
        <rFont val="Arial"/>
        <charset val="134"/>
      </rPr>
      <t>2019</t>
    </r>
    <r>
      <rPr>
        <sz val="9"/>
        <color rgb="FF000000"/>
        <rFont val="楷体"/>
        <charset val="134"/>
      </rPr>
      <t>年、</t>
    </r>
    <r>
      <rPr>
        <sz val="9"/>
        <color rgb="FF000000"/>
        <rFont val="Arial"/>
        <charset val="134"/>
      </rPr>
      <t>2020</t>
    </r>
    <r>
      <rPr>
        <sz val="9"/>
        <color rgb="FF000000"/>
        <rFont val="楷体"/>
        <charset val="134"/>
      </rPr>
      <t>年连续两年入选彭博性别平等指数，并荣获中国杰出雇主认证。</t>
    </r>
    <r>
      <rPr>
        <sz val="9"/>
        <color rgb="FF000000"/>
        <rFont val="Arial"/>
        <charset val="134"/>
      </rPr>
      <t xml:space="preserve">
</t>
    </r>
    <r>
      <rPr>
        <sz val="9"/>
        <color rgb="FF000000"/>
        <rFont val="楷体"/>
        <charset val="134"/>
      </rPr>
      <t>百胜中国从</t>
    </r>
    <r>
      <rPr>
        <sz val="9"/>
        <color rgb="FF000000"/>
        <rFont val="Arial"/>
        <charset val="134"/>
      </rPr>
      <t>Yum! Brands</t>
    </r>
    <r>
      <rPr>
        <sz val="9"/>
        <color rgb="FF000000"/>
        <rFont val="楷体"/>
        <charset val="134"/>
      </rPr>
      <t>（纽约证券交易所代码：</t>
    </r>
    <r>
      <rPr>
        <sz val="9"/>
        <color rgb="FF000000"/>
        <rFont val="Arial"/>
        <charset val="134"/>
      </rPr>
      <t>YUM</t>
    </r>
    <r>
      <rPr>
        <sz val="9"/>
        <color rgb="FF000000"/>
        <rFont val="楷体"/>
        <charset val="134"/>
      </rPr>
      <t>）分拆出来之后，于</t>
    </r>
    <r>
      <rPr>
        <sz val="9"/>
        <color rgb="FF000000"/>
        <rFont val="Arial"/>
        <charset val="134"/>
      </rPr>
      <t>2016</t>
    </r>
    <r>
      <rPr>
        <sz val="9"/>
        <color rgb="FF000000"/>
        <rFont val="楷体"/>
        <charset val="134"/>
      </rPr>
      <t>年</t>
    </r>
    <r>
      <rPr>
        <sz val="9"/>
        <color rgb="FF000000"/>
        <rFont val="Arial"/>
        <charset val="134"/>
      </rPr>
      <t>11</t>
    </r>
    <r>
      <rPr>
        <sz val="9"/>
        <color rgb="FF000000"/>
        <rFont val="楷体"/>
        <charset val="134"/>
      </rPr>
      <t>月</t>
    </r>
    <r>
      <rPr>
        <sz val="9"/>
        <color rgb="FF000000"/>
        <rFont val="Arial"/>
        <charset val="134"/>
      </rPr>
      <t>1</t>
    </r>
    <r>
      <rPr>
        <sz val="9"/>
        <color rgb="FF000000"/>
        <rFont val="楷体"/>
        <charset val="134"/>
      </rPr>
      <t>日独立在纽约证券交易所上市，股票代码为</t>
    </r>
    <r>
      <rPr>
        <sz val="9"/>
        <color rgb="FF000000"/>
        <rFont val="Arial"/>
        <charset val="134"/>
      </rPr>
      <t>YUMC</t>
    </r>
    <r>
      <rPr>
        <sz val="9"/>
        <color rgb="FF000000"/>
        <rFont val="楷体"/>
        <charset val="134"/>
      </rPr>
      <t>。百胜中国在中国市场拥有肯德基、必胜客和塔可贝尔三个品牌的独家运营和授权经营权，并完全拥有东方既白、小肥羊、黄记煌和</t>
    </r>
    <r>
      <rPr>
        <sz val="9"/>
        <color rgb="FF000000"/>
        <rFont val="Arial"/>
        <charset val="134"/>
      </rPr>
      <t>COFFii &amp; JOY</t>
    </r>
    <r>
      <rPr>
        <sz val="9"/>
        <color rgb="FF000000"/>
        <rFont val="楷体"/>
        <charset val="134"/>
      </rPr>
      <t>连锁餐厅品牌。</t>
    </r>
  </si>
  <si>
    <t>百胜（中国）投资有限公司</t>
  </si>
  <si>
    <t>http://www.yumchina.com/</t>
  </si>
  <si>
    <t>1999-06</t>
  </si>
  <si>
    <r>
      <rPr>
        <sz val="9"/>
        <color rgb="FF000000"/>
        <rFont val="Arial"/>
        <charset val="134"/>
      </rPr>
      <t>170</t>
    </r>
    <r>
      <rPr>
        <sz val="9"/>
        <color rgb="FF000000"/>
        <rFont val="楷体"/>
        <charset val="134"/>
      </rPr>
      <t>亿港元</t>
    </r>
  </si>
  <si>
    <r>
      <rPr>
        <sz val="9"/>
        <color rgb="FF000000"/>
        <rFont val="Arial"/>
        <charset val="134"/>
      </rPr>
      <t>172.4</t>
    </r>
    <r>
      <rPr>
        <sz val="9"/>
        <color rgb="FF000000"/>
        <rFont val="楷体"/>
        <charset val="134"/>
      </rPr>
      <t>亿</t>
    </r>
  </si>
  <si>
    <r>
      <rPr>
        <sz val="9"/>
        <color rgb="FF000000"/>
        <rFont val="Arial"/>
        <charset val="134"/>
      </rPr>
      <t>1380</t>
    </r>
    <r>
      <rPr>
        <sz val="9"/>
        <color rgb="FF000000"/>
        <rFont val="楷体"/>
        <charset val="134"/>
      </rPr>
      <t>亿元</t>
    </r>
  </si>
  <si>
    <r>
      <rPr>
        <sz val="9"/>
        <color rgb="FF000000"/>
        <rFont val="楷体"/>
        <charset val="134"/>
      </rPr>
      <t>上海市天钥桥路</t>
    </r>
    <r>
      <rPr>
        <sz val="9"/>
        <color rgb="FF000000"/>
        <rFont val="Arial"/>
        <charset val="134"/>
      </rPr>
      <t>20</t>
    </r>
    <r>
      <rPr>
        <sz val="9"/>
        <color rgb="FF000000"/>
        <rFont val="楷体"/>
        <charset val="134"/>
      </rPr>
      <t>号百胜中国大厦</t>
    </r>
  </si>
  <si>
    <t>021-2407-7777</t>
  </si>
  <si>
    <t>2016-02-16</t>
  </si>
  <si>
    <t>掌慧纵盈</t>
  </si>
  <si>
    <r>
      <rPr>
        <sz val="9"/>
        <color rgb="FF000000"/>
        <rFont val="楷体"/>
        <charset val="134"/>
      </rPr>
      <t>北京掌慧纵盈科技股份有限公司是一家</t>
    </r>
    <r>
      <rPr>
        <sz val="9"/>
        <color rgb="FF000000"/>
        <rFont val="Arial"/>
        <charset val="134"/>
      </rPr>
      <t>Wi-Fi</t>
    </r>
    <r>
      <rPr>
        <sz val="9"/>
        <color rgb="FF000000"/>
        <rFont val="楷体"/>
        <charset val="134"/>
      </rPr>
      <t>运营商，致力于为用户提供更多免费而安全的</t>
    </r>
    <r>
      <rPr>
        <sz val="9"/>
        <color rgb="FF000000"/>
        <rFont val="Arial"/>
        <charset val="134"/>
      </rPr>
      <t>Wi-Fi</t>
    </r>
    <r>
      <rPr>
        <sz val="9"/>
        <color rgb="FF000000"/>
        <rFont val="楷体"/>
        <charset val="134"/>
      </rPr>
      <t>网络，为行业合作伙伴实现更高效的经营能力，为企业提供基于</t>
    </r>
    <r>
      <rPr>
        <sz val="9"/>
        <color rgb="FF000000"/>
        <rFont val="Arial"/>
        <charset val="134"/>
      </rPr>
      <t>“</t>
    </r>
    <r>
      <rPr>
        <sz val="9"/>
        <color rgb="FF000000"/>
        <rFont val="楷体"/>
        <charset val="134"/>
      </rPr>
      <t>场景</t>
    </r>
    <r>
      <rPr>
        <sz val="9"/>
        <color rgb="FF000000"/>
        <rFont val="Arial"/>
        <charset val="134"/>
      </rPr>
      <t>”</t>
    </r>
    <r>
      <rPr>
        <sz val="9"/>
        <color rgb="FF000000"/>
        <rFont val="楷体"/>
        <charset val="134"/>
      </rPr>
      <t>的智慧营销整体解决方案。</t>
    </r>
  </si>
  <si>
    <t>北京掌慧纵盈科技股份有限公司</t>
  </si>
  <si>
    <t>http://www.opsmarttech.com</t>
  </si>
  <si>
    <r>
      <rPr>
        <sz val="9"/>
        <color rgb="FF000000"/>
        <rFont val="楷体"/>
        <charset val="134"/>
      </rPr>
      <t>章苏</t>
    </r>
    <r>
      <rPr>
        <sz val="9"/>
        <color rgb="FF000000"/>
        <rFont val="Arial"/>
        <charset val="134"/>
      </rPr>
      <t>:</t>
    </r>
    <r>
      <rPr>
        <sz val="9"/>
        <color rgb="FF000000"/>
        <rFont val="楷体"/>
        <charset val="134"/>
      </rPr>
      <t>创始人</t>
    </r>
  </si>
  <si>
    <r>
      <rPr>
        <sz val="9"/>
        <color rgb="FF000000"/>
        <rFont val="楷体"/>
        <charset val="134"/>
      </rPr>
      <t>北京市朝阳区霄云路</t>
    </r>
    <r>
      <rPr>
        <sz val="9"/>
        <color rgb="FF000000"/>
        <rFont val="Arial"/>
        <charset val="134"/>
      </rPr>
      <t>26</t>
    </r>
    <r>
      <rPr>
        <sz val="9"/>
        <color rgb="FF000000"/>
        <rFont val="楷体"/>
        <charset val="134"/>
      </rPr>
      <t>号鹏润大厦</t>
    </r>
    <r>
      <rPr>
        <sz val="9"/>
        <color rgb="FF000000"/>
        <rFont val="Arial"/>
        <charset val="134"/>
      </rPr>
      <t>B</t>
    </r>
    <r>
      <rPr>
        <sz val="9"/>
        <color rgb="FF000000"/>
        <rFont val="楷体"/>
        <charset val="134"/>
      </rPr>
      <t>座</t>
    </r>
    <r>
      <rPr>
        <sz val="9"/>
        <color rgb="FF000000"/>
        <rFont val="Arial"/>
        <charset val="134"/>
      </rPr>
      <t>2207</t>
    </r>
    <r>
      <rPr>
        <sz val="9"/>
        <color rgb="FF000000"/>
        <rFont val="楷体"/>
        <charset val="134"/>
      </rPr>
      <t>室</t>
    </r>
  </si>
  <si>
    <t>和聚百川</t>
  </si>
  <si>
    <t>2014-10-27</t>
  </si>
  <si>
    <r>
      <rPr>
        <sz val="9"/>
        <color rgb="FF000000"/>
        <rFont val="楷体"/>
        <charset val="134"/>
      </rPr>
      <t>蓝色光标</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创动投资</t>
    </r>
  </si>
  <si>
    <t>2013-03-18</t>
  </si>
  <si>
    <t>2017-02-10</t>
  </si>
  <si>
    <t>特微智能</t>
  </si>
  <si>
    <r>
      <rPr>
        <sz val="9"/>
        <color rgb="FF000000"/>
        <rFont val="楷体"/>
        <charset val="134"/>
      </rPr>
      <t>特微智能是一家专注于提供高速公路信息化、智能化，</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解决方案的高科技公司，包括</t>
    </r>
    <r>
      <rPr>
        <sz val="9"/>
        <color rgb="FF000000"/>
        <rFont val="Arial"/>
        <charset val="134"/>
      </rPr>
      <t>“</t>
    </r>
    <r>
      <rPr>
        <sz val="9"/>
        <color rgb="FF000000"/>
        <rFont val="楷体"/>
        <charset val="134"/>
      </rPr>
      <t>移动支付（整合扫码、</t>
    </r>
    <r>
      <rPr>
        <sz val="9"/>
        <color rgb="FF000000"/>
        <rFont val="Arial"/>
        <charset val="134"/>
      </rPr>
      <t>NFC</t>
    </r>
    <r>
      <rPr>
        <sz val="9"/>
        <color rgb="FF000000"/>
        <rFont val="楷体"/>
        <charset val="134"/>
      </rPr>
      <t>、车牌</t>
    </r>
    <r>
      <rPr>
        <sz val="9"/>
        <color rgb="FF000000"/>
        <rFont val="Arial"/>
        <charset val="134"/>
      </rPr>
      <t>/</t>
    </r>
    <r>
      <rPr>
        <sz val="9"/>
        <color rgb="FF000000"/>
        <rFont val="楷体"/>
        <charset val="134"/>
      </rPr>
      <t>车型识别、</t>
    </r>
    <r>
      <rPr>
        <sz val="9"/>
        <color rgb="FF000000"/>
        <rFont val="Arial"/>
        <charset val="134"/>
      </rPr>
      <t>GPS</t>
    </r>
    <r>
      <rPr>
        <sz val="9"/>
        <color rgb="FF000000"/>
        <rFont val="楷体"/>
        <charset val="134"/>
      </rPr>
      <t>定位等）</t>
    </r>
    <r>
      <rPr>
        <sz val="9"/>
        <color rgb="FF000000"/>
        <rFont val="Arial"/>
        <charset val="134"/>
      </rPr>
      <t>+</t>
    </r>
    <r>
      <rPr>
        <sz val="9"/>
        <color rgb="FF000000"/>
        <rFont val="楷体"/>
        <charset val="134"/>
      </rPr>
      <t>联网实时扣费（入站免拿卡、消费</t>
    </r>
    <r>
      <rPr>
        <sz val="9"/>
        <color rgb="FF000000"/>
        <rFont val="Arial"/>
        <charset val="134"/>
      </rPr>
      <t>/</t>
    </r>
    <r>
      <rPr>
        <sz val="9"/>
        <color rgb="FF000000"/>
        <rFont val="楷体"/>
        <charset val="134"/>
      </rPr>
      <t>通行记录即时通知）</t>
    </r>
    <r>
      <rPr>
        <sz val="9"/>
        <color rgb="FF000000"/>
        <rFont val="Arial"/>
        <charset val="134"/>
      </rPr>
      <t>+</t>
    </r>
    <r>
      <rPr>
        <sz val="9"/>
        <color rgb="FF000000"/>
        <rFont val="楷体"/>
        <charset val="134"/>
      </rPr>
      <t>智能结算（企业统一代扣、物流</t>
    </r>
    <r>
      <rPr>
        <sz val="9"/>
        <color rgb="FF000000"/>
        <rFont val="Arial"/>
        <charset val="134"/>
      </rPr>
      <t>ERP</t>
    </r>
    <r>
      <rPr>
        <sz val="9"/>
        <color rgb="FF000000"/>
        <rFont val="楷体"/>
        <charset val="134"/>
      </rPr>
      <t>打通、统一票据、打折预购</t>
    </r>
    <r>
      <rPr>
        <sz val="9"/>
        <color rgb="FF000000"/>
        <rFont val="Arial"/>
        <charset val="134"/>
      </rPr>
      <t>/</t>
    </r>
    <r>
      <rPr>
        <sz val="9"/>
        <color rgb="FF000000"/>
        <rFont val="楷体"/>
        <charset val="134"/>
      </rPr>
      <t>小额信贷等）</t>
    </r>
    <r>
      <rPr>
        <sz val="9"/>
        <color rgb="FF000000"/>
        <rFont val="Arial"/>
        <charset val="134"/>
      </rPr>
      <t>”</t>
    </r>
    <r>
      <rPr>
        <sz val="9"/>
        <color rgb="FF000000"/>
        <rFont val="楷体"/>
        <charset val="134"/>
      </rPr>
      <t>综合解决方案</t>
    </r>
  </si>
  <si>
    <t>北京特微智能科技有限公司</t>
  </si>
  <si>
    <t>http://www.trawe.cn/</t>
  </si>
  <si>
    <r>
      <rPr>
        <sz val="9"/>
        <color rgb="FF000000"/>
        <rFont val="楷体"/>
        <charset val="134"/>
      </rPr>
      <t>罗渊鸿</t>
    </r>
    <r>
      <rPr>
        <sz val="9"/>
        <color rgb="FF000000"/>
        <rFont val="Arial"/>
        <charset val="134"/>
      </rPr>
      <t>:CEO</t>
    </r>
  </si>
  <si>
    <r>
      <rPr>
        <sz val="9"/>
        <color rgb="FF000000"/>
        <rFont val="楷体"/>
        <charset val="134"/>
      </rPr>
      <t>上海市普陀区祁连山南路</t>
    </r>
    <r>
      <rPr>
        <sz val="9"/>
        <color rgb="FF000000"/>
        <rFont val="Arial"/>
        <charset val="134"/>
      </rPr>
      <t>2888</t>
    </r>
    <r>
      <rPr>
        <sz val="9"/>
        <color rgb="FF000000"/>
        <rFont val="楷体"/>
        <charset val="134"/>
      </rPr>
      <t>号</t>
    </r>
    <r>
      <rPr>
        <sz val="9"/>
        <color rgb="FF000000"/>
        <rFont val="Arial"/>
        <charset val="134"/>
      </rPr>
      <t>;</t>
    </r>
    <r>
      <rPr>
        <sz val="9"/>
        <color rgb="FF000000"/>
        <rFont val="楷体"/>
        <charset val="134"/>
      </rPr>
      <t>北京市海淀区清河安宁庄路</t>
    </r>
    <r>
      <rPr>
        <sz val="9"/>
        <color rgb="FF000000"/>
        <rFont val="Arial"/>
        <charset val="134"/>
      </rPr>
      <t>4</t>
    </r>
    <r>
      <rPr>
        <sz val="9"/>
        <color rgb="FF000000"/>
        <rFont val="楷体"/>
        <charset val="134"/>
      </rPr>
      <t>号</t>
    </r>
    <r>
      <rPr>
        <sz val="9"/>
        <color rgb="FF000000"/>
        <rFont val="Arial"/>
        <charset val="134"/>
      </rPr>
      <t>11</t>
    </r>
    <r>
      <rPr>
        <sz val="9"/>
        <color rgb="FF000000"/>
        <rFont val="楷体"/>
        <charset val="134"/>
      </rPr>
      <t>号楼三层</t>
    </r>
    <r>
      <rPr>
        <sz val="9"/>
        <color rgb="FF000000"/>
        <rFont val="Arial"/>
        <charset val="134"/>
      </rPr>
      <t>003</t>
    </r>
    <r>
      <rPr>
        <sz val="9"/>
        <color rgb="FF000000"/>
        <rFont val="楷体"/>
        <charset val="134"/>
      </rPr>
      <t>室</t>
    </r>
    <r>
      <rPr>
        <sz val="9"/>
        <color rgb="FF000000"/>
        <rFont val="Arial"/>
        <charset val="134"/>
      </rPr>
      <t xml:space="preserve"> </t>
    </r>
  </si>
  <si>
    <t>156-0176-0202;01084159201</t>
  </si>
  <si>
    <t>18930022477@163.com;huangyujing@trawe.cn</t>
  </si>
  <si>
    <t>西科天使基金</t>
  </si>
  <si>
    <t>2019-05-10</t>
  </si>
  <si>
    <t>保险师</t>
  </si>
  <si>
    <r>
      <rPr>
        <sz val="9"/>
        <color rgb="FF000000"/>
        <rFont val="楷体"/>
        <charset val="134"/>
      </rPr>
      <t>杭州微易信息科技有限公司（以下简称微易科技）创立于</t>
    </r>
    <r>
      <rPr>
        <sz val="9"/>
        <color rgb="FF000000"/>
        <rFont val="Arial"/>
        <charset val="134"/>
      </rPr>
      <t>2014</t>
    </r>
    <r>
      <rPr>
        <sz val="9"/>
        <color rgb="FF000000"/>
        <rFont val="楷体"/>
        <charset val="134"/>
      </rPr>
      <t>年，是一家以大数据为核心，探索保险领域互联网新模式的综合型新兴平台。企业秉承</t>
    </r>
    <r>
      <rPr>
        <sz val="9"/>
        <color rgb="FF000000"/>
        <rFont val="Arial"/>
        <charset val="134"/>
      </rPr>
      <t>“</t>
    </r>
    <r>
      <rPr>
        <sz val="9"/>
        <color rgb="FF000000"/>
        <rFont val="楷体"/>
        <charset val="134"/>
      </rPr>
      <t>服务行业、服务险企、服务保险代理人</t>
    </r>
    <r>
      <rPr>
        <sz val="9"/>
        <color rgb="FF000000"/>
        <rFont val="Arial"/>
        <charset val="134"/>
      </rPr>
      <t>”</t>
    </r>
    <r>
      <rPr>
        <sz val="9"/>
        <color rgb="FF000000"/>
        <rFont val="楷体"/>
        <charset val="134"/>
      </rPr>
      <t>的经营理念，专注于保险行业模式优化及服务。所研发的保险师</t>
    </r>
    <r>
      <rPr>
        <sz val="9"/>
        <color rgb="FF000000"/>
        <rFont val="Arial"/>
        <charset val="134"/>
      </rPr>
      <t>APP</t>
    </r>
    <r>
      <rPr>
        <sz val="9"/>
        <color rgb="FF000000"/>
        <rFont val="楷体"/>
        <charset val="134"/>
      </rPr>
      <t>是一款移动展业工具，凭借自身成熟、完善的产品基础，依托互联网便捷的大数据和云计算为基础，累计生成计划书超</t>
    </r>
    <r>
      <rPr>
        <sz val="9"/>
        <color rgb="FF000000"/>
        <rFont val="Arial"/>
        <charset val="134"/>
      </rPr>
      <t>16</t>
    </r>
    <r>
      <rPr>
        <sz val="9"/>
        <color rgb="FF000000"/>
        <rFont val="楷体"/>
        <charset val="134"/>
      </rPr>
      <t>亿份，拥有超过</t>
    </r>
    <r>
      <rPr>
        <sz val="9"/>
        <color rgb="FF000000"/>
        <rFont val="Arial"/>
        <charset val="134"/>
      </rPr>
      <t>2200</t>
    </r>
    <r>
      <rPr>
        <sz val="9"/>
        <color rgb="FF000000"/>
        <rFont val="楷体"/>
        <charset val="134"/>
      </rPr>
      <t>万下载用户数，几乎覆盖国内所有保险行业从业者。</t>
    </r>
  </si>
  <si>
    <t>杭州微易信息科技有限公司</t>
  </si>
  <si>
    <t>http://www.winbaoxian.com</t>
  </si>
  <si>
    <r>
      <rPr>
        <sz val="9"/>
        <color rgb="FF000000"/>
        <rFont val="楷体"/>
        <charset val="134"/>
      </rPr>
      <t>陈伟星</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王玮华</t>
    </r>
    <r>
      <rPr>
        <sz val="9"/>
        <color rgb="FF000000"/>
        <rFont val="Arial"/>
        <charset val="134"/>
      </rPr>
      <t>:CEO</t>
    </r>
  </si>
  <si>
    <r>
      <rPr>
        <sz val="9"/>
        <color rgb="FF000000"/>
        <rFont val="楷体"/>
        <charset val="134"/>
      </rPr>
      <t>浙江省杭州市西湖区万塘路</t>
    </r>
    <r>
      <rPr>
        <sz val="9"/>
        <color rgb="FF000000"/>
        <rFont val="Arial"/>
        <charset val="134"/>
      </rPr>
      <t>252</t>
    </r>
    <r>
      <rPr>
        <sz val="9"/>
        <color rgb="FF000000"/>
        <rFont val="楷体"/>
        <charset val="134"/>
      </rPr>
      <t>号计量大厦</t>
    </r>
    <r>
      <rPr>
        <sz val="9"/>
        <color rgb="FF000000"/>
        <rFont val="Arial"/>
        <charset val="134"/>
      </rPr>
      <t>16</t>
    </r>
    <r>
      <rPr>
        <sz val="9"/>
        <color rgb="FF000000"/>
        <rFont val="楷体"/>
        <charset val="134"/>
      </rPr>
      <t>楼</t>
    </r>
  </si>
  <si>
    <t>0571-5688-6371</t>
  </si>
  <si>
    <t>weiyi@winbaoxian.com</t>
  </si>
  <si>
    <r>
      <rPr>
        <sz val="9"/>
        <color rgb="FF000000"/>
        <rFont val="楷体"/>
        <charset val="134"/>
      </rPr>
      <t>诺亚控股</t>
    </r>
    <r>
      <rPr>
        <sz val="9"/>
        <color rgb="FF000000"/>
        <rFont val="Arial"/>
        <charset val="134"/>
      </rPr>
      <t>,</t>
    </r>
    <r>
      <rPr>
        <sz val="9"/>
        <color rgb="FF000000"/>
        <rFont val="楷体"/>
        <charset val="134"/>
      </rPr>
      <t>新浪</t>
    </r>
  </si>
  <si>
    <t>2017-10-24</t>
  </si>
  <si>
    <r>
      <rPr>
        <sz val="9"/>
        <color rgb="FF000000"/>
        <rFont val="楷体"/>
        <charset val="134"/>
      </rPr>
      <t>蚂蚁集团</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星河互联</t>
    </r>
    <r>
      <rPr>
        <sz val="9"/>
        <color rgb="FF000000"/>
        <rFont val="Arial"/>
        <charset val="134"/>
      </rPr>
      <t>,</t>
    </r>
    <r>
      <rPr>
        <sz val="9"/>
        <color rgb="FF000000"/>
        <rFont val="楷体"/>
        <charset val="134"/>
      </rPr>
      <t>峰尚资本</t>
    </r>
  </si>
  <si>
    <t>2016-08-15</t>
  </si>
  <si>
    <t>2015-11-02</t>
  </si>
  <si>
    <t>泛城资本</t>
  </si>
  <si>
    <t>2018-10-25</t>
  </si>
  <si>
    <t>明觉科技</t>
  </si>
  <si>
    <t>明觉科技是集数据服务、人工智能、互联网为一体的汽车后市场创新服务企业。为汽车行业客户提供一个信息协作平台和定制化的数据服务，帮助客户提升运营效率、服务质量及管理能力。</t>
  </si>
  <si>
    <t>明觉科技（北京）有限公司</t>
  </si>
  <si>
    <t>http://www.dataenlighten.com</t>
  </si>
  <si>
    <r>
      <rPr>
        <sz val="9"/>
        <color rgb="FF000000"/>
        <rFont val="楷体"/>
        <charset val="134"/>
      </rPr>
      <t>云锋基金</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滴滴出行</t>
    </r>
  </si>
  <si>
    <r>
      <rPr>
        <sz val="9"/>
        <color rgb="FF000000"/>
        <rFont val="楷体"/>
        <charset val="134"/>
      </rPr>
      <t>周凯</t>
    </r>
    <r>
      <rPr>
        <sz val="9"/>
        <color rgb="FF000000"/>
        <rFont val="Arial"/>
        <charset val="134"/>
      </rPr>
      <t>:</t>
    </r>
    <r>
      <rPr>
        <sz val="9"/>
        <color rgb="FF000000"/>
        <rFont val="楷体"/>
        <charset val="134"/>
      </rPr>
      <t>董事长</t>
    </r>
  </si>
  <si>
    <r>
      <rPr>
        <sz val="9"/>
        <color rgb="FF000000"/>
        <rFont val="楷体"/>
        <charset val="134"/>
      </rPr>
      <t>北京市海淀区西大街</t>
    </r>
    <r>
      <rPr>
        <sz val="9"/>
        <color rgb="FF000000"/>
        <rFont val="Arial"/>
        <charset val="134"/>
      </rPr>
      <t>39</t>
    </r>
    <r>
      <rPr>
        <sz val="9"/>
        <color rgb="FF000000"/>
        <rFont val="楷体"/>
        <charset val="134"/>
      </rPr>
      <t>号二层</t>
    </r>
    <r>
      <rPr>
        <sz val="9"/>
        <color rgb="FF000000"/>
        <rFont val="Arial"/>
        <charset val="134"/>
      </rPr>
      <t>201</t>
    </r>
    <r>
      <rPr>
        <sz val="9"/>
        <color rgb="FF000000"/>
        <rFont val="楷体"/>
        <charset val="134"/>
      </rPr>
      <t>室</t>
    </r>
    <r>
      <rPr>
        <sz val="9"/>
        <color rgb="FF000000"/>
        <rFont val="Arial"/>
        <charset val="134"/>
      </rPr>
      <t>-052;</t>
    </r>
    <r>
      <rPr>
        <sz val="9"/>
        <color rgb="FF000000"/>
        <rFont val="楷体"/>
        <charset val="134"/>
      </rPr>
      <t>北京市海淀区西大街</t>
    </r>
    <r>
      <rPr>
        <sz val="9"/>
        <color rgb="FF000000"/>
        <rFont val="Arial"/>
        <charset val="134"/>
      </rPr>
      <t>39</t>
    </r>
    <r>
      <rPr>
        <sz val="9"/>
        <color rgb="FF000000"/>
        <rFont val="楷体"/>
        <charset val="134"/>
      </rPr>
      <t>号二层</t>
    </r>
    <r>
      <rPr>
        <sz val="9"/>
        <color rgb="FF000000"/>
        <rFont val="Arial"/>
        <charset val="134"/>
      </rPr>
      <t>201</t>
    </r>
    <r>
      <rPr>
        <sz val="9"/>
        <color rgb="FF000000"/>
        <rFont val="楷体"/>
        <charset val="134"/>
      </rPr>
      <t>室</t>
    </r>
    <r>
      <rPr>
        <sz val="9"/>
        <color rgb="FF000000"/>
        <rFont val="Arial"/>
        <charset val="134"/>
      </rPr>
      <t xml:space="preserve">-052 </t>
    </r>
  </si>
  <si>
    <t>400-008-2128</t>
  </si>
  <si>
    <t>4000082128@b.qq.com</t>
  </si>
  <si>
    <t>2017-10-30</t>
  </si>
  <si>
    <r>
      <rPr>
        <sz val="9"/>
        <color rgb="FF000000"/>
        <rFont val="楷体"/>
        <charset val="134"/>
      </rPr>
      <t>蚂蚁集团</t>
    </r>
    <r>
      <rPr>
        <sz val="9"/>
        <color rgb="FF000000"/>
        <rFont val="Arial"/>
        <charset val="134"/>
      </rPr>
      <t>,</t>
    </r>
    <r>
      <rPr>
        <sz val="9"/>
        <color rgb="FF000000"/>
        <rFont val="楷体"/>
        <charset val="134"/>
      </rPr>
      <t>滴滴出行</t>
    </r>
  </si>
  <si>
    <t>2018-04-13</t>
  </si>
  <si>
    <t>探物</t>
  </si>
  <si>
    <t>探物是一个新奇科技数码租赁平台，专注科技产品分享，聚集热爱科技产品的社群用户，用户能在平台上发现新产品、体验产品、获取信息、分享心得，让极客文化扩散至更多普通消费群体中，感受科技产品带去的魅力。</t>
  </si>
  <si>
    <t>深圳探物网络科技有限公司</t>
  </si>
  <si>
    <t>http://www.tanwuapp.com</t>
  </si>
  <si>
    <r>
      <rPr>
        <sz val="9"/>
        <color rgb="FF000000"/>
        <rFont val="楷体"/>
        <charset val="134"/>
      </rPr>
      <t>周晓东</t>
    </r>
    <r>
      <rPr>
        <sz val="9"/>
        <color rgb="FF000000"/>
        <rFont val="Arial"/>
        <charset val="134"/>
      </rPr>
      <t>:</t>
    </r>
    <r>
      <rPr>
        <sz val="9"/>
        <color rgb="FF000000"/>
        <rFont val="楷体"/>
        <charset val="134"/>
      </rPr>
      <t>执行董事</t>
    </r>
  </si>
  <si>
    <r>
      <rPr>
        <sz val="9"/>
        <color rgb="FF000000"/>
        <rFont val="楷体"/>
        <charset val="134"/>
      </rPr>
      <t>广东省深圳市南山区粤海街道科技园高新南一道飞亚达科技大厦</t>
    </r>
    <r>
      <rPr>
        <sz val="9"/>
        <color rgb="FF000000"/>
        <rFont val="Arial"/>
        <charset val="134"/>
      </rPr>
      <t>1103</t>
    </r>
    <r>
      <rPr>
        <sz val="9"/>
        <color rgb="FF000000"/>
        <rFont val="楷体"/>
        <charset val="134"/>
      </rPr>
      <t>室</t>
    </r>
  </si>
  <si>
    <t>400-880-3825</t>
  </si>
  <si>
    <t>tanwu@tanwuapp.com</t>
  </si>
  <si>
    <t>2018-01-11</t>
  </si>
  <si>
    <t>通卡联城</t>
  </si>
  <si>
    <r>
      <rPr>
        <sz val="9"/>
        <color rgb="FF000000"/>
        <rFont val="楷体"/>
        <charset val="134"/>
      </rPr>
      <t>通卡联城是一家可信服务管理平台建设提供商，为用户提供精准营销、互联网理财、公交客服等服务，致力于基于一卡多应用技术来实现对安全芯片</t>
    </r>
    <r>
      <rPr>
        <sz val="9"/>
        <color rgb="FF000000"/>
        <rFont val="Arial"/>
        <charset val="134"/>
      </rPr>
      <t>SE</t>
    </r>
    <r>
      <rPr>
        <sz val="9"/>
        <color rgb="FF000000"/>
        <rFont val="楷体"/>
        <charset val="134"/>
      </rPr>
      <t>进行空间管理、应用接入和空中发卡体系的</t>
    </r>
    <r>
      <rPr>
        <sz val="9"/>
        <color rgb="FF000000"/>
        <rFont val="Arial"/>
        <charset val="134"/>
      </rPr>
      <t>TSM</t>
    </r>
    <r>
      <rPr>
        <sz val="9"/>
        <color rgb="FF000000"/>
        <rFont val="楷体"/>
        <charset val="134"/>
      </rPr>
      <t>平台建设，并最终在线下通过</t>
    </r>
    <r>
      <rPr>
        <sz val="9"/>
        <color rgb="FF000000"/>
        <rFont val="Arial"/>
        <charset val="134"/>
      </rPr>
      <t>NFC</t>
    </r>
    <r>
      <rPr>
        <sz val="9"/>
        <color rgb="FF000000"/>
        <rFont val="楷体"/>
        <charset val="134"/>
      </rPr>
      <t>等技术与传统受理设备交互实现移动支付闭环。</t>
    </r>
  </si>
  <si>
    <t>通卡联城网络科技有限公司</t>
  </si>
  <si>
    <t>http://www.allcitygo.com</t>
  </si>
  <si>
    <r>
      <rPr>
        <sz val="9"/>
        <color rgb="FF000000"/>
        <rFont val="楷体"/>
        <charset val="134"/>
      </rPr>
      <t>徐晓</t>
    </r>
    <r>
      <rPr>
        <sz val="9"/>
        <color rgb="FF000000"/>
        <rFont val="Arial"/>
        <charset val="134"/>
      </rPr>
      <t>:CEO</t>
    </r>
  </si>
  <si>
    <r>
      <rPr>
        <sz val="9"/>
        <color rgb="FF000000"/>
        <rFont val="楷体"/>
        <charset val="134"/>
      </rPr>
      <t>浙江省杭州市上城区婺江路</t>
    </r>
    <r>
      <rPr>
        <sz val="9"/>
        <color rgb="FF000000"/>
        <rFont val="Arial"/>
        <charset val="134"/>
      </rPr>
      <t>217</t>
    </r>
    <r>
      <rPr>
        <sz val="9"/>
        <color rgb="FF000000"/>
        <rFont val="楷体"/>
        <charset val="134"/>
      </rPr>
      <t>号近江时代大厦</t>
    </r>
    <r>
      <rPr>
        <sz val="9"/>
        <color rgb="FF000000"/>
        <rFont val="Arial"/>
        <charset val="134"/>
      </rPr>
      <t>A</t>
    </r>
    <r>
      <rPr>
        <sz val="9"/>
        <color rgb="FF000000"/>
        <rFont val="楷体"/>
        <charset val="134"/>
      </rPr>
      <t>座</t>
    </r>
    <r>
      <rPr>
        <sz val="9"/>
        <color rgb="FF000000"/>
        <rFont val="Arial"/>
        <charset val="134"/>
      </rPr>
      <t>18</t>
    </r>
    <r>
      <rPr>
        <sz val="9"/>
        <color rgb="FF000000"/>
        <rFont val="楷体"/>
        <charset val="134"/>
      </rPr>
      <t>楼</t>
    </r>
  </si>
  <si>
    <t>0571-8711-3301</t>
  </si>
  <si>
    <t>citycard@citytsm.com</t>
  </si>
  <si>
    <r>
      <rPr>
        <sz val="9"/>
        <color rgb="FF000000"/>
        <rFont val="楷体"/>
        <charset val="134"/>
      </rPr>
      <t>新湖中宝</t>
    </r>
    <r>
      <rPr>
        <sz val="9"/>
        <color rgb="FF000000"/>
        <rFont val="Arial"/>
        <charset val="134"/>
      </rPr>
      <t>-</t>
    </r>
    <r>
      <rPr>
        <sz val="9"/>
        <color rgb="FF000000"/>
        <rFont val="楷体"/>
        <charset val="134"/>
      </rPr>
      <t>新湖控股</t>
    </r>
  </si>
  <si>
    <t>2019-07-23</t>
  </si>
  <si>
    <t>智慧畅行</t>
  </si>
  <si>
    <t>智慧畅行是一家定位于交通行业应用研究，以物联网和大数据平台为载体，为交通主管部门、交通企业、个人等提供交通解决方案和平台运营支撑的数据驱动型一站式智慧交通生态平台企业。公司产品及解决方案：城乡道路客运油补和新能源监管平台、智慧公交、网络约租车监管平台、交通一卡通清分平台、新能源充电桩运营管理平台、智能车载硬件设备解决方案等。</t>
  </si>
  <si>
    <t>湖南智慧畅行交通科技有限公司</t>
  </si>
  <si>
    <t>http://about.123cx.com</t>
  </si>
  <si>
    <r>
      <rPr>
        <sz val="9"/>
        <color rgb="FF000000"/>
        <rFont val="楷体"/>
        <charset val="134"/>
      </rPr>
      <t>李湘黔</t>
    </r>
    <r>
      <rPr>
        <sz val="9"/>
        <color rgb="FF000000"/>
        <rFont val="Arial"/>
        <charset val="134"/>
      </rPr>
      <t>:</t>
    </r>
    <r>
      <rPr>
        <sz val="9"/>
        <color rgb="FF000000"/>
        <rFont val="楷体"/>
        <charset val="134"/>
      </rPr>
      <t>董事长</t>
    </r>
  </si>
  <si>
    <r>
      <rPr>
        <sz val="9"/>
        <color rgb="FF000000"/>
        <rFont val="楷体"/>
        <charset val="134"/>
      </rPr>
      <t>长沙高新开发区尖山路</t>
    </r>
    <r>
      <rPr>
        <sz val="9"/>
        <color rgb="FF000000"/>
        <rFont val="Arial"/>
        <charset val="134"/>
      </rPr>
      <t>39</t>
    </r>
    <r>
      <rPr>
        <sz val="9"/>
        <color rgb="FF000000"/>
        <rFont val="楷体"/>
        <charset val="134"/>
      </rPr>
      <t>号中电软件园</t>
    </r>
    <r>
      <rPr>
        <sz val="9"/>
        <color rgb="FF000000"/>
        <rFont val="Arial"/>
        <charset val="134"/>
      </rPr>
      <t>9</t>
    </r>
    <r>
      <rPr>
        <sz val="9"/>
        <color rgb="FF000000"/>
        <rFont val="楷体"/>
        <charset val="134"/>
      </rPr>
      <t>栋</t>
    </r>
    <r>
      <rPr>
        <sz val="9"/>
        <color rgb="FF000000"/>
        <rFont val="Arial"/>
        <charset val="134"/>
      </rPr>
      <t>5</t>
    </r>
    <r>
      <rPr>
        <sz val="9"/>
        <color rgb="FF000000"/>
        <rFont val="楷体"/>
        <charset val="134"/>
      </rPr>
      <t>楼</t>
    </r>
    <r>
      <rPr>
        <sz val="9"/>
        <color rgb="FF000000"/>
        <rFont val="Arial"/>
        <charset val="134"/>
      </rPr>
      <t>503</t>
    </r>
  </si>
  <si>
    <t>400-900-8977</t>
  </si>
  <si>
    <t>info@123cx.com</t>
  </si>
  <si>
    <t>2019-07-16</t>
  </si>
  <si>
    <t>2018-06-01</t>
  </si>
  <si>
    <t>2017-12-04</t>
  </si>
  <si>
    <t>2017-06-29</t>
  </si>
  <si>
    <t>2017-04-17</t>
  </si>
  <si>
    <t>2017-01-12</t>
  </si>
  <si>
    <t>2016-11-04</t>
  </si>
  <si>
    <r>
      <rPr>
        <sz val="9"/>
        <color rgb="FF000000"/>
        <rFont val="楷体"/>
        <charset val="134"/>
      </rPr>
      <t>永安行是一家共享单车服务品牌，打造城市绿色共享出行的服务平台，具有扫码租车、站点车辆信息查询、个人骑行记录查询、个人碳积分查询和个人碳交易等丰富功能。</t>
    </r>
    <r>
      <rPr>
        <sz val="9"/>
        <color rgb="FF000000"/>
        <rFont val="Arial"/>
        <charset val="134"/>
      </rPr>
      <t xml:space="preserve"> </t>
    </r>
    <r>
      <rPr>
        <sz val="9"/>
        <color rgb="FF000000"/>
        <rFont val="楷体"/>
        <charset val="134"/>
      </rPr>
      <t>常州永安公共自行车系统股份有限公司旗下产品。</t>
    </r>
  </si>
  <si>
    <t>永安行科技股份有限公司</t>
  </si>
  <si>
    <t>http://www.ibike668.com/</t>
  </si>
  <si>
    <r>
      <rPr>
        <sz val="9"/>
        <color rgb="FF000000"/>
        <rFont val="Arial"/>
        <charset val="134"/>
      </rPr>
      <t>9.84</t>
    </r>
    <r>
      <rPr>
        <sz val="9"/>
        <color rgb="FF000000"/>
        <rFont val="楷体"/>
        <charset val="134"/>
      </rPr>
      <t>亿</t>
    </r>
  </si>
  <si>
    <r>
      <rPr>
        <sz val="9"/>
        <color rgb="FF000000"/>
        <rFont val="楷体"/>
        <charset val="134"/>
      </rPr>
      <t>孙继胜</t>
    </r>
    <r>
      <rPr>
        <sz val="9"/>
        <color rgb="FF000000"/>
        <rFont val="Arial"/>
        <charset val="134"/>
      </rPr>
      <t>:CEO</t>
    </r>
  </si>
  <si>
    <r>
      <rPr>
        <sz val="9"/>
        <color rgb="FF000000"/>
        <rFont val="楷体"/>
        <charset val="134"/>
      </rPr>
      <t>江苏省常州市新北区汉江路</t>
    </r>
    <r>
      <rPr>
        <sz val="9"/>
        <color rgb="FF000000"/>
        <rFont val="Arial"/>
        <charset val="134"/>
      </rPr>
      <t>400</t>
    </r>
    <r>
      <rPr>
        <sz val="9"/>
        <color rgb="FF000000"/>
        <rFont val="楷体"/>
        <charset val="134"/>
      </rPr>
      <t>号</t>
    </r>
    <r>
      <rPr>
        <sz val="9"/>
        <color rgb="FF000000"/>
        <rFont val="Arial"/>
        <charset val="134"/>
      </rPr>
      <t>;</t>
    </r>
    <r>
      <rPr>
        <sz val="9"/>
        <color rgb="FF000000"/>
        <rFont val="楷体"/>
        <charset val="134"/>
      </rPr>
      <t>江苏省常州市汉江路</t>
    </r>
    <r>
      <rPr>
        <sz val="9"/>
        <color rgb="FF000000"/>
        <rFont val="Arial"/>
        <charset val="134"/>
      </rPr>
      <t>400</t>
    </r>
    <r>
      <rPr>
        <sz val="9"/>
        <color rgb="FF000000"/>
        <rFont val="楷体"/>
        <charset val="134"/>
      </rPr>
      <t>号</t>
    </r>
  </si>
  <si>
    <t>400-881-6919;0519-81282033/81282058</t>
  </si>
  <si>
    <t>eversafe@ibike668.com</t>
  </si>
  <si>
    <r>
      <rPr>
        <sz val="9"/>
        <color rgb="FF000000"/>
        <rFont val="Arial"/>
        <charset val="134"/>
      </rPr>
      <t>6.44</t>
    </r>
    <r>
      <rPr>
        <sz val="9"/>
        <color rgb="FF000000"/>
        <rFont val="楷体"/>
        <charset val="134"/>
      </rPr>
      <t>亿人民币</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</si>
  <si>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蚂蚁集团</t>
    </r>
  </si>
  <si>
    <t>2014-08-28</t>
  </si>
  <si>
    <r>
      <rPr>
        <sz val="9"/>
        <color rgb="FF000000"/>
        <rFont val="楷体"/>
        <charset val="134"/>
      </rPr>
      <t>深创投</t>
    </r>
    <r>
      <rPr>
        <sz val="9"/>
        <color rgb="FF000000"/>
        <rFont val="Arial"/>
        <charset val="134"/>
      </rPr>
      <t>,</t>
    </r>
    <r>
      <rPr>
        <sz val="9"/>
        <color rgb="FF000000"/>
        <rFont val="楷体"/>
        <charset val="134"/>
      </rPr>
      <t>冠亚投资</t>
    </r>
  </si>
  <si>
    <t>2020-02-08</t>
  </si>
  <si>
    <t>MoneyGram速汇金</t>
  </si>
  <si>
    <r>
      <rPr>
        <sz val="9"/>
        <color rgb="FF000000"/>
        <rFont val="Arial"/>
        <charset val="134"/>
      </rPr>
      <t>MoneyGram</t>
    </r>
    <r>
      <rPr>
        <sz val="9"/>
        <color rgb="FF000000"/>
        <rFont val="楷体"/>
        <charset val="134"/>
      </rPr>
      <t>速汇金</t>
    </r>
  </si>
  <si>
    <r>
      <rPr>
        <sz val="9"/>
        <color rgb="FF000000"/>
        <rFont val="Arial"/>
        <charset val="134"/>
      </rPr>
      <t>MoneyGram</t>
    </r>
    <r>
      <rPr>
        <sz val="9"/>
        <color rgb="FF000000"/>
        <rFont val="楷体"/>
        <charset val="134"/>
      </rPr>
      <t>速汇金是一种个人间的环球快速汇款业务，可在十余分钟内完成由汇款人到收款人的汇款过程。</t>
    </r>
  </si>
  <si>
    <t>http://global.moneygram.com</t>
  </si>
  <si>
    <t>1940-01</t>
  </si>
  <si>
    <t>Brinks</t>
  </si>
  <si>
    <r>
      <rPr>
        <sz val="9"/>
        <color rgb="FF000000"/>
        <rFont val="Arial"/>
        <charset val="134"/>
      </rPr>
      <t>62.34</t>
    </r>
    <r>
      <rPr>
        <sz val="9"/>
        <color rgb="FF000000"/>
        <rFont val="楷体"/>
        <charset val="134"/>
      </rPr>
      <t>亿</t>
    </r>
  </si>
  <si>
    <r>
      <rPr>
        <sz val="9"/>
        <color rgb="FF000000"/>
        <rFont val="Arial"/>
        <charset val="134"/>
      </rPr>
      <t>2.925</t>
    </r>
    <r>
      <rPr>
        <sz val="9"/>
        <color rgb="FF000000"/>
        <rFont val="楷体"/>
        <charset val="134"/>
      </rPr>
      <t>亿元</t>
    </r>
  </si>
  <si>
    <t>Alex Holmes:Chairman &amp; Chief Executive Officer,Andy Villareal:Chief Compliance Officer,Anna Greenwald:Chief Operating Officer,Brian Johnson:Head of Corporate Finance &amp; Global Treasurer,Dustin Ingersoll:Enterprise Administrator,Grant Lines:Chief Revenue Officer,Greg Hall:Chief Marketing Officer and Chief Customer Officer,Hilary Jackson:Chief Operating Officer,Larry Angelilli:Chief Financial Officer,Robert Villasenor:General Counsel, Corporate Secretary and CAO,Seth Ross:Chief Digital Officer</t>
  </si>
  <si>
    <t>Ripple</t>
  </si>
  <si>
    <t>2019-06-18</t>
  </si>
  <si>
    <t>2017-01-27</t>
  </si>
  <si>
    <r>
      <rPr>
        <sz val="9"/>
        <color rgb="FF000000"/>
        <rFont val="Arial"/>
        <charset val="134"/>
      </rPr>
      <t>8.8</t>
    </r>
    <r>
      <rPr>
        <sz val="9"/>
        <color rgb="FF000000"/>
        <rFont val="楷体"/>
        <charset val="134"/>
      </rPr>
      <t>亿美元</t>
    </r>
  </si>
  <si>
    <t>雨点金服</t>
  </si>
  <si>
    <t>雨点金服是一家专注为中小微企业和个人提供各类场景下信贷服务的公司，产品包括商业保理业务、融资租赁业务、供应链金融、大数据征信等。上海乐雨信息科技有限公司旗下产品。</t>
  </si>
  <si>
    <t>上海乐雨信息科技有限公司</t>
  </si>
  <si>
    <t>http://www.yudianbank.com/</t>
  </si>
  <si>
    <r>
      <rPr>
        <sz val="9"/>
        <color rgb="FF000000"/>
        <rFont val="楷体"/>
        <charset val="134"/>
      </rPr>
      <t>复星锐正资本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滕澜实业</t>
    </r>
    <r>
      <rPr>
        <sz val="9"/>
        <color rgb="FF000000"/>
        <rFont val="Arial"/>
        <charset val="134"/>
      </rPr>
      <t>,</t>
    </r>
    <r>
      <rPr>
        <sz val="9"/>
        <color rgb="FF000000"/>
        <rFont val="楷体"/>
        <charset val="134"/>
      </rPr>
      <t>复耕投资</t>
    </r>
  </si>
  <si>
    <r>
      <rPr>
        <sz val="9"/>
        <color rgb="FF000000"/>
        <rFont val="楷体"/>
        <charset val="134"/>
      </rPr>
      <t>张世伟</t>
    </r>
    <r>
      <rPr>
        <sz val="9"/>
        <color rgb="FF000000"/>
        <rFont val="Arial"/>
        <charset val="134"/>
      </rPr>
      <t>:CEO,</t>
    </r>
    <r>
      <rPr>
        <sz val="9"/>
        <color rgb="FF000000"/>
        <rFont val="楷体"/>
        <charset val="134"/>
      </rPr>
      <t>朱祥凯</t>
    </r>
    <r>
      <rPr>
        <sz val="9"/>
        <color rgb="FF000000"/>
        <rFont val="Arial"/>
        <charset val="134"/>
      </rPr>
      <t>:</t>
    </r>
    <r>
      <rPr>
        <sz val="9"/>
        <color rgb="FF000000"/>
        <rFont val="楷体"/>
        <charset val="134"/>
      </rPr>
      <t>董事</t>
    </r>
  </si>
  <si>
    <r>
      <rPr>
        <sz val="9"/>
        <color rgb="FF000000"/>
        <rFont val="楷体"/>
        <charset val="134"/>
      </rPr>
      <t>上海市浦东新区东方路</t>
    </r>
    <r>
      <rPr>
        <sz val="9"/>
        <color rgb="FF000000"/>
        <rFont val="Arial"/>
        <charset val="134"/>
      </rPr>
      <t>3601</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2364</t>
    </r>
    <r>
      <rPr>
        <sz val="9"/>
        <color rgb="FF000000"/>
        <rFont val="楷体"/>
        <charset val="134"/>
      </rPr>
      <t>室</t>
    </r>
  </si>
  <si>
    <t>021-61106298</t>
  </si>
  <si>
    <t>wangxiaomeng@yudianbank.com</t>
  </si>
  <si>
    <t>2017-09-06</t>
  </si>
  <si>
    <r>
      <rPr>
        <sz val="9"/>
        <color rgb="FF000000"/>
        <rFont val="楷体"/>
        <charset val="134"/>
      </rPr>
      <t>取势资本</t>
    </r>
    <r>
      <rPr>
        <sz val="9"/>
        <color rgb="FF000000"/>
        <rFont val="Arial"/>
        <charset val="134"/>
      </rPr>
      <t>,</t>
    </r>
    <r>
      <rPr>
        <sz val="9"/>
        <color rgb="FF000000"/>
        <rFont val="楷体"/>
        <charset val="134"/>
      </rPr>
      <t>德邦证券</t>
    </r>
    <r>
      <rPr>
        <sz val="9"/>
        <color rgb="FF000000"/>
        <rFont val="Arial"/>
        <charset val="134"/>
      </rPr>
      <t>,</t>
    </r>
    <r>
      <rPr>
        <sz val="9"/>
        <color rgb="FF000000"/>
        <rFont val="楷体"/>
        <charset val="134"/>
      </rPr>
      <t>宽鼎资产</t>
    </r>
  </si>
  <si>
    <t>2016-12-28</t>
  </si>
  <si>
    <r>
      <rPr>
        <sz val="9"/>
        <color rgb="FF000000"/>
        <rFont val="楷体"/>
        <charset val="134"/>
      </rPr>
      <t>红杉资本中国</t>
    </r>
    <r>
      <rPr>
        <sz val="9"/>
        <color rgb="FF000000"/>
        <rFont val="Arial"/>
        <charset val="134"/>
      </rPr>
      <t>,</t>
    </r>
    <r>
      <rPr>
        <sz val="9"/>
        <color rgb="FF000000"/>
        <rFont val="楷体"/>
        <charset val="134"/>
      </rPr>
      <t>复朴投资</t>
    </r>
    <r>
      <rPr>
        <sz val="9"/>
        <color rgb="FF000000"/>
        <rFont val="Arial"/>
        <charset val="134"/>
      </rPr>
      <t>,</t>
    </r>
    <r>
      <rPr>
        <sz val="9"/>
        <color rgb="FF000000"/>
        <rFont val="楷体"/>
        <charset val="134"/>
      </rPr>
      <t>中航产融</t>
    </r>
  </si>
  <si>
    <r>
      <rPr>
        <sz val="9"/>
        <color rgb="FF000000"/>
        <rFont val="Arial"/>
        <charset val="134"/>
      </rPr>
      <t>1.13</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</si>
  <si>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英诺天使基金</t>
    </r>
    <r>
      <rPr>
        <sz val="9"/>
        <color rgb="FF000000"/>
        <rFont val="Arial"/>
        <charset val="134"/>
      </rPr>
      <t>,</t>
    </r>
    <r>
      <rPr>
        <sz val="9"/>
        <color rgb="FF000000"/>
        <rFont val="楷体"/>
        <charset val="134"/>
      </rPr>
      <t>乐视网</t>
    </r>
  </si>
  <si>
    <t>复朴投资</t>
  </si>
  <si>
    <t>Mynt</t>
  </si>
  <si>
    <r>
      <rPr>
        <sz val="9"/>
        <color rgb="FF000000"/>
        <rFont val="Arial"/>
        <charset val="134"/>
      </rPr>
      <t>Mynt</t>
    </r>
    <r>
      <rPr>
        <sz val="9"/>
        <color rgb="FF000000"/>
        <rFont val="楷体"/>
        <charset val="134"/>
      </rPr>
      <t>是一家小微支付公司，主要提供小微支付服务和移动借贷服务，旗下核心产品</t>
    </r>
    <r>
      <rPr>
        <sz val="9"/>
        <color rgb="FF000000"/>
        <rFont val="Arial"/>
        <charset val="134"/>
      </rPr>
      <t>GCash</t>
    </r>
    <r>
      <rPr>
        <sz val="9"/>
        <color rgb="FF000000"/>
        <rFont val="楷体"/>
        <charset val="134"/>
      </rPr>
      <t>服务，利用投资帮助公司的金融产品扩大业务范围和规模。</t>
    </r>
  </si>
  <si>
    <t>https://www.mynt.xyz/</t>
  </si>
  <si>
    <r>
      <rPr>
        <sz val="9"/>
        <color rgb="FF000000"/>
        <rFont val="楷体"/>
        <charset val="134"/>
      </rPr>
      <t>亚洲</t>
    </r>
    <r>
      <rPr>
        <sz val="9"/>
        <color rgb="FF000000"/>
        <rFont val="Arial"/>
        <charset val="134"/>
      </rPr>
      <t>-</t>
    </r>
    <r>
      <rPr>
        <sz val="9"/>
        <color rgb="FF000000"/>
        <rFont val="楷体"/>
        <charset val="134"/>
      </rPr>
      <t>菲律宾</t>
    </r>
  </si>
  <si>
    <r>
      <rPr>
        <sz val="9"/>
        <color rgb="FF000000"/>
        <rFont val="Arial"/>
        <charset val="134"/>
      </rPr>
      <t>Insight Partners,Warburg Pincus(</t>
    </r>
    <r>
      <rPr>
        <sz val="9"/>
        <color rgb="FF000000"/>
        <rFont val="楷体"/>
        <charset val="134"/>
      </rPr>
      <t>华平海外投资</t>
    </r>
    <r>
      <rPr>
        <sz val="9"/>
        <color rgb="FF000000"/>
        <rFont val="Arial"/>
        <charset val="134"/>
      </rPr>
      <t>),Amplo,Globe Telecom,Ayala Corporation,Bow Wave Capital</t>
    </r>
  </si>
  <si>
    <r>
      <rPr>
        <sz val="9"/>
        <color rgb="FF000000"/>
        <rFont val="Arial"/>
        <charset val="134"/>
      </rPr>
      <t>20.8</t>
    </r>
    <r>
      <rPr>
        <sz val="9"/>
        <color rgb="FF000000"/>
        <rFont val="楷体"/>
        <charset val="134"/>
      </rPr>
      <t>亿</t>
    </r>
  </si>
  <si>
    <t>Anthony Thomas:CEO,Martha Sazon:President, CEO,Robelle Denean Dadigan:Learning &amp; Development Associate</t>
  </si>
  <si>
    <t>2017-02-21</t>
  </si>
  <si>
    <t>2022-11-16</t>
  </si>
  <si>
    <t>雨诺</t>
  </si>
  <si>
    <t>雨诺是一家医药批发和医药零售连锁企业信息化全面解决方案厂商，致力于满足医药领域批发企业、零售企业、批零兼营企业、零售连锁企业和集团分销企业的信息化应用。</t>
  </si>
  <si>
    <t>青岛雨诺网络信息股份有限公司</t>
  </si>
  <si>
    <t>http://www.romens.cn/</t>
  </si>
  <si>
    <t>金蝶国际</t>
  </si>
  <si>
    <r>
      <rPr>
        <sz val="9"/>
        <color rgb="FF000000"/>
        <rFont val="Arial"/>
        <charset val="134"/>
      </rPr>
      <t>5.1</t>
    </r>
    <r>
      <rPr>
        <sz val="9"/>
        <color rgb="FF000000"/>
        <rFont val="楷体"/>
        <charset val="134"/>
      </rPr>
      <t>亿</t>
    </r>
  </si>
  <si>
    <r>
      <rPr>
        <sz val="9"/>
        <color rgb="FF000000"/>
        <rFont val="楷体"/>
        <charset val="134"/>
      </rPr>
      <t>赵兴庭</t>
    </r>
    <r>
      <rPr>
        <sz val="9"/>
        <color rgb="FF000000"/>
        <rFont val="Arial"/>
        <charset val="134"/>
      </rPr>
      <t>:CEO</t>
    </r>
  </si>
  <si>
    <r>
      <rPr>
        <sz val="9"/>
        <color rgb="FF000000"/>
        <rFont val="楷体"/>
        <charset val="134"/>
      </rPr>
      <t>宁夏路</t>
    </r>
    <r>
      <rPr>
        <sz val="9"/>
        <color rgb="FF000000"/>
        <rFont val="Arial"/>
        <charset val="134"/>
      </rPr>
      <t>288</t>
    </r>
    <r>
      <rPr>
        <sz val="9"/>
        <color rgb="FF000000"/>
        <rFont val="楷体"/>
        <charset val="134"/>
      </rPr>
      <t>号市南软件产业基地</t>
    </r>
    <r>
      <rPr>
        <sz val="9"/>
        <color rgb="FF000000"/>
        <rFont val="Arial"/>
        <charset val="134"/>
      </rPr>
      <t>3</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5</t>
    </r>
    <r>
      <rPr>
        <sz val="9"/>
        <color rgb="FF000000"/>
        <rFont val="楷体"/>
        <charset val="134"/>
      </rPr>
      <t>层</t>
    </r>
  </si>
  <si>
    <t>0532-8588-6309</t>
  </si>
  <si>
    <t>romens@romens.cn</t>
  </si>
  <si>
    <t>2018-10-16</t>
  </si>
  <si>
    <t>2016-05-31</t>
  </si>
  <si>
    <t>2015-12-18</t>
  </si>
  <si>
    <r>
      <rPr>
        <sz val="9"/>
        <color rgb="FF000000"/>
        <rFont val="楷体"/>
        <charset val="134"/>
      </rPr>
      <t>翊翎资本</t>
    </r>
    <r>
      <rPr>
        <sz val="9"/>
        <color rgb="FF000000"/>
        <rFont val="Arial"/>
        <charset val="134"/>
      </rPr>
      <t>,</t>
    </r>
    <r>
      <rPr>
        <sz val="9"/>
        <color rgb="FF000000"/>
        <rFont val="楷体"/>
        <charset val="134"/>
      </rPr>
      <t>大有国际投资</t>
    </r>
  </si>
  <si>
    <t>深鉴科技</t>
  </si>
  <si>
    <r>
      <rPr>
        <sz val="9"/>
        <color rgb="FF000000"/>
        <rFont val="楷体"/>
        <charset val="134"/>
      </rPr>
      <t>深鉴科技是一家专注深度学习处理器解决方案的人工智能科技公司，旗下有雨燕深度学习处理平台，让服务器与所有终端都能具有高效的智能计算能力，赋予万物智能，公司目前的主要业务是神经网络压缩、编译、</t>
    </r>
    <r>
      <rPr>
        <sz val="9"/>
        <color rgb="FF000000"/>
        <rFont val="Arial"/>
        <charset val="134"/>
      </rPr>
      <t>DPU</t>
    </r>
    <r>
      <rPr>
        <sz val="9"/>
        <color rgb="FF000000"/>
        <rFont val="楷体"/>
        <charset val="134"/>
      </rPr>
      <t>体系结构与指令集结构设计、</t>
    </r>
    <r>
      <rPr>
        <sz val="9"/>
        <color rgb="FF000000"/>
        <rFont val="Arial"/>
        <charset val="134"/>
      </rPr>
      <t>FPGA</t>
    </r>
    <r>
      <rPr>
        <sz val="9"/>
        <color rgb="FF000000"/>
        <rFont val="楷体"/>
        <charset val="134"/>
      </rPr>
      <t>开发、系统集成完整开发。</t>
    </r>
  </si>
  <si>
    <t>北京深鉴科技有限公司</t>
  </si>
  <si>
    <t>http://www.deephi.com/</t>
  </si>
  <si>
    <r>
      <rPr>
        <sz val="9"/>
        <color rgb="FF000000"/>
        <rFont val="楷体"/>
        <charset val="134"/>
      </rPr>
      <t>赛灵思</t>
    </r>
    <r>
      <rPr>
        <sz val="9"/>
        <color rgb="FF000000"/>
        <rFont val="Arial"/>
        <charset val="134"/>
      </rPr>
      <t>Xilinx</t>
    </r>
  </si>
  <si>
    <r>
      <rPr>
        <sz val="9"/>
        <color rgb="FF000000"/>
        <rFont val="楷体"/>
        <charset val="134"/>
      </rPr>
      <t>姚颂</t>
    </r>
    <r>
      <rPr>
        <sz val="9"/>
        <color rgb="FF000000"/>
        <rFont val="Arial"/>
        <charset val="134"/>
      </rPr>
      <t>:CEO,</t>
    </r>
    <r>
      <rPr>
        <sz val="9"/>
        <color rgb="FF000000"/>
        <rFont val="楷体"/>
        <charset val="134"/>
      </rPr>
      <t>汪玉</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韩松</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单羿</t>
    </r>
    <r>
      <rPr>
        <sz val="9"/>
        <color rgb="FF000000"/>
        <rFont val="Arial"/>
        <charset val="134"/>
      </rPr>
      <t>:CTO,</t>
    </r>
    <r>
      <rPr>
        <sz val="9"/>
        <color rgb="FF000000"/>
        <rFont val="楷体"/>
        <charset val="134"/>
      </rPr>
      <t>刘竞秀</t>
    </r>
    <r>
      <rPr>
        <sz val="9"/>
        <color rgb="FF000000"/>
        <rFont val="Arial"/>
        <charset val="134"/>
      </rPr>
      <t>:</t>
    </r>
    <r>
      <rPr>
        <sz val="9"/>
        <color rgb="FF000000"/>
        <rFont val="楷体"/>
        <charset val="134"/>
      </rPr>
      <t>产品市场负责人</t>
    </r>
    <r>
      <rPr>
        <sz val="9"/>
        <color rgb="FF000000"/>
        <rFont val="Arial"/>
        <charset val="134"/>
      </rPr>
      <t xml:space="preserve">	,</t>
    </r>
    <r>
      <rPr>
        <sz val="9"/>
        <color rgb="FF000000"/>
        <rFont val="楷体"/>
        <charset val="134"/>
      </rPr>
      <t>谢东亮</t>
    </r>
    <r>
      <rPr>
        <sz val="9"/>
        <color rgb="FF000000"/>
        <rFont val="Arial"/>
        <charset val="134"/>
      </rPr>
      <t>:</t>
    </r>
    <r>
      <rPr>
        <sz val="9"/>
        <color rgb="FF000000"/>
        <rFont val="楷体"/>
        <charset val="134"/>
      </rPr>
      <t>硬件负责人</t>
    </r>
    <r>
      <rPr>
        <sz val="9"/>
        <color rgb="FF000000"/>
        <rFont val="Arial"/>
        <charset val="134"/>
      </rPr>
      <t>,</t>
    </r>
    <r>
      <rPr>
        <sz val="9"/>
        <color rgb="FF000000"/>
        <rFont val="楷体"/>
        <charset val="134"/>
      </rPr>
      <t>罗洪</t>
    </r>
    <r>
      <rPr>
        <sz val="9"/>
        <color rgb="FF000000"/>
        <rFont val="Arial"/>
        <charset val="134"/>
      </rPr>
      <t>:</t>
    </r>
    <r>
      <rPr>
        <sz val="9"/>
        <color rgb="FF000000"/>
        <rFont val="楷体"/>
        <charset val="134"/>
      </rPr>
      <t>公司负责人</t>
    </r>
  </si>
  <si>
    <r>
      <rPr>
        <sz val="9"/>
        <color rgb="FF000000"/>
        <rFont val="楷体"/>
        <charset val="134"/>
      </rPr>
      <t>北京市海淀区王庄路</t>
    </r>
    <r>
      <rPr>
        <sz val="9"/>
        <color rgb="FF000000"/>
        <rFont val="Arial"/>
        <charset val="134"/>
      </rPr>
      <t>1</t>
    </r>
    <r>
      <rPr>
        <sz val="9"/>
        <color rgb="FF000000"/>
        <rFont val="楷体"/>
        <charset val="134"/>
      </rPr>
      <t>号院</t>
    </r>
    <r>
      <rPr>
        <sz val="9"/>
        <color rgb="FF000000"/>
        <rFont val="Arial"/>
        <charset val="134"/>
      </rPr>
      <t>4</t>
    </r>
    <r>
      <rPr>
        <sz val="9"/>
        <color rgb="FF000000"/>
        <rFont val="楷体"/>
        <charset val="134"/>
      </rPr>
      <t>号楼</t>
    </r>
    <r>
      <rPr>
        <sz val="9"/>
        <color rgb="FF000000"/>
        <rFont val="Arial"/>
        <charset val="134"/>
      </rPr>
      <t>8</t>
    </r>
    <r>
      <rPr>
        <sz val="9"/>
        <color rgb="FF000000"/>
        <rFont val="楷体"/>
        <charset val="134"/>
      </rPr>
      <t>层</t>
    </r>
    <r>
      <rPr>
        <sz val="9"/>
        <color rgb="FF000000"/>
        <rFont val="Arial"/>
        <charset val="134"/>
      </rPr>
      <t>807</t>
    </r>
    <r>
      <rPr>
        <sz val="9"/>
        <color rgb="FF000000"/>
        <rFont val="楷体"/>
        <charset val="134"/>
      </rPr>
      <t>号</t>
    </r>
  </si>
  <si>
    <t>dream@deephi.tech</t>
  </si>
  <si>
    <t>2017-08-23</t>
  </si>
  <si>
    <r>
      <rPr>
        <sz val="9"/>
        <color rgb="FF000000"/>
        <rFont val="楷体"/>
        <charset val="134"/>
      </rPr>
      <t>华创资本</t>
    </r>
    <r>
      <rPr>
        <sz val="9"/>
        <color rgb="FF000000"/>
        <rFont val="Arial"/>
        <charset val="134"/>
      </rPr>
      <t>,Samsung Ventures</t>
    </r>
    <r>
      <rPr>
        <sz val="9"/>
        <color rgb="FF000000"/>
        <rFont val="楷体"/>
        <charset val="134"/>
      </rPr>
      <t>三星</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招商局创投</t>
    </r>
  </si>
  <si>
    <t>2017-05-18</t>
  </si>
  <si>
    <r>
      <rPr>
        <sz val="9"/>
        <color rgb="FF000000"/>
        <rFont val="楷体"/>
        <charset val="134"/>
      </rPr>
      <t>金沙江创投</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联发科</t>
    </r>
    <r>
      <rPr>
        <sz val="9"/>
        <color rgb="FF000000"/>
        <rFont val="Arial"/>
        <charset val="134"/>
      </rPr>
      <t>MTK,</t>
    </r>
    <r>
      <rPr>
        <sz val="9"/>
        <color rgb="FF000000"/>
        <rFont val="楷体"/>
        <charset val="134"/>
      </rPr>
      <t>赛灵思</t>
    </r>
    <r>
      <rPr>
        <sz val="9"/>
        <color rgb="FF000000"/>
        <rFont val="Arial"/>
        <charset val="134"/>
      </rPr>
      <t>Xilinx,</t>
    </r>
    <r>
      <rPr>
        <sz val="9"/>
        <color rgb="FF000000"/>
        <rFont val="楷体"/>
        <charset val="134"/>
      </rPr>
      <t>清华控股</t>
    </r>
    <r>
      <rPr>
        <sz val="9"/>
        <color rgb="FF000000"/>
        <rFont val="Arial"/>
        <charset val="134"/>
      </rPr>
      <t>,IMO Ventures,</t>
    </r>
    <r>
      <rPr>
        <sz val="9"/>
        <color rgb="FF000000"/>
        <rFont val="楷体"/>
        <charset val="134"/>
      </rPr>
      <t>方和资本</t>
    </r>
  </si>
  <si>
    <t>2016-05-20</t>
  </si>
  <si>
    <r>
      <rPr>
        <sz val="9"/>
        <color rgb="FF000000"/>
        <rFont val="楷体"/>
        <charset val="134"/>
      </rPr>
      <t>金沙江创投</t>
    </r>
    <r>
      <rPr>
        <sz val="9"/>
        <color rgb="FF000000"/>
        <rFont val="Arial"/>
        <charset val="134"/>
      </rPr>
      <t>,</t>
    </r>
    <r>
      <rPr>
        <sz val="9"/>
        <color rgb="FF000000"/>
        <rFont val="楷体"/>
        <charset val="134"/>
      </rPr>
      <t>高榕资本</t>
    </r>
  </si>
  <si>
    <t>2016-11-06</t>
  </si>
  <si>
    <t>人力窝</t>
  </si>
  <si>
    <r>
      <rPr>
        <sz val="9"/>
        <color rgb="FF000000"/>
        <rFont val="楷体"/>
        <charset val="134"/>
      </rPr>
      <t>人力窝</t>
    </r>
    <r>
      <rPr>
        <sz val="9"/>
        <color rgb="FF000000"/>
        <rFont val="Arial"/>
        <charset val="134"/>
      </rPr>
      <t>WoWooHR</t>
    </r>
    <r>
      <rPr>
        <sz val="9"/>
        <color rgb="FF000000"/>
        <rFont val="楷体"/>
        <charset val="134"/>
      </rPr>
      <t>是一家互联网人力资源服务云平台，在线服务已涵盖：入离职管理、社保管理、薪资管理，薪资单定制与发放，员工福利管理，全国人事政策咨询，在线智慧服务中心等，隶属于仁励窝网络科技（上海）有限公司。</t>
    </r>
  </si>
  <si>
    <t>仁励窝网络科技（上海）有限公司</t>
  </si>
  <si>
    <t>http://www.renliwo.com/</t>
  </si>
  <si>
    <r>
      <rPr>
        <sz val="9"/>
        <color rgb="FF000000"/>
        <rFont val="楷体"/>
        <charset val="134"/>
      </rPr>
      <t>马西亚</t>
    </r>
    <r>
      <rPr>
        <sz val="9"/>
        <color rgb="FF000000"/>
        <rFont val="Arial"/>
        <charset val="134"/>
      </rPr>
      <t>:CEO</t>
    </r>
  </si>
  <si>
    <r>
      <rPr>
        <sz val="9"/>
        <color rgb="FF000000"/>
        <rFont val="楷体"/>
        <charset val="134"/>
      </rPr>
      <t>上海市黄浦区北京东路</t>
    </r>
    <r>
      <rPr>
        <sz val="9"/>
        <color rgb="FF000000"/>
        <rFont val="Arial"/>
        <charset val="134"/>
      </rPr>
      <t>666</t>
    </r>
    <r>
      <rPr>
        <sz val="9"/>
        <color rgb="FF000000"/>
        <rFont val="楷体"/>
        <charset val="134"/>
      </rPr>
      <t>号</t>
    </r>
    <r>
      <rPr>
        <sz val="9"/>
        <color rgb="FF000000"/>
        <rFont val="Arial"/>
        <charset val="134"/>
      </rPr>
      <t>H</t>
    </r>
    <r>
      <rPr>
        <sz val="9"/>
        <color rgb="FF000000"/>
        <rFont val="楷体"/>
        <charset val="134"/>
      </rPr>
      <t>区（东楼）</t>
    </r>
    <r>
      <rPr>
        <sz val="9"/>
        <color rgb="FF000000"/>
        <rFont val="Arial"/>
        <charset val="134"/>
      </rPr>
      <t>H609</t>
    </r>
    <r>
      <rPr>
        <sz val="9"/>
        <color rgb="FF000000"/>
        <rFont val="楷体"/>
        <charset val="134"/>
      </rPr>
      <t>室</t>
    </r>
  </si>
  <si>
    <t>021-3588-3215</t>
  </si>
  <si>
    <t>service@wowoohr.com</t>
  </si>
  <si>
    <t>2016-04-09</t>
  </si>
  <si>
    <t>尚芸飞流</t>
  </si>
  <si>
    <r>
      <rPr>
        <sz val="9"/>
        <color rgb="FF000000"/>
        <rFont val="楷体"/>
        <charset val="134"/>
      </rPr>
      <t>尚芸飞流是一家互联网金融</t>
    </r>
    <r>
      <rPr>
        <sz val="9"/>
        <color rgb="FF000000"/>
        <rFont val="Arial"/>
        <charset val="134"/>
      </rPr>
      <t>IT</t>
    </r>
    <r>
      <rPr>
        <sz val="9"/>
        <color rgb="FF000000"/>
        <rFont val="楷体"/>
        <charset val="134"/>
      </rPr>
      <t>解决方案服务商，要提供以下互联网金融解决方案：云核心及直销银行、线上供应链金融、理财平台等，助力金融机构站上云端新金融。</t>
    </r>
  </si>
  <si>
    <t>上海尚芸飞流信息技术有限公司</t>
  </si>
  <si>
    <t>http://www.sy-fintech.com/</t>
  </si>
  <si>
    <t>2016-02</t>
  </si>
  <si>
    <r>
      <rPr>
        <sz val="9"/>
        <color rgb="FF000000"/>
        <rFont val="楷体"/>
        <charset val="134"/>
      </rPr>
      <t>上海市浦东新区民生路</t>
    </r>
    <r>
      <rPr>
        <sz val="9"/>
        <color rgb="FF000000"/>
        <rFont val="Arial"/>
        <charset val="134"/>
      </rPr>
      <t>1199</t>
    </r>
    <r>
      <rPr>
        <sz val="9"/>
        <color rgb="FF000000"/>
        <rFont val="楷体"/>
        <charset val="134"/>
      </rPr>
      <t>弄证大五道口广场</t>
    </r>
    <r>
      <rPr>
        <sz val="9"/>
        <color rgb="FF000000"/>
        <rFont val="Arial"/>
        <charset val="134"/>
      </rPr>
      <t>1</t>
    </r>
    <r>
      <rPr>
        <sz val="9"/>
        <color rgb="FF000000"/>
        <rFont val="楷体"/>
        <charset val="134"/>
      </rPr>
      <t>号楼</t>
    </r>
    <r>
      <rPr>
        <sz val="9"/>
        <color rgb="FF000000"/>
        <rFont val="Arial"/>
        <charset val="134"/>
      </rPr>
      <t>2601B</t>
    </r>
    <r>
      <rPr>
        <sz val="9"/>
        <color rgb="FF000000"/>
        <rFont val="楷体"/>
        <charset val="134"/>
      </rPr>
      <t>室</t>
    </r>
  </si>
  <si>
    <t>admin@sy-fintech.com</t>
  </si>
  <si>
    <t>2018-05-28</t>
  </si>
  <si>
    <t>嘉图软件</t>
  </si>
  <si>
    <r>
      <rPr>
        <sz val="9"/>
        <color rgb="FF000000"/>
        <rFont val="楷体"/>
        <charset val="134"/>
      </rPr>
      <t>嘉图软件是一家专注服务于图书借阅</t>
    </r>
    <r>
      <rPr>
        <sz val="9"/>
        <color rgb="FF000000"/>
        <rFont val="Arial"/>
        <charset val="134"/>
      </rPr>
      <t>O2O</t>
    </r>
    <r>
      <rPr>
        <sz val="9"/>
        <color rgb="FF000000"/>
        <rFont val="楷体"/>
        <charset val="134"/>
      </rPr>
      <t>平台的软件服务商，基于对图书馆总分馆体系业务的深刻了解和多年行业实践，</t>
    </r>
    <r>
      <rPr>
        <sz val="9"/>
        <color rgb="FF000000"/>
        <rFont val="Arial"/>
        <charset val="134"/>
      </rPr>
      <t>“</t>
    </r>
    <r>
      <rPr>
        <sz val="9"/>
        <color rgb="FF000000"/>
        <rFont val="楷体"/>
        <charset val="134"/>
      </rPr>
      <t>书分享</t>
    </r>
    <r>
      <rPr>
        <sz val="9"/>
        <color rgb="FF000000"/>
        <rFont val="Arial"/>
        <charset val="134"/>
      </rPr>
      <t>”</t>
    </r>
    <r>
      <rPr>
        <sz val="9"/>
        <color rgb="FF000000"/>
        <rFont val="楷体"/>
        <charset val="134"/>
      </rPr>
      <t>图书借阅</t>
    </r>
    <r>
      <rPr>
        <sz val="9"/>
        <color rgb="FF000000"/>
        <rFont val="Arial"/>
        <charset val="134"/>
      </rPr>
      <t>O2O</t>
    </r>
    <r>
      <rPr>
        <sz val="9"/>
        <color rgb="FF000000"/>
        <rFont val="楷体"/>
        <charset val="134"/>
      </rPr>
      <t>平台借助互联网</t>
    </r>
    <r>
      <rPr>
        <sz val="9"/>
        <color rgb="FF000000"/>
        <rFont val="Arial"/>
        <charset val="134"/>
      </rPr>
      <t>O2O</t>
    </r>
    <r>
      <rPr>
        <sz val="9"/>
        <color rgb="FF000000"/>
        <rFont val="楷体"/>
        <charset val="134"/>
      </rPr>
      <t>模式为图书借阅中馆藏、流通、借阅、找书、打包、物流和取书等每个环节提供深入的信息化解决方案。</t>
    </r>
  </si>
  <si>
    <t>江苏嘉图网络科技股份有限公司</t>
  </si>
  <si>
    <t>http://www.jiatu.info/</t>
  </si>
  <si>
    <r>
      <rPr>
        <sz val="9"/>
        <color rgb="FF000000"/>
        <rFont val="Arial"/>
        <charset val="134"/>
      </rPr>
      <t>4600</t>
    </r>
    <r>
      <rPr>
        <sz val="9"/>
        <color rgb="FF000000"/>
        <rFont val="楷体"/>
        <charset val="134"/>
      </rPr>
      <t>万</t>
    </r>
  </si>
  <si>
    <r>
      <rPr>
        <sz val="9"/>
        <color rgb="FF000000"/>
        <rFont val="楷体"/>
        <charset val="134"/>
      </rPr>
      <t>徐伟国</t>
    </r>
    <r>
      <rPr>
        <sz val="9"/>
        <color rgb="FF000000"/>
        <rFont val="Arial"/>
        <charset val="134"/>
      </rPr>
      <t>:</t>
    </r>
    <r>
      <rPr>
        <sz val="9"/>
        <color rgb="FF000000"/>
        <rFont val="楷体"/>
        <charset val="134"/>
      </rPr>
      <t>董事长兼总经理</t>
    </r>
  </si>
  <si>
    <r>
      <rPr>
        <sz val="9"/>
        <color rgb="FF000000"/>
        <rFont val="楷体"/>
        <charset val="134"/>
      </rPr>
      <t>工业园区仁爱路</t>
    </r>
    <r>
      <rPr>
        <sz val="9"/>
        <color rgb="FF000000"/>
        <rFont val="Arial"/>
        <charset val="134"/>
      </rPr>
      <t>258</t>
    </r>
    <r>
      <rPr>
        <sz val="9"/>
        <color rgb="FF000000"/>
        <rFont val="楷体"/>
        <charset val="134"/>
      </rPr>
      <t>号</t>
    </r>
    <r>
      <rPr>
        <sz val="9"/>
        <color rgb="FF000000"/>
        <rFont val="Arial"/>
        <charset val="134"/>
      </rPr>
      <t>A203</t>
    </r>
    <r>
      <rPr>
        <sz val="9"/>
        <color rgb="FF000000"/>
        <rFont val="楷体"/>
        <charset val="134"/>
      </rPr>
      <t>、</t>
    </r>
    <r>
      <rPr>
        <sz val="9"/>
        <color rgb="FF000000"/>
        <rFont val="Arial"/>
        <charset val="134"/>
      </rPr>
      <t>A205</t>
    </r>
    <r>
      <rPr>
        <sz val="9"/>
        <color rgb="FF000000"/>
        <rFont val="楷体"/>
        <charset val="134"/>
      </rPr>
      <t>室</t>
    </r>
  </si>
  <si>
    <t>0512-8718-0070</t>
  </si>
  <si>
    <t>674879426@qq.com</t>
  </si>
  <si>
    <t>2016-12-01</t>
  </si>
  <si>
    <r>
      <rPr>
        <sz val="9"/>
        <color rgb="FF000000"/>
        <rFont val="Arial"/>
        <charset val="134"/>
      </rPr>
      <t>1600</t>
    </r>
    <r>
      <rPr>
        <sz val="9"/>
        <color rgb="FF000000"/>
        <rFont val="楷体"/>
        <charset val="134"/>
      </rPr>
      <t>万人民币</t>
    </r>
  </si>
  <si>
    <t>协立投资</t>
  </si>
  <si>
    <t>2019-08-28</t>
  </si>
  <si>
    <t>大汉软件</t>
  </si>
  <si>
    <r>
      <rPr>
        <sz val="9"/>
        <color rgb="FF000000"/>
        <rFont val="楷体"/>
        <charset val="134"/>
      </rPr>
      <t>大汉科技是中国电子政务内容管理领域的创新企业，致力于成为</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应用引领与实践者。业务涉及互联网门户、云应用支撑、移动互联网、数据智能、</t>
    </r>
    <r>
      <rPr>
        <sz val="9"/>
        <color rgb="FF000000"/>
        <rFont val="Arial"/>
        <charset val="134"/>
      </rPr>
      <t>WEB</t>
    </r>
    <r>
      <rPr>
        <sz val="9"/>
        <color rgb="FF000000"/>
        <rFont val="楷体"/>
        <charset val="134"/>
      </rPr>
      <t>应用安全等技术领域；我们服务的典型客户包括：国家部委、省市级政府及央企。</t>
    </r>
  </si>
  <si>
    <t>大汉软件股份有限公司</t>
  </si>
  <si>
    <t>http://www.hanweb.com</t>
  </si>
  <si>
    <r>
      <rPr>
        <sz val="9"/>
        <color rgb="FF000000"/>
        <rFont val="Arial"/>
        <charset val="134"/>
      </rPr>
      <t>2.2</t>
    </r>
    <r>
      <rPr>
        <sz val="9"/>
        <color rgb="FF000000"/>
        <rFont val="楷体"/>
        <charset val="134"/>
      </rPr>
      <t>亿</t>
    </r>
  </si>
  <si>
    <r>
      <rPr>
        <sz val="9"/>
        <color rgb="FF000000"/>
        <rFont val="楷体"/>
        <charset val="134"/>
      </rPr>
      <t>金翔宇</t>
    </r>
    <r>
      <rPr>
        <sz val="9"/>
        <color rgb="FF000000"/>
        <rFont val="Arial"/>
        <charset val="134"/>
      </rPr>
      <t>:</t>
    </r>
    <r>
      <rPr>
        <sz val="9"/>
        <color rgb="FF000000"/>
        <rFont val="楷体"/>
        <charset val="134"/>
      </rPr>
      <t>创始人</t>
    </r>
  </si>
  <si>
    <r>
      <rPr>
        <sz val="9"/>
        <color rgb="FF000000"/>
        <rFont val="楷体"/>
        <charset val="134"/>
      </rPr>
      <t>南京玄武区钟灵街</t>
    </r>
    <r>
      <rPr>
        <sz val="9"/>
        <color rgb="FF000000"/>
        <rFont val="Arial"/>
        <charset val="134"/>
      </rPr>
      <t>50</t>
    </r>
    <r>
      <rPr>
        <sz val="9"/>
        <color rgb="FF000000"/>
        <rFont val="楷体"/>
        <charset val="134"/>
      </rPr>
      <t>号紫金大厦</t>
    </r>
    <r>
      <rPr>
        <sz val="9"/>
        <color rgb="FF000000"/>
        <rFont val="Arial"/>
        <charset val="134"/>
      </rPr>
      <t>3</t>
    </r>
    <r>
      <rPr>
        <sz val="9"/>
        <color rgb="FF000000"/>
        <rFont val="楷体"/>
        <charset val="134"/>
      </rPr>
      <t>层</t>
    </r>
  </si>
  <si>
    <t>025-8478-8329</t>
  </si>
  <si>
    <t>hr@hanweb.com</t>
  </si>
  <si>
    <t>2019-02-02</t>
  </si>
  <si>
    <t>2019-09-22</t>
  </si>
  <si>
    <t>南威软件</t>
  </si>
  <si>
    <r>
      <rPr>
        <sz val="9"/>
        <color rgb="FF000000"/>
        <rFont val="楷体"/>
        <charset val="134"/>
      </rPr>
      <t>南威是一个</t>
    </r>
    <r>
      <rPr>
        <sz val="9"/>
        <color rgb="FF000000"/>
        <rFont val="Arial"/>
        <charset val="134"/>
      </rPr>
      <t>B2D</t>
    </r>
    <r>
      <rPr>
        <sz val="9"/>
        <color rgb="FF000000"/>
        <rFont val="楷体"/>
        <charset val="134"/>
      </rPr>
      <t>开发者平台，专注于为政务、军队、交通等领域提供软件开发、系统集成和分享经济平台运营服务，致力于提供行业智能化整体解决方案及咨询服务，推动相关行业的发展。</t>
    </r>
  </si>
  <si>
    <t>南威软件股份有限公司</t>
  </si>
  <si>
    <t>http://www.linewell.com</t>
  </si>
  <si>
    <r>
      <rPr>
        <sz val="9"/>
        <color rgb="FF000000"/>
        <rFont val="楷体"/>
        <charset val="134"/>
      </rPr>
      <t>福建</t>
    </r>
    <r>
      <rPr>
        <sz val="9"/>
        <color rgb="FF000000"/>
        <rFont val="Arial"/>
        <charset val="134"/>
      </rPr>
      <t>-</t>
    </r>
    <r>
      <rPr>
        <sz val="9"/>
        <color rgb="FF000000"/>
        <rFont val="楷体"/>
        <charset val="134"/>
      </rPr>
      <t>泉州</t>
    </r>
  </si>
  <si>
    <t>电科投资</t>
  </si>
  <si>
    <r>
      <rPr>
        <sz val="9"/>
        <color rgb="FF000000"/>
        <rFont val="Arial"/>
        <charset val="134"/>
      </rPr>
      <t>10.83</t>
    </r>
    <r>
      <rPr>
        <sz val="9"/>
        <color rgb="FF000000"/>
        <rFont val="楷体"/>
        <charset val="134"/>
      </rPr>
      <t>亿</t>
    </r>
  </si>
  <si>
    <r>
      <rPr>
        <sz val="9"/>
        <color rgb="FF000000"/>
        <rFont val="楷体"/>
        <charset val="134"/>
      </rPr>
      <t>吴志雄</t>
    </r>
    <r>
      <rPr>
        <sz val="9"/>
        <color rgb="FF000000"/>
        <rFont val="Arial"/>
        <charset val="134"/>
      </rPr>
      <t>:CEO</t>
    </r>
  </si>
  <si>
    <r>
      <rPr>
        <sz val="9"/>
        <color rgb="FF000000"/>
        <rFont val="楷体"/>
        <charset val="134"/>
      </rPr>
      <t>福建省泉州市丰海路南威大厦</t>
    </r>
    <r>
      <rPr>
        <sz val="9"/>
        <color rgb="FF000000"/>
        <rFont val="Arial"/>
        <charset val="134"/>
      </rPr>
      <t>2</t>
    </r>
    <r>
      <rPr>
        <sz val="9"/>
        <color rgb="FF000000"/>
        <rFont val="楷体"/>
        <charset val="134"/>
      </rPr>
      <t>号楼</t>
    </r>
  </si>
  <si>
    <t>0595-6828-8999</t>
  </si>
  <si>
    <t>kf@linewell.com</t>
  </si>
  <si>
    <t>2019-01-12</t>
  </si>
  <si>
    <r>
      <rPr>
        <sz val="9"/>
        <color rgb="FF000000"/>
        <rFont val="Arial"/>
        <charset val="134"/>
      </rPr>
      <t>3.06</t>
    </r>
    <r>
      <rPr>
        <sz val="9"/>
        <color rgb="FF000000"/>
        <rFont val="楷体"/>
        <charset val="134"/>
      </rPr>
      <t>亿人民币</t>
    </r>
  </si>
  <si>
    <t>2014-12-30</t>
  </si>
  <si>
    <r>
      <rPr>
        <sz val="9"/>
        <color rgb="FF000000"/>
        <rFont val="Arial"/>
        <charset val="134"/>
      </rPr>
      <t>3.74</t>
    </r>
    <r>
      <rPr>
        <sz val="9"/>
        <color rgb="FF000000"/>
        <rFont val="楷体"/>
        <charset val="134"/>
      </rPr>
      <t>亿人民币</t>
    </r>
  </si>
  <si>
    <t>2010-12-29</t>
  </si>
  <si>
    <r>
      <rPr>
        <sz val="9"/>
        <color rgb="FF000000"/>
        <rFont val="Arial"/>
        <charset val="134"/>
      </rPr>
      <t>7886</t>
    </r>
    <r>
      <rPr>
        <sz val="9"/>
        <color rgb="FF000000"/>
        <rFont val="楷体"/>
        <charset val="134"/>
      </rPr>
      <t>万人民币</t>
    </r>
  </si>
  <si>
    <r>
      <rPr>
        <sz val="9"/>
        <color rgb="FF000000"/>
        <rFont val="楷体"/>
        <charset val="134"/>
      </rPr>
      <t>东方汇富</t>
    </r>
    <r>
      <rPr>
        <sz val="9"/>
        <color rgb="FF000000"/>
        <rFont val="Arial"/>
        <charset val="134"/>
      </rPr>
      <t>,</t>
    </r>
    <r>
      <rPr>
        <sz val="9"/>
        <color rgb="FF000000"/>
        <rFont val="楷体"/>
        <charset val="134"/>
      </rPr>
      <t>盈科资本</t>
    </r>
    <r>
      <rPr>
        <sz val="9"/>
        <color rgb="FF000000"/>
        <rFont val="Arial"/>
        <charset val="134"/>
      </rPr>
      <t>,</t>
    </r>
    <r>
      <rPr>
        <sz val="9"/>
        <color rgb="FF000000"/>
        <rFont val="楷体"/>
        <charset val="134"/>
      </rPr>
      <t>地山股权投资</t>
    </r>
  </si>
  <si>
    <t>2021-04-06</t>
  </si>
  <si>
    <t>思迅软件</t>
  </si>
  <si>
    <t>思迅软件是一家企业服务公司，专注于零售流通业、商业自动化与餐饮娱乐行业信息化技术研究开发与推广应用，致力于为客户提供零售及餐饮解决方案。</t>
  </si>
  <si>
    <t>深圳市思迅软件股份有限公司</t>
  </si>
  <si>
    <r>
      <rPr>
        <sz val="9"/>
        <color rgb="FF000000"/>
        <rFont val="Arial"/>
        <charset val="134"/>
      </rPr>
      <t>5.5</t>
    </r>
    <r>
      <rPr>
        <sz val="9"/>
        <color rgb="FF000000"/>
        <rFont val="楷体"/>
        <charset val="134"/>
      </rPr>
      <t>亿</t>
    </r>
  </si>
  <si>
    <r>
      <rPr>
        <sz val="9"/>
        <color rgb="FF000000"/>
        <rFont val="Arial"/>
        <charset val="134"/>
      </rPr>
      <t>22.5</t>
    </r>
    <r>
      <rPr>
        <sz val="9"/>
        <color rgb="FF000000"/>
        <rFont val="楷体"/>
        <charset val="134"/>
      </rPr>
      <t>亿元</t>
    </r>
  </si>
  <si>
    <r>
      <rPr>
        <sz val="9"/>
        <color rgb="FF000000"/>
        <rFont val="楷体"/>
        <charset val="134"/>
      </rPr>
      <t>关东玉</t>
    </r>
    <r>
      <rPr>
        <sz val="9"/>
        <color rgb="FF000000"/>
        <rFont val="Arial"/>
        <charset val="134"/>
      </rPr>
      <t>:CEO</t>
    </r>
  </si>
  <si>
    <r>
      <rPr>
        <sz val="9"/>
        <color rgb="FF000000"/>
        <rFont val="楷体"/>
        <charset val="134"/>
      </rPr>
      <t>广东省深圳市南山区科园路</t>
    </r>
    <r>
      <rPr>
        <sz val="9"/>
        <color rgb="FF000000"/>
        <rFont val="Arial"/>
        <charset val="134"/>
      </rPr>
      <t>1003</t>
    </r>
    <r>
      <rPr>
        <sz val="9"/>
        <color rgb="FF000000"/>
        <rFont val="楷体"/>
        <charset val="134"/>
      </rPr>
      <t>号深圳软件产业基地</t>
    </r>
    <r>
      <rPr>
        <sz val="9"/>
        <color rgb="FF000000"/>
        <rFont val="Arial"/>
        <charset val="134"/>
      </rPr>
      <t>2C</t>
    </r>
    <r>
      <rPr>
        <sz val="9"/>
        <color rgb="FF000000"/>
        <rFont val="楷体"/>
        <charset val="134"/>
      </rPr>
      <t>栋</t>
    </r>
    <r>
      <rPr>
        <sz val="9"/>
        <color rgb="FF000000"/>
        <rFont val="Arial"/>
        <charset val="134"/>
      </rPr>
      <t>13</t>
    </r>
    <r>
      <rPr>
        <sz val="9"/>
        <color rgb="FF000000"/>
        <rFont val="楷体"/>
        <charset val="134"/>
      </rPr>
      <t>楼</t>
    </r>
  </si>
  <si>
    <t>0755-2652-0701</t>
  </si>
  <si>
    <t>2016-12-31</t>
  </si>
  <si>
    <t>恒生聚源</t>
  </si>
  <si>
    <t>恒生聚源是一家金融资讯服务供应商，致力于与国内券商、基金、保险、信托、银行、期货和资产管理公司等机构建立了广泛的业务合作和金融信息服务，提供整体的解决方案和服务。公司的主要业务包括规划咨询、软件开发实施、技术服务以及系统维护服务等。</t>
  </si>
  <si>
    <t>上海恒生聚源数据服务有限公司</t>
  </si>
  <si>
    <t>http://www.gildata.com</t>
  </si>
  <si>
    <t>2000-09</t>
  </si>
  <si>
    <r>
      <rPr>
        <sz val="9"/>
        <color rgb="FF000000"/>
        <rFont val="Arial"/>
        <charset val="134"/>
      </rPr>
      <t>1750</t>
    </r>
    <r>
      <rPr>
        <sz val="9"/>
        <color rgb="FF000000"/>
        <rFont val="楷体"/>
        <charset val="134"/>
      </rPr>
      <t>万人民币</t>
    </r>
  </si>
  <si>
    <r>
      <rPr>
        <sz val="9"/>
        <color rgb="FF000000"/>
        <rFont val="Arial"/>
        <charset val="134"/>
      </rPr>
      <t>4.08</t>
    </r>
    <r>
      <rPr>
        <sz val="9"/>
        <color rgb="FF000000"/>
        <rFont val="楷体"/>
        <charset val="134"/>
      </rPr>
      <t>亿</t>
    </r>
  </si>
  <si>
    <r>
      <rPr>
        <sz val="9"/>
        <color rgb="FF000000"/>
        <rFont val="Arial"/>
        <charset val="134"/>
      </rPr>
      <t>8750</t>
    </r>
    <r>
      <rPr>
        <sz val="9"/>
        <color rgb="FF000000"/>
        <rFont val="楷体"/>
        <charset val="134"/>
      </rPr>
      <t>万元</t>
    </r>
  </si>
  <si>
    <r>
      <rPr>
        <sz val="9"/>
        <color rgb="FF000000"/>
        <rFont val="楷体"/>
        <charset val="134"/>
      </rPr>
      <t>王锋</t>
    </r>
    <r>
      <rPr>
        <sz val="9"/>
        <color rgb="FF000000"/>
        <rFont val="Arial"/>
        <charset val="134"/>
      </rPr>
      <t>:CEO</t>
    </r>
  </si>
  <si>
    <r>
      <rPr>
        <sz val="9"/>
        <color rgb="FF000000"/>
        <rFont val="楷体"/>
        <charset val="134"/>
      </rPr>
      <t>上海市浦东新区峨山路</t>
    </r>
    <r>
      <rPr>
        <sz val="9"/>
        <color rgb="FF000000"/>
        <rFont val="Arial"/>
        <charset val="134"/>
      </rPr>
      <t>91</t>
    </r>
    <r>
      <rPr>
        <sz val="9"/>
        <color rgb="FF000000"/>
        <rFont val="楷体"/>
        <charset val="134"/>
      </rPr>
      <t>弄</t>
    </r>
    <r>
      <rPr>
        <sz val="9"/>
        <color rgb="FF000000"/>
        <rFont val="Arial"/>
        <charset val="134"/>
      </rPr>
      <t>61</t>
    </r>
    <r>
      <rPr>
        <sz val="9"/>
        <color rgb="FF000000"/>
        <rFont val="楷体"/>
        <charset val="134"/>
      </rPr>
      <t>号陆家嘴软件园</t>
    </r>
    <r>
      <rPr>
        <sz val="9"/>
        <color rgb="FF000000"/>
        <rFont val="Arial"/>
        <charset val="134"/>
      </rPr>
      <t>10</t>
    </r>
    <r>
      <rPr>
        <sz val="9"/>
        <color rgb="FF000000"/>
        <rFont val="楷体"/>
        <charset val="134"/>
      </rPr>
      <t>号楼</t>
    </r>
    <r>
      <rPr>
        <sz val="9"/>
        <color rgb="FF000000"/>
        <rFont val="Arial"/>
        <charset val="134"/>
      </rPr>
      <t>7-8</t>
    </r>
    <r>
      <rPr>
        <sz val="9"/>
        <color rgb="FF000000"/>
        <rFont val="楷体"/>
        <charset val="134"/>
      </rPr>
      <t>楼</t>
    </r>
  </si>
  <si>
    <t>400-820-7887</t>
  </si>
  <si>
    <t>service@gildata.com</t>
  </si>
  <si>
    <t>2014-11-25</t>
  </si>
  <si>
    <r>
      <rPr>
        <sz val="9"/>
        <color rgb="FF000000"/>
        <rFont val="Arial"/>
        <charset val="134"/>
      </rPr>
      <t>3.9</t>
    </r>
    <r>
      <rPr>
        <sz val="9"/>
        <color rgb="FF000000"/>
        <rFont val="楷体"/>
        <charset val="134"/>
      </rPr>
      <t>亿人民币</t>
    </r>
  </si>
  <si>
    <r>
      <rPr>
        <sz val="9"/>
        <color rgb="FF000000"/>
        <rFont val="楷体"/>
        <charset val="134"/>
      </rPr>
      <t>蚂蚁集团</t>
    </r>
    <r>
      <rPr>
        <sz val="9"/>
        <color rgb="FF000000"/>
        <rFont val="Arial"/>
        <charset val="134"/>
      </rPr>
      <t>,</t>
    </r>
    <r>
      <rPr>
        <sz val="9"/>
        <color rgb="FF000000"/>
        <rFont val="楷体"/>
        <charset val="134"/>
      </rPr>
      <t>恒生电子</t>
    </r>
    <r>
      <rPr>
        <sz val="9"/>
        <color rgb="FF000000"/>
        <rFont val="Arial"/>
        <charset val="134"/>
      </rPr>
      <t>,</t>
    </r>
    <r>
      <rPr>
        <sz val="9"/>
        <color rgb="FF000000"/>
        <rFont val="楷体"/>
        <charset val="134"/>
      </rPr>
      <t>第一财经</t>
    </r>
  </si>
  <si>
    <t>2015-04-29</t>
  </si>
  <si>
    <t>易百信息</t>
  </si>
  <si>
    <r>
      <rPr>
        <sz val="9"/>
        <color rgb="FF000000"/>
        <rFont val="楷体"/>
        <charset val="134"/>
      </rPr>
      <t>易百信息是一家企业服务公司，以积分作为载体，基于自主研发并通过金融认证的</t>
    </r>
    <r>
      <rPr>
        <sz val="9"/>
        <color rgb="FF000000"/>
        <rFont val="Arial"/>
        <charset val="134"/>
      </rPr>
      <t>e-BuyPOS</t>
    </r>
    <r>
      <rPr>
        <sz val="9"/>
        <color rgb="FF000000"/>
        <rFont val="楷体"/>
        <charset val="134"/>
      </rPr>
      <t>、积分管理、交易清结算、商户管理、电子化权益及客户管理六大模块，为客户提供积分兑换、电子凭证兑换及身份验证的客户忠诚度服务的专业化解决方案。是国内唯一通过自主建设并通过金融认证的专业化服务企业。</t>
    </r>
  </si>
  <si>
    <t>易百信息技术（上海）股份有限公司</t>
  </si>
  <si>
    <t>http://www.e-buychina.com</t>
  </si>
  <si>
    <t>客户服务</t>
  </si>
  <si>
    <r>
      <rPr>
        <sz val="9"/>
        <color rgb="FF000000"/>
        <rFont val="Arial"/>
        <charset val="134"/>
      </rPr>
      <t>1250</t>
    </r>
    <r>
      <rPr>
        <sz val="9"/>
        <color rgb="FF000000"/>
        <rFont val="楷体"/>
        <charset val="134"/>
      </rPr>
      <t>万人民币</t>
    </r>
  </si>
  <si>
    <r>
      <rPr>
        <sz val="9"/>
        <color rgb="FF000000"/>
        <rFont val="Arial"/>
        <charset val="134"/>
      </rPr>
      <t>7490</t>
    </r>
    <r>
      <rPr>
        <sz val="9"/>
        <color rgb="FF000000"/>
        <rFont val="楷体"/>
        <charset val="134"/>
      </rPr>
      <t>万</t>
    </r>
  </si>
  <si>
    <r>
      <rPr>
        <sz val="9"/>
        <color rgb="FF000000"/>
        <rFont val="Arial"/>
        <charset val="134"/>
      </rPr>
      <t>6250</t>
    </r>
    <r>
      <rPr>
        <sz val="9"/>
        <color rgb="FF000000"/>
        <rFont val="楷体"/>
        <charset val="134"/>
      </rPr>
      <t>万元</t>
    </r>
  </si>
  <si>
    <r>
      <rPr>
        <sz val="9"/>
        <color rgb="FF000000"/>
        <rFont val="楷体"/>
        <charset val="134"/>
      </rPr>
      <t>朱臻</t>
    </r>
    <r>
      <rPr>
        <sz val="9"/>
        <color rgb="FF000000"/>
        <rFont val="Arial"/>
        <charset val="134"/>
      </rPr>
      <t>:CEO</t>
    </r>
  </si>
  <si>
    <r>
      <rPr>
        <sz val="9"/>
        <color rgb="FF000000"/>
        <rFont val="楷体"/>
        <charset val="134"/>
      </rPr>
      <t>上海市普陀区中江路</t>
    </r>
    <r>
      <rPr>
        <sz val="9"/>
        <color rgb="FF000000"/>
        <rFont val="Arial"/>
        <charset val="134"/>
      </rPr>
      <t>879</t>
    </r>
    <r>
      <rPr>
        <sz val="9"/>
        <color rgb="FF000000"/>
        <rFont val="楷体"/>
        <charset val="134"/>
      </rPr>
      <t>弄</t>
    </r>
    <r>
      <rPr>
        <sz val="9"/>
        <color rgb="FF000000"/>
        <rFont val="Arial"/>
        <charset val="134"/>
      </rPr>
      <t>27</t>
    </r>
    <r>
      <rPr>
        <sz val="9"/>
        <color rgb="FF000000"/>
        <rFont val="楷体"/>
        <charset val="134"/>
      </rPr>
      <t>号楼</t>
    </r>
    <r>
      <rPr>
        <sz val="9"/>
        <color rgb="FF000000"/>
        <rFont val="Arial"/>
        <charset val="134"/>
      </rPr>
      <t>156</t>
    </r>
    <r>
      <rPr>
        <sz val="9"/>
        <color rgb="FF000000"/>
        <rFont val="楷体"/>
        <charset val="134"/>
      </rPr>
      <t>室</t>
    </r>
  </si>
  <si>
    <t>021-5456-0033</t>
  </si>
  <si>
    <t>feibaoqi@e-buychina.com.cn</t>
  </si>
  <si>
    <t>2014-09-18</t>
  </si>
  <si>
    <t>联创永宣</t>
  </si>
  <si>
    <t>2013-08-02</t>
  </si>
  <si>
    <r>
      <rPr>
        <sz val="9"/>
        <color rgb="FF000000"/>
        <rFont val="Arial"/>
        <charset val="134"/>
      </rPr>
      <t>3240</t>
    </r>
    <r>
      <rPr>
        <sz val="9"/>
        <color rgb="FF000000"/>
        <rFont val="楷体"/>
        <charset val="134"/>
      </rPr>
      <t>万人民币</t>
    </r>
  </si>
  <si>
    <t>2020-12-24</t>
  </si>
  <si>
    <t>吉大正元</t>
  </si>
  <si>
    <r>
      <rPr>
        <sz val="9"/>
        <color rgb="FF000000"/>
        <rFont val="楷体"/>
        <charset val="134"/>
      </rPr>
      <t>吉大正元是一家信息安全专业服务提供商，主要从事信息安全产品的研发、生产、销售，并提供安全咨询、安全集成和行业应用开发等服务。参与制定多项国家和行业</t>
    </r>
    <r>
      <rPr>
        <sz val="9"/>
        <color rgb="FF000000"/>
        <rFont val="Arial"/>
        <charset val="134"/>
      </rPr>
      <t>PKI/PMI</t>
    </r>
    <r>
      <rPr>
        <sz val="9"/>
        <color rgb="FF000000"/>
        <rFont val="楷体"/>
        <charset val="134"/>
      </rPr>
      <t>及信息安全相关标准。</t>
    </r>
  </si>
  <si>
    <t>长春吉大正元信息技术股份有限公司</t>
  </si>
  <si>
    <t>http://www.jit.com.cn/</t>
  </si>
  <si>
    <r>
      <rPr>
        <sz val="9"/>
        <color rgb="FF000000"/>
        <rFont val="楷体"/>
        <charset val="134"/>
      </rPr>
      <t>吉林</t>
    </r>
    <r>
      <rPr>
        <sz val="9"/>
        <color rgb="FF000000"/>
        <rFont val="Arial"/>
        <charset val="134"/>
      </rPr>
      <t>-</t>
    </r>
    <r>
      <rPr>
        <sz val="9"/>
        <color rgb="FF000000"/>
        <rFont val="楷体"/>
        <charset val="134"/>
      </rPr>
      <t>吉林</t>
    </r>
  </si>
  <si>
    <r>
      <rPr>
        <sz val="9"/>
        <color rgb="FF000000"/>
        <rFont val="Arial"/>
        <charset val="134"/>
      </rPr>
      <t>5.08</t>
    </r>
    <r>
      <rPr>
        <sz val="9"/>
        <color rgb="FF000000"/>
        <rFont val="楷体"/>
        <charset val="134"/>
      </rPr>
      <t>亿人民币</t>
    </r>
  </si>
  <si>
    <r>
      <rPr>
        <sz val="9"/>
        <color rgb="FF000000"/>
        <rFont val="Arial"/>
        <charset val="134"/>
      </rPr>
      <t>6.68</t>
    </r>
    <r>
      <rPr>
        <sz val="9"/>
        <color rgb="FF000000"/>
        <rFont val="楷体"/>
        <charset val="134"/>
      </rPr>
      <t>亿</t>
    </r>
  </si>
  <si>
    <r>
      <rPr>
        <sz val="9"/>
        <color rgb="FF000000"/>
        <rFont val="Arial"/>
        <charset val="134"/>
      </rPr>
      <t>20.33</t>
    </r>
    <r>
      <rPr>
        <sz val="9"/>
        <color rgb="FF000000"/>
        <rFont val="楷体"/>
        <charset val="134"/>
      </rPr>
      <t>亿元</t>
    </r>
  </si>
  <si>
    <r>
      <rPr>
        <sz val="9"/>
        <color rgb="FF000000"/>
        <rFont val="楷体"/>
        <charset val="134"/>
      </rPr>
      <t>高利</t>
    </r>
    <r>
      <rPr>
        <sz val="9"/>
        <color rgb="FF000000"/>
        <rFont val="Arial"/>
        <charset val="134"/>
      </rPr>
      <t>:CEO</t>
    </r>
  </si>
  <si>
    <r>
      <rPr>
        <sz val="9"/>
        <color rgb="FF000000"/>
        <rFont val="楷体"/>
        <charset val="134"/>
      </rPr>
      <t>前进大街</t>
    </r>
    <r>
      <rPr>
        <sz val="9"/>
        <color rgb="FF000000"/>
        <rFont val="Arial"/>
        <charset val="134"/>
      </rPr>
      <t>2266</t>
    </r>
    <r>
      <rPr>
        <sz val="9"/>
        <color rgb="FF000000"/>
        <rFont val="楷体"/>
        <charset val="134"/>
      </rPr>
      <t>号</t>
    </r>
  </si>
  <si>
    <t>0431-8517-3333</t>
  </si>
  <si>
    <t xml:space="preserve"> luyi_yu@jit.com.cn</t>
  </si>
  <si>
    <t>2016-04-21</t>
  </si>
  <si>
    <t>2015-09-25</t>
  </si>
  <si>
    <r>
      <rPr>
        <sz val="9"/>
        <color rgb="FF000000"/>
        <rFont val="楷体"/>
        <charset val="134"/>
      </rPr>
      <t>东吴创投</t>
    </r>
    <r>
      <rPr>
        <sz val="9"/>
        <color rgb="FF000000"/>
        <rFont val="Arial"/>
        <charset val="134"/>
      </rPr>
      <t>-</t>
    </r>
    <r>
      <rPr>
        <sz val="9"/>
        <color rgb="FF000000"/>
        <rFont val="楷体"/>
        <charset val="134"/>
      </rPr>
      <t>东吴证券</t>
    </r>
    <r>
      <rPr>
        <sz val="9"/>
        <color rgb="FF000000"/>
        <rFont val="Arial"/>
        <charset val="134"/>
      </rPr>
      <t>,</t>
    </r>
    <r>
      <rPr>
        <sz val="9"/>
        <color rgb="FF000000"/>
        <rFont val="楷体"/>
        <charset val="134"/>
      </rPr>
      <t>工银瑞信</t>
    </r>
  </si>
  <si>
    <t>2009-12-31</t>
  </si>
  <si>
    <t>国投高科</t>
  </si>
  <si>
    <t>2009-01-04</t>
  </si>
  <si>
    <r>
      <rPr>
        <sz val="9"/>
        <color rgb="FF000000"/>
        <rFont val="楷体"/>
        <charset val="134"/>
      </rPr>
      <t>宁宇博美</t>
    </r>
    <r>
      <rPr>
        <sz val="9"/>
        <color rgb="FF000000"/>
        <rFont val="Arial"/>
        <charset val="134"/>
      </rPr>
      <t>,</t>
    </r>
    <r>
      <rPr>
        <sz val="9"/>
        <color rgb="FF000000"/>
        <rFont val="楷体"/>
        <charset val="134"/>
      </rPr>
      <t>英才投资</t>
    </r>
  </si>
  <si>
    <t>2003-08-20</t>
  </si>
  <si>
    <r>
      <rPr>
        <sz val="9"/>
        <color rgb="FF000000"/>
        <rFont val="楷体"/>
        <charset val="134"/>
      </rPr>
      <t>德正投资</t>
    </r>
    <r>
      <rPr>
        <sz val="9"/>
        <color rgb="FF000000"/>
        <rFont val="Arial"/>
        <charset val="134"/>
      </rPr>
      <t>,</t>
    </r>
    <r>
      <rPr>
        <sz val="9"/>
        <color rgb="FF000000"/>
        <rFont val="楷体"/>
        <charset val="134"/>
      </rPr>
      <t>东方吉星</t>
    </r>
    <r>
      <rPr>
        <sz val="9"/>
        <color rgb="FF000000"/>
        <rFont val="Arial"/>
        <charset val="134"/>
      </rPr>
      <t>,</t>
    </r>
    <r>
      <rPr>
        <sz val="9"/>
        <color rgb="FF000000"/>
        <rFont val="楷体"/>
        <charset val="134"/>
      </rPr>
      <t>东方维新</t>
    </r>
    <r>
      <rPr>
        <sz val="9"/>
        <color rgb="FF000000"/>
        <rFont val="Arial"/>
        <charset val="134"/>
      </rPr>
      <t>,</t>
    </r>
    <r>
      <rPr>
        <sz val="9"/>
        <color rgb="FF000000"/>
        <rFont val="楷体"/>
        <charset val="134"/>
      </rPr>
      <t>睿汇德</t>
    </r>
  </si>
  <si>
    <t>2021-11-03</t>
  </si>
  <si>
    <t>Kakao Pay</t>
  </si>
  <si>
    <r>
      <rPr>
        <sz val="9"/>
        <color rgb="FF000000"/>
        <rFont val="Arial"/>
        <charset val="134"/>
      </rPr>
      <t>Kakao Pay</t>
    </r>
    <r>
      <rPr>
        <sz val="9"/>
        <color rgb="FF000000"/>
        <rFont val="楷体"/>
        <charset val="134"/>
      </rPr>
      <t>是韩国讯息平台</t>
    </r>
    <r>
      <rPr>
        <sz val="9"/>
        <color rgb="FF000000"/>
        <rFont val="Arial"/>
        <charset val="134"/>
      </rPr>
      <t>Kakao Corp</t>
    </r>
    <r>
      <rPr>
        <sz val="9"/>
        <color rgb="FF000000"/>
        <rFont val="楷体"/>
        <charset val="134"/>
      </rPr>
      <t>旗下的移动支付公司。</t>
    </r>
  </si>
  <si>
    <t>http://www.kakao.com/kakaopay/</t>
  </si>
  <si>
    <r>
      <rPr>
        <sz val="9"/>
        <color rgb="FF000000"/>
        <rFont val="Arial"/>
        <charset val="134"/>
      </rPr>
      <t>1319.5</t>
    </r>
    <r>
      <rPr>
        <sz val="9"/>
        <color rgb="FF000000"/>
        <rFont val="楷体"/>
        <charset val="134"/>
      </rPr>
      <t>亿元</t>
    </r>
  </si>
  <si>
    <t>Alex Ryu:CEO &amp; Founder,Alison Shim:Senior Manager,Jin Lee:Chief Business Officer / VP,Jitae Kim:Frontend Developer,NJ Kim:CISO,Seung Hyo Lee:Chief Product Officer / Vice President,Won-Keun Shin:Chief Strategy Officer</t>
  </si>
  <si>
    <t>2017-02-20</t>
  </si>
  <si>
    <t>邦道科技</t>
  </si>
  <si>
    <t>邦道科技是一家专注于公用事业（水电燃、社区物业及广电宽带等）互联网服务平台技术与运营服务的创新型互联网公司，致力于推动公用事业服务能力与家庭能源智能化管理水平提升。</t>
  </si>
  <si>
    <t>邦道科技有限公司</t>
  </si>
  <si>
    <t>https://www.bangdao-tech.com</t>
  </si>
  <si>
    <r>
      <rPr>
        <sz val="9"/>
        <color rgb="FF000000"/>
        <rFont val="楷体"/>
        <charset val="134"/>
      </rPr>
      <t>江苏</t>
    </r>
    <r>
      <rPr>
        <sz val="9"/>
        <color rgb="FF000000"/>
        <rFont val="Arial"/>
        <charset val="134"/>
      </rPr>
      <t>-</t>
    </r>
    <r>
      <rPr>
        <sz val="9"/>
        <color rgb="FF000000"/>
        <rFont val="楷体"/>
        <charset val="134"/>
      </rPr>
      <t>无锡</t>
    </r>
  </si>
  <si>
    <t>朗新科技</t>
  </si>
  <si>
    <r>
      <rPr>
        <sz val="9"/>
        <color rgb="FF000000"/>
        <rFont val="Arial"/>
        <charset val="134"/>
      </rPr>
      <t>8.3</t>
    </r>
    <r>
      <rPr>
        <sz val="9"/>
        <color rgb="FF000000"/>
        <rFont val="楷体"/>
        <charset val="134"/>
      </rPr>
      <t>亿</t>
    </r>
  </si>
  <si>
    <r>
      <rPr>
        <sz val="9"/>
        <color rgb="FF000000"/>
        <rFont val="楷体"/>
        <charset val="134"/>
      </rPr>
      <t>翁朝伟</t>
    </r>
    <r>
      <rPr>
        <sz val="9"/>
        <color rgb="FF000000"/>
        <rFont val="Arial"/>
        <charset val="134"/>
      </rPr>
      <t>:CEO</t>
    </r>
  </si>
  <si>
    <r>
      <rPr>
        <sz val="9"/>
        <color rgb="FF000000"/>
        <rFont val="楷体"/>
        <charset val="134"/>
      </rPr>
      <t>江苏省无锡市新区国家软件园天鹅座</t>
    </r>
    <r>
      <rPr>
        <sz val="9"/>
        <color rgb="FF000000"/>
        <rFont val="Arial"/>
        <charset val="134"/>
      </rPr>
      <t>B</t>
    </r>
    <r>
      <rPr>
        <sz val="9"/>
        <color rgb="FF000000"/>
        <rFont val="楷体"/>
        <charset val="134"/>
      </rPr>
      <t>座</t>
    </r>
    <r>
      <rPr>
        <sz val="9"/>
        <color rgb="FF000000"/>
        <rFont val="Arial"/>
        <charset val="134"/>
      </rPr>
      <t>11</t>
    </r>
    <r>
      <rPr>
        <sz val="9"/>
        <color rgb="FF000000"/>
        <rFont val="楷体"/>
        <charset val="134"/>
      </rPr>
      <t>楼</t>
    </r>
  </si>
  <si>
    <t>0510-6667-6902</t>
  </si>
  <si>
    <t>2015-10-29</t>
  </si>
  <si>
    <t>2019-06-24</t>
  </si>
  <si>
    <t>朗新科技是一家为电力、能源及相关行业客户提供应用解决方案和服务的高新技术企业，公司立足于电力行业信息技术领域，为客户提供从电力营销、电力生产、电力市场到决策支持等的技术与服务解决方案。目前公司研发的产品有电网、水燃、光伏、能效、电动汽车的解决方案。</t>
  </si>
  <si>
    <t>朗新科技集团股份有限公司</t>
  </si>
  <si>
    <t>http://www.longshine.com</t>
  </si>
  <si>
    <r>
      <rPr>
        <sz val="9"/>
        <color rgb="FF000000"/>
        <rFont val="Arial"/>
        <charset val="134"/>
      </rPr>
      <t>37.53</t>
    </r>
    <r>
      <rPr>
        <sz val="9"/>
        <color rgb="FF000000"/>
        <rFont val="楷体"/>
        <charset val="134"/>
      </rPr>
      <t>亿人民币</t>
    </r>
  </si>
  <si>
    <r>
      <rPr>
        <sz val="9"/>
        <color rgb="FF000000"/>
        <rFont val="楷体"/>
        <charset val="134"/>
      </rPr>
      <t>苏宁</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恒信东方</t>
    </r>
  </si>
  <si>
    <r>
      <rPr>
        <sz val="9"/>
        <color rgb="FF000000"/>
        <rFont val="Arial"/>
        <charset val="134"/>
      </rPr>
      <t>40.85</t>
    </r>
    <r>
      <rPr>
        <sz val="9"/>
        <color rgb="FF000000"/>
        <rFont val="楷体"/>
        <charset val="134"/>
      </rPr>
      <t>亿</t>
    </r>
  </si>
  <si>
    <r>
      <rPr>
        <sz val="9"/>
        <color rgb="FF000000"/>
        <rFont val="Arial"/>
        <charset val="134"/>
      </rPr>
      <t>187.65</t>
    </r>
    <r>
      <rPr>
        <sz val="9"/>
        <color rgb="FF000000"/>
        <rFont val="楷体"/>
        <charset val="134"/>
      </rPr>
      <t>亿元</t>
    </r>
  </si>
  <si>
    <r>
      <rPr>
        <sz val="9"/>
        <color rgb="FF000000"/>
        <rFont val="楷体"/>
        <charset val="134"/>
      </rPr>
      <t>郑新标</t>
    </r>
    <r>
      <rPr>
        <sz val="9"/>
        <color rgb="FF000000"/>
        <rFont val="Arial"/>
        <charset val="134"/>
      </rPr>
      <t>:CEO</t>
    </r>
  </si>
  <si>
    <r>
      <rPr>
        <sz val="9"/>
        <color rgb="FF000000"/>
        <rFont val="楷体"/>
        <charset val="134"/>
      </rPr>
      <t>江苏省无锡市新吴区净慧东道</t>
    </r>
    <r>
      <rPr>
        <sz val="9"/>
        <color rgb="FF000000"/>
        <rFont val="Arial"/>
        <charset val="134"/>
      </rPr>
      <t>90</t>
    </r>
    <r>
      <rPr>
        <sz val="9"/>
        <color rgb="FF000000"/>
        <rFont val="楷体"/>
        <charset val="134"/>
      </rPr>
      <t>号无锡软件园天鹅座</t>
    </r>
    <r>
      <rPr>
        <sz val="9"/>
        <color rgb="FF000000"/>
        <rFont val="Arial"/>
        <charset val="134"/>
      </rPr>
      <t>B</t>
    </r>
    <r>
      <rPr>
        <sz val="9"/>
        <color rgb="FF000000"/>
        <rFont val="楷体"/>
        <charset val="134"/>
      </rPr>
      <t>栋</t>
    </r>
    <r>
      <rPr>
        <sz val="9"/>
        <color rgb="FF000000"/>
        <rFont val="Arial"/>
        <charset val="134"/>
      </rPr>
      <t>10</t>
    </r>
    <r>
      <rPr>
        <sz val="9"/>
        <color rgb="FF000000"/>
        <rFont val="楷体"/>
        <charset val="134"/>
      </rPr>
      <t>、</t>
    </r>
    <r>
      <rPr>
        <sz val="9"/>
        <color rgb="FF000000"/>
        <rFont val="Arial"/>
        <charset val="134"/>
      </rPr>
      <t>11</t>
    </r>
    <r>
      <rPr>
        <sz val="9"/>
        <color rgb="FF000000"/>
        <rFont val="楷体"/>
        <charset val="134"/>
      </rPr>
      <t>楼</t>
    </r>
  </si>
  <si>
    <t>0510-6667-6999</t>
  </si>
  <si>
    <t>geping@longshine.com</t>
  </si>
  <si>
    <t>2017-11-17</t>
  </si>
  <si>
    <r>
      <rPr>
        <sz val="9"/>
        <color rgb="FF000000"/>
        <rFont val="楷体"/>
        <charset val="134"/>
      </rPr>
      <t>华兴资本</t>
    </r>
    <r>
      <rPr>
        <sz val="9"/>
        <color rgb="FF000000"/>
        <rFont val="Arial"/>
        <charset val="134"/>
      </rPr>
      <t>,</t>
    </r>
    <r>
      <rPr>
        <sz val="9"/>
        <color rgb="FF000000"/>
        <rFont val="楷体"/>
        <charset val="134"/>
      </rPr>
      <t>蚂蚁集团</t>
    </r>
  </si>
  <si>
    <t>2013-07-07</t>
  </si>
  <si>
    <r>
      <rPr>
        <sz val="9"/>
        <color rgb="FF000000"/>
        <rFont val="Arial"/>
        <charset val="134"/>
      </rPr>
      <t>1.02</t>
    </r>
    <r>
      <rPr>
        <sz val="9"/>
        <color rgb="FF000000"/>
        <rFont val="楷体"/>
        <charset val="134"/>
      </rPr>
      <t>亿人民币</t>
    </r>
  </si>
  <si>
    <r>
      <rPr>
        <sz val="9"/>
        <color rgb="FF000000"/>
        <rFont val="楷体"/>
        <charset val="134"/>
      </rPr>
      <t>宽带资本</t>
    </r>
    <r>
      <rPr>
        <sz val="9"/>
        <color rgb="FF000000"/>
        <rFont val="Arial"/>
        <charset val="134"/>
      </rPr>
      <t>CBC,</t>
    </r>
    <r>
      <rPr>
        <sz val="9"/>
        <color rgb="FF000000"/>
        <rFont val="楷体"/>
        <charset val="134"/>
      </rPr>
      <t>华兴资本</t>
    </r>
    <r>
      <rPr>
        <sz val="9"/>
        <color rgb="FF000000"/>
        <rFont val="Arial"/>
        <charset val="134"/>
      </rPr>
      <t>,</t>
    </r>
    <r>
      <rPr>
        <sz val="9"/>
        <color rgb="FF000000"/>
        <rFont val="楷体"/>
        <charset val="134"/>
      </rPr>
      <t>博裕资本</t>
    </r>
  </si>
  <si>
    <t>2011-03-03</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</si>
  <si>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深创投</t>
    </r>
  </si>
  <si>
    <t>2016-06-11</t>
  </si>
  <si>
    <t>信美人寿</t>
  </si>
  <si>
    <t>信美人寿是一家相互制人寿保险组织。具有同质风险保障需求的单位或个人，通过订立合同成为会员，并缴纳保费形成互助基金，由该基金对合同约定的事故发生所造成的损失承担赔偿责任，或者当被保险人死亡、伤残、疾病或者达到合同约定的年龄、期限等条件时承担给付保险金责任。</t>
  </si>
  <si>
    <t>信美人寿相互保险社</t>
  </si>
  <si>
    <r>
      <rPr>
        <sz val="9"/>
        <color rgb="FF000000"/>
        <rFont val="楷体"/>
        <charset val="134"/>
      </rPr>
      <t>新国都</t>
    </r>
    <r>
      <rPr>
        <sz val="9"/>
        <color rgb="FF000000"/>
        <rFont val="Arial"/>
        <charset val="134"/>
      </rPr>
      <t>,</t>
    </r>
    <r>
      <rPr>
        <sz val="9"/>
        <color rgb="FF000000"/>
        <rFont val="楷体"/>
        <charset val="134"/>
      </rPr>
      <t>腾邦国际</t>
    </r>
    <r>
      <rPr>
        <sz val="9"/>
        <color rgb="FF000000"/>
        <rFont val="Arial"/>
        <charset val="134"/>
      </rPr>
      <t>,</t>
    </r>
    <r>
      <rPr>
        <sz val="9"/>
        <color rgb="FF000000"/>
        <rFont val="楷体"/>
        <charset val="134"/>
      </rPr>
      <t>汤臣倍健</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天弘基金</t>
    </r>
    <r>
      <rPr>
        <sz val="9"/>
        <color rgb="FF000000"/>
        <rFont val="Arial"/>
        <charset val="134"/>
      </rPr>
      <t>,</t>
    </r>
    <r>
      <rPr>
        <sz val="9"/>
        <color rgb="FF000000"/>
        <rFont val="楷体"/>
        <charset val="134"/>
      </rPr>
      <t>鼎兴基金</t>
    </r>
    <r>
      <rPr>
        <sz val="9"/>
        <color rgb="FF000000"/>
        <rFont val="Arial"/>
        <charset val="134"/>
      </rPr>
      <t>,</t>
    </r>
    <r>
      <rPr>
        <sz val="9"/>
        <color rgb="FF000000"/>
        <rFont val="楷体"/>
        <charset val="134"/>
      </rPr>
      <t>佳辰资本</t>
    </r>
  </si>
  <si>
    <t>2018-07-04</t>
  </si>
  <si>
    <t>花生科技</t>
  </si>
  <si>
    <r>
      <rPr>
        <sz val="9"/>
        <color rgb="FF000000"/>
        <rFont val="楷体"/>
        <charset val="134"/>
      </rPr>
      <t>花生科技是一家专注全国地铁</t>
    </r>
    <r>
      <rPr>
        <sz val="9"/>
        <color rgb="FF000000"/>
        <rFont val="Arial"/>
        <charset val="134"/>
      </rPr>
      <t>Wi-Fi</t>
    </r>
    <r>
      <rPr>
        <sz val="9"/>
        <color rgb="FF000000"/>
        <rFont val="楷体"/>
        <charset val="134"/>
      </rPr>
      <t>运营的公司，致力于在中国的地铁内覆盖</t>
    </r>
    <r>
      <rPr>
        <sz val="9"/>
        <color rgb="FF000000"/>
        <rFont val="Arial"/>
        <charset val="134"/>
      </rPr>
      <t>WiFi</t>
    </r>
    <r>
      <rPr>
        <sz val="9"/>
        <color rgb="FF000000"/>
        <rFont val="楷体"/>
        <charset val="134"/>
      </rPr>
      <t>产品，为中国近</t>
    </r>
    <r>
      <rPr>
        <sz val="9"/>
        <color rgb="FF000000"/>
        <rFont val="Arial"/>
        <charset val="134"/>
      </rPr>
      <t>2</t>
    </r>
    <r>
      <rPr>
        <sz val="9"/>
        <color rgb="FF000000"/>
        <rFont val="楷体"/>
        <charset val="134"/>
      </rPr>
      <t>亿的城市地铁人群提供高速安全的无线网络服务，通过目前推出的各类产品，真正服务于全国地铁用户，试图打造全中国最大的地铁移动互联网生态圈。</t>
    </r>
  </si>
  <si>
    <t>深圳市花生科技有限公司</t>
  </si>
  <si>
    <t>http://www.wifi8.com/</t>
  </si>
  <si>
    <r>
      <rPr>
        <sz val="9"/>
        <color rgb="FF000000"/>
        <rFont val="Arial"/>
        <charset val="134"/>
      </rPr>
      <t>13.6</t>
    </r>
    <r>
      <rPr>
        <sz val="9"/>
        <color rgb="FF000000"/>
        <rFont val="楷体"/>
        <charset val="134"/>
      </rPr>
      <t>亿</t>
    </r>
  </si>
  <si>
    <r>
      <rPr>
        <sz val="9"/>
        <color rgb="FF000000"/>
        <rFont val="楷体"/>
        <charset val="134"/>
      </rPr>
      <t>周发展</t>
    </r>
    <r>
      <rPr>
        <sz val="9"/>
        <color rgb="FF000000"/>
        <rFont val="Arial"/>
        <charset val="134"/>
      </rPr>
      <t>:CEO</t>
    </r>
  </si>
  <si>
    <r>
      <rPr>
        <sz val="9"/>
        <color rgb="FF000000"/>
        <rFont val="楷体"/>
        <charset val="134"/>
      </rPr>
      <t>广东省深圳市南山区西丽学苑大道</t>
    </r>
    <r>
      <rPr>
        <sz val="9"/>
        <color rgb="FF000000"/>
        <rFont val="Arial"/>
        <charset val="134"/>
      </rPr>
      <t>1001</t>
    </r>
    <r>
      <rPr>
        <sz val="9"/>
        <color rgb="FF000000"/>
        <rFont val="楷体"/>
        <charset val="134"/>
      </rPr>
      <t>号</t>
    </r>
    <r>
      <rPr>
        <sz val="9"/>
        <color rgb="FF000000"/>
        <rFont val="Arial"/>
        <charset val="134"/>
      </rPr>
      <t>C1</t>
    </r>
    <r>
      <rPr>
        <sz val="9"/>
        <color rgb="FF000000"/>
        <rFont val="楷体"/>
        <charset val="134"/>
      </rPr>
      <t>栋</t>
    </r>
    <r>
      <rPr>
        <sz val="9"/>
        <color rgb="FF000000"/>
        <rFont val="Arial"/>
        <charset val="134"/>
      </rPr>
      <t>17</t>
    </r>
    <r>
      <rPr>
        <sz val="9"/>
        <color rgb="FF000000"/>
        <rFont val="楷体"/>
        <charset val="134"/>
      </rPr>
      <t>楼</t>
    </r>
  </si>
  <si>
    <t>400-187-7877</t>
  </si>
  <si>
    <t>selena@nfyg.com.cn</t>
  </si>
  <si>
    <t>2014-10-01</t>
  </si>
  <si>
    <t>2014-04-01</t>
  </si>
  <si>
    <t>2013-09-04</t>
  </si>
  <si>
    <t>2018-08-13</t>
  </si>
  <si>
    <t>触角物联科技</t>
  </si>
  <si>
    <t>青岛触角物联科技有限公司是一家自动售货机领域的物联网科技公司。</t>
  </si>
  <si>
    <t>青岛触角物联科技有限公司</t>
  </si>
  <si>
    <r>
      <rPr>
        <sz val="9"/>
        <color rgb="FF000000"/>
        <rFont val="楷体"/>
        <charset val="134"/>
      </rPr>
      <t>徐海东</t>
    </r>
    <r>
      <rPr>
        <sz val="9"/>
        <color rgb="FF000000"/>
        <rFont val="Arial"/>
        <charset val="134"/>
      </rPr>
      <t>:</t>
    </r>
    <r>
      <rPr>
        <sz val="9"/>
        <color rgb="FF000000"/>
        <rFont val="楷体"/>
        <charset val="134"/>
      </rPr>
      <t>董事长</t>
    </r>
  </si>
  <si>
    <r>
      <rPr>
        <sz val="9"/>
        <color rgb="FF000000"/>
        <rFont val="楷体"/>
        <charset val="134"/>
      </rPr>
      <t>山东省青岛市黄岛区太白山路</t>
    </r>
    <r>
      <rPr>
        <sz val="9"/>
        <color rgb="FF000000"/>
        <rFont val="Arial"/>
        <charset val="134"/>
      </rPr>
      <t>19</t>
    </r>
    <r>
      <rPr>
        <sz val="9"/>
        <color rgb="FF000000"/>
        <rFont val="楷体"/>
        <charset val="134"/>
      </rPr>
      <t>号德国企业中心南区</t>
    </r>
    <r>
      <rPr>
        <sz val="9"/>
        <color rgb="FF000000"/>
        <rFont val="Arial"/>
        <charset val="134"/>
      </rPr>
      <t>(ICIC)</t>
    </r>
    <r>
      <rPr>
        <sz val="9"/>
        <color rgb="FF000000"/>
        <rFont val="楷体"/>
        <charset val="134"/>
      </rPr>
      <t>六楼</t>
    </r>
    <r>
      <rPr>
        <sz val="9"/>
        <color rgb="FF000000"/>
        <rFont val="Arial"/>
        <charset val="134"/>
      </rPr>
      <t>662</t>
    </r>
    <r>
      <rPr>
        <sz val="9"/>
        <color rgb="FF000000"/>
        <rFont val="楷体"/>
        <charset val="134"/>
      </rPr>
      <t>室</t>
    </r>
    <r>
      <rPr>
        <sz val="9"/>
        <color rgb="FF000000"/>
        <rFont val="Arial"/>
        <charset val="134"/>
      </rPr>
      <t>;</t>
    </r>
    <r>
      <rPr>
        <sz val="9"/>
        <color rgb="FF000000"/>
        <rFont val="楷体"/>
        <charset val="134"/>
      </rPr>
      <t>北京市海淀区北太平庄路</t>
    </r>
    <r>
      <rPr>
        <sz val="9"/>
        <color rgb="FF000000"/>
        <rFont val="Arial"/>
        <charset val="134"/>
      </rPr>
      <t>25</t>
    </r>
    <r>
      <rPr>
        <sz val="9"/>
        <color rgb="FF000000"/>
        <rFont val="楷体"/>
        <charset val="134"/>
      </rPr>
      <t>号豪威大厦</t>
    </r>
    <r>
      <rPr>
        <sz val="9"/>
        <color rgb="FF000000"/>
        <rFont val="Arial"/>
        <charset val="134"/>
      </rPr>
      <t>305a</t>
    </r>
  </si>
  <si>
    <t>010-5622-5855 </t>
  </si>
  <si>
    <t>marketing@huimei.com</t>
  </si>
  <si>
    <t>2019-01-07</t>
  </si>
  <si>
    <t>新开普电子</t>
  </si>
  <si>
    <r>
      <rPr>
        <sz val="9"/>
        <color rgb="FF000000"/>
        <rFont val="楷体"/>
        <charset val="134"/>
      </rPr>
      <t>新开普电子是一家致力于开发以智能卡及</t>
    </r>
    <r>
      <rPr>
        <sz val="9"/>
        <color rgb="FF000000"/>
        <rFont val="Arial"/>
        <charset val="134"/>
      </rPr>
      <t>RFID</t>
    </r>
    <r>
      <rPr>
        <sz val="9"/>
        <color rgb="FF000000"/>
        <rFont val="楷体"/>
        <charset val="134"/>
      </rPr>
      <t>技术为基础的各类行业应用解决方案的公司</t>
    </r>
    <r>
      <rPr>
        <sz val="9"/>
        <color rgb="FF000000"/>
        <rFont val="Arial"/>
        <charset val="134"/>
      </rPr>
      <t>,</t>
    </r>
    <r>
      <rPr>
        <sz val="9"/>
        <color rgb="FF000000"/>
        <rFont val="楷体"/>
        <charset val="134"/>
      </rPr>
      <t>面向城市、校园、企事业以及银行和电信运营商，从事智能一卡通系统的平台软件、应用软件及各类智能卡终端的研发、生产、集成、销售和服务业务，旗下产品包括电子支付类、智能水电类、身份识别类、射频识别产品、智能燃气表等。</t>
    </r>
  </si>
  <si>
    <t>新开普电子股份有限公司</t>
  </si>
  <si>
    <t>http://www.newcapec.com.cn</t>
  </si>
  <si>
    <t>2000-04</t>
  </si>
  <si>
    <r>
      <rPr>
        <sz val="9"/>
        <color rgb="FF000000"/>
        <rFont val="Arial"/>
        <charset val="134"/>
      </rPr>
      <t>5.56</t>
    </r>
    <r>
      <rPr>
        <sz val="9"/>
        <color rgb="FF000000"/>
        <rFont val="楷体"/>
        <charset val="134"/>
      </rPr>
      <t>亿</t>
    </r>
  </si>
  <si>
    <r>
      <rPr>
        <sz val="9"/>
        <color rgb="FF000000"/>
        <rFont val="Arial"/>
        <charset val="134"/>
      </rPr>
      <t>31.8471</t>
    </r>
    <r>
      <rPr>
        <sz val="9"/>
        <color rgb="FF000000"/>
        <rFont val="楷体"/>
        <charset val="134"/>
      </rPr>
      <t>亿元</t>
    </r>
  </si>
  <si>
    <r>
      <rPr>
        <sz val="9"/>
        <color rgb="FF000000"/>
        <rFont val="楷体"/>
        <charset val="134"/>
      </rPr>
      <t>杨维国</t>
    </r>
    <r>
      <rPr>
        <sz val="9"/>
        <color rgb="FF000000"/>
        <rFont val="Arial"/>
        <charset val="134"/>
      </rPr>
      <t> :CEO,</t>
    </r>
    <r>
      <rPr>
        <sz val="9"/>
        <color rgb="FF000000"/>
        <rFont val="楷体"/>
        <charset val="134"/>
      </rPr>
      <t>焦征海</t>
    </r>
    <r>
      <rPr>
        <sz val="9"/>
        <color rgb="FF000000"/>
        <rFont val="Arial"/>
        <charset val="134"/>
      </rPr>
      <t>:</t>
    </r>
    <r>
      <rPr>
        <sz val="9"/>
        <color rgb="FF000000"/>
        <rFont val="楷体"/>
        <charset val="134"/>
      </rPr>
      <t>创始人</t>
    </r>
  </si>
  <si>
    <r>
      <rPr>
        <sz val="9"/>
        <color rgb="FF000000"/>
        <rFont val="楷体"/>
        <charset val="134"/>
      </rPr>
      <t>河南省郑州市高新技术产业开发区迎春街</t>
    </r>
    <r>
      <rPr>
        <sz val="9"/>
        <color rgb="FF000000"/>
        <rFont val="Arial"/>
        <charset val="134"/>
      </rPr>
      <t>18</t>
    </r>
    <r>
      <rPr>
        <sz val="9"/>
        <color rgb="FF000000"/>
        <rFont val="楷体"/>
        <charset val="134"/>
      </rPr>
      <t>号</t>
    </r>
  </si>
  <si>
    <t>2011-07-29</t>
  </si>
  <si>
    <r>
      <rPr>
        <sz val="9"/>
        <color rgb="FF000000"/>
        <rFont val="Arial"/>
        <charset val="134"/>
      </rPr>
      <t>3.36</t>
    </r>
    <r>
      <rPr>
        <sz val="9"/>
        <color rgb="FF000000"/>
        <rFont val="楷体"/>
        <charset val="134"/>
      </rPr>
      <t>亿人民币</t>
    </r>
  </si>
  <si>
    <t>2011-01-24</t>
  </si>
  <si>
    <t>弘信资本</t>
  </si>
  <si>
    <t>Klarna</t>
  </si>
  <si>
    <r>
      <rPr>
        <sz val="9"/>
        <color rgb="FF000000"/>
        <rFont val="Arial"/>
        <charset val="134"/>
      </rPr>
      <t>Klarna</t>
    </r>
    <r>
      <rPr>
        <sz val="9"/>
        <color rgb="FF000000"/>
        <rFont val="楷体"/>
        <charset val="134"/>
      </rPr>
      <t>是一家电子商务平台支付解决方案提供商，和电商公司及零售商进行合作，为消费者提供贷款和其它支付服务。</t>
    </r>
  </si>
  <si>
    <t>http://www.klarna.com/</t>
  </si>
  <si>
    <t>2005-02</t>
  </si>
  <si>
    <r>
      <rPr>
        <sz val="9"/>
        <color rgb="FF000000"/>
        <rFont val="楷体"/>
        <charset val="134"/>
      </rPr>
      <t>欧洲</t>
    </r>
    <r>
      <rPr>
        <sz val="9"/>
        <color rgb="FF000000"/>
        <rFont val="Arial"/>
        <charset val="134"/>
      </rPr>
      <t>-</t>
    </r>
    <r>
      <rPr>
        <sz val="9"/>
        <color rgb="FF000000"/>
        <rFont val="楷体"/>
        <charset val="134"/>
      </rPr>
      <t>瑞典</t>
    </r>
  </si>
  <si>
    <r>
      <rPr>
        <sz val="9"/>
        <color rgb="FF000000"/>
        <rFont val="Arial"/>
        <charset val="134"/>
      </rPr>
      <t>6.39</t>
    </r>
    <r>
      <rPr>
        <sz val="9"/>
        <color rgb="FF000000"/>
        <rFont val="楷体"/>
        <charset val="134"/>
      </rPr>
      <t>亿美元</t>
    </r>
  </si>
  <si>
    <r>
      <rPr>
        <sz val="9"/>
        <color rgb="FF000000"/>
        <rFont val="Arial"/>
        <charset val="134"/>
      </rPr>
      <t>247.66</t>
    </r>
    <r>
      <rPr>
        <sz val="9"/>
        <color rgb="FF000000"/>
        <rFont val="楷体"/>
        <charset val="134"/>
      </rPr>
      <t>亿</t>
    </r>
  </si>
  <si>
    <r>
      <rPr>
        <sz val="9"/>
        <color rgb="FF000000"/>
        <rFont val="Arial"/>
        <charset val="134"/>
      </rPr>
      <t>2879.5</t>
    </r>
    <r>
      <rPr>
        <sz val="9"/>
        <color rgb="FF000000"/>
        <rFont val="楷体"/>
        <charset val="134"/>
      </rPr>
      <t>亿元</t>
    </r>
  </si>
  <si>
    <t>Abdellah Ben Hammou:Accountable Group Lead,Abdullah Samy:Business Operations Associate - L&amp;D group,Al Tworowsky:Engineering Manager,Anoop Goyal:Head of Klarna Trips,Anton Meryl Nithianandan:Engineering Manager,Aoife Houlihan:Vice-President of Global Communications and Public Policy,Benjamin Snow:Senior Organizational Development Manager,Bruce Mitchell:SVP Strategy and Innovation,Carl Enbom:Product,Doron Faibish:Business Operations,Emma Jessica Knox:Global Head of Marketing, Virtual Shopping,Erin Jaeger:US Head of GtM Operations / COO,Federico Ratier:Engineering Manager,Fernando Garrido Vaz:Product Manager,Flora Coleman:Director of Public Affairs and Global Society,Gali Heichal:Global Head of Payments Partnerships,Giacomo De Lorenzo:Head of Partner Success Italy,Glenn Fishback:Global Head Of Commercial,Hana Aljoofri:Senior Marketing Manager - Global Paid App Acquisition Lead,Henrique di Lorenzo Pires:Director | Products | Analytics,Johan Gustafsson:Communications Director,John Anderson:Commercial Director,Jon Chang:Head of Consumer Growth, US,Jonas Friman:Senior Software Engineer,Jörg Heilmann:Solutions Engineer - Klarna Open Banking,Knut Frängsmyr:Chief Operating Officer &amp; Deputy CEO,Kristina Elkhazin:Head of Klarna North America,Linda Samlin Hoglund:Chief Operating Officer,Luisa Emme:Tech Lead &amp; Engineering Manager,Luke Griffiths:Global Chief Commercial Officer,Luke Tuttle:VP and Marketing and Ad Solutions,Marcus Granström:Senior Director of Engineering.,Marko Ciric:Lead Software Engineer,Matias Enghild:Product,Midas Kooman:Quality Process Analyst,Muz Ashraf:Investor,Natalia Brzezinski:Head Of Strategy,Niamh Mc Enaney:Talent Acquisition Lead - ANZ,Pantelis Ieronimakis:Software Engineer,Parth Batra:Senior Product Manager,Peter Tegelaar:Global Head of Data Science,Qing Zhou:Product Leadership,Rickard Bergeling:Associate Engineering Manager,Robin Pokorny:Lead Engineer,Sarel Esterhuizen:Senior Engineering Manager,Sebastian Siemiatkowski:Co-Founder &amp; CEO,Tadeu Zagallo:Principal Engineer,Tales Porto:Senior Software Engineer,Tian Qiu:Analytics Manager,Tom Dwyer:Product Manager,Tom Stenius:Product Director,Valeria Verzi:Data Science Manager @ Klarna | Fraud Strategy EU,Valerio Antonucci:MS Team Manager,Victor Jacobsson:Co-Founder &amp; Owner,Vincent Thome:Product,Wael Orabi:Lead Engineer – Credit Modeling,Waleed Ashraf:Senior Software Engineer,Wentong Li:Director Data Science,Evgenii Kondratev:Founder &amp; Product Director,Jovan Vidic:Senior Engineering Manager</t>
  </si>
  <si>
    <t>2021-03-02</t>
  </si>
  <si>
    <t>2020-09-16</t>
  </si>
  <si>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银湖投资</t>
    </r>
    <r>
      <rPr>
        <sz val="9"/>
        <color rgb="FF000000"/>
        <rFont val="Arial"/>
        <charset val="134"/>
      </rPr>
      <t>Silver Lake</t>
    </r>
  </si>
  <si>
    <t>2020-03-04</t>
  </si>
  <si>
    <t>2019-08-08</t>
  </si>
  <si>
    <r>
      <rPr>
        <sz val="9"/>
        <color rgb="FF000000"/>
        <rFont val="Arial"/>
        <charset val="134"/>
      </rPr>
      <t>Dragoneer Investment Group,</t>
    </r>
    <r>
      <rPr>
        <sz val="9"/>
        <color rgb="FF000000"/>
        <rFont val="楷体"/>
        <charset val="134"/>
      </rPr>
      <t>盈富泰克</t>
    </r>
    <r>
      <rPr>
        <sz val="9"/>
        <color rgb="FF000000"/>
        <rFont val="Arial"/>
        <charset val="134"/>
      </rPr>
      <t>,FrstaAP-fonden,</t>
    </r>
    <r>
      <rPr>
        <sz val="9"/>
        <color rgb="FF000000"/>
        <rFont val="楷体"/>
        <charset val="134"/>
      </rPr>
      <t>澳大利亚联邦银行</t>
    </r>
    <r>
      <rPr>
        <sz val="9"/>
        <color rgb="FF000000"/>
        <rFont val="Arial"/>
        <charset val="134"/>
      </rPr>
      <t>,Merian Chrysalis Investment,HMI Capital</t>
    </r>
  </si>
  <si>
    <t>2018-10-09</t>
  </si>
  <si>
    <t>H&amp;M</t>
  </si>
  <si>
    <r>
      <rPr>
        <sz val="9"/>
        <color rgb="FF000000"/>
        <rFont val="Arial"/>
        <charset val="134"/>
      </rPr>
      <t>2.25</t>
    </r>
    <r>
      <rPr>
        <sz val="9"/>
        <color rgb="FF000000"/>
        <rFont val="楷体"/>
        <charset val="134"/>
      </rPr>
      <t>亿美元</t>
    </r>
  </si>
  <si>
    <r>
      <rPr>
        <sz val="9"/>
        <color rgb="FF000000"/>
        <rFont val="Arial"/>
        <charset val="134"/>
      </rPr>
      <t>Permira</t>
    </r>
    <r>
      <rPr>
        <sz val="9"/>
        <color rgb="FF000000"/>
        <rFont val="楷体"/>
        <charset val="134"/>
      </rPr>
      <t>璞米资本</t>
    </r>
  </si>
  <si>
    <r>
      <rPr>
        <sz val="9"/>
        <color rgb="FF000000"/>
        <rFont val="Arial"/>
        <charset val="134"/>
      </rPr>
      <t>3.7</t>
    </r>
    <r>
      <rPr>
        <sz val="9"/>
        <color rgb="FF000000"/>
        <rFont val="楷体"/>
        <charset val="134"/>
      </rPr>
      <t>亿美元</t>
    </r>
  </si>
  <si>
    <t>Visa</t>
  </si>
  <si>
    <t>2017-06-13</t>
  </si>
  <si>
    <t>Bestseller</t>
  </si>
  <si>
    <t>2015-08-01</t>
  </si>
  <si>
    <t>Northzone Ventures,Wellcome Trust</t>
  </si>
  <si>
    <t>2011-12-09</t>
  </si>
  <si>
    <r>
      <rPr>
        <sz val="9"/>
        <color rgb="FF000000"/>
        <rFont val="Arial"/>
        <charset val="134"/>
      </rPr>
      <t>1.55</t>
    </r>
    <r>
      <rPr>
        <sz val="9"/>
        <color rgb="FF000000"/>
        <rFont val="楷体"/>
        <charset val="134"/>
      </rPr>
      <t>亿美元</t>
    </r>
  </si>
  <si>
    <r>
      <rPr>
        <sz val="9"/>
        <color rgb="FF000000"/>
        <rFont val="Arial"/>
        <charset val="134"/>
      </rPr>
      <t>DST Global,General Atlantic</t>
    </r>
    <r>
      <rPr>
        <sz val="9"/>
        <color rgb="FF000000"/>
        <rFont val="楷体"/>
        <charset val="134"/>
      </rPr>
      <t>泛大西洋投资</t>
    </r>
  </si>
  <si>
    <t>2010-05-01</t>
  </si>
  <si>
    <t>2007-12-01</t>
  </si>
  <si>
    <r>
      <rPr>
        <sz val="9"/>
        <color rgb="FF000000"/>
        <rFont val="Arial"/>
        <charset val="134"/>
      </rPr>
      <t>220</t>
    </r>
    <r>
      <rPr>
        <sz val="9"/>
        <color rgb="FF000000"/>
        <rFont val="楷体"/>
        <charset val="134"/>
      </rPr>
      <t>万美元</t>
    </r>
  </si>
  <si>
    <t>Investment AB Öresund</t>
  </si>
  <si>
    <t>2018-10-19</t>
  </si>
  <si>
    <t>阿法金融</t>
  </si>
  <si>
    <t>阿法金融是一家智能投顾服务提供商，基于人工智能及大数据技术，为投资者免费提供智能预测、智能选股、智能搜索等服务，同时提供互联网财经资讯等信息。</t>
  </si>
  <si>
    <t>上海数旦信息技术有限公司</t>
  </si>
  <si>
    <t>http://afajr.com/</t>
  </si>
  <si>
    <r>
      <rPr>
        <sz val="9"/>
        <color rgb="FF000000"/>
        <rFont val="楷体"/>
        <charset val="134"/>
      </rPr>
      <t>线性资本</t>
    </r>
    <r>
      <rPr>
        <sz val="9"/>
        <color rgb="FF000000"/>
        <rFont val="Arial"/>
        <charset val="134"/>
      </rPr>
      <t>,</t>
    </r>
    <r>
      <rPr>
        <sz val="9"/>
        <color rgb="FF000000"/>
        <rFont val="楷体"/>
        <charset val="134"/>
      </rPr>
      <t>蚂蚁集团</t>
    </r>
  </si>
  <si>
    <r>
      <rPr>
        <sz val="9"/>
        <color rgb="FF000000"/>
        <rFont val="楷体"/>
        <charset val="134"/>
      </rPr>
      <t>刘川</t>
    </r>
    <r>
      <rPr>
        <sz val="9"/>
        <color rgb="FF000000"/>
        <rFont val="Arial"/>
        <charset val="134"/>
      </rPr>
      <t xml:space="preserve">: </t>
    </r>
    <r>
      <rPr>
        <sz val="9"/>
        <color rgb="FF000000"/>
        <rFont val="楷体"/>
        <charset val="134"/>
      </rPr>
      <t>董事长</t>
    </r>
    <r>
      <rPr>
        <sz val="9"/>
        <color rgb="FF000000"/>
        <rFont val="Arial"/>
        <charset val="134"/>
      </rPr>
      <t>,</t>
    </r>
    <r>
      <rPr>
        <sz val="9"/>
        <color rgb="FF000000"/>
        <rFont val="楷体"/>
        <charset val="134"/>
      </rPr>
      <t>刘川</t>
    </r>
    <r>
      <rPr>
        <sz val="9"/>
        <color rgb="FF000000"/>
        <rFont val="Arial"/>
        <charset val="134"/>
      </rPr>
      <t>:</t>
    </r>
    <r>
      <rPr>
        <sz val="9"/>
        <color rgb="FF000000"/>
        <rFont val="楷体"/>
        <charset val="134"/>
      </rPr>
      <t>董事长</t>
    </r>
  </si>
  <si>
    <r>
      <rPr>
        <sz val="9"/>
        <color rgb="FF000000"/>
        <rFont val="楷体"/>
        <charset val="134"/>
      </rPr>
      <t>上海徐汇区钦州路上海市科技创业中心</t>
    </r>
    <r>
      <rPr>
        <sz val="9"/>
        <color rgb="FF000000"/>
        <rFont val="Arial"/>
        <charset val="134"/>
      </rPr>
      <t>2</t>
    </r>
    <r>
      <rPr>
        <sz val="9"/>
        <color rgb="FF000000"/>
        <rFont val="楷体"/>
        <charset val="134"/>
      </rPr>
      <t>号楼</t>
    </r>
    <r>
      <rPr>
        <sz val="9"/>
        <color rgb="FF000000"/>
        <rFont val="Arial"/>
        <charset val="134"/>
      </rPr>
      <t>208;</t>
    </r>
    <r>
      <rPr>
        <sz val="9"/>
        <color rgb="FF000000"/>
        <rFont val="楷体"/>
        <charset val="134"/>
      </rPr>
      <t>钦州路</t>
    </r>
    <r>
      <rPr>
        <sz val="9"/>
        <color rgb="FF000000"/>
        <rFont val="Arial"/>
        <charset val="134"/>
      </rPr>
      <t>100</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711</t>
    </r>
    <r>
      <rPr>
        <sz val="9"/>
        <color rgb="FF000000"/>
        <rFont val="楷体"/>
        <charset val="134"/>
      </rPr>
      <t>室</t>
    </r>
  </si>
  <si>
    <t>186-1680-8265</t>
  </si>
  <si>
    <t>lily@afajr.com;Lc@afajr.com</t>
  </si>
  <si>
    <t>线性资本</t>
  </si>
  <si>
    <t>2016-04-27</t>
  </si>
  <si>
    <r>
      <rPr>
        <sz val="9"/>
        <color rgb="FF000000"/>
        <rFont val="楷体"/>
        <charset val="134"/>
      </rPr>
      <t>领庆创投</t>
    </r>
    <r>
      <rPr>
        <sz val="9"/>
        <color rgb="FF000000"/>
        <rFont val="Arial"/>
        <charset val="134"/>
      </rPr>
      <t>TheLinhuiFund,</t>
    </r>
    <r>
      <rPr>
        <sz val="9"/>
        <color rgb="FF000000"/>
        <rFont val="楷体"/>
        <charset val="134"/>
      </rPr>
      <t>上海弘晖</t>
    </r>
  </si>
  <si>
    <t>2018-11-15</t>
  </si>
  <si>
    <t>mobrella漂流伞</t>
  </si>
  <si>
    <r>
      <rPr>
        <sz val="9"/>
        <color rgb="FF000000"/>
        <rFont val="Arial"/>
        <charset val="134"/>
      </rPr>
      <t>mobrella</t>
    </r>
    <r>
      <rPr>
        <sz val="9"/>
        <color rgb="FF000000"/>
        <rFont val="楷体"/>
        <charset val="134"/>
      </rPr>
      <t>漂流伞</t>
    </r>
  </si>
  <si>
    <r>
      <rPr>
        <sz val="9"/>
        <color rgb="FF000000"/>
        <rFont val="Arial"/>
        <charset val="134"/>
      </rPr>
      <t>mobrella</t>
    </r>
    <r>
      <rPr>
        <sz val="9"/>
        <color rgb="FF000000"/>
        <rFont val="楷体"/>
        <charset val="134"/>
      </rPr>
      <t>漂流伞是一家共享雨伞服务提供商，旨在解决城市晴雨天的用伞问题。用户通过微信小程序搜索漂流伞，即可免费借伞，小区、商圈、大楼均有还伞点，快速借伞免费使用。</t>
    </r>
  </si>
  <si>
    <t>杭州漂流伞科技有限公司</t>
  </si>
  <si>
    <t>http://www.piaoliusan.com/</t>
  </si>
  <si>
    <t>2017-05</t>
  </si>
  <si>
    <r>
      <rPr>
        <sz val="9"/>
        <color rgb="FF000000"/>
        <rFont val="Arial"/>
        <charset val="134"/>
      </rPr>
      <t>1.9</t>
    </r>
    <r>
      <rPr>
        <sz val="9"/>
        <color rgb="FF000000"/>
        <rFont val="楷体"/>
        <charset val="134"/>
      </rPr>
      <t>亿</t>
    </r>
  </si>
  <si>
    <r>
      <rPr>
        <sz val="9"/>
        <color rgb="FF000000"/>
        <rFont val="Arial"/>
        <charset val="134"/>
      </rPr>
      <t>3</t>
    </r>
    <r>
      <rPr>
        <sz val="9"/>
        <color rgb="FF000000"/>
        <rFont val="楷体"/>
        <charset val="134"/>
      </rPr>
      <t>亿元</t>
    </r>
  </si>
  <si>
    <r>
      <rPr>
        <sz val="9"/>
        <color rgb="FF000000"/>
        <rFont val="楷体"/>
        <charset val="134"/>
      </rPr>
      <t>顾曼</t>
    </r>
    <r>
      <rPr>
        <sz val="9"/>
        <color rgb="FF000000"/>
        <rFont val="Arial"/>
        <charset val="134"/>
      </rPr>
      <t>:</t>
    </r>
    <r>
      <rPr>
        <sz val="9"/>
        <color rgb="FF000000"/>
        <rFont val="楷体"/>
        <charset val="134"/>
      </rPr>
      <t>创始人</t>
    </r>
  </si>
  <si>
    <r>
      <rPr>
        <sz val="9"/>
        <color rgb="FF000000"/>
        <rFont val="楷体"/>
        <charset val="134"/>
      </rPr>
      <t>深圳市福田区车公庙泰然四路天经大厦</t>
    </r>
    <r>
      <rPr>
        <sz val="9"/>
        <color rgb="FF000000"/>
        <rFont val="Arial"/>
        <charset val="134"/>
      </rPr>
      <t>CD</t>
    </r>
    <r>
      <rPr>
        <sz val="9"/>
        <color rgb="FF000000"/>
        <rFont val="楷体"/>
        <charset val="134"/>
      </rPr>
      <t>座</t>
    </r>
    <r>
      <rPr>
        <sz val="9"/>
        <color rgb="FF000000"/>
        <rFont val="Arial"/>
        <charset val="134"/>
      </rPr>
      <t>4C2</t>
    </r>
  </si>
  <si>
    <t>qiao@piaoliusan.com</t>
  </si>
  <si>
    <r>
      <rPr>
        <sz val="9"/>
        <color rgb="FF000000"/>
        <rFont val="楷体"/>
        <charset val="134"/>
      </rPr>
      <t>清科创投</t>
    </r>
    <r>
      <rPr>
        <sz val="9"/>
        <color rgb="FF000000"/>
        <rFont val="Arial"/>
        <charset val="134"/>
      </rPr>
      <t>,</t>
    </r>
    <r>
      <rPr>
        <sz val="9"/>
        <color rgb="FF000000"/>
        <rFont val="楷体"/>
        <charset val="134"/>
      </rPr>
      <t>娱乐工场</t>
    </r>
    <r>
      <rPr>
        <sz val="9"/>
        <color rgb="FF000000"/>
        <rFont val="Arial"/>
        <charset val="134"/>
      </rPr>
      <t>,</t>
    </r>
    <r>
      <rPr>
        <sz val="9"/>
        <color rgb="FF000000"/>
        <rFont val="楷体"/>
        <charset val="134"/>
      </rPr>
      <t>深圳蓝湾资本</t>
    </r>
  </si>
  <si>
    <r>
      <rPr>
        <sz val="9"/>
        <color rgb="FF000000"/>
        <rFont val="楷体"/>
        <charset val="134"/>
      </rPr>
      <t>清科创投</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道生资本</t>
    </r>
    <r>
      <rPr>
        <sz val="9"/>
        <color rgb="FF000000"/>
        <rFont val="Arial"/>
        <charset val="134"/>
      </rPr>
      <t>,</t>
    </r>
    <r>
      <rPr>
        <sz val="9"/>
        <color rgb="FF000000"/>
        <rFont val="楷体"/>
        <charset val="134"/>
      </rPr>
      <t>追梦者基金</t>
    </r>
    <r>
      <rPr>
        <sz val="9"/>
        <color rgb="FF000000"/>
        <rFont val="Arial"/>
        <charset val="134"/>
      </rPr>
      <t>,</t>
    </r>
    <r>
      <rPr>
        <sz val="9"/>
        <color rgb="FF000000"/>
        <rFont val="楷体"/>
        <charset val="134"/>
      </rPr>
      <t>哈匹</t>
    </r>
  </si>
  <si>
    <r>
      <rPr>
        <sz val="9"/>
        <color rgb="FF000000"/>
        <rFont val="楷体"/>
        <charset val="134"/>
      </rPr>
      <t>戈壁创投</t>
    </r>
    <r>
      <rPr>
        <sz val="9"/>
        <color rgb="FF000000"/>
        <rFont val="Arial"/>
        <charset val="134"/>
      </rPr>
      <t>,</t>
    </r>
    <r>
      <rPr>
        <sz val="9"/>
        <color rgb="FF000000"/>
        <rFont val="楷体"/>
        <charset val="134"/>
      </rPr>
      <t>追梦者基金</t>
    </r>
    <r>
      <rPr>
        <sz val="9"/>
        <color rgb="FF000000"/>
        <rFont val="Arial"/>
        <charset val="134"/>
      </rPr>
      <t>,</t>
    </r>
    <r>
      <rPr>
        <sz val="9"/>
        <color rgb="FF000000"/>
        <rFont val="楷体"/>
        <charset val="134"/>
      </rPr>
      <t>哈匹</t>
    </r>
  </si>
  <si>
    <r>
      <rPr>
        <sz val="9"/>
        <color rgb="FF000000"/>
        <rFont val="楷体"/>
        <charset val="134"/>
      </rPr>
      <t>雷雨资本</t>
    </r>
    <r>
      <rPr>
        <sz val="9"/>
        <color rgb="FF000000"/>
        <rFont val="Arial"/>
        <charset val="134"/>
      </rPr>
      <t>(</t>
    </r>
    <r>
      <rPr>
        <sz val="9"/>
        <color rgb="FF000000"/>
        <rFont val="楷体"/>
        <charset val="134"/>
      </rPr>
      <t>微投</t>
    </r>
    <r>
      <rPr>
        <sz val="9"/>
        <color rgb="FF000000"/>
        <rFont val="Arial"/>
        <charset val="134"/>
      </rPr>
      <t>VChello),</t>
    </r>
    <r>
      <rPr>
        <sz val="9"/>
        <color rgb="FF000000"/>
        <rFont val="楷体"/>
        <charset val="134"/>
      </rPr>
      <t>以正资本</t>
    </r>
    <r>
      <rPr>
        <sz val="9"/>
        <color rgb="FF000000"/>
        <rFont val="Arial"/>
        <charset val="134"/>
      </rPr>
      <t>,</t>
    </r>
    <r>
      <rPr>
        <sz val="9"/>
        <color rgb="FF000000"/>
        <rFont val="楷体"/>
        <charset val="134"/>
      </rPr>
      <t>追梦者基金</t>
    </r>
    <r>
      <rPr>
        <sz val="9"/>
        <color rgb="FF000000"/>
        <rFont val="Arial"/>
        <charset val="134"/>
      </rPr>
      <t>,</t>
    </r>
    <r>
      <rPr>
        <sz val="9"/>
        <color rgb="FF000000"/>
        <rFont val="楷体"/>
        <charset val="134"/>
      </rPr>
      <t>友谊菲诺</t>
    </r>
  </si>
  <si>
    <t>2017-05-01</t>
  </si>
  <si>
    <r>
      <rPr>
        <sz val="9"/>
        <color rgb="FF000000"/>
        <rFont val="楷体"/>
        <charset val="134"/>
      </rPr>
      <t>英诺天使基金</t>
    </r>
    <r>
      <rPr>
        <sz val="9"/>
        <color rgb="FF000000"/>
        <rFont val="Arial"/>
        <charset val="134"/>
      </rPr>
      <t>,</t>
    </r>
    <r>
      <rPr>
        <sz val="9"/>
        <color rgb="FF000000"/>
        <rFont val="楷体"/>
        <charset val="134"/>
      </rPr>
      <t>嘉道谷投资</t>
    </r>
    <r>
      <rPr>
        <sz val="9"/>
        <color rgb="FF000000"/>
        <rFont val="Arial"/>
        <charset val="134"/>
      </rPr>
      <t>(</t>
    </r>
    <r>
      <rPr>
        <sz val="9"/>
        <color rgb="FF000000"/>
        <rFont val="楷体"/>
        <charset val="134"/>
      </rPr>
      <t>龚虹嘉</t>
    </r>
    <r>
      <rPr>
        <sz val="9"/>
        <color rgb="FF000000"/>
        <rFont val="Arial"/>
        <charset val="134"/>
      </rPr>
      <t>)</t>
    </r>
  </si>
  <si>
    <t>2018-06-11</t>
  </si>
  <si>
    <t>猩便利</t>
  </si>
  <si>
    <t>猩便利是一个主打无人值守便利架的新零售平台，以数据为驱动，以用户为中心，线上线下一体化的全新业态，隶属于哦加哦网络科技（上海）有限公司。</t>
  </si>
  <si>
    <t>哦加哦网络科技（上海）有限公司</t>
  </si>
  <si>
    <t>https://www.xingbianli.com/</t>
  </si>
  <si>
    <r>
      <rPr>
        <sz val="9"/>
        <color rgb="FF000000"/>
        <rFont val="楷体"/>
        <charset val="134"/>
      </rPr>
      <t>红杉资本中国</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蚂蚁集团</t>
    </r>
  </si>
  <si>
    <r>
      <rPr>
        <sz val="9"/>
        <color rgb="FF000000"/>
        <rFont val="Arial"/>
        <charset val="134"/>
      </rPr>
      <t>5.8</t>
    </r>
    <r>
      <rPr>
        <sz val="9"/>
        <color rgb="FF000000"/>
        <rFont val="楷体"/>
        <charset val="134"/>
      </rPr>
      <t>亿</t>
    </r>
  </si>
  <si>
    <r>
      <rPr>
        <sz val="9"/>
        <color rgb="FF000000"/>
        <rFont val="楷体"/>
        <charset val="134"/>
      </rPr>
      <t>司江华</t>
    </r>
    <r>
      <rPr>
        <sz val="9"/>
        <color rgb="FF000000"/>
        <rFont val="Arial"/>
        <charset val="134"/>
      </rPr>
      <t>:CEO,</t>
    </r>
    <r>
      <rPr>
        <sz val="9"/>
        <color rgb="FF000000"/>
        <rFont val="楷体"/>
        <charset val="134"/>
      </rPr>
      <t>夏荷</t>
    </r>
    <r>
      <rPr>
        <sz val="9"/>
        <color rgb="FF000000"/>
        <rFont val="Arial"/>
        <charset val="134"/>
      </rPr>
      <t>:</t>
    </r>
    <r>
      <rPr>
        <sz val="9"/>
        <color rgb="FF000000"/>
        <rFont val="楷体"/>
        <charset val="134"/>
      </rPr>
      <t>副总裁</t>
    </r>
  </si>
  <si>
    <r>
      <rPr>
        <sz val="9"/>
        <color rgb="FF000000"/>
        <rFont val="楷体"/>
        <charset val="134"/>
      </rPr>
      <t>上海市静安区万荣路</t>
    </r>
    <r>
      <rPr>
        <sz val="9"/>
        <color rgb="FF000000"/>
        <rFont val="Arial"/>
        <charset val="134"/>
      </rPr>
      <t>777</t>
    </r>
    <r>
      <rPr>
        <sz val="9"/>
        <color rgb="FF000000"/>
        <rFont val="楷体"/>
        <charset val="134"/>
      </rPr>
      <t>弄</t>
    </r>
    <r>
      <rPr>
        <sz val="9"/>
        <color rgb="FF000000"/>
        <rFont val="Arial"/>
        <charset val="134"/>
      </rPr>
      <t>2</t>
    </r>
    <r>
      <rPr>
        <sz val="9"/>
        <color rgb="FF000000"/>
        <rFont val="楷体"/>
        <charset val="134"/>
      </rPr>
      <t>号</t>
    </r>
    <r>
      <rPr>
        <sz val="9"/>
        <color rgb="FF000000"/>
        <rFont val="Arial"/>
        <charset val="134"/>
      </rPr>
      <t>501</t>
    </r>
    <r>
      <rPr>
        <sz val="9"/>
        <color rgb="FF000000"/>
        <rFont val="楷体"/>
        <charset val="134"/>
      </rPr>
      <t>室</t>
    </r>
  </si>
  <si>
    <t>400-920-3899</t>
  </si>
  <si>
    <t>pr@owitho.com</t>
  </si>
  <si>
    <t>2017-10-27</t>
  </si>
  <si>
    <r>
      <rPr>
        <sz val="9"/>
        <color rgb="FF000000"/>
        <rFont val="Arial"/>
        <charset val="134"/>
      </rPr>
      <t>3.8</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</si>
  <si>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元璟资本</t>
    </r>
  </si>
  <si>
    <t>2017-09-04</t>
  </si>
  <si>
    <r>
      <rPr>
        <sz val="9"/>
        <color rgb="FF000000"/>
        <rFont val="楷体"/>
        <charset val="134"/>
      </rPr>
      <t>光速光合</t>
    </r>
    <r>
      <rPr>
        <sz val="9"/>
        <color rgb="FF000000"/>
        <rFont val="Arial"/>
        <charset val="134"/>
      </rPr>
      <t>,</t>
    </r>
    <r>
      <rPr>
        <sz val="9"/>
        <color rgb="FF000000"/>
        <rFont val="楷体"/>
        <charset val="134"/>
      </rPr>
      <t>王兴</t>
    </r>
    <r>
      <rPr>
        <sz val="9"/>
        <color rgb="FF000000"/>
        <rFont val="Arial"/>
        <charset val="134"/>
      </rPr>
      <t>,</t>
    </r>
    <r>
      <rPr>
        <sz val="9"/>
        <color rgb="FF000000"/>
        <rFont val="楷体"/>
        <charset val="134"/>
      </rPr>
      <t>张涛</t>
    </r>
    <r>
      <rPr>
        <sz val="9"/>
        <color rgb="FF000000"/>
        <rFont val="Arial"/>
        <charset val="134"/>
      </rPr>
      <t>,</t>
    </r>
    <r>
      <rPr>
        <sz val="9"/>
        <color rgb="FF000000"/>
        <rFont val="楷体"/>
        <charset val="134"/>
      </rPr>
      <t>王慧文</t>
    </r>
  </si>
  <si>
    <t>2019-01-24</t>
  </si>
  <si>
    <t>商米科技</t>
  </si>
  <si>
    <r>
      <rPr>
        <sz val="9"/>
        <color rgb="FF000000"/>
        <rFont val="楷体"/>
        <charset val="134"/>
      </rPr>
      <t>商米科技是一家移动支付智能硬件研发商，专注为</t>
    </r>
    <r>
      <rPr>
        <sz val="9"/>
        <color rgb="FF000000"/>
        <rFont val="Arial"/>
        <charset val="134"/>
      </rPr>
      <t>O2O</t>
    </r>
    <r>
      <rPr>
        <sz val="9"/>
        <color rgb="FF000000"/>
        <rFont val="楷体"/>
        <charset val="134"/>
      </rPr>
      <t>互联网平台，软件开发商、中小型商户提供智能商用硬件设备，以及为实体商户提供移动互联网化的智能商用硬件解决方案。</t>
    </r>
  </si>
  <si>
    <t>上海商米科技集团股份有限公司</t>
  </si>
  <si>
    <t>http://www.sunmi.com/</t>
  </si>
  <si>
    <t>2013-12</t>
  </si>
  <si>
    <r>
      <rPr>
        <sz val="9"/>
        <color rgb="FF000000"/>
        <rFont val="楷体"/>
        <charset val="134"/>
      </rPr>
      <t>蚂蚁集团</t>
    </r>
    <r>
      <rPr>
        <sz val="9"/>
        <color rgb="FF000000"/>
        <rFont val="Arial"/>
        <charset val="134"/>
      </rPr>
      <t>,</t>
    </r>
    <r>
      <rPr>
        <sz val="9"/>
        <color rgb="FF000000"/>
        <rFont val="楷体"/>
        <charset val="134"/>
      </rPr>
      <t>农银国际</t>
    </r>
  </si>
  <si>
    <r>
      <rPr>
        <sz val="9"/>
        <color rgb="FF000000"/>
        <rFont val="Arial"/>
        <charset val="134"/>
      </rPr>
      <t>David Protect:</t>
    </r>
    <r>
      <rPr>
        <sz val="9"/>
        <color rgb="FF000000"/>
        <rFont val="楷体"/>
        <charset val="134"/>
      </rPr>
      <t>首席设计师兼</t>
    </r>
    <r>
      <rPr>
        <sz val="9"/>
        <color rgb="FF000000"/>
        <rFont val="Arial"/>
        <charset val="134"/>
      </rPr>
      <t>CDO,</t>
    </r>
    <r>
      <rPr>
        <sz val="9"/>
        <color rgb="FF000000"/>
        <rFont val="楷体"/>
        <charset val="134"/>
      </rPr>
      <t>李彬夷</t>
    </r>
    <r>
      <rPr>
        <sz val="9"/>
        <color rgb="FF000000"/>
        <rFont val="Arial"/>
        <charset val="134"/>
      </rPr>
      <t>:</t>
    </r>
    <r>
      <rPr>
        <sz val="9"/>
        <color rgb="FF000000"/>
        <rFont val="楷体"/>
        <charset val="134"/>
      </rPr>
      <t>联合创始人兼</t>
    </r>
    <r>
      <rPr>
        <sz val="9"/>
        <color rgb="FF000000"/>
        <rFont val="Arial"/>
        <charset val="134"/>
      </rPr>
      <t>CMO,</t>
    </r>
    <r>
      <rPr>
        <sz val="9"/>
        <color rgb="FF000000"/>
        <rFont val="楷体"/>
        <charset val="134"/>
      </rPr>
      <t>王震</t>
    </r>
    <r>
      <rPr>
        <sz val="9"/>
        <color rgb="FF000000"/>
        <rFont val="Arial"/>
        <charset val="134"/>
      </rPr>
      <t>:</t>
    </r>
    <r>
      <rPr>
        <sz val="9"/>
        <color rgb="FF000000"/>
        <rFont val="楷体"/>
        <charset val="134"/>
      </rPr>
      <t>联合创始人兼</t>
    </r>
    <r>
      <rPr>
        <sz val="9"/>
        <color rgb="FF000000"/>
        <rFont val="Arial"/>
        <charset val="134"/>
      </rPr>
      <t>COO,</t>
    </r>
    <r>
      <rPr>
        <sz val="9"/>
        <color rgb="FF000000"/>
        <rFont val="楷体"/>
        <charset val="134"/>
      </rPr>
      <t>林喆</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</si>
  <si>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上海市杨浦区淞沪路</t>
    </r>
    <r>
      <rPr>
        <sz val="9"/>
        <color rgb="FF000000"/>
        <rFont val="Arial"/>
        <charset val="134"/>
      </rPr>
      <t>388</t>
    </r>
    <r>
      <rPr>
        <sz val="9"/>
        <color rgb="FF000000"/>
        <rFont val="楷体"/>
        <charset val="134"/>
      </rPr>
      <t>号</t>
    </r>
    <r>
      <rPr>
        <sz val="9"/>
        <color rgb="FF000000"/>
        <rFont val="Arial"/>
        <charset val="134"/>
      </rPr>
      <t xml:space="preserve"> </t>
    </r>
    <r>
      <rPr>
        <sz val="9"/>
        <color rgb="FF000000"/>
        <rFont val="楷体"/>
        <charset val="134"/>
      </rPr>
      <t>创智天地</t>
    </r>
    <r>
      <rPr>
        <sz val="9"/>
        <color rgb="FF000000"/>
        <rFont val="Arial"/>
        <charset val="134"/>
      </rPr>
      <t>7</t>
    </r>
    <r>
      <rPr>
        <sz val="9"/>
        <color rgb="FF000000"/>
        <rFont val="楷体"/>
        <charset val="134"/>
      </rPr>
      <t>号楼</t>
    </r>
    <r>
      <rPr>
        <sz val="9"/>
        <color rgb="FF000000"/>
        <rFont val="Arial"/>
        <charset val="134"/>
      </rPr>
      <t>605</t>
    </r>
  </si>
  <si>
    <t>021-6107-9307</t>
  </si>
  <si>
    <t>mkt@sunmi.com</t>
  </si>
  <si>
    <t>2017-08-04</t>
  </si>
  <si>
    <t>2015-06-30</t>
  </si>
  <si>
    <r>
      <rPr>
        <sz val="9"/>
        <color rgb="FF000000"/>
        <rFont val="楷体"/>
        <charset val="134"/>
      </rPr>
      <t>知本投资</t>
    </r>
    <r>
      <rPr>
        <sz val="9"/>
        <color rgb="FF000000"/>
        <rFont val="Arial"/>
        <charset val="134"/>
      </rPr>
      <t>(</t>
    </r>
    <r>
      <rPr>
        <sz val="9"/>
        <color rgb="FF000000"/>
        <rFont val="楷体"/>
        <charset val="134"/>
      </rPr>
      <t>口袋购物</t>
    </r>
    <r>
      <rPr>
        <sz val="9"/>
        <color rgb="FF000000"/>
        <rFont val="Arial"/>
        <charset val="134"/>
      </rPr>
      <t>)</t>
    </r>
  </si>
  <si>
    <r>
      <rPr>
        <sz val="9"/>
        <color rgb="FF000000"/>
        <rFont val="楷体"/>
        <charset val="134"/>
      </rPr>
      <t>深创投</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大众点评网</t>
    </r>
  </si>
  <si>
    <t>2014-08-23</t>
  </si>
  <si>
    <r>
      <rPr>
        <sz val="9"/>
        <color rgb="FF000000"/>
        <rFont val="楷体"/>
        <charset val="134"/>
      </rPr>
      <t>深创投</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胡泽民</t>
    </r>
  </si>
  <si>
    <t>2014-01-04</t>
  </si>
  <si>
    <t>暴龙资本</t>
  </si>
  <si>
    <t>2017-09-18</t>
  </si>
  <si>
    <t>永安行低碳</t>
  </si>
  <si>
    <t>永安行低碳是永安行旗下运作共享单车的平台，主要从事公共自行车租赁的技术研发、应用及管理等业务。</t>
  </si>
  <si>
    <t>江苏永安行低碳科技有限公司</t>
  </si>
  <si>
    <r>
      <rPr>
        <sz val="9"/>
        <color rgb="FF000000"/>
        <rFont val="楷体"/>
        <charset val="134"/>
      </rPr>
      <t>江苏</t>
    </r>
    <r>
      <rPr>
        <sz val="9"/>
        <color rgb="FF000000"/>
        <rFont val="Arial"/>
        <charset val="134"/>
      </rPr>
      <t>-</t>
    </r>
    <r>
      <rPr>
        <sz val="9"/>
        <color rgb="FF000000"/>
        <rFont val="楷体"/>
        <charset val="134"/>
      </rPr>
      <t>常州</t>
    </r>
  </si>
  <si>
    <r>
      <rPr>
        <sz val="9"/>
        <color rgb="FF000000"/>
        <rFont val="Arial"/>
        <charset val="134"/>
      </rPr>
      <t>8.1</t>
    </r>
    <r>
      <rPr>
        <sz val="9"/>
        <color rgb="FF000000"/>
        <rFont val="楷体"/>
        <charset val="134"/>
      </rPr>
      <t>亿人民币</t>
    </r>
  </si>
  <si>
    <r>
      <rPr>
        <sz val="9"/>
        <color rgb="FF000000"/>
        <rFont val="楷体"/>
        <charset val="134"/>
      </rPr>
      <t>深创投</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上海龄稷</t>
    </r>
  </si>
  <si>
    <r>
      <rPr>
        <sz val="9"/>
        <color rgb="FF000000"/>
        <rFont val="Arial"/>
        <charset val="134"/>
      </rPr>
      <t>8.1</t>
    </r>
    <r>
      <rPr>
        <sz val="9"/>
        <color rgb="FF000000"/>
        <rFont val="楷体"/>
        <charset val="134"/>
      </rPr>
      <t>亿</t>
    </r>
  </si>
  <si>
    <r>
      <rPr>
        <sz val="9"/>
        <color rgb="FF000000"/>
        <rFont val="Arial"/>
        <charset val="134"/>
      </rPr>
      <t>40.5</t>
    </r>
    <r>
      <rPr>
        <sz val="9"/>
        <color rgb="FF000000"/>
        <rFont val="楷体"/>
        <charset val="134"/>
      </rPr>
      <t>亿元</t>
    </r>
  </si>
  <si>
    <r>
      <rPr>
        <sz val="9"/>
        <color rgb="FF000000"/>
        <rFont val="楷体"/>
        <charset val="134"/>
      </rPr>
      <t>常州市新北区汉江路</t>
    </r>
    <r>
      <rPr>
        <sz val="9"/>
        <color rgb="FF000000"/>
        <rFont val="Arial"/>
        <charset val="134"/>
      </rPr>
      <t>400</t>
    </r>
    <r>
      <rPr>
        <sz val="9"/>
        <color rgb="FF000000"/>
        <rFont val="楷体"/>
        <charset val="134"/>
      </rPr>
      <t>号</t>
    </r>
  </si>
  <si>
    <t>0519-8128-2055</t>
  </si>
  <si>
    <t>2019-02-22</t>
  </si>
  <si>
    <t>立刻出行</t>
  </si>
  <si>
    <r>
      <rPr>
        <sz val="9"/>
        <color rgb="FF000000"/>
        <rFont val="楷体"/>
        <charset val="134"/>
      </rPr>
      <t>立刻出行是一家致力于向商务、休闲短途出行的都市人群的公司，提供汽车分时用车服务，租还车流程使用手机</t>
    </r>
    <r>
      <rPr>
        <sz val="9"/>
        <color rgb="FF000000"/>
        <rFont val="Arial"/>
        <charset val="134"/>
      </rPr>
      <t>APP</t>
    </r>
    <r>
      <rPr>
        <sz val="9"/>
        <color rgb="FF000000"/>
        <rFont val="楷体"/>
        <charset val="134"/>
      </rPr>
      <t>自助完成，智能、便捷。</t>
    </r>
  </si>
  <si>
    <t>天津山和朋友们科技有限公司</t>
  </si>
  <si>
    <t>https://www.likechuxing.com/</t>
  </si>
  <si>
    <r>
      <rPr>
        <sz val="9"/>
        <color rgb="FF000000"/>
        <rFont val="楷体"/>
        <charset val="134"/>
      </rPr>
      <t>天津</t>
    </r>
    <r>
      <rPr>
        <sz val="9"/>
        <color rgb="FF000000"/>
        <rFont val="Arial"/>
        <charset val="134"/>
      </rPr>
      <t>-</t>
    </r>
    <r>
      <rPr>
        <sz val="9"/>
        <color rgb="FF000000"/>
        <rFont val="楷体"/>
        <charset val="134"/>
      </rPr>
      <t>武清区</t>
    </r>
  </si>
  <si>
    <r>
      <rPr>
        <sz val="9"/>
        <color rgb="FF000000"/>
        <rFont val="楷体"/>
        <charset val="134"/>
      </rPr>
      <t>蓝驰创投</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熠美投资</t>
    </r>
    <r>
      <rPr>
        <sz val="9"/>
        <color rgb="FF000000"/>
        <rFont val="Arial"/>
        <charset val="134"/>
      </rPr>
      <t>,</t>
    </r>
    <r>
      <rPr>
        <sz val="9"/>
        <color rgb="FF000000"/>
        <rFont val="楷体"/>
        <charset val="134"/>
      </rPr>
      <t>凡创资本</t>
    </r>
  </si>
  <si>
    <r>
      <rPr>
        <sz val="9"/>
        <color rgb="FF000000"/>
        <rFont val="Arial"/>
        <charset val="134"/>
      </rPr>
      <t>5.02</t>
    </r>
    <r>
      <rPr>
        <sz val="9"/>
        <color rgb="FF000000"/>
        <rFont val="楷体"/>
        <charset val="134"/>
      </rPr>
      <t>亿</t>
    </r>
  </si>
  <si>
    <r>
      <rPr>
        <sz val="9"/>
        <color rgb="FF000000"/>
        <rFont val="楷体"/>
        <charset val="134"/>
      </rPr>
      <t>王杨</t>
    </r>
    <r>
      <rPr>
        <sz val="9"/>
        <color rgb="FF000000"/>
        <rFont val="Arial"/>
        <charset val="134"/>
      </rPr>
      <t>:</t>
    </r>
    <r>
      <rPr>
        <sz val="9"/>
        <color rgb="FF000000"/>
        <rFont val="楷体"/>
        <charset val="134"/>
      </rPr>
      <t>执行董事兼总经理</t>
    </r>
  </si>
  <si>
    <r>
      <rPr>
        <sz val="9"/>
        <color rgb="FF000000"/>
        <rFont val="楷体"/>
        <charset val="134"/>
      </rPr>
      <t>天津市武清开发区福源道北侧创业总部基地</t>
    </r>
    <r>
      <rPr>
        <sz val="9"/>
        <color rgb="FF000000"/>
        <rFont val="Arial"/>
        <charset val="134"/>
      </rPr>
      <t>C05</t>
    </r>
    <r>
      <rPr>
        <sz val="9"/>
        <color rgb="FF000000"/>
        <rFont val="楷体"/>
        <charset val="134"/>
      </rPr>
      <t>号楼</t>
    </r>
    <r>
      <rPr>
        <sz val="9"/>
        <color rgb="FF000000"/>
        <rFont val="Arial"/>
        <charset val="134"/>
      </rPr>
      <t>402</t>
    </r>
    <r>
      <rPr>
        <sz val="9"/>
        <color rgb="FF000000"/>
        <rFont val="楷体"/>
        <charset val="134"/>
      </rPr>
      <t>室</t>
    </r>
    <r>
      <rPr>
        <sz val="9"/>
        <color rgb="FF000000"/>
        <rFont val="Arial"/>
        <charset val="134"/>
      </rPr>
      <t>-8</t>
    </r>
  </si>
  <si>
    <t>400-666-2333</t>
  </si>
  <si>
    <t>like@likechuxing.com</t>
  </si>
  <si>
    <t>2018-05-07</t>
  </si>
  <si>
    <r>
      <rPr>
        <sz val="9"/>
        <color rgb="FF000000"/>
        <rFont val="楷体"/>
        <charset val="134"/>
      </rPr>
      <t>蓝驰创投</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蚂蚁集团</t>
    </r>
  </si>
  <si>
    <t>2018-04-23</t>
  </si>
  <si>
    <r>
      <rPr>
        <sz val="9"/>
        <color rgb="FF000000"/>
        <rFont val="楷体"/>
        <charset val="134"/>
      </rPr>
      <t>君联资本</t>
    </r>
    <r>
      <rPr>
        <sz val="9"/>
        <color rgb="FF000000"/>
        <rFont val="Arial"/>
        <charset val="134"/>
      </rPr>
      <t>,</t>
    </r>
    <r>
      <rPr>
        <sz val="9"/>
        <color rgb="FF000000"/>
        <rFont val="楷体"/>
        <charset val="134"/>
      </rPr>
      <t>险峰</t>
    </r>
  </si>
  <si>
    <r>
      <rPr>
        <sz val="9"/>
        <color rgb="FF000000"/>
        <rFont val="楷体"/>
        <charset val="134"/>
      </rPr>
      <t>险峰</t>
    </r>
    <r>
      <rPr>
        <sz val="9"/>
        <color rgb="FF000000"/>
        <rFont val="Arial"/>
        <charset val="134"/>
      </rPr>
      <t>,</t>
    </r>
    <r>
      <rPr>
        <sz val="9"/>
        <color rgb="FF000000"/>
        <rFont val="楷体"/>
        <charset val="134"/>
      </rPr>
      <t>阿米巴资本</t>
    </r>
    <r>
      <rPr>
        <sz val="9"/>
        <color rgb="FF000000"/>
        <rFont val="Arial"/>
        <charset val="134"/>
      </rPr>
      <t>,</t>
    </r>
    <r>
      <rPr>
        <sz val="9"/>
        <color rgb="FF000000"/>
        <rFont val="楷体"/>
        <charset val="134"/>
      </rPr>
      <t>顺为资本</t>
    </r>
  </si>
  <si>
    <t>2020-10-21</t>
  </si>
  <si>
    <t>鲸准</t>
  </si>
  <si>
    <r>
      <rPr>
        <sz val="9"/>
        <color rgb="FF000000"/>
        <rFont val="楷体"/>
        <charset val="134"/>
      </rPr>
      <t>鲸准是一级市场金融数据服务平台，采用双</t>
    </r>
    <r>
      <rPr>
        <sz val="9"/>
        <color rgb="FF000000"/>
        <rFont val="Arial"/>
        <charset val="134"/>
      </rPr>
      <t>AI</t>
    </r>
    <r>
      <rPr>
        <sz val="9"/>
        <color rgb="FF000000"/>
        <rFont val="楷体"/>
        <charset val="134"/>
      </rPr>
      <t>引擎</t>
    </r>
    <r>
      <rPr>
        <sz val="9"/>
        <color rgb="FF000000"/>
        <rFont val="Arial"/>
        <charset val="134"/>
      </rPr>
      <t>+</t>
    </r>
    <r>
      <rPr>
        <sz val="9"/>
        <color rgb="FF000000"/>
        <rFont val="楷体"/>
        <charset val="134"/>
      </rPr>
      <t>精细化运营的方式建立了一级市场数据库，收录国内外一级市场投融资数据库，针对投资人个人及投资机构推出鲸准数据及鲸准系统两款产品，运用</t>
    </r>
    <r>
      <rPr>
        <sz val="9"/>
        <color rgb="FF000000"/>
        <rFont val="Arial"/>
        <charset val="134"/>
      </rPr>
      <t>LOCKet</t>
    </r>
    <r>
      <rPr>
        <sz val="9"/>
        <color rgb="FF000000"/>
        <rFont val="楷体"/>
        <charset val="134"/>
      </rPr>
      <t>保证数据安全。</t>
    </r>
  </si>
  <si>
    <t>江苏鲸准数科信息产业发展有限责任公司</t>
  </si>
  <si>
    <t>https://www.jingdata.com</t>
  </si>
  <si>
    <r>
      <rPr>
        <sz val="9"/>
        <color rgb="FF000000"/>
        <rFont val="楷体"/>
        <charset val="134"/>
      </rPr>
      <t>德屹资本</t>
    </r>
    <r>
      <rPr>
        <sz val="9"/>
        <color rgb="FF000000"/>
        <rFont val="Arial"/>
        <charset val="134"/>
      </rPr>
      <t>,</t>
    </r>
    <r>
      <rPr>
        <sz val="9"/>
        <color rgb="FF000000"/>
        <rFont val="楷体"/>
        <charset val="134"/>
      </rPr>
      <t>张江集团</t>
    </r>
    <r>
      <rPr>
        <sz val="9"/>
        <color rgb="FF000000"/>
        <rFont val="Arial"/>
        <charset val="134"/>
      </rPr>
      <t>,</t>
    </r>
    <r>
      <rPr>
        <sz val="9"/>
        <color rgb="FF000000"/>
        <rFont val="楷体"/>
        <charset val="134"/>
      </rPr>
      <t>兰璞资本</t>
    </r>
  </si>
  <si>
    <r>
      <rPr>
        <sz val="9"/>
        <color rgb="FF000000"/>
        <rFont val="楷体"/>
        <charset val="134"/>
      </rPr>
      <t>胡健</t>
    </r>
    <r>
      <rPr>
        <sz val="9"/>
        <color rgb="FF000000"/>
        <rFont val="Arial"/>
        <charset val="134"/>
      </rPr>
      <t>:CEO,</t>
    </r>
    <r>
      <rPr>
        <sz val="9"/>
        <color rgb="FF000000"/>
        <rFont val="楷体"/>
        <charset val="134"/>
      </rPr>
      <t>柴源</t>
    </r>
    <r>
      <rPr>
        <sz val="9"/>
        <color rgb="FF000000"/>
        <rFont val="Arial"/>
        <charset val="134"/>
      </rPr>
      <t>:</t>
    </r>
    <r>
      <rPr>
        <sz val="9"/>
        <color rgb="FF000000"/>
        <rFont val="楷体"/>
        <charset val="134"/>
      </rPr>
      <t>总经理</t>
    </r>
  </si>
  <si>
    <r>
      <rPr>
        <sz val="9"/>
        <color rgb="FF000000"/>
        <rFont val="楷体"/>
        <charset val="134"/>
      </rPr>
      <t>北京市海淀区海淀大街</t>
    </r>
    <r>
      <rPr>
        <sz val="9"/>
        <color rgb="FF000000"/>
        <rFont val="Arial"/>
        <charset val="134"/>
      </rPr>
      <t>34</t>
    </r>
    <r>
      <rPr>
        <sz val="9"/>
        <color rgb="FF000000"/>
        <rFont val="楷体"/>
        <charset val="134"/>
      </rPr>
      <t>号</t>
    </r>
    <r>
      <rPr>
        <sz val="9"/>
        <color rgb="FF000000"/>
        <rFont val="Arial"/>
        <charset val="134"/>
      </rPr>
      <t>5</t>
    </r>
    <r>
      <rPr>
        <sz val="9"/>
        <color rgb="FF000000"/>
        <rFont val="楷体"/>
        <charset val="134"/>
      </rPr>
      <t>层</t>
    </r>
    <r>
      <rPr>
        <sz val="9"/>
        <color rgb="FF000000"/>
        <rFont val="Arial"/>
        <charset val="134"/>
      </rPr>
      <t>502</t>
    </r>
    <r>
      <rPr>
        <sz val="9"/>
        <color rgb="FF000000"/>
        <rFont val="楷体"/>
        <charset val="134"/>
      </rPr>
      <t>室</t>
    </r>
  </si>
  <si>
    <t>010-5997-4028</t>
  </si>
  <si>
    <t xml:space="preserve"> xuwei@36kr.com</t>
  </si>
  <si>
    <t>2019-12-09</t>
  </si>
  <si>
    <r>
      <rPr>
        <sz val="9"/>
        <color rgb="FF000000"/>
        <rFont val="楷体"/>
        <charset val="134"/>
      </rPr>
      <t>取势资本</t>
    </r>
    <r>
      <rPr>
        <sz val="9"/>
        <color rgb="FF000000"/>
        <rFont val="Arial"/>
        <charset val="134"/>
      </rPr>
      <t>,</t>
    </r>
    <r>
      <rPr>
        <sz val="9"/>
        <color rgb="FF000000"/>
        <rFont val="楷体"/>
        <charset val="134"/>
      </rPr>
      <t>国开装备基金</t>
    </r>
    <r>
      <rPr>
        <sz val="9"/>
        <color rgb="FF000000"/>
        <rFont val="Arial"/>
        <charset val="134"/>
      </rPr>
      <t>,</t>
    </r>
    <r>
      <rPr>
        <sz val="9"/>
        <color rgb="FF000000"/>
        <rFont val="楷体"/>
        <charset val="134"/>
      </rPr>
      <t>赟汇资本</t>
    </r>
  </si>
  <si>
    <t>2018-01-08</t>
  </si>
  <si>
    <r>
      <rPr>
        <sz val="9"/>
        <color rgb="FF000000"/>
        <rFont val="楷体"/>
        <charset val="134"/>
      </rPr>
      <t>经纬创投</t>
    </r>
    <r>
      <rPr>
        <sz val="9"/>
        <color rgb="FF000000"/>
        <rFont val="Arial"/>
        <charset val="134"/>
      </rPr>
      <t>,</t>
    </r>
    <r>
      <rPr>
        <sz val="9"/>
        <color rgb="FF000000"/>
        <rFont val="楷体"/>
        <charset val="134"/>
      </rPr>
      <t>九合创投</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云晖资本</t>
    </r>
    <r>
      <rPr>
        <sz val="9"/>
        <color rgb="FF000000"/>
        <rFont val="Arial"/>
        <charset val="134"/>
      </rPr>
      <t>,36</t>
    </r>
    <r>
      <rPr>
        <sz val="9"/>
        <color rgb="FF000000"/>
        <rFont val="楷体"/>
        <charset val="134"/>
      </rPr>
      <t>氪</t>
    </r>
    <r>
      <rPr>
        <sz val="9"/>
        <color rgb="FF000000"/>
        <rFont val="Arial"/>
        <charset val="134"/>
      </rPr>
      <t>,</t>
    </r>
    <r>
      <rPr>
        <sz val="9"/>
        <color rgb="FF000000"/>
        <rFont val="楷体"/>
        <charset val="134"/>
      </rPr>
      <t>春光里私人金服</t>
    </r>
    <r>
      <rPr>
        <sz val="9"/>
        <color rgb="FF000000"/>
        <rFont val="Arial"/>
        <charset val="134"/>
      </rPr>
      <t>,</t>
    </r>
    <r>
      <rPr>
        <sz val="9"/>
        <color rgb="FF000000"/>
        <rFont val="楷体"/>
        <charset val="134"/>
      </rPr>
      <t>黑盛控股</t>
    </r>
  </si>
  <si>
    <t>2021-02-18</t>
  </si>
  <si>
    <t>TigerGraph</t>
  </si>
  <si>
    <r>
      <rPr>
        <sz val="9"/>
        <color rgb="FF000000"/>
        <rFont val="Arial"/>
        <charset val="134"/>
      </rPr>
      <t>TigerGraph</t>
    </r>
    <r>
      <rPr>
        <sz val="9"/>
        <color rgb="FF000000"/>
        <rFont val="楷体"/>
        <charset val="134"/>
      </rPr>
      <t>公司的使命是帮助企业级客户能够在大数据的时代，能够获取对于数据的深度洞察。</t>
    </r>
    <r>
      <rPr>
        <sz val="9"/>
        <color rgb="FF000000"/>
        <rFont val="Arial"/>
        <charset val="134"/>
      </rPr>
      <t xml:space="preserve">TigerGraph </t>
    </r>
    <r>
      <rPr>
        <sz val="9"/>
        <color rgb="FF000000"/>
        <rFont val="楷体"/>
        <charset val="134"/>
      </rPr>
      <t>公司提供了业界第一个原生、平行的图数据计算平台，该平台同时提供在基于图技术的实时计算能力，以提供数据的深度关联分析</t>
    </r>
  </si>
  <si>
    <t>https://www.tigergraph.com/</t>
  </si>
  <si>
    <r>
      <rPr>
        <sz val="9"/>
        <color rgb="FF000000"/>
        <rFont val="Arial"/>
        <charset val="134"/>
      </rPr>
      <t>1.05</t>
    </r>
    <r>
      <rPr>
        <sz val="9"/>
        <color rgb="FF000000"/>
        <rFont val="楷体"/>
        <charset val="134"/>
      </rPr>
      <t>亿美元</t>
    </r>
  </si>
  <si>
    <r>
      <rPr>
        <sz val="9"/>
        <color rgb="FF000000"/>
        <rFont val="Arial"/>
        <charset val="134"/>
      </rPr>
      <t>10.92</t>
    </r>
    <r>
      <rPr>
        <sz val="9"/>
        <color rgb="FF000000"/>
        <rFont val="楷体"/>
        <charset val="134"/>
      </rPr>
      <t>亿</t>
    </r>
  </si>
  <si>
    <r>
      <rPr>
        <sz val="9"/>
        <color rgb="FF000000"/>
        <rFont val="Arial"/>
        <charset val="134"/>
      </rPr>
      <t>34.125</t>
    </r>
    <r>
      <rPr>
        <sz val="9"/>
        <color rgb="FF000000"/>
        <rFont val="楷体"/>
        <charset val="134"/>
      </rPr>
      <t>亿元</t>
    </r>
  </si>
  <si>
    <r>
      <rPr>
        <sz val="9"/>
        <color rgb="FF000000"/>
        <rFont val="楷体"/>
        <charset val="134"/>
      </rPr>
      <t>许昱</t>
    </r>
    <r>
      <rPr>
        <sz val="9"/>
        <color rgb="FF000000"/>
        <rFont val="Arial"/>
        <charset val="134"/>
      </rPr>
      <t>:CEO,Dr. Alin Deutsch:Chief Scientist,Dr. Songting Chen:Chief Architect,Fan Herbst:Head of People, VP,Jay  Yu:VP of Product Innovation - San Diego Innovation Center,Kevin Stone:Senior Data Scientist Consultant,Michael Shaler:VP of Business Development,Mingxi Wu:SVP of Engineering,Pekka Kostamaa:VP of Engineering - Hiring,Todd Blaschka:COO,Victor Lee:VP of Machine Learning and AI,Yu Xu:Founder and CEO,Shuo Yang:Head of Cloud</t>
    </r>
  </si>
  <si>
    <r>
      <rPr>
        <sz val="9"/>
        <color rgb="FF000000"/>
        <rFont val="楷体"/>
        <charset val="134"/>
      </rPr>
      <t>华创资本</t>
    </r>
    <r>
      <rPr>
        <sz val="9"/>
        <color rgb="FF000000"/>
        <rFont val="Arial"/>
        <charset val="134"/>
      </rPr>
      <t>,SIG</t>
    </r>
    <r>
      <rPr>
        <sz val="9"/>
        <color rgb="FF000000"/>
        <rFont val="楷体"/>
        <charset val="134"/>
      </rPr>
      <t>海纳亚洲</t>
    </r>
  </si>
  <si>
    <t>2017-09-19</t>
  </si>
  <si>
    <r>
      <rPr>
        <sz val="9"/>
        <color rgb="FF000000"/>
        <rFont val="Arial"/>
        <charset val="134"/>
      </rPr>
      <t>3100</t>
    </r>
    <r>
      <rPr>
        <sz val="9"/>
        <color rgb="FF000000"/>
        <rFont val="楷体"/>
        <charset val="134"/>
      </rPr>
      <t>万美元</t>
    </r>
  </si>
  <si>
    <r>
      <rPr>
        <sz val="9"/>
        <color rgb="FF000000"/>
        <rFont val="楷体"/>
        <charset val="134"/>
      </rPr>
      <t>启明创投</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华创资本</t>
    </r>
    <r>
      <rPr>
        <sz val="9"/>
        <color rgb="FF000000"/>
        <rFont val="Arial"/>
        <charset val="134"/>
      </rPr>
      <t>,AME Cloud Ventures,</t>
    </r>
    <r>
      <rPr>
        <sz val="9"/>
        <color rgb="FF000000"/>
        <rFont val="楷体"/>
        <charset val="134"/>
      </rPr>
      <t>丹华资本</t>
    </r>
    <r>
      <rPr>
        <sz val="9"/>
        <color rgb="FF000000"/>
        <rFont val="Arial"/>
        <charset val="134"/>
      </rPr>
      <t>,</t>
    </r>
    <r>
      <rPr>
        <sz val="9"/>
        <color rgb="FF000000"/>
        <rFont val="楷体"/>
        <charset val="134"/>
      </rPr>
      <t>蚂蚁集团</t>
    </r>
    <r>
      <rPr>
        <sz val="9"/>
        <color rgb="FF000000"/>
        <rFont val="Arial"/>
        <charset val="134"/>
      </rPr>
      <t>,Morado Ventures</t>
    </r>
  </si>
  <si>
    <t>2017-09-05</t>
  </si>
  <si>
    <t>小码联城</t>
  </si>
  <si>
    <r>
      <rPr>
        <sz val="9"/>
        <color rgb="FF000000"/>
        <rFont val="楷体"/>
        <charset val="134"/>
      </rPr>
      <t>小码联城是一家专注互联网</t>
    </r>
    <r>
      <rPr>
        <sz val="9"/>
        <color rgb="FF000000"/>
        <rFont val="Arial"/>
        <charset val="134"/>
      </rPr>
      <t>+</t>
    </r>
    <r>
      <rPr>
        <sz val="9"/>
        <color rgb="FF000000"/>
        <rFont val="楷体"/>
        <charset val="134"/>
      </rPr>
      <t>交通领域创新的整体解决方案服务提供商。致力通过科技创新能力为城市公共交通机构搭建一个安全、有效的大数据体系和金融服务平台，为</t>
    </r>
    <r>
      <rPr>
        <sz val="9"/>
        <color rgb="FF000000"/>
        <rFont val="Arial"/>
        <charset val="134"/>
      </rPr>
      <t>“</t>
    </r>
    <r>
      <rPr>
        <sz val="9"/>
        <color rgb="FF000000"/>
        <rFont val="楷体"/>
        <charset val="134"/>
      </rPr>
      <t>城、车、人</t>
    </r>
    <r>
      <rPr>
        <sz val="9"/>
        <color rgb="FF000000"/>
        <rFont val="Arial"/>
        <charset val="134"/>
      </rPr>
      <t>”</t>
    </r>
    <r>
      <rPr>
        <sz val="9"/>
        <color rgb="FF000000"/>
        <rFont val="楷体"/>
        <charset val="134"/>
      </rPr>
      <t>解决营运问题并带来商业价值。</t>
    </r>
  </si>
  <si>
    <t>武汉小码联城科技有限公司</t>
  </si>
  <si>
    <t>http://www.i-xiaoma.com/</t>
  </si>
  <si>
    <r>
      <rPr>
        <sz val="9"/>
        <color rgb="FF000000"/>
        <rFont val="楷体"/>
        <charset val="134"/>
      </rPr>
      <t>湖畔山南资本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湖畔宏盛</t>
    </r>
  </si>
  <si>
    <r>
      <rPr>
        <sz val="9"/>
        <color rgb="FF000000"/>
        <rFont val="Arial"/>
        <charset val="134"/>
      </rPr>
      <t>7.5757</t>
    </r>
    <r>
      <rPr>
        <sz val="9"/>
        <color rgb="FF000000"/>
        <rFont val="楷体"/>
        <charset val="134"/>
      </rPr>
      <t>亿元</t>
    </r>
  </si>
  <si>
    <r>
      <rPr>
        <sz val="9"/>
        <color rgb="FF000000"/>
        <rFont val="楷体"/>
        <charset val="134"/>
      </rPr>
      <t>卢祖传</t>
    </r>
    <r>
      <rPr>
        <sz val="9"/>
        <color rgb="FF000000"/>
        <rFont val="Arial"/>
        <charset val="134"/>
      </rPr>
      <t>:CEO</t>
    </r>
  </si>
  <si>
    <r>
      <rPr>
        <sz val="9"/>
        <color rgb="FF000000"/>
        <rFont val="楷体"/>
        <charset val="134"/>
      </rPr>
      <t>武汉市江岸区中山大道</t>
    </r>
    <r>
      <rPr>
        <sz val="9"/>
        <color rgb="FF000000"/>
        <rFont val="Arial"/>
        <charset val="134"/>
      </rPr>
      <t>1627</t>
    </r>
    <r>
      <rPr>
        <sz val="9"/>
        <color rgb="FF000000"/>
        <rFont val="楷体"/>
        <charset val="134"/>
      </rPr>
      <t>号中信泰富大厦</t>
    </r>
    <r>
      <rPr>
        <sz val="9"/>
        <color rgb="FF000000"/>
        <rFont val="Arial"/>
        <charset val="134"/>
      </rPr>
      <t>25</t>
    </r>
    <r>
      <rPr>
        <sz val="9"/>
        <color rgb="FF000000"/>
        <rFont val="楷体"/>
        <charset val="134"/>
      </rPr>
      <t>楼</t>
    </r>
  </si>
  <si>
    <t>132-0716-0028</t>
  </si>
  <si>
    <t>hr_xmlc@aliyun.com</t>
  </si>
  <si>
    <t>2018-12-03</t>
  </si>
  <si>
    <t>凯京集团</t>
  </si>
  <si>
    <t>凯京科技致力于推动物流行业的数字化和智慧化，为小微物流企业和车主提供线上化的开放平台，探索解决物流行业运输成本高、融资门槛高等痛点，为物流行业降本增效。联合优质股东资源，共同打造最懂小微物流企业和车主的数据、科技和普惠金融服务，通过凯京物流云线上化平台，将广大物流人日常经营所需的货物运输管理、车辆管理、资金结算管理、金融服务管理等全面线上化、数字化，让物流人生意更好做。</t>
  </si>
  <si>
    <t>上海凯京信达科技集团有限公司</t>
  </si>
  <si>
    <t>https://www.keking.com/mb/index.html#/</t>
  </si>
  <si>
    <r>
      <rPr>
        <sz val="9"/>
        <color rgb="FF000000"/>
        <rFont val="楷体"/>
        <charset val="134"/>
      </rPr>
      <t>红杉资本中国</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大钲资本</t>
    </r>
    <r>
      <rPr>
        <sz val="9"/>
        <color rgb="FF000000"/>
        <rFont val="Arial"/>
        <charset val="134"/>
      </rPr>
      <t>,</t>
    </r>
    <r>
      <rPr>
        <sz val="9"/>
        <color rgb="FF000000"/>
        <rFont val="楷体"/>
        <charset val="134"/>
      </rPr>
      <t>德邦证券</t>
    </r>
    <r>
      <rPr>
        <sz val="9"/>
        <color rgb="FF000000"/>
        <rFont val="Arial"/>
        <charset val="134"/>
      </rPr>
      <t>,</t>
    </r>
    <r>
      <rPr>
        <sz val="9"/>
        <color rgb="FF000000"/>
        <rFont val="楷体"/>
        <charset val="134"/>
      </rPr>
      <t>滕澜实业</t>
    </r>
  </si>
  <si>
    <r>
      <rPr>
        <sz val="9"/>
        <color rgb="FF000000"/>
        <rFont val="Arial"/>
        <charset val="134"/>
      </rPr>
      <t>46</t>
    </r>
    <r>
      <rPr>
        <sz val="9"/>
        <color rgb="FF000000"/>
        <rFont val="楷体"/>
        <charset val="134"/>
      </rPr>
      <t>亿元</t>
    </r>
  </si>
  <si>
    <r>
      <rPr>
        <sz val="9"/>
        <color rgb="FF000000"/>
        <rFont val="楷体"/>
        <charset val="134"/>
      </rPr>
      <t>张世伟</t>
    </r>
    <r>
      <rPr>
        <sz val="9"/>
        <color rgb="FF000000"/>
        <rFont val="Arial"/>
        <charset val="134"/>
      </rPr>
      <t>:CEO</t>
    </r>
  </si>
  <si>
    <r>
      <rPr>
        <sz val="9"/>
        <color rgb="FF000000"/>
        <rFont val="楷体"/>
        <charset val="134"/>
      </rPr>
      <t>上海浦东新区严家桥</t>
    </r>
    <r>
      <rPr>
        <sz val="9"/>
        <color rgb="FF000000"/>
        <rFont val="Arial"/>
        <charset val="134"/>
      </rPr>
      <t>1</t>
    </r>
    <r>
      <rPr>
        <sz val="9"/>
        <color rgb="FF000000"/>
        <rFont val="楷体"/>
        <charset val="134"/>
      </rPr>
      <t>号宏慧</t>
    </r>
    <r>
      <rPr>
        <sz val="9"/>
        <color rgb="FF000000"/>
        <rFont val="Arial"/>
        <charset val="134"/>
      </rPr>
      <t>·</t>
    </r>
    <r>
      <rPr>
        <sz val="9"/>
        <color rgb="FF000000"/>
        <rFont val="楷体"/>
        <charset val="134"/>
      </rPr>
      <t>音悦湾</t>
    </r>
  </si>
  <si>
    <t>400-111-8556</t>
  </si>
  <si>
    <t>BD@keking.cn</t>
  </si>
  <si>
    <t>宽鼎资产</t>
  </si>
  <si>
    <t>2016-12-21</t>
  </si>
  <si>
    <t>税友软件</t>
  </si>
  <si>
    <t>税友软件是一家专注于税务信息化建设与服务的企业，致力于以领先的互联网与大数据技术，构建以财税软件、财税专业培训、财税业务咨询、互联网金融、中小企业成长服务为主体的互联网综合业务平台。</t>
  </si>
  <si>
    <t>税友软件集团股份有限公司</t>
  </si>
  <si>
    <t>http://www.servyou.com.cn</t>
  </si>
  <si>
    <t>1999-12</t>
  </si>
  <si>
    <r>
      <rPr>
        <sz val="9"/>
        <color rgb="FF000000"/>
        <rFont val="Arial"/>
        <charset val="134"/>
      </rPr>
      <t>4.94</t>
    </r>
    <r>
      <rPr>
        <sz val="9"/>
        <color rgb="FF000000"/>
        <rFont val="楷体"/>
        <charset val="134"/>
      </rPr>
      <t>亿人民币</t>
    </r>
  </si>
  <si>
    <r>
      <rPr>
        <sz val="9"/>
        <color rgb="FF000000"/>
        <rFont val="Arial"/>
        <charset val="134"/>
      </rPr>
      <t>5.94</t>
    </r>
    <r>
      <rPr>
        <sz val="9"/>
        <color rgb="FF000000"/>
        <rFont val="楷体"/>
        <charset val="134"/>
      </rPr>
      <t>亿</t>
    </r>
  </si>
  <si>
    <r>
      <rPr>
        <sz val="9"/>
        <color rgb="FF000000"/>
        <rFont val="Arial"/>
        <charset val="134"/>
      </rPr>
      <t>54.1</t>
    </r>
    <r>
      <rPr>
        <sz val="9"/>
        <color rgb="FF000000"/>
        <rFont val="楷体"/>
        <charset val="134"/>
      </rPr>
      <t>亿元</t>
    </r>
  </si>
  <si>
    <r>
      <rPr>
        <sz val="9"/>
        <color rgb="FF000000"/>
        <rFont val="楷体"/>
        <charset val="134"/>
      </rPr>
      <t>周可仁</t>
    </r>
    <r>
      <rPr>
        <sz val="9"/>
        <color rgb="FF000000"/>
        <rFont val="Arial"/>
        <charset val="134"/>
      </rPr>
      <t>:</t>
    </r>
    <r>
      <rPr>
        <sz val="9"/>
        <color rgb="FF000000"/>
        <rFont val="楷体"/>
        <charset val="134"/>
      </rPr>
      <t>董事长</t>
    </r>
  </si>
  <si>
    <r>
      <rPr>
        <sz val="9"/>
        <color rgb="FF000000"/>
        <rFont val="楷体"/>
        <charset val="134"/>
      </rPr>
      <t>浙江省杭州市滨江区浦沿街道南环路</t>
    </r>
    <r>
      <rPr>
        <sz val="9"/>
        <color rgb="FF000000"/>
        <rFont val="Arial"/>
        <charset val="134"/>
      </rPr>
      <t>3738</t>
    </r>
    <r>
      <rPr>
        <sz val="9"/>
        <color rgb="FF000000"/>
        <rFont val="楷体"/>
        <charset val="134"/>
      </rPr>
      <t>号</t>
    </r>
  </si>
  <si>
    <t xml:space="preserve">057-15668-8188 </t>
  </si>
  <si>
    <t>zhff@servyou.com.cn</t>
  </si>
  <si>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杭州普阳投资管理有限公司</t>
    </r>
  </si>
  <si>
    <t>2018-02-14</t>
  </si>
  <si>
    <t>佳都数据</t>
  </si>
  <si>
    <r>
      <rPr>
        <sz val="9"/>
        <color rgb="FF000000"/>
        <rFont val="楷体"/>
        <charset val="134"/>
      </rPr>
      <t>佳都数据是一家以移动终端</t>
    </r>
    <r>
      <rPr>
        <sz val="9"/>
        <color rgb="FF000000"/>
        <rFont val="Arial"/>
        <charset val="134"/>
      </rPr>
      <t xml:space="preserve"> NFC </t>
    </r>
    <r>
      <rPr>
        <sz val="9"/>
        <color rgb="FF000000"/>
        <rFont val="楷体"/>
        <charset val="134"/>
      </rPr>
      <t>技术为基础、以自主软件产品为核心、国内领先的移动支付及移动互联网</t>
    </r>
    <r>
      <rPr>
        <sz val="9"/>
        <color rgb="FF000000"/>
        <rFont val="Arial"/>
        <charset val="134"/>
      </rPr>
      <t xml:space="preserve"> SaaS </t>
    </r>
    <r>
      <rPr>
        <sz val="9"/>
        <color rgb="FF000000"/>
        <rFont val="楷体"/>
        <charset val="134"/>
      </rPr>
      <t>云服务平台。目前聚焦交通行业移动支付，核心产品云通卡已在广州、武汉、平顶山等多个城市的公交、地铁等场景应用，并可在</t>
    </r>
    <r>
      <rPr>
        <sz val="9"/>
        <color rgb="FF000000"/>
        <rFont val="Arial"/>
        <charset val="134"/>
      </rPr>
      <t>NFC</t>
    </r>
    <r>
      <rPr>
        <sz val="9"/>
        <color rgb="FF000000"/>
        <rFont val="楷体"/>
        <charset val="134"/>
      </rPr>
      <t>、二维码支付随时切换，覆盖面广、用户体验好。</t>
    </r>
  </si>
  <si>
    <t>广州佳都数据服务有限公司</t>
  </si>
  <si>
    <t>http://www.pcidata.cn</t>
  </si>
  <si>
    <r>
      <rPr>
        <sz val="9"/>
        <color rgb="FF000000"/>
        <rFont val="楷体"/>
        <charset val="134"/>
      </rPr>
      <t>天河区软件园建工路</t>
    </r>
    <r>
      <rPr>
        <sz val="9"/>
        <color rgb="FF000000"/>
        <rFont val="Arial"/>
        <charset val="134"/>
      </rPr>
      <t>4</t>
    </r>
    <r>
      <rPr>
        <sz val="9"/>
        <color rgb="FF000000"/>
        <rFont val="楷体"/>
        <charset val="134"/>
      </rPr>
      <t>号</t>
    </r>
    <r>
      <rPr>
        <sz val="9"/>
        <color rgb="FF000000"/>
        <rFont val="Arial"/>
        <charset val="134"/>
      </rPr>
      <t>2</t>
    </r>
    <r>
      <rPr>
        <sz val="9"/>
        <color rgb="FF000000"/>
        <rFont val="楷体"/>
        <charset val="134"/>
      </rPr>
      <t>楼</t>
    </r>
  </si>
  <si>
    <t>admin@pcidata.cn</t>
  </si>
  <si>
    <t>2018-02-24</t>
  </si>
  <si>
    <t>顺易通</t>
  </si>
  <si>
    <r>
      <rPr>
        <sz val="9"/>
        <color rgb="FF000000"/>
        <rFont val="楷体"/>
        <charset val="134"/>
      </rPr>
      <t>顺易通主要从事智慧停车的运营及车生活的服务。基于车位停车，车场停车，城市停车等停车场景，通过物联网、大数据和人工智能技术为</t>
    </r>
    <r>
      <rPr>
        <sz val="9"/>
        <color rgb="FF000000"/>
        <rFont val="Arial"/>
        <charset val="134"/>
      </rPr>
      <t>B</t>
    </r>
    <r>
      <rPr>
        <sz val="9"/>
        <color rgb="FF000000"/>
        <rFont val="楷体"/>
        <charset val="134"/>
      </rPr>
      <t>端用户提供车牌识别、车脸识别、无人值守、无感支付等服务。</t>
    </r>
  </si>
  <si>
    <t>深圳市顺易通信息科技有限公司</t>
  </si>
  <si>
    <t>http://www.jieshun.cn</t>
  </si>
  <si>
    <r>
      <rPr>
        <sz val="9"/>
        <color rgb="FF000000"/>
        <rFont val="楷体"/>
        <charset val="134"/>
      </rPr>
      <t>唐健</t>
    </r>
    <r>
      <rPr>
        <sz val="9"/>
        <color rgb="FF000000"/>
        <rFont val="Arial"/>
        <charset val="134"/>
      </rPr>
      <t>:</t>
    </r>
    <r>
      <rPr>
        <sz val="9"/>
        <color rgb="FF000000"/>
        <rFont val="楷体"/>
        <charset val="134"/>
      </rPr>
      <t>执行董事</t>
    </r>
  </si>
  <si>
    <r>
      <rPr>
        <sz val="9"/>
        <color rgb="FF000000"/>
        <rFont val="楷体"/>
        <charset val="134"/>
      </rPr>
      <t>深圳市福田区梅林街道龙尾路</t>
    </r>
    <r>
      <rPr>
        <sz val="9"/>
        <color rgb="FF000000"/>
        <rFont val="Arial"/>
        <charset val="134"/>
      </rPr>
      <t>10</t>
    </r>
    <r>
      <rPr>
        <sz val="9"/>
        <color rgb="FF000000"/>
        <rFont val="楷体"/>
        <charset val="134"/>
      </rPr>
      <t>号捷顺科技</t>
    </r>
    <r>
      <rPr>
        <sz val="9"/>
        <color rgb="FF000000"/>
        <rFont val="Arial"/>
        <charset val="134"/>
      </rPr>
      <t>402</t>
    </r>
    <r>
      <rPr>
        <sz val="9"/>
        <color rgb="FF000000"/>
        <rFont val="楷体"/>
        <charset val="134"/>
      </rPr>
      <t>室</t>
    </r>
  </si>
  <si>
    <t>0755-8311-2288</t>
  </si>
  <si>
    <t>xz@jieshun.cn</t>
  </si>
  <si>
    <t>2018-03-10</t>
  </si>
  <si>
    <t>2017-03-03</t>
  </si>
  <si>
    <t>Telenor Microfinance Bank</t>
  </si>
  <si>
    <r>
      <rPr>
        <sz val="9"/>
        <color rgb="FF000000"/>
        <rFont val="Arial"/>
        <charset val="134"/>
      </rPr>
      <t>Telenor Bank</t>
    </r>
    <r>
      <rPr>
        <sz val="9"/>
        <color rgb="FF000000"/>
        <rFont val="楷体"/>
        <charset val="134"/>
      </rPr>
      <t>是巴基斯坦一家小额信贷银行，面向巴基斯坦国内用户提供贷款、小额保险、农业融资、住房贷款等产品，并且推出了移动支付平台</t>
    </r>
    <r>
      <rPr>
        <sz val="9"/>
        <color rgb="FF000000"/>
        <rFont val="Arial"/>
        <charset val="134"/>
      </rPr>
      <t>easypaisa</t>
    </r>
    <r>
      <rPr>
        <sz val="9"/>
        <color rgb="FF000000"/>
        <rFont val="楷体"/>
        <charset val="134"/>
      </rPr>
      <t>。</t>
    </r>
  </si>
  <si>
    <t>https://www.telenorbank.pk/</t>
  </si>
  <si>
    <t>1985-01</t>
  </si>
  <si>
    <r>
      <rPr>
        <sz val="9"/>
        <color rgb="FF000000"/>
        <rFont val="Arial"/>
        <charset val="134"/>
      </rPr>
      <t>1.85</t>
    </r>
    <r>
      <rPr>
        <sz val="9"/>
        <color rgb="FF000000"/>
        <rFont val="楷体"/>
        <charset val="134"/>
      </rPr>
      <t>亿美元</t>
    </r>
  </si>
  <si>
    <r>
      <rPr>
        <sz val="9"/>
        <color rgb="FF000000"/>
        <rFont val="Arial"/>
        <charset val="134"/>
      </rPr>
      <t>11.99</t>
    </r>
    <r>
      <rPr>
        <sz val="9"/>
        <color rgb="FF000000"/>
        <rFont val="楷体"/>
        <charset val="134"/>
      </rPr>
      <t>亿</t>
    </r>
  </si>
  <si>
    <r>
      <rPr>
        <sz val="9"/>
        <color rgb="FF000000"/>
        <rFont val="Arial"/>
        <charset val="134"/>
      </rPr>
      <t>59.9625</t>
    </r>
    <r>
      <rPr>
        <sz val="9"/>
        <color rgb="FF000000"/>
        <rFont val="楷体"/>
        <charset val="134"/>
      </rPr>
      <t>亿元</t>
    </r>
  </si>
  <si>
    <t>SHYAM LAL:Head of Internal Audit</t>
  </si>
  <si>
    <t>2018-04-27</t>
  </si>
  <si>
    <t>BKash</t>
  </si>
  <si>
    <r>
      <rPr>
        <sz val="9"/>
        <color rgb="FF000000"/>
        <rFont val="Arial"/>
        <charset val="134"/>
      </rPr>
      <t>bKash</t>
    </r>
    <r>
      <rPr>
        <sz val="9"/>
        <color rgb="FF000000"/>
        <rFont val="楷体"/>
        <charset val="134"/>
      </rPr>
      <t>是孟加拉一家线下支付及转账汇款服务平台，该平台致力于开展餐饮、酒店、旅游、购物等多场景的移动支付业务，并且为用户提供在</t>
    </r>
    <r>
      <rPr>
        <sz val="9"/>
        <color rgb="FF000000"/>
        <rFont val="Arial"/>
        <charset val="134"/>
      </rPr>
      <t>P2P</t>
    </r>
    <r>
      <rPr>
        <sz val="9"/>
        <color rgb="FF000000"/>
        <rFont val="楷体"/>
        <charset val="134"/>
      </rPr>
      <t>转帐方面的服务，满足用户的金融需求。</t>
    </r>
  </si>
  <si>
    <t>http://www.bkash.com/</t>
  </si>
  <si>
    <t>Kamal Quadir:CEO &amp; Founder</t>
  </si>
  <si>
    <t>禧云国际</t>
  </si>
  <si>
    <t>禧云国际是中国团餐产业一站式服务平台，致力于通过整合团餐产业链各环节资源，打通行业上下游服务信息链条，构建用户入口，打造团餐全产业链生态闭环。</t>
  </si>
  <si>
    <t>北京禧云企业管理有限公司</t>
  </si>
  <si>
    <r>
      <rPr>
        <sz val="9"/>
        <color rgb="FF000000"/>
        <rFont val="楷体"/>
        <charset val="134"/>
      </rPr>
      <t>鼎晖投资</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口碑</t>
    </r>
  </si>
  <si>
    <r>
      <rPr>
        <sz val="9"/>
        <color rgb="FF000000"/>
        <rFont val="Arial"/>
        <charset val="134"/>
      </rPr>
      <t>13</t>
    </r>
    <r>
      <rPr>
        <sz val="9"/>
        <color rgb="FF000000"/>
        <rFont val="楷体"/>
        <charset val="134"/>
      </rPr>
      <t>亿</t>
    </r>
  </si>
  <si>
    <r>
      <rPr>
        <sz val="9"/>
        <color rgb="FF000000"/>
        <rFont val="楷体"/>
        <charset val="134"/>
      </rPr>
      <t>刘延云</t>
    </r>
    <r>
      <rPr>
        <sz val="9"/>
        <color rgb="FF000000"/>
        <rFont val="Arial"/>
        <charset val="134"/>
      </rPr>
      <t>:CEO,</t>
    </r>
    <r>
      <rPr>
        <sz val="9"/>
        <color rgb="FF000000"/>
        <rFont val="楷体"/>
        <charset val="134"/>
      </rPr>
      <t>吴剑光</t>
    </r>
    <r>
      <rPr>
        <sz val="9"/>
        <color rgb="FF000000"/>
        <rFont val="Arial"/>
        <charset val="134"/>
      </rPr>
      <t>:</t>
    </r>
    <r>
      <rPr>
        <sz val="9"/>
        <color rgb="FF000000"/>
        <rFont val="楷体"/>
        <charset val="134"/>
      </rPr>
      <t>联合创始人</t>
    </r>
  </si>
  <si>
    <r>
      <rPr>
        <sz val="9"/>
        <color rgb="FF000000"/>
        <rFont val="楷体"/>
        <charset val="134"/>
      </rPr>
      <t>北京市海淀区丰智东路</t>
    </r>
    <r>
      <rPr>
        <sz val="9"/>
        <color rgb="FF000000"/>
        <rFont val="Arial"/>
        <charset val="134"/>
      </rPr>
      <t>13</t>
    </r>
    <r>
      <rPr>
        <sz val="9"/>
        <color rgb="FF000000"/>
        <rFont val="楷体"/>
        <charset val="134"/>
      </rPr>
      <t>号</t>
    </r>
    <r>
      <rPr>
        <sz val="9"/>
        <color rgb="FF000000"/>
        <rFont val="Arial"/>
        <charset val="134"/>
      </rPr>
      <t>A2</t>
    </r>
    <r>
      <rPr>
        <sz val="9"/>
        <color rgb="FF000000"/>
        <rFont val="楷体"/>
        <charset val="134"/>
      </rPr>
      <t>栋</t>
    </r>
    <r>
      <rPr>
        <sz val="9"/>
        <color rgb="FF000000"/>
        <rFont val="Arial"/>
        <charset val="134"/>
      </rPr>
      <t>2</t>
    </r>
    <r>
      <rPr>
        <sz val="9"/>
        <color rgb="FF000000"/>
        <rFont val="楷体"/>
        <charset val="134"/>
      </rPr>
      <t>层</t>
    </r>
    <r>
      <rPr>
        <sz val="9"/>
        <color rgb="FF000000"/>
        <rFont val="Arial"/>
        <charset val="134"/>
      </rPr>
      <t>2015-2018</t>
    </r>
    <r>
      <rPr>
        <sz val="9"/>
        <color rgb="FF000000"/>
        <rFont val="楷体"/>
        <charset val="134"/>
      </rPr>
      <t>室</t>
    </r>
  </si>
  <si>
    <t>2018-05-30</t>
  </si>
  <si>
    <t>伟达金科</t>
  </si>
  <si>
    <t>伟达金科是一家技术服务提供商。</t>
  </si>
  <si>
    <t>北京伟达金科科技有限公司</t>
  </si>
  <si>
    <t>2018-03</t>
  </si>
  <si>
    <r>
      <rPr>
        <sz val="9"/>
        <color rgb="FF000000"/>
        <rFont val="Arial"/>
        <charset val="134"/>
      </rPr>
      <t>3.2</t>
    </r>
    <r>
      <rPr>
        <sz val="9"/>
        <color rgb="FF000000"/>
        <rFont val="楷体"/>
        <charset val="134"/>
      </rPr>
      <t>亿人民币</t>
    </r>
  </si>
  <si>
    <r>
      <rPr>
        <sz val="9"/>
        <color rgb="FF000000"/>
        <rFont val="楷体"/>
        <charset val="134"/>
      </rPr>
      <t>蚂蚁集团</t>
    </r>
    <r>
      <rPr>
        <sz val="9"/>
        <color rgb="FF000000"/>
        <rFont val="Arial"/>
        <charset val="134"/>
      </rPr>
      <t>,</t>
    </r>
    <r>
      <rPr>
        <sz val="9"/>
        <color rgb="FF000000"/>
        <rFont val="楷体"/>
        <charset val="134"/>
      </rPr>
      <t>高伟达软件</t>
    </r>
  </si>
  <si>
    <r>
      <rPr>
        <sz val="9"/>
        <color rgb="FF000000"/>
        <rFont val="Arial"/>
        <charset val="134"/>
      </rPr>
      <t>3.2</t>
    </r>
    <r>
      <rPr>
        <sz val="9"/>
        <color rgb="FF000000"/>
        <rFont val="楷体"/>
        <charset val="134"/>
      </rPr>
      <t>亿</t>
    </r>
  </si>
  <si>
    <r>
      <rPr>
        <sz val="9"/>
        <color rgb="FF000000"/>
        <rFont val="楷体"/>
        <charset val="134"/>
      </rPr>
      <t>北京市海淀区永澄北路</t>
    </r>
    <r>
      <rPr>
        <sz val="9"/>
        <color rgb="FF000000"/>
        <rFont val="Arial"/>
        <charset val="134"/>
      </rPr>
      <t>2</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B</t>
    </r>
    <r>
      <rPr>
        <sz val="9"/>
        <color rgb="FF000000"/>
        <rFont val="楷体"/>
        <charset val="134"/>
      </rPr>
      <t>座三层</t>
    </r>
    <r>
      <rPr>
        <sz val="9"/>
        <color rgb="FF000000"/>
        <rFont val="Arial"/>
        <charset val="134"/>
      </rPr>
      <t>3009-301</t>
    </r>
    <r>
      <rPr>
        <sz val="9"/>
        <color rgb="FF000000"/>
        <rFont val="楷体"/>
        <charset val="134"/>
      </rPr>
      <t>号</t>
    </r>
  </si>
  <si>
    <t>2019-07-17</t>
  </si>
  <si>
    <t>润和软件</t>
  </si>
  <si>
    <r>
      <rPr>
        <sz val="9"/>
        <color rgb="FF000000"/>
        <rFont val="楷体"/>
        <charset val="134"/>
      </rPr>
      <t>润和软件是一家软件整体解决方案与服务供应商，主营业务为向国内外用户提供基于业务解决方案的软件和信息技术服务，主要产品包括大数据</t>
    </r>
    <r>
      <rPr>
        <sz val="9"/>
        <color rgb="FF000000"/>
        <rFont val="Arial"/>
        <charset val="134"/>
      </rPr>
      <t>ODS</t>
    </r>
    <r>
      <rPr>
        <sz val="9"/>
        <color rgb="FF000000"/>
        <rFont val="楷体"/>
        <charset val="134"/>
      </rPr>
      <t>平台、精准营销推荐系统、业务集成平台、智能交易指挥系统、性能监控和分析平台等。</t>
    </r>
  </si>
  <si>
    <t>江苏润和软件股份有限公司</t>
  </si>
  <si>
    <t>http://www.hoperun.com/</t>
  </si>
  <si>
    <t>2006-06</t>
  </si>
  <si>
    <r>
      <rPr>
        <sz val="9"/>
        <color rgb="FF000000"/>
        <rFont val="Arial"/>
        <charset val="134"/>
      </rPr>
      <t>4.88</t>
    </r>
    <r>
      <rPr>
        <sz val="9"/>
        <color rgb="FF000000"/>
        <rFont val="楷体"/>
        <charset val="134"/>
      </rPr>
      <t>亿人民币</t>
    </r>
  </si>
  <si>
    <t>服贸基金</t>
  </si>
  <si>
    <r>
      <rPr>
        <sz val="9"/>
        <color rgb="FF000000"/>
        <rFont val="Arial"/>
        <charset val="134"/>
      </rPr>
      <t>11.48</t>
    </r>
    <r>
      <rPr>
        <sz val="9"/>
        <color rgb="FF000000"/>
        <rFont val="楷体"/>
        <charset val="134"/>
      </rPr>
      <t>亿</t>
    </r>
  </si>
  <si>
    <r>
      <rPr>
        <sz val="9"/>
        <color rgb="FF000000"/>
        <rFont val="Arial"/>
        <charset val="134"/>
      </rPr>
      <t>24.4</t>
    </r>
    <r>
      <rPr>
        <sz val="9"/>
        <color rgb="FF000000"/>
        <rFont val="楷体"/>
        <charset val="134"/>
      </rPr>
      <t>亿元</t>
    </r>
  </si>
  <si>
    <r>
      <rPr>
        <sz val="9"/>
        <color rgb="FF000000"/>
        <rFont val="楷体"/>
        <charset val="134"/>
      </rPr>
      <t>周红卫</t>
    </r>
    <r>
      <rPr>
        <sz val="9"/>
        <color rgb="FF000000"/>
        <rFont val="Arial"/>
        <charset val="134"/>
      </rPr>
      <t>:</t>
    </r>
    <r>
      <rPr>
        <sz val="9"/>
        <color rgb="FF000000"/>
        <rFont val="楷体"/>
        <charset val="134"/>
      </rPr>
      <t>董事长</t>
    </r>
  </si>
  <si>
    <r>
      <rPr>
        <sz val="9"/>
        <color rgb="FF000000"/>
        <rFont val="楷体"/>
        <charset val="134"/>
      </rPr>
      <t>中国南京雨花台区软件大道</t>
    </r>
    <r>
      <rPr>
        <sz val="9"/>
        <color rgb="FF000000"/>
        <rFont val="Arial"/>
        <charset val="134"/>
      </rPr>
      <t>168</t>
    </r>
    <r>
      <rPr>
        <sz val="9"/>
        <color rgb="FF000000"/>
        <rFont val="楷体"/>
        <charset val="134"/>
      </rPr>
      <t>号润和</t>
    </r>
    <r>
      <rPr>
        <sz val="9"/>
        <color rgb="FF000000"/>
        <rFont val="Arial"/>
        <charset val="134"/>
      </rPr>
      <t>·</t>
    </r>
    <r>
      <rPr>
        <sz val="9"/>
        <color rgb="FF000000"/>
        <rFont val="楷体"/>
        <charset val="134"/>
      </rPr>
      <t>创智中心</t>
    </r>
    <r>
      <rPr>
        <sz val="9"/>
        <color rgb="FF000000"/>
        <rFont val="Arial"/>
        <charset val="134"/>
      </rPr>
      <t>2</t>
    </r>
    <r>
      <rPr>
        <sz val="9"/>
        <color rgb="FF000000"/>
        <rFont val="楷体"/>
        <charset val="134"/>
      </rPr>
      <t>幢</t>
    </r>
  </si>
  <si>
    <t>025-5266-8870</t>
  </si>
  <si>
    <t>webadmin@hoperun.com</t>
  </si>
  <si>
    <r>
      <rPr>
        <sz val="9"/>
        <color rgb="FF000000"/>
        <rFont val="Arial"/>
        <charset val="134"/>
      </rPr>
      <t>4.6</t>
    </r>
    <r>
      <rPr>
        <sz val="9"/>
        <color rgb="FF000000"/>
        <rFont val="楷体"/>
        <charset val="134"/>
      </rPr>
      <t>亿人民币</t>
    </r>
  </si>
  <si>
    <t>2012-07-18</t>
  </si>
  <si>
    <t>2010-03-29</t>
  </si>
  <si>
    <r>
      <rPr>
        <sz val="9"/>
        <color rgb="FF000000"/>
        <rFont val="楷体"/>
        <charset val="134"/>
      </rPr>
      <t>金石投资</t>
    </r>
    <r>
      <rPr>
        <sz val="9"/>
        <color rgb="FF000000"/>
        <rFont val="Arial"/>
        <charset val="134"/>
      </rPr>
      <t>,</t>
    </r>
    <r>
      <rPr>
        <sz val="9"/>
        <color rgb="FF000000"/>
        <rFont val="楷体"/>
        <charset val="134"/>
      </rPr>
      <t>瑞华控股</t>
    </r>
  </si>
  <si>
    <t>浙江扁鹊</t>
  </si>
  <si>
    <t>浙江扁鹊是一家医疗大数据服务商，利用当下医疗技术手段合规收集医疗数据并挖掘价值，并在卫生服务、行政监管、便民体验及人工智能等领域开展多种应用探索和研究。</t>
  </si>
  <si>
    <t>浙江扁鹊健康科技有限公司</t>
  </si>
  <si>
    <r>
      <rPr>
        <sz val="9"/>
        <color rgb="FF000000"/>
        <rFont val="Arial"/>
        <charset val="134"/>
      </rPr>
      <t>8500</t>
    </r>
    <r>
      <rPr>
        <sz val="9"/>
        <color rgb="FF000000"/>
        <rFont val="楷体"/>
        <charset val="134"/>
      </rPr>
      <t>万</t>
    </r>
  </si>
  <si>
    <r>
      <rPr>
        <sz val="9"/>
        <color rgb="FF000000"/>
        <rFont val="楷体"/>
        <charset val="134"/>
      </rPr>
      <t>孟长安</t>
    </r>
    <r>
      <rPr>
        <sz val="9"/>
        <color rgb="FF000000"/>
        <rFont val="Arial"/>
        <charset val="134"/>
      </rPr>
      <t>:</t>
    </r>
    <r>
      <rPr>
        <sz val="9"/>
        <color rgb="FF000000"/>
        <rFont val="楷体"/>
        <charset val="134"/>
      </rPr>
      <t>董事长</t>
    </r>
  </si>
  <si>
    <r>
      <rPr>
        <sz val="9"/>
        <color rgb="FF000000"/>
        <rFont val="楷体"/>
        <charset val="134"/>
      </rPr>
      <t>浙江省杭州市余杭区五常街道文一西路</t>
    </r>
    <r>
      <rPr>
        <sz val="9"/>
        <color rgb="FF000000"/>
        <rFont val="Arial"/>
        <charset val="134"/>
      </rPr>
      <t>998</t>
    </r>
    <r>
      <rPr>
        <sz val="9"/>
        <color rgb="FF000000"/>
        <rFont val="楷体"/>
        <charset val="134"/>
      </rPr>
      <t>号</t>
    </r>
    <r>
      <rPr>
        <sz val="9"/>
        <color rgb="FF000000"/>
        <rFont val="Arial"/>
        <charset val="134"/>
      </rPr>
      <t>19</t>
    </r>
    <r>
      <rPr>
        <sz val="9"/>
        <color rgb="FF000000"/>
        <rFont val="楷体"/>
        <charset val="134"/>
      </rPr>
      <t>幢</t>
    </r>
    <r>
      <rPr>
        <sz val="9"/>
        <color rgb="FF000000"/>
        <rFont val="Arial"/>
        <charset val="134"/>
      </rPr>
      <t>701</t>
    </r>
    <r>
      <rPr>
        <sz val="9"/>
        <color rgb="FF000000"/>
        <rFont val="楷体"/>
        <charset val="134"/>
      </rPr>
      <t>室</t>
    </r>
  </si>
  <si>
    <t>2018-06-05</t>
  </si>
  <si>
    <r>
      <rPr>
        <sz val="9"/>
        <color rgb="FF000000"/>
        <rFont val="楷体"/>
        <charset val="134"/>
      </rPr>
      <t>阿里健康</t>
    </r>
    <r>
      <rPr>
        <sz val="9"/>
        <color rgb="FF000000"/>
        <rFont val="Arial"/>
        <charset val="134"/>
      </rPr>
      <t>(</t>
    </r>
    <r>
      <rPr>
        <sz val="9"/>
        <color rgb="FF000000"/>
        <rFont val="楷体"/>
        <charset val="134"/>
      </rPr>
      <t>阿里巴巴</t>
    </r>
    <r>
      <rPr>
        <sz val="9"/>
        <color rgb="FF000000"/>
        <rFont val="Arial"/>
        <charset val="134"/>
      </rPr>
      <t>)</t>
    </r>
  </si>
  <si>
    <t>2021-05-04</t>
  </si>
  <si>
    <t>纯白矩阵</t>
  </si>
  <si>
    <r>
      <rPr>
        <sz val="9"/>
        <color rgb="FF000000"/>
        <rFont val="楷体"/>
        <charset val="134"/>
      </rPr>
      <t>纯白矩阵是一家区块链中间件技术研发商、元宇宙游戏开发商。旗下</t>
    </r>
    <r>
      <rPr>
        <sz val="9"/>
        <color rgb="FF000000"/>
        <rFont val="Arial"/>
        <charset val="134"/>
      </rPr>
      <t>ChainIDE</t>
    </r>
    <r>
      <rPr>
        <sz val="9"/>
        <color rgb="FF000000"/>
        <rFont val="楷体"/>
        <charset val="134"/>
      </rPr>
      <t>是云端多链的区块链集成开发环境，此外正在开发元宇宙游戏：细胞进化是一款基于区块链的去中心化的沙盒经营策略游戏。</t>
    </r>
  </si>
  <si>
    <t>南京纯白矩阵科技有限公司</t>
  </si>
  <si>
    <t>https://www.whitematrix.io/</t>
  </si>
  <si>
    <t>区块链基础技术</t>
  </si>
  <si>
    <r>
      <rPr>
        <sz val="9"/>
        <color rgb="FF000000"/>
        <rFont val="楷体"/>
        <charset val="134"/>
      </rPr>
      <t>蚂蚁集团</t>
    </r>
    <r>
      <rPr>
        <sz val="9"/>
        <color rgb="FF000000"/>
        <rFont val="Arial"/>
        <charset val="134"/>
      </rPr>
      <t>,</t>
    </r>
    <r>
      <rPr>
        <sz val="9"/>
        <color rgb="FF000000"/>
        <rFont val="楷体"/>
        <charset val="134"/>
      </rPr>
      <t>扬子国投</t>
    </r>
    <r>
      <rPr>
        <sz val="9"/>
        <color rgb="FF000000"/>
        <rFont val="Arial"/>
        <charset val="134"/>
      </rPr>
      <t>,</t>
    </r>
    <r>
      <rPr>
        <sz val="9"/>
        <color rgb="FF000000"/>
        <rFont val="楷体"/>
        <charset val="134"/>
      </rPr>
      <t>易方科达</t>
    </r>
  </si>
  <si>
    <r>
      <rPr>
        <sz val="9"/>
        <color rgb="FF000000"/>
        <rFont val="Arial"/>
        <charset val="134"/>
      </rPr>
      <t>1.05</t>
    </r>
    <r>
      <rPr>
        <sz val="9"/>
        <color rgb="FF000000"/>
        <rFont val="楷体"/>
        <charset val="134"/>
      </rPr>
      <t>亿</t>
    </r>
  </si>
  <si>
    <r>
      <rPr>
        <sz val="9"/>
        <color rgb="FF000000"/>
        <rFont val="楷体"/>
        <charset val="134"/>
      </rPr>
      <t>吴啸</t>
    </r>
    <r>
      <rPr>
        <sz val="9"/>
        <color rgb="FF000000"/>
        <rFont val="Arial"/>
        <charset val="134"/>
      </rPr>
      <t>:</t>
    </r>
    <r>
      <rPr>
        <sz val="9"/>
        <color rgb="FF000000"/>
        <rFont val="楷体"/>
        <charset val="134"/>
      </rPr>
      <t>创始人</t>
    </r>
  </si>
  <si>
    <r>
      <rPr>
        <sz val="9"/>
        <color rgb="FF000000"/>
        <rFont val="楷体"/>
        <charset val="134"/>
      </rPr>
      <t>江苏省南京市滨江大道</t>
    </r>
    <r>
      <rPr>
        <sz val="9"/>
        <color rgb="FF000000"/>
        <rFont val="Arial"/>
        <charset val="134"/>
      </rPr>
      <t>396</t>
    </r>
    <r>
      <rPr>
        <sz val="9"/>
        <color rgb="FF000000"/>
        <rFont val="楷体"/>
        <charset val="134"/>
      </rPr>
      <t>号扬子江新金融示范区</t>
    </r>
    <r>
      <rPr>
        <sz val="9"/>
        <color rgb="FF000000"/>
        <rFont val="Arial"/>
        <charset val="134"/>
      </rPr>
      <t>9</t>
    </r>
    <r>
      <rPr>
        <sz val="9"/>
        <color rgb="FF000000"/>
        <rFont val="楷体"/>
        <charset val="134"/>
      </rPr>
      <t>号楼</t>
    </r>
  </si>
  <si>
    <t>18752085387@136.com</t>
  </si>
  <si>
    <t>2018-06-22</t>
  </si>
  <si>
    <r>
      <rPr>
        <sz val="9"/>
        <color rgb="FF000000"/>
        <rFont val="楷体"/>
        <charset val="134"/>
      </rPr>
      <t>星云生态基金</t>
    </r>
    <r>
      <rPr>
        <sz val="9"/>
        <color rgb="FF000000"/>
        <rFont val="Arial"/>
        <charset val="134"/>
      </rPr>
      <t>,Cocos BlockChain Expedition,Byte Capital</t>
    </r>
  </si>
  <si>
    <t>2020-07-03</t>
  </si>
  <si>
    <t>诺诺网络</t>
  </si>
  <si>
    <r>
      <rPr>
        <sz val="9"/>
        <color rgb="FF000000"/>
        <rFont val="楷体"/>
        <charset val="134"/>
      </rPr>
      <t>诺诺网络是航天信息旗下财税服务平台，围绕财务、税务、供应链等领域，融合社会化资源，聚集第三方专业服务，搭建桥梁，为平台各方提供全面综合的服务，目前业务包括诺诺服务、诺诺商城等，其中诺诺服务以财税服务为基础，以云记账、云代账、极速开票、机构代开等产品为核心，并结合移动互联等工具，为用户提供线上线下相结合的</t>
    </r>
    <r>
      <rPr>
        <sz val="9"/>
        <color rgb="FF000000"/>
        <rFont val="Arial"/>
        <charset val="134"/>
      </rPr>
      <t>O2O</t>
    </r>
    <r>
      <rPr>
        <sz val="9"/>
        <color rgb="FF000000"/>
        <rFont val="楷体"/>
        <charset val="134"/>
      </rPr>
      <t>模式的财税服务；诺诺商城以办公设备和用品为主要产品，发挥航天信息遍布全国扎根本地的服务体系优势，为用户提供</t>
    </r>
    <r>
      <rPr>
        <sz val="9"/>
        <color rgb="FF000000"/>
        <rFont val="Arial"/>
        <charset val="134"/>
      </rPr>
      <t>“</t>
    </r>
    <r>
      <rPr>
        <sz val="9"/>
        <color rgb="FF000000"/>
        <rFont val="楷体"/>
        <charset val="134"/>
      </rPr>
      <t>产品</t>
    </r>
    <r>
      <rPr>
        <sz val="9"/>
        <color rgb="FF000000"/>
        <rFont val="Arial"/>
        <charset val="134"/>
      </rPr>
      <t>+</t>
    </r>
    <r>
      <rPr>
        <sz val="9"/>
        <color rgb="FF000000"/>
        <rFont val="楷体"/>
        <charset val="134"/>
      </rPr>
      <t>技术</t>
    </r>
    <r>
      <rPr>
        <sz val="9"/>
        <color rgb="FF000000"/>
        <rFont val="Arial"/>
        <charset val="134"/>
      </rPr>
      <t>+</t>
    </r>
    <r>
      <rPr>
        <sz val="9"/>
        <color rgb="FF000000"/>
        <rFont val="楷体"/>
        <charset val="134"/>
      </rPr>
      <t>服务</t>
    </r>
    <r>
      <rPr>
        <sz val="9"/>
        <color rgb="FF000000"/>
        <rFont val="Arial"/>
        <charset val="134"/>
      </rPr>
      <t>”</t>
    </r>
    <r>
      <rPr>
        <sz val="9"/>
        <color rgb="FF000000"/>
        <rFont val="楷体"/>
        <charset val="134"/>
      </rPr>
      <t>的一体化办公解决方案。</t>
    </r>
  </si>
  <si>
    <t>浙江诺诺网络科技有限公司</t>
  </si>
  <si>
    <t>https://www.jss.com.cn/</t>
  </si>
  <si>
    <t>2017-12</t>
  </si>
  <si>
    <r>
      <rPr>
        <sz val="9"/>
        <color rgb="FF000000"/>
        <rFont val="Arial"/>
        <charset val="134"/>
      </rPr>
      <t>5.1</t>
    </r>
    <r>
      <rPr>
        <sz val="9"/>
        <color rgb="FF000000"/>
        <rFont val="楷体"/>
        <charset val="134"/>
      </rPr>
      <t>亿人民币</t>
    </r>
  </si>
  <si>
    <r>
      <rPr>
        <sz val="9"/>
        <color rgb="FF000000"/>
        <rFont val="Arial"/>
        <charset val="134"/>
      </rPr>
      <t>29.093</t>
    </r>
    <r>
      <rPr>
        <sz val="9"/>
        <color rgb="FF000000"/>
        <rFont val="楷体"/>
        <charset val="134"/>
      </rPr>
      <t>亿元</t>
    </r>
  </si>
  <si>
    <r>
      <rPr>
        <sz val="9"/>
        <color rgb="FF000000"/>
        <rFont val="楷体"/>
        <charset val="134"/>
      </rPr>
      <t>陈仕俗</t>
    </r>
    <r>
      <rPr>
        <sz val="9"/>
        <color rgb="FF000000"/>
        <rFont val="Arial"/>
        <charset val="134"/>
      </rPr>
      <t>:CEO</t>
    </r>
  </si>
  <si>
    <r>
      <rPr>
        <sz val="9"/>
        <color rgb="FF000000"/>
        <rFont val="楷体"/>
        <charset val="134"/>
      </rPr>
      <t>杭州市西湖区双龙街</t>
    </r>
    <r>
      <rPr>
        <sz val="9"/>
        <color rgb="FF000000"/>
        <rFont val="Arial"/>
        <charset val="134"/>
      </rPr>
      <t>199</t>
    </r>
    <r>
      <rPr>
        <sz val="9"/>
        <color rgb="FF000000"/>
        <rFont val="楷体"/>
        <charset val="134"/>
      </rPr>
      <t>号金色西溪商务中心</t>
    </r>
    <r>
      <rPr>
        <sz val="9"/>
        <color rgb="FF000000"/>
        <rFont val="Arial"/>
        <charset val="134"/>
      </rPr>
      <t>A</t>
    </r>
    <r>
      <rPr>
        <sz val="9"/>
        <color rgb="FF000000"/>
        <rFont val="楷体"/>
        <charset val="134"/>
      </rPr>
      <t>座</t>
    </r>
  </si>
  <si>
    <t>0571-8502-3100</t>
  </si>
  <si>
    <t>nnsw@nnuo.com</t>
  </si>
  <si>
    <t>2018-12-17</t>
  </si>
  <si>
    <t>杭州数知梦</t>
  </si>
  <si>
    <r>
      <rPr>
        <sz val="9"/>
        <color rgb="FF000000"/>
        <rFont val="楷体"/>
        <charset val="134"/>
      </rPr>
      <t>杭州数知梦是一家公共交通数据大脑运营商，创新整合支付宝、高德地图、数梦工场、阿里云等互联网架构和数据技术实践成果，以云计算、大数据、</t>
    </r>
    <r>
      <rPr>
        <sz val="9"/>
        <color rgb="FF000000"/>
        <rFont val="Arial"/>
        <charset val="134"/>
      </rPr>
      <t>AI</t>
    </r>
    <r>
      <rPr>
        <sz val="9"/>
        <color rgb="FF000000"/>
        <rFont val="楷体"/>
        <charset val="134"/>
      </rPr>
      <t>人工智能、移动互联网等新一代</t>
    </r>
    <r>
      <rPr>
        <sz val="9"/>
        <color rgb="FF000000"/>
        <rFont val="Arial"/>
        <charset val="134"/>
      </rPr>
      <t>DT</t>
    </r>
    <r>
      <rPr>
        <sz val="9"/>
        <color rgb="FF000000"/>
        <rFont val="楷体"/>
        <charset val="134"/>
      </rPr>
      <t>数据技术为核心搭建公交数据大脑，聚焦以大数据科技服务公共出行产业互联网领域。目前面向</t>
    </r>
    <r>
      <rPr>
        <sz val="9"/>
        <color rgb="FF000000"/>
        <rFont val="Arial"/>
        <charset val="134"/>
      </rPr>
      <t>50</t>
    </r>
    <r>
      <rPr>
        <sz val="9"/>
        <color rgb="FF000000"/>
        <rFont val="楷体"/>
        <charset val="134"/>
      </rPr>
      <t>余城市公交和地铁项目输出公共出行</t>
    </r>
    <r>
      <rPr>
        <sz val="9"/>
        <color rgb="FF000000"/>
        <rFont val="Arial"/>
        <charset val="134"/>
      </rPr>
      <t>App</t>
    </r>
    <r>
      <rPr>
        <sz val="9"/>
        <color rgb="FF000000"/>
        <rFont val="楷体"/>
        <charset val="134"/>
      </rPr>
      <t>、一体化移动支付、云公交、云调度、云管理、云规划、公交数据云图等智能应用，加速公共交通行业数字化智能化升级转型，辅助提升公共交通的社会效益和经济效益。</t>
    </r>
  </si>
  <si>
    <t>杭州数知梦科技有限公司</t>
  </si>
  <si>
    <r>
      <rPr>
        <sz val="9"/>
        <color rgb="FF000000"/>
        <rFont val="楷体"/>
        <charset val="134"/>
      </rPr>
      <t>王瑞利</t>
    </r>
    <r>
      <rPr>
        <sz val="9"/>
        <color rgb="FF000000"/>
        <rFont val="Arial"/>
        <charset val="134"/>
      </rPr>
      <t>:CEO</t>
    </r>
  </si>
  <si>
    <r>
      <rPr>
        <sz val="9"/>
        <color rgb="FF000000"/>
        <rFont val="楷体"/>
        <charset val="134"/>
      </rPr>
      <t>浙江省杭州市滨江区滨安路</t>
    </r>
    <r>
      <rPr>
        <sz val="9"/>
        <color rgb="FF000000"/>
        <rFont val="Arial"/>
        <charset val="134"/>
      </rPr>
      <t>1197</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255</t>
    </r>
    <r>
      <rPr>
        <sz val="9"/>
        <color rgb="FF000000"/>
        <rFont val="楷体"/>
        <charset val="134"/>
      </rPr>
      <t>室</t>
    </r>
  </si>
  <si>
    <t>2018-07-09</t>
  </si>
  <si>
    <t>metro大都会</t>
  </si>
  <si>
    <r>
      <rPr>
        <sz val="9"/>
        <color rgb="FF000000"/>
        <rFont val="Arial"/>
        <charset val="134"/>
      </rPr>
      <t>metro</t>
    </r>
    <r>
      <rPr>
        <sz val="9"/>
        <color rgb="FF000000"/>
        <rFont val="楷体"/>
        <charset val="134"/>
      </rPr>
      <t>大都会</t>
    </r>
  </si>
  <si>
    <r>
      <rPr>
        <sz val="9"/>
        <color rgb="FF000000"/>
        <rFont val="楷体"/>
        <charset val="134"/>
      </rPr>
      <t>大都会是集成上海轨道交通既有对内对外各数据资源、服务资源，形成一个以乘客服务、运营管理、社会协作为核心的统一移动应用门户。是目前上海地铁全面的、权威的、国际一流的</t>
    </r>
    <r>
      <rPr>
        <sz val="9"/>
        <color rgb="FF000000"/>
        <rFont val="Arial"/>
        <charset val="134"/>
      </rPr>
      <t xml:space="preserve"> “</t>
    </r>
    <r>
      <rPr>
        <sz val="9"/>
        <color rgb="FF000000"/>
        <rFont val="楷体"/>
        <charset val="134"/>
      </rPr>
      <t>地铁</t>
    </r>
    <r>
      <rPr>
        <sz val="9"/>
        <color rgb="FF000000"/>
        <rFont val="Arial"/>
        <charset val="134"/>
      </rPr>
      <t>+”</t>
    </r>
    <r>
      <rPr>
        <sz val="9"/>
        <color rgb="FF000000"/>
        <rFont val="楷体"/>
        <charset val="134"/>
      </rPr>
      <t>互联网服务平台。</t>
    </r>
  </si>
  <si>
    <t>上海都畅数字技术有限公司</t>
  </si>
  <si>
    <r>
      <rPr>
        <sz val="9"/>
        <color rgb="FF000000"/>
        <rFont val="楷体"/>
        <charset val="134"/>
      </rPr>
      <t>蚂蚁集团</t>
    </r>
    <r>
      <rPr>
        <sz val="9"/>
        <color rgb="FF000000"/>
        <rFont val="Arial"/>
        <charset val="134"/>
      </rPr>
      <t>,</t>
    </r>
    <r>
      <rPr>
        <sz val="9"/>
        <color rgb="FF000000"/>
        <rFont val="楷体"/>
        <charset val="134"/>
      </rPr>
      <t>邦道科技</t>
    </r>
  </si>
  <si>
    <r>
      <rPr>
        <sz val="9"/>
        <color rgb="FF000000"/>
        <rFont val="楷体"/>
        <charset val="134"/>
      </rPr>
      <t>上海市崇明区新河镇新申路</t>
    </r>
    <r>
      <rPr>
        <sz val="9"/>
        <color rgb="FF000000"/>
        <rFont val="Arial"/>
        <charset val="134"/>
      </rPr>
      <t>921</t>
    </r>
    <r>
      <rPr>
        <sz val="9"/>
        <color rgb="FF000000"/>
        <rFont val="楷体"/>
        <charset val="134"/>
      </rPr>
      <t>弄</t>
    </r>
    <r>
      <rPr>
        <sz val="9"/>
        <color rgb="FF000000"/>
        <rFont val="Arial"/>
        <charset val="134"/>
      </rPr>
      <t>2</t>
    </r>
    <r>
      <rPr>
        <sz val="9"/>
        <color rgb="FF000000"/>
        <rFont val="楷体"/>
        <charset val="134"/>
      </rPr>
      <t>号</t>
    </r>
    <r>
      <rPr>
        <sz val="9"/>
        <color rgb="FF000000"/>
        <rFont val="Arial"/>
        <charset val="134"/>
      </rPr>
      <t>W</t>
    </r>
    <r>
      <rPr>
        <sz val="9"/>
        <color rgb="FF000000"/>
        <rFont val="楷体"/>
        <charset val="134"/>
      </rPr>
      <t>区</t>
    </r>
    <r>
      <rPr>
        <sz val="9"/>
        <color rgb="FF000000"/>
        <rFont val="Arial"/>
        <charset val="134"/>
      </rPr>
      <t>262</t>
    </r>
    <r>
      <rPr>
        <sz val="9"/>
        <color rgb="FF000000"/>
        <rFont val="楷体"/>
        <charset val="134"/>
      </rPr>
      <t>室</t>
    </r>
  </si>
  <si>
    <t>慧聚财</t>
  </si>
  <si>
    <r>
      <rPr>
        <sz val="9"/>
        <color rgb="FF000000"/>
        <rFont val="楷体"/>
        <charset val="134"/>
      </rPr>
      <t>慧聚财是一家独立运营的金融借贷信息中介服务平台，为出借人与借款人的直接借贷提供信息中介服务。慧聚蚁公司致力于打造开放的生态系统，助力金融机构和合作伙伴加速迈向</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，为小微企业和个人消费者提供普惠金融服务。</t>
    </r>
  </si>
  <si>
    <t>杭州慧聚蚁信息技术有限公司</t>
  </si>
  <si>
    <t>http://www.huijucai.com/</t>
  </si>
  <si>
    <r>
      <rPr>
        <sz val="9"/>
        <color rgb="FF000000"/>
        <rFont val="楷体"/>
        <charset val="134"/>
      </rPr>
      <t>祖国明</t>
    </r>
    <r>
      <rPr>
        <sz val="9"/>
        <color rgb="FF000000"/>
        <rFont val="Arial"/>
        <charset val="134"/>
      </rPr>
      <t>:CEO</t>
    </r>
  </si>
  <si>
    <r>
      <rPr>
        <sz val="9"/>
        <color rgb="FF000000"/>
        <rFont val="楷体"/>
        <charset val="134"/>
      </rPr>
      <t>浙江省杭州市西湖区学院路</t>
    </r>
    <r>
      <rPr>
        <sz val="9"/>
        <color rgb="FF000000"/>
        <rFont val="Arial"/>
        <charset val="134"/>
      </rPr>
      <t>28-38</t>
    </r>
    <r>
      <rPr>
        <sz val="9"/>
        <color rgb="FF000000"/>
        <rFont val="楷体"/>
        <charset val="134"/>
      </rPr>
      <t>号德力西大厦</t>
    </r>
    <r>
      <rPr>
        <sz val="9"/>
        <color rgb="FF000000"/>
        <rFont val="Arial"/>
        <charset val="134"/>
      </rPr>
      <t>1</t>
    </r>
    <r>
      <rPr>
        <sz val="9"/>
        <color rgb="FF000000"/>
        <rFont val="楷体"/>
        <charset val="134"/>
      </rPr>
      <t>幢</t>
    </r>
    <r>
      <rPr>
        <sz val="9"/>
        <color rgb="FF000000"/>
        <rFont val="Arial"/>
        <charset val="134"/>
      </rPr>
      <t>19</t>
    </r>
    <r>
      <rPr>
        <sz val="9"/>
        <color rgb="FF000000"/>
        <rFont val="楷体"/>
        <charset val="134"/>
      </rPr>
      <t>层</t>
    </r>
    <r>
      <rPr>
        <sz val="9"/>
        <color rgb="FF000000"/>
        <rFont val="Arial"/>
        <charset val="134"/>
      </rPr>
      <t>1901</t>
    </r>
    <r>
      <rPr>
        <sz val="9"/>
        <color rgb="FF000000"/>
        <rFont val="楷体"/>
        <charset val="134"/>
      </rPr>
      <t>室</t>
    </r>
  </si>
  <si>
    <t>0571-26888888</t>
  </si>
  <si>
    <t>huijuyi-service@antfin.com</t>
  </si>
  <si>
    <t>北京环境交易所</t>
  </si>
  <si>
    <t>北京环境交易所是一个环境问题解决公共平台，平台采用市场机制推进节能减排的创新途径，相继成立了碳交易、排污权交易、节能量交易和低碳转型服务等业务中心，在交易服务、融资服务、绿色公共服务和低碳转型服务等方面进行业务开展。</t>
  </si>
  <si>
    <t>北京绿色交易所有限公司</t>
  </si>
  <si>
    <t>http://www.cbeex.com/</t>
  </si>
  <si>
    <t>环保</t>
  </si>
  <si>
    <r>
      <rPr>
        <sz val="9"/>
        <color rgb="FF000000"/>
        <rFont val="楷体"/>
        <charset val="134"/>
      </rPr>
      <t>蚂蚁集团</t>
    </r>
    <r>
      <rPr>
        <sz val="9"/>
        <color rgb="FF000000"/>
        <rFont val="Arial"/>
        <charset val="134"/>
      </rPr>
      <t>,</t>
    </r>
    <r>
      <rPr>
        <sz val="9"/>
        <color rgb="FF000000"/>
        <rFont val="楷体"/>
        <charset val="134"/>
      </rPr>
      <t>北汽产投</t>
    </r>
  </si>
  <si>
    <r>
      <rPr>
        <sz val="9"/>
        <color rgb="FF000000"/>
        <rFont val="楷体"/>
        <charset val="134"/>
      </rPr>
      <t>朱戈</t>
    </r>
    <r>
      <rPr>
        <sz val="9"/>
        <color rgb="FF000000"/>
        <rFont val="Arial"/>
        <charset val="134"/>
      </rPr>
      <t>:</t>
    </r>
    <r>
      <rPr>
        <sz val="9"/>
        <color rgb="FF000000"/>
        <rFont val="楷体"/>
        <charset val="134"/>
      </rPr>
      <t>董事长</t>
    </r>
  </si>
  <si>
    <r>
      <rPr>
        <sz val="9"/>
        <color rgb="FF000000"/>
        <rFont val="楷体"/>
        <charset val="134"/>
      </rPr>
      <t>北京市西城区月坛南街</t>
    </r>
    <r>
      <rPr>
        <sz val="9"/>
        <color rgb="FF000000"/>
        <rFont val="Arial"/>
        <charset val="134"/>
      </rPr>
      <t>1</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5</t>
    </r>
    <r>
      <rPr>
        <sz val="9"/>
        <color rgb="FF000000"/>
        <rFont val="楷体"/>
        <charset val="134"/>
      </rPr>
      <t>层</t>
    </r>
  </si>
  <si>
    <t>010-6629-5798</t>
  </si>
  <si>
    <t>admin-cbeex@cbex.com.cn</t>
  </si>
  <si>
    <t>2009-09-15</t>
  </si>
  <si>
    <r>
      <rPr>
        <sz val="9"/>
        <color rgb="FF000000"/>
        <rFont val="楷体"/>
        <charset val="134"/>
      </rPr>
      <t>光大集团</t>
    </r>
    <r>
      <rPr>
        <sz val="9"/>
        <color rgb="FF000000"/>
        <rFont val="Arial"/>
        <charset val="134"/>
      </rPr>
      <t>,</t>
    </r>
    <r>
      <rPr>
        <sz val="9"/>
        <color rgb="FF000000"/>
        <rFont val="楷体"/>
        <charset val="134"/>
      </rPr>
      <t>中海油</t>
    </r>
    <r>
      <rPr>
        <sz val="9"/>
        <color rgb="FF000000"/>
        <rFont val="Arial"/>
        <charset val="134"/>
      </rPr>
      <t>,</t>
    </r>
    <r>
      <rPr>
        <sz val="9"/>
        <color rgb="FF000000"/>
        <rFont val="楷体"/>
        <charset val="134"/>
      </rPr>
      <t>国电集团</t>
    </r>
  </si>
  <si>
    <t>2023-03-18</t>
  </si>
  <si>
    <t>武汉小安科技</t>
  </si>
  <si>
    <r>
      <rPr>
        <sz val="9"/>
        <color rgb="FF000000"/>
        <rFont val="楷体"/>
        <charset val="134"/>
      </rPr>
      <t>武汉小安科技是一家共享电单车智能化解决方案提供商，专注于从事共享电单车相关智能硬件的研发与设计，旗下主要产品包括智能</t>
    </r>
    <r>
      <rPr>
        <sz val="9"/>
        <color rgb="FF000000"/>
        <rFont val="Arial"/>
        <charset val="134"/>
      </rPr>
      <t>GPS</t>
    </r>
    <r>
      <rPr>
        <sz val="9"/>
        <color rgb="FF000000"/>
        <rFont val="楷体"/>
        <charset val="134"/>
      </rPr>
      <t>防盗器、智能控制终端、智能</t>
    </r>
    <r>
      <rPr>
        <sz val="9"/>
        <color rgb="FF000000"/>
        <rFont val="Arial"/>
        <charset val="134"/>
      </rPr>
      <t>U</t>
    </r>
    <r>
      <rPr>
        <sz val="9"/>
        <color rgb="FF000000"/>
        <rFont val="楷体"/>
        <charset val="134"/>
      </rPr>
      <t>型锁等。此外，还提供相关硬件定制服务。</t>
    </r>
  </si>
  <si>
    <t>武汉小安科技有限公司</t>
  </si>
  <si>
    <t>http://www.xiaoantech.com/</t>
  </si>
  <si>
    <r>
      <rPr>
        <sz val="9"/>
        <color rgb="FF000000"/>
        <rFont val="Arial"/>
        <charset val="134"/>
      </rPr>
      <t>1.1</t>
    </r>
    <r>
      <rPr>
        <sz val="9"/>
        <color rgb="FF000000"/>
        <rFont val="楷体"/>
        <charset val="134"/>
      </rPr>
      <t>亿</t>
    </r>
  </si>
  <si>
    <r>
      <rPr>
        <sz val="9"/>
        <color rgb="FF000000"/>
        <rFont val="楷体"/>
        <charset val="134"/>
      </rPr>
      <t>钱建安</t>
    </r>
    <r>
      <rPr>
        <sz val="9"/>
        <color rgb="FF000000"/>
        <rFont val="Arial"/>
        <charset val="134"/>
      </rPr>
      <t>:CEO,</t>
    </r>
    <r>
      <rPr>
        <sz val="9"/>
        <color rgb="FF000000"/>
        <rFont val="楷体"/>
        <charset val="134"/>
      </rPr>
      <t>江涛</t>
    </r>
    <r>
      <rPr>
        <sz val="9"/>
        <color rgb="FF000000"/>
        <rFont val="Arial"/>
        <charset val="134"/>
      </rPr>
      <t>:CTO</t>
    </r>
  </si>
  <si>
    <r>
      <rPr>
        <sz val="9"/>
        <color rgb="FF000000"/>
        <rFont val="楷体"/>
        <charset val="134"/>
      </rPr>
      <t>湖北省武汉市东湖新技术开发区高新大道</t>
    </r>
    <r>
      <rPr>
        <sz val="9"/>
        <color rgb="FF000000"/>
        <rFont val="Arial"/>
        <charset val="134"/>
      </rPr>
      <t>999</t>
    </r>
    <r>
      <rPr>
        <sz val="9"/>
        <color rgb="FF000000"/>
        <rFont val="楷体"/>
        <charset val="134"/>
      </rPr>
      <t>号未来科技城光谷云村</t>
    </r>
    <r>
      <rPr>
        <sz val="9"/>
        <color rgb="FF000000"/>
        <rFont val="Arial"/>
        <charset val="134"/>
      </rPr>
      <t>A9</t>
    </r>
    <r>
      <rPr>
        <sz val="9"/>
        <color rgb="FF000000"/>
        <rFont val="楷体"/>
        <charset val="134"/>
      </rPr>
      <t>栋一号楼</t>
    </r>
    <r>
      <rPr>
        <sz val="9"/>
        <color rgb="FF000000"/>
        <rFont val="Arial"/>
        <charset val="134"/>
      </rPr>
      <t>6</t>
    </r>
    <r>
      <rPr>
        <sz val="9"/>
        <color rgb="FF000000"/>
        <rFont val="楷体"/>
        <charset val="134"/>
      </rPr>
      <t>层</t>
    </r>
  </si>
  <si>
    <t>185-0710-5125;027-59765090</t>
  </si>
  <si>
    <t>liuyufei@xiaoantech.com;xiaoan@xiaoantech.com</t>
  </si>
  <si>
    <r>
      <rPr>
        <sz val="9"/>
        <color rgb="FF000000"/>
        <rFont val="楷体"/>
        <charset val="134"/>
      </rPr>
      <t>融玺创投</t>
    </r>
    <r>
      <rPr>
        <sz val="9"/>
        <color rgb="FF000000"/>
        <rFont val="Arial"/>
        <charset val="134"/>
      </rPr>
      <t>,</t>
    </r>
    <r>
      <rPr>
        <sz val="9"/>
        <color rgb="FF000000"/>
        <rFont val="楷体"/>
        <charset val="134"/>
      </rPr>
      <t>湖北日报基金</t>
    </r>
    <r>
      <rPr>
        <sz val="9"/>
        <color rgb="FF000000"/>
        <rFont val="Arial"/>
        <charset val="134"/>
      </rPr>
      <t>,</t>
    </r>
    <r>
      <rPr>
        <sz val="9"/>
        <color rgb="FF000000"/>
        <rFont val="楷体"/>
        <charset val="134"/>
      </rPr>
      <t>高柏基金</t>
    </r>
    <r>
      <rPr>
        <sz val="9"/>
        <color rgb="FF000000"/>
        <rFont val="Arial"/>
        <charset val="134"/>
      </rPr>
      <t>,</t>
    </r>
    <r>
      <rPr>
        <sz val="9"/>
        <color rgb="FF000000"/>
        <rFont val="楷体"/>
        <charset val="134"/>
      </rPr>
      <t>海宁市泛半导体产业投资</t>
    </r>
  </si>
  <si>
    <t>2020-11-24</t>
  </si>
  <si>
    <r>
      <rPr>
        <sz val="9"/>
        <color rgb="FF000000"/>
        <rFont val="楷体"/>
        <charset val="134"/>
      </rPr>
      <t>万位科技</t>
    </r>
    <r>
      <rPr>
        <sz val="9"/>
        <color rgb="FF000000"/>
        <rFont val="Arial"/>
        <charset val="134"/>
      </rPr>
      <t>,</t>
    </r>
    <r>
      <rPr>
        <sz val="9"/>
        <color rgb="FF000000"/>
        <rFont val="楷体"/>
        <charset val="134"/>
      </rPr>
      <t>创和投资</t>
    </r>
  </si>
  <si>
    <t>中保车服</t>
  </si>
  <si>
    <t>中保车服是一家开放式共享的互联网车险理赔平台，通过互联网大数据、人工智能处理车辆出险查勘派单、赔付等流程，从而解决车险赔付成本高、欺诈高的行业痛点。</t>
  </si>
  <si>
    <t>中保车服科技服务股份有限公司</t>
  </si>
  <si>
    <t>https://www.cias.cn</t>
  </si>
  <si>
    <r>
      <rPr>
        <sz val="9"/>
        <color rgb="FF000000"/>
        <rFont val="楷体"/>
        <charset val="134"/>
      </rPr>
      <t>同创伟业</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前海母基金</t>
    </r>
  </si>
  <si>
    <r>
      <rPr>
        <sz val="9"/>
        <color rgb="FF000000"/>
        <rFont val="楷体"/>
        <charset val="134"/>
      </rPr>
      <t>童清</t>
    </r>
    <r>
      <rPr>
        <sz val="9"/>
        <color rgb="FF000000"/>
        <rFont val="Arial"/>
        <charset val="134"/>
      </rPr>
      <t>:</t>
    </r>
    <r>
      <rPr>
        <sz val="9"/>
        <color rgb="FF000000"/>
        <rFont val="楷体"/>
        <charset val="134"/>
      </rPr>
      <t>董事长</t>
    </r>
  </si>
  <si>
    <r>
      <rPr>
        <sz val="9"/>
        <color rgb="FF000000"/>
        <rFont val="楷体"/>
        <charset val="134"/>
      </rPr>
      <t>深圳市福田区皇岗路深业上城</t>
    </r>
    <r>
      <rPr>
        <sz val="9"/>
        <color rgb="FF000000"/>
        <rFont val="Arial"/>
        <charset val="134"/>
      </rPr>
      <t xml:space="preserve"> T2</t>
    </r>
    <r>
      <rPr>
        <sz val="9"/>
        <color rgb="FF000000"/>
        <rFont val="楷体"/>
        <charset val="134"/>
      </rPr>
      <t>栋</t>
    </r>
    <r>
      <rPr>
        <sz val="9"/>
        <color rgb="FF000000"/>
        <rFont val="Arial"/>
        <charset val="134"/>
      </rPr>
      <t>44</t>
    </r>
    <r>
      <rPr>
        <sz val="9"/>
        <color rgb="FF000000"/>
        <rFont val="楷体"/>
        <charset val="134"/>
      </rPr>
      <t>层</t>
    </r>
  </si>
  <si>
    <t>0755-8860-2229</t>
  </si>
  <si>
    <t>services@cias.cn</t>
  </si>
  <si>
    <t>2018-11-01</t>
  </si>
  <si>
    <r>
      <rPr>
        <sz val="9"/>
        <color rgb="FF000000"/>
        <rFont val="楷体"/>
        <charset val="134"/>
      </rPr>
      <t>复星集团</t>
    </r>
    <r>
      <rPr>
        <sz val="9"/>
        <color rgb="FF000000"/>
        <rFont val="Arial"/>
        <charset val="134"/>
      </rPr>
      <t>,</t>
    </r>
    <r>
      <rPr>
        <sz val="9"/>
        <color rgb="FF000000"/>
        <rFont val="楷体"/>
        <charset val="134"/>
      </rPr>
      <t>太平洋保险</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滴滴出行</t>
    </r>
    <r>
      <rPr>
        <sz val="9"/>
        <color rgb="FF000000"/>
        <rFont val="Arial"/>
        <charset val="134"/>
      </rPr>
      <t>,</t>
    </r>
    <r>
      <rPr>
        <sz val="9"/>
        <color rgb="FF000000"/>
        <rFont val="楷体"/>
        <charset val="134"/>
      </rPr>
      <t>深投控</t>
    </r>
    <r>
      <rPr>
        <sz val="9"/>
        <color rgb="FF000000"/>
        <rFont val="Arial"/>
        <charset val="134"/>
      </rPr>
      <t>,91</t>
    </r>
    <r>
      <rPr>
        <sz val="9"/>
        <color rgb="FF000000"/>
        <rFont val="楷体"/>
        <charset val="134"/>
      </rPr>
      <t>和保</t>
    </r>
  </si>
  <si>
    <t>中交兴路</t>
  </si>
  <si>
    <r>
      <rPr>
        <sz val="9"/>
        <color rgb="FF000000"/>
        <rFont val="楷体"/>
        <charset val="134"/>
      </rPr>
      <t>中交兴路以货运车辆监管平台为基础，依托高速公路网，利用车机、手机等终端设备将</t>
    </r>
    <r>
      <rPr>
        <sz val="9"/>
        <color rgb="FF000000"/>
        <rFont val="Arial"/>
        <charset val="134"/>
      </rPr>
      <t>GPS</t>
    </r>
    <r>
      <rPr>
        <sz val="9"/>
        <color rgb="FF000000"/>
        <rFont val="楷体"/>
        <charset val="134"/>
      </rPr>
      <t>监控技术融入到物流服务中，通过车载</t>
    </r>
    <r>
      <rPr>
        <sz val="9"/>
        <color rgb="FF000000"/>
        <rFont val="Arial"/>
        <charset val="134"/>
      </rPr>
      <t>GPS</t>
    </r>
    <r>
      <rPr>
        <sz val="9"/>
        <color rgb="FF000000"/>
        <rFont val="楷体"/>
        <charset val="134"/>
      </rPr>
      <t>与智能调度系统相结合，整合社会车辆、货运代理等资源，逐步建立完整、畅通、高效的国内城际干线运输快速通道，同时结合区域配送网络和城市点到点专线运输，为客户提供集整车运输、零担运输、配送服务于一体的综合物流服务。</t>
    </r>
  </si>
  <si>
    <t>北京中交兴路信息科技股份有限公司</t>
  </si>
  <si>
    <t>http://www.sinoiov.com/</t>
  </si>
  <si>
    <t>2004-06</t>
  </si>
  <si>
    <r>
      <rPr>
        <sz val="9"/>
        <color rgb="FF000000"/>
        <rFont val="楷体"/>
        <charset val="134"/>
      </rPr>
      <t>交银国际</t>
    </r>
    <r>
      <rPr>
        <sz val="9"/>
        <color rgb="FF000000"/>
        <rFont val="Arial"/>
        <charset val="134"/>
      </rPr>
      <t>,</t>
    </r>
    <r>
      <rPr>
        <sz val="9"/>
        <color rgb="FF000000"/>
        <rFont val="楷体"/>
        <charset val="134"/>
      </rPr>
      <t>凯联资本</t>
    </r>
    <r>
      <rPr>
        <sz val="9"/>
        <color rgb="FF000000"/>
        <rFont val="Arial"/>
        <charset val="134"/>
      </rPr>
      <t>,</t>
    </r>
    <r>
      <rPr>
        <sz val="9"/>
        <color rgb="FF000000"/>
        <rFont val="楷体"/>
        <charset val="134"/>
      </rPr>
      <t>星路资本</t>
    </r>
    <r>
      <rPr>
        <sz val="9"/>
        <color rgb="FF000000"/>
        <rFont val="Arial"/>
        <charset val="134"/>
      </rPr>
      <t>,</t>
    </r>
    <r>
      <rPr>
        <sz val="9"/>
        <color rgb="FF000000"/>
        <rFont val="楷体"/>
        <charset val="134"/>
      </rPr>
      <t>善达投资</t>
    </r>
    <r>
      <rPr>
        <sz val="9"/>
        <color rgb="FF000000"/>
        <rFont val="Arial"/>
        <charset val="134"/>
      </rPr>
      <t>,</t>
    </r>
    <r>
      <rPr>
        <sz val="9"/>
        <color rgb="FF000000"/>
        <rFont val="楷体"/>
        <charset val="134"/>
      </rPr>
      <t>德载厚资本</t>
    </r>
    <r>
      <rPr>
        <sz val="9"/>
        <color rgb="FF000000"/>
        <rFont val="Arial"/>
        <charset val="134"/>
      </rPr>
      <t>,</t>
    </r>
    <r>
      <rPr>
        <sz val="9"/>
        <color rgb="FF000000"/>
        <rFont val="楷体"/>
        <charset val="134"/>
      </rPr>
      <t>鸿泉物联</t>
    </r>
    <r>
      <rPr>
        <sz val="9"/>
        <color rgb="FF000000"/>
        <rFont val="Arial"/>
        <charset val="134"/>
      </rPr>
      <t>,</t>
    </r>
    <r>
      <rPr>
        <sz val="9"/>
        <color rgb="FF000000"/>
        <rFont val="楷体"/>
        <charset val="134"/>
      </rPr>
      <t>悦达善达母基金</t>
    </r>
  </si>
  <si>
    <r>
      <rPr>
        <sz val="9"/>
        <color rgb="FF000000"/>
        <rFont val="Arial"/>
        <charset val="134"/>
      </rPr>
      <t>14.01</t>
    </r>
    <r>
      <rPr>
        <sz val="9"/>
        <color rgb="FF000000"/>
        <rFont val="楷体"/>
        <charset val="134"/>
      </rPr>
      <t>亿</t>
    </r>
  </si>
  <si>
    <r>
      <rPr>
        <sz val="9"/>
        <color rgb="FF000000"/>
        <rFont val="Arial"/>
        <charset val="134"/>
      </rPr>
      <t>45</t>
    </r>
    <r>
      <rPr>
        <sz val="9"/>
        <color rgb="FF000000"/>
        <rFont val="楷体"/>
        <charset val="134"/>
      </rPr>
      <t>亿元</t>
    </r>
  </si>
  <si>
    <r>
      <rPr>
        <sz val="9"/>
        <color rgb="FF000000"/>
        <rFont val="楷体"/>
        <charset val="134"/>
      </rPr>
      <t>夏曙东</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江天</t>
    </r>
    <r>
      <rPr>
        <sz val="9"/>
        <color rgb="FF000000"/>
        <rFont val="Arial"/>
        <charset val="134"/>
      </rPr>
      <t>:CEO</t>
    </r>
  </si>
  <si>
    <r>
      <rPr>
        <sz val="9"/>
        <color rgb="FF000000"/>
        <rFont val="楷体"/>
        <charset val="134"/>
      </rPr>
      <t>北京市海淀区东北旺西路</t>
    </r>
    <r>
      <rPr>
        <sz val="9"/>
        <color rgb="FF000000"/>
        <rFont val="Arial"/>
        <charset val="134"/>
      </rPr>
      <t>8</t>
    </r>
    <r>
      <rPr>
        <sz val="9"/>
        <color rgb="FF000000"/>
        <rFont val="楷体"/>
        <charset val="134"/>
      </rPr>
      <t>号</t>
    </r>
    <r>
      <rPr>
        <sz val="9"/>
        <color rgb="FF000000"/>
        <rFont val="Arial"/>
        <charset val="134"/>
      </rPr>
      <t xml:space="preserve"> </t>
    </r>
    <r>
      <rPr>
        <sz val="9"/>
        <color rgb="FF000000"/>
        <rFont val="楷体"/>
        <charset val="134"/>
      </rPr>
      <t>中关村软件园</t>
    </r>
    <r>
      <rPr>
        <sz val="9"/>
        <color rgb="FF000000"/>
        <rFont val="Arial"/>
        <charset val="134"/>
      </rPr>
      <t>27</t>
    </r>
    <r>
      <rPr>
        <sz val="9"/>
        <color rgb="FF000000"/>
        <rFont val="楷体"/>
        <charset val="134"/>
      </rPr>
      <t>号楼千方科技大厦</t>
    </r>
  </si>
  <si>
    <t>400-096-6666</t>
  </si>
  <si>
    <t>2019-10-30</t>
  </si>
  <si>
    <t>阳光保险</t>
  </si>
  <si>
    <t>2018-12-04</t>
  </si>
  <si>
    <r>
      <rPr>
        <sz val="9"/>
        <color rgb="FF000000"/>
        <rFont val="楷体"/>
        <charset val="134"/>
      </rPr>
      <t>蚂蚁集团</t>
    </r>
    <r>
      <rPr>
        <sz val="9"/>
        <color rgb="FF000000"/>
        <rFont val="Arial"/>
        <charset val="134"/>
      </rPr>
      <t>,</t>
    </r>
    <r>
      <rPr>
        <sz val="9"/>
        <color rgb="FF000000"/>
        <rFont val="楷体"/>
        <charset val="134"/>
      </rPr>
      <t>车联网产业发展基金</t>
    </r>
  </si>
  <si>
    <t>2012-01-18</t>
  </si>
  <si>
    <r>
      <rPr>
        <sz val="9"/>
        <color rgb="FF000000"/>
        <rFont val="楷体"/>
        <charset val="134"/>
      </rPr>
      <t>建信投资</t>
    </r>
    <r>
      <rPr>
        <sz val="9"/>
        <color rgb="FF000000"/>
        <rFont val="Arial"/>
        <charset val="134"/>
      </rPr>
      <t>,</t>
    </r>
    <r>
      <rPr>
        <sz val="9"/>
        <color rgb="FF000000"/>
        <rFont val="楷体"/>
        <charset val="134"/>
      </rPr>
      <t>建信信托</t>
    </r>
  </si>
  <si>
    <t>2011-08-11</t>
  </si>
  <si>
    <r>
      <rPr>
        <sz val="9"/>
        <color rgb="FF000000"/>
        <rFont val="楷体"/>
        <charset val="134"/>
      </rPr>
      <t>中关村发展集团</t>
    </r>
    <r>
      <rPr>
        <sz val="9"/>
        <color rgb="FF000000"/>
        <rFont val="Arial"/>
        <charset val="134"/>
      </rPr>
      <t>,</t>
    </r>
    <r>
      <rPr>
        <sz val="9"/>
        <color rgb="FF000000"/>
        <rFont val="楷体"/>
        <charset val="134"/>
      </rPr>
      <t>千方科技</t>
    </r>
  </si>
  <si>
    <t>2023-01-10</t>
  </si>
  <si>
    <t>镁信健康</t>
  </si>
  <si>
    <t>镁信健康是一家医疗创新支付服务提供商，通过金融保险、金融分期等方式帮助患者解决自费医疗支付问题，并且提供药品供应和药事服务。公司通过疗程打包购买、会员积分折扣卡降低患者整体支付费用；通过分期付款、器械租赁减轻患者现金流压力；通过疗效保险为患者提供用药保障。</t>
  </si>
  <si>
    <t>上海镁信健康科技股份有限公司</t>
  </si>
  <si>
    <t>http://www.meditrusthealth.com/</t>
  </si>
  <si>
    <t>其他医疗服务</t>
  </si>
  <si>
    <r>
      <rPr>
        <sz val="9"/>
        <color rgb="FF000000"/>
        <rFont val="楷体"/>
        <charset val="134"/>
      </rPr>
      <t>汇丰银行</t>
    </r>
    <r>
      <rPr>
        <sz val="9"/>
        <color rgb="FF000000"/>
        <rFont val="Arial"/>
        <charset val="134"/>
      </rPr>
      <t>HSBC</t>
    </r>
  </si>
  <si>
    <r>
      <rPr>
        <sz val="9"/>
        <color rgb="FF000000"/>
        <rFont val="Arial"/>
        <charset val="134"/>
      </rPr>
      <t>33.9</t>
    </r>
    <r>
      <rPr>
        <sz val="9"/>
        <color rgb="FF000000"/>
        <rFont val="楷体"/>
        <charset val="134"/>
      </rPr>
      <t>亿</t>
    </r>
  </si>
  <si>
    <r>
      <rPr>
        <sz val="9"/>
        <color rgb="FF000000"/>
        <rFont val="Arial"/>
        <charset val="134"/>
      </rPr>
      <t>110</t>
    </r>
    <r>
      <rPr>
        <sz val="9"/>
        <color rgb="FF000000"/>
        <rFont val="楷体"/>
        <charset val="134"/>
      </rPr>
      <t>亿元</t>
    </r>
  </si>
  <si>
    <r>
      <rPr>
        <sz val="9"/>
        <color rgb="FF000000"/>
        <rFont val="楷体"/>
        <charset val="134"/>
      </rPr>
      <t>张小栋</t>
    </r>
    <r>
      <rPr>
        <sz val="9"/>
        <color rgb="FF000000"/>
        <rFont val="Arial"/>
        <charset val="134"/>
      </rPr>
      <t>:CEO</t>
    </r>
  </si>
  <si>
    <r>
      <rPr>
        <sz val="9"/>
        <color rgb="FF000000"/>
        <rFont val="楷体"/>
        <charset val="134"/>
      </rPr>
      <t>上海市徐汇区枫林路</t>
    </r>
    <r>
      <rPr>
        <sz val="9"/>
        <color rgb="FF000000"/>
        <rFont val="Arial"/>
        <charset val="134"/>
      </rPr>
      <t>450</t>
    </r>
    <r>
      <rPr>
        <sz val="9"/>
        <color rgb="FF000000"/>
        <rFont val="楷体"/>
        <charset val="134"/>
      </rPr>
      <t>号</t>
    </r>
    <r>
      <rPr>
        <sz val="9"/>
        <color rgb="FF000000"/>
        <rFont val="Arial"/>
        <charset val="134"/>
      </rPr>
      <t>B</t>
    </r>
    <r>
      <rPr>
        <sz val="9"/>
        <color rgb="FF000000"/>
        <rFont val="楷体"/>
        <charset val="134"/>
      </rPr>
      <t>座</t>
    </r>
    <r>
      <rPr>
        <sz val="9"/>
        <color rgb="FF000000"/>
        <rFont val="Arial"/>
        <charset val="134"/>
      </rPr>
      <t>7</t>
    </r>
    <r>
      <rPr>
        <sz val="9"/>
        <color rgb="FF000000"/>
        <rFont val="楷体"/>
        <charset val="134"/>
      </rPr>
      <t>层</t>
    </r>
    <r>
      <rPr>
        <sz val="9"/>
        <color rgb="FF000000"/>
        <rFont val="Arial"/>
        <charset val="134"/>
      </rPr>
      <t>B</t>
    </r>
    <r>
      <rPr>
        <sz val="9"/>
        <color rgb="FF000000"/>
        <rFont val="楷体"/>
        <charset val="134"/>
      </rPr>
      <t>区</t>
    </r>
  </si>
  <si>
    <t>021-6416-0067</t>
  </si>
  <si>
    <t>contact@meditrusthealth.com</t>
  </si>
  <si>
    <t>2021-08-10</t>
  </si>
  <si>
    <r>
      <rPr>
        <sz val="9"/>
        <color rgb="FF000000"/>
        <rFont val="楷体"/>
        <charset val="134"/>
      </rPr>
      <t>中金公司</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中银投资</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光大控股</t>
    </r>
    <r>
      <rPr>
        <sz val="9"/>
        <color rgb="FF000000"/>
        <rFont val="Arial"/>
        <charset val="134"/>
      </rPr>
      <t>,B</t>
    </r>
    <r>
      <rPr>
        <sz val="9"/>
        <color rgb="FF000000"/>
        <rFont val="楷体"/>
        <charset val="134"/>
      </rPr>
      <t>资本</t>
    </r>
    <r>
      <rPr>
        <sz val="9"/>
        <color rgb="FF000000"/>
        <rFont val="Arial"/>
        <charset val="134"/>
      </rPr>
      <t>,</t>
    </r>
    <r>
      <rPr>
        <sz val="9"/>
        <color rgb="FF000000"/>
        <rFont val="楷体"/>
        <charset val="134"/>
      </rPr>
      <t>歌汇投资</t>
    </r>
  </si>
  <si>
    <t>2021-03-05</t>
  </si>
  <si>
    <r>
      <rPr>
        <sz val="9"/>
        <color rgb="FF000000"/>
        <rFont val="楷体"/>
        <charset val="134"/>
      </rPr>
      <t>创新工场</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蚂蚁集团</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远毅资本</t>
    </r>
    <r>
      <rPr>
        <sz val="9"/>
        <color rgb="FF000000"/>
        <rFont val="Arial"/>
        <charset val="134"/>
      </rPr>
      <t>,</t>
    </r>
    <r>
      <rPr>
        <sz val="9"/>
        <color rgb="FF000000"/>
        <rFont val="楷体"/>
        <charset val="134"/>
      </rPr>
      <t>博远资本</t>
    </r>
    <r>
      <rPr>
        <sz val="9"/>
        <color rgb="FF000000"/>
        <rFont val="Arial"/>
        <charset val="134"/>
      </rPr>
      <t>,</t>
    </r>
    <r>
      <rPr>
        <sz val="9"/>
        <color rgb="FF000000"/>
        <rFont val="楷体"/>
        <charset val="134"/>
      </rPr>
      <t>上海生物医药基金</t>
    </r>
  </si>
  <si>
    <t>2020-03-10</t>
  </si>
  <si>
    <t>中再寿险</t>
  </si>
  <si>
    <r>
      <rPr>
        <sz val="9"/>
        <color rgb="FF000000"/>
        <rFont val="楷体"/>
        <charset val="134"/>
      </rPr>
      <t>赛富基金</t>
    </r>
    <r>
      <rPr>
        <sz val="9"/>
        <color rgb="FF000000"/>
        <rFont val="Arial"/>
        <charset val="134"/>
      </rPr>
      <t>SAIF Partners,</t>
    </r>
    <r>
      <rPr>
        <sz val="9"/>
        <color rgb="FF000000"/>
        <rFont val="楷体"/>
        <charset val="134"/>
      </rPr>
      <t>博远资本</t>
    </r>
  </si>
  <si>
    <t>2018-04-11</t>
  </si>
  <si>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远毅资本</t>
    </r>
  </si>
  <si>
    <t>2020-12-02</t>
  </si>
  <si>
    <t>瑞宏网</t>
  </si>
  <si>
    <t>瑞宏网是一个电子发票综合服务平台，为企业员工、提供一种快捷、便利的一站式、泛在化的发票查验、报销、入账服务，用户只需输入发票代码、发票号码等基本票面信息，即可查出该票的相关信息内容，隶属于北京东港瑞宏科技有限公司旗下。</t>
  </si>
  <si>
    <t>北京东港瑞宏科技有限公司</t>
  </si>
  <si>
    <t>https://www.e-inv.cn/gyrh</t>
  </si>
  <si>
    <r>
      <rPr>
        <sz val="9"/>
        <color rgb="FF000000"/>
        <rFont val="楷体"/>
        <charset val="134"/>
      </rPr>
      <t>刘宏</t>
    </r>
    <r>
      <rPr>
        <sz val="9"/>
        <color rgb="FF000000"/>
        <rFont val="Arial"/>
        <charset val="134"/>
      </rPr>
      <t>:</t>
    </r>
    <r>
      <rPr>
        <sz val="9"/>
        <color rgb="FF000000"/>
        <rFont val="楷体"/>
        <charset val="134"/>
      </rPr>
      <t>董事长</t>
    </r>
  </si>
  <si>
    <r>
      <rPr>
        <sz val="9"/>
        <color rgb="FF000000"/>
        <rFont val="楷体"/>
        <charset val="134"/>
      </rPr>
      <t>北京经济技术开发区经海四路</t>
    </r>
    <r>
      <rPr>
        <sz val="9"/>
        <color rgb="FF000000"/>
        <rFont val="Arial"/>
        <charset val="134"/>
      </rPr>
      <t>139</t>
    </r>
    <r>
      <rPr>
        <sz val="9"/>
        <color rgb="FF000000"/>
        <rFont val="楷体"/>
        <charset val="134"/>
      </rPr>
      <t>号</t>
    </r>
  </si>
  <si>
    <t>400-628-9911</t>
  </si>
  <si>
    <t>e-inv@tungkong.com.cn</t>
  </si>
  <si>
    <t>2019-03-06</t>
  </si>
  <si>
    <t>趣开单</t>
  </si>
  <si>
    <t>趣开单是面向中介机构、职业房产经纪人的一款中介营销管理软件，支持一键房源发布至全网渠道，致力于帮助经纪公司效率经营、帮助房产经纪人出租房源加速成交，隶属于上海朔羡网络科技有限公司旗下。</t>
  </si>
  <si>
    <t>上海朔羡网络科技有限公司</t>
  </si>
  <si>
    <t>https://jjr.mgzf.com/index</t>
  </si>
  <si>
    <r>
      <rPr>
        <sz val="9"/>
        <color rgb="FF000000"/>
        <rFont val="Arial"/>
        <charset val="134"/>
      </rPr>
      <t>7.33</t>
    </r>
    <r>
      <rPr>
        <sz val="9"/>
        <color rgb="FF000000"/>
        <rFont val="楷体"/>
        <charset val="134"/>
      </rPr>
      <t>亿</t>
    </r>
  </si>
  <si>
    <r>
      <rPr>
        <sz val="9"/>
        <color rgb="FF000000"/>
        <rFont val="楷体"/>
        <charset val="134"/>
      </rPr>
      <t>马晓军</t>
    </r>
    <r>
      <rPr>
        <sz val="9"/>
        <color rgb="FF000000"/>
        <rFont val="Arial"/>
        <charset val="134"/>
      </rPr>
      <t>:</t>
    </r>
    <r>
      <rPr>
        <sz val="9"/>
        <color rgb="FF000000"/>
        <rFont val="楷体"/>
        <charset val="134"/>
      </rPr>
      <t>董事长</t>
    </r>
  </si>
  <si>
    <r>
      <rPr>
        <sz val="9"/>
        <color rgb="FF000000"/>
        <rFont val="楷体"/>
        <charset val="134"/>
      </rPr>
      <t>上海市静安区江宁路</t>
    </r>
    <r>
      <rPr>
        <sz val="9"/>
        <color rgb="FF000000"/>
        <rFont val="Arial"/>
        <charset val="134"/>
      </rPr>
      <t>212</t>
    </r>
    <r>
      <rPr>
        <sz val="9"/>
        <color rgb="FF000000"/>
        <rFont val="楷体"/>
        <charset val="134"/>
      </rPr>
      <t>号</t>
    </r>
  </si>
  <si>
    <t>xyp@mgzf.com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</si>
  <si>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平安创新投资基金</t>
    </r>
    <r>
      <rPr>
        <sz val="9"/>
        <color rgb="FF000000"/>
        <rFont val="Arial"/>
        <charset val="134"/>
      </rPr>
      <t>,</t>
    </r>
    <r>
      <rPr>
        <sz val="9"/>
        <color rgb="FF000000"/>
        <rFont val="楷体"/>
        <charset val="134"/>
      </rPr>
      <t>海通开元</t>
    </r>
  </si>
  <si>
    <t>2021-09-15</t>
  </si>
  <si>
    <t>智慧油客</t>
  </si>
  <si>
    <t>智慧油客专注致力于为加油站提供全新一代：集进销存业务运营、会员客户管理、自属移动互联网平台营销、聚合支付、财务管控、大数据汇聚精准分析等，为一体的自动化智慧加油站运营系统，并为合作加油站提供与之配套的运营与营销团队以提供全方位支持服务。</t>
  </si>
  <si>
    <t>潍坊智慧油客网络科技有限公司</t>
  </si>
  <si>
    <t>http://www.smartyoke.com/</t>
  </si>
  <si>
    <r>
      <rPr>
        <sz val="9"/>
        <color rgb="FF000000"/>
        <rFont val="楷体"/>
        <charset val="134"/>
      </rPr>
      <t>蚂蚁集团</t>
    </r>
    <r>
      <rPr>
        <sz val="9"/>
        <color rgb="FF000000"/>
        <rFont val="Arial"/>
        <charset val="134"/>
      </rPr>
      <t>,</t>
    </r>
    <r>
      <rPr>
        <sz val="9"/>
        <color rgb="FF000000"/>
        <rFont val="楷体"/>
        <charset val="134"/>
      </rPr>
      <t>野草创投</t>
    </r>
    <r>
      <rPr>
        <sz val="9"/>
        <color rgb="FF000000"/>
        <rFont val="Arial"/>
        <charset val="134"/>
      </rPr>
      <t>,</t>
    </r>
    <r>
      <rPr>
        <sz val="9"/>
        <color rgb="FF000000"/>
        <rFont val="楷体"/>
        <charset val="134"/>
      </rPr>
      <t>宇泽资本</t>
    </r>
  </si>
  <si>
    <r>
      <rPr>
        <sz val="9"/>
        <color rgb="FF000000"/>
        <rFont val="Arial"/>
        <charset val="134"/>
      </rPr>
      <t>7.5</t>
    </r>
    <r>
      <rPr>
        <sz val="9"/>
        <color rgb="FF000000"/>
        <rFont val="楷体"/>
        <charset val="134"/>
      </rPr>
      <t>亿元</t>
    </r>
  </si>
  <si>
    <r>
      <rPr>
        <sz val="9"/>
        <color rgb="FF000000"/>
        <rFont val="楷体"/>
        <charset val="134"/>
      </rPr>
      <t>王一</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</si>
  <si>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北京丰台区诺德中心二期</t>
    </r>
    <r>
      <rPr>
        <sz val="9"/>
        <color rgb="FF000000"/>
        <rFont val="Arial"/>
        <charset val="134"/>
      </rPr>
      <t>7</t>
    </r>
    <r>
      <rPr>
        <sz val="9"/>
        <color rgb="FF000000"/>
        <rFont val="楷体"/>
        <charset val="134"/>
      </rPr>
      <t>号楼</t>
    </r>
  </si>
  <si>
    <t>010-8620-5006</t>
  </si>
  <si>
    <t>service@smartyoke.com</t>
  </si>
  <si>
    <t>2020-07-01</t>
  </si>
  <si>
    <r>
      <rPr>
        <sz val="9"/>
        <color rgb="FF000000"/>
        <rFont val="楷体"/>
        <charset val="134"/>
      </rPr>
      <t>正轩投资</t>
    </r>
    <r>
      <rPr>
        <sz val="9"/>
        <color rgb="FF000000"/>
        <rFont val="Arial"/>
        <charset val="134"/>
      </rPr>
      <t>,</t>
    </r>
    <r>
      <rPr>
        <sz val="9"/>
        <color rgb="FF000000"/>
        <rFont val="楷体"/>
        <charset val="134"/>
      </rPr>
      <t>深圳高新投</t>
    </r>
  </si>
  <si>
    <r>
      <rPr>
        <sz val="9"/>
        <color rgb="FF000000"/>
        <rFont val="Arial"/>
        <charset val="134"/>
      </rPr>
      <t>36</t>
    </r>
    <r>
      <rPr>
        <sz val="9"/>
        <color rgb="FF000000"/>
        <rFont val="楷体"/>
        <charset val="134"/>
      </rPr>
      <t>氪</t>
    </r>
    <r>
      <rPr>
        <sz val="9"/>
        <color rgb="FF000000"/>
        <rFont val="Arial"/>
        <charset val="134"/>
      </rPr>
      <t>,</t>
    </r>
    <r>
      <rPr>
        <sz val="9"/>
        <color rgb="FF000000"/>
        <rFont val="楷体"/>
        <charset val="134"/>
      </rPr>
      <t>川商基金</t>
    </r>
  </si>
  <si>
    <r>
      <rPr>
        <sz val="9"/>
        <color rgb="FF000000"/>
        <rFont val="楷体"/>
        <charset val="134"/>
      </rPr>
      <t>众合创投</t>
    </r>
    <r>
      <rPr>
        <sz val="9"/>
        <color rgb="FF000000"/>
        <rFont val="Arial"/>
        <charset val="134"/>
      </rPr>
      <t>,</t>
    </r>
    <r>
      <rPr>
        <sz val="9"/>
        <color rgb="FF000000"/>
        <rFont val="楷体"/>
        <charset val="134"/>
      </rPr>
      <t>华山资本</t>
    </r>
    <r>
      <rPr>
        <sz val="9"/>
        <color rgb="FF000000"/>
        <rFont val="Arial"/>
        <charset val="134"/>
      </rPr>
      <t xml:space="preserve">HuaShanCapital </t>
    </r>
  </si>
  <si>
    <t>2019-02-14</t>
  </si>
  <si>
    <t>WorldFirst万里汇</t>
  </si>
  <si>
    <r>
      <rPr>
        <sz val="9"/>
        <color rgb="FF000000"/>
        <rFont val="Arial"/>
        <charset val="134"/>
      </rPr>
      <t>WorldFirst</t>
    </r>
    <r>
      <rPr>
        <sz val="9"/>
        <color rgb="FF000000"/>
        <rFont val="楷体"/>
        <charset val="134"/>
      </rPr>
      <t>万里汇</t>
    </r>
  </si>
  <si>
    <r>
      <rPr>
        <sz val="9"/>
        <color rgb="FF000000"/>
        <rFont val="Arial"/>
        <charset val="134"/>
      </rPr>
      <t>WorldFirst</t>
    </r>
    <r>
      <rPr>
        <sz val="9"/>
        <color rgb="FF000000"/>
        <rFont val="楷体"/>
        <charset val="134"/>
      </rPr>
      <t>（万里汇）是一家英国跨境支付及货币兑换支付公司，以较合适的可用汇率，提供各种快捷安全的外汇服务，帮助企业和个人在世界各地流动资金。目前主营业务分三块：国际汇款，外汇期权交易，国际电商平台收款及结汇。</t>
    </r>
  </si>
  <si>
    <t>https://www.worldfirst.com/us/</t>
  </si>
  <si>
    <t>Craige Pendleton-Browne:Chief Technology Officer,Jabu Henson:Managing Director, Singapore,Jeff Parker:Managing Director, Asia Pacific,Jonathan Quin:Chief Executive Officer &amp; Co-founder,Kelly Jackson:Chief People Officer,Kerry Tremble:Chief Financial Officer,Nick Robinson:Vice-Chairman</t>
  </si>
  <si>
    <t>2020-04-17</t>
  </si>
  <si>
    <t>一砂信息</t>
  </si>
  <si>
    <r>
      <rPr>
        <sz val="9"/>
        <color rgb="FF000000"/>
        <rFont val="楷体"/>
        <charset val="134"/>
      </rPr>
      <t>一砂信息是一家互联网身份认证和安全产品服务商，主要提供基于</t>
    </r>
    <r>
      <rPr>
        <sz val="9"/>
        <color rgb="FF000000"/>
        <rFont val="Arial"/>
        <charset val="134"/>
      </rPr>
      <t>IFAA</t>
    </r>
    <r>
      <rPr>
        <sz val="9"/>
        <color rgb="FF000000"/>
        <rFont val="楷体"/>
        <charset val="134"/>
      </rPr>
      <t>（互联网金融身份认证联盟）标准的身份认证相关产品和服务，致力于让智能设备都有可信的储存计算空间。一砂基于终端安全、生物识别、区块链等技术，推出了</t>
    </r>
    <r>
      <rPr>
        <sz val="9"/>
        <color rgb="FF000000"/>
        <rFont val="Arial"/>
        <charset val="134"/>
      </rPr>
      <t>eDIS</t>
    </r>
    <r>
      <rPr>
        <sz val="9"/>
        <color rgb="FF000000"/>
        <rFont val="楷体"/>
        <charset val="134"/>
      </rPr>
      <t>一砂数字身份服务，覆盖超过</t>
    </r>
    <r>
      <rPr>
        <sz val="9"/>
        <color rgb="FF000000"/>
        <rFont val="Arial"/>
        <charset val="134"/>
      </rPr>
      <t>15</t>
    </r>
    <r>
      <rPr>
        <sz val="9"/>
        <color rgb="FF000000"/>
        <rFont val="楷体"/>
        <charset val="134"/>
      </rPr>
      <t>亿智能设备。</t>
    </r>
  </si>
  <si>
    <t>北京一砂信息技术有限公司</t>
  </si>
  <si>
    <t>https://www.esandinfo.com/</t>
  </si>
  <si>
    <t>科研和社会服务</t>
  </si>
  <si>
    <r>
      <rPr>
        <sz val="9"/>
        <color rgb="FF000000"/>
        <rFont val="楷体"/>
        <charset val="134"/>
      </rPr>
      <t>深创投</t>
    </r>
    <r>
      <rPr>
        <sz val="9"/>
        <color rgb="FF000000"/>
        <rFont val="Arial"/>
        <charset val="134"/>
      </rPr>
      <t>,</t>
    </r>
    <r>
      <rPr>
        <sz val="9"/>
        <color rgb="FF000000"/>
        <rFont val="楷体"/>
        <charset val="134"/>
      </rPr>
      <t>基石资本</t>
    </r>
  </si>
  <si>
    <r>
      <rPr>
        <sz val="9"/>
        <color rgb="FF000000"/>
        <rFont val="楷体"/>
        <charset val="134"/>
      </rPr>
      <t>张楚</t>
    </r>
    <r>
      <rPr>
        <sz val="9"/>
        <color rgb="FF000000"/>
        <rFont val="Arial"/>
        <charset val="134"/>
      </rPr>
      <t>:</t>
    </r>
    <r>
      <rPr>
        <sz val="9"/>
        <color rgb="FF000000"/>
        <rFont val="楷体"/>
        <charset val="134"/>
      </rPr>
      <t>创始人</t>
    </r>
  </si>
  <si>
    <r>
      <rPr>
        <sz val="9"/>
        <color rgb="FF000000"/>
        <rFont val="楷体"/>
        <charset val="134"/>
      </rPr>
      <t>北京市海淀区马甸东路</t>
    </r>
    <r>
      <rPr>
        <sz val="9"/>
        <color rgb="FF000000"/>
        <rFont val="Arial"/>
        <charset val="134"/>
      </rPr>
      <t>17</t>
    </r>
    <r>
      <rPr>
        <sz val="9"/>
        <color rgb="FF000000"/>
        <rFont val="楷体"/>
        <charset val="134"/>
      </rPr>
      <t>号</t>
    </r>
    <r>
      <rPr>
        <sz val="9"/>
        <color rgb="FF000000"/>
        <rFont val="Arial"/>
        <charset val="134"/>
      </rPr>
      <t xml:space="preserve"> </t>
    </r>
    <r>
      <rPr>
        <sz val="9"/>
        <color rgb="FF000000"/>
        <rFont val="楷体"/>
        <charset val="134"/>
      </rPr>
      <t>金澳国际大厦</t>
    </r>
    <r>
      <rPr>
        <sz val="9"/>
        <color rgb="FF000000"/>
        <rFont val="Arial"/>
        <charset val="134"/>
      </rPr>
      <t>515</t>
    </r>
    <r>
      <rPr>
        <sz val="9"/>
        <color rgb="FF000000"/>
        <rFont val="楷体"/>
        <charset val="134"/>
      </rPr>
      <t>室</t>
    </r>
  </si>
  <si>
    <t>010-8646-8427</t>
  </si>
  <si>
    <t xml:space="preserve">contact@esandinfo.com </t>
  </si>
  <si>
    <t>2018-01-12</t>
  </si>
  <si>
    <t>PACS+</t>
  </si>
  <si>
    <r>
      <rPr>
        <sz val="9"/>
        <color rgb="FF000000"/>
        <rFont val="Arial"/>
        <charset val="134"/>
      </rPr>
      <t>PACS+</t>
    </r>
    <r>
      <rPr>
        <sz val="9"/>
        <color rgb="FF000000"/>
        <rFont val="楷体"/>
        <charset val="134"/>
      </rPr>
      <t>是卫宁互联网科技有限有限公司旗下的一款关于医学影像互联网环境下的应用服务型产品。卫宁互联网科技有限公司是卫宁健康科技集团的全资控股子公司。公司致力于贯彻集团公司</t>
    </r>
    <r>
      <rPr>
        <sz val="9"/>
        <color rgb="FF000000"/>
        <rFont val="Arial"/>
        <charset val="134"/>
      </rPr>
      <t>"4+1"</t>
    </r>
    <r>
      <rPr>
        <sz val="9"/>
        <color rgb="FF000000"/>
        <rFont val="楷体"/>
        <charset val="134"/>
      </rPr>
      <t>的发展战略，推动公司互联网</t>
    </r>
    <r>
      <rPr>
        <sz val="9"/>
        <color rgb="FF000000"/>
        <rFont val="Arial"/>
        <charset val="134"/>
      </rPr>
      <t>+</t>
    </r>
    <r>
      <rPr>
        <sz val="9"/>
        <color rgb="FF000000"/>
        <rFont val="楷体"/>
        <charset val="134"/>
      </rPr>
      <t>模式下的医疗健康云服务等创新业务的发展，将形成区域为重点，整合为依托，线上线下一体化为标志，集互联网</t>
    </r>
    <r>
      <rPr>
        <sz val="9"/>
        <color rgb="FF000000"/>
        <rFont val="Arial"/>
        <charset val="134"/>
      </rPr>
      <t>+</t>
    </r>
    <r>
      <rPr>
        <sz val="9"/>
        <color rgb="FF000000"/>
        <rFont val="楷体"/>
        <charset val="134"/>
      </rPr>
      <t>医疗、药品、保险为特征的健康服务新模式，实现卫宁由软件服务向健康服务的发展转变。</t>
    </r>
  </si>
  <si>
    <t>卫宁互联网科技有限公司</t>
  </si>
  <si>
    <t>http://www.pacs-plus.com/#/?_k=tfiwda</t>
  </si>
  <si>
    <r>
      <rPr>
        <sz val="9"/>
        <color rgb="FF000000"/>
        <rFont val="Arial"/>
        <charset val="134"/>
      </rPr>
      <t>1.93</t>
    </r>
    <r>
      <rPr>
        <sz val="9"/>
        <color rgb="FF000000"/>
        <rFont val="楷体"/>
        <charset val="134"/>
      </rPr>
      <t>亿人民币</t>
    </r>
  </si>
  <si>
    <r>
      <rPr>
        <sz val="9"/>
        <color rgb="FF000000"/>
        <rFont val="楷体"/>
        <charset val="134"/>
      </rPr>
      <t>卫宁软件</t>
    </r>
    <r>
      <rPr>
        <sz val="9"/>
        <color rgb="FF000000"/>
        <rFont val="Arial"/>
        <charset val="134"/>
      </rPr>
      <t>(</t>
    </r>
    <r>
      <rPr>
        <sz val="9"/>
        <color rgb="FF000000"/>
        <rFont val="楷体"/>
        <charset val="134"/>
      </rPr>
      <t>卫宁健康</t>
    </r>
    <r>
      <rPr>
        <sz val="9"/>
        <color rgb="FF000000"/>
        <rFont val="Arial"/>
        <charset val="134"/>
      </rPr>
      <t>)</t>
    </r>
  </si>
  <si>
    <r>
      <rPr>
        <sz val="9"/>
        <color rgb="FF000000"/>
        <rFont val="Arial"/>
        <charset val="134"/>
      </rPr>
      <t>2.13</t>
    </r>
    <r>
      <rPr>
        <sz val="9"/>
        <color rgb="FF000000"/>
        <rFont val="楷体"/>
        <charset val="134"/>
      </rPr>
      <t>亿</t>
    </r>
  </si>
  <si>
    <r>
      <rPr>
        <sz val="9"/>
        <color rgb="FF000000"/>
        <rFont val="Arial"/>
        <charset val="134"/>
      </rPr>
      <t>9.65</t>
    </r>
    <r>
      <rPr>
        <sz val="9"/>
        <color rgb="FF000000"/>
        <rFont val="楷体"/>
        <charset val="134"/>
      </rPr>
      <t>亿元</t>
    </r>
  </si>
  <si>
    <r>
      <rPr>
        <sz val="9"/>
        <color rgb="FF000000"/>
        <rFont val="楷体"/>
        <charset val="134"/>
      </rPr>
      <t>上海市静安区寿阳路</t>
    </r>
    <r>
      <rPr>
        <sz val="9"/>
        <color rgb="FF000000"/>
        <rFont val="Arial"/>
        <charset val="134"/>
      </rPr>
      <t>99</t>
    </r>
    <r>
      <rPr>
        <sz val="9"/>
        <color rgb="FF000000"/>
        <rFont val="楷体"/>
        <charset val="134"/>
      </rPr>
      <t>弄</t>
    </r>
    <r>
      <rPr>
        <sz val="9"/>
        <color rgb="FF000000"/>
        <rFont val="Arial"/>
        <charset val="134"/>
      </rPr>
      <t>9</t>
    </r>
    <r>
      <rPr>
        <sz val="9"/>
        <color rgb="FF000000"/>
        <rFont val="楷体"/>
        <charset val="134"/>
      </rPr>
      <t>号卫宁健康大厦</t>
    </r>
  </si>
  <si>
    <t>021-8033-1000</t>
  </si>
  <si>
    <t>pacs-plus@winning.com.cn</t>
  </si>
  <si>
    <t>2018-03-07</t>
  </si>
  <si>
    <t>锦行科技</t>
  </si>
  <si>
    <r>
      <rPr>
        <sz val="9"/>
        <color rgb="FF000000"/>
        <rFont val="楷体"/>
        <charset val="134"/>
      </rPr>
      <t>广州锦行网络科技有限公司（简称</t>
    </r>
    <r>
      <rPr>
        <sz val="9"/>
        <color rgb="FF000000"/>
        <rFont val="Arial"/>
        <charset val="134"/>
      </rPr>
      <t>“</t>
    </r>
    <r>
      <rPr>
        <sz val="9"/>
        <color rgb="FF000000"/>
        <rFont val="楷体"/>
        <charset val="134"/>
      </rPr>
      <t>锦行科技</t>
    </r>
    <r>
      <rPr>
        <sz val="9"/>
        <color rgb="FF000000"/>
        <rFont val="Arial"/>
        <charset val="134"/>
      </rPr>
      <t>”</t>
    </r>
    <r>
      <rPr>
        <sz val="9"/>
        <color rgb="FF000000"/>
        <rFont val="楷体"/>
        <charset val="134"/>
      </rPr>
      <t>）成立于</t>
    </r>
    <r>
      <rPr>
        <sz val="9"/>
        <color rgb="FF000000"/>
        <rFont val="Arial"/>
        <charset val="134"/>
      </rPr>
      <t>2014</t>
    </r>
    <r>
      <rPr>
        <sz val="9"/>
        <color rgb="FF000000"/>
        <rFont val="楷体"/>
        <charset val="134"/>
      </rPr>
      <t>年</t>
    </r>
    <r>
      <rPr>
        <sz val="9"/>
        <color rgb="FF000000"/>
        <rFont val="Arial"/>
        <charset val="134"/>
      </rPr>
      <t>3</t>
    </r>
    <r>
      <rPr>
        <sz val="9"/>
        <color rgb="FF000000"/>
        <rFont val="楷体"/>
        <charset val="134"/>
      </rPr>
      <t>月，由前乌云漏洞平台核心白帽及专家组成员吴建亮（</t>
    </r>
    <r>
      <rPr>
        <sz val="9"/>
        <color rgb="FF000000"/>
        <rFont val="Arial"/>
        <charset val="134"/>
      </rPr>
      <t>Jannock</t>
    </r>
    <r>
      <rPr>
        <sz val="9"/>
        <color rgb="FF000000"/>
        <rFont val="楷体"/>
        <charset val="134"/>
      </rPr>
      <t>）和国内知名安全团体</t>
    </r>
    <r>
      <rPr>
        <sz val="9"/>
        <color rgb="FF000000"/>
        <rFont val="Arial"/>
        <charset val="134"/>
      </rPr>
      <t>0x557</t>
    </r>
    <r>
      <rPr>
        <sz val="9"/>
        <color rgb="FF000000"/>
        <rFont val="楷体"/>
        <charset val="134"/>
      </rPr>
      <t>创始人王俊卿（</t>
    </r>
    <r>
      <rPr>
        <sz val="9"/>
        <color rgb="FF000000"/>
        <rFont val="Arial"/>
        <charset val="134"/>
      </rPr>
      <t>la0wang</t>
    </r>
    <r>
      <rPr>
        <sz val="9"/>
        <color rgb="FF000000"/>
        <rFont val="楷体"/>
        <charset val="134"/>
      </rPr>
      <t>）等多名国内顶尖信息安全专家联合创办，核心技术团队拥有十余年国内外攻防渗透研究及实战经验，在</t>
    </r>
    <r>
      <rPr>
        <sz val="9"/>
        <color rgb="FF000000"/>
        <rFont val="Arial"/>
        <charset val="134"/>
      </rPr>
      <t>Web</t>
    </r>
    <r>
      <rPr>
        <sz val="9"/>
        <color rgb="FF000000"/>
        <rFont val="楷体"/>
        <charset val="134"/>
      </rPr>
      <t>安全、渗透测试和</t>
    </r>
    <r>
      <rPr>
        <sz val="9"/>
        <color rgb="FF000000"/>
        <rFont val="Arial"/>
        <charset val="134"/>
      </rPr>
      <t>APT</t>
    </r>
    <r>
      <rPr>
        <sz val="9"/>
        <color rgb="FF000000"/>
        <rFont val="楷体"/>
        <charset val="134"/>
      </rPr>
      <t>防御等多个领域具备国际顶尖的技术水平，专注为政企客户提供在内网安全、攻防实训预演及高级渗透测试等领域的完整解决方案。</t>
    </r>
  </si>
  <si>
    <t>广州锦行网络科技有限公司</t>
  </si>
  <si>
    <t>https://www.jeeseen.com/</t>
  </si>
  <si>
    <r>
      <rPr>
        <sz val="9"/>
        <color rgb="FF000000"/>
        <rFont val="楷体"/>
        <charset val="134"/>
      </rPr>
      <t>广州市越秀区先烈中路</t>
    </r>
    <r>
      <rPr>
        <sz val="9"/>
        <color rgb="FF000000"/>
        <rFont val="Arial"/>
        <charset val="134"/>
      </rPr>
      <t>75</t>
    </r>
    <r>
      <rPr>
        <sz val="9"/>
        <color rgb="FF000000"/>
        <rFont val="楷体"/>
        <charset val="134"/>
      </rPr>
      <t>号穗丰大厦</t>
    </r>
    <r>
      <rPr>
        <sz val="9"/>
        <color rgb="FF000000"/>
        <rFont val="Arial"/>
        <charset val="134"/>
      </rPr>
      <t>A</t>
    </r>
    <r>
      <rPr>
        <sz val="9"/>
        <color rgb="FF000000"/>
        <rFont val="楷体"/>
        <charset val="134"/>
      </rPr>
      <t>座</t>
    </r>
    <r>
      <rPr>
        <sz val="9"/>
        <color rgb="FF000000"/>
        <rFont val="Arial"/>
        <charset val="134"/>
      </rPr>
      <t>203</t>
    </r>
  </si>
  <si>
    <t>020-3763-9787</t>
  </si>
  <si>
    <t>market@jeeseen.com</t>
  </si>
  <si>
    <t>2018-08-10</t>
  </si>
  <si>
    <t>云柱科技</t>
  </si>
  <si>
    <t>云柱科技是一家自动售货机技术开发商，隶属于杭州云柱科技有限公司。</t>
  </si>
  <si>
    <t>杭州云柱科技有限公司</t>
  </si>
  <si>
    <r>
      <rPr>
        <sz val="9"/>
        <color rgb="FF000000"/>
        <rFont val="Arial"/>
        <charset val="134"/>
      </rPr>
      <t>3000</t>
    </r>
    <r>
      <rPr>
        <sz val="9"/>
        <color rgb="FF000000"/>
        <rFont val="楷体"/>
        <charset val="134"/>
      </rPr>
      <t>万元</t>
    </r>
  </si>
  <si>
    <r>
      <rPr>
        <sz val="9"/>
        <color rgb="FF000000"/>
        <rFont val="楷体"/>
        <charset val="134"/>
      </rPr>
      <t>浙江省杭州市余杭区东湖街道泰极路</t>
    </r>
    <r>
      <rPr>
        <sz val="9"/>
        <color rgb="FF000000"/>
        <rFont val="Arial"/>
        <charset val="134"/>
      </rPr>
      <t>3</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502C-161</t>
    </r>
  </si>
  <si>
    <t>2018-09-21</t>
  </si>
  <si>
    <t>猛犸充电</t>
  </si>
  <si>
    <r>
      <rPr>
        <sz val="9"/>
        <color rgb="FF000000"/>
        <rFont val="楷体"/>
        <charset val="134"/>
      </rPr>
      <t>猛犸充电是电动车产业综合服务提供商，基于</t>
    </r>
    <r>
      <rPr>
        <sz val="9"/>
        <color rgb="FF000000"/>
        <rFont val="Arial"/>
        <charset val="134"/>
      </rPr>
      <t>S2B2C</t>
    </r>
    <r>
      <rPr>
        <sz val="9"/>
        <color rgb="FF000000"/>
        <rFont val="楷体"/>
        <charset val="134"/>
      </rPr>
      <t>模式的充电业务为切入点，通过自主研发的物联网云服务</t>
    </r>
    <r>
      <rPr>
        <sz val="9"/>
        <color rgb="FF000000"/>
        <rFont val="Arial"/>
        <charset val="134"/>
      </rPr>
      <t>+</t>
    </r>
    <r>
      <rPr>
        <sz val="9"/>
        <color rgb="FF000000"/>
        <rFont val="楷体"/>
        <charset val="134"/>
      </rPr>
      <t>人工智能</t>
    </r>
    <r>
      <rPr>
        <sz val="9"/>
        <color rgb="FF000000"/>
        <rFont val="Arial"/>
        <charset val="134"/>
      </rPr>
      <t>+</t>
    </r>
    <r>
      <rPr>
        <sz val="9"/>
        <color rgb="FF000000"/>
        <rFont val="楷体"/>
        <charset val="134"/>
      </rPr>
      <t>大数据等核心技术为物业公司</t>
    </r>
    <r>
      <rPr>
        <sz val="9"/>
        <color rgb="FF000000"/>
        <rFont val="Arial"/>
        <charset val="134"/>
      </rPr>
      <t>(</t>
    </r>
    <r>
      <rPr>
        <sz val="9"/>
        <color rgb="FF000000"/>
        <rFont val="楷体"/>
        <charset val="134"/>
      </rPr>
      <t>场地方</t>
    </r>
    <r>
      <rPr>
        <sz val="9"/>
        <color rgb="FF000000"/>
        <rFont val="Arial"/>
        <charset val="134"/>
      </rPr>
      <t>)</t>
    </r>
    <r>
      <rPr>
        <sz val="9"/>
        <color rgb="FF000000"/>
        <rFont val="楷体"/>
        <charset val="134"/>
      </rPr>
      <t>、充电运营服务商、车辆厂商和电池厂商等，提供全面的安全智能出行解决方案。</t>
    </r>
  </si>
  <si>
    <t>深圳智链物联科技有限公司</t>
  </si>
  <si>
    <t>http://www.mamcharge.com/</t>
  </si>
  <si>
    <r>
      <rPr>
        <sz val="9"/>
        <color rgb="FF000000"/>
        <rFont val="楷体"/>
        <charset val="134"/>
      </rPr>
      <t>王振飞</t>
    </r>
    <r>
      <rPr>
        <sz val="9"/>
        <color rgb="FF000000"/>
        <rFont val="Arial"/>
        <charset val="134"/>
      </rPr>
      <t>:</t>
    </r>
    <r>
      <rPr>
        <sz val="9"/>
        <color rgb="FF000000"/>
        <rFont val="楷体"/>
        <charset val="134"/>
      </rPr>
      <t>董事长兼</t>
    </r>
    <r>
      <rPr>
        <sz val="9"/>
        <color rgb="FF000000"/>
        <rFont val="Arial"/>
        <charset val="134"/>
      </rPr>
      <t>CEO</t>
    </r>
  </si>
  <si>
    <r>
      <rPr>
        <sz val="9"/>
        <color rgb="FF000000"/>
        <rFont val="楷体"/>
        <charset val="134"/>
      </rPr>
      <t>深圳市宝安区新安街道兴东社区</t>
    </r>
    <r>
      <rPr>
        <sz val="9"/>
        <color rgb="FF000000"/>
        <rFont val="Arial"/>
        <charset val="134"/>
      </rPr>
      <t>67</t>
    </r>
    <r>
      <rPr>
        <sz val="9"/>
        <color rgb="FF000000"/>
        <rFont val="楷体"/>
        <charset val="134"/>
      </rPr>
      <t>区中粮商务公园</t>
    </r>
    <r>
      <rPr>
        <sz val="9"/>
        <color rgb="FF000000"/>
        <rFont val="Arial"/>
        <charset val="134"/>
      </rPr>
      <t>1</t>
    </r>
    <r>
      <rPr>
        <sz val="9"/>
        <color rgb="FF000000"/>
        <rFont val="楷体"/>
        <charset val="134"/>
      </rPr>
      <t>栋</t>
    </r>
    <r>
      <rPr>
        <sz val="9"/>
        <color rgb="FF000000"/>
        <rFont val="Arial"/>
        <charset val="134"/>
      </rPr>
      <t>203A</t>
    </r>
  </si>
  <si>
    <t>0755-8654-3561</t>
  </si>
  <si>
    <t>chenjunting@mamcharge.com</t>
  </si>
  <si>
    <t>2018-05-09</t>
  </si>
  <si>
    <r>
      <rPr>
        <sz val="9"/>
        <color rgb="FF000000"/>
        <rFont val="楷体"/>
        <charset val="134"/>
      </rPr>
      <t>鼎晖投资</t>
    </r>
    <r>
      <rPr>
        <sz val="9"/>
        <color rgb="FF000000"/>
        <rFont val="Arial"/>
        <charset val="134"/>
      </rPr>
      <t>,</t>
    </r>
    <r>
      <rPr>
        <sz val="9"/>
        <color rgb="FF000000"/>
        <rFont val="楷体"/>
        <charset val="134"/>
      </rPr>
      <t>尚势资本</t>
    </r>
    <r>
      <rPr>
        <sz val="9"/>
        <color rgb="FF000000"/>
        <rFont val="Arial"/>
        <charset val="134"/>
      </rPr>
      <t>,</t>
    </r>
    <r>
      <rPr>
        <sz val="9"/>
        <color rgb="FF000000"/>
        <rFont val="楷体"/>
        <charset val="134"/>
      </rPr>
      <t>鹏德创投</t>
    </r>
    <r>
      <rPr>
        <sz val="9"/>
        <color rgb="FF000000"/>
        <rFont val="Arial"/>
        <charset val="134"/>
      </rPr>
      <t>,</t>
    </r>
    <r>
      <rPr>
        <sz val="9"/>
        <color rgb="FF000000"/>
        <rFont val="楷体"/>
        <charset val="134"/>
      </rPr>
      <t>凯睿超投资</t>
    </r>
  </si>
  <si>
    <t>蚂里奥</t>
  </si>
  <si>
    <t>蚂里奥是一家立体照相机及多项光学测量产品开发商，隶属于深圳蚂里奥技术有限公司旗下。</t>
  </si>
  <si>
    <t>深圳蚂里奥技术有限公司</t>
  </si>
  <si>
    <r>
      <rPr>
        <sz val="9"/>
        <color rgb="FF000000"/>
        <rFont val="楷体"/>
        <charset val="134"/>
      </rPr>
      <t>深圳市南山区粤海街道学府路</t>
    </r>
    <r>
      <rPr>
        <sz val="9"/>
        <color rgb="FF000000"/>
        <rFont val="Arial"/>
        <charset val="134"/>
      </rPr>
      <t>63</t>
    </r>
    <r>
      <rPr>
        <sz val="9"/>
        <color rgb="FF000000"/>
        <rFont val="楷体"/>
        <charset val="134"/>
      </rPr>
      <t>号高新区联合总部大厦</t>
    </r>
    <r>
      <rPr>
        <sz val="9"/>
        <color rgb="FF000000"/>
        <rFont val="Arial"/>
        <charset val="134"/>
      </rPr>
      <t>13</t>
    </r>
    <r>
      <rPr>
        <sz val="9"/>
        <color rgb="FF000000"/>
        <rFont val="楷体"/>
        <charset val="134"/>
      </rPr>
      <t>楼</t>
    </r>
  </si>
  <si>
    <t>2021-10-28</t>
  </si>
  <si>
    <t>瑞莱智慧</t>
  </si>
  <si>
    <r>
      <rPr>
        <sz val="9"/>
        <color rgb="FF000000"/>
        <rFont val="楷体"/>
        <charset val="134"/>
      </rPr>
      <t>瑞莱智慧</t>
    </r>
    <r>
      <rPr>
        <sz val="9"/>
        <color rgb="FF000000"/>
        <rFont val="Arial"/>
        <charset val="134"/>
      </rPr>
      <t>RealAI</t>
    </r>
    <r>
      <rPr>
        <sz val="9"/>
        <color rgb="FF000000"/>
        <rFont val="楷体"/>
        <charset val="134"/>
      </rPr>
      <t>是依托清华大学人工智能研究院设立的人工智能企业，致力于提供基于第三代人工智能技术的</t>
    </r>
    <r>
      <rPr>
        <sz val="9"/>
        <color rgb="FF000000"/>
        <rFont val="Arial"/>
        <charset val="134"/>
      </rPr>
      <t xml:space="preserve"> AI </t>
    </r>
    <r>
      <rPr>
        <sz val="9"/>
        <color rgb="FF000000"/>
        <rFont val="楷体"/>
        <charset val="134"/>
      </rPr>
      <t>基础设施，加速安全、可靠、可信的产业智能化升级。基于第三代人工智能技术，从根本上增强人工智能的安全性、可靠性、及可信性。基于自主可控底层框架，提供一系列</t>
    </r>
    <r>
      <rPr>
        <sz val="9"/>
        <color rgb="FF000000"/>
        <rFont val="Arial"/>
        <charset val="134"/>
      </rPr>
      <t xml:space="preserve"> AI </t>
    </r>
    <r>
      <rPr>
        <sz val="9"/>
        <color rgb="FF000000"/>
        <rFont val="楷体"/>
        <charset val="134"/>
      </rPr>
      <t>基础设施平台，为高价值场景智能化升级提供可靠的一站式基础保障。致力于建设安全可控人工智能应用生态，推动人工智能落地全新的关键应用场景。目前</t>
    </r>
    <r>
      <rPr>
        <sz val="9"/>
        <color rgb="FF000000"/>
        <rFont val="Arial"/>
        <charset val="134"/>
      </rPr>
      <t xml:space="preserve"> RealAI </t>
    </r>
    <r>
      <rPr>
        <sz val="9"/>
        <color rgb="FF000000"/>
        <rFont val="楷体"/>
        <charset val="134"/>
      </rPr>
      <t>已经落地于金融、能源、制造、互联网等领域，提供金融智慧风控、智慧理财、工业设备预测性维护、人脸识别系统安全检测与增强等产品和解决方案。</t>
    </r>
  </si>
  <si>
    <t>北京瑞莱智慧科技有限公司</t>
  </si>
  <si>
    <t>https://realai.ai/</t>
  </si>
  <si>
    <r>
      <rPr>
        <sz val="9"/>
        <color rgb="FF000000"/>
        <rFont val="楷体"/>
        <charset val="134"/>
      </rPr>
      <t>达泰资本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考拉基金</t>
    </r>
  </si>
  <si>
    <r>
      <rPr>
        <sz val="9"/>
        <color rgb="FF000000"/>
        <rFont val="Arial"/>
        <charset val="134"/>
      </rPr>
      <t>6.25</t>
    </r>
    <r>
      <rPr>
        <sz val="9"/>
        <color rgb="FF000000"/>
        <rFont val="楷体"/>
        <charset val="134"/>
      </rPr>
      <t>亿</t>
    </r>
  </si>
  <si>
    <r>
      <rPr>
        <sz val="9"/>
        <color rgb="FF000000"/>
        <rFont val="楷体"/>
        <charset val="134"/>
      </rPr>
      <t>田天</t>
    </r>
    <r>
      <rPr>
        <sz val="9"/>
        <color rgb="FF000000"/>
        <rFont val="Arial"/>
        <charset val="134"/>
      </rPr>
      <t>:CEO</t>
    </r>
  </si>
  <si>
    <r>
      <rPr>
        <sz val="9"/>
        <color rgb="FF000000"/>
        <rFont val="楷体"/>
        <charset val="134"/>
      </rPr>
      <t>北京市海淀区清华科技园科技大厦</t>
    </r>
    <r>
      <rPr>
        <sz val="9"/>
        <color rgb="FF000000"/>
        <rFont val="Arial"/>
        <charset val="134"/>
      </rPr>
      <t>A</t>
    </r>
    <r>
      <rPr>
        <sz val="9"/>
        <color rgb="FF000000"/>
        <rFont val="楷体"/>
        <charset val="134"/>
      </rPr>
      <t>座</t>
    </r>
    <r>
      <rPr>
        <sz val="9"/>
        <color rgb="FF000000"/>
        <rFont val="Arial"/>
        <charset val="134"/>
      </rPr>
      <t>19</t>
    </r>
    <r>
      <rPr>
        <sz val="9"/>
        <color rgb="FF000000"/>
        <rFont val="楷体"/>
        <charset val="134"/>
      </rPr>
      <t>层</t>
    </r>
  </si>
  <si>
    <t>010-6060-8036</t>
  </si>
  <si>
    <t>contact@realai.ai</t>
  </si>
  <si>
    <r>
      <rPr>
        <sz val="9"/>
        <color rgb="FF000000"/>
        <rFont val="楷体"/>
        <charset val="134"/>
      </rPr>
      <t>松禾资本</t>
    </r>
    <r>
      <rPr>
        <sz val="9"/>
        <color rgb="FF000000"/>
        <rFont val="Arial"/>
        <charset val="134"/>
      </rPr>
      <t>,</t>
    </r>
    <r>
      <rPr>
        <sz val="9"/>
        <color rgb="FF000000"/>
        <rFont val="楷体"/>
        <charset val="134"/>
      </rPr>
      <t>达泰资本</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卓源资本</t>
    </r>
  </si>
  <si>
    <r>
      <rPr>
        <sz val="9"/>
        <color rgb="FF000000"/>
        <rFont val="楷体"/>
        <charset val="134"/>
      </rPr>
      <t>松禾资本</t>
    </r>
    <r>
      <rPr>
        <sz val="9"/>
        <color rgb="FF000000"/>
        <rFont val="Arial"/>
        <charset val="134"/>
      </rPr>
      <t>,</t>
    </r>
    <r>
      <rPr>
        <sz val="9"/>
        <color rgb="FF000000"/>
        <rFont val="楷体"/>
        <charset val="134"/>
      </rPr>
      <t>同渡资本</t>
    </r>
  </si>
  <si>
    <t>2019-01-04</t>
  </si>
  <si>
    <r>
      <rPr>
        <sz val="9"/>
        <color rgb="FF000000"/>
        <rFont val="楷体"/>
        <charset val="134"/>
      </rPr>
      <t>中科创星</t>
    </r>
    <r>
      <rPr>
        <sz val="9"/>
        <color rgb="FF000000"/>
        <rFont val="Arial"/>
        <charset val="134"/>
      </rPr>
      <t>,</t>
    </r>
    <r>
      <rPr>
        <sz val="9"/>
        <color rgb="FF000000"/>
        <rFont val="楷体"/>
        <charset val="134"/>
      </rPr>
      <t>水木清华校友种子基金</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卓源资本</t>
    </r>
  </si>
  <si>
    <t>完美数联</t>
  </si>
  <si>
    <r>
      <rPr>
        <sz val="9"/>
        <color rgb="FF000000"/>
        <rFont val="楷体"/>
        <charset val="134"/>
      </rPr>
      <t>完美数联是一家智慧校园服务平台，主要从事通过实名账户体系及物联网技术，作为</t>
    </r>
    <r>
      <rPr>
        <sz val="9"/>
        <color rgb="FF000000"/>
        <rFont val="Arial"/>
        <charset val="134"/>
      </rPr>
      <t>“</t>
    </r>
    <r>
      <rPr>
        <sz val="9"/>
        <color rgb="FF000000"/>
        <rFont val="楷体"/>
        <charset val="134"/>
      </rPr>
      <t>完美校园</t>
    </r>
    <r>
      <rPr>
        <sz val="9"/>
        <color rgb="FF000000"/>
        <rFont val="Arial"/>
        <charset val="134"/>
      </rPr>
      <t>”</t>
    </r>
    <r>
      <rPr>
        <sz val="9"/>
        <color rgb="FF000000"/>
        <rFont val="楷体"/>
        <charset val="134"/>
      </rPr>
      <t>互联网平台，切入学校各个垂直场景。包括服务学生的学习生活、校园生活、教育培训、实习就业、社区服务等方面，进行生活管理、教学管理、人才成长管理服务，为高校、企业与社会提供信息化生态连接平台。</t>
    </r>
  </si>
  <si>
    <t>完美数联（杭州）科技有限公司</t>
  </si>
  <si>
    <t>http://www.digconn.com/</t>
  </si>
  <si>
    <t>2018-09</t>
  </si>
  <si>
    <r>
      <rPr>
        <sz val="9"/>
        <color rgb="FF000000"/>
        <rFont val="楷体"/>
        <charset val="134"/>
      </rPr>
      <t>华梦阳</t>
    </r>
    <r>
      <rPr>
        <sz val="9"/>
        <color rgb="FF000000"/>
        <rFont val="Arial"/>
        <charset val="134"/>
      </rPr>
      <t>:CEO</t>
    </r>
  </si>
  <si>
    <r>
      <rPr>
        <sz val="9"/>
        <color rgb="FF000000"/>
        <rFont val="楷体"/>
        <charset val="134"/>
      </rPr>
      <t>浙江省杭州市西湖区西溪路</t>
    </r>
    <r>
      <rPr>
        <sz val="9"/>
        <color rgb="FF000000"/>
        <rFont val="Arial"/>
        <charset val="134"/>
      </rPr>
      <t>525</t>
    </r>
    <r>
      <rPr>
        <sz val="9"/>
        <color rgb="FF000000"/>
        <rFont val="楷体"/>
        <charset val="134"/>
      </rPr>
      <t>号浙大科技园</t>
    </r>
  </si>
  <si>
    <t>2020-11-04</t>
  </si>
  <si>
    <t>2019-01-17</t>
  </si>
  <si>
    <t>2015-02-04</t>
  </si>
  <si>
    <t>2014-02-13</t>
  </si>
  <si>
    <t>企鹅科技</t>
  </si>
  <si>
    <r>
      <rPr>
        <sz val="9"/>
        <color rgb="FF000000"/>
        <rFont val="楷体"/>
        <charset val="134"/>
      </rPr>
      <t>企鹅科技是一家集自主研发、商业运营、合作推广为一体的智慧物联平台服务商。企鹅科技利用智慧物联技术平台，赋能自助商用设备为运营商提供一体化物联网改造方案和</t>
    </r>
    <r>
      <rPr>
        <sz val="9"/>
        <color rgb="FF000000"/>
        <rFont val="Arial"/>
        <charset val="134"/>
      </rPr>
      <t>SaaS</t>
    </r>
    <r>
      <rPr>
        <sz val="9"/>
        <color rgb="FF000000"/>
        <rFont val="楷体"/>
        <charset val="134"/>
      </rPr>
      <t>移动支付解决方案。公司依托领先的物联网技术，瞄准线下消费升级和差异化趋势，利用智慧物联技术连接并赋能线下商用设备实现商户的智能化管理，降低运维成本、提高收益；同时，为用户提供基于</t>
    </r>
    <r>
      <rPr>
        <sz val="9"/>
        <color rgb="FF000000"/>
        <rFont val="Arial"/>
        <charset val="134"/>
      </rPr>
      <t>LBS</t>
    </r>
    <r>
      <rPr>
        <sz val="9"/>
        <color rgb="FF000000"/>
        <rFont val="楷体"/>
        <charset val="134"/>
      </rPr>
      <t>定位的物联自助智能体验服务，满足用户体验的智能化，个性化需求。</t>
    </r>
  </si>
  <si>
    <t>杭州企鹅科技有限公司</t>
  </si>
  <si>
    <t>http://www.qiekj.com/</t>
  </si>
  <si>
    <t>家政服务</t>
  </si>
  <si>
    <r>
      <rPr>
        <sz val="9"/>
        <color rgb="FF000000"/>
        <rFont val="Arial"/>
        <charset val="134"/>
      </rPr>
      <t>4.1</t>
    </r>
    <r>
      <rPr>
        <sz val="9"/>
        <color rgb="FF000000"/>
        <rFont val="楷体"/>
        <charset val="134"/>
      </rPr>
      <t>亿</t>
    </r>
  </si>
  <si>
    <r>
      <rPr>
        <sz val="9"/>
        <color rgb="FF000000"/>
        <rFont val="楷体"/>
        <charset val="134"/>
      </rPr>
      <t>许光磊</t>
    </r>
    <r>
      <rPr>
        <sz val="9"/>
        <color rgb="FF000000"/>
        <rFont val="Arial"/>
        <charset val="134"/>
      </rPr>
      <t>:CEO</t>
    </r>
  </si>
  <si>
    <r>
      <rPr>
        <sz val="9"/>
        <color rgb="FF000000"/>
        <rFont val="楷体"/>
        <charset val="134"/>
      </rPr>
      <t>杭州市西湖区紫荆花路</t>
    </r>
    <r>
      <rPr>
        <sz val="9"/>
        <color rgb="FF000000"/>
        <rFont val="Arial"/>
        <charset val="134"/>
      </rPr>
      <t>2</t>
    </r>
    <r>
      <rPr>
        <sz val="9"/>
        <color rgb="FF000000"/>
        <rFont val="楷体"/>
        <charset val="134"/>
      </rPr>
      <t>号</t>
    </r>
    <r>
      <rPr>
        <sz val="9"/>
        <color rgb="FF000000"/>
        <rFont val="Arial"/>
        <charset val="134"/>
      </rPr>
      <t xml:space="preserve"> </t>
    </r>
    <r>
      <rPr>
        <sz val="9"/>
        <color rgb="FF000000"/>
        <rFont val="楷体"/>
        <charset val="134"/>
      </rPr>
      <t>联合大厦</t>
    </r>
    <r>
      <rPr>
        <sz val="9"/>
        <color rgb="FF000000"/>
        <rFont val="Arial"/>
        <charset val="134"/>
      </rPr>
      <t>A</t>
    </r>
    <r>
      <rPr>
        <sz val="9"/>
        <color rgb="FF000000"/>
        <rFont val="楷体"/>
        <charset val="134"/>
      </rPr>
      <t>座三单元</t>
    </r>
    <r>
      <rPr>
        <sz val="9"/>
        <color rgb="FF000000"/>
        <rFont val="Arial"/>
        <charset val="134"/>
      </rPr>
      <t>1005</t>
    </r>
    <r>
      <rPr>
        <sz val="9"/>
        <color rgb="FF000000"/>
        <rFont val="楷体"/>
        <charset val="134"/>
      </rPr>
      <t>室</t>
    </r>
  </si>
  <si>
    <t>400-668-9966</t>
  </si>
  <si>
    <t>2018-11-03</t>
  </si>
  <si>
    <r>
      <rPr>
        <sz val="9"/>
        <color rgb="FF000000"/>
        <rFont val="楷体"/>
        <charset val="134"/>
      </rPr>
      <t>热店场投资</t>
    </r>
    <r>
      <rPr>
        <sz val="9"/>
        <color rgb="FF000000"/>
        <rFont val="Arial"/>
        <charset val="134"/>
      </rPr>
      <t>,</t>
    </r>
    <r>
      <rPr>
        <sz val="9"/>
        <color rgb="FF000000"/>
        <rFont val="楷体"/>
        <charset val="134"/>
      </rPr>
      <t>上海小吉科技</t>
    </r>
  </si>
  <si>
    <t>亿企代账</t>
  </si>
  <si>
    <r>
      <rPr>
        <sz val="9"/>
        <color rgb="FF000000"/>
        <rFont val="楷体"/>
        <charset val="134"/>
      </rPr>
      <t>亿企代账是一家代理记账服务商，通过互联网和大数据技术，协助税务机关提高纳税人的税法遵从度，帮助企业与财会人员降低涉税风险。</t>
    </r>
    <r>
      <rPr>
        <sz val="9"/>
        <color rgb="FF000000"/>
        <rFont val="Arial"/>
        <charset val="134"/>
      </rPr>
      <t xml:space="preserve">
</t>
    </r>
  </si>
  <si>
    <t>亿企赢网络科技有限公司</t>
  </si>
  <si>
    <t>https://www.17dz.com</t>
  </si>
  <si>
    <r>
      <rPr>
        <sz val="9"/>
        <color rgb="FF000000"/>
        <rFont val="楷体"/>
        <charset val="134"/>
      </rPr>
      <t>沈鹄</t>
    </r>
    <r>
      <rPr>
        <sz val="9"/>
        <color rgb="FF000000"/>
        <rFont val="Arial"/>
        <charset val="134"/>
      </rPr>
      <t>:</t>
    </r>
    <r>
      <rPr>
        <sz val="9"/>
        <color rgb="FF000000"/>
        <rFont val="楷体"/>
        <charset val="134"/>
      </rPr>
      <t>创始人</t>
    </r>
  </si>
  <si>
    <r>
      <rPr>
        <sz val="9"/>
        <color rgb="FF000000"/>
        <rFont val="楷体"/>
        <charset val="134"/>
      </rPr>
      <t>中国杭州滨江区南环路</t>
    </r>
    <r>
      <rPr>
        <sz val="9"/>
        <color rgb="FF000000"/>
        <rFont val="Arial"/>
        <charset val="134"/>
      </rPr>
      <t>3738</t>
    </r>
    <r>
      <rPr>
        <sz val="9"/>
        <color rgb="FF000000"/>
        <rFont val="楷体"/>
        <charset val="134"/>
      </rPr>
      <t>号税友大厦</t>
    </r>
  </si>
  <si>
    <t>0571-56688188-8070</t>
  </si>
  <si>
    <t>万达商管</t>
  </si>
  <si>
    <t>万达商管是万达集团旗下从事商业物业运营管理的唯一业务主体，拥有全球领先的线下商业运营平台。</t>
  </si>
  <si>
    <t>珠海万达商业管理集团股份有限公司</t>
  </si>
  <si>
    <t>https://www.wandacm.com/</t>
  </si>
  <si>
    <t>物业服务</t>
  </si>
  <si>
    <r>
      <rPr>
        <sz val="9"/>
        <color rgb="FF000000"/>
        <rFont val="Arial"/>
        <charset val="134"/>
      </rPr>
      <t>60</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</si>
  <si>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太盟投资集团</t>
    </r>
    <r>
      <rPr>
        <sz val="9"/>
        <color rgb="FF000000"/>
        <rFont val="Arial"/>
        <charset val="134"/>
      </rPr>
      <t>(PAG),</t>
    </r>
    <r>
      <rPr>
        <sz val="9"/>
        <color rgb="FF000000"/>
        <rFont val="楷体"/>
        <charset val="134"/>
      </rPr>
      <t>元禾厚望</t>
    </r>
    <r>
      <rPr>
        <sz val="9"/>
        <color rgb="FF000000"/>
        <rFont val="Arial"/>
        <charset val="134"/>
      </rPr>
      <t>,</t>
    </r>
    <r>
      <rPr>
        <sz val="9"/>
        <color rgb="FF000000"/>
        <rFont val="楷体"/>
        <charset val="134"/>
      </rPr>
      <t>碧桂园创投</t>
    </r>
  </si>
  <si>
    <r>
      <rPr>
        <sz val="9"/>
        <color rgb="FF000000"/>
        <rFont val="Arial"/>
        <charset val="134"/>
      </rPr>
      <t>390</t>
    </r>
    <r>
      <rPr>
        <sz val="9"/>
        <color rgb="FF000000"/>
        <rFont val="楷体"/>
        <charset val="134"/>
      </rPr>
      <t>亿</t>
    </r>
  </si>
  <si>
    <r>
      <rPr>
        <sz val="9"/>
        <color rgb="FF000000"/>
        <rFont val="楷体"/>
        <charset val="134"/>
      </rPr>
      <t>曲德君</t>
    </r>
    <r>
      <rPr>
        <sz val="9"/>
        <color rgb="FF000000"/>
        <rFont val="Arial"/>
        <charset val="134"/>
      </rPr>
      <t>:CEO,</t>
    </r>
    <r>
      <rPr>
        <sz val="9"/>
        <color rgb="FF000000"/>
        <rFont val="楷体"/>
        <charset val="134"/>
      </rPr>
      <t>齐界</t>
    </r>
    <r>
      <rPr>
        <sz val="9"/>
        <color rgb="FF000000"/>
        <rFont val="Arial"/>
        <charset val="134"/>
      </rPr>
      <t>:</t>
    </r>
    <r>
      <rPr>
        <sz val="9"/>
        <color rgb="FF000000"/>
        <rFont val="楷体"/>
        <charset val="134"/>
      </rPr>
      <t>董事长</t>
    </r>
  </si>
  <si>
    <r>
      <rPr>
        <sz val="9"/>
        <color rgb="FF000000"/>
        <rFont val="楷体"/>
        <charset val="134"/>
      </rPr>
      <t>珠海市横琴新区环岛东路</t>
    </r>
    <r>
      <rPr>
        <sz val="9"/>
        <color rgb="FF000000"/>
        <rFont val="Arial"/>
        <charset val="134"/>
      </rPr>
      <t>3000</t>
    </r>
    <r>
      <rPr>
        <sz val="9"/>
        <color rgb="FF000000"/>
        <rFont val="楷体"/>
        <charset val="134"/>
      </rPr>
      <t>号</t>
    </r>
    <r>
      <rPr>
        <sz val="9"/>
        <color rgb="FF000000"/>
        <rFont val="Arial"/>
        <charset val="134"/>
      </rPr>
      <t>1201</t>
    </r>
    <r>
      <rPr>
        <sz val="9"/>
        <color rgb="FF000000"/>
        <rFont val="楷体"/>
        <charset val="134"/>
      </rPr>
      <t>室</t>
    </r>
  </si>
  <si>
    <t>010-85853888</t>
  </si>
  <si>
    <t>info@wandacm.com</t>
  </si>
  <si>
    <t>2019-05-07</t>
  </si>
  <si>
    <t>QEDIT</t>
  </si>
  <si>
    <r>
      <rPr>
        <sz val="9"/>
        <color rgb="FF000000"/>
        <rFont val="Arial"/>
        <charset val="134"/>
      </rPr>
      <t>QEDIT</t>
    </r>
    <r>
      <rPr>
        <sz val="9"/>
        <color rgb="FF000000"/>
        <rFont val="楷体"/>
        <charset val="134"/>
      </rPr>
      <t>是一家企业区块链隐私技术开发商，目前开发了零知识证明（</t>
    </r>
    <r>
      <rPr>
        <sz val="9"/>
        <color rgb="FF000000"/>
        <rFont val="Arial"/>
        <charset val="134"/>
      </rPr>
      <t>ZKP</t>
    </r>
    <r>
      <rPr>
        <sz val="9"/>
        <color rgb="FF000000"/>
        <rFont val="楷体"/>
        <charset val="134"/>
      </rPr>
      <t>）技术。</t>
    </r>
  </si>
  <si>
    <t>https://qed-it.com/</t>
  </si>
  <si>
    <r>
      <rPr>
        <sz val="9"/>
        <color rgb="FF000000"/>
        <rFont val="楷体"/>
        <charset val="134"/>
      </rPr>
      <t>蚂蚁集团</t>
    </r>
    <r>
      <rPr>
        <sz val="9"/>
        <color rgb="FF000000"/>
        <rFont val="Arial"/>
        <charset val="134"/>
      </rPr>
      <t>,RGAx,MizMaa Ventures,Collider Ventures,Meron Capital</t>
    </r>
  </si>
  <si>
    <t>Aviv Zohar:Chief Scientist and Co-Founder,Jonathan Rouach:CEO and Co-Founder,Ori Wallenstein:VP Product,Ruben Arnold:Executive Chairman of the Board and Co-Founder</t>
  </si>
  <si>
    <t>金蝶金融</t>
  </si>
  <si>
    <t>金蝶金融是一家金融科技公司。聚焦于金蝶海量的用户场景及授权大数据，发展独特的数据金融科技，为金蝶用户提供高效的金融增值服务，帮助企业建立可靠的信用数据资产，获得更高效的融资、更便捷的支付和更安全的理财方案。隶属于金蝶集团旗下。</t>
  </si>
  <si>
    <t>金蝶信用科技（深圳）有限公司</t>
  </si>
  <si>
    <r>
      <rPr>
        <sz val="9"/>
        <color rgb="FF000000"/>
        <rFont val="楷体"/>
        <charset val="134"/>
      </rPr>
      <t>林波</t>
    </r>
    <r>
      <rPr>
        <sz val="9"/>
        <color rgb="FF000000"/>
        <rFont val="Arial"/>
        <charset val="134"/>
      </rPr>
      <t>:CEO</t>
    </r>
  </si>
  <si>
    <r>
      <rPr>
        <sz val="9"/>
        <color rgb="FF000000"/>
        <rFont val="楷体"/>
        <charset val="134"/>
      </rPr>
      <t>深圳市南山区粤海街道科技园科技南十二路</t>
    </r>
    <r>
      <rPr>
        <sz val="9"/>
        <color rgb="FF000000"/>
        <rFont val="Arial"/>
        <charset val="134"/>
      </rPr>
      <t>2</t>
    </r>
    <r>
      <rPr>
        <sz val="9"/>
        <color rgb="FF000000"/>
        <rFont val="楷体"/>
        <charset val="134"/>
      </rPr>
      <t>号金蝶软件园</t>
    </r>
    <r>
      <rPr>
        <sz val="9"/>
        <color rgb="FF000000"/>
        <rFont val="Arial"/>
        <charset val="134"/>
      </rPr>
      <t>A</t>
    </r>
    <r>
      <rPr>
        <sz val="9"/>
        <color rgb="FF000000"/>
        <rFont val="楷体"/>
        <charset val="134"/>
      </rPr>
      <t>座</t>
    </r>
    <r>
      <rPr>
        <sz val="9"/>
        <color rgb="FF000000"/>
        <rFont val="Arial"/>
        <charset val="134"/>
      </rPr>
      <t>3</t>
    </r>
    <r>
      <rPr>
        <sz val="9"/>
        <color rgb="FF000000"/>
        <rFont val="楷体"/>
        <charset val="134"/>
      </rPr>
      <t>层整层</t>
    </r>
  </si>
  <si>
    <t>0755-8607-1567</t>
  </si>
  <si>
    <t xml:space="preserve">iris_peng@kingdee.com </t>
  </si>
  <si>
    <t>2019-08-15</t>
  </si>
  <si>
    <t>手机公积金</t>
  </si>
  <si>
    <r>
      <rPr>
        <sz val="9"/>
        <color rgb="FF000000"/>
        <rFont val="楷体"/>
        <charset val="134"/>
      </rPr>
      <t>手机公积金是公积金中心指定官方</t>
    </r>
    <r>
      <rPr>
        <sz val="9"/>
        <color rgb="FF000000"/>
        <rFont val="Arial"/>
        <charset val="134"/>
      </rPr>
      <t>APP</t>
    </r>
    <r>
      <rPr>
        <sz val="9"/>
        <color rgb="FF000000"/>
        <rFont val="楷体"/>
        <charset val="134"/>
      </rPr>
      <t>，线上办理公积金业务。</t>
    </r>
  </si>
  <si>
    <t>北京神玥伟奥互联网有限公司</t>
  </si>
  <si>
    <t>https://www.gjj12329.cn/</t>
  </si>
  <si>
    <r>
      <rPr>
        <sz val="9"/>
        <color rgb="FF000000"/>
        <rFont val="楷体"/>
        <charset val="134"/>
      </rPr>
      <t>郭永强</t>
    </r>
    <r>
      <rPr>
        <sz val="9"/>
        <color rgb="FF000000"/>
        <rFont val="Arial"/>
        <charset val="134"/>
      </rPr>
      <t>:CEO</t>
    </r>
  </si>
  <si>
    <r>
      <rPr>
        <sz val="9"/>
        <color rgb="FF000000"/>
        <rFont val="楷体"/>
        <charset val="134"/>
      </rPr>
      <t>北京市北京经济技术开发区西环南路</t>
    </r>
    <r>
      <rPr>
        <sz val="9"/>
        <color rgb="FF000000"/>
        <rFont val="Arial"/>
        <charset val="134"/>
      </rPr>
      <t>26</t>
    </r>
    <r>
      <rPr>
        <sz val="9"/>
        <color rgb="FF000000"/>
        <rFont val="楷体"/>
        <charset val="134"/>
      </rPr>
      <t>号院</t>
    </r>
    <r>
      <rPr>
        <sz val="9"/>
        <color rgb="FF000000"/>
        <rFont val="Arial"/>
        <charset val="134"/>
      </rPr>
      <t>25</t>
    </r>
    <r>
      <rPr>
        <sz val="9"/>
        <color rgb="FF000000"/>
        <rFont val="楷体"/>
        <charset val="134"/>
      </rPr>
      <t>号楼三层</t>
    </r>
  </si>
  <si>
    <t>1331-512-6886</t>
  </si>
  <si>
    <t>sunting@atwasoft.net</t>
  </si>
  <si>
    <t>2020-02-17</t>
  </si>
  <si>
    <t>易触科技</t>
  </si>
  <si>
    <r>
      <rPr>
        <sz val="9"/>
        <color rgb="FF000000"/>
        <rFont val="楷体"/>
        <charset val="134"/>
      </rPr>
      <t>易触科技是一家自动贩卖机运营商，为用户提供饮料机、综合机、售奶机、盒饭机等自动贩卖机产品，包括大易系列、小易</t>
    </r>
    <r>
      <rPr>
        <sz val="9"/>
        <color rgb="FF000000"/>
        <rFont val="Arial"/>
        <charset val="134"/>
      </rPr>
      <t>3</t>
    </r>
    <r>
      <rPr>
        <sz val="9"/>
        <color rgb="FF000000"/>
        <rFont val="楷体"/>
        <charset val="134"/>
      </rPr>
      <t>系列、小易</t>
    </r>
    <r>
      <rPr>
        <sz val="9"/>
        <color rgb="FF000000"/>
        <rFont val="Arial"/>
        <charset val="134"/>
      </rPr>
      <t>2</t>
    </r>
    <r>
      <rPr>
        <sz val="9"/>
        <color rgb="FF000000"/>
        <rFont val="楷体"/>
        <charset val="134"/>
      </rPr>
      <t>系列、组合机系列、微超系列等，用户还可按照产品系列、料道出货、热门关键词进行商品搜索。</t>
    </r>
  </si>
  <si>
    <t>青岛易触科技有限公司</t>
  </si>
  <si>
    <t>http://www.et-vending.com/index.htm</t>
  </si>
  <si>
    <r>
      <rPr>
        <sz val="9"/>
        <color rgb="FF000000"/>
        <rFont val="Arial"/>
        <charset val="134"/>
      </rPr>
      <t>1.21</t>
    </r>
    <r>
      <rPr>
        <sz val="9"/>
        <color rgb="FF000000"/>
        <rFont val="楷体"/>
        <charset val="134"/>
      </rPr>
      <t>亿</t>
    </r>
  </si>
  <si>
    <r>
      <rPr>
        <sz val="9"/>
        <color rgb="FF000000"/>
        <rFont val="楷体"/>
        <charset val="134"/>
      </rPr>
      <t>徐海东</t>
    </r>
    <r>
      <rPr>
        <sz val="9"/>
        <color rgb="FF000000"/>
        <rFont val="Arial"/>
        <charset val="134"/>
      </rPr>
      <t>:</t>
    </r>
    <r>
      <rPr>
        <sz val="9"/>
        <color rgb="FF000000"/>
        <rFont val="楷体"/>
        <charset val="134"/>
      </rPr>
      <t>董事长兼总经理</t>
    </r>
  </si>
  <si>
    <r>
      <rPr>
        <sz val="9"/>
        <color rgb="FF000000"/>
        <rFont val="楷体"/>
        <charset val="134"/>
      </rPr>
      <t>山东省青岛市黄岛区金钱河路</t>
    </r>
    <r>
      <rPr>
        <sz val="9"/>
        <color rgb="FF000000"/>
        <rFont val="Arial"/>
        <charset val="134"/>
      </rPr>
      <t>367</t>
    </r>
    <r>
      <rPr>
        <sz val="9"/>
        <color rgb="FF000000"/>
        <rFont val="楷体"/>
        <charset val="134"/>
      </rPr>
      <t>号</t>
    </r>
  </si>
  <si>
    <t xml:space="preserve">0532-8610-5909 </t>
  </si>
  <si>
    <t>1608291301@qq.com</t>
  </si>
  <si>
    <t>2017-12-28</t>
  </si>
  <si>
    <t>正海资本</t>
  </si>
  <si>
    <t>2016-03-03</t>
  </si>
  <si>
    <t>2017-09-08</t>
  </si>
  <si>
    <t>网商银行</t>
  </si>
  <si>
    <t>网商银行是中国首批试点的民营银行之一，将普惠金融作为自身的使命，希望利用互联网的技术、数据和渠道创新，来帮助解决小微企业融资难融资贵、农村金融服务匮乏等问题，促进实体经济发展。定位为网商首选的金融服务商、互联网银行的探索者和普惠金融的实践者，为小微企业、大众消费者、农村经营者与农户、中小金融机构提供服务。</t>
  </si>
  <si>
    <t>浙江网商银行股份有限公司</t>
  </si>
  <si>
    <t>https://www.mybank.cn/</t>
  </si>
  <si>
    <r>
      <rPr>
        <sz val="9"/>
        <color rgb="FF000000"/>
        <rFont val="楷体"/>
        <charset val="134"/>
      </rPr>
      <t>复星集团</t>
    </r>
    <r>
      <rPr>
        <sz val="9"/>
        <color rgb="FF000000"/>
        <rFont val="Arial"/>
        <charset val="134"/>
      </rPr>
      <t>,</t>
    </r>
    <r>
      <rPr>
        <sz val="9"/>
        <color rgb="FF000000"/>
        <rFont val="楷体"/>
        <charset val="134"/>
      </rPr>
      <t>金字火腿</t>
    </r>
    <r>
      <rPr>
        <sz val="9"/>
        <color rgb="FF000000"/>
        <rFont val="Arial"/>
        <charset val="134"/>
      </rPr>
      <t>,</t>
    </r>
    <r>
      <rPr>
        <sz val="9"/>
        <color rgb="FF000000"/>
        <rFont val="楷体"/>
        <charset val="134"/>
      </rPr>
      <t>万向集团</t>
    </r>
    <r>
      <rPr>
        <sz val="9"/>
        <color rgb="FF000000"/>
        <rFont val="Arial"/>
        <charset val="134"/>
      </rPr>
      <t>,</t>
    </r>
    <r>
      <rPr>
        <sz val="9"/>
        <color rgb="FF000000"/>
        <rFont val="楷体"/>
        <charset val="134"/>
      </rPr>
      <t>金润资产</t>
    </r>
  </si>
  <si>
    <r>
      <rPr>
        <sz val="9"/>
        <color rgb="FF000000"/>
        <rFont val="Arial"/>
        <charset val="134"/>
      </rPr>
      <t>1.01</t>
    </r>
    <r>
      <rPr>
        <sz val="9"/>
        <color rgb="FF000000"/>
        <rFont val="楷体"/>
        <charset val="134"/>
      </rPr>
      <t>亿</t>
    </r>
  </si>
  <si>
    <r>
      <rPr>
        <sz val="9"/>
        <color rgb="FF000000"/>
        <rFont val="楷体"/>
        <charset val="134"/>
      </rPr>
      <t>胡晓明</t>
    </r>
    <r>
      <rPr>
        <sz val="9"/>
        <color rgb="FF000000"/>
        <rFont val="Arial"/>
        <charset val="134"/>
      </rPr>
      <t>:</t>
    </r>
    <r>
      <rPr>
        <sz val="9"/>
        <color rgb="FF000000"/>
        <rFont val="楷体"/>
        <charset val="134"/>
      </rPr>
      <t>董事长</t>
    </r>
  </si>
  <si>
    <r>
      <rPr>
        <sz val="9"/>
        <color rgb="FF000000"/>
        <rFont val="楷体"/>
        <charset val="134"/>
      </rPr>
      <t>杭州市西湖区学院路</t>
    </r>
    <r>
      <rPr>
        <sz val="9"/>
        <color rgb="FF000000"/>
        <rFont val="Arial"/>
        <charset val="134"/>
      </rPr>
      <t>28-38</t>
    </r>
    <r>
      <rPr>
        <sz val="9"/>
        <color rgb="FF000000"/>
        <rFont val="楷体"/>
        <charset val="134"/>
      </rPr>
      <t>号德力西大厦</t>
    </r>
    <r>
      <rPr>
        <sz val="9"/>
        <color rgb="FF000000"/>
        <rFont val="Arial"/>
        <charset val="134"/>
      </rPr>
      <t>1</t>
    </r>
    <r>
      <rPr>
        <sz val="9"/>
        <color rgb="FF000000"/>
        <rFont val="楷体"/>
        <charset val="134"/>
      </rPr>
      <t>号楼</t>
    </r>
    <r>
      <rPr>
        <sz val="9"/>
        <color rgb="FF000000"/>
        <rFont val="Arial"/>
        <charset val="134"/>
      </rPr>
      <t>15-17</t>
    </r>
    <r>
      <rPr>
        <sz val="9"/>
        <color rgb="FF000000"/>
        <rFont val="楷体"/>
        <charset val="134"/>
      </rPr>
      <t>层</t>
    </r>
  </si>
  <si>
    <t>0571-2688888-8</t>
  </si>
  <si>
    <t>2015-05-28</t>
  </si>
  <si>
    <t>2019-08-14</t>
  </si>
  <si>
    <t>信联科技</t>
  </si>
  <si>
    <r>
      <rPr>
        <sz val="9"/>
        <color rgb="FF000000"/>
        <rFont val="楷体"/>
        <charset val="134"/>
      </rPr>
      <t>信联科技是一家智慧交通服务商，以高速公路</t>
    </r>
    <r>
      <rPr>
        <sz val="9"/>
        <color rgb="FF000000"/>
        <rFont val="Arial"/>
        <charset val="134"/>
      </rPr>
      <t>ETC</t>
    </r>
    <r>
      <rPr>
        <sz val="9"/>
        <color rgb="FF000000"/>
        <rFont val="楷体"/>
        <charset val="134"/>
      </rPr>
      <t>为基础，围绕车辆服务打造的数据科技创新平台。以智慧交通和物流金融为主业发展方向，在</t>
    </r>
    <r>
      <rPr>
        <sz val="9"/>
        <color rgb="FF000000"/>
        <rFont val="Arial"/>
        <charset val="134"/>
      </rPr>
      <t>ETC</t>
    </r>
    <r>
      <rPr>
        <sz val="9"/>
        <color rgb="FF000000"/>
        <rFont val="楷体"/>
        <charset val="134"/>
      </rPr>
      <t>发行、货车供应链金融、互联网加油等领域处于国内领先地位。</t>
    </r>
  </si>
  <si>
    <t>山东高速信联科技股份有限公司</t>
  </si>
  <si>
    <t>2019-07</t>
  </si>
  <si>
    <r>
      <rPr>
        <sz val="9"/>
        <color rgb="FF000000"/>
        <rFont val="楷体"/>
        <charset val="134"/>
      </rPr>
      <t>山东</t>
    </r>
    <r>
      <rPr>
        <sz val="9"/>
        <color rgb="FF000000"/>
        <rFont val="Arial"/>
        <charset val="134"/>
      </rPr>
      <t>-</t>
    </r>
    <r>
      <rPr>
        <sz val="9"/>
        <color rgb="FF000000"/>
        <rFont val="楷体"/>
        <charset val="134"/>
      </rPr>
      <t>济南</t>
    </r>
  </si>
  <si>
    <t>其他汽车服务</t>
  </si>
  <si>
    <r>
      <rPr>
        <sz val="9"/>
        <color rgb="FF000000"/>
        <rFont val="Arial"/>
        <charset val="134"/>
      </rPr>
      <t>2.8</t>
    </r>
    <r>
      <rPr>
        <sz val="9"/>
        <color rgb="FF000000"/>
        <rFont val="楷体"/>
        <charset val="134"/>
      </rPr>
      <t>亿人民币</t>
    </r>
  </si>
  <si>
    <r>
      <rPr>
        <sz val="9"/>
        <color rgb="FF000000"/>
        <rFont val="楷体"/>
        <charset val="134"/>
      </rPr>
      <t>蚂蚁集团</t>
    </r>
    <r>
      <rPr>
        <sz val="9"/>
        <color rgb="FF000000"/>
        <rFont val="Arial"/>
        <charset val="134"/>
      </rPr>
      <t>,</t>
    </r>
    <r>
      <rPr>
        <sz val="9"/>
        <color rgb="FF000000"/>
        <rFont val="楷体"/>
        <charset val="134"/>
      </rPr>
      <t>万集科技</t>
    </r>
    <r>
      <rPr>
        <sz val="9"/>
        <color rgb="FF000000"/>
        <rFont val="Arial"/>
        <charset val="134"/>
      </rPr>
      <t>,</t>
    </r>
    <r>
      <rPr>
        <sz val="9"/>
        <color rgb="FF000000"/>
        <rFont val="楷体"/>
        <charset val="134"/>
      </rPr>
      <t>金溢科技</t>
    </r>
  </si>
  <si>
    <r>
      <rPr>
        <sz val="9"/>
        <color rgb="FF000000"/>
        <rFont val="Arial"/>
        <charset val="134"/>
      </rPr>
      <t>2.8</t>
    </r>
    <r>
      <rPr>
        <sz val="9"/>
        <color rgb="FF000000"/>
        <rFont val="楷体"/>
        <charset val="134"/>
      </rPr>
      <t>亿</t>
    </r>
  </si>
  <si>
    <r>
      <rPr>
        <sz val="9"/>
        <color rgb="FF000000"/>
        <rFont val="楷体"/>
        <charset val="134"/>
      </rPr>
      <t>山东省济南市高新区奥体中路</t>
    </r>
    <r>
      <rPr>
        <sz val="9"/>
        <color rgb="FF000000"/>
        <rFont val="Arial"/>
        <charset val="134"/>
      </rPr>
      <t>5006</t>
    </r>
    <r>
      <rPr>
        <sz val="9"/>
        <color rgb="FF000000"/>
        <rFont val="楷体"/>
        <charset val="134"/>
      </rPr>
      <t>号山东高速科研楼西附楼二层南侧</t>
    </r>
    <r>
      <rPr>
        <sz val="9"/>
        <color rgb="FF000000"/>
        <rFont val="Arial"/>
        <charset val="134"/>
      </rPr>
      <t>211</t>
    </r>
    <r>
      <rPr>
        <sz val="9"/>
        <color rgb="FF000000"/>
        <rFont val="楷体"/>
        <charset val="134"/>
      </rPr>
      <t>室</t>
    </r>
  </si>
  <si>
    <t>2019-09-10</t>
  </si>
  <si>
    <t>约健</t>
  </si>
  <si>
    <r>
      <rPr>
        <sz val="9"/>
        <color rgb="FF000000"/>
        <rFont val="楷体"/>
        <charset val="134"/>
      </rPr>
      <t>约健是一家全民信用健身运营服务商，在商业健身领域，约健通过</t>
    </r>
    <r>
      <rPr>
        <sz val="9"/>
        <color rgb="FF000000"/>
        <rFont val="Arial"/>
        <charset val="134"/>
      </rPr>
      <t>“</t>
    </r>
    <r>
      <rPr>
        <sz val="9"/>
        <color rgb="FF000000"/>
        <rFont val="楷体"/>
        <charset val="134"/>
      </rPr>
      <t>信用健身、先享后付</t>
    </r>
    <r>
      <rPr>
        <sz val="9"/>
        <color rgb="FF000000"/>
        <rFont val="Arial"/>
        <charset val="134"/>
      </rPr>
      <t>”</t>
    </r>
    <r>
      <rPr>
        <sz val="9"/>
        <color rgb="FF000000"/>
        <rFont val="楷体"/>
        <charset val="134"/>
      </rPr>
      <t>的模式，解决一直困扰行业发展的</t>
    </r>
    <r>
      <rPr>
        <sz val="9"/>
        <color rgb="FF000000"/>
        <rFont val="Arial"/>
        <charset val="134"/>
      </rPr>
      <t>“</t>
    </r>
    <r>
      <rPr>
        <sz val="9"/>
        <color rgb="FF000000"/>
        <rFont val="楷体"/>
        <charset val="134"/>
      </rPr>
      <t>信用</t>
    </r>
    <r>
      <rPr>
        <sz val="9"/>
        <color rgb="FF000000"/>
        <rFont val="Arial"/>
        <charset val="134"/>
      </rPr>
      <t>”</t>
    </r>
    <r>
      <rPr>
        <sz val="9"/>
        <color rgb="FF000000"/>
        <rFont val="楷体"/>
        <charset val="134"/>
      </rPr>
      <t>问题。在公共运动健身服务领域，约健则通过</t>
    </r>
    <r>
      <rPr>
        <sz val="9"/>
        <color rgb="FF000000"/>
        <rFont val="Arial"/>
        <charset val="134"/>
      </rPr>
      <t>“</t>
    </r>
    <r>
      <rPr>
        <sz val="9"/>
        <color rgb="FF000000"/>
        <rFont val="楷体"/>
        <charset val="134"/>
      </rPr>
      <t>信用惠民，体育先行</t>
    </r>
    <r>
      <rPr>
        <sz val="9"/>
        <color rgb="FF000000"/>
        <rFont val="Arial"/>
        <charset val="134"/>
      </rPr>
      <t>”</t>
    </r>
    <r>
      <rPr>
        <sz val="9"/>
        <color rgb="FF000000"/>
        <rFont val="楷体"/>
        <charset val="134"/>
      </rPr>
      <t>的理念提供服务，推动</t>
    </r>
    <r>
      <rPr>
        <sz val="9"/>
        <color rgb="FF000000"/>
        <rFont val="Arial"/>
        <charset val="134"/>
      </rPr>
      <t>“</t>
    </r>
    <r>
      <rPr>
        <sz val="9"/>
        <color rgb="FF000000"/>
        <rFont val="楷体"/>
        <charset val="134"/>
      </rPr>
      <t>全民健身</t>
    </r>
    <r>
      <rPr>
        <sz val="9"/>
        <color rgb="FF000000"/>
        <rFont val="Arial"/>
        <charset val="134"/>
      </rPr>
      <t>”</t>
    </r>
    <r>
      <rPr>
        <sz val="9"/>
        <color rgb="FF000000"/>
        <rFont val="楷体"/>
        <charset val="134"/>
      </rPr>
      <t>战略的落地。</t>
    </r>
  </si>
  <si>
    <t>上海卷柏信息技术有限公司</t>
  </si>
  <si>
    <t>大众健身</t>
  </si>
  <si>
    <r>
      <rPr>
        <sz val="9"/>
        <color rgb="FF000000"/>
        <rFont val="Arial"/>
        <charset val="134"/>
      </rPr>
      <t>2300</t>
    </r>
    <r>
      <rPr>
        <sz val="9"/>
        <color rgb="FF000000"/>
        <rFont val="楷体"/>
        <charset val="134"/>
      </rPr>
      <t>万</t>
    </r>
  </si>
  <si>
    <r>
      <rPr>
        <sz val="9"/>
        <color rgb="FF000000"/>
        <rFont val="楷体"/>
        <charset val="134"/>
      </rPr>
      <t>刘立新</t>
    </r>
    <r>
      <rPr>
        <sz val="9"/>
        <color rgb="FF000000"/>
        <rFont val="Arial"/>
        <charset val="134"/>
      </rPr>
      <t>:</t>
    </r>
    <r>
      <rPr>
        <sz val="9"/>
        <color rgb="FF000000"/>
        <rFont val="楷体"/>
        <charset val="134"/>
      </rPr>
      <t>创始人、</t>
    </r>
    <r>
      <rPr>
        <sz val="9"/>
        <color rgb="FF000000"/>
        <rFont val="Arial"/>
        <charset val="134"/>
      </rPr>
      <t>CEO</t>
    </r>
  </si>
  <si>
    <r>
      <rPr>
        <sz val="9"/>
        <color rgb="FF000000"/>
        <rFont val="楷体"/>
        <charset val="134"/>
      </rPr>
      <t>上海市普陀区金沙江路</t>
    </r>
    <r>
      <rPr>
        <sz val="9"/>
        <color rgb="FF000000"/>
        <rFont val="Arial"/>
        <charset val="134"/>
      </rPr>
      <t>1006</t>
    </r>
    <r>
      <rPr>
        <sz val="9"/>
        <color rgb="FF000000"/>
        <rFont val="楷体"/>
        <charset val="134"/>
      </rPr>
      <t>号第</t>
    </r>
    <r>
      <rPr>
        <sz val="9"/>
        <color rgb="FF000000"/>
        <rFont val="Arial"/>
        <charset val="134"/>
      </rPr>
      <t>2</t>
    </r>
    <r>
      <rPr>
        <sz val="9"/>
        <color rgb="FF000000"/>
        <rFont val="楷体"/>
        <charset val="134"/>
      </rPr>
      <t>幢</t>
    </r>
    <r>
      <rPr>
        <sz val="9"/>
        <color rgb="FF000000"/>
        <rFont val="Arial"/>
        <charset val="134"/>
      </rPr>
      <t>575</t>
    </r>
    <r>
      <rPr>
        <sz val="9"/>
        <color rgb="FF000000"/>
        <rFont val="楷体"/>
        <charset val="134"/>
      </rPr>
      <t>室</t>
    </r>
  </si>
  <si>
    <t>021-6139-2730</t>
  </si>
  <si>
    <t>jszhangxiu@126.com</t>
  </si>
  <si>
    <t>2016-04-01</t>
  </si>
  <si>
    <t>2019-12-20</t>
  </si>
  <si>
    <t>eMonkey</t>
  </si>
  <si>
    <r>
      <rPr>
        <sz val="9"/>
        <color rgb="FF000000"/>
        <rFont val="Arial"/>
        <charset val="134"/>
      </rPr>
      <t>eMonkey</t>
    </r>
    <r>
      <rPr>
        <sz val="9"/>
        <color rgb="FF000000"/>
        <rFont val="楷体"/>
        <charset val="134"/>
      </rPr>
      <t>是一家越南电子钱包服务提供商，主要面向越南年轻人提供电子钱包相关服务。</t>
    </r>
  </si>
  <si>
    <t>2021-04-07</t>
  </si>
  <si>
    <t>金桥信息</t>
  </si>
  <si>
    <r>
      <rPr>
        <sz val="9"/>
        <color rgb="FF000000"/>
        <rFont val="楷体"/>
        <charset val="134"/>
      </rPr>
      <t>金桥信息一直以来致力于各类多媒体信息系统及其行业解决方案及服务，始终坚持用科技创新打造自己的核心竞争力，秉承</t>
    </r>
    <r>
      <rPr>
        <sz val="9"/>
        <color rgb="FF000000"/>
        <rFont val="Arial"/>
        <charset val="134"/>
      </rPr>
      <t>“</t>
    </r>
    <r>
      <rPr>
        <sz val="9"/>
        <color rgb="FF000000"/>
        <rFont val="楷体"/>
        <charset val="134"/>
      </rPr>
      <t>真诚是金，共享为桥</t>
    </r>
    <r>
      <rPr>
        <sz val="9"/>
        <color rgb="FF000000"/>
        <rFont val="Arial"/>
        <charset val="134"/>
      </rPr>
      <t>”</t>
    </r>
    <r>
      <rPr>
        <sz val="9"/>
        <color rgb="FF000000"/>
        <rFont val="楷体"/>
        <charset val="134"/>
      </rPr>
      <t>的核心价值观，坚持</t>
    </r>
    <r>
      <rPr>
        <sz val="9"/>
        <color rgb="FF000000"/>
        <rFont val="Arial"/>
        <charset val="134"/>
      </rPr>
      <t>“</t>
    </r>
    <r>
      <rPr>
        <sz val="9"/>
        <color rgb="FF000000"/>
        <rFont val="楷体"/>
        <charset val="134"/>
      </rPr>
      <t>你放心，我才安心</t>
    </r>
    <r>
      <rPr>
        <sz val="9"/>
        <color rgb="FF000000"/>
        <rFont val="Arial"/>
        <charset val="134"/>
      </rPr>
      <t>”</t>
    </r>
    <r>
      <rPr>
        <sz val="9"/>
        <color rgb="FF000000"/>
        <rFont val="楷体"/>
        <charset val="134"/>
      </rPr>
      <t>的服务理念，引领国内多媒体会议系统行业的技术发展，经过二十余年的发展积累，公司已形成了完整的业务体系，成功实施了两千余项信息系统工程项目，行业涵盖党政军、教育、医疗、金融、地产、能源、</t>
    </r>
    <r>
      <rPr>
        <sz val="9"/>
        <color rgb="FF000000"/>
        <rFont val="Arial"/>
        <charset val="134"/>
      </rPr>
      <t>500</t>
    </r>
    <r>
      <rPr>
        <sz val="9"/>
        <color rgb="FF000000"/>
        <rFont val="楷体"/>
        <charset val="134"/>
      </rPr>
      <t>强企业，在多媒体会议系统、应急指挥中心系统、科技法庭系统等领域均处于国内领先水平。</t>
    </r>
  </si>
  <si>
    <t>上海金桥信息股份有限公司</t>
  </si>
  <si>
    <t>http://www.shgbit.com/</t>
  </si>
  <si>
    <t>1994-08</t>
  </si>
  <si>
    <r>
      <rPr>
        <sz val="9"/>
        <color rgb="FF000000"/>
        <rFont val="Arial"/>
        <charset val="134"/>
      </rPr>
      <t>3.57</t>
    </r>
    <r>
      <rPr>
        <sz val="9"/>
        <color rgb="FF000000"/>
        <rFont val="楷体"/>
        <charset val="134"/>
      </rPr>
      <t>亿人民币</t>
    </r>
  </si>
  <si>
    <r>
      <rPr>
        <sz val="9"/>
        <color rgb="FF000000"/>
        <rFont val="Arial"/>
        <charset val="134"/>
      </rPr>
      <t>5.66</t>
    </r>
    <r>
      <rPr>
        <sz val="9"/>
        <color rgb="FF000000"/>
        <rFont val="楷体"/>
        <charset val="134"/>
      </rPr>
      <t>亿</t>
    </r>
  </si>
  <si>
    <r>
      <rPr>
        <sz val="9"/>
        <color rgb="FF000000"/>
        <rFont val="Arial"/>
        <charset val="134"/>
      </rPr>
      <t>17.85</t>
    </r>
    <r>
      <rPr>
        <sz val="9"/>
        <color rgb="FF000000"/>
        <rFont val="楷体"/>
        <charset val="134"/>
      </rPr>
      <t>亿元</t>
    </r>
  </si>
  <si>
    <r>
      <rPr>
        <sz val="9"/>
        <color rgb="FF000000"/>
        <rFont val="楷体"/>
        <charset val="134"/>
      </rPr>
      <t>金史平</t>
    </r>
    <r>
      <rPr>
        <sz val="9"/>
        <color rgb="FF000000"/>
        <rFont val="Arial"/>
        <charset val="134"/>
      </rPr>
      <t>:</t>
    </r>
    <r>
      <rPr>
        <sz val="9"/>
        <color rgb="FF000000"/>
        <rFont val="楷体"/>
        <charset val="134"/>
      </rPr>
      <t>董事长</t>
    </r>
  </si>
  <si>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自由贸易试验区郭守敬路</t>
    </r>
    <r>
      <rPr>
        <sz val="9"/>
        <color rgb="FF000000"/>
        <rFont val="Arial"/>
        <charset val="134"/>
      </rPr>
      <t>498</t>
    </r>
    <r>
      <rPr>
        <sz val="9"/>
        <color rgb="FF000000"/>
        <rFont val="楷体"/>
        <charset val="134"/>
      </rPr>
      <t>号</t>
    </r>
    <r>
      <rPr>
        <sz val="9"/>
        <color rgb="FF000000"/>
        <rFont val="Arial"/>
        <charset val="134"/>
      </rPr>
      <t>12</t>
    </r>
    <r>
      <rPr>
        <sz val="9"/>
        <color rgb="FF000000"/>
        <rFont val="楷体"/>
        <charset val="134"/>
      </rPr>
      <t>幢</t>
    </r>
  </si>
  <si>
    <t>021-3367-4999</t>
  </si>
  <si>
    <t>shgbit@shgbit.com</t>
  </si>
  <si>
    <r>
      <rPr>
        <sz val="9"/>
        <color rgb="FF000000"/>
        <rFont val="Arial"/>
        <charset val="134"/>
      </rPr>
      <t>2.09</t>
    </r>
    <r>
      <rPr>
        <sz val="9"/>
        <color rgb="FF000000"/>
        <rFont val="楷体"/>
        <charset val="134"/>
      </rPr>
      <t>亿人民币</t>
    </r>
  </si>
  <si>
    <t>2020-03-16</t>
  </si>
  <si>
    <t>芥舟科技</t>
  </si>
  <si>
    <r>
      <rPr>
        <sz val="9"/>
        <color rgb="FF000000"/>
        <rFont val="楷体"/>
        <charset val="134"/>
      </rPr>
      <t>芥舟科技是一家跨境互联网公司，旨在让海内外商家</t>
    </r>
    <r>
      <rPr>
        <sz val="9"/>
        <color rgb="FF000000"/>
        <rFont val="Arial"/>
        <charset val="134"/>
      </rPr>
      <t>+</t>
    </r>
    <r>
      <rPr>
        <sz val="9"/>
        <color rgb="FF000000"/>
        <rFont val="楷体"/>
        <charset val="134"/>
      </rPr>
      <t>跨境贸易数字清关，实现新的增长，分享跨境贸易红利。通过自主研发的</t>
    </r>
    <r>
      <rPr>
        <sz val="9"/>
        <color rgb="FF000000"/>
        <rFont val="Arial"/>
        <charset val="134"/>
      </rPr>
      <t>APOS</t>
    </r>
    <r>
      <rPr>
        <sz val="9"/>
        <color rgb="FF000000"/>
        <rFont val="楷体"/>
        <charset val="134"/>
      </rPr>
      <t>跨境收银系统、</t>
    </r>
    <r>
      <rPr>
        <sz val="9"/>
        <color rgb="FF000000"/>
        <rFont val="Arial"/>
        <charset val="134"/>
      </rPr>
      <t>Apollo</t>
    </r>
    <r>
      <rPr>
        <sz val="9"/>
        <color rgb="FF000000"/>
        <rFont val="楷体"/>
        <charset val="134"/>
      </rPr>
      <t>数字清关平台、跨境微商城等科技产品为商家提供商品数字化管理、跨境新零售系统搭建、跨境物流对接、数字化清关、跨境微商城搭建等赋能型服务。</t>
    </r>
  </si>
  <si>
    <t>深圳芥舟科技有限公司</t>
  </si>
  <si>
    <t>https://www.jieztech.com/</t>
  </si>
  <si>
    <r>
      <rPr>
        <sz val="9"/>
        <color rgb="FF000000"/>
        <rFont val="楷体"/>
        <charset val="134"/>
      </rPr>
      <t>王俊龙</t>
    </r>
    <r>
      <rPr>
        <sz val="9"/>
        <color rgb="FF000000"/>
        <rFont val="Arial"/>
        <charset val="134"/>
      </rPr>
      <t>:CEO</t>
    </r>
  </si>
  <si>
    <r>
      <rPr>
        <sz val="9"/>
        <color rgb="FF000000"/>
        <rFont val="楷体"/>
        <charset val="134"/>
      </rPr>
      <t>广东省深圳市南山区同沙路</t>
    </r>
    <r>
      <rPr>
        <sz val="9"/>
        <color rgb="FF000000"/>
        <rFont val="Arial"/>
        <charset val="134"/>
      </rPr>
      <t>168</t>
    </r>
    <r>
      <rPr>
        <sz val="9"/>
        <color rgb="FF000000"/>
        <rFont val="楷体"/>
        <charset val="134"/>
      </rPr>
      <t>号凯达尔</t>
    </r>
    <r>
      <rPr>
        <sz val="9"/>
        <color rgb="FF000000"/>
        <rFont val="Arial"/>
        <charset val="134"/>
      </rPr>
      <t xml:space="preserve"> </t>
    </r>
    <r>
      <rPr>
        <sz val="9"/>
        <color rgb="FF000000"/>
        <rFont val="楷体"/>
        <charset val="134"/>
      </rPr>
      <t>集团中心大厦</t>
    </r>
    <r>
      <rPr>
        <sz val="9"/>
        <color rgb="FF000000"/>
        <rFont val="Arial"/>
        <charset val="134"/>
      </rPr>
      <t>A</t>
    </r>
    <r>
      <rPr>
        <sz val="9"/>
        <color rgb="FF000000"/>
        <rFont val="楷体"/>
        <charset val="134"/>
      </rPr>
      <t>座</t>
    </r>
    <r>
      <rPr>
        <sz val="9"/>
        <color rgb="FF000000"/>
        <rFont val="Arial"/>
        <charset val="134"/>
      </rPr>
      <t>1901</t>
    </r>
  </si>
  <si>
    <t>0755-8652-7063</t>
  </si>
  <si>
    <t>info@jieztech.com</t>
  </si>
  <si>
    <t>简单充</t>
  </si>
  <si>
    <t>简单充是一家新能源汽车充电服务商，专注于新能源电动汽车基础设施的建设、运营、维护；新能源电动汽车电池检测等，经营范围包括新能源汽车充电成套设备研发、销售；充电桩安装、租赁；电力设备、电源系统、电池管理系统的研发等。</t>
  </si>
  <si>
    <t>简单充（杭州）科技有限公司</t>
  </si>
  <si>
    <r>
      <rPr>
        <sz val="9"/>
        <color rgb="FF000000"/>
        <rFont val="Arial"/>
        <charset val="134"/>
      </rPr>
      <t>1.25</t>
    </r>
    <r>
      <rPr>
        <sz val="9"/>
        <color rgb="FF000000"/>
        <rFont val="楷体"/>
        <charset val="134"/>
      </rPr>
      <t>亿元</t>
    </r>
  </si>
  <si>
    <r>
      <rPr>
        <sz val="9"/>
        <color rgb="FF000000"/>
        <rFont val="楷体"/>
        <charset val="134"/>
      </rPr>
      <t>浙江省杭州市萧山区宁围街道平澜路</t>
    </r>
    <r>
      <rPr>
        <sz val="9"/>
        <color rgb="FF000000"/>
        <rFont val="Arial"/>
        <charset val="134"/>
      </rPr>
      <t>299</t>
    </r>
    <r>
      <rPr>
        <sz val="9"/>
        <color rgb="FF000000"/>
        <rFont val="楷体"/>
        <charset val="134"/>
      </rPr>
      <t>号浙江商会大厦</t>
    </r>
    <r>
      <rPr>
        <sz val="9"/>
        <color rgb="FF000000"/>
        <rFont val="Arial"/>
        <charset val="134"/>
      </rPr>
      <t>1</t>
    </r>
    <r>
      <rPr>
        <sz val="9"/>
        <color rgb="FF000000"/>
        <rFont val="楷体"/>
        <charset val="134"/>
      </rPr>
      <t>幢</t>
    </r>
    <r>
      <rPr>
        <sz val="9"/>
        <color rgb="FF000000"/>
        <rFont val="Arial"/>
        <charset val="134"/>
      </rPr>
      <t>601</t>
    </r>
    <r>
      <rPr>
        <sz val="9"/>
        <color rgb="FF000000"/>
        <rFont val="楷体"/>
        <charset val="134"/>
      </rPr>
      <t>室</t>
    </r>
  </si>
  <si>
    <t>2020-05-18</t>
  </si>
  <si>
    <t>Wave Money</t>
  </si>
  <si>
    <r>
      <rPr>
        <sz val="9"/>
        <color rgb="FF000000"/>
        <rFont val="Arial"/>
        <charset val="134"/>
      </rPr>
      <t>Wave Money</t>
    </r>
    <r>
      <rPr>
        <sz val="9"/>
        <color rgb="FF000000"/>
        <rFont val="楷体"/>
        <charset val="134"/>
      </rPr>
      <t>是一家缅甸移动金融支付服务商，为当地消费者和小微商家提供更便捷、安全的动支付和数字金融服务。</t>
    </r>
  </si>
  <si>
    <t>https://www.wavemoney.com.mm/</t>
  </si>
  <si>
    <r>
      <rPr>
        <sz val="9"/>
        <color rgb="FF000000"/>
        <rFont val="楷体"/>
        <charset val="134"/>
      </rPr>
      <t>亚洲</t>
    </r>
    <r>
      <rPr>
        <sz val="9"/>
        <color rgb="FF000000"/>
        <rFont val="Arial"/>
        <charset val="134"/>
      </rPr>
      <t>-</t>
    </r>
    <r>
      <rPr>
        <sz val="9"/>
        <color rgb="FF000000"/>
        <rFont val="楷体"/>
        <charset val="134"/>
      </rPr>
      <t>缅甸</t>
    </r>
  </si>
  <si>
    <r>
      <rPr>
        <sz val="9"/>
        <color rgb="FF000000"/>
        <rFont val="Arial"/>
        <charset val="134"/>
      </rPr>
      <t>7350</t>
    </r>
    <r>
      <rPr>
        <sz val="9"/>
        <color rgb="FF000000"/>
        <rFont val="楷体"/>
        <charset val="134"/>
      </rPr>
      <t>万美元</t>
    </r>
  </si>
  <si>
    <r>
      <rPr>
        <sz val="9"/>
        <color rgb="FF000000"/>
        <rFont val="Arial"/>
        <charset val="134"/>
      </rPr>
      <t>23.8875</t>
    </r>
    <r>
      <rPr>
        <sz val="9"/>
        <color rgb="FF000000"/>
        <rFont val="楷体"/>
        <charset val="134"/>
      </rPr>
      <t>亿元</t>
    </r>
  </si>
  <si>
    <t>Arvinder Singh Grewal:Founder &amp; CMO,Brad Jones:Chief Executive Officer,Prasoon Sinha:Deputy Chief Executive Officer &amp; CFO</t>
  </si>
  <si>
    <t>2020-06-29</t>
  </si>
  <si>
    <t>易联众民生</t>
  </si>
  <si>
    <r>
      <rPr>
        <sz val="9"/>
        <color rgb="FF000000"/>
        <rFont val="楷体"/>
        <charset val="134"/>
      </rPr>
      <t>易联众民生，是易联众信息技术股份有限公司（股票代码：</t>
    </r>
    <r>
      <rPr>
        <sz val="9"/>
        <color rgb="FF000000"/>
        <rFont val="Arial"/>
        <charset val="134"/>
      </rPr>
      <t>300096</t>
    </r>
    <r>
      <rPr>
        <sz val="9"/>
        <color rgb="FF000000"/>
        <rFont val="楷体"/>
        <charset val="134"/>
      </rPr>
      <t>）旗下专注于互联网</t>
    </r>
    <r>
      <rPr>
        <sz val="9"/>
        <color rgb="FF000000"/>
        <rFont val="Arial"/>
        <charset val="134"/>
      </rPr>
      <t>+</t>
    </r>
    <r>
      <rPr>
        <sz val="9"/>
        <color rgb="FF000000"/>
        <rFont val="楷体"/>
        <charset val="134"/>
      </rPr>
      <t>人社业务的子公司，多次参与人社部金保工程相关系统的顶层设计以及全国统一软件的开发，承担了多项国家级、省级计划项目，致力于提供更优质、更优惠的企业服务，一站式满足企业在人力资源、职工福利等方面的需求。</t>
    </r>
  </si>
  <si>
    <t>易联众民生（厦门）科技有限公司</t>
  </si>
  <si>
    <t>http://www.ylzms.com/</t>
  </si>
  <si>
    <t>2016-09</t>
  </si>
  <si>
    <r>
      <rPr>
        <sz val="9"/>
        <color rgb="FF000000"/>
        <rFont val="楷体"/>
        <charset val="134"/>
      </rPr>
      <t>厦门市软件园二期观日路</t>
    </r>
    <r>
      <rPr>
        <sz val="9"/>
        <color rgb="FF000000"/>
        <rFont val="Arial"/>
        <charset val="134"/>
      </rPr>
      <t>18</t>
    </r>
    <r>
      <rPr>
        <sz val="9"/>
        <color rgb="FF000000"/>
        <rFont val="楷体"/>
        <charset val="134"/>
      </rPr>
      <t>号</t>
    </r>
    <r>
      <rPr>
        <sz val="9"/>
        <color rgb="FF000000"/>
        <rFont val="Arial"/>
        <charset val="134"/>
      </rPr>
      <t>502</t>
    </r>
    <r>
      <rPr>
        <sz val="9"/>
        <color rgb="FF000000"/>
        <rFont val="楷体"/>
        <charset val="134"/>
      </rPr>
      <t>室</t>
    </r>
  </si>
  <si>
    <t>4009-988-988</t>
  </si>
  <si>
    <t>ehr@ylzinfo.com</t>
  </si>
  <si>
    <t>2022-03-02</t>
  </si>
  <si>
    <t>融数联智</t>
  </si>
  <si>
    <t>融数联智是一家数据安全及隐私计算服务商，致力于创建安全合规的数据共享网络，可为用户提供数据安全、隐私保护、精准市场营销、政务互通等技术服务。</t>
  </si>
  <si>
    <t>北京融数联智科技有限公司</t>
  </si>
  <si>
    <t>https://www.udai.link/</t>
  </si>
  <si>
    <t>2019-08</t>
  </si>
  <si>
    <r>
      <rPr>
        <sz val="9"/>
        <color rgb="FF000000"/>
        <rFont val="Arial"/>
        <charset val="134"/>
      </rPr>
      <t>1.43</t>
    </r>
    <r>
      <rPr>
        <sz val="9"/>
        <color rgb="FF000000"/>
        <rFont val="楷体"/>
        <charset val="134"/>
      </rPr>
      <t>亿</t>
    </r>
  </si>
  <si>
    <r>
      <rPr>
        <sz val="9"/>
        <color rgb="FF000000"/>
        <rFont val="楷体"/>
        <charset val="134"/>
      </rPr>
      <t>袁晔</t>
    </r>
    <r>
      <rPr>
        <sz val="9"/>
        <color rgb="FF000000"/>
        <rFont val="Arial"/>
        <charset val="134"/>
      </rPr>
      <t>:</t>
    </r>
    <r>
      <rPr>
        <sz val="9"/>
        <color rgb="FF000000"/>
        <rFont val="楷体"/>
        <charset val="134"/>
      </rPr>
      <t>创始人</t>
    </r>
  </si>
  <si>
    <r>
      <rPr>
        <sz val="9"/>
        <color rgb="FF000000"/>
        <rFont val="楷体"/>
        <charset val="134"/>
      </rPr>
      <t>北京市朝阳区洛克时代</t>
    </r>
    <r>
      <rPr>
        <sz val="9"/>
        <color rgb="FF000000"/>
        <rFont val="Arial"/>
        <charset val="134"/>
      </rPr>
      <t>B</t>
    </r>
    <r>
      <rPr>
        <sz val="9"/>
        <color rgb="FF000000"/>
        <rFont val="楷体"/>
        <charset val="134"/>
      </rPr>
      <t>座</t>
    </r>
  </si>
  <si>
    <t>amber@udai.work</t>
  </si>
  <si>
    <t>2021-06-01</t>
  </si>
  <si>
    <r>
      <rPr>
        <sz val="9"/>
        <color rgb="FF000000"/>
        <rFont val="楷体"/>
        <charset val="134"/>
      </rPr>
      <t>英诺天使基金</t>
    </r>
    <r>
      <rPr>
        <sz val="9"/>
        <color rgb="FF000000"/>
        <rFont val="Arial"/>
        <charset val="134"/>
      </rPr>
      <t>,</t>
    </r>
    <r>
      <rPr>
        <sz val="9"/>
        <color rgb="FF000000"/>
        <rFont val="楷体"/>
        <charset val="134"/>
      </rPr>
      <t>泰有投资</t>
    </r>
    <r>
      <rPr>
        <sz val="9"/>
        <color rgb="FF000000"/>
        <rFont val="Arial"/>
        <charset val="134"/>
      </rPr>
      <t>,</t>
    </r>
    <r>
      <rPr>
        <sz val="9"/>
        <color rgb="FF000000"/>
        <rFont val="楷体"/>
        <charset val="134"/>
      </rPr>
      <t>启迪之星</t>
    </r>
    <r>
      <rPr>
        <sz val="9"/>
        <color rgb="FF000000"/>
        <rFont val="Arial"/>
        <charset val="134"/>
      </rPr>
      <t>,AC</t>
    </r>
    <r>
      <rPr>
        <sz val="9"/>
        <color rgb="FF000000"/>
        <rFont val="楷体"/>
        <charset val="134"/>
      </rPr>
      <t>加速器</t>
    </r>
  </si>
  <si>
    <t>2020-05-01</t>
  </si>
  <si>
    <t>2019-12-18</t>
  </si>
  <si>
    <r>
      <rPr>
        <sz val="9"/>
        <color rgb="FF000000"/>
        <rFont val="楷体"/>
        <charset val="134"/>
      </rPr>
      <t>英诺天使基金</t>
    </r>
    <r>
      <rPr>
        <sz val="9"/>
        <color rgb="FF000000"/>
        <rFont val="Arial"/>
        <charset val="134"/>
      </rPr>
      <t>,</t>
    </r>
    <r>
      <rPr>
        <sz val="9"/>
        <color rgb="FF000000"/>
        <rFont val="楷体"/>
        <charset val="134"/>
      </rPr>
      <t>水木清华校友种子基金</t>
    </r>
  </si>
  <si>
    <t>2020-12-21</t>
  </si>
  <si>
    <t>阜博集团</t>
  </si>
  <si>
    <r>
      <rPr>
        <sz val="9"/>
        <color rgb="FF000000"/>
        <rFont val="楷体"/>
        <charset val="134"/>
      </rPr>
      <t>阜博集团是一家在线视频内容保护服务供应商，专注于线上视频保护市场、传统家庭视频分销市场、线上视频分销市场、视频计量服务市场等，为用户提供视频分析管理技术平台、认购型</t>
    </r>
    <r>
      <rPr>
        <sz val="9"/>
        <color rgb="FF000000"/>
        <rFont val="Arial"/>
        <charset val="134"/>
      </rPr>
      <t>SaaS</t>
    </r>
    <r>
      <rPr>
        <sz val="9"/>
        <color rgb="FF000000"/>
        <rFont val="楷体"/>
        <charset val="134"/>
      </rPr>
      <t>内容保护业务，以及交易型</t>
    </r>
    <r>
      <rPr>
        <sz val="9"/>
        <color rgb="FF000000"/>
        <rFont val="Arial"/>
        <charset val="134"/>
      </rPr>
      <t>SaaS</t>
    </r>
    <r>
      <rPr>
        <sz val="9"/>
        <color rgb="FF000000"/>
        <rFont val="楷体"/>
        <charset val="134"/>
      </rPr>
      <t>业务，帮助用户解决内容变现、内容侵权等问题。</t>
    </r>
  </si>
  <si>
    <t>杭州阜博科技有限公司</t>
  </si>
  <si>
    <t>http://www.vobilegroup.com/</t>
  </si>
  <si>
    <r>
      <rPr>
        <sz val="9"/>
        <color rgb="FF000000"/>
        <rFont val="Arial"/>
        <charset val="134"/>
      </rPr>
      <t>IP</t>
    </r>
    <r>
      <rPr>
        <sz val="9"/>
        <color rgb="FF000000"/>
        <rFont val="楷体"/>
        <charset val="134"/>
      </rPr>
      <t>版权</t>
    </r>
  </si>
  <si>
    <r>
      <rPr>
        <sz val="9"/>
        <color rgb="FF000000"/>
        <rFont val="Arial"/>
        <charset val="134"/>
      </rPr>
      <t>3.88</t>
    </r>
    <r>
      <rPr>
        <sz val="9"/>
        <color rgb="FF000000"/>
        <rFont val="楷体"/>
        <charset val="134"/>
      </rPr>
      <t>亿港元</t>
    </r>
  </si>
  <si>
    <r>
      <rPr>
        <sz val="9"/>
        <color rgb="FF000000"/>
        <rFont val="Arial"/>
        <charset val="134"/>
      </rPr>
      <t>5.51</t>
    </r>
    <r>
      <rPr>
        <sz val="9"/>
        <color rgb="FF000000"/>
        <rFont val="楷体"/>
        <charset val="134"/>
      </rPr>
      <t>亿</t>
    </r>
  </si>
  <si>
    <r>
      <rPr>
        <sz val="9"/>
        <color rgb="FF000000"/>
        <rFont val="Arial"/>
        <charset val="134"/>
      </rPr>
      <t>49.26984</t>
    </r>
    <r>
      <rPr>
        <sz val="9"/>
        <color rgb="FF000000"/>
        <rFont val="楷体"/>
        <charset val="134"/>
      </rPr>
      <t>亿元</t>
    </r>
  </si>
  <si>
    <r>
      <rPr>
        <sz val="9"/>
        <color rgb="FF000000"/>
        <rFont val="楷体"/>
        <charset val="134"/>
      </rPr>
      <t>王扬斌</t>
    </r>
    <r>
      <rPr>
        <sz val="9"/>
        <color rgb="FF000000"/>
        <rFont val="Arial"/>
        <charset val="134"/>
      </rPr>
      <t>:</t>
    </r>
    <r>
      <rPr>
        <sz val="9"/>
        <color rgb="FF000000"/>
        <rFont val="楷体"/>
        <charset val="134"/>
      </rPr>
      <t>创始人</t>
    </r>
  </si>
  <si>
    <r>
      <rPr>
        <sz val="9"/>
        <color rgb="FF000000"/>
        <rFont val="楷体"/>
        <charset val="134"/>
      </rPr>
      <t>香港铜锣湾勿地臣街</t>
    </r>
    <r>
      <rPr>
        <sz val="9"/>
        <color rgb="FF000000"/>
        <rFont val="Arial"/>
        <charset val="134"/>
      </rPr>
      <t>1</t>
    </r>
    <r>
      <rPr>
        <sz val="9"/>
        <color rgb="FF000000"/>
        <rFont val="楷体"/>
        <charset val="134"/>
      </rPr>
      <t>号时代广场</t>
    </r>
    <r>
      <rPr>
        <sz val="9"/>
        <color rgb="FF000000"/>
        <rFont val="Arial"/>
        <charset val="134"/>
      </rPr>
      <t>2</t>
    </r>
    <r>
      <rPr>
        <sz val="9"/>
        <color rgb="FF000000"/>
        <rFont val="楷体"/>
        <charset val="134"/>
      </rPr>
      <t>座</t>
    </r>
    <r>
      <rPr>
        <sz val="9"/>
        <color rgb="FF000000"/>
        <rFont val="Arial"/>
        <charset val="134"/>
      </rPr>
      <t>37</t>
    </r>
    <r>
      <rPr>
        <sz val="9"/>
        <color rgb="FF000000"/>
        <rFont val="楷体"/>
        <charset val="134"/>
      </rPr>
      <t>楼</t>
    </r>
    <r>
      <rPr>
        <sz val="9"/>
        <color rgb="FF000000"/>
        <rFont val="Arial"/>
        <charset val="134"/>
      </rPr>
      <t>3712</t>
    </r>
    <r>
      <rPr>
        <sz val="9"/>
        <color rgb="FF000000"/>
        <rFont val="楷体"/>
        <charset val="134"/>
      </rPr>
      <t>室</t>
    </r>
    <r>
      <rPr>
        <sz val="9"/>
        <color rgb="FF000000"/>
        <rFont val="Arial"/>
        <charset val="134"/>
      </rPr>
      <t>;</t>
    </r>
    <r>
      <rPr>
        <sz val="9"/>
        <color rgb="FF000000"/>
        <rFont val="楷体"/>
        <charset val="134"/>
      </rPr>
      <t>浙江省杭州市滨江区西兴街道阡陌路</t>
    </r>
    <r>
      <rPr>
        <sz val="9"/>
        <color rgb="FF000000"/>
        <rFont val="Arial"/>
        <charset val="134"/>
      </rPr>
      <t>482</t>
    </r>
    <r>
      <rPr>
        <sz val="9"/>
        <color rgb="FF000000"/>
        <rFont val="楷体"/>
        <charset val="134"/>
      </rPr>
      <t>号</t>
    </r>
    <r>
      <rPr>
        <sz val="9"/>
        <color rgb="FF000000"/>
        <rFont val="Arial"/>
        <charset val="134"/>
      </rPr>
      <t>B</t>
    </r>
    <r>
      <rPr>
        <sz val="9"/>
        <color rgb="FF000000"/>
        <rFont val="楷体"/>
        <charset val="134"/>
      </rPr>
      <t>楼第</t>
    </r>
    <r>
      <rPr>
        <sz val="9"/>
        <color rgb="FF000000"/>
        <rFont val="Arial"/>
        <charset val="134"/>
      </rPr>
      <t>10</t>
    </r>
    <r>
      <rPr>
        <sz val="9"/>
        <color rgb="FF000000"/>
        <rFont val="楷体"/>
        <charset val="134"/>
      </rPr>
      <t>层</t>
    </r>
  </si>
  <si>
    <t>852-2611-3700</t>
  </si>
  <si>
    <t>info@vobilegroup.com</t>
  </si>
  <si>
    <t>2020-07-16</t>
  </si>
  <si>
    <r>
      <rPr>
        <sz val="9"/>
        <color rgb="FF000000"/>
        <rFont val="Arial"/>
        <charset val="134"/>
      </rPr>
      <t>9027</t>
    </r>
    <r>
      <rPr>
        <sz val="9"/>
        <color rgb="FF000000"/>
        <rFont val="楷体"/>
        <charset val="134"/>
      </rPr>
      <t>万人民币</t>
    </r>
  </si>
  <si>
    <t>大湾区共同家园发展基金</t>
  </si>
  <si>
    <t>2018-01-04</t>
  </si>
  <si>
    <t>未透露港元</t>
  </si>
  <si>
    <t>2017-04-03</t>
  </si>
  <si>
    <r>
      <rPr>
        <sz val="9"/>
        <color rgb="FF000000"/>
        <rFont val="楷体"/>
        <charset val="134"/>
      </rPr>
      <t>常春藤资本</t>
    </r>
    <r>
      <rPr>
        <sz val="9"/>
        <color rgb="FF000000"/>
        <rFont val="Arial"/>
        <charset val="134"/>
      </rPr>
      <t>,</t>
    </r>
    <r>
      <rPr>
        <sz val="9"/>
        <color rgb="FF000000"/>
        <rFont val="楷体"/>
        <charset val="134"/>
      </rPr>
      <t>盈富泰克</t>
    </r>
    <r>
      <rPr>
        <sz val="9"/>
        <color rgb="FF000000"/>
        <rFont val="Arial"/>
        <charset val="134"/>
      </rPr>
      <t>,</t>
    </r>
    <r>
      <rPr>
        <sz val="9"/>
        <color rgb="FF000000"/>
        <rFont val="楷体"/>
        <charset val="134"/>
      </rPr>
      <t>赛伯乐投资</t>
    </r>
  </si>
  <si>
    <t>华宇软件</t>
  </si>
  <si>
    <t>华宇软件是一家电子政务领域软件及信息服务提供商，业务涵盖了用户信息系统的全生命周期，具体包括信息化系统规划咨询、应用软件定制开发、信息化系统建设、信息化应用推广、信息化系统运维服务等。</t>
  </si>
  <si>
    <t>北京华宇软件股份有限公司</t>
  </si>
  <si>
    <t>https://www.thunisoft.cn/</t>
  </si>
  <si>
    <r>
      <rPr>
        <sz val="9"/>
        <color rgb="FF000000"/>
        <rFont val="Arial"/>
        <charset val="134"/>
      </rPr>
      <t>9.07</t>
    </r>
    <r>
      <rPr>
        <sz val="9"/>
        <color rgb="FF000000"/>
        <rFont val="楷体"/>
        <charset val="134"/>
      </rPr>
      <t>亿人民币</t>
    </r>
  </si>
  <si>
    <r>
      <rPr>
        <sz val="9"/>
        <color rgb="FF000000"/>
        <rFont val="Arial"/>
        <charset val="134"/>
      </rPr>
      <t>20.62</t>
    </r>
    <r>
      <rPr>
        <sz val="9"/>
        <color rgb="FF000000"/>
        <rFont val="楷体"/>
        <charset val="134"/>
      </rPr>
      <t>亿</t>
    </r>
  </si>
  <si>
    <r>
      <rPr>
        <sz val="9"/>
        <color rgb="FF000000"/>
        <rFont val="Arial"/>
        <charset val="134"/>
      </rPr>
      <t>180.3898</t>
    </r>
    <r>
      <rPr>
        <sz val="9"/>
        <color rgb="FF000000"/>
        <rFont val="楷体"/>
        <charset val="134"/>
      </rPr>
      <t>亿元</t>
    </r>
  </si>
  <si>
    <r>
      <rPr>
        <sz val="9"/>
        <color rgb="FF000000"/>
        <rFont val="楷体"/>
        <charset val="134"/>
      </rPr>
      <t>北京市海淀区中关村东路</t>
    </r>
    <r>
      <rPr>
        <sz val="9"/>
        <color rgb="FF000000"/>
        <rFont val="Arial"/>
        <charset val="134"/>
      </rPr>
      <t>1</t>
    </r>
    <r>
      <rPr>
        <sz val="9"/>
        <color rgb="FF000000"/>
        <rFont val="楷体"/>
        <charset val="134"/>
      </rPr>
      <t>号院清华科技园科技大厦</t>
    </r>
    <r>
      <rPr>
        <sz val="9"/>
        <color rgb="FF000000"/>
        <rFont val="Arial"/>
        <charset val="134"/>
      </rPr>
      <t>C</t>
    </r>
    <r>
      <rPr>
        <sz val="9"/>
        <color rgb="FF000000"/>
        <rFont val="楷体"/>
        <charset val="134"/>
      </rPr>
      <t>座</t>
    </r>
    <r>
      <rPr>
        <sz val="9"/>
        <color rgb="FF000000"/>
        <rFont val="Arial"/>
        <charset val="134"/>
      </rPr>
      <t>25</t>
    </r>
    <r>
      <rPr>
        <sz val="9"/>
        <color rgb="FF000000"/>
        <rFont val="楷体"/>
        <charset val="134"/>
      </rPr>
      <t>层</t>
    </r>
  </si>
  <si>
    <t>010-8262-2288</t>
  </si>
  <si>
    <t>guoxin@thunisoft.com</t>
  </si>
  <si>
    <t>2019-04-16</t>
  </si>
  <si>
    <r>
      <rPr>
        <sz val="9"/>
        <color rgb="FF000000"/>
        <rFont val="Arial"/>
        <charset val="134"/>
      </rPr>
      <t>10.55</t>
    </r>
    <r>
      <rPr>
        <sz val="9"/>
        <color rgb="FF000000"/>
        <rFont val="楷体"/>
        <charset val="134"/>
      </rPr>
      <t>亿人民币</t>
    </r>
  </si>
  <si>
    <r>
      <rPr>
        <sz val="9"/>
        <color rgb="FF000000"/>
        <rFont val="楷体"/>
        <charset val="134"/>
      </rPr>
      <t>蚂蚁集团</t>
    </r>
    <r>
      <rPr>
        <sz val="9"/>
        <color rgb="FF000000"/>
        <rFont val="Arial"/>
        <charset val="134"/>
      </rPr>
      <t>,</t>
    </r>
    <r>
      <rPr>
        <sz val="9"/>
        <color rgb="FF000000"/>
        <rFont val="楷体"/>
        <charset val="134"/>
      </rPr>
      <t>四川发展产业引导基金</t>
    </r>
  </si>
  <si>
    <t>2011-10-26</t>
  </si>
  <si>
    <t>2020-10-14</t>
  </si>
  <si>
    <t>神图科技</t>
  </si>
  <si>
    <r>
      <rPr>
        <sz val="9"/>
        <color rgb="FF000000"/>
        <rFont val="楷体"/>
        <charset val="134"/>
      </rPr>
      <t>神图科技是一家企业</t>
    </r>
    <r>
      <rPr>
        <sz val="9"/>
        <color rgb="FF000000"/>
        <rFont val="Arial"/>
        <charset val="134"/>
      </rPr>
      <t>IT</t>
    </r>
    <r>
      <rPr>
        <sz val="9"/>
        <color rgb="FF000000"/>
        <rFont val="楷体"/>
        <charset val="134"/>
      </rPr>
      <t>服务提供商，专注于计算机系统服务；基础软件服务；应用软件服务；软件开发、咨询等服务。</t>
    </r>
  </si>
  <si>
    <t>深圳神图科技有限公司</t>
  </si>
  <si>
    <t>2020-08</t>
  </si>
  <si>
    <r>
      <rPr>
        <sz val="9"/>
        <color rgb="FF000000"/>
        <rFont val="楷体"/>
        <charset val="134"/>
      </rPr>
      <t>深圳市南山区粤海街道滨海社区高新南十道</t>
    </r>
    <r>
      <rPr>
        <sz val="9"/>
        <color rgb="FF000000"/>
        <rFont val="Arial"/>
        <charset val="134"/>
      </rPr>
      <t>81</t>
    </r>
    <r>
      <rPr>
        <sz val="9"/>
        <color rgb="FF000000"/>
        <rFont val="楷体"/>
        <charset val="134"/>
      </rPr>
      <t>、</t>
    </r>
    <r>
      <rPr>
        <sz val="9"/>
        <color rgb="FF000000"/>
        <rFont val="Arial"/>
        <charset val="134"/>
      </rPr>
      <t>83</t>
    </r>
    <r>
      <rPr>
        <sz val="9"/>
        <color rgb="FF000000"/>
        <rFont val="楷体"/>
        <charset val="134"/>
      </rPr>
      <t>、</t>
    </r>
    <r>
      <rPr>
        <sz val="9"/>
        <color rgb="FF000000"/>
        <rFont val="Arial"/>
        <charset val="134"/>
      </rPr>
      <t>85</t>
    </r>
    <r>
      <rPr>
        <sz val="9"/>
        <color rgb="FF000000"/>
        <rFont val="楷体"/>
        <charset val="134"/>
      </rPr>
      <t>号</t>
    </r>
  </si>
  <si>
    <r>
      <rPr>
        <sz val="9"/>
        <color rgb="FF000000"/>
        <rFont val="楷体"/>
        <charset val="134"/>
      </rPr>
      <t>金沙江创投</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臻云创投</t>
    </r>
    <r>
      <rPr>
        <sz val="9"/>
        <color rgb="FF000000"/>
        <rFont val="Arial"/>
        <charset val="134"/>
      </rPr>
      <t>,</t>
    </r>
    <r>
      <rPr>
        <sz val="9"/>
        <color rgb="FF000000"/>
        <rFont val="楷体"/>
        <charset val="134"/>
      </rPr>
      <t>京东科技</t>
    </r>
  </si>
  <si>
    <t>2020-09-30</t>
  </si>
  <si>
    <t>中交金科物联</t>
  </si>
  <si>
    <t>中交金科物联是一家保险中介服务提供商，可提供保险经纪业务、保险代理业务，还涉及计算机系统、经济贸易咨询、企业管理等业务服务。</t>
  </si>
  <si>
    <t>中交金科物联科技（北京）有限公司</t>
  </si>
  <si>
    <r>
      <rPr>
        <sz val="9"/>
        <color rgb="FF000000"/>
        <rFont val="楷体"/>
        <charset val="134"/>
      </rPr>
      <t>深创投</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建信信托</t>
    </r>
  </si>
  <si>
    <r>
      <rPr>
        <sz val="9"/>
        <color rgb="FF000000"/>
        <rFont val="Arial"/>
        <charset val="134"/>
      </rPr>
      <t xml:space="preserve"> </t>
    </r>
    <r>
      <rPr>
        <sz val="9"/>
        <color rgb="FF000000"/>
        <rFont val="楷体"/>
        <charset val="134"/>
      </rPr>
      <t>北京市海淀区东北旺西路</t>
    </r>
    <r>
      <rPr>
        <sz val="9"/>
        <color rgb="FF000000"/>
        <rFont val="Arial"/>
        <charset val="134"/>
      </rPr>
      <t>8</t>
    </r>
    <r>
      <rPr>
        <sz val="9"/>
        <color rgb="FF000000"/>
        <rFont val="楷体"/>
        <charset val="134"/>
      </rPr>
      <t>号中关村软件园一期</t>
    </r>
  </si>
  <si>
    <t>010-5082-2896</t>
  </si>
  <si>
    <t>baxue@sinoiov.com</t>
  </si>
  <si>
    <t>2019-06-12</t>
  </si>
  <si>
    <t>中交金卡</t>
  </si>
  <si>
    <r>
      <rPr>
        <sz val="9"/>
        <color rgb="FF000000"/>
        <rFont val="楷体"/>
        <charset val="134"/>
      </rPr>
      <t>北京中交金卡科技有限公司隶属于交通运输部中国交通通信信息中心，是交通运输部指定的全国交通一卡通互联互通工作支撑单位，在部统一领导下，承担国家交通一卡通互联互通清分结算平台的建设及运营工作，提供安全、高效的业务数据交换和清结算业务。金卡公司按照交通运输部有关交通一卡通信息化建设要求，不断推进信息技术在公共交通运营管理、政府监管和行业服务等方面的应用，实现跨市域、跨交通方式的交通一卡通互联互通，为大众提供便利的公共交通出行服务，为建设畅通高效、安全绿色的综合交通运输体系做出积极贡献。</t>
    </r>
    <r>
      <rPr>
        <sz val="9"/>
        <color rgb="FF000000"/>
        <rFont val="Arial"/>
        <charset val="134"/>
      </rPr>
      <t xml:space="preserve">
</t>
    </r>
  </si>
  <si>
    <t>北京中交金卡科技有限公司</t>
  </si>
  <si>
    <t>https://www.cttic.cn/site-3</t>
  </si>
  <si>
    <r>
      <rPr>
        <sz val="9"/>
        <color rgb="FF000000"/>
        <rFont val="楷体"/>
        <charset val="134"/>
      </rPr>
      <t>北京市朝阳区安外外馆后身</t>
    </r>
    <r>
      <rPr>
        <sz val="9"/>
        <color rgb="FF000000"/>
        <rFont val="Arial"/>
        <charset val="134"/>
      </rPr>
      <t>1</t>
    </r>
    <r>
      <rPr>
        <sz val="9"/>
        <color rgb="FF000000"/>
        <rFont val="楷体"/>
        <charset val="134"/>
      </rPr>
      <t>号</t>
    </r>
  </si>
  <si>
    <t>010-6529-2114</t>
  </si>
  <si>
    <t>2015-06-08</t>
  </si>
  <si>
    <t>浙江融信是一家信息技术服务提供商。业务涵盖设计、制作、加工网络信息产品并提供相应的技术服务和咨询，设计、制作、发布国内广告等。</t>
  </si>
  <si>
    <t>浙江融信网络技术有限公司</t>
  </si>
  <si>
    <r>
      <rPr>
        <sz val="9"/>
        <color rgb="FF000000"/>
        <rFont val="楷体"/>
        <charset val="134"/>
      </rPr>
      <t>浙江省杭州市余杭区五常街道文一西路</t>
    </r>
    <r>
      <rPr>
        <sz val="9"/>
        <color rgb="FF000000"/>
        <rFont val="Arial"/>
        <charset val="134"/>
      </rPr>
      <t>969</t>
    </r>
    <r>
      <rPr>
        <sz val="9"/>
        <color rgb="FF000000"/>
        <rFont val="楷体"/>
        <charset val="134"/>
      </rPr>
      <t>号</t>
    </r>
  </si>
  <si>
    <t>0571-2688-8888</t>
  </si>
  <si>
    <t>2021-01-11</t>
  </si>
  <si>
    <t>GCash</t>
  </si>
  <si>
    <r>
      <rPr>
        <sz val="9"/>
        <color rgb="FF000000"/>
        <rFont val="Arial"/>
        <charset val="134"/>
      </rPr>
      <t>GCash</t>
    </r>
    <r>
      <rPr>
        <sz val="9"/>
        <color rgb="FF000000"/>
        <rFont val="楷体"/>
        <charset val="134"/>
      </rPr>
      <t>是一家菲律宾移动钱包运营商，为菲律宾民众的日常生活提供便捷、安全、可靠的数字支付服务。</t>
    </r>
    <r>
      <rPr>
        <sz val="9"/>
        <color rgb="FF000000"/>
        <rFont val="Arial"/>
        <charset val="134"/>
      </rPr>
      <t>GCash</t>
    </r>
    <r>
      <rPr>
        <sz val="9"/>
        <color rgb="FF000000"/>
        <rFont val="楷体"/>
        <charset val="134"/>
      </rPr>
      <t>已通过其创新移动钱包为超过</t>
    </r>
    <r>
      <rPr>
        <sz val="9"/>
        <color rgb="FF000000"/>
        <rFont val="Arial"/>
        <charset val="134"/>
      </rPr>
      <t>3300</t>
    </r>
    <r>
      <rPr>
        <sz val="9"/>
        <color rgb="FF000000"/>
        <rFont val="楷体"/>
        <charset val="134"/>
      </rPr>
      <t>万菲律宾人提供了数字金融工具和服务。用户可大限度地利用移动钱包进行线下及线上交易、购买手机充值卡、开设存款账户、储蓄、投资货币市场基金、以及购买保险产品。</t>
    </r>
  </si>
  <si>
    <t>https://www.gcash.com/</t>
  </si>
  <si>
    <r>
      <rPr>
        <sz val="9"/>
        <color rgb="FF000000"/>
        <rFont val="Arial"/>
        <charset val="134"/>
      </rPr>
      <t>1.75</t>
    </r>
    <r>
      <rPr>
        <sz val="9"/>
        <color rgb="FF000000"/>
        <rFont val="楷体"/>
        <charset val="134"/>
      </rPr>
      <t>亿美元</t>
    </r>
  </si>
  <si>
    <t>Bow Wave Capital Management</t>
  </si>
  <si>
    <r>
      <rPr>
        <sz val="9"/>
        <color rgb="FF000000"/>
        <rFont val="Arial"/>
        <charset val="134"/>
      </rPr>
      <t>17.88</t>
    </r>
    <r>
      <rPr>
        <sz val="9"/>
        <color rgb="FF000000"/>
        <rFont val="楷体"/>
        <charset val="134"/>
      </rPr>
      <t>亿</t>
    </r>
  </si>
  <si>
    <t>Aminboratong V. Muhkhaled:President /Founder &amp; CEO</t>
  </si>
  <si>
    <t>2021-04-08</t>
  </si>
  <si>
    <t>西游记NFT</t>
  </si>
  <si>
    <r>
      <rPr>
        <sz val="9"/>
        <color rgb="FF000000"/>
        <rFont val="楷体"/>
        <charset val="134"/>
      </rPr>
      <t>西游记</t>
    </r>
    <r>
      <rPr>
        <sz val="9"/>
        <color rgb="FF000000"/>
        <rFont val="Arial"/>
        <charset val="134"/>
      </rPr>
      <t>NFT</t>
    </r>
  </si>
  <si>
    <r>
      <rPr>
        <sz val="9"/>
        <color rgb="FF000000"/>
        <rFont val="楷体"/>
        <charset val="134"/>
      </rPr>
      <t>西游记</t>
    </r>
    <r>
      <rPr>
        <sz val="9"/>
        <color rgb="FF000000"/>
        <rFont val="Arial"/>
        <charset val="134"/>
      </rPr>
      <t>NFT</t>
    </r>
    <r>
      <rPr>
        <sz val="9"/>
        <color rgb="FF000000"/>
        <rFont val="楷体"/>
        <charset val="134"/>
      </rPr>
      <t>是一家区块链</t>
    </r>
    <r>
      <rPr>
        <sz val="9"/>
        <color rgb="FF000000"/>
        <rFont val="Arial"/>
        <charset val="134"/>
      </rPr>
      <t>NFT</t>
    </r>
    <r>
      <rPr>
        <sz val="9"/>
        <color rgb="FF000000"/>
        <rFont val="楷体"/>
        <charset val="134"/>
      </rPr>
      <t>卡牌游戏研发商，用户通过购买</t>
    </r>
    <r>
      <rPr>
        <sz val="9"/>
        <color rgb="FF000000"/>
        <rFont val="Arial"/>
        <charset val="134"/>
      </rPr>
      <t>NFT</t>
    </r>
    <r>
      <rPr>
        <sz val="9"/>
        <color rgb="FF000000"/>
        <rFont val="楷体"/>
        <charset val="134"/>
      </rPr>
      <t>盲盒，可以获得不同战力的卡牌英雄；通过升级、添加装备、组合等方式提升卡牌战力。</t>
    </r>
  </si>
  <si>
    <t>区块链应用技术</t>
  </si>
  <si>
    <t>BiBull capital,Clouds Foundation</t>
  </si>
  <si>
    <t>2021-01-01</t>
  </si>
  <si>
    <r>
      <rPr>
        <sz val="9"/>
        <color rgb="FF000000"/>
        <rFont val="楷体"/>
        <charset val="134"/>
      </rPr>
      <t>蚂蚁集团</t>
    </r>
    <r>
      <rPr>
        <sz val="9"/>
        <color rgb="FF000000"/>
        <rFont val="Arial"/>
        <charset val="134"/>
      </rPr>
      <t>,</t>
    </r>
    <r>
      <rPr>
        <sz val="9"/>
        <color rgb="FF000000"/>
        <rFont val="楷体"/>
        <charset val="134"/>
      </rPr>
      <t>大德资本</t>
    </r>
    <r>
      <rPr>
        <sz val="9"/>
        <color rgb="FF000000"/>
        <rFont val="Arial"/>
        <charset val="134"/>
      </rPr>
      <t>,</t>
    </r>
    <r>
      <rPr>
        <sz val="9"/>
        <color rgb="FF000000"/>
        <rFont val="楷体"/>
        <charset val="134"/>
      </rPr>
      <t>世链资本</t>
    </r>
    <r>
      <rPr>
        <sz val="9"/>
        <color rgb="FF000000"/>
        <rFont val="Arial"/>
        <charset val="134"/>
      </rPr>
      <t>,</t>
    </r>
    <r>
      <rPr>
        <sz val="9"/>
        <color rgb="FF000000"/>
        <rFont val="楷体"/>
        <charset val="134"/>
      </rPr>
      <t>五色资本</t>
    </r>
    <r>
      <rPr>
        <sz val="9"/>
        <color rgb="FF000000"/>
        <rFont val="Arial"/>
        <charset val="134"/>
      </rPr>
      <t>,</t>
    </r>
    <r>
      <rPr>
        <sz val="9"/>
        <color rgb="FF000000"/>
        <rFont val="楷体"/>
        <charset val="134"/>
      </rPr>
      <t>观澜资本</t>
    </r>
    <r>
      <rPr>
        <sz val="9"/>
        <color rgb="FF000000"/>
        <rFont val="Arial"/>
        <charset val="134"/>
      </rPr>
      <t>,</t>
    </r>
    <r>
      <rPr>
        <sz val="9"/>
        <color rgb="FF000000"/>
        <rFont val="楷体"/>
        <charset val="134"/>
      </rPr>
      <t>亚洲区块链学会</t>
    </r>
  </si>
  <si>
    <t>Dotz</t>
  </si>
  <si>
    <r>
      <rPr>
        <sz val="9"/>
        <color rgb="FF000000"/>
        <rFont val="Arial"/>
        <charset val="134"/>
      </rPr>
      <t>Dotz</t>
    </r>
    <r>
      <rPr>
        <sz val="9"/>
        <color rgb="FF000000"/>
        <rFont val="楷体"/>
        <charset val="134"/>
      </rPr>
      <t>是一个巴西忠诚度积分平台，可以使巴西人的生活更赚钱的</t>
    </r>
    <r>
      <rPr>
        <sz val="9"/>
        <color rgb="FF000000"/>
        <rFont val="Arial"/>
        <charset val="134"/>
      </rPr>
      <t>Dotz</t>
    </r>
    <r>
      <rPr>
        <sz val="9"/>
        <color rgb="FF000000"/>
        <rFont val="楷体"/>
        <charset val="134"/>
      </rPr>
      <t>硬币存在于</t>
    </r>
    <r>
      <rPr>
        <sz val="9"/>
        <color rgb="FF000000"/>
        <rFont val="Arial"/>
        <charset val="134"/>
      </rPr>
      <t>690</t>
    </r>
    <r>
      <rPr>
        <sz val="9"/>
        <color rgb="FF000000"/>
        <rFont val="楷体"/>
        <charset val="134"/>
      </rPr>
      <t>个城市的</t>
    </r>
    <r>
      <rPr>
        <sz val="9"/>
        <color rgb="FF000000"/>
        <rFont val="Arial"/>
        <charset val="134"/>
      </rPr>
      <t>12</t>
    </r>
    <r>
      <rPr>
        <sz val="9"/>
        <color rgb="FF000000"/>
        <rFont val="楷体"/>
        <charset val="134"/>
      </rPr>
      <t>个地方，并允许消费者在广泛的实体和在线合作伙伴网络的数个地方赚取。</t>
    </r>
  </si>
  <si>
    <r>
      <rPr>
        <sz val="9"/>
        <color rgb="FF000000"/>
        <rFont val="楷体"/>
        <charset val="134"/>
      </rPr>
      <t>南美洲</t>
    </r>
    <r>
      <rPr>
        <sz val="9"/>
        <color rgb="FF000000"/>
        <rFont val="Arial"/>
        <charset val="134"/>
      </rPr>
      <t>-</t>
    </r>
    <r>
      <rPr>
        <sz val="9"/>
        <color rgb="FF000000"/>
        <rFont val="楷体"/>
        <charset val="134"/>
      </rPr>
      <t>巴西</t>
    </r>
  </si>
  <si>
    <t>Alexandre Chade:Founder, Owner, Executive Chairman,Otávio Araujo:Managing Partner, COO, and CFO,Roberto Saddy Chade:CEO and Co-founder,Rodrigo Noll:Referral Marketing Specialist and Head of Growth</t>
  </si>
  <si>
    <t>2021-05-24</t>
  </si>
  <si>
    <t>中交车旺</t>
  </si>
  <si>
    <r>
      <rPr>
        <sz val="9"/>
        <color rgb="FF000000"/>
        <rFont val="楷体"/>
        <charset val="134"/>
      </rPr>
      <t>江苏中交车旺科技是一家商用车综合服务平台，旗下涵盖车旺运力、车旺加油、车旺养车、车旺</t>
    </r>
    <r>
      <rPr>
        <sz val="9"/>
        <color rgb="FF000000"/>
        <rFont val="Arial"/>
        <charset val="134"/>
      </rPr>
      <t>ETC</t>
    </r>
    <r>
      <rPr>
        <sz val="9"/>
        <color rgb="FF000000"/>
        <rFont val="楷体"/>
        <charset val="134"/>
      </rPr>
      <t>等多项商用车服务与运营业务。</t>
    </r>
  </si>
  <si>
    <t>江苏中交车旺科技有限公司</t>
  </si>
  <si>
    <t>https://portal.jklogi.com/</t>
  </si>
  <si>
    <t>2021-03</t>
  </si>
  <si>
    <r>
      <rPr>
        <sz val="9"/>
        <color rgb="FF000000"/>
        <rFont val="楷体"/>
        <charset val="134"/>
      </rPr>
      <t>江苏</t>
    </r>
    <r>
      <rPr>
        <sz val="9"/>
        <color rgb="FF000000"/>
        <rFont val="Arial"/>
        <charset val="134"/>
      </rPr>
      <t>-</t>
    </r>
    <r>
      <rPr>
        <sz val="9"/>
        <color rgb="FF000000"/>
        <rFont val="楷体"/>
        <charset val="134"/>
      </rPr>
      <t>盐城</t>
    </r>
  </si>
  <si>
    <r>
      <rPr>
        <sz val="9"/>
        <color rgb="FF000000"/>
        <rFont val="楷体"/>
        <charset val="134"/>
      </rPr>
      <t>金沙江创投</t>
    </r>
    <r>
      <rPr>
        <sz val="9"/>
        <color rgb="FF000000"/>
        <rFont val="Arial"/>
        <charset val="134"/>
      </rPr>
      <t>,</t>
    </r>
    <r>
      <rPr>
        <sz val="9"/>
        <color rgb="FF000000"/>
        <rFont val="楷体"/>
        <charset val="134"/>
      </rPr>
      <t>盘古创富</t>
    </r>
    <r>
      <rPr>
        <sz val="9"/>
        <color rgb="FF000000"/>
        <rFont val="Arial"/>
        <charset val="134"/>
      </rPr>
      <t>VANGOO,</t>
    </r>
    <r>
      <rPr>
        <sz val="9"/>
        <color rgb="FF000000"/>
        <rFont val="楷体"/>
        <charset val="134"/>
      </rPr>
      <t>百度</t>
    </r>
    <r>
      <rPr>
        <sz val="9"/>
        <color rgb="FF000000"/>
        <rFont val="Arial"/>
        <charset val="134"/>
      </rPr>
      <t>,</t>
    </r>
    <r>
      <rPr>
        <sz val="9"/>
        <color rgb="FF000000"/>
        <rFont val="楷体"/>
        <charset val="134"/>
      </rPr>
      <t>招商局创投</t>
    </r>
  </si>
  <si>
    <r>
      <rPr>
        <sz val="9"/>
        <color rgb="FF000000"/>
        <rFont val="楷体"/>
        <charset val="134"/>
      </rPr>
      <t>江苏盐城市盐南高新区文港南路</t>
    </r>
    <r>
      <rPr>
        <sz val="9"/>
        <color rgb="FF000000"/>
        <rFont val="Arial"/>
        <charset val="134"/>
      </rPr>
      <t>49</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301</t>
    </r>
    <r>
      <rPr>
        <sz val="9"/>
        <color rgb="FF000000"/>
        <rFont val="楷体"/>
        <charset val="134"/>
      </rPr>
      <t>室</t>
    </r>
  </si>
  <si>
    <t>2021-04-27</t>
  </si>
  <si>
    <r>
      <rPr>
        <sz val="9"/>
        <color rgb="FF000000"/>
        <rFont val="楷体"/>
        <charset val="134"/>
      </rPr>
      <t>深创投</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北京千方集团</t>
    </r>
    <r>
      <rPr>
        <sz val="9"/>
        <color rgb="FF000000"/>
        <rFont val="Arial"/>
        <charset val="134"/>
      </rPr>
      <t>,</t>
    </r>
    <r>
      <rPr>
        <sz val="9"/>
        <color rgb="FF000000"/>
        <rFont val="楷体"/>
        <charset val="134"/>
      </rPr>
      <t>北京车联网产业发展基金</t>
    </r>
  </si>
  <si>
    <t>2022-04-18</t>
  </si>
  <si>
    <t>小哈换电</t>
  </si>
  <si>
    <r>
      <rPr>
        <sz val="9"/>
        <color rgb="FF000000"/>
        <rFont val="楷体"/>
        <charset val="134"/>
      </rPr>
      <t>小哈换电是两轮电动车换电行业全国首家获《电动自行车充换电柜技术规范》中国质量认证中心</t>
    </r>
    <r>
      <rPr>
        <sz val="9"/>
        <color rgb="FF000000"/>
        <rFont val="Arial"/>
        <charset val="134"/>
      </rPr>
      <t>CQC</t>
    </r>
    <r>
      <rPr>
        <sz val="9"/>
        <color rgb="FF000000"/>
        <rFont val="楷体"/>
        <charset val="134"/>
      </rPr>
      <t>标准认证企业，作为两轮换电网络运营服务商，为广大两轮电动车出行用户提供电池更换服务，包括</t>
    </r>
    <r>
      <rPr>
        <sz val="9"/>
        <color rgb="FF000000"/>
        <rFont val="Arial"/>
        <charset val="134"/>
      </rPr>
      <t>B</t>
    </r>
    <r>
      <rPr>
        <sz val="9"/>
        <color rgb="FF000000"/>
        <rFont val="楷体"/>
        <charset val="134"/>
      </rPr>
      <t>端也包括</t>
    </r>
    <r>
      <rPr>
        <sz val="9"/>
        <color rgb="FF000000"/>
        <rFont val="Arial"/>
        <charset val="134"/>
      </rPr>
      <t>C</t>
    </r>
    <r>
      <rPr>
        <sz val="9"/>
        <color rgb="FF000000"/>
        <rFont val="楷体"/>
        <charset val="134"/>
      </rPr>
      <t>端用户。其体系由智能锂电池、智能换电柜及后台一体化智能管理系统组成，可应用于日常生活通勤、城市商业物流、大学校园出行、旅游景区交通等多个场景。</t>
    </r>
  </si>
  <si>
    <t>福建宁德惠智无限科技有限公司</t>
  </si>
  <si>
    <r>
      <rPr>
        <sz val="9"/>
        <color rgb="FF000000"/>
        <rFont val="楷体"/>
        <charset val="134"/>
      </rPr>
      <t>福建</t>
    </r>
    <r>
      <rPr>
        <sz val="9"/>
        <color rgb="FF000000"/>
        <rFont val="Arial"/>
        <charset val="134"/>
      </rPr>
      <t>-</t>
    </r>
    <r>
      <rPr>
        <sz val="9"/>
        <color rgb="FF000000"/>
        <rFont val="楷体"/>
        <charset val="134"/>
      </rPr>
      <t>宁德</t>
    </r>
  </si>
  <si>
    <t>新能源</t>
  </si>
  <si>
    <t>中恒电气</t>
  </si>
  <si>
    <r>
      <rPr>
        <sz val="9"/>
        <color rgb="FF000000"/>
        <rFont val="Arial"/>
        <charset val="134"/>
      </rPr>
      <t>7.3</t>
    </r>
    <r>
      <rPr>
        <sz val="9"/>
        <color rgb="FF000000"/>
        <rFont val="楷体"/>
        <charset val="134"/>
      </rPr>
      <t>亿</t>
    </r>
  </si>
  <si>
    <r>
      <rPr>
        <sz val="9"/>
        <color rgb="FF000000"/>
        <rFont val="楷体"/>
        <charset val="134"/>
      </rPr>
      <t>杨磊</t>
    </r>
    <r>
      <rPr>
        <sz val="9"/>
        <color rgb="FF000000"/>
        <rFont val="Arial"/>
        <charset val="134"/>
      </rPr>
      <t>:CEO</t>
    </r>
  </si>
  <si>
    <r>
      <rPr>
        <sz val="9"/>
        <color rgb="FF000000"/>
        <rFont val="楷体"/>
        <charset val="134"/>
      </rPr>
      <t>福建省宁德市蕉城区万安西路</t>
    </r>
    <r>
      <rPr>
        <sz val="9"/>
        <color rgb="FF000000"/>
        <rFont val="Arial"/>
        <charset val="134"/>
      </rPr>
      <t>10</t>
    </r>
    <r>
      <rPr>
        <sz val="9"/>
        <color rgb="FF000000"/>
        <rFont val="楷体"/>
        <charset val="134"/>
      </rPr>
      <t>号四层</t>
    </r>
  </si>
  <si>
    <t>021-6071-2060</t>
  </si>
  <si>
    <t>luojingxian@hellobike.com</t>
  </si>
  <si>
    <t>2021-07-20</t>
  </si>
  <si>
    <r>
      <rPr>
        <sz val="9"/>
        <color rgb="FF000000"/>
        <rFont val="楷体"/>
        <charset val="134"/>
      </rPr>
      <t>磐谷创投</t>
    </r>
    <r>
      <rPr>
        <sz val="9"/>
        <color rgb="FF000000"/>
        <rFont val="Arial"/>
        <charset val="134"/>
      </rPr>
      <t>,</t>
    </r>
    <r>
      <rPr>
        <sz val="9"/>
        <color rgb="FF000000"/>
        <rFont val="楷体"/>
        <charset val="134"/>
      </rPr>
      <t>慕华科创</t>
    </r>
    <r>
      <rPr>
        <sz val="9"/>
        <color rgb="FF000000"/>
        <rFont val="Arial"/>
        <charset val="134"/>
      </rPr>
      <t>,</t>
    </r>
    <r>
      <rPr>
        <sz val="9"/>
        <color rgb="FF000000"/>
        <rFont val="楷体"/>
        <charset val="134"/>
      </rPr>
      <t>大湾区共同家园发展基金</t>
    </r>
  </si>
  <si>
    <t>2020-04-07</t>
  </si>
  <si>
    <t>2019-07-01</t>
  </si>
  <si>
    <r>
      <rPr>
        <sz val="9"/>
        <color rgb="FF000000"/>
        <rFont val="楷体"/>
        <charset val="134"/>
      </rPr>
      <t>蚂蚁集团</t>
    </r>
    <r>
      <rPr>
        <sz val="9"/>
        <color rgb="FF000000"/>
        <rFont val="Arial"/>
        <charset val="134"/>
      </rPr>
      <t>,</t>
    </r>
    <r>
      <rPr>
        <sz val="9"/>
        <color rgb="FF000000"/>
        <rFont val="楷体"/>
        <charset val="134"/>
      </rPr>
      <t>宁德时代</t>
    </r>
  </si>
  <si>
    <t>M-DAQ</t>
  </si>
  <si>
    <r>
      <rPr>
        <sz val="9"/>
        <color rgb="FF000000"/>
        <rFont val="Arial"/>
        <charset val="134"/>
      </rPr>
      <t>M-DAQ</t>
    </r>
    <r>
      <rPr>
        <sz val="9"/>
        <color rgb="FF000000"/>
        <rFont val="楷体"/>
        <charset val="134"/>
      </rPr>
      <t>是一家新加坡跨跨境支付服务商，通过构建</t>
    </r>
    <r>
      <rPr>
        <sz val="9"/>
        <color rgb="FF000000"/>
        <rFont val="Arial"/>
        <charset val="134"/>
      </rPr>
      <t>OTT</t>
    </r>
    <r>
      <rPr>
        <sz val="9"/>
        <color rgb="FF000000"/>
        <rFont val="楷体"/>
        <charset val="134"/>
      </rPr>
      <t>式应用，面向跨国公司、证券交易所、金融中介、电子商务平台和支付网关，以及过去被传统金融机构所忽视的细分市场提供跨境解决方案。</t>
    </r>
  </si>
  <si>
    <t>https://www.m-daq.com/</t>
  </si>
  <si>
    <t>Affinity Equity Partners</t>
  </si>
  <si>
    <r>
      <rPr>
        <sz val="9"/>
        <color rgb="FF000000"/>
        <rFont val="Arial"/>
        <charset val="134"/>
      </rPr>
      <t>22.67</t>
    </r>
    <r>
      <rPr>
        <sz val="9"/>
        <color rgb="FF000000"/>
        <rFont val="楷体"/>
        <charset val="134"/>
      </rPr>
      <t>亿</t>
    </r>
  </si>
  <si>
    <t>Lawrence Yong:General Manager,Lee Yaw Chyun:Founding CFO,Noboru Takahashi:Founding CTO,Richard Koh:Founder and CEO,Saparigiri Sambandan:Fellow Engineer</t>
  </si>
  <si>
    <t>2019-11-13</t>
  </si>
  <si>
    <r>
      <rPr>
        <sz val="9"/>
        <color rgb="FF000000"/>
        <rFont val="楷体"/>
        <charset val="134"/>
      </rPr>
      <t>金沙江创投</t>
    </r>
    <r>
      <rPr>
        <sz val="9"/>
        <color rgb="FF000000"/>
        <rFont val="Arial"/>
        <charset val="134"/>
      </rPr>
      <t>,Vickers,Samsung Ventures</t>
    </r>
    <r>
      <rPr>
        <sz val="9"/>
        <color rgb="FF000000"/>
        <rFont val="楷体"/>
        <charset val="134"/>
      </rPr>
      <t>三星</t>
    </r>
    <r>
      <rPr>
        <sz val="9"/>
        <color rgb="FF000000"/>
        <rFont val="Arial"/>
        <charset val="134"/>
      </rPr>
      <t>,</t>
    </r>
    <r>
      <rPr>
        <sz val="9"/>
        <color rgb="FF000000"/>
        <rFont val="楷体"/>
        <charset val="134"/>
      </rPr>
      <t>蚂蚁集团</t>
    </r>
    <r>
      <rPr>
        <sz val="9"/>
        <color rgb="FF000000"/>
        <rFont val="Arial"/>
        <charset val="134"/>
      </rPr>
      <t>,EDBI</t>
    </r>
  </si>
  <si>
    <r>
      <rPr>
        <sz val="9"/>
        <color rgb="FF000000"/>
        <rFont val="Arial"/>
        <charset val="134"/>
      </rPr>
      <t>8700</t>
    </r>
    <r>
      <rPr>
        <sz val="9"/>
        <color rgb="FF000000"/>
        <rFont val="楷体"/>
        <charset val="134"/>
      </rPr>
      <t>万美元</t>
    </r>
  </si>
  <si>
    <r>
      <rPr>
        <sz val="9"/>
        <color rgb="FF000000"/>
        <rFont val="Arial"/>
        <charset val="134"/>
      </rPr>
      <t>Samsung Ventures</t>
    </r>
    <r>
      <rPr>
        <sz val="9"/>
        <color rgb="FF000000"/>
        <rFont val="楷体"/>
        <charset val="134"/>
      </rPr>
      <t>三星</t>
    </r>
    <r>
      <rPr>
        <sz val="9"/>
        <color rgb="FF000000"/>
        <rFont val="Arial"/>
        <charset val="134"/>
      </rPr>
      <t>,</t>
    </r>
    <r>
      <rPr>
        <sz val="9"/>
        <color rgb="FF000000"/>
        <rFont val="楷体"/>
        <charset val="134"/>
      </rPr>
      <t>蚂蚁集团</t>
    </r>
  </si>
  <si>
    <t>2013-10-21</t>
  </si>
  <si>
    <r>
      <rPr>
        <sz val="9"/>
        <color rgb="FF000000"/>
        <rFont val="Arial"/>
        <charset val="134"/>
      </rPr>
      <t>1170</t>
    </r>
    <r>
      <rPr>
        <sz val="9"/>
        <color rgb="FF000000"/>
        <rFont val="楷体"/>
        <charset val="134"/>
      </rPr>
      <t>万美元</t>
    </r>
  </si>
  <si>
    <r>
      <rPr>
        <sz val="9"/>
        <color rgb="FF000000"/>
        <rFont val="楷体"/>
        <charset val="134"/>
      </rPr>
      <t>金沙江创投</t>
    </r>
    <r>
      <rPr>
        <sz val="9"/>
        <color rgb="FF000000"/>
        <rFont val="Arial"/>
        <charset val="134"/>
      </rPr>
      <t>,</t>
    </r>
    <r>
      <rPr>
        <sz val="9"/>
        <color rgb="FF000000"/>
        <rFont val="楷体"/>
        <charset val="134"/>
      </rPr>
      <t>花旗</t>
    </r>
    <r>
      <rPr>
        <sz val="9"/>
        <color rgb="FF000000"/>
        <rFont val="Arial"/>
        <charset val="134"/>
      </rPr>
      <t>Citi Ventures</t>
    </r>
  </si>
  <si>
    <t>2021-11-16</t>
  </si>
  <si>
    <t>商兆科技</t>
  </si>
  <si>
    <t>商兆科技是一家电子营业执照提供商，公司是获得国家权威部门授权的电子营业执照推广与服务合作伙伴，为金融、电商、招聘、出行、旅游、生活服务等各行业平台提供电子营业执照的方案咨询、系统对接、定制开发与传播推广等服务。</t>
  </si>
  <si>
    <t>北京商兆科技有限公司</t>
  </si>
  <si>
    <t>http://www.shangzhao360.com</t>
  </si>
  <si>
    <r>
      <rPr>
        <sz val="9"/>
        <color rgb="FF000000"/>
        <rFont val="楷体"/>
        <charset val="134"/>
      </rPr>
      <t>北京市海淀区学院南路</t>
    </r>
    <r>
      <rPr>
        <sz val="9"/>
        <color rgb="FF000000"/>
        <rFont val="Arial"/>
        <charset val="134"/>
      </rPr>
      <t>15</t>
    </r>
    <r>
      <rPr>
        <sz val="9"/>
        <color rgb="FF000000"/>
        <rFont val="楷体"/>
        <charset val="134"/>
      </rPr>
      <t>号</t>
    </r>
    <r>
      <rPr>
        <sz val="9"/>
        <color rgb="FF000000"/>
        <rFont val="Arial"/>
        <charset val="134"/>
      </rPr>
      <t>16</t>
    </r>
    <r>
      <rPr>
        <sz val="9"/>
        <color rgb="FF000000"/>
        <rFont val="楷体"/>
        <charset val="134"/>
      </rPr>
      <t>号楼一层</t>
    </r>
    <r>
      <rPr>
        <sz val="9"/>
        <color rgb="FF000000"/>
        <rFont val="Arial"/>
        <charset val="134"/>
      </rPr>
      <t>1013</t>
    </r>
  </si>
  <si>
    <t>010-8222-8990</t>
  </si>
  <si>
    <t>lixiaoyan@shangzhao360.com</t>
  </si>
  <si>
    <t>蚂蚁消金</t>
  </si>
  <si>
    <t>蚂蚁消金是蚂蚁金服旗下的消费金融业务主体公司，旗下业务包括借呗、花呗等。</t>
  </si>
  <si>
    <t>重庆蚂蚁消费金融有限公司</t>
  </si>
  <si>
    <t>http://www.myxiaojin.cn/</t>
  </si>
  <si>
    <r>
      <rPr>
        <sz val="9"/>
        <color rgb="FF000000"/>
        <rFont val="Arial"/>
        <charset val="134"/>
      </rPr>
      <t>105</t>
    </r>
    <r>
      <rPr>
        <sz val="9"/>
        <color rgb="FF000000"/>
        <rFont val="楷体"/>
        <charset val="134"/>
      </rPr>
      <t>亿人民币</t>
    </r>
  </si>
  <si>
    <r>
      <rPr>
        <sz val="9"/>
        <color rgb="FF000000"/>
        <rFont val="楷体"/>
        <charset val="134"/>
      </rPr>
      <t>蚂蚁集团</t>
    </r>
    <r>
      <rPr>
        <sz val="9"/>
        <color rgb="FF000000"/>
        <rFont val="Arial"/>
        <charset val="134"/>
      </rPr>
      <t>,</t>
    </r>
    <r>
      <rPr>
        <sz val="9"/>
        <color rgb="FF000000"/>
        <rFont val="楷体"/>
        <charset val="134"/>
      </rPr>
      <t>千方科技</t>
    </r>
    <r>
      <rPr>
        <sz val="9"/>
        <color rgb="FF000000"/>
        <rFont val="Arial"/>
        <charset val="134"/>
      </rPr>
      <t>,</t>
    </r>
    <r>
      <rPr>
        <sz val="9"/>
        <color rgb="FF000000"/>
        <rFont val="楷体"/>
        <charset val="134"/>
      </rPr>
      <t>传化集团</t>
    </r>
    <r>
      <rPr>
        <sz val="9"/>
        <color rgb="FF000000"/>
        <rFont val="Arial"/>
        <charset val="134"/>
      </rPr>
      <t>,</t>
    </r>
    <r>
      <rPr>
        <sz val="9"/>
        <color rgb="FF000000"/>
        <rFont val="楷体"/>
        <charset val="134"/>
      </rPr>
      <t>中国华融</t>
    </r>
    <r>
      <rPr>
        <sz val="9"/>
        <color rgb="FF000000"/>
        <rFont val="Arial"/>
        <charset val="134"/>
      </rPr>
      <t>,</t>
    </r>
    <r>
      <rPr>
        <sz val="9"/>
        <color rgb="FF000000"/>
        <rFont val="楷体"/>
        <charset val="134"/>
      </rPr>
      <t>宁德时代</t>
    </r>
    <r>
      <rPr>
        <sz val="9"/>
        <color rgb="FF000000"/>
        <rFont val="Arial"/>
        <charset val="134"/>
      </rPr>
      <t>,</t>
    </r>
    <r>
      <rPr>
        <sz val="9"/>
        <color rgb="FF000000"/>
        <rFont val="楷体"/>
        <charset val="134"/>
      </rPr>
      <t>鱼跃医疗</t>
    </r>
    <r>
      <rPr>
        <sz val="9"/>
        <color rgb="FF000000"/>
        <rFont val="Arial"/>
        <charset val="134"/>
      </rPr>
      <t>,</t>
    </r>
    <r>
      <rPr>
        <sz val="9"/>
        <color rgb="FF000000"/>
        <rFont val="楷体"/>
        <charset val="134"/>
      </rPr>
      <t>博冠科技</t>
    </r>
    <r>
      <rPr>
        <sz val="9"/>
        <color rgb="FF000000"/>
        <rFont val="Arial"/>
        <charset val="134"/>
      </rPr>
      <t>,</t>
    </r>
    <r>
      <rPr>
        <sz val="9"/>
        <color rgb="FF000000"/>
        <rFont val="楷体"/>
        <charset val="134"/>
      </rPr>
      <t>舜宇光学</t>
    </r>
    <r>
      <rPr>
        <sz val="9"/>
        <color rgb="FF000000"/>
        <rFont val="Arial"/>
        <charset val="134"/>
      </rPr>
      <t>,</t>
    </r>
    <r>
      <rPr>
        <sz val="9"/>
        <color rgb="FF000000"/>
        <rFont val="楷体"/>
        <charset val="134"/>
      </rPr>
      <t>杭金数科</t>
    </r>
    <r>
      <rPr>
        <sz val="9"/>
        <color rgb="FF000000"/>
        <rFont val="Arial"/>
        <charset val="134"/>
      </rPr>
      <t>,</t>
    </r>
    <r>
      <rPr>
        <sz val="9"/>
        <color rgb="FF000000"/>
        <rFont val="楷体"/>
        <charset val="134"/>
      </rPr>
      <t>南洋商业银行</t>
    </r>
    <r>
      <rPr>
        <sz val="9"/>
        <color rgb="FF000000"/>
        <rFont val="Arial"/>
        <charset val="134"/>
      </rPr>
      <t>,</t>
    </r>
    <r>
      <rPr>
        <sz val="9"/>
        <color rgb="FF000000"/>
        <rFont val="楷体"/>
        <charset val="134"/>
      </rPr>
      <t>国泰世华银行</t>
    </r>
    <r>
      <rPr>
        <sz val="9"/>
        <color rgb="FF000000"/>
        <rFont val="Arial"/>
        <charset val="134"/>
      </rPr>
      <t>,</t>
    </r>
    <r>
      <rPr>
        <sz val="9"/>
        <color rgb="FF000000"/>
        <rFont val="楷体"/>
        <charset val="134"/>
      </rPr>
      <t>农信集团</t>
    </r>
  </si>
  <si>
    <r>
      <rPr>
        <sz val="9"/>
        <color rgb="FF000000"/>
        <rFont val="Arial"/>
        <charset val="134"/>
      </rPr>
      <t>185</t>
    </r>
    <r>
      <rPr>
        <sz val="9"/>
        <color rgb="FF000000"/>
        <rFont val="楷体"/>
        <charset val="134"/>
      </rPr>
      <t>亿</t>
    </r>
  </si>
  <si>
    <r>
      <rPr>
        <sz val="9"/>
        <color rgb="FF000000"/>
        <rFont val="Arial"/>
        <charset val="134"/>
      </rPr>
      <t>185</t>
    </r>
    <r>
      <rPr>
        <sz val="9"/>
        <color rgb="FF000000"/>
        <rFont val="楷体"/>
        <charset val="134"/>
      </rPr>
      <t>亿元</t>
    </r>
  </si>
  <si>
    <r>
      <rPr>
        <sz val="9"/>
        <color rgb="FF000000"/>
        <rFont val="楷体"/>
        <charset val="134"/>
      </rPr>
      <t>重庆市南岸区复兴街</t>
    </r>
    <r>
      <rPr>
        <sz val="9"/>
        <color rgb="FF000000"/>
        <rFont val="Arial"/>
        <charset val="134"/>
      </rPr>
      <t>9</t>
    </r>
    <r>
      <rPr>
        <sz val="9"/>
        <color rgb="FF000000"/>
        <rFont val="楷体"/>
        <charset val="134"/>
      </rPr>
      <t>号</t>
    </r>
    <r>
      <rPr>
        <sz val="9"/>
        <color rgb="FF000000"/>
        <rFont val="Arial"/>
        <charset val="134"/>
      </rPr>
      <t>32-1</t>
    </r>
  </si>
  <si>
    <t>fenbei@alipay.com</t>
  </si>
  <si>
    <t>2021-06-04</t>
  </si>
  <si>
    <r>
      <rPr>
        <sz val="9"/>
        <color rgb="FF000000"/>
        <rFont val="Arial"/>
        <charset val="134"/>
      </rPr>
      <t>80</t>
    </r>
    <r>
      <rPr>
        <sz val="9"/>
        <color rgb="FF000000"/>
        <rFont val="楷体"/>
        <charset val="134"/>
      </rPr>
      <t>亿人民币</t>
    </r>
  </si>
  <si>
    <r>
      <rPr>
        <sz val="9"/>
        <color rgb="FF000000"/>
        <rFont val="楷体"/>
        <charset val="134"/>
      </rPr>
      <t>蚂蚁集团</t>
    </r>
    <r>
      <rPr>
        <sz val="9"/>
        <color rgb="FF000000"/>
        <rFont val="Arial"/>
        <charset val="134"/>
      </rPr>
      <t>,</t>
    </r>
    <r>
      <rPr>
        <sz val="9"/>
        <color rgb="FF000000"/>
        <rFont val="楷体"/>
        <charset val="134"/>
      </rPr>
      <t>千方科技</t>
    </r>
    <r>
      <rPr>
        <sz val="9"/>
        <color rgb="FF000000"/>
        <rFont val="Arial"/>
        <charset val="134"/>
      </rPr>
      <t>,</t>
    </r>
    <r>
      <rPr>
        <sz val="9"/>
        <color rgb="FF000000"/>
        <rFont val="楷体"/>
        <charset val="134"/>
      </rPr>
      <t>鱼跃科技</t>
    </r>
    <r>
      <rPr>
        <sz val="9"/>
        <color rgb="FF000000"/>
        <rFont val="Arial"/>
        <charset val="134"/>
      </rPr>
      <t>,</t>
    </r>
    <r>
      <rPr>
        <sz val="9"/>
        <color rgb="FF000000"/>
        <rFont val="楷体"/>
        <charset val="134"/>
      </rPr>
      <t>宁德时代</t>
    </r>
    <r>
      <rPr>
        <sz val="9"/>
        <color rgb="FF000000"/>
        <rFont val="Arial"/>
        <charset val="134"/>
      </rPr>
      <t>,</t>
    </r>
    <r>
      <rPr>
        <sz val="9"/>
        <color rgb="FF000000"/>
        <rFont val="楷体"/>
        <charset val="134"/>
      </rPr>
      <t>南洋商业银行</t>
    </r>
    <r>
      <rPr>
        <sz val="9"/>
        <color rgb="FF000000"/>
        <rFont val="Arial"/>
        <charset val="134"/>
      </rPr>
      <t>,</t>
    </r>
    <r>
      <rPr>
        <sz val="9"/>
        <color rgb="FF000000"/>
        <rFont val="楷体"/>
        <charset val="134"/>
      </rPr>
      <t>国泰世华银行</t>
    </r>
    <r>
      <rPr>
        <sz val="9"/>
        <color rgb="FF000000"/>
        <rFont val="Arial"/>
        <charset val="134"/>
      </rPr>
      <t>,</t>
    </r>
    <r>
      <rPr>
        <sz val="9"/>
        <color rgb="FF000000"/>
        <rFont val="楷体"/>
        <charset val="134"/>
      </rPr>
      <t>华融资产</t>
    </r>
  </si>
  <si>
    <t>2023-02-02</t>
  </si>
  <si>
    <t>易碳数科</t>
  </si>
  <si>
    <r>
      <rPr>
        <sz val="9"/>
        <color rgb="FF000000"/>
        <rFont val="楷体"/>
        <charset val="134"/>
      </rPr>
      <t>易碳数科是一家专注于工业制造业碳排放数据量化云计算的科技公司，深度融合流程制造行业碳数据量化的经验，自主开发基于国际</t>
    </r>
    <r>
      <rPr>
        <sz val="9"/>
        <color rgb="FF000000"/>
        <rFont val="Arial"/>
        <charset val="134"/>
      </rPr>
      <t>ISO</t>
    </r>
    <r>
      <rPr>
        <sz val="9"/>
        <color rgb="FF000000"/>
        <rFont val="楷体"/>
        <charset val="134"/>
      </rPr>
      <t>标准体系和适用国内行业标准的积木碳数据云计算系统。易碳数科充分发挥产品工具化优势，并通过工业互联网部署方式，为以冶金、建材、有色、化工为代表的流程制造工业及其供应链企业和第三方咨询认证服务机构，提供碳数据精准量化服务。</t>
    </r>
  </si>
  <si>
    <t>上海易碳数字科技有限公司</t>
  </si>
  <si>
    <t>https://www.ecdigit.com/about</t>
  </si>
  <si>
    <r>
      <rPr>
        <sz val="9"/>
        <color rgb="FF000000"/>
        <rFont val="楷体"/>
        <charset val="134"/>
      </rPr>
      <t>上海</t>
    </r>
    <r>
      <rPr>
        <sz val="9"/>
        <color rgb="FF000000"/>
        <rFont val="Arial"/>
        <charset val="134"/>
      </rPr>
      <t>-</t>
    </r>
    <r>
      <rPr>
        <sz val="9"/>
        <color rgb="FF000000"/>
        <rFont val="楷体"/>
        <charset val="134"/>
      </rPr>
      <t>宝山区</t>
    </r>
  </si>
  <si>
    <r>
      <rPr>
        <sz val="9"/>
        <color rgb="FF000000"/>
        <rFont val="Arial"/>
        <charset val="134"/>
      </rPr>
      <t>3300</t>
    </r>
    <r>
      <rPr>
        <sz val="9"/>
        <color rgb="FF000000"/>
        <rFont val="楷体"/>
        <charset val="134"/>
      </rPr>
      <t>万</t>
    </r>
  </si>
  <si>
    <r>
      <rPr>
        <sz val="9"/>
        <color rgb="FF000000"/>
        <rFont val="楷体"/>
        <charset val="134"/>
      </rPr>
      <t>周烨</t>
    </r>
    <r>
      <rPr>
        <sz val="9"/>
        <color rgb="FF000000"/>
        <rFont val="Arial"/>
        <charset val="134"/>
      </rPr>
      <t>:CEO</t>
    </r>
  </si>
  <si>
    <r>
      <rPr>
        <sz val="9"/>
        <color rgb="FF000000"/>
        <rFont val="楷体"/>
        <charset val="134"/>
      </rPr>
      <t>上海市宝山区逸仙路</t>
    </r>
    <r>
      <rPr>
        <sz val="9"/>
        <color rgb="FF000000"/>
        <rFont val="Arial"/>
        <charset val="134"/>
      </rPr>
      <t>2816</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10</t>
    </r>
    <r>
      <rPr>
        <sz val="9"/>
        <color rgb="FF000000"/>
        <rFont val="楷体"/>
        <charset val="134"/>
      </rPr>
      <t>层</t>
    </r>
    <r>
      <rPr>
        <sz val="9"/>
        <color rgb="FF000000"/>
        <rFont val="Arial"/>
        <charset val="134"/>
      </rPr>
      <t>A1008</t>
    </r>
    <r>
      <rPr>
        <sz val="9"/>
        <color rgb="FF000000"/>
        <rFont val="楷体"/>
        <charset val="134"/>
      </rPr>
      <t>室</t>
    </r>
  </si>
  <si>
    <t>13911361325;021-61810170</t>
  </si>
  <si>
    <t>jiaxe@ecdigit.com;info@ecdigit.com</t>
  </si>
  <si>
    <t>2022-06-22</t>
  </si>
  <si>
    <r>
      <rPr>
        <sz val="9"/>
        <color rgb="FF000000"/>
        <rFont val="楷体"/>
        <charset val="134"/>
      </rPr>
      <t>卓尔集团</t>
    </r>
    <r>
      <rPr>
        <sz val="9"/>
        <color rgb="FF000000"/>
        <rFont val="Arial"/>
        <charset val="134"/>
      </rPr>
      <t>,</t>
    </r>
    <r>
      <rPr>
        <sz val="9"/>
        <color rgb="FF000000"/>
        <rFont val="楷体"/>
        <charset val="134"/>
      </rPr>
      <t>红杉种子基金</t>
    </r>
    <r>
      <rPr>
        <sz val="9"/>
        <color rgb="FF000000"/>
        <rFont val="Arial"/>
        <charset val="134"/>
      </rPr>
      <t>,</t>
    </r>
    <r>
      <rPr>
        <sz val="9"/>
        <color rgb="FF000000"/>
        <rFont val="楷体"/>
        <charset val="134"/>
      </rPr>
      <t>上海华滋环境</t>
    </r>
  </si>
  <si>
    <r>
      <rPr>
        <sz val="9"/>
        <color rgb="FF000000"/>
        <rFont val="Arial"/>
        <charset val="134"/>
      </rPr>
      <t>20</t>
    </r>
    <r>
      <rPr>
        <sz val="9"/>
        <color rgb="FF000000"/>
        <rFont val="楷体"/>
        <charset val="134"/>
      </rPr>
      <t>亿元</t>
    </r>
  </si>
  <si>
    <t>2022-07-25</t>
  </si>
  <si>
    <t>2021-12-07</t>
  </si>
  <si>
    <t>Anyscale</t>
  </si>
  <si>
    <r>
      <rPr>
        <sz val="9"/>
        <color rgb="FF000000"/>
        <rFont val="Arial"/>
        <charset val="134"/>
      </rPr>
      <t>Anyscale</t>
    </r>
    <r>
      <rPr>
        <sz val="9"/>
        <color rgb="FF000000"/>
        <rFont val="楷体"/>
        <charset val="134"/>
      </rPr>
      <t>是一家美国应用程序平台开发商，主要为开发人员提供构建分布式应用程序的应用程序开发平台，该平台基于开放源代码框架，使软件开发人员可以通过简化硬件决策来编写计算密集型应用程序。</t>
    </r>
  </si>
  <si>
    <t>https://anyscale.io/</t>
  </si>
  <si>
    <t>2020-01</t>
  </si>
  <si>
    <t>开发者服务</t>
  </si>
  <si>
    <r>
      <rPr>
        <sz val="9"/>
        <color rgb="FF000000"/>
        <rFont val="楷体"/>
        <charset val="134"/>
      </rPr>
      <t>英特尔投资</t>
    </r>
    <r>
      <rPr>
        <sz val="9"/>
        <color rgb="FF000000"/>
        <rFont val="Arial"/>
        <charset val="134"/>
      </rPr>
      <t>Intel Capital,NEA</t>
    </r>
    <r>
      <rPr>
        <sz val="9"/>
        <color rgb="FF000000"/>
        <rFont val="楷体"/>
        <charset val="134"/>
      </rPr>
      <t>恩颐投资</t>
    </r>
    <r>
      <rPr>
        <sz val="9"/>
        <color rgb="FF000000"/>
        <rFont val="Arial"/>
        <charset val="134"/>
      </rPr>
      <t>-New Enterprise Associates,Foundation Capital,Andreessen Horowitz-a16z,Lee Fixel's Addition</t>
    </r>
  </si>
  <si>
    <r>
      <rPr>
        <sz val="9"/>
        <color rgb="FF000000"/>
        <rFont val="Arial"/>
        <charset val="134"/>
      </rPr>
      <t>10.44</t>
    </r>
    <r>
      <rPr>
        <sz val="9"/>
        <color rgb="FF000000"/>
        <rFont val="楷体"/>
        <charset val="134"/>
      </rPr>
      <t>亿</t>
    </r>
  </si>
  <si>
    <t>Charles Greer:Solutions Architect,Christy Bergman:Data Scientist,Eric Greene:Head of Go To Market,Eric Liang:Software Engineer,Ion Stoica:Co-Founder,Michael I. Jordan:Founder,Philipp Moritz:Co-founder and CTO,Rich Adao:Head of Talent,Robert Nishihara:Co-Founder and CEO,William Chambers:Product Management Lead,Zhe Zhang:Head of Open Source Engineering</t>
  </si>
  <si>
    <r>
      <rPr>
        <sz val="9"/>
        <color rgb="FF000000"/>
        <rFont val="楷体"/>
        <charset val="134"/>
      </rPr>
      <t>英特尔投资</t>
    </r>
    <r>
      <rPr>
        <sz val="9"/>
        <color rgb="FF000000"/>
        <rFont val="Arial"/>
        <charset val="134"/>
      </rPr>
      <t>Intel Capital,NEA</t>
    </r>
    <r>
      <rPr>
        <sz val="9"/>
        <color rgb="FF000000"/>
        <rFont val="楷体"/>
        <charset val="134"/>
      </rPr>
      <t>恩颐投资</t>
    </r>
    <r>
      <rPr>
        <sz val="9"/>
        <color rgb="FF000000"/>
        <rFont val="Arial"/>
        <charset val="134"/>
      </rPr>
      <t>-New Enterprise Associates,Foundation Capital,Andreessen Horowitz-a16z</t>
    </r>
  </si>
  <si>
    <r>
      <rPr>
        <sz val="9"/>
        <color rgb="FF000000"/>
        <rFont val="Arial"/>
        <charset val="134"/>
      </rPr>
      <t>2060</t>
    </r>
    <r>
      <rPr>
        <sz val="9"/>
        <color rgb="FF000000"/>
        <rFont val="楷体"/>
        <charset val="134"/>
      </rPr>
      <t>万美元</t>
    </r>
  </si>
  <si>
    <r>
      <rPr>
        <sz val="9"/>
        <color rgb="FF000000"/>
        <rFont val="楷体"/>
        <charset val="134"/>
      </rPr>
      <t>英特尔投资</t>
    </r>
    <r>
      <rPr>
        <sz val="9"/>
        <color rgb="FF000000"/>
        <rFont val="Arial"/>
        <charset val="134"/>
      </rPr>
      <t>Intel Capital,Andreessen Horowitz-a16z,Amplify Partners,</t>
    </r>
    <r>
      <rPr>
        <sz val="9"/>
        <color rgb="FF000000"/>
        <rFont val="楷体"/>
        <charset val="134"/>
      </rPr>
      <t>蚂蚁集团</t>
    </r>
    <r>
      <rPr>
        <sz val="9"/>
        <color rgb="FF000000"/>
        <rFont val="Arial"/>
        <charset val="134"/>
      </rPr>
      <t>,The House Fund</t>
    </r>
  </si>
  <si>
    <t>中招国商</t>
  </si>
  <si>
    <t>中招国商是一家资产管理综合服务提供商，以资产管理为核心，致力于为客户提供全方位的资产管理和自营资金管理服务。</t>
  </si>
  <si>
    <t>中招国商（湖北）资产管理集团有限公司</t>
  </si>
  <si>
    <t>2022-07</t>
  </si>
  <si>
    <r>
      <rPr>
        <sz val="9"/>
        <color rgb="FF000000"/>
        <rFont val="Arial"/>
        <charset val="134"/>
      </rPr>
      <t>Morgan Stanley</t>
    </r>
    <r>
      <rPr>
        <sz val="9"/>
        <color rgb="FF000000"/>
        <rFont val="楷体"/>
        <charset val="134"/>
      </rPr>
      <t>摩根士丹利</t>
    </r>
    <r>
      <rPr>
        <sz val="9"/>
        <color rgb="FF000000"/>
        <rFont val="Arial"/>
        <charset val="134"/>
      </rPr>
      <t>,</t>
    </r>
    <r>
      <rPr>
        <sz val="9"/>
        <color rgb="FF000000"/>
        <rFont val="楷体"/>
        <charset val="134"/>
      </rPr>
      <t>蚂蚁集团</t>
    </r>
  </si>
  <si>
    <r>
      <rPr>
        <sz val="9"/>
        <color rgb="FF000000"/>
        <rFont val="楷体"/>
        <charset val="134"/>
      </rPr>
      <t>刘乔航</t>
    </r>
    <r>
      <rPr>
        <sz val="9"/>
        <color rgb="FF000000"/>
        <rFont val="Arial"/>
        <charset val="134"/>
      </rPr>
      <t>:</t>
    </r>
    <r>
      <rPr>
        <sz val="9"/>
        <color rgb="FF000000"/>
        <rFont val="楷体"/>
        <charset val="134"/>
      </rPr>
      <t>董事长</t>
    </r>
  </si>
  <si>
    <r>
      <rPr>
        <sz val="9"/>
        <color rgb="FF000000"/>
        <rFont val="楷体"/>
        <charset val="134"/>
      </rPr>
      <t>武汉市青山区八大家花园</t>
    </r>
    <r>
      <rPr>
        <sz val="9"/>
        <color rgb="FF000000"/>
        <rFont val="Arial"/>
        <charset val="134"/>
      </rPr>
      <t>45</t>
    </r>
    <r>
      <rPr>
        <sz val="9"/>
        <color rgb="FF000000"/>
        <rFont val="楷体"/>
        <charset val="134"/>
      </rPr>
      <t>号楼（华开数科创新中心）</t>
    </r>
    <r>
      <rPr>
        <sz val="9"/>
        <color rgb="FF000000"/>
        <rFont val="Arial"/>
        <charset val="134"/>
      </rPr>
      <t>3</t>
    </r>
    <r>
      <rPr>
        <sz val="9"/>
        <color rgb="FF000000"/>
        <rFont val="楷体"/>
        <charset val="134"/>
      </rPr>
      <t>层卡位</t>
    </r>
    <r>
      <rPr>
        <sz val="9"/>
        <color rgb="FF000000"/>
        <rFont val="Arial"/>
        <charset val="134"/>
      </rPr>
      <t>G</t>
    </r>
    <r>
      <rPr>
        <sz val="9"/>
        <color rgb="FF000000"/>
        <rFont val="楷体"/>
        <charset val="134"/>
      </rPr>
      <t>区</t>
    </r>
    <r>
      <rPr>
        <sz val="9"/>
        <color rgb="FF000000"/>
        <rFont val="Arial"/>
        <charset val="134"/>
      </rPr>
      <t>035</t>
    </r>
    <r>
      <rPr>
        <sz val="9"/>
        <color rgb="FF000000"/>
        <rFont val="楷体"/>
        <charset val="134"/>
      </rPr>
      <t>号</t>
    </r>
  </si>
  <si>
    <t>0571-2200-0055</t>
  </si>
  <si>
    <t>joelau@cntc.email.cn</t>
  </si>
  <si>
    <t>生数科技</t>
  </si>
  <si>
    <r>
      <rPr>
        <sz val="9"/>
        <color rgb="FF000000"/>
        <rFont val="楷体"/>
        <charset val="134"/>
      </rPr>
      <t>生数科技是一家多模态生成式大模型与应用产品开发商，基于自研产业级多模态大模型，生数科技目前正面向图像创作、</t>
    </r>
    <r>
      <rPr>
        <sz val="9"/>
        <color rgb="FF000000"/>
        <rFont val="Arial"/>
        <charset val="134"/>
      </rPr>
      <t>3D</t>
    </r>
    <r>
      <rPr>
        <sz val="9"/>
        <color rgb="FF000000"/>
        <rFont val="楷体"/>
        <charset val="134"/>
      </rPr>
      <t>资产创建等细分场景打造垂类应用，服务范围覆盖</t>
    </r>
    <r>
      <rPr>
        <sz val="9"/>
        <color rgb="FF000000"/>
        <rFont val="Arial"/>
        <charset val="134"/>
      </rPr>
      <t>C</t>
    </r>
    <r>
      <rPr>
        <sz val="9"/>
        <color rgb="FF000000"/>
        <rFont val="楷体"/>
        <charset val="134"/>
      </rPr>
      <t>、</t>
    </r>
    <r>
      <rPr>
        <sz val="9"/>
        <color rgb="FF000000"/>
        <rFont val="Arial"/>
        <charset val="134"/>
      </rPr>
      <t>B</t>
    </r>
    <r>
      <rPr>
        <sz val="9"/>
        <color rgb="FF000000"/>
        <rFont val="楷体"/>
        <charset val="134"/>
      </rPr>
      <t>两端。</t>
    </r>
    <r>
      <rPr>
        <sz val="9"/>
        <color rgb="FF000000"/>
        <rFont val="Arial"/>
        <charset val="134"/>
      </rPr>
      <t xml:space="preserve"> </t>
    </r>
    <r>
      <rPr>
        <sz val="9"/>
        <color rgb="FF000000"/>
        <rFont val="楷体"/>
        <charset val="134"/>
      </rPr>
      <t>面向</t>
    </r>
    <r>
      <rPr>
        <sz val="9"/>
        <color rgb="FF000000"/>
        <rFont val="Arial"/>
        <charset val="134"/>
      </rPr>
      <t>C</t>
    </r>
    <r>
      <rPr>
        <sz val="9"/>
        <color rgb="FF000000"/>
        <rFont val="楷体"/>
        <charset val="134"/>
      </rPr>
      <t>端用户，生数科技将为普通用户和专业创作者打造供图像创作助理，提供个性化的服务。面向</t>
    </r>
    <r>
      <rPr>
        <sz val="9"/>
        <color rgb="FF000000"/>
        <rFont val="Arial"/>
        <charset val="134"/>
      </rPr>
      <t>B</t>
    </r>
    <r>
      <rPr>
        <sz val="9"/>
        <color rgb="FF000000"/>
        <rFont val="楷体"/>
        <charset val="134"/>
      </rPr>
      <t>端用户，将为机构企业、垂直领域的技术服务商提供通用服务。生数科技已与多家游戏厂商、设计平台建立初步合作，应用级产品也将于近期推出。</t>
    </r>
  </si>
  <si>
    <t>北京生数科技有限公司</t>
  </si>
  <si>
    <t>2023-03</t>
  </si>
  <si>
    <r>
      <rPr>
        <sz val="9"/>
        <color rgb="FF000000"/>
        <rFont val="楷体"/>
        <charset val="134"/>
      </rPr>
      <t>蚂蚁集团</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卓源资本</t>
    </r>
  </si>
  <si>
    <r>
      <rPr>
        <sz val="9"/>
        <color rgb="FF000000"/>
        <rFont val="楷体"/>
        <charset val="134"/>
      </rPr>
      <t>唐家渝</t>
    </r>
    <r>
      <rPr>
        <sz val="9"/>
        <color rgb="FF000000"/>
        <rFont val="Arial"/>
        <charset val="134"/>
      </rPr>
      <t>:</t>
    </r>
    <r>
      <rPr>
        <sz val="9"/>
        <color rgb="FF000000"/>
        <rFont val="楷体"/>
        <charset val="134"/>
      </rPr>
      <t>董事长</t>
    </r>
  </si>
  <si>
    <r>
      <rPr>
        <sz val="9"/>
        <color rgb="FF000000"/>
        <rFont val="楷体"/>
        <charset val="134"/>
      </rPr>
      <t>北京市海淀区中关村东路</t>
    </r>
    <r>
      <rPr>
        <sz val="9"/>
        <color rgb="FF000000"/>
        <rFont val="Arial"/>
        <charset val="134"/>
      </rPr>
      <t>1</t>
    </r>
    <r>
      <rPr>
        <sz val="9"/>
        <color rgb="FF000000"/>
        <rFont val="楷体"/>
        <charset val="134"/>
      </rPr>
      <t>号院</t>
    </r>
    <r>
      <rPr>
        <sz val="9"/>
        <color rgb="FF000000"/>
        <rFont val="Arial"/>
        <charset val="134"/>
      </rPr>
      <t>8</t>
    </r>
    <r>
      <rPr>
        <sz val="9"/>
        <color rgb="FF000000"/>
        <rFont val="楷体"/>
        <charset val="134"/>
      </rPr>
      <t>号楼</t>
    </r>
    <r>
      <rPr>
        <sz val="9"/>
        <color rgb="FF000000"/>
        <rFont val="Arial"/>
        <charset val="134"/>
      </rPr>
      <t>19</t>
    </r>
    <r>
      <rPr>
        <sz val="9"/>
        <color rgb="FF000000"/>
        <rFont val="楷体"/>
        <charset val="134"/>
      </rPr>
      <t>层</t>
    </r>
    <r>
      <rPr>
        <sz val="9"/>
        <color rgb="FF000000"/>
        <rFont val="Arial"/>
        <charset val="134"/>
      </rPr>
      <t>A1903</t>
    </r>
  </si>
  <si>
    <t>2018-01-23</t>
  </si>
  <si>
    <t>无锡曼荼罗软件</t>
  </si>
  <si>
    <r>
      <rPr>
        <sz val="9"/>
        <color rgb="FF000000"/>
        <rFont val="楷体"/>
        <charset val="134"/>
      </rPr>
      <t>无锡曼荼罗软件是一家专业的临床管理软件供应商，面向医疗机构等提供临床医疗管理软件解决方案，主打产品为</t>
    </r>
    <r>
      <rPr>
        <sz val="9"/>
        <color rgb="FF000000"/>
        <rFont val="Arial"/>
        <charset val="134"/>
      </rPr>
      <t>DoqLei</t>
    </r>
    <r>
      <rPr>
        <sz val="9"/>
        <color rgb="FF000000"/>
        <rFont val="楷体"/>
        <charset val="134"/>
      </rPr>
      <t>电子病历。</t>
    </r>
  </si>
  <si>
    <t>江苏曼荼罗软件股份有限公司</t>
  </si>
  <si>
    <t>http://www.mandalat.com.cn</t>
  </si>
  <si>
    <r>
      <rPr>
        <sz val="9"/>
        <color rgb="FF000000"/>
        <rFont val="Arial"/>
        <charset val="134"/>
      </rPr>
      <t>6435</t>
    </r>
    <r>
      <rPr>
        <sz val="9"/>
        <color rgb="FF000000"/>
        <rFont val="楷体"/>
        <charset val="134"/>
      </rPr>
      <t>万人民币</t>
    </r>
  </si>
  <si>
    <r>
      <rPr>
        <sz val="9"/>
        <color rgb="FF000000"/>
        <rFont val="Arial"/>
        <charset val="134"/>
      </rPr>
      <t>3.95</t>
    </r>
    <r>
      <rPr>
        <sz val="9"/>
        <color rgb="FF000000"/>
        <rFont val="楷体"/>
        <charset val="134"/>
      </rPr>
      <t>亿</t>
    </r>
  </si>
  <si>
    <r>
      <rPr>
        <sz val="9"/>
        <color rgb="FF000000"/>
        <rFont val="Arial"/>
        <charset val="134"/>
      </rPr>
      <t>3.2175</t>
    </r>
    <r>
      <rPr>
        <sz val="9"/>
        <color rgb="FF000000"/>
        <rFont val="楷体"/>
        <charset val="134"/>
      </rPr>
      <t>亿元</t>
    </r>
  </si>
  <si>
    <t>2015-12-24</t>
  </si>
  <si>
    <t>优势资本</t>
  </si>
  <si>
    <t>2014-01-15</t>
  </si>
  <si>
    <t>德同资本</t>
  </si>
  <si>
    <t>2013-01-30</t>
  </si>
  <si>
    <r>
      <rPr>
        <sz val="9"/>
        <color rgb="FF000000"/>
        <rFont val="楷体"/>
        <charset val="134"/>
      </rPr>
      <t>华泰证券</t>
    </r>
    <r>
      <rPr>
        <sz val="9"/>
        <color rgb="FF000000"/>
        <rFont val="Arial"/>
        <charset val="134"/>
      </rPr>
      <t>,</t>
    </r>
    <r>
      <rPr>
        <sz val="9"/>
        <color rgb="FF000000"/>
        <rFont val="楷体"/>
        <charset val="134"/>
      </rPr>
      <t>华泰瑞通投资</t>
    </r>
  </si>
  <si>
    <t>2012-04-10</t>
  </si>
  <si>
    <r>
      <rPr>
        <sz val="9"/>
        <color rgb="FF000000"/>
        <rFont val="Arial"/>
        <charset val="134"/>
      </rPr>
      <t>DFJ</t>
    </r>
    <r>
      <rPr>
        <sz val="9"/>
        <color rgb="FF000000"/>
        <rFont val="楷体"/>
        <charset val="134"/>
      </rPr>
      <t>德丰杰</t>
    </r>
    <r>
      <rPr>
        <sz val="9"/>
        <color rgb="FF000000"/>
        <rFont val="Arial"/>
        <charset val="134"/>
      </rPr>
      <t>(</t>
    </r>
    <r>
      <rPr>
        <sz val="9"/>
        <color rgb="FF000000"/>
        <rFont val="楷体"/>
        <charset val="134"/>
      </rPr>
      <t>全球</t>
    </r>
    <r>
      <rPr>
        <sz val="9"/>
        <color rgb="FF000000"/>
        <rFont val="Arial"/>
        <charset val="134"/>
      </rPr>
      <t>),</t>
    </r>
    <r>
      <rPr>
        <sz val="9"/>
        <color rgb="FF000000"/>
        <rFont val="楷体"/>
        <charset val="134"/>
      </rPr>
      <t>正道投资</t>
    </r>
  </si>
  <si>
    <t>2012-01-17</t>
  </si>
  <si>
    <r>
      <rPr>
        <sz val="9"/>
        <color rgb="FF000000"/>
        <rFont val="Arial"/>
        <charset val="134"/>
      </rPr>
      <t>DFJ</t>
    </r>
    <r>
      <rPr>
        <sz val="9"/>
        <color rgb="FF000000"/>
        <rFont val="楷体"/>
        <charset val="134"/>
      </rPr>
      <t>德丰杰</t>
    </r>
    <r>
      <rPr>
        <sz val="9"/>
        <color rgb="FF000000"/>
        <rFont val="Arial"/>
        <charset val="134"/>
      </rPr>
      <t>(</t>
    </r>
    <r>
      <rPr>
        <sz val="9"/>
        <color rgb="FF000000"/>
        <rFont val="楷体"/>
        <charset val="134"/>
      </rPr>
      <t>全球</t>
    </r>
    <r>
      <rPr>
        <sz val="9"/>
        <color rgb="FF000000"/>
        <rFont val="Arial"/>
        <charset val="134"/>
      </rPr>
      <t>),</t>
    </r>
    <r>
      <rPr>
        <sz val="9"/>
        <color rgb="FF000000"/>
        <rFont val="楷体"/>
        <charset val="134"/>
      </rPr>
      <t>德丰杰正道</t>
    </r>
  </si>
  <si>
    <t>无锡创投</t>
  </si>
  <si>
    <t>2007-12-17</t>
  </si>
  <si>
    <r>
      <rPr>
        <sz val="9"/>
        <color rgb="FF000000"/>
        <rFont val="楷体"/>
        <charset val="134"/>
      </rPr>
      <t>无锡高新投</t>
    </r>
    <r>
      <rPr>
        <sz val="9"/>
        <color rgb="FF000000"/>
        <rFont val="Arial"/>
        <charset val="134"/>
      </rPr>
      <t>,</t>
    </r>
    <r>
      <rPr>
        <sz val="9"/>
        <color rgb="FF000000"/>
        <rFont val="楷体"/>
        <charset val="134"/>
      </rPr>
      <t>无锡创投</t>
    </r>
  </si>
  <si>
    <t>2005-11-04</t>
  </si>
  <si>
    <t>小鹿中医</t>
  </si>
  <si>
    <r>
      <rPr>
        <sz val="9"/>
        <color rgb="FF000000"/>
        <rFont val="楷体"/>
        <charset val="134"/>
      </rPr>
      <t>小鹿中医</t>
    </r>
    <r>
      <rPr>
        <sz val="9"/>
        <color rgb="FF000000"/>
        <rFont val="Arial"/>
        <charset val="134"/>
      </rPr>
      <t>(</t>
    </r>
    <r>
      <rPr>
        <sz val="9"/>
        <color rgb="FF000000"/>
        <rFont val="楷体"/>
        <charset val="134"/>
      </rPr>
      <t>小鹿医馆</t>
    </r>
    <r>
      <rPr>
        <sz val="9"/>
        <color rgb="FF000000"/>
        <rFont val="Arial"/>
        <charset val="134"/>
      </rPr>
      <t>)</t>
    </r>
    <r>
      <rPr>
        <sz val="9"/>
        <color rgb="FF000000"/>
        <rFont val="楷体"/>
        <charset val="134"/>
      </rPr>
      <t>是一家中医在线诊疗服务提供商，通过互联网技术，促进医院、医务人员、患者之间的有效沟通，在平台上慢性病、常见病的患者不仅可以与医生直接进行远程复诊，医生还可以在平台上开具处方，并由符合资质的第三方机构直接配送到患者手中，是互联网</t>
    </r>
    <r>
      <rPr>
        <sz val="9"/>
        <color rgb="FF000000"/>
        <rFont val="Arial"/>
        <charset val="134"/>
      </rPr>
      <t>+</t>
    </r>
    <r>
      <rPr>
        <sz val="9"/>
        <color rgb="FF000000"/>
        <rFont val="楷体"/>
        <charset val="134"/>
      </rPr>
      <t>医疗的新型医疗平台。</t>
    </r>
  </si>
  <si>
    <t>北京紫宸正阳科技有限公司</t>
  </si>
  <si>
    <t>http://www.xiaoluyy.com/</t>
  </si>
  <si>
    <t>中医中药</t>
  </si>
  <si>
    <r>
      <rPr>
        <sz val="9"/>
        <color rgb="FF000000"/>
        <rFont val="Arial"/>
        <charset val="134"/>
      </rPr>
      <t>4.63</t>
    </r>
    <r>
      <rPr>
        <sz val="9"/>
        <color rgb="FF000000"/>
        <rFont val="楷体"/>
        <charset val="134"/>
      </rPr>
      <t>亿</t>
    </r>
  </si>
  <si>
    <r>
      <rPr>
        <sz val="9"/>
        <color rgb="FF000000"/>
        <rFont val="楷体"/>
        <charset val="134"/>
      </rPr>
      <t>张阔</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刘欣悦</t>
    </r>
    <r>
      <rPr>
        <sz val="9"/>
        <color rgb="FF000000"/>
        <rFont val="Arial"/>
        <charset val="134"/>
      </rPr>
      <t>:CEO</t>
    </r>
  </si>
  <si>
    <r>
      <rPr>
        <sz val="9"/>
        <color rgb="FF000000"/>
        <rFont val="楷体"/>
        <charset val="134"/>
      </rPr>
      <t>北京市海淀区艺海大厦</t>
    </r>
    <r>
      <rPr>
        <sz val="9"/>
        <color rgb="FF000000"/>
        <rFont val="Arial"/>
        <charset val="134"/>
      </rPr>
      <t>1006</t>
    </r>
  </si>
  <si>
    <t>400-606-6636</t>
  </si>
  <si>
    <t>zhangdongmei@xiaoluyy.com</t>
  </si>
  <si>
    <t>2019-06-25</t>
  </si>
  <si>
    <t>复星同浩</t>
  </si>
  <si>
    <t>2017-03-30</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</si>
  <si>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王小川</t>
    </r>
  </si>
  <si>
    <t>2016-05-06</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</si>
  <si>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五源资本</t>
    </r>
  </si>
  <si>
    <t>王小川</t>
  </si>
  <si>
    <t>2021-03-04</t>
  </si>
  <si>
    <t>零氪科技LinkDoc</t>
  </si>
  <si>
    <r>
      <rPr>
        <sz val="9"/>
        <color rgb="FF000000"/>
        <rFont val="楷体"/>
        <charset val="134"/>
      </rPr>
      <t>零氪科技</t>
    </r>
    <r>
      <rPr>
        <sz val="9"/>
        <color rgb="FF000000"/>
        <rFont val="Arial"/>
        <charset val="134"/>
      </rPr>
      <t>LinkDoc</t>
    </r>
  </si>
  <si>
    <r>
      <rPr>
        <sz val="9"/>
        <color rgb="FF000000"/>
        <rFont val="楷体"/>
        <charset val="134"/>
      </rPr>
      <t>零氪科技是一家数据驱动、</t>
    </r>
    <r>
      <rPr>
        <sz val="9"/>
        <color rgb="FF000000"/>
        <rFont val="Arial"/>
        <charset val="134"/>
      </rPr>
      <t>Ai</t>
    </r>
    <r>
      <rPr>
        <sz val="9"/>
        <color rgb="FF000000"/>
        <rFont val="楷体"/>
        <charset val="134"/>
      </rPr>
      <t>赋能的医疗科技公司，为患者和产业各方（制药企业、医疗机构、保险机构、行政监管部门）提供大数据一站式解决方案。零氪科技目前打造的医疗数据平台分为三大产品，包括</t>
    </r>
    <r>
      <rPr>
        <sz val="9"/>
        <color rgb="FF000000"/>
        <rFont val="Arial"/>
        <charset val="134"/>
      </rPr>
      <t>AI</t>
    </r>
    <r>
      <rPr>
        <sz val="9"/>
        <color rgb="FF000000"/>
        <rFont val="楷体"/>
        <charset val="134"/>
      </rPr>
      <t>数据治理系统（</t>
    </r>
    <r>
      <rPr>
        <sz val="9"/>
        <color rgb="FF000000"/>
        <rFont val="Arial"/>
        <charset val="134"/>
      </rPr>
      <t>LinkData</t>
    </r>
    <r>
      <rPr>
        <sz val="9"/>
        <color rgb="FF000000"/>
        <rFont val="楷体"/>
        <charset val="134"/>
      </rPr>
      <t>）、精准生命科学解决方案（</t>
    </r>
    <r>
      <rPr>
        <sz val="9"/>
        <color rgb="FF000000"/>
        <rFont val="Arial"/>
        <charset val="134"/>
      </rPr>
      <t>LinkSolutions</t>
    </r>
    <r>
      <rPr>
        <sz val="9"/>
        <color rgb="FF000000"/>
        <rFont val="楷体"/>
        <charset val="134"/>
      </rPr>
      <t>）以及数字化重疾患者健康管理平台（</t>
    </r>
    <r>
      <rPr>
        <sz val="9"/>
        <color rgb="FF000000"/>
        <rFont val="Arial"/>
        <charset val="134"/>
      </rPr>
      <t>LinkCare</t>
    </r>
    <r>
      <rPr>
        <sz val="9"/>
        <color rgb="FF000000"/>
        <rFont val="楷体"/>
        <charset val="134"/>
      </rPr>
      <t>）。公司拥有横跨</t>
    </r>
    <r>
      <rPr>
        <sz val="9"/>
        <color rgb="FF000000"/>
        <rFont val="Arial"/>
        <charset val="134"/>
      </rPr>
      <t>“</t>
    </r>
    <r>
      <rPr>
        <sz val="9"/>
        <color rgb="FF000000"/>
        <rFont val="楷体"/>
        <charset val="134"/>
      </rPr>
      <t>临床医学、计算机科学、药物研发、人工智能技术、商业化服务</t>
    </r>
    <r>
      <rPr>
        <sz val="9"/>
        <color rgb="FF000000"/>
        <rFont val="Arial"/>
        <charset val="134"/>
      </rPr>
      <t>”</t>
    </r>
    <r>
      <rPr>
        <sz val="9"/>
        <color rgb="FF000000"/>
        <rFont val="楷体"/>
        <charset val="134"/>
      </rPr>
      <t>的千余人团队，与全国上百家三甲医院展开合作，搭建了自主研发的全球先进的医疗大数据处理平台和技术支撑体系，帮助合作机构进行数据治理、挖掘及分析应用等，并长期专注于提供肿瘤、罕见病等重大疾病领域解决方案，包括：开展基于区域健康医疗数据平台的医学人工智能应用和智慧科研服务，推动智慧医疗发展；开展基于药品真实世界数据平台的患者招募、真实世界研究、数据洞察等服务，深度赋能创新药品开发；</t>
    </r>
    <r>
      <rPr>
        <sz val="9"/>
        <color rgb="FF000000"/>
        <rFont val="Arial"/>
        <charset val="134"/>
      </rPr>
      <t xml:space="preserve"> </t>
    </r>
    <r>
      <rPr>
        <sz val="9"/>
        <color rgb="FF000000"/>
        <rFont val="楷体"/>
        <charset val="134"/>
      </rPr>
      <t>开展基于数字化患者健康管理平台的互联网医院、患者服务中心和创新保险支付等服务，提升患者全生命周期的科学服务水平和管理能力等。</t>
    </r>
  </si>
  <si>
    <t>零氪科技（北京）有限公司</t>
  </si>
  <si>
    <t>http://www.linkdoc.com/</t>
  </si>
  <si>
    <r>
      <rPr>
        <sz val="9"/>
        <color rgb="FF000000"/>
        <rFont val="Arial"/>
        <charset val="134"/>
      </rPr>
      <t>23.85</t>
    </r>
    <r>
      <rPr>
        <sz val="9"/>
        <color rgb="FF000000"/>
        <rFont val="楷体"/>
        <charset val="134"/>
      </rPr>
      <t>亿</t>
    </r>
  </si>
  <si>
    <r>
      <rPr>
        <sz val="9"/>
        <color rgb="FF000000"/>
        <rFont val="楷体"/>
        <charset val="134"/>
      </rPr>
      <t>张天泽</t>
    </r>
    <r>
      <rPr>
        <sz val="9"/>
        <color rgb="FF000000"/>
        <rFont val="Arial"/>
        <charset val="134"/>
      </rPr>
      <t>:CEO&amp;</t>
    </r>
    <r>
      <rPr>
        <sz val="9"/>
        <color rgb="FF000000"/>
        <rFont val="楷体"/>
        <charset val="134"/>
      </rPr>
      <t>创始人</t>
    </r>
  </si>
  <si>
    <r>
      <rPr>
        <sz val="9"/>
        <color rgb="FF000000"/>
        <rFont val="楷体"/>
        <charset val="134"/>
      </rPr>
      <t>北京市海淀区海淀大街</t>
    </r>
    <r>
      <rPr>
        <sz val="9"/>
        <color rgb="FF000000"/>
        <rFont val="Arial"/>
        <charset val="134"/>
      </rPr>
      <t>8</t>
    </r>
    <r>
      <rPr>
        <sz val="9"/>
        <color rgb="FF000000"/>
        <rFont val="楷体"/>
        <charset val="134"/>
      </rPr>
      <t>号中钢国际广场</t>
    </r>
    <r>
      <rPr>
        <sz val="9"/>
        <color rgb="FF000000"/>
        <rFont val="Arial"/>
        <charset val="134"/>
      </rPr>
      <t>10-11</t>
    </r>
    <r>
      <rPr>
        <sz val="9"/>
        <color rgb="FF000000"/>
        <rFont val="楷体"/>
        <charset val="134"/>
      </rPr>
      <t>层</t>
    </r>
  </si>
  <si>
    <t>010-6268-0809</t>
  </si>
  <si>
    <t>linkdoc@linkdoc.com</t>
  </si>
  <si>
    <r>
      <rPr>
        <sz val="9"/>
        <color rgb="FF000000"/>
        <rFont val="楷体"/>
        <charset val="134"/>
      </rPr>
      <t>宽带资本</t>
    </r>
    <r>
      <rPr>
        <sz val="9"/>
        <color rgb="FF000000"/>
        <rFont val="Arial"/>
        <charset val="134"/>
      </rPr>
      <t>CBC,</t>
    </r>
    <r>
      <rPr>
        <sz val="9"/>
        <color rgb="FF000000"/>
        <rFont val="楷体"/>
        <charset val="134"/>
      </rPr>
      <t>中金资本</t>
    </r>
    <r>
      <rPr>
        <sz val="9"/>
        <color rgb="FF000000"/>
        <rFont val="Arial"/>
        <charset val="134"/>
      </rPr>
      <t>,</t>
    </r>
    <r>
      <rPr>
        <sz val="9"/>
        <color rgb="FF000000"/>
        <rFont val="楷体"/>
        <charset val="134"/>
      </rPr>
      <t>优山资本</t>
    </r>
  </si>
  <si>
    <t>2017-05-31</t>
  </si>
  <si>
    <t>长岭资本</t>
  </si>
  <si>
    <r>
      <rPr>
        <sz val="9"/>
        <color rgb="FF000000"/>
        <rFont val="楷体"/>
        <charset val="134"/>
      </rPr>
      <t>宽带资本</t>
    </r>
    <r>
      <rPr>
        <sz val="9"/>
        <color rgb="FF000000"/>
        <rFont val="Arial"/>
        <charset val="134"/>
      </rPr>
      <t>CBC,NEA</t>
    </r>
    <r>
      <rPr>
        <sz val="9"/>
        <color rgb="FF000000"/>
        <rFont val="楷体"/>
        <charset val="134"/>
      </rPr>
      <t>恩颐投资</t>
    </r>
    <r>
      <rPr>
        <sz val="9"/>
        <color rgb="FF000000"/>
        <rFont val="Arial"/>
        <charset val="134"/>
      </rPr>
      <t>-New Enterprise Associates,</t>
    </r>
    <r>
      <rPr>
        <sz val="9"/>
        <color rgb="FF000000"/>
        <rFont val="楷体"/>
        <charset val="134"/>
      </rPr>
      <t>汇桥资本</t>
    </r>
    <r>
      <rPr>
        <sz val="9"/>
        <color rgb="FF000000"/>
        <rFont val="Arial"/>
        <charset val="134"/>
      </rPr>
      <t>,</t>
    </r>
    <r>
      <rPr>
        <sz val="9"/>
        <color rgb="FF000000"/>
        <rFont val="楷体"/>
        <charset val="134"/>
      </rPr>
      <t>千骥资本</t>
    </r>
  </si>
  <si>
    <t>2015-01-08</t>
  </si>
  <si>
    <r>
      <rPr>
        <sz val="9"/>
        <color rgb="FF000000"/>
        <rFont val="Arial"/>
        <charset val="134"/>
      </rPr>
      <t>NEA</t>
    </r>
    <r>
      <rPr>
        <sz val="9"/>
        <color rgb="FF000000"/>
        <rFont val="楷体"/>
        <charset val="134"/>
      </rPr>
      <t>恩颐投资</t>
    </r>
    <r>
      <rPr>
        <sz val="9"/>
        <color rgb="FF000000"/>
        <rFont val="Arial"/>
        <charset val="134"/>
      </rPr>
      <t>-New Enterprise Associates</t>
    </r>
  </si>
  <si>
    <t>2019-05-16</t>
  </si>
  <si>
    <t>万里云</t>
  </si>
  <si>
    <t>华润万里云医疗是一家医疗信息化公司，主打云医学影像大数据云平台，在基层医院、患者和专家之间形成高效、专业的连接，致力于为基层医院和患者提供创新型影像力服务。华润万东旗下子公司。</t>
  </si>
  <si>
    <t>万里云医疗信息科技（北京）有限公司</t>
  </si>
  <si>
    <t>http://www.wlycloud.com</t>
  </si>
  <si>
    <r>
      <rPr>
        <sz val="9"/>
        <color rgb="FF000000"/>
        <rFont val="楷体"/>
        <charset val="134"/>
      </rPr>
      <t>盛宇投资</t>
    </r>
    <r>
      <rPr>
        <sz val="9"/>
        <color rgb="FF000000"/>
        <rFont val="Arial"/>
        <charset val="134"/>
      </rPr>
      <t>,</t>
    </r>
    <r>
      <rPr>
        <sz val="9"/>
        <color rgb="FF000000"/>
        <rFont val="楷体"/>
        <charset val="134"/>
      </rPr>
      <t>裕桦</t>
    </r>
  </si>
  <si>
    <r>
      <rPr>
        <sz val="9"/>
        <color rgb="FF000000"/>
        <rFont val="Arial"/>
        <charset val="134"/>
      </rPr>
      <t>14.5</t>
    </r>
    <r>
      <rPr>
        <sz val="9"/>
        <color rgb="FF000000"/>
        <rFont val="楷体"/>
        <charset val="134"/>
      </rPr>
      <t>亿元</t>
    </r>
  </si>
  <si>
    <r>
      <rPr>
        <sz val="9"/>
        <color rgb="FF000000"/>
        <rFont val="楷体"/>
        <charset val="134"/>
      </rPr>
      <t>北京市朝阳区酒仙桥东路</t>
    </r>
    <r>
      <rPr>
        <sz val="9"/>
        <color rgb="FF000000"/>
        <rFont val="Arial"/>
        <charset val="134"/>
      </rPr>
      <t>9</t>
    </r>
    <r>
      <rPr>
        <sz val="9"/>
        <color rgb="FF000000"/>
        <rFont val="楷体"/>
        <charset val="134"/>
      </rPr>
      <t>号院</t>
    </r>
    <r>
      <rPr>
        <sz val="9"/>
        <color rgb="FF000000"/>
        <rFont val="Arial"/>
        <charset val="134"/>
      </rPr>
      <t>3</t>
    </r>
    <r>
      <rPr>
        <sz val="9"/>
        <color rgb="FF000000"/>
        <rFont val="楷体"/>
        <charset val="134"/>
      </rPr>
      <t>号楼</t>
    </r>
  </si>
  <si>
    <t>support@wlycloud.com</t>
  </si>
  <si>
    <t>2016-03-29</t>
  </si>
  <si>
    <r>
      <rPr>
        <sz val="9"/>
        <color rgb="FF000000"/>
        <rFont val="Arial"/>
        <charset val="134"/>
      </rPr>
      <t>2.25</t>
    </r>
    <r>
      <rPr>
        <sz val="9"/>
        <color rgb="FF000000"/>
        <rFont val="楷体"/>
        <charset val="134"/>
      </rPr>
      <t>亿人民币</t>
    </r>
  </si>
  <si>
    <t>2018-08-19</t>
  </si>
  <si>
    <t>一树药业</t>
  </si>
  <si>
    <r>
      <rPr>
        <sz val="9"/>
        <color rgb="FF000000"/>
        <rFont val="楷体"/>
        <charset val="134"/>
      </rPr>
      <t>一树药业是一个药品及保健品电商平台，主营各类健康用品，涉及药品、保健品、食品、酒饮、日用品、成人用品、母婴用品等品类，超过</t>
    </r>
    <r>
      <rPr>
        <sz val="9"/>
        <color rgb="FF000000"/>
        <rFont val="Arial"/>
        <charset val="134"/>
      </rPr>
      <t>2</t>
    </r>
    <r>
      <rPr>
        <sz val="9"/>
        <color rgb="FF000000"/>
        <rFont val="楷体"/>
        <charset val="134"/>
      </rPr>
      <t>万种</t>
    </r>
    <r>
      <rPr>
        <sz val="9"/>
        <color rgb="FF000000"/>
        <rFont val="Arial"/>
        <charset val="134"/>
      </rPr>
      <t>SKU</t>
    </r>
    <r>
      <rPr>
        <sz val="9"/>
        <color rgb="FF000000"/>
        <rFont val="楷体"/>
        <charset val="134"/>
      </rPr>
      <t>，线下连锁药店舒普玛已开设超过</t>
    </r>
    <r>
      <rPr>
        <sz val="9"/>
        <color rgb="FF000000"/>
        <rFont val="Arial"/>
        <charset val="134"/>
      </rPr>
      <t>1000</t>
    </r>
    <r>
      <rPr>
        <sz val="9"/>
        <color rgb="FF000000"/>
        <rFont val="楷体"/>
        <charset val="134"/>
      </rPr>
      <t>家门店。</t>
    </r>
  </si>
  <si>
    <t>贵州一树药业股份有限公司</t>
  </si>
  <si>
    <t>http://www.1-tree.com.cn</t>
  </si>
  <si>
    <t>1999-03</t>
  </si>
  <si>
    <t>医药流通</t>
  </si>
  <si>
    <r>
      <rPr>
        <sz val="9"/>
        <color rgb="FF000000"/>
        <rFont val="Arial"/>
        <charset val="134"/>
      </rPr>
      <t>8.26</t>
    </r>
    <r>
      <rPr>
        <sz val="9"/>
        <color rgb="FF000000"/>
        <rFont val="楷体"/>
        <charset val="134"/>
      </rPr>
      <t>亿人民币</t>
    </r>
  </si>
  <si>
    <r>
      <rPr>
        <sz val="9"/>
        <color rgb="FF000000"/>
        <rFont val="Arial"/>
        <charset val="134"/>
      </rPr>
      <t>8.27</t>
    </r>
    <r>
      <rPr>
        <sz val="9"/>
        <color rgb="FF000000"/>
        <rFont val="楷体"/>
        <charset val="134"/>
      </rPr>
      <t>亿</t>
    </r>
  </si>
  <si>
    <r>
      <rPr>
        <sz val="9"/>
        <color rgb="FF000000"/>
        <rFont val="Arial"/>
        <charset val="134"/>
      </rPr>
      <t>41.3</t>
    </r>
    <r>
      <rPr>
        <sz val="9"/>
        <color rgb="FF000000"/>
        <rFont val="楷体"/>
        <charset val="134"/>
      </rPr>
      <t>亿元</t>
    </r>
  </si>
  <si>
    <r>
      <rPr>
        <sz val="9"/>
        <color rgb="FF000000"/>
        <rFont val="楷体"/>
        <charset val="134"/>
      </rPr>
      <t>王春雷</t>
    </r>
    <r>
      <rPr>
        <sz val="9"/>
        <color rgb="FF000000"/>
        <rFont val="Arial"/>
        <charset val="134"/>
      </rPr>
      <t>:</t>
    </r>
    <r>
      <rPr>
        <sz val="9"/>
        <color rgb="FF000000"/>
        <rFont val="楷体"/>
        <charset val="134"/>
      </rPr>
      <t>创始人</t>
    </r>
  </si>
  <si>
    <r>
      <rPr>
        <sz val="9"/>
        <color rgb="FF000000"/>
        <rFont val="楷体"/>
        <charset val="134"/>
      </rPr>
      <t>贵州省贵阳市云岩区浣沙路</t>
    </r>
    <r>
      <rPr>
        <sz val="9"/>
        <color rgb="FF000000"/>
        <rFont val="Arial"/>
        <charset val="134"/>
      </rPr>
      <t>3</t>
    </r>
    <r>
      <rPr>
        <sz val="9"/>
        <color rgb="FF000000"/>
        <rFont val="楷体"/>
        <charset val="134"/>
      </rPr>
      <t>号立云大厦</t>
    </r>
    <r>
      <rPr>
        <sz val="9"/>
        <color rgb="FF000000"/>
        <rFont val="Arial"/>
        <charset val="134"/>
      </rPr>
      <t>16</t>
    </r>
    <r>
      <rPr>
        <sz val="9"/>
        <color rgb="FF000000"/>
        <rFont val="楷体"/>
        <charset val="134"/>
      </rPr>
      <t>楼</t>
    </r>
  </si>
  <si>
    <t>0851-8565-0249</t>
  </si>
  <si>
    <t>377509897@qq.com</t>
  </si>
  <si>
    <t>2017-04-23</t>
  </si>
  <si>
    <r>
      <rPr>
        <sz val="9"/>
        <color rgb="FF000000"/>
        <rFont val="楷体"/>
        <charset val="134"/>
      </rPr>
      <t>华泰紫金</t>
    </r>
    <r>
      <rPr>
        <sz val="9"/>
        <color rgb="FF000000"/>
        <rFont val="Arial"/>
        <charset val="134"/>
      </rPr>
      <t>,</t>
    </r>
    <r>
      <rPr>
        <sz val="9"/>
        <color rgb="FF000000"/>
        <rFont val="楷体"/>
        <charset val="134"/>
      </rPr>
      <t>华泰瑞通投资</t>
    </r>
    <r>
      <rPr>
        <sz val="9"/>
        <color rgb="FF000000"/>
        <rFont val="Arial"/>
        <charset val="134"/>
      </rPr>
      <t>,</t>
    </r>
    <r>
      <rPr>
        <sz val="9"/>
        <color rgb="FF000000"/>
        <rFont val="楷体"/>
        <charset val="134"/>
      </rPr>
      <t>道合投资</t>
    </r>
  </si>
  <si>
    <t>五千年医药</t>
  </si>
  <si>
    <t>五千年医药是一家医疗健康公司，以大力发展医药连锁、药品配送和保健食品销售为主营业务。</t>
  </si>
  <si>
    <t>阿里健康大药房医药连锁有限公司</t>
  </si>
  <si>
    <r>
      <rPr>
        <sz val="9"/>
        <color rgb="FF000000"/>
        <rFont val="Arial"/>
        <charset val="134"/>
      </rPr>
      <t>1680</t>
    </r>
    <r>
      <rPr>
        <sz val="9"/>
        <color rgb="FF000000"/>
        <rFont val="楷体"/>
        <charset val="134"/>
      </rPr>
      <t>万人民币</t>
    </r>
  </si>
  <si>
    <r>
      <rPr>
        <sz val="9"/>
        <color rgb="FF000000"/>
        <rFont val="Arial"/>
        <charset val="134"/>
      </rPr>
      <t>1680</t>
    </r>
    <r>
      <rPr>
        <sz val="9"/>
        <color rgb="FF000000"/>
        <rFont val="楷体"/>
        <charset val="134"/>
      </rPr>
      <t>万</t>
    </r>
  </si>
  <si>
    <r>
      <rPr>
        <sz val="9"/>
        <color rgb="FF000000"/>
        <rFont val="Arial"/>
        <charset val="134"/>
      </rPr>
      <t>8400</t>
    </r>
    <r>
      <rPr>
        <sz val="9"/>
        <color rgb="FF000000"/>
        <rFont val="楷体"/>
        <charset val="134"/>
      </rPr>
      <t>万元</t>
    </r>
  </si>
  <si>
    <r>
      <rPr>
        <sz val="9"/>
        <color rgb="FF000000"/>
        <rFont val="楷体"/>
        <charset val="134"/>
      </rPr>
      <t>广州高新技术产业开发区科学城科学大道</t>
    </r>
    <r>
      <rPr>
        <sz val="9"/>
        <color rgb="FF000000"/>
        <rFont val="Arial"/>
        <charset val="134"/>
      </rPr>
      <t>243</t>
    </r>
    <r>
      <rPr>
        <sz val="9"/>
        <color rgb="FF000000"/>
        <rFont val="楷体"/>
        <charset val="134"/>
      </rPr>
      <t>号</t>
    </r>
    <r>
      <rPr>
        <sz val="9"/>
        <color rgb="FF000000"/>
        <rFont val="Arial"/>
        <charset val="134"/>
      </rPr>
      <t>A5</t>
    </r>
    <r>
      <rPr>
        <sz val="9"/>
        <color rgb="FF000000"/>
        <rFont val="楷体"/>
        <charset val="134"/>
      </rPr>
      <t>栋</t>
    </r>
    <r>
      <rPr>
        <sz val="9"/>
        <color rgb="FF000000"/>
        <rFont val="Arial"/>
        <charset val="134"/>
      </rPr>
      <t>501</t>
    </r>
    <r>
      <rPr>
        <sz val="9"/>
        <color rgb="FF000000"/>
        <rFont val="楷体"/>
        <charset val="134"/>
      </rPr>
      <t>房</t>
    </r>
    <r>
      <rPr>
        <sz val="9"/>
        <color rgb="FF000000"/>
        <rFont val="Arial"/>
        <charset val="134"/>
      </rPr>
      <t>;</t>
    </r>
    <r>
      <rPr>
        <sz val="9"/>
        <color rgb="FF000000"/>
        <rFont val="楷体"/>
        <charset val="134"/>
      </rPr>
      <t>广东省广州市天河区东圃二马路宦溪西路</t>
    </r>
    <r>
      <rPr>
        <sz val="9"/>
        <color rgb="FF000000"/>
        <rFont val="Arial"/>
        <charset val="134"/>
      </rPr>
      <t>19</t>
    </r>
    <r>
      <rPr>
        <sz val="9"/>
        <color rgb="FF000000"/>
        <rFont val="楷体"/>
        <charset val="134"/>
      </rPr>
      <t>号</t>
    </r>
    <r>
      <rPr>
        <sz val="9"/>
        <color rgb="FF000000"/>
        <rFont val="Arial"/>
        <charset val="134"/>
      </rPr>
      <t>2</t>
    </r>
    <r>
      <rPr>
        <sz val="9"/>
        <color rgb="FF000000"/>
        <rFont val="楷体"/>
        <charset val="134"/>
      </rPr>
      <t>楼</t>
    </r>
    <r>
      <rPr>
        <sz val="9"/>
        <color rgb="FF000000"/>
        <rFont val="Arial"/>
        <charset val="134"/>
      </rPr>
      <t>2011-2018</t>
    </r>
    <r>
      <rPr>
        <sz val="9"/>
        <color rgb="FF000000"/>
        <rFont val="楷体"/>
        <charset val="134"/>
      </rPr>
      <t>室</t>
    </r>
  </si>
  <si>
    <t xml:space="preserve">020-3202-1665 </t>
  </si>
  <si>
    <t>36754892@qq.com</t>
  </si>
  <si>
    <t>2021-07-22</t>
  </si>
  <si>
    <t>吉因加</t>
  </si>
  <si>
    <r>
      <rPr>
        <sz val="9"/>
        <color rgb="FF000000"/>
        <rFont val="楷体"/>
        <charset val="134"/>
      </rPr>
      <t>吉因加是一家专注肿瘤基因检测领域的企业，自主研发了</t>
    </r>
    <r>
      <rPr>
        <sz val="9"/>
        <color rgb="FF000000"/>
        <rFont val="Arial"/>
        <charset val="134"/>
      </rPr>
      <t>ER-seq</t>
    </r>
    <r>
      <rPr>
        <sz val="9"/>
        <color rgb="FF000000"/>
        <rFont val="楷体"/>
        <charset val="134"/>
      </rPr>
      <t>、</t>
    </r>
    <r>
      <rPr>
        <sz val="9"/>
        <color rgb="FF000000"/>
        <rFont val="Arial"/>
        <charset val="134"/>
      </rPr>
      <t>mTBI</t>
    </r>
    <r>
      <rPr>
        <sz val="9"/>
        <color rgb="FF000000"/>
        <rFont val="楷体"/>
        <charset val="134"/>
      </rPr>
      <t>、</t>
    </r>
    <r>
      <rPr>
        <sz val="9"/>
        <color rgb="FF000000"/>
        <rFont val="Arial"/>
        <charset val="134"/>
      </rPr>
      <t>mClone</t>
    </r>
    <r>
      <rPr>
        <sz val="9"/>
        <color rgb="FF000000"/>
        <rFont val="楷体"/>
        <charset val="134"/>
      </rPr>
      <t>等核心技术，初步形成了无创、精准、动态的</t>
    </r>
    <r>
      <rPr>
        <sz val="9"/>
        <color rgb="FF000000"/>
        <rFont val="Arial"/>
        <charset val="134"/>
      </rPr>
      <t>ctDNA</t>
    </r>
    <r>
      <rPr>
        <sz val="9"/>
        <color rgb="FF000000"/>
        <rFont val="楷体"/>
        <charset val="134"/>
      </rPr>
      <t>检测体系，为客户提供肿瘤精准用药、疗效监测、术后复发检测、早期筛查等一系列临床服务和产品。</t>
    </r>
  </si>
  <si>
    <t>北京吉因加科技有限公司</t>
  </si>
  <si>
    <t>http://www.geneplus.org.cn</t>
  </si>
  <si>
    <t>专科医疗</t>
  </si>
  <si>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金种子创投</t>
    </r>
    <r>
      <rPr>
        <sz val="9"/>
        <color rgb="FF000000"/>
        <rFont val="Arial"/>
        <charset val="134"/>
      </rPr>
      <t>,</t>
    </r>
    <r>
      <rPr>
        <sz val="9"/>
        <color rgb="FF000000"/>
        <rFont val="楷体"/>
        <charset val="134"/>
      </rPr>
      <t>盛宇投资</t>
    </r>
    <r>
      <rPr>
        <sz val="9"/>
        <color rgb="FF000000"/>
        <rFont val="Arial"/>
        <charset val="134"/>
      </rPr>
      <t>,</t>
    </r>
    <r>
      <rPr>
        <sz val="9"/>
        <color rgb="FF000000"/>
        <rFont val="楷体"/>
        <charset val="134"/>
      </rPr>
      <t>阿里健康</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金茂资本</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园丰资本</t>
    </r>
    <r>
      <rPr>
        <sz val="9"/>
        <color rgb="FF000000"/>
        <rFont val="Arial"/>
        <charset val="134"/>
      </rPr>
      <t>,</t>
    </r>
    <r>
      <rPr>
        <sz val="9"/>
        <color rgb="FF000000"/>
        <rFont val="楷体"/>
        <charset val="134"/>
      </rPr>
      <t>中关村协同创新基金</t>
    </r>
    <r>
      <rPr>
        <sz val="9"/>
        <color rgb="FF000000"/>
        <rFont val="Arial"/>
        <charset val="134"/>
      </rPr>
      <t>,</t>
    </r>
    <r>
      <rPr>
        <sz val="9"/>
        <color rgb="FF000000"/>
        <rFont val="楷体"/>
        <charset val="134"/>
      </rPr>
      <t>建信投资</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创合汇资本</t>
    </r>
    <r>
      <rPr>
        <sz val="9"/>
        <color rgb="FF000000"/>
        <rFont val="Arial"/>
        <charset val="134"/>
      </rPr>
      <t>,</t>
    </r>
    <r>
      <rPr>
        <sz val="9"/>
        <color rgb="FF000000"/>
        <rFont val="楷体"/>
        <charset val="134"/>
      </rPr>
      <t>隽赐投资</t>
    </r>
    <r>
      <rPr>
        <sz val="9"/>
        <color rgb="FF000000"/>
        <rFont val="Arial"/>
        <charset val="134"/>
      </rPr>
      <t>,</t>
    </r>
    <r>
      <rPr>
        <sz val="9"/>
        <color rgb="FF000000"/>
        <rFont val="楷体"/>
        <charset val="134"/>
      </rPr>
      <t>蔚亭资本</t>
    </r>
    <r>
      <rPr>
        <sz val="9"/>
        <color rgb="FF000000"/>
        <rFont val="Arial"/>
        <charset val="134"/>
      </rPr>
      <t>,</t>
    </r>
    <r>
      <rPr>
        <sz val="9"/>
        <color rgb="FF000000"/>
        <rFont val="楷体"/>
        <charset val="134"/>
      </rPr>
      <t>华金投资</t>
    </r>
  </si>
  <si>
    <r>
      <rPr>
        <sz val="9"/>
        <color rgb="FF000000"/>
        <rFont val="Arial"/>
        <charset val="134"/>
      </rPr>
      <t>14.5</t>
    </r>
    <r>
      <rPr>
        <sz val="9"/>
        <color rgb="FF000000"/>
        <rFont val="楷体"/>
        <charset val="134"/>
      </rPr>
      <t>亿</t>
    </r>
  </si>
  <si>
    <r>
      <rPr>
        <sz val="9"/>
        <color rgb="FF000000"/>
        <rFont val="楷体"/>
        <charset val="134"/>
      </rPr>
      <t>易鑫</t>
    </r>
    <r>
      <rPr>
        <sz val="9"/>
        <color rgb="FF000000"/>
        <rFont val="Arial"/>
        <charset val="134"/>
      </rPr>
      <t>:</t>
    </r>
    <r>
      <rPr>
        <sz val="9"/>
        <color rgb="FF000000"/>
        <rFont val="楷体"/>
        <charset val="134"/>
      </rPr>
      <t>董事长</t>
    </r>
  </si>
  <si>
    <r>
      <rPr>
        <sz val="9"/>
        <color rgb="FF000000"/>
        <rFont val="楷体"/>
        <charset val="134"/>
      </rPr>
      <t>北京市昌平区中关村生命科学园北大医疗产业园</t>
    </r>
    <r>
      <rPr>
        <sz val="9"/>
        <color rgb="FF000000"/>
        <rFont val="Arial"/>
        <charset val="134"/>
      </rPr>
      <t>6</t>
    </r>
    <r>
      <rPr>
        <sz val="9"/>
        <color rgb="FF000000"/>
        <rFont val="楷体"/>
        <charset val="134"/>
      </rPr>
      <t>号楼</t>
    </r>
    <r>
      <rPr>
        <sz val="9"/>
        <color rgb="FF000000"/>
        <rFont val="Arial"/>
        <charset val="134"/>
      </rPr>
      <t>9</t>
    </r>
    <r>
      <rPr>
        <sz val="9"/>
        <color rgb="FF000000"/>
        <rFont val="楷体"/>
        <charset val="134"/>
      </rPr>
      <t>层</t>
    </r>
    <r>
      <rPr>
        <sz val="9"/>
        <color rgb="FF000000"/>
        <rFont val="Arial"/>
        <charset val="134"/>
      </rPr>
      <t>/2</t>
    </r>
    <r>
      <rPr>
        <sz val="9"/>
        <color rgb="FF000000"/>
        <rFont val="楷体"/>
        <charset val="134"/>
      </rPr>
      <t>号楼</t>
    </r>
    <r>
      <rPr>
        <sz val="9"/>
        <color rgb="FF000000"/>
        <rFont val="Arial"/>
        <charset val="134"/>
      </rPr>
      <t>5</t>
    </r>
    <r>
      <rPr>
        <sz val="9"/>
        <color rgb="FF000000"/>
        <rFont val="楷体"/>
        <charset val="134"/>
      </rPr>
      <t>层</t>
    </r>
  </si>
  <si>
    <t>010-5395-5678</t>
  </si>
  <si>
    <t>2020-11-16</t>
  </si>
  <si>
    <r>
      <rPr>
        <sz val="9"/>
        <color rgb="FF000000"/>
        <rFont val="楷体"/>
        <charset val="134"/>
      </rPr>
      <t>华盖资本</t>
    </r>
    <r>
      <rPr>
        <sz val="9"/>
        <color rgb="FF000000"/>
        <rFont val="Arial"/>
        <charset val="134"/>
      </rPr>
      <t>,</t>
    </r>
    <r>
      <rPr>
        <sz val="9"/>
        <color rgb="FF000000"/>
        <rFont val="楷体"/>
        <charset val="134"/>
      </rPr>
      <t>弘晖资本</t>
    </r>
    <r>
      <rPr>
        <sz val="9"/>
        <color rgb="FF000000"/>
        <rFont val="Arial"/>
        <charset val="134"/>
      </rPr>
      <t>,</t>
    </r>
    <r>
      <rPr>
        <sz val="9"/>
        <color rgb="FF000000"/>
        <rFont val="楷体"/>
        <charset val="134"/>
      </rPr>
      <t>盛宇投资</t>
    </r>
    <r>
      <rPr>
        <sz val="9"/>
        <color rgb="FF000000"/>
        <rFont val="Arial"/>
        <charset val="134"/>
      </rPr>
      <t>,</t>
    </r>
    <r>
      <rPr>
        <sz val="9"/>
        <color rgb="FF000000"/>
        <rFont val="楷体"/>
        <charset val="134"/>
      </rPr>
      <t>盛山资本</t>
    </r>
    <r>
      <rPr>
        <sz val="9"/>
        <color rgb="FF000000"/>
        <rFont val="Arial"/>
        <charset val="134"/>
      </rPr>
      <t>,</t>
    </r>
    <r>
      <rPr>
        <sz val="9"/>
        <color rgb="FF000000"/>
        <rFont val="楷体"/>
        <charset val="134"/>
      </rPr>
      <t>爱尔眼科</t>
    </r>
  </si>
  <si>
    <t>2019-09-30</t>
  </si>
  <si>
    <r>
      <rPr>
        <sz val="9"/>
        <color rgb="FF000000"/>
        <rFont val="楷体"/>
        <charset val="134"/>
      </rPr>
      <t>松禾资本</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荣之联</t>
    </r>
    <r>
      <rPr>
        <sz val="9"/>
        <color rgb="FF000000"/>
        <rFont val="Arial"/>
        <charset val="134"/>
      </rPr>
      <t>,</t>
    </r>
    <r>
      <rPr>
        <sz val="9"/>
        <color rgb="FF000000"/>
        <rFont val="楷体"/>
        <charset val="134"/>
      </rPr>
      <t>德商资本</t>
    </r>
    <r>
      <rPr>
        <sz val="9"/>
        <color rgb="FF000000"/>
        <rFont val="Arial"/>
        <charset val="134"/>
      </rPr>
      <t>,</t>
    </r>
    <r>
      <rPr>
        <sz val="9"/>
        <color rgb="FF000000"/>
        <rFont val="楷体"/>
        <charset val="134"/>
      </rPr>
      <t>华大基因</t>
    </r>
    <r>
      <rPr>
        <sz val="9"/>
        <color rgb="FF000000"/>
        <rFont val="Arial"/>
        <charset val="134"/>
      </rPr>
      <t>,</t>
    </r>
    <r>
      <rPr>
        <sz val="9"/>
        <color rgb="FF000000"/>
        <rFont val="楷体"/>
        <charset val="134"/>
      </rPr>
      <t>火山石资本</t>
    </r>
  </si>
  <si>
    <t>2019-01-14</t>
  </si>
  <si>
    <t>华大基因</t>
  </si>
  <si>
    <r>
      <rPr>
        <sz val="9"/>
        <color rgb="FF000000"/>
        <rFont val="楷体"/>
        <charset val="134"/>
      </rPr>
      <t>松禾资本</t>
    </r>
    <r>
      <rPr>
        <sz val="9"/>
        <color rgb="FF000000"/>
        <rFont val="Arial"/>
        <charset val="134"/>
      </rPr>
      <t>,</t>
    </r>
    <r>
      <rPr>
        <sz val="9"/>
        <color rgb="FF000000"/>
        <rFont val="楷体"/>
        <charset val="134"/>
      </rPr>
      <t>华大基因</t>
    </r>
    <r>
      <rPr>
        <sz val="9"/>
        <color rgb="FF000000"/>
        <rFont val="Arial"/>
        <charset val="134"/>
      </rPr>
      <t>,</t>
    </r>
    <r>
      <rPr>
        <sz val="9"/>
        <color rgb="FF000000"/>
        <rFont val="楷体"/>
        <charset val="134"/>
      </rPr>
      <t>火山石资本</t>
    </r>
  </si>
  <si>
    <t>嘉和美康</t>
  </si>
  <si>
    <t>嘉和美康是一家医疗综合信息化解决方案提供商，是国内较早从事医疗信息化软件研发与产业化的企业之一，长期深耕临床信息化领域，公司目前已经形成了具有自主知识产权的医疗信息化核心技术与产品体系，覆盖临床医疗、医院管理、医学科研、医患互动、医养结合、医疗支付优化等产业链环节，致力于向医疗相关机构提供综合信息化解决方案。</t>
  </si>
  <si>
    <t>嘉和美康（北京）科技股份有限公司</t>
  </si>
  <si>
    <t>http://www.bjgoodwill.com</t>
  </si>
  <si>
    <r>
      <rPr>
        <sz val="9"/>
        <color rgb="FF000000"/>
        <rFont val="Arial"/>
        <charset val="134"/>
      </rPr>
      <t>19</t>
    </r>
    <r>
      <rPr>
        <sz val="9"/>
        <color rgb="FF000000"/>
        <rFont val="楷体"/>
        <charset val="134"/>
      </rPr>
      <t>亿</t>
    </r>
  </si>
  <si>
    <r>
      <rPr>
        <sz val="9"/>
        <color rgb="FF000000"/>
        <rFont val="Arial"/>
        <charset val="134"/>
      </rPr>
      <t>54.46</t>
    </r>
    <r>
      <rPr>
        <sz val="9"/>
        <color rgb="FF000000"/>
        <rFont val="楷体"/>
        <charset val="134"/>
      </rPr>
      <t>亿元</t>
    </r>
  </si>
  <si>
    <r>
      <rPr>
        <sz val="9"/>
        <color rgb="FF000000"/>
        <rFont val="楷体"/>
        <charset val="134"/>
      </rPr>
      <t>夏军</t>
    </r>
    <r>
      <rPr>
        <sz val="9"/>
        <color rgb="FF000000"/>
        <rFont val="Arial"/>
        <charset val="134"/>
      </rPr>
      <t>:CEO</t>
    </r>
  </si>
  <si>
    <r>
      <rPr>
        <sz val="9"/>
        <color rgb="FF000000"/>
        <rFont val="楷体"/>
        <charset val="134"/>
      </rPr>
      <t>北京市海淀区上地信息产业基地开拓路</t>
    </r>
    <r>
      <rPr>
        <sz val="9"/>
        <color rgb="FF000000"/>
        <rFont val="Arial"/>
        <charset val="134"/>
      </rPr>
      <t>7</t>
    </r>
    <r>
      <rPr>
        <sz val="9"/>
        <color rgb="FF000000"/>
        <rFont val="楷体"/>
        <charset val="134"/>
      </rPr>
      <t>号先锋大厦</t>
    </r>
    <r>
      <rPr>
        <sz val="9"/>
        <color rgb="FF000000"/>
        <rFont val="Arial"/>
        <charset val="134"/>
      </rPr>
      <t>1</t>
    </r>
    <r>
      <rPr>
        <sz val="9"/>
        <color rgb="FF000000"/>
        <rFont val="楷体"/>
        <charset val="134"/>
      </rPr>
      <t>段</t>
    </r>
  </si>
  <si>
    <t>010-8278-1919</t>
  </si>
  <si>
    <t>marketing@bjgoodwill.com</t>
  </si>
  <si>
    <t>2020-03-06</t>
  </si>
  <si>
    <r>
      <rPr>
        <sz val="9"/>
        <color rgb="FF000000"/>
        <rFont val="楷体"/>
        <charset val="134"/>
      </rPr>
      <t>国寿股权</t>
    </r>
    <r>
      <rPr>
        <sz val="9"/>
        <color rgb="FF000000"/>
        <rFont val="Arial"/>
        <charset val="134"/>
      </rPr>
      <t>,</t>
    </r>
    <r>
      <rPr>
        <sz val="9"/>
        <color rgb="FF000000"/>
        <rFont val="楷体"/>
        <charset val="134"/>
      </rPr>
      <t>中金佳成</t>
    </r>
  </si>
  <si>
    <t>2019-01-01</t>
  </si>
  <si>
    <r>
      <rPr>
        <sz val="9"/>
        <color rgb="FF000000"/>
        <rFont val="楷体"/>
        <charset val="134"/>
      </rPr>
      <t>赛富基金</t>
    </r>
    <r>
      <rPr>
        <sz val="9"/>
        <color rgb="FF000000"/>
        <rFont val="Arial"/>
        <charset val="134"/>
      </rPr>
      <t>SAIF Partners,</t>
    </r>
    <r>
      <rPr>
        <sz val="9"/>
        <color rgb="FF000000"/>
        <rFont val="楷体"/>
        <charset val="134"/>
      </rPr>
      <t>凯旋创投</t>
    </r>
    <r>
      <rPr>
        <sz val="9"/>
        <color rgb="FF000000"/>
        <rFont val="Arial"/>
        <charset val="134"/>
      </rPr>
      <t>,</t>
    </r>
    <r>
      <rPr>
        <sz val="9"/>
        <color rgb="FF000000"/>
        <rFont val="楷体"/>
        <charset val="134"/>
      </rPr>
      <t>金石投资</t>
    </r>
    <r>
      <rPr>
        <sz val="9"/>
        <color rgb="FF000000"/>
        <rFont val="Arial"/>
        <charset val="134"/>
      </rPr>
      <t>,</t>
    </r>
    <r>
      <rPr>
        <sz val="9"/>
        <color rgb="FF000000"/>
        <rFont val="楷体"/>
        <charset val="134"/>
      </rPr>
      <t>清科母基金</t>
    </r>
    <r>
      <rPr>
        <sz val="9"/>
        <color rgb="FF000000"/>
        <rFont val="Arial"/>
        <charset val="134"/>
      </rPr>
      <t>,</t>
    </r>
    <r>
      <rPr>
        <sz val="9"/>
        <color rgb="FF000000"/>
        <rFont val="楷体"/>
        <charset val="134"/>
      </rPr>
      <t>上海朗闻</t>
    </r>
  </si>
  <si>
    <t>2017-05-22</t>
  </si>
  <si>
    <t>2012-06-01</t>
  </si>
  <si>
    <r>
      <rPr>
        <sz val="9"/>
        <color rgb="FF000000"/>
        <rFont val="楷体"/>
        <charset val="134"/>
      </rPr>
      <t>启明创投</t>
    </r>
    <r>
      <rPr>
        <sz val="9"/>
        <color rgb="FF000000"/>
        <rFont val="Arial"/>
        <charset val="134"/>
      </rPr>
      <t>,</t>
    </r>
    <r>
      <rPr>
        <sz val="9"/>
        <color rgb="FF000000"/>
        <rFont val="楷体"/>
        <charset val="134"/>
      </rPr>
      <t>清科创投</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神州数码</t>
    </r>
  </si>
  <si>
    <t>2011-12-08</t>
  </si>
  <si>
    <r>
      <rPr>
        <sz val="9"/>
        <color rgb="FF000000"/>
        <rFont val="楷体"/>
        <charset val="134"/>
      </rPr>
      <t>清科创投</t>
    </r>
    <r>
      <rPr>
        <sz val="9"/>
        <color rgb="FF000000"/>
        <rFont val="Arial"/>
        <charset val="134"/>
      </rPr>
      <t>,</t>
    </r>
    <r>
      <rPr>
        <sz val="9"/>
        <color rgb="FF000000"/>
        <rFont val="楷体"/>
        <charset val="134"/>
      </rPr>
      <t>汉富控股</t>
    </r>
  </si>
  <si>
    <t>巨鼎医疗</t>
  </si>
  <si>
    <r>
      <rPr>
        <sz val="9"/>
        <color rgb="FF000000"/>
        <rFont val="楷体"/>
        <charset val="134"/>
      </rPr>
      <t>巨鼎医疗，智慧医疗大健康解决方案领域的高新技术企业。旗下含南阳柯丽尔、广东柯丽尔、巨鼎健康、放射沙龙等子公司及</t>
    </r>
    <r>
      <rPr>
        <sz val="9"/>
        <color rgb="FF000000"/>
        <rFont val="Arial"/>
        <charset val="134"/>
      </rPr>
      <t>CLEAR</t>
    </r>
    <r>
      <rPr>
        <sz val="9"/>
        <color rgb="FF000000"/>
        <rFont val="楷体"/>
        <charset val="134"/>
      </rPr>
      <t>柯丽尔等知名品牌，已形成以智慧医疗、全院自助、健康管理发展模块为基础，以医疗大数据联云、影像全生态智能输出、智能自助终端</t>
    </r>
    <r>
      <rPr>
        <sz val="9"/>
        <color rgb="FF000000"/>
        <rFont val="Arial"/>
        <charset val="134"/>
      </rPr>
      <t>+</t>
    </r>
    <r>
      <rPr>
        <sz val="9"/>
        <color rgb="FF000000"/>
        <rFont val="楷体"/>
        <charset val="134"/>
      </rPr>
      <t>医疗信息化、医联体建设、远程心脏监护、糖尿病多维照护为核心的综合布局，赋能政府、医疗机构实现城市医疗服务信息化线下联动线上的跨越式发展，致力于打造以电子健康档案到云端为中心的智慧医疗生态圈，成为横跨医疗</t>
    </r>
    <r>
      <rPr>
        <sz val="9"/>
        <color rgb="FF000000"/>
        <rFont val="Arial"/>
        <charset val="134"/>
      </rPr>
      <t>IT</t>
    </r>
    <r>
      <rPr>
        <sz val="9"/>
        <color rgb="FF000000"/>
        <rFont val="楷体"/>
        <charset val="134"/>
      </rPr>
      <t>、医疗大数据、医疗移动应用、健康管理、医疗金融服务、医疗教育的综合性集团公司。</t>
    </r>
  </si>
  <si>
    <t>深圳市巨鼎医疗股份有限公司</t>
  </si>
  <si>
    <t>http://www.clearofchina.com/</t>
  </si>
  <si>
    <r>
      <rPr>
        <sz val="9"/>
        <color rgb="FF000000"/>
        <rFont val="Arial"/>
        <charset val="134"/>
      </rPr>
      <t>3.51</t>
    </r>
    <r>
      <rPr>
        <sz val="9"/>
        <color rgb="FF000000"/>
        <rFont val="楷体"/>
        <charset val="134"/>
      </rPr>
      <t>亿人民币</t>
    </r>
  </si>
  <si>
    <r>
      <rPr>
        <sz val="9"/>
        <color rgb="FF000000"/>
        <rFont val="楷体"/>
        <charset val="134"/>
      </rPr>
      <t>赛富基金</t>
    </r>
    <r>
      <rPr>
        <sz val="9"/>
        <color rgb="FF000000"/>
        <rFont val="Arial"/>
        <charset val="134"/>
      </rPr>
      <t>SAIF Partners,</t>
    </r>
    <r>
      <rPr>
        <sz val="9"/>
        <color rgb="FF000000"/>
        <rFont val="楷体"/>
        <charset val="134"/>
      </rPr>
      <t>阿里健康</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</si>
  <si>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6.21</t>
    </r>
    <r>
      <rPr>
        <sz val="9"/>
        <color rgb="FF000000"/>
        <rFont val="楷体"/>
        <charset val="134"/>
      </rPr>
      <t>亿</t>
    </r>
  </si>
  <si>
    <r>
      <rPr>
        <sz val="9"/>
        <color rgb="FF000000"/>
        <rFont val="楷体"/>
        <charset val="134"/>
      </rPr>
      <t>姜乙</t>
    </r>
    <r>
      <rPr>
        <sz val="9"/>
        <color rgb="FF000000"/>
        <rFont val="Arial"/>
        <charset val="134"/>
      </rPr>
      <t>:CEO</t>
    </r>
  </si>
  <si>
    <r>
      <rPr>
        <sz val="9"/>
        <color rgb="FF000000"/>
        <rFont val="楷体"/>
        <charset val="134"/>
      </rPr>
      <t>深圳市南山区高新科技园北区乌石头路</t>
    </r>
    <r>
      <rPr>
        <sz val="9"/>
        <color rgb="FF000000"/>
        <rFont val="Arial"/>
        <charset val="134"/>
      </rPr>
      <t>8</t>
    </r>
    <r>
      <rPr>
        <sz val="9"/>
        <color rgb="FF000000"/>
        <rFont val="楷体"/>
        <charset val="134"/>
      </rPr>
      <t>号天明科技大厦</t>
    </r>
    <r>
      <rPr>
        <sz val="9"/>
        <color rgb="FF000000"/>
        <rFont val="Arial"/>
        <charset val="134"/>
      </rPr>
      <t>5-7</t>
    </r>
    <r>
      <rPr>
        <sz val="9"/>
        <color rgb="FF000000"/>
        <rFont val="楷体"/>
        <charset val="134"/>
      </rPr>
      <t>层</t>
    </r>
  </si>
  <si>
    <t>400-800-5557</t>
  </si>
  <si>
    <t>zhaoqin@clearofchina.com</t>
  </si>
  <si>
    <t>2015-01-03</t>
  </si>
  <si>
    <r>
      <rPr>
        <sz val="9"/>
        <color rgb="FF000000"/>
        <rFont val="Arial"/>
        <charset val="134"/>
      </rPr>
      <t>2.2</t>
    </r>
    <r>
      <rPr>
        <sz val="9"/>
        <color rgb="FF000000"/>
        <rFont val="楷体"/>
        <charset val="134"/>
      </rPr>
      <t>亿人民币</t>
    </r>
  </si>
  <si>
    <r>
      <rPr>
        <sz val="9"/>
        <color rgb="FF000000"/>
        <rFont val="楷体"/>
        <charset val="134"/>
      </rPr>
      <t>赛富基金</t>
    </r>
    <r>
      <rPr>
        <sz val="9"/>
        <color rgb="FF000000"/>
        <rFont val="Arial"/>
        <charset val="134"/>
      </rPr>
      <t>SAIF Partners,</t>
    </r>
    <r>
      <rPr>
        <sz val="9"/>
        <color rgb="FF000000"/>
        <rFont val="楷体"/>
        <charset val="134"/>
      </rPr>
      <t>新华保险</t>
    </r>
  </si>
  <si>
    <t>2017-06-14</t>
  </si>
  <si>
    <t>嘉美在线</t>
  </si>
  <si>
    <t>嘉美在线是一家老精细化管理、医保智能监控领域内领先的信息系统提供商和一体化应用解决方案提供商，致力于医养结合养老、医保合理支付、区域卫生信息化的软件研发与服务，并提供行业信息化解决方案。</t>
  </si>
  <si>
    <t>北京嘉美在线科技有限公司</t>
  </si>
  <si>
    <t>http://www.hscpro.com</t>
  </si>
  <si>
    <r>
      <rPr>
        <sz val="9"/>
        <color rgb="FF000000"/>
        <rFont val="楷体"/>
        <charset val="134"/>
      </rPr>
      <t>胡柏风</t>
    </r>
    <r>
      <rPr>
        <sz val="9"/>
        <color rgb="FF000000"/>
        <rFont val="Arial"/>
        <charset val="134"/>
      </rPr>
      <t>:CEO</t>
    </r>
  </si>
  <si>
    <r>
      <rPr>
        <sz val="9"/>
        <color rgb="FF000000"/>
        <rFont val="楷体"/>
        <charset val="134"/>
      </rPr>
      <t>北京市海淀区上地信息产业基地开拓路</t>
    </r>
    <r>
      <rPr>
        <sz val="9"/>
        <color rgb="FF000000"/>
        <rFont val="Arial"/>
        <charset val="134"/>
      </rPr>
      <t>7</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2202</t>
    </r>
    <r>
      <rPr>
        <sz val="9"/>
        <color rgb="FF000000"/>
        <rFont val="楷体"/>
        <charset val="134"/>
      </rPr>
      <t>室</t>
    </r>
  </si>
  <si>
    <t>010-8278-1919 </t>
  </si>
  <si>
    <t>nieying@bjgoodwill.com</t>
  </si>
  <si>
    <r>
      <rPr>
        <sz val="9"/>
        <color rgb="FF000000"/>
        <rFont val="Arial"/>
        <charset val="134"/>
      </rPr>
      <t>CPE</t>
    </r>
    <r>
      <rPr>
        <sz val="9"/>
        <color rgb="FF000000"/>
        <rFont val="楷体"/>
        <charset val="134"/>
      </rPr>
      <t>源峰</t>
    </r>
  </si>
  <si>
    <t>2021-11-10</t>
  </si>
  <si>
    <t>兰丁股份</t>
  </si>
  <si>
    <t>兰丁股份主要从事于人工智能癌细胞诊断研究、生产、销售、临床筛查服务等业务。其自主研发的人工智能宫颈癌筛查诊断技术与互联网结合，已为中国千万妇女提供高质量低成本的宫颈癌筛查服务。</t>
  </si>
  <si>
    <t>武汉兰丁智能医学股份有限公司</t>
  </si>
  <si>
    <t>http://www.landing-med.com/</t>
  </si>
  <si>
    <t>寻医诊疗</t>
  </si>
  <si>
    <r>
      <rPr>
        <sz val="9"/>
        <color rgb="FF000000"/>
        <rFont val="楷体"/>
        <charset val="134"/>
      </rPr>
      <t>以太创服（以太资本）</t>
    </r>
    <r>
      <rPr>
        <sz val="9"/>
        <color rgb="FF000000"/>
        <rFont val="Arial"/>
        <charset val="134"/>
      </rPr>
      <t>,</t>
    </r>
    <r>
      <rPr>
        <sz val="9"/>
        <color rgb="FF000000"/>
        <rFont val="楷体"/>
        <charset val="134"/>
      </rPr>
      <t>阿里健康</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</si>
  <si>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4.2</t>
    </r>
    <r>
      <rPr>
        <sz val="9"/>
        <color rgb="FF000000"/>
        <rFont val="楷体"/>
        <charset val="134"/>
      </rPr>
      <t>亿</t>
    </r>
  </si>
  <si>
    <r>
      <rPr>
        <sz val="9"/>
        <color rgb="FF000000"/>
        <rFont val="楷体"/>
        <charset val="134"/>
      </rPr>
      <t>孙小蓉</t>
    </r>
    <r>
      <rPr>
        <sz val="9"/>
        <color rgb="FF000000"/>
        <rFont val="Arial"/>
        <charset val="134"/>
      </rPr>
      <t>:CEO</t>
    </r>
  </si>
  <si>
    <r>
      <rPr>
        <sz val="9"/>
        <color rgb="FF000000"/>
        <rFont val="楷体"/>
        <charset val="134"/>
      </rPr>
      <t>湖北省武汉市东湖新技术开发区高新大道</t>
    </r>
    <r>
      <rPr>
        <sz val="9"/>
        <color rgb="FF000000"/>
        <rFont val="Arial"/>
        <charset val="134"/>
      </rPr>
      <t>818</t>
    </r>
    <r>
      <rPr>
        <sz val="9"/>
        <color rgb="FF000000"/>
        <rFont val="楷体"/>
        <charset val="134"/>
      </rPr>
      <t>号医疗器械园</t>
    </r>
    <r>
      <rPr>
        <sz val="9"/>
        <color rgb="FF000000"/>
        <rFont val="Arial"/>
        <charset val="134"/>
      </rPr>
      <t>B7</t>
    </r>
    <r>
      <rPr>
        <sz val="9"/>
        <color rgb="FF000000"/>
        <rFont val="楷体"/>
        <charset val="134"/>
      </rPr>
      <t>栋</t>
    </r>
  </si>
  <si>
    <t>027-8830-0897</t>
  </si>
  <si>
    <t>landingmed@sina.com</t>
  </si>
  <si>
    <t>2018-10-24</t>
  </si>
  <si>
    <r>
      <rPr>
        <sz val="9"/>
        <color rgb="FF000000"/>
        <rFont val="楷体"/>
        <charset val="134"/>
      </rPr>
      <t>中银投资</t>
    </r>
    <r>
      <rPr>
        <sz val="9"/>
        <color rgb="FF000000"/>
        <rFont val="Arial"/>
        <charset val="134"/>
      </rPr>
      <t>,</t>
    </r>
    <r>
      <rPr>
        <sz val="9"/>
        <color rgb="FF000000"/>
        <rFont val="楷体"/>
        <charset val="134"/>
      </rPr>
      <t>招商局创投</t>
    </r>
  </si>
  <si>
    <r>
      <rPr>
        <sz val="9"/>
        <color rgb="FF000000"/>
        <rFont val="楷体"/>
        <charset val="134"/>
      </rPr>
      <t>道彤投资</t>
    </r>
    <r>
      <rPr>
        <sz val="9"/>
        <color rgb="FF000000"/>
        <rFont val="Arial"/>
        <charset val="134"/>
      </rPr>
      <t>,</t>
    </r>
    <r>
      <rPr>
        <sz val="9"/>
        <color rgb="FF000000"/>
        <rFont val="楷体"/>
        <charset val="134"/>
      </rPr>
      <t>仙瞳资本</t>
    </r>
    <r>
      <rPr>
        <sz val="9"/>
        <color rgb="FF000000"/>
        <rFont val="Arial"/>
        <charset val="134"/>
      </rPr>
      <t>,</t>
    </r>
    <r>
      <rPr>
        <sz val="9"/>
        <color rgb="FF000000"/>
        <rFont val="楷体"/>
        <charset val="134"/>
      </rPr>
      <t>奋毅资本</t>
    </r>
  </si>
  <si>
    <t>2014-09-28</t>
  </si>
  <si>
    <r>
      <rPr>
        <sz val="9"/>
        <color rgb="FF000000"/>
        <rFont val="楷体"/>
        <charset val="134"/>
      </rPr>
      <t>道彤投资</t>
    </r>
    <r>
      <rPr>
        <sz val="9"/>
        <color rgb="FF000000"/>
        <rFont val="Arial"/>
        <charset val="134"/>
      </rPr>
      <t>,</t>
    </r>
    <r>
      <rPr>
        <sz val="9"/>
        <color rgb="FF000000"/>
        <rFont val="楷体"/>
        <charset val="134"/>
      </rPr>
      <t>奋毅资本</t>
    </r>
  </si>
  <si>
    <t>2013-05-31</t>
  </si>
  <si>
    <t>2021-07-05</t>
  </si>
  <si>
    <t>漱玉平民</t>
  </si>
  <si>
    <r>
      <rPr>
        <sz val="9"/>
        <color rgb="FF000000"/>
        <rFont val="楷体"/>
        <charset val="134"/>
      </rPr>
      <t>漱玉平民是一个医药零售平台，主要经营中西成药、中药饮片、医疗器械、孕婴用品等产品，用户可在官方旗舰店及自有商城购买商品，旗下拥有健康管理</t>
    </r>
    <r>
      <rPr>
        <sz val="9"/>
        <color rgb="FF000000"/>
        <rFont val="Arial"/>
        <charset val="134"/>
      </rPr>
      <t>APP</t>
    </r>
    <r>
      <rPr>
        <sz val="9"/>
        <color rgb="FF000000"/>
        <rFont val="楷体"/>
        <charset val="134"/>
      </rPr>
      <t>漱玉优活和药物配送</t>
    </r>
    <r>
      <rPr>
        <sz val="9"/>
        <color rgb="FF000000"/>
        <rFont val="Arial"/>
        <charset val="134"/>
      </rPr>
      <t>APP</t>
    </r>
    <r>
      <rPr>
        <sz val="9"/>
        <color rgb="FF000000"/>
        <rFont val="楷体"/>
        <charset val="134"/>
      </rPr>
      <t>漱玉嗖嗖。</t>
    </r>
  </si>
  <si>
    <t>漱玉平民大药房连锁股份有限公司</t>
  </si>
  <si>
    <t>http://www.shuyupingmin.com/</t>
  </si>
  <si>
    <t>1999-01</t>
  </si>
  <si>
    <r>
      <rPr>
        <sz val="9"/>
        <color rgb="FF000000"/>
        <rFont val="Arial"/>
        <charset val="134"/>
      </rPr>
      <t>2.99</t>
    </r>
    <r>
      <rPr>
        <sz val="9"/>
        <color rgb="FF000000"/>
        <rFont val="楷体"/>
        <charset val="134"/>
      </rPr>
      <t>亿人民币</t>
    </r>
  </si>
  <si>
    <r>
      <rPr>
        <sz val="9"/>
        <color rgb="FF000000"/>
        <rFont val="Arial"/>
        <charset val="134"/>
      </rPr>
      <t>7.53</t>
    </r>
    <r>
      <rPr>
        <sz val="9"/>
        <color rgb="FF000000"/>
        <rFont val="楷体"/>
        <charset val="134"/>
      </rPr>
      <t>亿</t>
    </r>
  </si>
  <si>
    <r>
      <rPr>
        <sz val="9"/>
        <color rgb="FF000000"/>
        <rFont val="Arial"/>
        <charset val="134"/>
      </rPr>
      <t>35.91</t>
    </r>
    <r>
      <rPr>
        <sz val="9"/>
        <color rgb="FF000000"/>
        <rFont val="楷体"/>
        <charset val="134"/>
      </rPr>
      <t>亿元</t>
    </r>
  </si>
  <si>
    <r>
      <rPr>
        <sz val="9"/>
        <color rgb="FF000000"/>
        <rFont val="楷体"/>
        <charset val="134"/>
      </rPr>
      <t>李文杰</t>
    </r>
    <r>
      <rPr>
        <sz val="9"/>
        <color rgb="FF000000"/>
        <rFont val="Arial"/>
        <charset val="134"/>
      </rPr>
      <t>:</t>
    </r>
    <r>
      <rPr>
        <sz val="9"/>
        <color rgb="FF000000"/>
        <rFont val="楷体"/>
        <charset val="134"/>
      </rPr>
      <t>董事长</t>
    </r>
  </si>
  <si>
    <r>
      <rPr>
        <sz val="9"/>
        <color rgb="FF000000"/>
        <rFont val="楷体"/>
        <charset val="134"/>
      </rPr>
      <t>山东省济南市历城区山大北路</t>
    </r>
    <r>
      <rPr>
        <sz val="9"/>
        <color rgb="FF000000"/>
        <rFont val="Arial"/>
        <charset val="134"/>
      </rPr>
      <t>56</t>
    </r>
    <r>
      <rPr>
        <sz val="9"/>
        <color rgb="FF000000"/>
        <rFont val="楷体"/>
        <charset val="134"/>
      </rPr>
      <t>号</t>
    </r>
  </si>
  <si>
    <t>400-010-6666</t>
  </si>
  <si>
    <r>
      <rPr>
        <sz val="9"/>
        <color rgb="FF000000"/>
        <rFont val="Arial"/>
        <charset val="134"/>
      </rPr>
      <t>4.54</t>
    </r>
    <r>
      <rPr>
        <sz val="9"/>
        <color rgb="FF000000"/>
        <rFont val="楷体"/>
        <charset val="134"/>
      </rPr>
      <t>亿人民币</t>
    </r>
  </si>
  <si>
    <t>2018-05-29</t>
  </si>
  <si>
    <t>Ali JK Medical Products Limited</t>
  </si>
  <si>
    <r>
      <rPr>
        <sz val="9"/>
        <color rgb="FF000000"/>
        <rFont val="Arial"/>
        <charset val="134"/>
      </rPr>
      <t>Ali JK Medical Products</t>
    </r>
    <r>
      <rPr>
        <sz val="9"/>
        <color rgb="FF000000"/>
        <rFont val="楷体"/>
        <charset val="134"/>
      </rPr>
      <t>是一家医疗器械及保健品供应平台，产品业务包括，在天猫销售医疗器械及保健用品、成人用品、医疗及健康服务。</t>
    </r>
  </si>
  <si>
    <r>
      <rPr>
        <sz val="9"/>
        <color rgb="FF000000"/>
        <rFont val="Arial"/>
        <charset val="134"/>
      </rPr>
      <t>106</t>
    </r>
    <r>
      <rPr>
        <sz val="9"/>
        <color rgb="FF000000"/>
        <rFont val="楷体"/>
        <charset val="134"/>
      </rPr>
      <t>亿港元</t>
    </r>
  </si>
  <si>
    <r>
      <rPr>
        <sz val="9"/>
        <color rgb="FF000000"/>
        <rFont val="Arial"/>
        <charset val="134"/>
      </rPr>
      <t>84.8</t>
    </r>
    <r>
      <rPr>
        <sz val="9"/>
        <color rgb="FF000000"/>
        <rFont val="楷体"/>
        <charset val="134"/>
      </rPr>
      <t>亿</t>
    </r>
  </si>
  <si>
    <r>
      <rPr>
        <sz val="9"/>
        <color rgb="FF000000"/>
        <rFont val="Arial"/>
        <charset val="134"/>
      </rPr>
      <t>424</t>
    </r>
    <r>
      <rPr>
        <sz val="9"/>
        <color rgb="FF000000"/>
        <rFont val="楷体"/>
        <charset val="134"/>
      </rPr>
      <t>亿元</t>
    </r>
  </si>
  <si>
    <t>2023-03-01</t>
  </si>
  <si>
    <t>华人健康</t>
  </si>
  <si>
    <t>华人健康专注于医药健康产业，经过多年发展，现已发展为以华人健康为产品输出平台，以国胜大药房为医药零售平台，以汇达药业为供应链整合平台，以商学院为管理输出平台，以捷助科技为信息化平台，以正药科技为药物研发和创新平台，以国胜医疗为医疗健康服务平台，以克安舒医药为医疗器械平台，八位一体、科学布局的医药生态型企业。</t>
  </si>
  <si>
    <t>安徽华人健康医药股份有限公司</t>
  </si>
  <si>
    <t>http://www.hrjkjt.com/</t>
  </si>
  <si>
    <r>
      <rPr>
        <sz val="9"/>
        <color rgb="FF000000"/>
        <rFont val="楷体"/>
        <charset val="134"/>
      </rPr>
      <t>何家乐</t>
    </r>
    <r>
      <rPr>
        <sz val="9"/>
        <color rgb="FF000000"/>
        <rFont val="Arial"/>
        <charset val="134"/>
      </rPr>
      <t>:</t>
    </r>
    <r>
      <rPr>
        <sz val="9"/>
        <color rgb="FF000000"/>
        <rFont val="楷体"/>
        <charset val="134"/>
      </rPr>
      <t>董事长</t>
    </r>
  </si>
  <si>
    <r>
      <rPr>
        <sz val="9"/>
        <color rgb="FF000000"/>
        <rFont val="楷体"/>
        <charset val="134"/>
      </rPr>
      <t>安徽合肥包河区上海路</t>
    </r>
    <r>
      <rPr>
        <sz val="9"/>
        <color rgb="FF000000"/>
        <rFont val="Arial"/>
        <charset val="134"/>
      </rPr>
      <t>18</t>
    </r>
    <r>
      <rPr>
        <sz val="9"/>
        <color rgb="FF000000"/>
        <rFont val="楷体"/>
        <charset val="134"/>
      </rPr>
      <t>号华人健康大厦</t>
    </r>
  </si>
  <si>
    <t>0551—63677-7603</t>
  </si>
  <si>
    <t>hrjkjt@126.com</t>
  </si>
  <si>
    <t>2018-06-27</t>
  </si>
  <si>
    <t>2017-12-14</t>
  </si>
  <si>
    <t>华泰紫金</t>
  </si>
  <si>
    <t>2017-05-08</t>
  </si>
  <si>
    <t>礼和医药</t>
  </si>
  <si>
    <r>
      <rPr>
        <sz val="9"/>
        <color rgb="FF000000"/>
        <rFont val="楷体"/>
        <charset val="134"/>
      </rPr>
      <t>礼和医药是一个医药批发电商平台，主要从事西药、中成药，中药材、医疗器械等医药商品的批发销售，以电子商务、医药供应链服务、终端纯销、医药分销及健康管理为主要经营业态，并基于平台为用户提供</t>
    </r>
    <r>
      <rPr>
        <sz val="9"/>
        <color rgb="FF000000"/>
        <rFont val="Arial"/>
        <charset val="134"/>
      </rPr>
      <t>“1</t>
    </r>
    <r>
      <rPr>
        <sz val="9"/>
        <color rgb="FF000000"/>
        <rFont val="楷体"/>
        <charset val="134"/>
      </rPr>
      <t>小时良药送到家</t>
    </r>
    <r>
      <rPr>
        <sz val="9"/>
        <color rgb="FF000000"/>
        <rFont val="Arial"/>
        <charset val="134"/>
      </rPr>
      <t>”</t>
    </r>
    <r>
      <rPr>
        <sz val="9"/>
        <color rgb="FF000000"/>
        <rFont val="楷体"/>
        <charset val="134"/>
      </rPr>
      <t>配送服务。</t>
    </r>
  </si>
  <si>
    <t>阿里健康（浙江）医药有限公司</t>
  </si>
  <si>
    <r>
      <rPr>
        <sz val="9"/>
        <color rgb="FF000000"/>
        <rFont val="楷体"/>
        <charset val="134"/>
      </rPr>
      <t>孟长安</t>
    </r>
    <r>
      <rPr>
        <sz val="9"/>
        <color rgb="FF000000"/>
        <rFont val="Arial"/>
        <charset val="134"/>
      </rPr>
      <t>:CEO</t>
    </r>
  </si>
  <si>
    <r>
      <rPr>
        <sz val="9"/>
        <color rgb="FF000000"/>
        <rFont val="楷体"/>
        <charset val="134"/>
      </rPr>
      <t>浙江省杭州市余杭区南苑街道南大街</t>
    </r>
    <r>
      <rPr>
        <sz val="9"/>
        <color rgb="FF000000"/>
        <rFont val="Arial"/>
        <charset val="134"/>
      </rPr>
      <t>326</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01</t>
    </r>
    <r>
      <rPr>
        <sz val="9"/>
        <color rgb="FF000000"/>
        <rFont val="楷体"/>
        <charset val="134"/>
      </rPr>
      <t>室时代广场</t>
    </r>
    <r>
      <rPr>
        <sz val="9"/>
        <color rgb="FF000000"/>
        <rFont val="Arial"/>
        <charset val="134"/>
      </rPr>
      <t>1</t>
    </r>
    <r>
      <rPr>
        <sz val="9"/>
        <color rgb="FF000000"/>
        <rFont val="楷体"/>
        <charset val="134"/>
      </rPr>
      <t>号楼</t>
    </r>
    <r>
      <rPr>
        <sz val="9"/>
        <color rgb="FF000000"/>
        <rFont val="Arial"/>
        <charset val="134"/>
      </rPr>
      <t>13</t>
    </r>
    <r>
      <rPr>
        <sz val="9"/>
        <color rgb="FF000000"/>
        <rFont val="楷体"/>
        <charset val="134"/>
      </rPr>
      <t>层</t>
    </r>
    <r>
      <rPr>
        <sz val="9"/>
        <color rgb="FF000000"/>
        <rFont val="Arial"/>
        <charset val="134"/>
      </rPr>
      <t>1301</t>
    </r>
    <r>
      <rPr>
        <sz val="9"/>
        <color rgb="FF000000"/>
        <rFont val="楷体"/>
        <charset val="134"/>
      </rPr>
      <t>室</t>
    </r>
  </si>
  <si>
    <t>2018-12-25</t>
  </si>
  <si>
    <t>德生堂</t>
  </si>
  <si>
    <r>
      <rPr>
        <sz val="9"/>
        <color rgb="FF000000"/>
        <rFont val="楷体"/>
        <charset val="134"/>
      </rPr>
      <t>德生堂是一家连锁医药零售商，业务涵盖医药零售、医药批发、医疗服务、互联网</t>
    </r>
    <r>
      <rPr>
        <sz val="9"/>
        <color rgb="FF000000"/>
        <rFont val="Arial"/>
        <charset val="134"/>
      </rPr>
      <t>B2C</t>
    </r>
    <r>
      <rPr>
        <sz val="9"/>
        <color rgb="FF000000"/>
        <rFont val="楷体"/>
        <charset val="134"/>
      </rPr>
      <t>、</t>
    </r>
    <r>
      <rPr>
        <sz val="9"/>
        <color rgb="FF000000"/>
        <rFont val="Arial"/>
        <charset val="134"/>
      </rPr>
      <t>B2B</t>
    </r>
    <r>
      <rPr>
        <sz val="9"/>
        <color rgb="FF000000"/>
        <rFont val="楷体"/>
        <charset val="134"/>
      </rPr>
      <t>、</t>
    </r>
    <r>
      <rPr>
        <sz val="9"/>
        <color rgb="FF000000"/>
        <rFont val="Arial"/>
        <charset val="134"/>
      </rPr>
      <t>O2O</t>
    </r>
    <r>
      <rPr>
        <sz val="9"/>
        <color rgb="FF000000"/>
        <rFont val="楷体"/>
        <charset val="134"/>
      </rPr>
      <t>、远程医疗、招商加盟等多个领域，同时拥有自创助听器品牌</t>
    </r>
    <r>
      <rPr>
        <sz val="9"/>
        <color rgb="FF000000"/>
        <rFont val="Arial"/>
        <charset val="134"/>
      </rPr>
      <t>“</t>
    </r>
    <r>
      <rPr>
        <sz val="9"/>
        <color rgb="FF000000"/>
        <rFont val="楷体"/>
        <charset val="134"/>
      </rPr>
      <t>纤音</t>
    </r>
    <r>
      <rPr>
        <sz val="9"/>
        <color rgb="FF000000"/>
        <rFont val="Arial"/>
        <charset val="134"/>
      </rPr>
      <t>”</t>
    </r>
    <r>
      <rPr>
        <sz val="9"/>
        <color rgb="FF000000"/>
        <rFont val="楷体"/>
        <charset val="134"/>
      </rPr>
      <t>、男性滋补品牌</t>
    </r>
    <r>
      <rPr>
        <sz val="9"/>
        <color rgb="FF000000"/>
        <rFont val="Arial"/>
        <charset val="134"/>
      </rPr>
      <t>“</t>
    </r>
    <r>
      <rPr>
        <sz val="9"/>
        <color rgb="FF000000"/>
        <rFont val="楷体"/>
        <charset val="134"/>
      </rPr>
      <t>子弹飞</t>
    </r>
    <r>
      <rPr>
        <sz val="9"/>
        <color rgb="FF000000"/>
        <rFont val="Arial"/>
        <charset val="134"/>
      </rPr>
      <t>”</t>
    </r>
    <r>
      <rPr>
        <sz val="9"/>
        <color rgb="FF000000"/>
        <rFont val="楷体"/>
        <charset val="134"/>
      </rPr>
      <t>六味地黄丸，实现了医药全产业链发展。</t>
    </r>
  </si>
  <si>
    <t>德生堂医药股份有限公司</t>
  </si>
  <si>
    <t>http://www.jklj.net/</t>
  </si>
  <si>
    <r>
      <rPr>
        <sz val="9"/>
        <color rgb="FF000000"/>
        <rFont val="Arial"/>
        <charset val="134"/>
      </rPr>
      <t>1.88</t>
    </r>
    <r>
      <rPr>
        <sz val="9"/>
        <color rgb="FF000000"/>
        <rFont val="楷体"/>
        <charset val="134"/>
      </rPr>
      <t>亿人民币</t>
    </r>
  </si>
  <si>
    <r>
      <rPr>
        <sz val="9"/>
        <color rgb="FF000000"/>
        <rFont val="Arial"/>
        <charset val="134"/>
      </rPr>
      <t>9.4</t>
    </r>
    <r>
      <rPr>
        <sz val="9"/>
        <color rgb="FF000000"/>
        <rFont val="楷体"/>
        <charset val="134"/>
      </rPr>
      <t>亿元</t>
    </r>
  </si>
  <si>
    <r>
      <rPr>
        <sz val="9"/>
        <color rgb="FF000000"/>
        <rFont val="楷体"/>
        <charset val="134"/>
      </rPr>
      <t>龙岩</t>
    </r>
    <r>
      <rPr>
        <sz val="9"/>
        <color rgb="FF000000"/>
        <rFont val="Arial"/>
        <charset val="134"/>
      </rPr>
      <t>:</t>
    </r>
    <r>
      <rPr>
        <sz val="9"/>
        <color rgb="FF000000"/>
        <rFont val="楷体"/>
        <charset val="134"/>
      </rPr>
      <t>创始人</t>
    </r>
  </si>
  <si>
    <r>
      <rPr>
        <sz val="9"/>
        <color rgb="FF000000"/>
        <rFont val="楷体"/>
        <charset val="134"/>
      </rPr>
      <t>北京市朝阳区利泽中一路</t>
    </r>
    <r>
      <rPr>
        <sz val="9"/>
        <color rgb="FF000000"/>
        <rFont val="Arial"/>
        <charset val="134"/>
      </rPr>
      <t>1</t>
    </r>
    <r>
      <rPr>
        <sz val="9"/>
        <color rgb="FF000000"/>
        <rFont val="楷体"/>
        <charset val="134"/>
      </rPr>
      <t>号博雅国际中心</t>
    </r>
    <r>
      <rPr>
        <sz val="9"/>
        <color rgb="FF000000"/>
        <rFont val="Arial"/>
        <charset val="134"/>
      </rPr>
      <t>A</t>
    </r>
    <r>
      <rPr>
        <sz val="9"/>
        <color rgb="FF000000"/>
        <rFont val="楷体"/>
        <charset val="134"/>
      </rPr>
      <t>座</t>
    </r>
    <r>
      <rPr>
        <sz val="9"/>
        <color rgb="FF000000"/>
        <rFont val="Arial"/>
        <charset val="134"/>
      </rPr>
      <t>5</t>
    </r>
    <r>
      <rPr>
        <sz val="9"/>
        <color rgb="FF000000"/>
        <rFont val="楷体"/>
        <charset val="134"/>
      </rPr>
      <t>楼</t>
    </r>
  </si>
  <si>
    <t>400-755-1000</t>
  </si>
  <si>
    <t>zhaoshangjiameng@111yao.com</t>
  </si>
  <si>
    <t>2017-10-10</t>
  </si>
  <si>
    <r>
      <rPr>
        <sz val="9"/>
        <color rgb="FF000000"/>
        <rFont val="楷体"/>
        <charset val="134"/>
      </rPr>
      <t>沿海资本</t>
    </r>
    <r>
      <rPr>
        <sz val="9"/>
        <color rgb="FF000000"/>
        <rFont val="Arial"/>
        <charset val="134"/>
      </rPr>
      <t>,</t>
    </r>
    <r>
      <rPr>
        <sz val="9"/>
        <color rgb="FF000000"/>
        <rFont val="楷体"/>
        <charset val="134"/>
      </rPr>
      <t>邦盛资本</t>
    </r>
  </si>
  <si>
    <t>2017-12-01</t>
  </si>
  <si>
    <t>久康一心</t>
  </si>
  <si>
    <r>
      <rPr>
        <sz val="9"/>
        <color rgb="FF000000"/>
        <rFont val="楷体"/>
        <charset val="134"/>
      </rPr>
      <t>久康一心是一家互联网</t>
    </r>
    <r>
      <rPr>
        <sz val="9"/>
        <color rgb="FF000000"/>
        <rFont val="Arial"/>
        <charset val="134"/>
      </rPr>
      <t>+</t>
    </r>
    <r>
      <rPr>
        <sz val="9"/>
        <color rgb="FF000000"/>
        <rFont val="楷体"/>
        <charset val="134"/>
      </rPr>
      <t>医疗建设科技公司，目前已经与云南多个医院签订了相关互联网</t>
    </r>
    <r>
      <rPr>
        <sz val="9"/>
        <color rgb="FF000000"/>
        <rFont val="Arial"/>
        <charset val="134"/>
      </rPr>
      <t>+</t>
    </r>
    <r>
      <rPr>
        <sz val="9"/>
        <color rgb="FF000000"/>
        <rFont val="楷体"/>
        <charset val="134"/>
      </rPr>
      <t>医疗落地项目，包括互联网电子处方共享平台、互联网医院整体解决方案、慢病智慧社区搭建、基层医疗机构信息化升级等。</t>
    </r>
  </si>
  <si>
    <t>云南久康一心信息技术服务有限公司</t>
  </si>
  <si>
    <t>http://www.jiukangyx.com/</t>
  </si>
  <si>
    <t>2017-10</t>
  </si>
  <si>
    <r>
      <rPr>
        <sz val="9"/>
        <color rgb="FF000000"/>
        <rFont val="楷体"/>
        <charset val="134"/>
      </rPr>
      <t>云南</t>
    </r>
    <r>
      <rPr>
        <sz val="9"/>
        <color rgb="FF000000"/>
        <rFont val="Arial"/>
        <charset val="134"/>
      </rPr>
      <t>-</t>
    </r>
    <r>
      <rPr>
        <sz val="9"/>
        <color rgb="FF000000"/>
        <rFont val="楷体"/>
        <charset val="134"/>
      </rPr>
      <t>昆明</t>
    </r>
  </si>
  <si>
    <r>
      <rPr>
        <sz val="9"/>
        <color rgb="FF000000"/>
        <rFont val="楷体"/>
        <charset val="134"/>
      </rPr>
      <t>阿里健康</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一心堂</t>
    </r>
  </si>
  <si>
    <r>
      <rPr>
        <sz val="9"/>
        <color rgb="FF000000"/>
        <rFont val="楷体"/>
        <charset val="134"/>
      </rPr>
      <t>昆明市呈贡新区上海东盟大厦</t>
    </r>
    <r>
      <rPr>
        <sz val="9"/>
        <color rgb="FF000000"/>
        <rFont val="Arial"/>
        <charset val="134"/>
      </rPr>
      <t>B</t>
    </r>
    <r>
      <rPr>
        <sz val="9"/>
        <color rgb="FF000000"/>
        <rFont val="楷体"/>
        <charset val="134"/>
      </rPr>
      <t>座</t>
    </r>
    <r>
      <rPr>
        <sz val="9"/>
        <color rgb="FF000000"/>
        <rFont val="Arial"/>
        <charset val="134"/>
      </rPr>
      <t>23</t>
    </r>
    <r>
      <rPr>
        <sz val="9"/>
        <color rgb="FF000000"/>
        <rFont val="楷体"/>
        <charset val="134"/>
      </rPr>
      <t>楼</t>
    </r>
  </si>
  <si>
    <t>0871-67461911</t>
  </si>
  <si>
    <t>weilijuan@jkyx.onaliyun.com</t>
  </si>
  <si>
    <t>2018-05-23</t>
  </si>
  <si>
    <t>熙牛医疗</t>
  </si>
  <si>
    <r>
      <rPr>
        <sz val="9"/>
        <color rgb="FF000000"/>
        <rFont val="楷体"/>
        <charset val="134"/>
      </rPr>
      <t>熙牛医疗是一家智慧医疗解决方案公司，为医院、医生、患者、健康人群提供科技产品、服务和运营，主打产品为熙牛云</t>
    </r>
    <r>
      <rPr>
        <sz val="9"/>
        <color rgb="FF000000"/>
        <rFont val="Arial"/>
        <charset val="134"/>
      </rPr>
      <t>HIS</t>
    </r>
    <r>
      <rPr>
        <sz val="9"/>
        <color rgb="FF000000"/>
        <rFont val="楷体"/>
        <charset val="134"/>
      </rPr>
      <t>系统，致力于打造新一代医院信息系统。</t>
    </r>
  </si>
  <si>
    <t>熙牛医疗科技（浙江）有限公司</t>
  </si>
  <si>
    <t>http://www.seenew.cn/</t>
  </si>
  <si>
    <r>
      <rPr>
        <sz val="9"/>
        <color rgb="FF000000"/>
        <rFont val="楷体"/>
        <charset val="134"/>
      </rPr>
      <t>浙江省杭州市西湖区转塘科技经济区块</t>
    </r>
    <r>
      <rPr>
        <sz val="9"/>
        <color rgb="FF000000"/>
        <rFont val="Arial"/>
        <charset val="134"/>
      </rPr>
      <t>16</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309-1</t>
    </r>
    <r>
      <rPr>
        <sz val="9"/>
        <color rgb="FF000000"/>
        <rFont val="楷体"/>
        <charset val="134"/>
      </rPr>
      <t>室</t>
    </r>
  </si>
  <si>
    <t>0571-28120612</t>
  </si>
  <si>
    <t>xnyl@seenew.info</t>
  </si>
  <si>
    <t>2020-02-07</t>
  </si>
  <si>
    <t>天猫医药</t>
  </si>
  <si>
    <r>
      <rPr>
        <sz val="9"/>
        <color rgb="FF000000"/>
        <rFont val="楷体"/>
        <charset val="134"/>
      </rPr>
      <t>天猫医药是一个天猫医疗电商业务运营平台，业务包括天猫产品及服务、天猫国际产品及服务，其中，</t>
    </r>
    <r>
      <rPr>
        <sz val="9"/>
        <color rgb="FF000000"/>
        <rFont val="Arial"/>
        <charset val="134"/>
      </rPr>
      <t>“</t>
    </r>
    <r>
      <rPr>
        <sz val="9"/>
        <color rgb="FF000000"/>
        <rFont val="楷体"/>
        <charset val="134"/>
      </rPr>
      <t>天猫产品及服务</t>
    </r>
    <r>
      <rPr>
        <sz val="9"/>
        <color rgb="FF000000"/>
        <rFont val="Arial"/>
        <charset val="134"/>
      </rPr>
      <t>”</t>
    </r>
    <r>
      <rPr>
        <sz val="9"/>
        <color rgb="FF000000"/>
        <rFont val="楷体"/>
        <charset val="134"/>
      </rPr>
      <t>包括在天猫上（包括通过天猫超市）销售的药品、特殊医学用途配方食品、以及仅在天猫超市上销售的医疗器械、成人用品、保健用品、医疗及健康服务等。</t>
    </r>
    <r>
      <rPr>
        <sz val="9"/>
        <color rgb="FF000000"/>
        <rFont val="Arial"/>
        <charset val="134"/>
      </rPr>
      <t>“</t>
    </r>
    <r>
      <rPr>
        <sz val="9"/>
        <color rgb="FF000000"/>
        <rFont val="楷体"/>
        <charset val="134"/>
      </rPr>
      <t>天猫国际产品及服务</t>
    </r>
    <r>
      <rPr>
        <sz val="9"/>
        <color rgb="FF000000"/>
        <rFont val="Arial"/>
        <charset val="134"/>
      </rPr>
      <t>”</t>
    </r>
    <r>
      <rPr>
        <sz val="9"/>
        <color rgb="FF000000"/>
        <rFont val="楷体"/>
        <charset val="134"/>
      </rPr>
      <t>包括以下在天猫国际销售的产品及</t>
    </r>
    <r>
      <rPr>
        <sz val="9"/>
        <color rgb="FF000000"/>
        <rFont val="Arial"/>
        <charset val="134"/>
      </rPr>
      <t>/</t>
    </r>
    <r>
      <rPr>
        <sz val="9"/>
        <color rgb="FF000000"/>
        <rFont val="楷体"/>
        <charset val="134"/>
      </rPr>
      <t>或服务、药品、医疗器械、保健用品特殊医学用途配方食品、医疗及健康服务。</t>
    </r>
  </si>
  <si>
    <t>http://yao.tmall.com/</t>
  </si>
  <si>
    <r>
      <rPr>
        <sz val="9"/>
        <color rgb="FF000000"/>
        <rFont val="Arial"/>
        <charset val="134"/>
      </rPr>
      <t>80</t>
    </r>
    <r>
      <rPr>
        <sz val="9"/>
        <color rgb="FF000000"/>
        <rFont val="楷体"/>
        <charset val="134"/>
      </rPr>
      <t>亿港元</t>
    </r>
  </si>
  <si>
    <r>
      <rPr>
        <sz val="9"/>
        <color rgb="FF000000"/>
        <rFont val="Arial"/>
        <charset val="134"/>
      </rPr>
      <t>64</t>
    </r>
    <r>
      <rPr>
        <sz val="9"/>
        <color rgb="FF000000"/>
        <rFont val="楷体"/>
        <charset val="134"/>
      </rPr>
      <t>亿</t>
    </r>
  </si>
  <si>
    <r>
      <rPr>
        <sz val="9"/>
        <color rgb="FF000000"/>
        <rFont val="Arial"/>
        <charset val="134"/>
      </rPr>
      <t>320</t>
    </r>
    <r>
      <rPr>
        <sz val="9"/>
        <color rgb="FF000000"/>
        <rFont val="楷体"/>
        <charset val="134"/>
      </rPr>
      <t>亿元</t>
    </r>
  </si>
  <si>
    <t>2021-11-30</t>
  </si>
  <si>
    <t>来未来</t>
  </si>
  <si>
    <t>来未来科技是一家企业数字化转型服务商。致力于打造企业智能中台，数字化企业生产经营要素、智能化企业市场洞察能力、塑造以客户为中心的业务流程，快速响应市场变化。</t>
  </si>
  <si>
    <t>来未来科技（浙江）有限公司</t>
  </si>
  <si>
    <t>https://www.come-future.com</t>
  </si>
  <si>
    <r>
      <rPr>
        <sz val="9"/>
        <color rgb="FF000000"/>
        <rFont val="楷体"/>
        <charset val="134"/>
      </rPr>
      <t>红杉资本中国</t>
    </r>
    <r>
      <rPr>
        <sz val="9"/>
        <color rgb="FF000000"/>
        <rFont val="Arial"/>
        <charset val="134"/>
      </rPr>
      <t>,</t>
    </r>
    <r>
      <rPr>
        <sz val="9"/>
        <color rgb="FF000000"/>
        <rFont val="楷体"/>
        <charset val="134"/>
      </rPr>
      <t>同创伟业</t>
    </r>
    <r>
      <rPr>
        <sz val="9"/>
        <color rgb="FF000000"/>
        <rFont val="Arial"/>
        <charset val="134"/>
      </rPr>
      <t>,</t>
    </r>
    <r>
      <rPr>
        <sz val="9"/>
        <color rgb="FF000000"/>
        <rFont val="楷体"/>
        <charset val="134"/>
      </rPr>
      <t>元璟资本</t>
    </r>
  </si>
  <si>
    <r>
      <rPr>
        <sz val="9"/>
        <color rgb="FF000000"/>
        <rFont val="Arial"/>
        <charset val="134"/>
      </rPr>
      <t>4.17</t>
    </r>
    <r>
      <rPr>
        <sz val="9"/>
        <color rgb="FF000000"/>
        <rFont val="楷体"/>
        <charset val="134"/>
      </rPr>
      <t>亿</t>
    </r>
  </si>
  <si>
    <r>
      <rPr>
        <sz val="9"/>
        <color rgb="FF000000"/>
        <rFont val="楷体"/>
        <charset val="134"/>
      </rPr>
      <t>墙辉</t>
    </r>
    <r>
      <rPr>
        <sz val="9"/>
        <color rgb="FF000000"/>
        <rFont val="Arial"/>
        <charset val="134"/>
      </rPr>
      <t>:CEO</t>
    </r>
  </si>
  <si>
    <r>
      <rPr>
        <sz val="9"/>
        <color rgb="FF000000"/>
        <rFont val="楷体"/>
        <charset val="134"/>
      </rPr>
      <t>浙江省杭州市余杭区五常街道联创街</t>
    </r>
    <r>
      <rPr>
        <sz val="9"/>
        <color rgb="FF000000"/>
        <rFont val="Arial"/>
        <charset val="134"/>
      </rPr>
      <t>188</t>
    </r>
    <r>
      <rPr>
        <sz val="9"/>
        <color rgb="FF000000"/>
        <rFont val="楷体"/>
        <charset val="134"/>
      </rPr>
      <t>号，贝达梦工场</t>
    </r>
  </si>
  <si>
    <t>150-8870-0780</t>
  </si>
  <si>
    <t>business@come-future.com</t>
  </si>
  <si>
    <t>2020-11-03</t>
  </si>
  <si>
    <r>
      <rPr>
        <sz val="9"/>
        <color rgb="FF000000"/>
        <rFont val="Arial"/>
        <charset val="134"/>
      </rPr>
      <t>2.16</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</si>
  <si>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元璟资本</t>
    </r>
  </si>
  <si>
    <t>2022-10-08</t>
  </si>
  <si>
    <t>清赟科技</t>
  </si>
  <si>
    <r>
      <rPr>
        <sz val="9"/>
        <color rgb="FF000000"/>
        <rFont val="楷体"/>
        <charset val="134"/>
      </rPr>
      <t>清赟科技是聚焦于基层医院多渠道营销解决方案的先行者，致力于为基层医疗专业人士提供医学资源和远程助手服务。作为医药领域精准数字化营销伙伴，主要通过包含了战略</t>
    </r>
    <r>
      <rPr>
        <sz val="9"/>
        <color rgb="FF000000"/>
        <rFont val="Arial"/>
        <charset val="134"/>
      </rPr>
      <t>-</t>
    </r>
    <r>
      <rPr>
        <sz val="9"/>
        <color rgb="FF000000"/>
        <rFont val="楷体"/>
        <charset val="134"/>
      </rPr>
      <t>软件</t>
    </r>
    <r>
      <rPr>
        <sz val="9"/>
        <color rgb="FF000000"/>
        <rFont val="Arial"/>
        <charset val="134"/>
      </rPr>
      <t>-</t>
    </r>
    <r>
      <rPr>
        <sz val="9"/>
        <color rgb="FF000000"/>
        <rFont val="楷体"/>
        <charset val="134"/>
      </rPr>
      <t>大数据</t>
    </r>
    <r>
      <rPr>
        <sz val="9"/>
        <color rgb="FF000000"/>
        <rFont val="Arial"/>
        <charset val="134"/>
      </rPr>
      <t>-</t>
    </r>
    <r>
      <rPr>
        <sz val="9"/>
        <color rgb="FF000000"/>
        <rFont val="楷体"/>
        <charset val="134"/>
      </rPr>
      <t>实施团队为一体的营销解决方案，帮助客户渗透基层医疗市场。清赟科技已经与数家跨国医药企业开展了长期项目合作，并数字化营销领域取得阶段性成果，技术和数据累计处于领先水平，所涉及的主要治疗领域包括心血管，呼吸，疼痛，抗感染，疫苗等。</t>
    </r>
  </si>
  <si>
    <t>上海清赟医药科技有限公司</t>
  </si>
  <si>
    <t>https://www.zhiyunyilu.com/</t>
  </si>
  <si>
    <r>
      <rPr>
        <sz val="9"/>
        <color rgb="FF000000"/>
        <rFont val="楷体"/>
        <charset val="134"/>
      </rPr>
      <t>长岭资本</t>
    </r>
    <r>
      <rPr>
        <sz val="9"/>
        <color rgb="FF000000"/>
        <rFont val="Arial"/>
        <charset val="134"/>
      </rPr>
      <t>,</t>
    </r>
    <r>
      <rPr>
        <sz val="9"/>
        <color rgb="FF000000"/>
        <rFont val="楷体"/>
        <charset val="134"/>
      </rPr>
      <t>康君资本</t>
    </r>
  </si>
  <si>
    <r>
      <rPr>
        <sz val="9"/>
        <color rgb="FF000000"/>
        <rFont val="Arial"/>
        <charset val="134"/>
      </rPr>
      <t>4.85</t>
    </r>
    <r>
      <rPr>
        <sz val="9"/>
        <color rgb="FF000000"/>
        <rFont val="楷体"/>
        <charset val="134"/>
      </rPr>
      <t>亿</t>
    </r>
  </si>
  <si>
    <r>
      <rPr>
        <sz val="9"/>
        <color rgb="FF000000"/>
        <rFont val="楷体"/>
        <charset val="134"/>
      </rPr>
      <t>颜国伟</t>
    </r>
    <r>
      <rPr>
        <sz val="9"/>
        <color rgb="FF000000"/>
        <rFont val="Arial"/>
        <charset val="134"/>
      </rPr>
      <t>:</t>
    </r>
    <r>
      <rPr>
        <sz val="9"/>
        <color rgb="FF000000"/>
        <rFont val="楷体"/>
        <charset val="134"/>
      </rPr>
      <t>创始人</t>
    </r>
  </si>
  <si>
    <r>
      <rPr>
        <sz val="9"/>
        <color rgb="FF000000"/>
        <rFont val="楷体"/>
        <charset val="134"/>
      </rPr>
      <t>上海市长宁区天山路</t>
    </r>
    <r>
      <rPr>
        <sz val="9"/>
        <color rgb="FF000000"/>
        <rFont val="Arial"/>
        <charset val="134"/>
      </rPr>
      <t>641</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905</t>
    </r>
    <r>
      <rPr>
        <sz val="9"/>
        <color rgb="FF000000"/>
        <rFont val="楷体"/>
        <charset val="134"/>
      </rPr>
      <t>室</t>
    </r>
  </si>
  <si>
    <t>021-6268-8278</t>
  </si>
  <si>
    <t>qingyunkeji@zhiyunmed.com</t>
  </si>
  <si>
    <t>2021-06-09</t>
  </si>
  <si>
    <r>
      <rPr>
        <sz val="9"/>
        <color rgb="FF000000"/>
        <rFont val="楷体"/>
        <charset val="134"/>
      </rPr>
      <t>阿里健康</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长岭资本</t>
    </r>
    <r>
      <rPr>
        <sz val="9"/>
        <color rgb="FF000000"/>
        <rFont val="Arial"/>
        <charset val="134"/>
      </rPr>
      <t>,</t>
    </r>
    <r>
      <rPr>
        <sz val="9"/>
        <color rgb="FF000000"/>
        <rFont val="楷体"/>
        <charset val="134"/>
      </rPr>
      <t>生命资本</t>
    </r>
    <r>
      <rPr>
        <sz val="9"/>
        <color rgb="FF000000"/>
        <rFont val="Arial"/>
        <charset val="134"/>
      </rPr>
      <t>,</t>
    </r>
    <r>
      <rPr>
        <sz val="9"/>
        <color rgb="FF000000"/>
        <rFont val="楷体"/>
        <charset val="134"/>
      </rPr>
      <t>醴泽资本</t>
    </r>
    <r>
      <rPr>
        <sz val="9"/>
        <color rgb="FF000000"/>
        <rFont val="Arial"/>
        <charset val="134"/>
      </rPr>
      <t>LYZZ Capital</t>
    </r>
  </si>
  <si>
    <t>2020-07-10</t>
  </si>
  <si>
    <r>
      <rPr>
        <sz val="9"/>
        <color rgb="FF000000"/>
        <rFont val="楷体"/>
        <charset val="134"/>
      </rPr>
      <t>醴泽资本</t>
    </r>
    <r>
      <rPr>
        <sz val="9"/>
        <color rgb="FF000000"/>
        <rFont val="Arial"/>
        <charset val="134"/>
      </rPr>
      <t>LYZZ Capital</t>
    </r>
  </si>
  <si>
    <t>阿里体育</t>
  </si>
  <si>
    <t>乐动力</t>
  </si>
  <si>
    <r>
      <rPr>
        <sz val="9"/>
        <color rgb="FF000000"/>
        <rFont val="楷体"/>
        <charset val="134"/>
      </rPr>
      <t>乐动力是一款健身减脂</t>
    </r>
    <r>
      <rPr>
        <sz val="9"/>
        <color rgb="FF000000"/>
        <rFont val="Arial"/>
        <charset val="134"/>
      </rPr>
      <t>APP</t>
    </r>
    <r>
      <rPr>
        <sz val="9"/>
        <color rgb="FF000000"/>
        <rFont val="楷体"/>
        <charset val="134"/>
      </rPr>
      <t>，能够自动为用户记录全天的运动量，记录步行、跑步、室内健身等运动，形成运动日记本，</t>
    </r>
    <r>
      <rPr>
        <sz val="9"/>
        <color rgb="FF000000"/>
        <rFont val="Arial"/>
        <charset val="134"/>
      </rPr>
      <t>APP</t>
    </r>
    <r>
      <rPr>
        <sz val="9"/>
        <color rgb="FF000000"/>
        <rFont val="楷体"/>
        <charset val="134"/>
      </rPr>
      <t>致力于为用户提供优质健身体验。</t>
    </r>
  </si>
  <si>
    <t>橙狮体育（北京）有限公司</t>
  </si>
  <si>
    <t>http://www.ledongli.cn</t>
  </si>
  <si>
    <r>
      <rPr>
        <sz val="9"/>
        <color rgb="FF000000"/>
        <rFont val="楷体"/>
        <charset val="134"/>
      </rPr>
      <t>阿里体育</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</si>
  <si>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2145</t>
    </r>
    <r>
      <rPr>
        <sz val="9"/>
        <color rgb="FF000000"/>
        <rFont val="楷体"/>
        <charset val="134"/>
      </rPr>
      <t>万</t>
    </r>
  </si>
  <si>
    <r>
      <rPr>
        <sz val="9"/>
        <color rgb="FF000000"/>
        <rFont val="楷体"/>
        <charset val="134"/>
      </rPr>
      <t>刘超</t>
    </r>
    <r>
      <rPr>
        <sz val="9"/>
        <color rgb="FF000000"/>
        <rFont val="Arial"/>
        <charset val="134"/>
      </rPr>
      <t>:</t>
    </r>
    <r>
      <rPr>
        <sz val="9"/>
        <color rgb="FF000000"/>
        <rFont val="楷体"/>
        <charset val="134"/>
      </rPr>
      <t>创始人</t>
    </r>
  </si>
  <si>
    <r>
      <rPr>
        <sz val="9"/>
        <color rgb="FF000000"/>
        <rFont val="楷体"/>
        <charset val="134"/>
      </rPr>
      <t>海运仓胡同</t>
    </r>
    <r>
      <rPr>
        <sz val="9"/>
        <color rgb="FF000000"/>
        <rFont val="Arial"/>
        <charset val="134"/>
      </rPr>
      <t>1</t>
    </r>
    <r>
      <rPr>
        <sz val="9"/>
        <color rgb="FF000000"/>
        <rFont val="楷体"/>
        <charset val="134"/>
      </rPr>
      <t>号海运仓大厦</t>
    </r>
    <r>
      <rPr>
        <sz val="9"/>
        <color rgb="FF000000"/>
        <rFont val="Arial"/>
        <charset val="134"/>
      </rPr>
      <t>B1</t>
    </r>
    <r>
      <rPr>
        <sz val="9"/>
        <color rgb="FF000000"/>
        <rFont val="楷体"/>
        <charset val="134"/>
      </rPr>
      <t>层</t>
    </r>
    <r>
      <rPr>
        <sz val="9"/>
        <color rgb="FF000000"/>
        <rFont val="Arial"/>
        <charset val="134"/>
      </rPr>
      <t>048</t>
    </r>
    <r>
      <rPr>
        <sz val="9"/>
        <color rgb="FF000000"/>
        <rFont val="楷体"/>
        <charset val="134"/>
      </rPr>
      <t>室</t>
    </r>
  </si>
  <si>
    <t xml:space="preserve">010-82864125 </t>
  </si>
  <si>
    <t>contact@ledongli.cn</t>
  </si>
  <si>
    <r>
      <rPr>
        <sz val="9"/>
        <color rgb="FF000000"/>
        <rFont val="楷体"/>
        <charset val="134"/>
      </rPr>
      <t>蓝驰创投</t>
    </r>
    <r>
      <rPr>
        <sz val="9"/>
        <color rgb="FF000000"/>
        <rFont val="Arial"/>
        <charset val="134"/>
      </rPr>
      <t>,DCM</t>
    </r>
    <r>
      <rPr>
        <sz val="9"/>
        <color rgb="FF000000"/>
        <rFont val="楷体"/>
        <charset val="134"/>
      </rPr>
      <t>中国</t>
    </r>
  </si>
  <si>
    <t>2013-05-01</t>
  </si>
  <si>
    <t>数十万美元</t>
  </si>
  <si>
    <t>2013-04-21</t>
  </si>
  <si>
    <t>2007-11-01</t>
  </si>
  <si>
    <t>阿里巴巴创业者基金</t>
  </si>
  <si>
    <t>2018-01-09</t>
  </si>
  <si>
    <t>Citiesocial</t>
  </si>
  <si>
    <r>
      <rPr>
        <sz val="9"/>
        <color rgb="FF000000"/>
        <rFont val="Arial"/>
        <charset val="134"/>
      </rPr>
      <t>Citiesocial</t>
    </r>
    <r>
      <rPr>
        <sz val="9"/>
        <color rgb="FF000000"/>
        <rFont val="楷体"/>
        <charset val="134"/>
      </rPr>
      <t>是一个专注于美食、设计的线上百货，发现和分享精致物品，提供限时优惠导购等。</t>
    </r>
  </si>
  <si>
    <t>任开数位媒体行销股份有限公司</t>
  </si>
  <si>
    <t>http://www.citiesocial.com</t>
  </si>
  <si>
    <r>
      <rPr>
        <sz val="9"/>
        <color rgb="FF000000"/>
        <rFont val="Arial"/>
        <charset val="134"/>
      </rPr>
      <t>275</t>
    </r>
    <r>
      <rPr>
        <sz val="9"/>
        <color rgb="FF000000"/>
        <rFont val="楷体"/>
        <charset val="134"/>
      </rPr>
      <t>万美元</t>
    </r>
  </si>
  <si>
    <r>
      <rPr>
        <sz val="9"/>
        <color rgb="FF000000"/>
        <rFont val="楷体"/>
        <charset val="134"/>
      </rPr>
      <t>心元资本</t>
    </r>
    <r>
      <rPr>
        <sz val="9"/>
        <color rgb="FF000000"/>
        <rFont val="Arial"/>
        <charset val="134"/>
      </rPr>
      <t>Cherubic Ventures,</t>
    </r>
    <r>
      <rPr>
        <sz val="9"/>
        <color rgb="FF000000"/>
        <rFont val="楷体"/>
        <charset val="134"/>
      </rPr>
      <t>中华开发</t>
    </r>
    <r>
      <rPr>
        <sz val="9"/>
        <color rgb="FF000000"/>
        <rFont val="Arial"/>
        <charset val="134"/>
      </rPr>
      <t>,</t>
    </r>
    <r>
      <rPr>
        <sz val="9"/>
        <color rgb="FF000000"/>
        <rFont val="楷体"/>
        <charset val="134"/>
      </rPr>
      <t>阿里巴巴创业者基金</t>
    </r>
  </si>
  <si>
    <r>
      <rPr>
        <sz val="9"/>
        <color rgb="FF000000"/>
        <rFont val="Arial"/>
        <charset val="134"/>
      </rPr>
      <t>2082.5</t>
    </r>
    <r>
      <rPr>
        <sz val="9"/>
        <color rgb="FF000000"/>
        <rFont val="楷体"/>
        <charset val="134"/>
      </rPr>
      <t>万</t>
    </r>
  </si>
  <si>
    <r>
      <rPr>
        <sz val="9"/>
        <color rgb="FF000000"/>
        <rFont val="Arial"/>
        <charset val="134"/>
      </rPr>
      <t>8937.5</t>
    </r>
    <r>
      <rPr>
        <sz val="9"/>
        <color rgb="FF000000"/>
        <rFont val="楷体"/>
        <charset val="134"/>
      </rPr>
      <t>万元</t>
    </r>
  </si>
  <si>
    <r>
      <rPr>
        <sz val="9"/>
        <color rgb="FF000000"/>
        <rFont val="楷体"/>
        <charset val="134"/>
      </rPr>
      <t>王伟任</t>
    </r>
    <r>
      <rPr>
        <sz val="9"/>
        <color rgb="FF000000"/>
        <rFont val="Arial"/>
        <charset val="134"/>
      </rPr>
      <t>:</t>
    </r>
    <r>
      <rPr>
        <sz val="9"/>
        <color rgb="FF000000"/>
        <rFont val="楷体"/>
        <charset val="134"/>
      </rPr>
      <t>创始人</t>
    </r>
  </si>
  <si>
    <t>2016-06-01</t>
  </si>
  <si>
    <r>
      <rPr>
        <sz val="9"/>
        <color rgb="FF000000"/>
        <rFont val="楷体"/>
        <charset val="134"/>
      </rPr>
      <t>心元资本</t>
    </r>
    <r>
      <rPr>
        <sz val="9"/>
        <color rgb="FF000000"/>
        <rFont val="Arial"/>
        <charset val="134"/>
      </rPr>
      <t>Cherubic Ventures</t>
    </r>
  </si>
  <si>
    <r>
      <rPr>
        <sz val="9"/>
        <color rgb="FF000000"/>
        <rFont val="Arial"/>
        <charset val="134"/>
      </rPr>
      <t>TMI</t>
    </r>
    <r>
      <rPr>
        <sz val="9"/>
        <color rgb="FF000000"/>
        <rFont val="楷体"/>
        <charset val="134"/>
      </rPr>
      <t>台湾创意工场</t>
    </r>
  </si>
  <si>
    <t>2017-07-11</t>
  </si>
  <si>
    <t>CompareAsia Group</t>
  </si>
  <si>
    <r>
      <rPr>
        <sz val="9"/>
        <color rgb="FF000000"/>
        <rFont val="Arial"/>
        <charset val="134"/>
      </rPr>
      <t>CompareAsia Group</t>
    </r>
    <r>
      <rPr>
        <sz val="9"/>
        <color rgb="FF000000"/>
        <rFont val="楷体"/>
        <charset val="134"/>
      </rPr>
      <t>是一个理财服务比较平台，涵盖从信用卡、贷款到健康和汽车保险的服务，致力于为消费者提供个性化理财产品。</t>
    </r>
  </si>
  <si>
    <t>CompareAsia Group  Limited</t>
  </si>
  <si>
    <t>http://www.compareasiagroup.com</t>
  </si>
  <si>
    <t>2013-06</t>
  </si>
  <si>
    <r>
      <rPr>
        <sz val="9"/>
        <color rgb="FF000000"/>
        <rFont val="楷体"/>
        <charset val="134"/>
      </rPr>
      <t>香港</t>
    </r>
    <r>
      <rPr>
        <sz val="9"/>
        <color rgb="FF000000"/>
        <rFont val="Arial"/>
        <charset val="134"/>
      </rPr>
      <t>-</t>
    </r>
    <r>
      <rPr>
        <sz val="9"/>
        <color rgb="FF000000"/>
        <rFont val="楷体"/>
        <charset val="134"/>
      </rPr>
      <t>东区</t>
    </r>
  </si>
  <si>
    <r>
      <rPr>
        <sz val="9"/>
        <color rgb="FF000000"/>
        <rFont val="Arial"/>
        <charset val="134"/>
      </rPr>
      <t>IFC</t>
    </r>
    <r>
      <rPr>
        <sz val="9"/>
        <color rgb="FF000000"/>
        <rFont val="楷体"/>
        <charset val="134"/>
      </rPr>
      <t>国际金融公司</t>
    </r>
    <r>
      <rPr>
        <sz val="9"/>
        <color rgb="FF000000"/>
        <rFont val="Arial"/>
        <charset val="134"/>
      </rPr>
      <t>,SBI</t>
    </r>
    <r>
      <rPr>
        <sz val="9"/>
        <color rgb="FF000000"/>
        <rFont val="楷体"/>
        <charset val="134"/>
      </rPr>
      <t>投资</t>
    </r>
    <r>
      <rPr>
        <sz val="9"/>
        <color rgb="FF000000"/>
        <rFont val="Arial"/>
        <charset val="134"/>
      </rPr>
      <t>(</t>
    </r>
    <r>
      <rPr>
        <sz val="9"/>
        <color rgb="FF000000"/>
        <rFont val="楷体"/>
        <charset val="134"/>
      </rPr>
      <t>思佰益</t>
    </r>
    <r>
      <rPr>
        <sz val="9"/>
        <color rgb="FF000000"/>
        <rFont val="Arial"/>
        <charset val="134"/>
      </rPr>
      <t>),</t>
    </r>
    <r>
      <rPr>
        <sz val="9"/>
        <color rgb="FF000000"/>
        <rFont val="楷体"/>
        <charset val="134"/>
      </rPr>
      <t>阿里巴巴创业者基金</t>
    </r>
    <r>
      <rPr>
        <sz val="9"/>
        <color rgb="FF000000"/>
        <rFont val="Arial"/>
        <charset val="134"/>
      </rPr>
      <t>,H&amp;Q Utrust</t>
    </r>
  </si>
  <si>
    <r>
      <rPr>
        <sz val="9"/>
        <color rgb="FF000000"/>
        <rFont val="Arial"/>
        <charset val="134"/>
      </rPr>
      <t>5.85</t>
    </r>
    <r>
      <rPr>
        <sz val="9"/>
        <color rgb="FF000000"/>
        <rFont val="楷体"/>
        <charset val="134"/>
      </rPr>
      <t>亿</t>
    </r>
  </si>
  <si>
    <t>2015-04-23</t>
  </si>
  <si>
    <r>
      <rPr>
        <sz val="9"/>
        <color rgb="FF000000"/>
        <rFont val="楷体"/>
        <charset val="134"/>
      </rPr>
      <t>怡和创投</t>
    </r>
    <r>
      <rPr>
        <sz val="9"/>
        <color rgb="FF000000"/>
        <rFont val="Arial"/>
        <charset val="134"/>
      </rPr>
      <t>,</t>
    </r>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t>
    </r>
  </si>
  <si>
    <t>2022-02-21</t>
  </si>
  <si>
    <t>秒投</t>
  </si>
  <si>
    <r>
      <rPr>
        <sz val="9"/>
        <color rgb="FF000000"/>
        <rFont val="楷体"/>
        <charset val="134"/>
      </rPr>
      <t>秒投是一个财经网红社区，专注海外资产领域。现在覆盖港股、美股、台股、外汇、债券、商品、等海外财经网红，致力于成为能够提供多样化跨境金融产品的投资理财平台。</t>
    </r>
    <r>
      <rPr>
        <sz val="9"/>
        <color rgb="FF000000"/>
        <rFont val="Arial"/>
        <charset val="134"/>
      </rPr>
      <t xml:space="preserve">
</t>
    </r>
    <r>
      <rPr>
        <sz val="9"/>
        <color rgb="FF000000"/>
        <rFont val="楷体"/>
        <charset val="134"/>
      </rPr>
      <t>核心团队来自知名金融机构和互联网公司，包括毕马威、摩根大通、腾讯、</t>
    </r>
    <r>
      <rPr>
        <sz val="9"/>
        <color rgb="FF000000"/>
        <rFont val="Arial"/>
        <charset val="134"/>
      </rPr>
      <t>9gag</t>
    </r>
    <r>
      <rPr>
        <sz val="9"/>
        <color rgb="FF000000"/>
        <rFont val="楷体"/>
        <charset val="134"/>
      </rPr>
      <t>、雅虎、</t>
    </r>
    <r>
      <rPr>
        <sz val="9"/>
        <color rgb="FF000000"/>
        <rFont val="Arial"/>
        <charset val="134"/>
      </rPr>
      <t xml:space="preserve">HK01 </t>
    </r>
    <r>
      <rPr>
        <sz val="9"/>
        <color rgb="FF000000"/>
        <rFont val="楷体"/>
        <charset val="134"/>
      </rPr>
      <t>等等。秒投已经获得来自顶级风险投资机构的支持，包括阿里巴巴、郭鹤年家族的</t>
    </r>
    <r>
      <rPr>
        <sz val="9"/>
        <color rgb="FF000000"/>
        <rFont val="Arial"/>
        <charset val="134"/>
      </rPr>
      <t xml:space="preserve"> K3 Ventures</t>
    </r>
    <r>
      <rPr>
        <sz val="9"/>
        <color rgb="FF000000"/>
        <rFont val="楷体"/>
        <charset val="134"/>
      </rPr>
      <t>、</t>
    </r>
    <r>
      <rPr>
        <sz val="9"/>
        <color rgb="FF000000"/>
        <rFont val="Arial"/>
        <charset val="134"/>
      </rPr>
      <t>HHG Capital Group</t>
    </r>
    <r>
      <rPr>
        <sz val="9"/>
        <color rgb="FF000000"/>
        <rFont val="楷体"/>
        <charset val="134"/>
      </rPr>
      <t>、</t>
    </r>
    <r>
      <rPr>
        <sz val="9"/>
        <color rgb="FF000000"/>
        <rFont val="Arial"/>
        <charset val="134"/>
      </rPr>
      <t>Angelhub</t>
    </r>
    <r>
      <rPr>
        <sz val="9"/>
        <color rgb="FF000000"/>
        <rFont val="楷体"/>
        <charset val="134"/>
      </rPr>
      <t>、</t>
    </r>
    <r>
      <rPr>
        <sz val="9"/>
        <color rgb="FF000000"/>
        <rFont val="Arial"/>
        <charset val="134"/>
      </rPr>
      <t>Cell Rising Capital</t>
    </r>
    <r>
      <rPr>
        <sz val="9"/>
        <color rgb="FF000000"/>
        <rFont val="楷体"/>
        <charset val="134"/>
      </rPr>
      <t>、</t>
    </r>
    <r>
      <rPr>
        <sz val="9"/>
        <color rgb="FF000000"/>
        <rFont val="Arial"/>
        <charset val="134"/>
      </rPr>
      <t xml:space="preserve">Farquhar VC </t>
    </r>
    <r>
      <rPr>
        <sz val="9"/>
        <color rgb="FF000000"/>
        <rFont val="楷体"/>
        <charset val="134"/>
      </rPr>
      <t>等等。</t>
    </r>
  </si>
  <si>
    <t>分子金融科技（深圳）有限公司</t>
  </si>
  <si>
    <t>http://www.home.stockviva.com</t>
  </si>
  <si>
    <r>
      <rPr>
        <sz val="9"/>
        <color rgb="FF000000"/>
        <rFont val="楷体"/>
        <charset val="134"/>
      </rPr>
      <t>新加坡</t>
    </r>
    <r>
      <rPr>
        <sz val="9"/>
        <color rgb="FF000000"/>
        <rFont val="Arial"/>
        <charset val="134"/>
      </rPr>
      <t>Farquhar VC,</t>
    </r>
    <r>
      <rPr>
        <sz val="9"/>
        <color rgb="FF000000"/>
        <rFont val="楷体"/>
        <charset val="134"/>
      </rPr>
      <t>卢森堡</t>
    </r>
    <r>
      <rPr>
        <sz val="9"/>
        <color rgb="FF000000"/>
        <rFont val="Arial"/>
        <charset val="134"/>
      </rPr>
      <t>Kharis Capital,</t>
    </r>
    <r>
      <rPr>
        <sz val="9"/>
        <color rgb="FF000000"/>
        <rFont val="楷体"/>
        <charset val="134"/>
      </rPr>
      <t>香港宏寰集团</t>
    </r>
    <r>
      <rPr>
        <sz val="9"/>
        <color rgb="FF000000"/>
        <rFont val="Arial"/>
        <charset val="134"/>
      </rPr>
      <t>,Angelhub</t>
    </r>
  </si>
  <si>
    <r>
      <rPr>
        <sz val="9"/>
        <color rgb="FF000000"/>
        <rFont val="Arial"/>
        <charset val="134"/>
      </rPr>
      <t>1.53</t>
    </r>
    <r>
      <rPr>
        <sz val="9"/>
        <color rgb="FF000000"/>
        <rFont val="楷体"/>
        <charset val="134"/>
      </rPr>
      <t>亿</t>
    </r>
  </si>
  <si>
    <r>
      <rPr>
        <sz val="9"/>
        <color rgb="FF000000"/>
        <rFont val="楷体"/>
        <charset val="134"/>
      </rPr>
      <t>云镇谦</t>
    </r>
    <r>
      <rPr>
        <sz val="9"/>
        <color rgb="FF000000"/>
        <rFont val="Arial"/>
        <charset val="134"/>
      </rPr>
      <t>:CEO</t>
    </r>
  </si>
  <si>
    <r>
      <rPr>
        <sz val="9"/>
        <color rgb="FF000000"/>
        <rFont val="楷体"/>
        <charset val="134"/>
      </rPr>
      <t>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</si>
  <si>
    <r>
      <rPr>
        <sz val="9"/>
        <color rgb="FF000000"/>
        <rFont val="楷体"/>
        <charset val="134"/>
      </rPr>
      <t>阿里巴巴创业者基金</t>
    </r>
    <r>
      <rPr>
        <sz val="9"/>
        <color rgb="FF000000"/>
        <rFont val="Arial"/>
        <charset val="134"/>
      </rPr>
      <t>,K3 Ventures</t>
    </r>
  </si>
  <si>
    <t>2017-08-28</t>
  </si>
  <si>
    <t>2014-11-01</t>
  </si>
  <si>
    <t>2017-09-12</t>
  </si>
  <si>
    <t>Origami Labs</t>
  </si>
  <si>
    <r>
      <rPr>
        <sz val="9"/>
        <color rgb="FF000000"/>
        <rFont val="Arial"/>
        <charset val="134"/>
      </rPr>
      <t xml:space="preserve">Origami Labs </t>
    </r>
    <r>
      <rPr>
        <sz val="9"/>
        <color rgb="FF000000"/>
        <rFont val="楷体"/>
        <charset val="134"/>
      </rPr>
      <t>致力利用创新科技改善生活，主打产品为时尚声控智能戒指「</t>
    </r>
    <r>
      <rPr>
        <sz val="9"/>
        <color rgb="FF000000"/>
        <rFont val="Arial"/>
        <charset val="134"/>
      </rPr>
      <t>ORii</t>
    </r>
    <r>
      <rPr>
        <sz val="9"/>
        <color rgb="FF000000"/>
        <rFont val="楷体"/>
        <charset val="134"/>
      </rPr>
      <t>」，为人与装置、人与人的互动方式带来崭新的想象。</t>
    </r>
  </si>
  <si>
    <t>https://orii.io/</t>
  </si>
  <si>
    <t>2021-02-23</t>
  </si>
  <si>
    <t>2020-08-19</t>
  </si>
  <si>
    <t>2017-07-13</t>
  </si>
  <si>
    <t>2016-09-30</t>
  </si>
  <si>
    <t>2015-06-06</t>
  </si>
  <si>
    <t>2022-07-14</t>
  </si>
  <si>
    <t>KKday</t>
  </si>
  <si>
    <r>
      <rPr>
        <sz val="9"/>
        <color rgb="FF000000"/>
        <rFont val="Arial"/>
        <charset val="134"/>
      </rPr>
      <t>KKday</t>
    </r>
    <r>
      <rPr>
        <sz val="9"/>
        <color rgb="FF000000"/>
        <rFont val="楷体"/>
        <charset val="134"/>
      </rPr>
      <t>为全球领先的旅游体验平台，致力于让旅行者能更简单、安全地体验当地行程。</t>
    </r>
  </si>
  <si>
    <t>https://www.kkday.com/zh-cn</t>
  </si>
  <si>
    <t>TGVest Capital</t>
  </si>
  <si>
    <r>
      <rPr>
        <sz val="9"/>
        <color rgb="FF000000"/>
        <rFont val="Arial"/>
        <charset val="134"/>
      </rPr>
      <t>10.21</t>
    </r>
    <r>
      <rPr>
        <sz val="9"/>
        <color rgb="FF000000"/>
        <rFont val="楷体"/>
        <charset val="134"/>
      </rPr>
      <t>亿</t>
    </r>
  </si>
  <si>
    <r>
      <rPr>
        <sz val="9"/>
        <color rgb="FF000000"/>
        <rFont val="楷体"/>
        <charset val="134"/>
      </rPr>
      <t>陈明明</t>
    </r>
    <r>
      <rPr>
        <sz val="9"/>
        <color rgb="FF000000"/>
        <rFont val="Arial"/>
        <charset val="134"/>
      </rPr>
      <t>:</t>
    </r>
    <r>
      <rPr>
        <sz val="9"/>
        <color rgb="FF000000"/>
        <rFont val="楷体"/>
        <charset val="134"/>
      </rPr>
      <t>创始人</t>
    </r>
  </si>
  <si>
    <r>
      <rPr>
        <sz val="9"/>
        <color rgb="FF000000"/>
        <rFont val="Arial"/>
        <charset val="134"/>
      </rPr>
      <t>MindWorks Ventures</t>
    </r>
    <r>
      <rPr>
        <sz val="9"/>
        <color rgb="FF000000"/>
        <rFont val="楷体"/>
        <charset val="134"/>
      </rPr>
      <t>概念资本</t>
    </r>
    <r>
      <rPr>
        <sz val="9"/>
        <color rgb="FF000000"/>
        <rFont val="Arial"/>
        <charset val="134"/>
      </rPr>
      <t>,Cool Japan Fund,Monk’s Hill Ventures</t>
    </r>
  </si>
  <si>
    <t>2019-09-02</t>
  </si>
  <si>
    <t>Cool Japan Fund</t>
  </si>
  <si>
    <r>
      <rPr>
        <sz val="9"/>
        <color rgb="FF000000"/>
        <rFont val="Arial"/>
        <charset val="134"/>
      </rPr>
      <t>Line,</t>
    </r>
    <r>
      <rPr>
        <sz val="9"/>
        <color rgb="FF000000"/>
        <rFont val="楷体"/>
        <charset val="134"/>
      </rPr>
      <t>中华开发</t>
    </r>
    <r>
      <rPr>
        <sz val="9"/>
        <color rgb="FF000000"/>
        <rFont val="Arial"/>
        <charset val="134"/>
      </rPr>
      <t>,</t>
    </r>
    <r>
      <rPr>
        <sz val="9"/>
        <color rgb="FF000000"/>
        <rFont val="楷体"/>
        <charset val="134"/>
      </rPr>
      <t>阿里巴巴创业者基金</t>
    </r>
    <r>
      <rPr>
        <sz val="9"/>
        <color rgb="FF000000"/>
        <rFont val="Arial"/>
        <charset val="134"/>
      </rPr>
      <t>,Monk’s Hill Ventures</t>
    </r>
  </si>
  <si>
    <t>2018-02-22</t>
  </si>
  <si>
    <r>
      <rPr>
        <sz val="9"/>
        <color rgb="FF000000"/>
        <rFont val="Arial"/>
        <charset val="134"/>
      </rPr>
      <t>MindWorks Ventures</t>
    </r>
    <r>
      <rPr>
        <sz val="9"/>
        <color rgb="FF000000"/>
        <rFont val="楷体"/>
        <charset val="134"/>
      </rPr>
      <t>概念资本</t>
    </r>
    <r>
      <rPr>
        <sz val="9"/>
        <color rgb="FF000000"/>
        <rFont val="Arial"/>
        <charset val="134"/>
      </rPr>
      <t>,H.I.S.</t>
    </r>
  </si>
  <si>
    <t>2016-12-05</t>
  </si>
  <si>
    <r>
      <rPr>
        <sz val="9"/>
        <color rgb="FF000000"/>
        <rFont val="Arial"/>
        <charset val="134"/>
      </rPr>
      <t>appWorks</t>
    </r>
    <r>
      <rPr>
        <sz val="9"/>
        <color rgb="FF000000"/>
        <rFont val="楷体"/>
        <charset val="134"/>
      </rPr>
      <t>之初创投</t>
    </r>
    <r>
      <rPr>
        <sz val="9"/>
        <color rgb="FF000000"/>
        <rFont val="Arial"/>
        <charset val="134"/>
      </rPr>
      <t>,MindWorks Ventures</t>
    </r>
    <r>
      <rPr>
        <sz val="9"/>
        <color rgb="FF000000"/>
        <rFont val="楷体"/>
        <charset val="134"/>
      </rPr>
      <t>概念资本</t>
    </r>
    <r>
      <rPr>
        <sz val="9"/>
        <color rgb="FF000000"/>
        <rFont val="Arial"/>
        <charset val="134"/>
      </rPr>
      <t>,Monk’s Hill Ventures,Cathay Venture,Substance Capital</t>
    </r>
  </si>
  <si>
    <t>2016-03-16</t>
  </si>
  <si>
    <r>
      <rPr>
        <sz val="9"/>
        <color rgb="FF000000"/>
        <rFont val="Arial"/>
        <charset val="134"/>
      </rPr>
      <t>appWorks</t>
    </r>
    <r>
      <rPr>
        <sz val="9"/>
        <color rgb="FF000000"/>
        <rFont val="楷体"/>
        <charset val="134"/>
      </rPr>
      <t>之初创投</t>
    </r>
  </si>
  <si>
    <t>2022-05-18</t>
  </si>
  <si>
    <t>Prenetics</t>
  </si>
  <si>
    <r>
      <rPr>
        <sz val="9"/>
        <color rgb="FF000000"/>
        <rFont val="Arial"/>
        <charset val="134"/>
      </rPr>
      <t>Prenetics</t>
    </r>
    <r>
      <rPr>
        <sz val="9"/>
        <color rgb="FF000000"/>
        <rFont val="楷体"/>
        <charset val="134"/>
      </rPr>
      <t>是香港一家致力于精准医疗的创新型生物科技公司，自主研发的</t>
    </r>
    <r>
      <rPr>
        <sz val="9"/>
        <color rgb="FF000000"/>
        <rFont val="Arial"/>
        <charset val="134"/>
      </rPr>
      <t xml:space="preserve">iGenes </t>
    </r>
    <r>
      <rPr>
        <sz val="9"/>
        <color rgb="FF000000"/>
        <rFont val="楷体"/>
        <charset val="134"/>
      </rPr>
      <t>药物基因组学检测可通过采集患者口腔细胞样本，根据个体的基因差异来预测药物反应，帮助医生给病人处方最适当的药物与剂量。</t>
    </r>
  </si>
  <si>
    <t>http://www.prenetics.com/</t>
  </si>
  <si>
    <r>
      <rPr>
        <sz val="9"/>
        <color rgb="FF000000"/>
        <rFont val="Arial"/>
        <charset val="134"/>
      </rPr>
      <t>20.15</t>
    </r>
    <r>
      <rPr>
        <sz val="9"/>
        <color rgb="FF000000"/>
        <rFont val="楷体"/>
        <charset val="134"/>
      </rPr>
      <t>亿</t>
    </r>
  </si>
  <si>
    <r>
      <rPr>
        <sz val="9"/>
        <color rgb="FF000000"/>
        <rFont val="Arial"/>
        <charset val="134"/>
      </rPr>
      <t>Michael M Yang:</t>
    </r>
    <r>
      <rPr>
        <sz val="9"/>
        <color rgb="FF000000"/>
        <rFont val="楷体"/>
        <charset val="134"/>
      </rPr>
      <t>创始人</t>
    </r>
  </si>
  <si>
    <r>
      <rPr>
        <sz val="9"/>
        <color rgb="FF000000"/>
        <rFont val="Arial"/>
        <charset val="134"/>
      </rPr>
      <t>1003</t>
    </r>
    <r>
      <rPr>
        <sz val="9"/>
        <color rgb="FF000000"/>
        <rFont val="楷体"/>
        <charset val="134"/>
      </rPr>
      <t>单元，曼宁家</t>
    </r>
    <r>
      <rPr>
        <sz val="9"/>
        <color rgb="FF000000"/>
        <rFont val="Arial"/>
        <charset val="134"/>
      </rPr>
      <t xml:space="preserve">38-48  </t>
    </r>
    <r>
      <rPr>
        <sz val="9"/>
        <color rgb="FF000000"/>
        <rFont val="楷体"/>
        <charset val="134"/>
      </rPr>
      <t>皇后大道</t>
    </r>
    <r>
      <rPr>
        <sz val="9"/>
        <color rgb="FF000000"/>
        <rFont val="Arial"/>
        <charset val="134"/>
      </rPr>
      <t>,</t>
    </r>
    <r>
      <rPr>
        <sz val="9"/>
        <color rgb="FF000000"/>
        <rFont val="楷体"/>
        <charset val="134"/>
      </rPr>
      <t>香港</t>
    </r>
  </si>
  <si>
    <t>852-2210-9588</t>
  </si>
  <si>
    <t>care@prenetics.com</t>
  </si>
  <si>
    <r>
      <rPr>
        <sz val="9"/>
        <color rgb="FF000000"/>
        <rFont val="楷体"/>
        <charset val="134"/>
      </rPr>
      <t>魔量资本</t>
    </r>
    <r>
      <rPr>
        <sz val="9"/>
        <color rgb="FF000000"/>
        <rFont val="Arial"/>
        <charset val="134"/>
      </rPr>
      <t>MFund,</t>
    </r>
    <r>
      <rPr>
        <sz val="9"/>
        <color rgb="FF000000"/>
        <rFont val="楷体"/>
        <charset val="134"/>
      </rPr>
      <t>阿里巴巴创业者基金</t>
    </r>
    <r>
      <rPr>
        <sz val="9"/>
        <color rgb="FF000000"/>
        <rFont val="Arial"/>
        <charset val="134"/>
      </rPr>
      <t>,</t>
    </r>
    <r>
      <rPr>
        <sz val="9"/>
        <color rgb="FF000000"/>
        <rFont val="楷体"/>
        <charset val="134"/>
      </rPr>
      <t>元泰投资</t>
    </r>
    <r>
      <rPr>
        <sz val="9"/>
        <color rgb="FF000000"/>
        <rFont val="Arial"/>
        <charset val="134"/>
      </rPr>
      <t>,</t>
    </r>
    <r>
      <rPr>
        <sz val="9"/>
        <color rgb="FF000000"/>
        <rFont val="楷体"/>
        <charset val="134"/>
      </rPr>
      <t>海阔天空创投</t>
    </r>
    <r>
      <rPr>
        <sz val="9"/>
        <color rgb="FF000000"/>
        <rFont val="Arial"/>
        <charset val="134"/>
      </rPr>
      <t>,eGarden Ventures</t>
    </r>
  </si>
  <si>
    <t>2016-03-17</t>
  </si>
  <si>
    <r>
      <rPr>
        <sz val="9"/>
        <color rgb="FF000000"/>
        <rFont val="楷体"/>
        <charset val="134"/>
      </rPr>
      <t>平安创新投资基金</t>
    </r>
    <r>
      <rPr>
        <sz val="9"/>
        <color rgb="FF000000"/>
        <rFont val="Arial"/>
        <charset val="134"/>
      </rPr>
      <t>,</t>
    </r>
    <r>
      <rPr>
        <sz val="9"/>
        <color rgb="FF000000"/>
        <rFont val="楷体"/>
        <charset val="134"/>
      </rPr>
      <t>印尼力宝</t>
    </r>
  </si>
  <si>
    <t>2017-08-15</t>
  </si>
  <si>
    <t>Glo Station</t>
  </si>
  <si>
    <r>
      <rPr>
        <sz val="9"/>
        <color rgb="FF000000"/>
        <rFont val="Arial"/>
        <charset val="134"/>
      </rPr>
      <t>GloStation</t>
    </r>
    <r>
      <rPr>
        <sz val="9"/>
        <color rgb="FF000000"/>
        <rFont val="楷体"/>
        <charset val="134"/>
      </rPr>
      <t>是一个可以让人们在虚拟实境内进行漫游体验的娱乐场所，体验更是以虚拟实境配合实体动作和物件，继而进化成为最富沉浸感的超真实境体验，隶属于香港</t>
    </r>
    <r>
      <rPr>
        <sz val="9"/>
        <color rgb="FF000000"/>
        <rFont val="Arial"/>
        <charset val="134"/>
      </rPr>
      <t>Glo Inc</t>
    </r>
    <r>
      <rPr>
        <sz val="9"/>
        <color rgb="FF000000"/>
        <rFont val="楷体"/>
        <charset val="134"/>
      </rPr>
      <t>公司。</t>
    </r>
  </si>
  <si>
    <t>https://hk.glostation.com</t>
  </si>
  <si>
    <r>
      <rPr>
        <sz val="9"/>
        <color rgb="FF000000"/>
        <rFont val="Arial"/>
        <charset val="134"/>
      </rPr>
      <t>MindWorks Ventures</t>
    </r>
    <r>
      <rPr>
        <sz val="9"/>
        <color rgb="FF000000"/>
        <rFont val="楷体"/>
        <charset val="134"/>
      </rPr>
      <t>概念资本</t>
    </r>
    <r>
      <rPr>
        <sz val="9"/>
        <color rgb="FF000000"/>
        <rFont val="Arial"/>
        <charset val="134"/>
      </rPr>
      <t>,</t>
    </r>
    <r>
      <rPr>
        <sz val="9"/>
        <color rgb="FF000000"/>
        <rFont val="楷体"/>
        <charset val="134"/>
      </rPr>
      <t>阿里巴巴创业者基金</t>
    </r>
    <r>
      <rPr>
        <sz val="9"/>
        <color rgb="FF000000"/>
        <rFont val="Arial"/>
        <charset val="134"/>
      </rPr>
      <t>,Presence Capital,CRCM Ventures</t>
    </r>
  </si>
  <si>
    <t>2020-05-05</t>
  </si>
  <si>
    <t>弘量研究AQUMON</t>
  </si>
  <si>
    <r>
      <rPr>
        <sz val="9"/>
        <color rgb="FF000000"/>
        <rFont val="楷体"/>
        <charset val="134"/>
      </rPr>
      <t>弘量研究</t>
    </r>
    <r>
      <rPr>
        <sz val="9"/>
        <color rgb="FF000000"/>
        <rFont val="Arial"/>
        <charset val="134"/>
      </rPr>
      <t>AQUMON</t>
    </r>
  </si>
  <si>
    <r>
      <rPr>
        <sz val="9"/>
        <color rgb="FF000000"/>
        <rFont val="楷体"/>
        <charset val="134"/>
      </rPr>
      <t>弘量研究</t>
    </r>
    <r>
      <rPr>
        <sz val="9"/>
        <color rgb="FF000000"/>
        <rFont val="Arial"/>
        <charset val="134"/>
      </rPr>
      <t>AQUMON</t>
    </r>
    <r>
      <rPr>
        <sz val="9"/>
        <color rgb="FF000000"/>
        <rFont val="楷体"/>
        <charset val="134"/>
      </rPr>
      <t>是一家智能投顾引擎解决方案提供商，为金融机构及其客户提供以算法为根基的全球资产配置服务，实现自动，透明，实时的革命性理财体验，隶属于弘量研究有限公司。</t>
    </r>
  </si>
  <si>
    <t>弘量研究有限公司</t>
  </si>
  <si>
    <t>http://www.aqumon.com</t>
  </si>
  <si>
    <r>
      <rPr>
        <sz val="9"/>
        <color rgb="FF000000"/>
        <rFont val="楷体"/>
        <charset val="134"/>
      </rPr>
      <t>香港</t>
    </r>
    <r>
      <rPr>
        <sz val="9"/>
        <color rgb="FF000000"/>
        <rFont val="Arial"/>
        <charset val="134"/>
      </rPr>
      <t>-</t>
    </r>
    <r>
      <rPr>
        <sz val="9"/>
        <color rgb="FF000000"/>
        <rFont val="楷体"/>
        <charset val="134"/>
      </rPr>
      <t>九龙城区</t>
    </r>
  </si>
  <si>
    <r>
      <rPr>
        <sz val="9"/>
        <color rgb="FF000000"/>
        <rFont val="楷体"/>
        <charset val="134"/>
      </rPr>
      <t>联想创投</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永隆银行家族</t>
    </r>
    <r>
      <rPr>
        <sz val="9"/>
        <color rgb="FF000000"/>
        <rFont val="Arial"/>
        <charset val="134"/>
      </rPr>
      <t>,</t>
    </r>
    <r>
      <rPr>
        <sz val="9"/>
        <color rgb="FF000000"/>
        <rFont val="楷体"/>
        <charset val="134"/>
      </rPr>
      <t>数码港</t>
    </r>
    <r>
      <rPr>
        <sz val="9"/>
        <color rgb="FF000000"/>
        <rFont val="Arial"/>
        <charset val="134"/>
      </rPr>
      <t>,Plaxo</t>
    </r>
  </si>
  <si>
    <r>
      <rPr>
        <sz val="9"/>
        <color rgb="FF000000"/>
        <rFont val="Arial"/>
        <charset val="134"/>
      </rPr>
      <t>7950</t>
    </r>
    <r>
      <rPr>
        <sz val="9"/>
        <color rgb="FF000000"/>
        <rFont val="楷体"/>
        <charset val="134"/>
      </rPr>
      <t>万</t>
    </r>
  </si>
  <si>
    <r>
      <rPr>
        <sz val="9"/>
        <color rgb="FF000000"/>
        <rFont val="楷体"/>
        <charset val="134"/>
      </rPr>
      <t>雷春然</t>
    </r>
    <r>
      <rPr>
        <sz val="9"/>
        <color rgb="FF000000"/>
        <rFont val="Arial"/>
        <charset val="134"/>
      </rPr>
      <t>:CEO,</t>
    </r>
    <r>
      <rPr>
        <sz val="9"/>
        <color rgb="FF000000"/>
        <rFont val="楷体"/>
        <charset val="134"/>
      </rPr>
      <t>黄耀东</t>
    </r>
    <r>
      <rPr>
        <sz val="9"/>
        <color rgb="FF000000"/>
        <rFont val="Arial"/>
        <charset val="134"/>
      </rPr>
      <t>:</t>
    </r>
    <r>
      <rPr>
        <sz val="9"/>
        <color rgb="FF000000"/>
        <rFont val="楷体"/>
        <charset val="134"/>
      </rPr>
      <t>联合创始人</t>
    </r>
  </si>
  <si>
    <r>
      <rPr>
        <sz val="9"/>
        <color rgb="FF000000"/>
        <rFont val="楷体"/>
        <charset val="134"/>
      </rPr>
      <t>温州市苍南县龙港镇</t>
    </r>
    <r>
      <rPr>
        <sz val="9"/>
        <color rgb="FF000000"/>
        <rFont val="Arial"/>
        <charset val="134"/>
      </rPr>
      <t>;</t>
    </r>
    <r>
      <rPr>
        <sz val="9"/>
        <color rgb="FF000000"/>
        <rFont val="楷体"/>
        <charset val="134"/>
      </rPr>
      <t>香港科技大学</t>
    </r>
    <r>
      <rPr>
        <sz val="9"/>
        <color rgb="FF000000"/>
        <rFont val="Arial"/>
        <charset val="134"/>
      </rPr>
      <t xml:space="preserve"> </t>
    </r>
    <r>
      <rPr>
        <sz val="9"/>
        <color rgb="FF000000"/>
        <rFont val="楷体"/>
        <charset val="134"/>
      </rPr>
      <t>创业中心三楼</t>
    </r>
  </si>
  <si>
    <t>18858821730;+852 2155 2816</t>
  </si>
  <si>
    <t>info@aqumon.com</t>
  </si>
  <si>
    <r>
      <rPr>
        <sz val="9"/>
        <color rgb="FF000000"/>
        <rFont val="楷体"/>
        <charset val="134"/>
      </rPr>
      <t>阿里巴巴创业者基金</t>
    </r>
    <r>
      <rPr>
        <sz val="9"/>
        <color rgb="FF000000"/>
        <rFont val="Arial"/>
        <charset val="134"/>
      </rPr>
      <t>,</t>
    </r>
    <r>
      <rPr>
        <sz val="9"/>
        <color rgb="FF000000"/>
        <rFont val="楷体"/>
        <charset val="134"/>
      </rPr>
      <t>中银国际</t>
    </r>
  </si>
  <si>
    <t>2017-06-11</t>
  </si>
  <si>
    <t>2022-10-11</t>
  </si>
  <si>
    <t>Airwallex空中云汇</t>
  </si>
  <si>
    <r>
      <rPr>
        <sz val="9"/>
        <color rgb="FF000000"/>
        <rFont val="Arial"/>
        <charset val="134"/>
      </rPr>
      <t>Airwallex</t>
    </r>
    <r>
      <rPr>
        <sz val="9"/>
        <color rgb="FF000000"/>
        <rFont val="楷体"/>
        <charset val="134"/>
      </rPr>
      <t>空中云汇</t>
    </r>
  </si>
  <si>
    <r>
      <rPr>
        <sz val="9"/>
        <color rgb="FF000000"/>
        <rFont val="Arial"/>
        <charset val="134"/>
      </rPr>
      <t>Airwallex</t>
    </r>
    <r>
      <rPr>
        <sz val="9"/>
        <color rgb="FF000000"/>
        <rFont val="楷体"/>
        <charset val="134"/>
      </rPr>
      <t>空中云汇是一家全球金融科技公司，通过构建全球金融基础设施，为各类规模的企业提供数字化的金融科技产品。在全球互联的信息化时代，以更高效安全的方式帮助企业在全世界高速发展。</t>
    </r>
    <r>
      <rPr>
        <sz val="9"/>
        <color rgb="FF000000"/>
        <rFont val="Arial"/>
        <charset val="134"/>
      </rPr>
      <t>Airwallex</t>
    </r>
    <r>
      <rPr>
        <sz val="9"/>
        <color rgb="FF000000"/>
        <rFont val="楷体"/>
        <charset val="134"/>
      </rPr>
      <t>空中云汇通过构建新一代的数字化金融基础设施，为企业提供端到端的金融服务平台：从付款到收款，从本地到跨境，提供实时、安全且高效的金融解决方案，节省客户的时间及成本；同时提供网页端应用和</t>
    </r>
    <r>
      <rPr>
        <sz val="9"/>
        <color rgb="FF000000"/>
        <rFont val="Arial"/>
        <charset val="134"/>
      </rPr>
      <t>API</t>
    </r>
    <r>
      <rPr>
        <sz val="9"/>
        <color rgb="FF000000"/>
        <rFont val="楷体"/>
        <charset val="134"/>
      </rPr>
      <t>解决方案，覆盖从大型机构到中小企业的不同需求。公司现已在全球设立了</t>
    </r>
    <r>
      <rPr>
        <sz val="9"/>
        <color rgb="FF000000"/>
        <rFont val="Arial"/>
        <charset val="134"/>
      </rPr>
      <t>12</t>
    </r>
    <r>
      <rPr>
        <sz val="9"/>
        <color rgb="FF000000"/>
        <rFont val="楷体"/>
        <charset val="134"/>
      </rPr>
      <t>个办事处，业务覆盖</t>
    </r>
    <r>
      <rPr>
        <sz val="9"/>
        <color rgb="FF000000"/>
        <rFont val="Arial"/>
        <charset val="134"/>
      </rPr>
      <t>130+</t>
    </r>
    <r>
      <rPr>
        <sz val="9"/>
        <color rgb="FF000000"/>
        <rFont val="楷体"/>
        <charset val="134"/>
      </rPr>
      <t>国家和地区的</t>
    </r>
    <r>
      <rPr>
        <sz val="9"/>
        <color rgb="FF000000"/>
        <rFont val="Arial"/>
        <charset val="134"/>
      </rPr>
      <t>50+</t>
    </r>
    <r>
      <rPr>
        <sz val="9"/>
        <color rgb="FF000000"/>
        <rFont val="楷体"/>
        <charset val="134"/>
      </rPr>
      <t>种货币。</t>
    </r>
  </si>
  <si>
    <t>空中云汇（上海）网络科技有限公司</t>
  </si>
  <si>
    <t>https://www.airwallex.com.cn/</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</si>
  <si>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,Square Peg Capital,</t>
    </r>
    <r>
      <rPr>
        <sz val="9"/>
        <color rgb="FF000000"/>
        <rFont val="楷体"/>
        <charset val="134"/>
      </rPr>
      <t>和暄资本</t>
    </r>
    <r>
      <rPr>
        <sz val="9"/>
        <color rgb="FF000000"/>
        <rFont val="Arial"/>
        <charset val="134"/>
      </rPr>
      <t>Hermitage Capital,Hostplus,Lone Pine Capital,Salesforce Ventures,1835i</t>
    </r>
  </si>
  <si>
    <r>
      <rPr>
        <sz val="9"/>
        <color rgb="FF000000"/>
        <rFont val="Arial"/>
        <charset val="134"/>
      </rPr>
      <t>65.13</t>
    </r>
    <r>
      <rPr>
        <sz val="9"/>
        <color rgb="FF000000"/>
        <rFont val="楷体"/>
        <charset val="134"/>
      </rPr>
      <t>亿</t>
    </r>
  </si>
  <si>
    <r>
      <rPr>
        <sz val="9"/>
        <color rgb="FF000000"/>
        <rFont val="Arial"/>
        <charset val="134"/>
      </rPr>
      <t>357.5</t>
    </r>
    <r>
      <rPr>
        <sz val="9"/>
        <color rgb="FF000000"/>
        <rFont val="楷体"/>
        <charset val="134"/>
      </rPr>
      <t>亿元</t>
    </r>
  </si>
  <si>
    <r>
      <rPr>
        <sz val="9"/>
        <color rgb="FF000000"/>
        <rFont val="Arial"/>
        <charset val="134"/>
      </rPr>
      <t>Jack Zhang:</t>
    </r>
    <r>
      <rPr>
        <sz val="9"/>
        <color rgb="FF000000"/>
        <rFont val="楷体"/>
        <charset val="134"/>
      </rPr>
      <t>联合创始人兼</t>
    </r>
    <r>
      <rPr>
        <sz val="9"/>
        <color rgb="FF000000"/>
        <rFont val="Arial"/>
        <charset val="134"/>
      </rPr>
      <t>CEO,</t>
    </r>
    <r>
      <rPr>
        <sz val="9"/>
        <color rgb="FF000000"/>
        <rFont val="楷体"/>
        <charset val="134"/>
      </rPr>
      <t>刘月婷</t>
    </r>
    <r>
      <rPr>
        <sz val="9"/>
        <color rgb="FF000000"/>
        <rFont val="Arial"/>
        <charset val="134"/>
      </rPr>
      <t>:</t>
    </r>
    <r>
      <rPr>
        <sz val="9"/>
        <color rgb="FF000000"/>
        <rFont val="楷体"/>
        <charset val="134"/>
      </rPr>
      <t>联合创始人兼总裁</t>
    </r>
  </si>
  <si>
    <r>
      <rPr>
        <sz val="9"/>
        <color rgb="FF000000"/>
        <rFont val="楷体"/>
        <charset val="134"/>
      </rPr>
      <t>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r>
      <rPr>
        <sz val="9"/>
        <color rgb="FF000000"/>
        <rFont val="Arial"/>
        <charset val="134"/>
      </rPr>
      <t>(</t>
    </r>
    <r>
      <rPr>
        <sz val="9"/>
        <color rgb="FF000000"/>
        <rFont val="楷体"/>
        <charset val="134"/>
      </rPr>
      <t>入驻深圳市前海商务秘书有限公司</t>
    </r>
    <r>
      <rPr>
        <sz val="9"/>
        <color rgb="FF000000"/>
        <rFont val="Arial"/>
        <charset val="134"/>
      </rPr>
      <t>)</t>
    </r>
  </si>
  <si>
    <t>021-6333-7977</t>
  </si>
  <si>
    <t>support@airwallex.com</t>
  </si>
  <si>
    <t>2021-11-18</t>
  </si>
  <si>
    <r>
      <rPr>
        <sz val="9"/>
        <color rgb="FF000000"/>
        <rFont val="楷体"/>
        <charset val="134"/>
      </rPr>
      <t>红杉资本中国</t>
    </r>
    <r>
      <rPr>
        <sz val="9"/>
        <color rgb="FF000000"/>
        <rFont val="Arial"/>
        <charset val="134"/>
      </rPr>
      <t>,Lone Pine Capital,1835i Ventures</t>
    </r>
  </si>
  <si>
    <t>2021-09-21</t>
  </si>
  <si>
    <r>
      <rPr>
        <sz val="9"/>
        <color rgb="FF000000"/>
        <rFont val="楷体"/>
        <charset val="134"/>
      </rPr>
      <t>红杉资本中国</t>
    </r>
    <r>
      <rPr>
        <sz val="9"/>
        <color rgb="FF000000"/>
        <rFont val="Arial"/>
        <charset val="134"/>
      </rPr>
      <t>,DST Global,Salesforce,G Squared,Lone Pine Capital,Vetamer Capital Management,1835i Ventures</t>
    </r>
  </si>
  <si>
    <t>2021-03-24</t>
  </si>
  <si>
    <t>Greenoaks Capital Management,Grok Ventures,Skip Capital,ANZi Ventures</t>
  </si>
  <si>
    <t>2020-07-20</t>
  </si>
  <si>
    <t>2020-04-16</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</si>
  <si>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,DST Global,Horizons Ventures</t>
    </r>
    <r>
      <rPr>
        <sz val="9"/>
        <color rgb="FF000000"/>
        <rFont val="楷体"/>
        <charset val="134"/>
      </rPr>
      <t>维港投资</t>
    </r>
    <r>
      <rPr>
        <sz val="9"/>
        <color rgb="FF000000"/>
        <rFont val="Arial"/>
        <charset val="134"/>
      </rPr>
      <t>,Salesforce,</t>
    </r>
    <r>
      <rPr>
        <sz val="9"/>
        <color rgb="FF000000"/>
        <rFont val="楷体"/>
        <charset val="134"/>
      </rPr>
      <t>高瓴创投</t>
    </r>
    <r>
      <rPr>
        <sz val="9"/>
        <color rgb="FF000000"/>
        <rFont val="Arial"/>
        <charset val="134"/>
      </rPr>
      <t>,Hedosophia,</t>
    </r>
    <r>
      <rPr>
        <sz val="9"/>
        <color rgb="FF000000"/>
        <rFont val="楷体"/>
        <charset val="134"/>
      </rPr>
      <t>澳新银行</t>
    </r>
  </si>
  <si>
    <r>
      <rPr>
        <sz val="9"/>
        <color rgb="FF000000"/>
        <rFont val="楷体"/>
        <charset val="134"/>
      </rPr>
      <t>红杉资本中国</t>
    </r>
    <r>
      <rPr>
        <sz val="9"/>
        <color rgb="FF000000"/>
        <rFont val="Arial"/>
        <charset val="134"/>
      </rPr>
      <t>,</t>
    </r>
    <r>
      <rPr>
        <sz val="9"/>
        <color rgb="FF000000"/>
        <rFont val="楷体"/>
        <charset val="134"/>
      </rPr>
      <t>戈壁创投</t>
    </r>
    <r>
      <rPr>
        <sz val="9"/>
        <color rgb="FF000000"/>
        <rFont val="Arial"/>
        <charset val="134"/>
      </rPr>
      <t>,</t>
    </r>
    <r>
      <rPr>
        <sz val="9"/>
        <color rgb="FF000000"/>
        <rFont val="楷体"/>
        <charset val="134"/>
      </rPr>
      <t>腾讯投资</t>
    </r>
    <r>
      <rPr>
        <sz val="9"/>
        <color rgb="FF000000"/>
        <rFont val="Arial"/>
        <charset val="134"/>
      </rPr>
      <t>,DST Global,</t>
    </r>
    <r>
      <rPr>
        <sz val="9"/>
        <color rgb="FF000000"/>
        <rFont val="楷体"/>
        <charset val="134"/>
      </rPr>
      <t>高瓴投资</t>
    </r>
    <r>
      <rPr>
        <sz val="9"/>
        <color rgb="FF000000"/>
        <rFont val="Arial"/>
        <charset val="134"/>
      </rPr>
      <t>,Horizons Ventures</t>
    </r>
    <r>
      <rPr>
        <sz val="9"/>
        <color rgb="FF000000"/>
        <rFont val="楷体"/>
        <charset val="134"/>
      </rPr>
      <t>维港投资</t>
    </r>
    <r>
      <rPr>
        <sz val="9"/>
        <color rgb="FF000000"/>
        <rFont val="Arial"/>
        <charset val="134"/>
      </rPr>
      <t>,Square Peg Capital,</t>
    </r>
    <r>
      <rPr>
        <sz val="9"/>
        <color rgb="FF000000"/>
        <rFont val="楷体"/>
        <charset val="134"/>
      </rPr>
      <t>和暄资本</t>
    </r>
    <r>
      <rPr>
        <sz val="9"/>
        <color rgb="FF000000"/>
        <rFont val="Arial"/>
        <charset val="134"/>
      </rPr>
      <t>Hermitage Capital</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</si>
  <si>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,Horizons Ventures</t>
    </r>
    <r>
      <rPr>
        <sz val="9"/>
        <color rgb="FF000000"/>
        <rFont val="楷体"/>
        <charset val="134"/>
      </rPr>
      <t>维港投资</t>
    </r>
    <r>
      <rPr>
        <sz val="9"/>
        <color rgb="FF000000"/>
        <rFont val="Arial"/>
        <charset val="134"/>
      </rPr>
      <t>,Central Capital Venture</t>
    </r>
  </si>
  <si>
    <t>Square Peg Capital</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</si>
  <si>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,MasterCard</t>
    </r>
    <r>
      <rPr>
        <sz val="9"/>
        <color rgb="FF000000"/>
        <rFont val="楷体"/>
        <charset val="134"/>
      </rPr>
      <t>万事达</t>
    </r>
  </si>
  <si>
    <r>
      <rPr>
        <sz val="9"/>
        <color rgb="FF000000"/>
        <rFont val="楷体"/>
        <charset val="134"/>
      </rPr>
      <t>戈壁创投</t>
    </r>
    <r>
      <rPr>
        <sz val="9"/>
        <color rgb="FF000000"/>
        <rFont val="Arial"/>
        <charset val="134"/>
      </rPr>
      <t>,</t>
    </r>
    <r>
      <rPr>
        <sz val="9"/>
        <color rgb="FF000000"/>
        <rFont val="楷体"/>
        <charset val="134"/>
      </rPr>
      <t>引力创投</t>
    </r>
    <r>
      <rPr>
        <sz val="9"/>
        <color rgb="FF000000"/>
        <rFont val="Arial"/>
        <charset val="134"/>
      </rPr>
      <t>,</t>
    </r>
    <r>
      <rPr>
        <sz val="9"/>
        <color rgb="FF000000"/>
        <rFont val="楷体"/>
        <charset val="134"/>
      </rPr>
      <t>华山资本</t>
    </r>
    <r>
      <rPr>
        <sz val="9"/>
        <color rgb="FF000000"/>
        <rFont val="Arial"/>
        <charset val="134"/>
      </rPr>
      <t xml:space="preserve">HuaShanCapital </t>
    </r>
  </si>
  <si>
    <t>2017-11-15</t>
  </si>
  <si>
    <t>HowLiving美味生活</t>
  </si>
  <si>
    <r>
      <rPr>
        <sz val="9"/>
        <color rgb="FF000000"/>
        <rFont val="Arial"/>
        <charset val="134"/>
      </rPr>
      <t>HowLiving</t>
    </r>
    <r>
      <rPr>
        <sz val="9"/>
        <color rgb="FF000000"/>
        <rFont val="楷体"/>
        <charset val="134"/>
      </rPr>
      <t>美味生活</t>
    </r>
  </si>
  <si>
    <r>
      <rPr>
        <sz val="9"/>
        <color rgb="FF000000"/>
        <rFont val="Arial"/>
        <charset val="134"/>
      </rPr>
      <t>HowLiving</t>
    </r>
    <r>
      <rPr>
        <sz val="9"/>
        <color rgb="FF000000"/>
        <rFont val="楷体"/>
        <charset val="134"/>
      </rPr>
      <t>美味生活是一个饮食生活网站，以原创美食视频为主要内容，主打快速简单的低卡食谱、烘焙以及亲子饮食，并不定期推出瘦身午餐、轻食、饮品等特别专题。同时，公司推出了垂直电商平台，主营烘焙领域厨房用品及烹调小家电等。</t>
    </r>
  </si>
  <si>
    <t>美味生活股份有限公司</t>
  </si>
  <si>
    <t>http://www.how-living.com</t>
  </si>
  <si>
    <r>
      <rPr>
        <sz val="9"/>
        <color rgb="FF000000"/>
        <rFont val="楷体"/>
        <charset val="134"/>
      </rPr>
      <t>心元资本</t>
    </r>
    <r>
      <rPr>
        <sz val="9"/>
        <color rgb="FF000000"/>
        <rFont val="Arial"/>
        <charset val="134"/>
      </rPr>
      <t>Cherubic Ventures,</t>
    </r>
    <r>
      <rPr>
        <sz val="9"/>
        <color rgb="FF000000"/>
        <rFont val="楷体"/>
        <charset val="134"/>
      </rPr>
      <t>美国中经合集团</t>
    </r>
    <r>
      <rPr>
        <sz val="9"/>
        <color rgb="FF000000"/>
        <rFont val="Arial"/>
        <charset val="134"/>
      </rPr>
      <t>,</t>
    </r>
    <r>
      <rPr>
        <sz val="9"/>
        <color rgb="FF000000"/>
        <rFont val="楷体"/>
        <charset val="134"/>
      </rPr>
      <t>阿里巴巴创业者基金</t>
    </r>
  </si>
  <si>
    <r>
      <rPr>
        <sz val="9"/>
        <color rgb="FF000000"/>
        <rFont val="楷体"/>
        <charset val="134"/>
      </rPr>
      <t>谢凯婷</t>
    </r>
    <r>
      <rPr>
        <sz val="9"/>
        <color rgb="FF000000"/>
        <rFont val="Arial"/>
        <charset val="134"/>
      </rPr>
      <t>:</t>
    </r>
    <r>
      <rPr>
        <sz val="9"/>
        <color rgb="FF000000"/>
        <rFont val="楷体"/>
        <charset val="134"/>
      </rPr>
      <t>创始人</t>
    </r>
  </si>
  <si>
    <t>台湾台北市</t>
  </si>
  <si>
    <t>owner-11110036@how-living.com.whoisprivacyservice.</t>
  </si>
  <si>
    <t>2016-08-03</t>
  </si>
  <si>
    <t>数千万新台币</t>
  </si>
  <si>
    <t>Gobee Bike</t>
  </si>
  <si>
    <r>
      <rPr>
        <sz val="9"/>
        <color rgb="FF000000"/>
        <rFont val="Arial"/>
        <charset val="134"/>
      </rPr>
      <t>Gobee.bike</t>
    </r>
    <r>
      <rPr>
        <sz val="9"/>
        <color rgb="FF000000"/>
        <rFont val="楷体"/>
        <charset val="134"/>
      </rPr>
      <t>是香港首批共享单车，配备全球卫星定位设备、可供用户通过手机</t>
    </r>
    <r>
      <rPr>
        <sz val="9"/>
        <color rgb="FF000000"/>
        <rFont val="Arial"/>
        <charset val="134"/>
      </rPr>
      <t>APP</t>
    </r>
    <r>
      <rPr>
        <sz val="9"/>
        <color rgb="FF000000"/>
        <rFont val="楷体"/>
        <charset val="134"/>
      </rPr>
      <t>租借。隶属于单车出行公司</t>
    </r>
    <r>
      <rPr>
        <sz val="9"/>
        <color rgb="FF000000"/>
        <rFont val="Arial"/>
        <charset val="134"/>
      </rPr>
      <t>Mysharebike</t>
    </r>
    <r>
      <rPr>
        <sz val="9"/>
        <color rgb="FF000000"/>
        <rFont val="楷体"/>
        <charset val="134"/>
      </rPr>
      <t>。</t>
    </r>
  </si>
  <si>
    <t>Myshare bike</t>
  </si>
  <si>
    <t>http://gobee.bike/</t>
  </si>
  <si>
    <r>
      <rPr>
        <sz val="9"/>
        <color rgb="FF000000"/>
        <rFont val="楷体"/>
        <charset val="134"/>
      </rPr>
      <t>香港</t>
    </r>
    <r>
      <rPr>
        <sz val="9"/>
        <color rgb="FF000000"/>
        <rFont val="Arial"/>
        <charset val="134"/>
      </rPr>
      <t>-</t>
    </r>
    <r>
      <rPr>
        <sz val="9"/>
        <color rgb="FF000000"/>
        <rFont val="楷体"/>
        <charset val="134"/>
      </rPr>
      <t>沙田区</t>
    </r>
  </si>
  <si>
    <r>
      <rPr>
        <sz val="9"/>
        <color rgb="FF000000"/>
        <rFont val="Arial"/>
        <charset val="134"/>
      </rPr>
      <t>Grishin Robotics,</t>
    </r>
    <r>
      <rPr>
        <sz val="9"/>
        <color rgb="FF000000"/>
        <rFont val="楷体"/>
        <charset val="134"/>
      </rPr>
      <t>阿里巴巴创业者基金</t>
    </r>
  </si>
  <si>
    <t>2017-04-24</t>
  </si>
  <si>
    <t>Swiss Founders Fund,Cocoon Ignite Ventures,Lamivoie Capital</t>
  </si>
  <si>
    <r>
      <rPr>
        <sz val="9"/>
        <color rgb="FF000000"/>
        <rFont val="Arial"/>
        <charset val="134"/>
      </rPr>
      <t>10.86</t>
    </r>
    <r>
      <rPr>
        <sz val="9"/>
        <color rgb="FF000000"/>
        <rFont val="楷体"/>
        <charset val="134"/>
      </rPr>
      <t>亿</t>
    </r>
  </si>
  <si>
    <t>2019-03-27</t>
  </si>
  <si>
    <t>耐能Kneron</t>
  </si>
  <si>
    <r>
      <rPr>
        <sz val="9"/>
        <color rgb="FF000000"/>
        <rFont val="楷体"/>
        <charset val="134"/>
      </rPr>
      <t>耐能</t>
    </r>
    <r>
      <rPr>
        <sz val="9"/>
        <color rgb="FF000000"/>
        <rFont val="Arial"/>
        <charset val="134"/>
      </rPr>
      <t>Kneron</t>
    </r>
  </si>
  <si>
    <r>
      <rPr>
        <sz val="9"/>
        <color rgb="FF000000"/>
        <rFont val="楷体"/>
        <charset val="134"/>
      </rPr>
      <t>耐能</t>
    </r>
    <r>
      <rPr>
        <sz val="9"/>
        <color rgb="FF000000"/>
        <rFont val="Arial"/>
        <charset val="134"/>
      </rPr>
      <t>Kneron</t>
    </r>
    <r>
      <rPr>
        <sz val="9"/>
        <color rgb="FF000000"/>
        <rFont val="楷体"/>
        <charset val="134"/>
      </rPr>
      <t>专注边缘</t>
    </r>
    <r>
      <rPr>
        <sz val="9"/>
        <color rgb="FF000000"/>
        <rFont val="Arial"/>
        <charset val="134"/>
      </rPr>
      <t>AI SoC</t>
    </r>
    <r>
      <rPr>
        <sz val="9"/>
        <color rgb="FF000000"/>
        <rFont val="楷体"/>
        <charset val="134"/>
      </rPr>
      <t>专用处理器的研发，是全球领先的边缘</t>
    </r>
    <r>
      <rPr>
        <sz val="9"/>
        <color rgb="FF000000"/>
        <rFont val="Arial"/>
        <charset val="134"/>
      </rPr>
      <t>AI</t>
    </r>
    <r>
      <rPr>
        <sz val="9"/>
        <color rgb="FF000000"/>
        <rFont val="楷体"/>
        <charset val="134"/>
      </rPr>
      <t>计算解决方案厂商。拥有</t>
    </r>
    <r>
      <rPr>
        <sz val="9"/>
        <color rgb="FF000000"/>
        <rFont val="Arial"/>
        <charset val="134"/>
      </rPr>
      <t>AI</t>
    </r>
    <r>
      <rPr>
        <sz val="9"/>
        <color rgb="FF000000"/>
        <rFont val="楷体"/>
        <charset val="134"/>
      </rPr>
      <t>芯片、算法等核心产业自主知识产权和实力强大的研发团队，旨在以</t>
    </r>
    <r>
      <rPr>
        <sz val="9"/>
        <color rgb="FF000000"/>
        <rFont val="Arial"/>
        <charset val="134"/>
      </rPr>
      <t>“AI</t>
    </r>
    <r>
      <rPr>
        <sz val="9"/>
        <color rgb="FF000000"/>
        <rFont val="楷体"/>
        <charset val="134"/>
      </rPr>
      <t>芯片</t>
    </r>
    <r>
      <rPr>
        <sz val="9"/>
        <color rgb="FF000000"/>
        <rFont val="Arial"/>
        <charset val="134"/>
      </rPr>
      <t>+</t>
    </r>
    <r>
      <rPr>
        <sz val="9"/>
        <color rgb="FF000000"/>
        <rFont val="楷体"/>
        <charset val="134"/>
      </rPr>
      <t>边缘计算</t>
    </r>
    <r>
      <rPr>
        <sz val="9"/>
        <color rgb="FF000000"/>
        <rFont val="Arial"/>
        <charset val="134"/>
      </rPr>
      <t>+</t>
    </r>
    <r>
      <rPr>
        <sz val="9"/>
        <color rgb="FF000000"/>
        <rFont val="楷体"/>
        <charset val="134"/>
      </rPr>
      <t>图像算法</t>
    </r>
    <r>
      <rPr>
        <sz val="9"/>
        <color rgb="FF000000"/>
        <rFont val="Arial"/>
        <charset val="134"/>
      </rPr>
      <t>”</t>
    </r>
    <r>
      <rPr>
        <sz val="9"/>
        <color rgb="FF000000"/>
        <rFont val="楷体"/>
        <charset val="134"/>
      </rPr>
      <t>为核心全面赋能智慧物联、自动驾驶、智能安防等细分场景。同时，以</t>
    </r>
    <r>
      <rPr>
        <sz val="9"/>
        <color rgb="FF000000"/>
        <rFont val="Arial"/>
        <charset val="134"/>
      </rPr>
      <t>KNEO</t>
    </r>
    <r>
      <rPr>
        <sz val="9"/>
        <color rgb="FF000000"/>
        <rFont val="楷体"/>
        <charset val="134"/>
      </rPr>
      <t>共享开发平台为依托助各行业的开发者快速开发智能产品，实现商业化落地，加速驱动智能化时代的到来。</t>
    </r>
  </si>
  <si>
    <t>深圳市耐能人工智能有限公司</t>
  </si>
  <si>
    <t>http://www.kneron.com/</t>
  </si>
  <si>
    <r>
      <rPr>
        <sz val="9"/>
        <color rgb="FF000000"/>
        <rFont val="Arial"/>
        <charset val="134"/>
      </rPr>
      <t>4800</t>
    </r>
    <r>
      <rPr>
        <sz val="9"/>
        <color rgb="FF000000"/>
        <rFont val="楷体"/>
        <charset val="134"/>
      </rPr>
      <t>万美元</t>
    </r>
  </si>
  <si>
    <r>
      <rPr>
        <sz val="9"/>
        <color rgb="FF000000"/>
        <rFont val="Arial"/>
        <charset val="134"/>
      </rPr>
      <t>Horizons Ventures</t>
    </r>
    <r>
      <rPr>
        <sz val="9"/>
        <color rgb="FF000000"/>
        <rFont val="楷体"/>
        <charset val="134"/>
      </rPr>
      <t>维港投资</t>
    </r>
    <r>
      <rPr>
        <sz val="9"/>
        <color rgb="FF000000"/>
        <rFont val="Arial"/>
        <charset val="134"/>
      </rPr>
      <t>,</t>
    </r>
    <r>
      <rPr>
        <sz val="9"/>
        <color rgb="FF000000"/>
        <rFont val="楷体"/>
        <charset val="134"/>
      </rPr>
      <t>鸿海集团</t>
    </r>
    <r>
      <rPr>
        <sz val="9"/>
        <color rgb="FF000000"/>
        <rFont val="Arial"/>
        <charset val="134"/>
      </rPr>
      <t>Foxconn,</t>
    </r>
    <r>
      <rPr>
        <sz val="9"/>
        <color rgb="FF000000"/>
        <rFont val="楷体"/>
        <charset val="134"/>
      </rPr>
      <t>光宝科技</t>
    </r>
    <r>
      <rPr>
        <sz val="9"/>
        <color rgb="FF000000"/>
        <rFont val="Arial"/>
        <charset val="134"/>
      </rPr>
      <t>,</t>
    </r>
    <r>
      <rPr>
        <sz val="9"/>
        <color rgb="FF000000"/>
        <rFont val="楷体"/>
        <charset val="134"/>
      </rPr>
      <t>威刚科技</t>
    </r>
  </si>
  <si>
    <r>
      <rPr>
        <sz val="9"/>
        <color rgb="FF000000"/>
        <rFont val="Arial"/>
        <charset val="134"/>
      </rPr>
      <t>17.47</t>
    </r>
    <r>
      <rPr>
        <sz val="9"/>
        <color rgb="FF000000"/>
        <rFont val="楷体"/>
        <charset val="134"/>
      </rPr>
      <t>亿</t>
    </r>
  </si>
  <si>
    <r>
      <rPr>
        <sz val="9"/>
        <color rgb="FF000000"/>
        <rFont val="Arial"/>
        <charset val="134"/>
      </rPr>
      <t>15.6</t>
    </r>
    <r>
      <rPr>
        <sz val="9"/>
        <color rgb="FF000000"/>
        <rFont val="楷体"/>
        <charset val="134"/>
      </rPr>
      <t>亿元</t>
    </r>
  </si>
  <si>
    <r>
      <rPr>
        <sz val="9"/>
        <color rgb="FF000000"/>
        <rFont val="楷体"/>
        <charset val="134"/>
      </rPr>
      <t>刘峻诚</t>
    </r>
    <r>
      <rPr>
        <sz val="9"/>
        <color rgb="FF000000"/>
        <rFont val="Arial"/>
        <charset val="134"/>
      </rPr>
      <t>:CEO,</t>
    </r>
    <r>
      <rPr>
        <sz val="9"/>
        <color rgb="FF000000"/>
        <rFont val="楷体"/>
        <charset val="134"/>
      </rPr>
      <t>郝康立</t>
    </r>
    <r>
      <rPr>
        <sz val="9"/>
        <color rgb="FF000000"/>
        <rFont val="Arial"/>
        <charset val="134"/>
      </rPr>
      <t xml:space="preserve"> :</t>
    </r>
    <r>
      <rPr>
        <sz val="9"/>
        <color rgb="FF000000"/>
        <rFont val="楷体"/>
        <charset val="134"/>
      </rPr>
      <t>联合创始人</t>
    </r>
    <r>
      <rPr>
        <sz val="9"/>
        <color rgb="FF000000"/>
        <rFont val="Arial"/>
        <charset val="134"/>
      </rPr>
      <t>,</t>
    </r>
    <r>
      <rPr>
        <sz val="9"/>
        <color rgb="FF000000"/>
        <rFont val="楷体"/>
        <charset val="134"/>
      </rPr>
      <t>赖佑明</t>
    </r>
    <r>
      <rPr>
        <sz val="9"/>
        <color rgb="FF000000"/>
        <rFont val="Arial"/>
        <charset val="134"/>
      </rPr>
      <t>:CFO</t>
    </r>
  </si>
  <si>
    <r>
      <rPr>
        <sz val="9"/>
        <color rgb="FF000000"/>
        <rFont val="楷体"/>
        <charset val="134"/>
      </rPr>
      <t>深圳南山区软件产业基地</t>
    </r>
    <r>
      <rPr>
        <sz val="9"/>
        <color rgb="FF000000"/>
        <rFont val="Arial"/>
        <charset val="134"/>
      </rPr>
      <t>6</t>
    </r>
    <r>
      <rPr>
        <sz val="9"/>
        <color rgb="FF000000"/>
        <rFont val="楷体"/>
        <charset val="134"/>
      </rPr>
      <t>栋</t>
    </r>
    <r>
      <rPr>
        <sz val="9"/>
        <color rgb="FF000000"/>
        <rFont val="Arial"/>
        <charset val="134"/>
      </rPr>
      <t>710</t>
    </r>
  </si>
  <si>
    <t>info@kneron.us</t>
  </si>
  <si>
    <t>2021-12-21</t>
  </si>
  <si>
    <r>
      <rPr>
        <sz val="9"/>
        <color rgb="FF000000"/>
        <rFont val="Arial"/>
        <charset val="134"/>
      </rPr>
      <t>Sand Hill Angels,Gaingels,</t>
    </r>
    <r>
      <rPr>
        <sz val="9"/>
        <color rgb="FF000000"/>
        <rFont val="楷体"/>
        <charset val="134"/>
      </rPr>
      <t>光宝科技</t>
    </r>
    <r>
      <rPr>
        <sz val="9"/>
        <color rgb="FF000000"/>
        <rFont val="Arial"/>
        <charset val="134"/>
      </rPr>
      <t>,</t>
    </r>
    <r>
      <rPr>
        <sz val="9"/>
        <color rgb="FF000000"/>
        <rFont val="楷体"/>
        <charset val="134"/>
      </rPr>
      <t>全科</t>
    </r>
    <r>
      <rPr>
        <sz val="9"/>
        <color rgb="FF000000"/>
        <rFont val="Arial"/>
        <charset val="134"/>
      </rPr>
      <t>,</t>
    </r>
    <r>
      <rPr>
        <sz val="9"/>
        <color rgb="FF000000"/>
        <rFont val="楷体"/>
        <charset val="134"/>
      </rPr>
      <t>凌钜</t>
    </r>
  </si>
  <si>
    <t>2021-05-06</t>
  </si>
  <si>
    <t>台达集团</t>
  </si>
  <si>
    <t>2021-01-20</t>
  </si>
  <si>
    <r>
      <rPr>
        <sz val="9"/>
        <color rgb="FF000000"/>
        <rFont val="楷体"/>
        <charset val="134"/>
      </rPr>
      <t>鸿海精密</t>
    </r>
    <r>
      <rPr>
        <sz val="9"/>
        <color rgb="FF000000"/>
        <rFont val="Arial"/>
        <charset val="134"/>
      </rPr>
      <t>,</t>
    </r>
    <r>
      <rPr>
        <sz val="9"/>
        <color rgb="FF000000"/>
        <rFont val="楷体"/>
        <charset val="134"/>
      </rPr>
      <t>华邦电子</t>
    </r>
  </si>
  <si>
    <t>2020-02-02</t>
  </si>
  <si>
    <r>
      <rPr>
        <sz val="9"/>
        <color rgb="FF000000"/>
        <rFont val="Arial"/>
        <charset val="134"/>
      </rPr>
      <t>Horizons Ventures</t>
    </r>
    <r>
      <rPr>
        <sz val="9"/>
        <color rgb="FF000000"/>
        <rFont val="楷体"/>
        <charset val="134"/>
      </rPr>
      <t>维港投资</t>
    </r>
  </si>
  <si>
    <t>2018-05-31</t>
  </si>
  <si>
    <r>
      <rPr>
        <sz val="9"/>
        <color rgb="FF000000"/>
        <rFont val="楷体"/>
        <charset val="134"/>
      </rPr>
      <t>红杉资本中国</t>
    </r>
    <r>
      <rPr>
        <sz val="9"/>
        <color rgb="FF000000"/>
        <rFont val="Arial"/>
        <charset val="134"/>
      </rPr>
      <t>,</t>
    </r>
    <r>
      <rPr>
        <sz val="9"/>
        <color rgb="FF000000"/>
        <rFont val="楷体"/>
        <charset val="134"/>
      </rPr>
      <t>高通</t>
    </r>
    <r>
      <rPr>
        <sz val="9"/>
        <color rgb="FF000000"/>
        <rFont val="Arial"/>
        <charset val="134"/>
      </rPr>
      <t>Qualcomm Ventures,</t>
    </r>
    <r>
      <rPr>
        <sz val="9"/>
        <color rgb="FF000000"/>
        <rFont val="楷体"/>
        <charset val="134"/>
      </rPr>
      <t>中科创达</t>
    </r>
    <r>
      <rPr>
        <sz val="9"/>
        <color rgb="FF000000"/>
        <rFont val="Arial"/>
        <charset val="134"/>
      </rPr>
      <t>,</t>
    </r>
    <r>
      <rPr>
        <sz val="9"/>
        <color rgb="FF000000"/>
        <rFont val="楷体"/>
        <charset val="134"/>
      </rPr>
      <t>创业邦天使基金</t>
    </r>
    <r>
      <rPr>
        <sz val="9"/>
        <color rgb="FF000000"/>
        <rFont val="Arial"/>
        <charset val="134"/>
      </rPr>
      <t>,</t>
    </r>
    <r>
      <rPr>
        <sz val="9"/>
        <color rgb="FF000000"/>
        <rFont val="楷体"/>
        <charset val="134"/>
      </rPr>
      <t>中华开发</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奇景光电</t>
    </r>
  </si>
  <si>
    <r>
      <rPr>
        <sz val="9"/>
        <color rgb="FF000000"/>
        <rFont val="Arial"/>
        <charset val="134"/>
      </rPr>
      <t>60</t>
    </r>
    <r>
      <rPr>
        <sz val="9"/>
        <color rgb="FF000000"/>
        <rFont val="楷体"/>
        <charset val="134"/>
      </rPr>
      <t>万美元</t>
    </r>
  </si>
  <si>
    <t>周亚辉</t>
  </si>
  <si>
    <t>2016-01-25</t>
  </si>
  <si>
    <t>2018-01-18</t>
  </si>
  <si>
    <t>SpaceCycle</t>
  </si>
  <si>
    <r>
      <rPr>
        <sz val="9"/>
        <color rgb="FF000000"/>
        <rFont val="Arial"/>
        <charset val="134"/>
      </rPr>
      <t>SpaceCycle</t>
    </r>
    <r>
      <rPr>
        <sz val="9"/>
        <color rgb="FF000000"/>
        <rFont val="楷体"/>
        <charset val="134"/>
      </rPr>
      <t>是一家以音乐为基础的运动健身服务提供商，以音乐、时尚、运动、社群为核心，不同于传统授课方式，学员们可以以自己喜欢的音乐风格出发，把音乐节奏融入到重量训练、瑜伽延展中。平台提供</t>
    </r>
    <r>
      <rPr>
        <sz val="9"/>
        <color rgb="FF000000"/>
        <rFont val="Arial"/>
        <charset val="134"/>
      </rPr>
      <t>Cycle</t>
    </r>
    <r>
      <rPr>
        <sz val="9"/>
        <color rgb="FF000000"/>
        <rFont val="楷体"/>
        <charset val="134"/>
      </rPr>
      <t>、</t>
    </r>
    <r>
      <rPr>
        <sz val="9"/>
        <color rgb="FF000000"/>
        <rFont val="Arial"/>
        <charset val="134"/>
      </rPr>
      <t>Barre</t>
    </r>
    <r>
      <rPr>
        <sz val="9"/>
        <color rgb="FF000000"/>
        <rFont val="楷体"/>
        <charset val="134"/>
      </rPr>
      <t>、</t>
    </r>
    <r>
      <rPr>
        <sz val="9"/>
        <color rgb="FF000000"/>
        <rFont val="Arial"/>
        <charset val="134"/>
      </rPr>
      <t>Yoga</t>
    </r>
    <r>
      <rPr>
        <sz val="9"/>
        <color rgb="FF000000"/>
        <rFont val="楷体"/>
        <charset val="134"/>
      </rPr>
      <t>三种课程，用户可通过健身会所或</t>
    </r>
    <r>
      <rPr>
        <sz val="9"/>
        <color rgb="FF000000"/>
        <rFont val="Arial"/>
        <charset val="134"/>
      </rPr>
      <t>APP</t>
    </r>
    <r>
      <rPr>
        <sz val="9"/>
        <color rgb="FF000000"/>
        <rFont val="楷体"/>
        <charset val="134"/>
      </rPr>
      <t>获取健身服务。</t>
    </r>
  </si>
  <si>
    <t>北京史贝斯健身管理有限公司</t>
  </si>
  <si>
    <t>http://www.spacecycle.cn/</t>
  </si>
  <si>
    <r>
      <rPr>
        <sz val="9"/>
        <color rgb="FF000000"/>
        <rFont val="Arial"/>
        <charset val="134"/>
      </rPr>
      <t>Matthew Allison:</t>
    </r>
    <r>
      <rPr>
        <sz val="9"/>
        <color rgb="FF000000"/>
        <rFont val="楷体"/>
        <charset val="134"/>
      </rPr>
      <t>创始人</t>
    </r>
  </si>
  <si>
    <r>
      <rPr>
        <sz val="9"/>
        <color rgb="FF000000"/>
        <rFont val="楷体"/>
        <charset val="134"/>
      </rPr>
      <t>北京市朝阳区三里屯路</t>
    </r>
    <r>
      <rPr>
        <sz val="9"/>
        <color rgb="FF000000"/>
        <rFont val="Arial"/>
        <charset val="134"/>
      </rPr>
      <t>11</t>
    </r>
    <r>
      <rPr>
        <sz val="9"/>
        <color rgb="FF000000"/>
        <rFont val="楷体"/>
        <charset val="134"/>
      </rPr>
      <t>号院</t>
    </r>
    <r>
      <rPr>
        <sz val="9"/>
        <color rgb="FF000000"/>
        <rFont val="Arial"/>
        <charset val="134"/>
      </rPr>
      <t>4</t>
    </r>
    <r>
      <rPr>
        <sz val="9"/>
        <color rgb="FF000000"/>
        <rFont val="楷体"/>
        <charset val="134"/>
      </rPr>
      <t>号楼四层</t>
    </r>
    <r>
      <rPr>
        <sz val="9"/>
        <color rgb="FF000000"/>
        <rFont val="Arial"/>
        <charset val="134"/>
      </rPr>
      <t>N4-40a</t>
    </r>
    <r>
      <rPr>
        <sz val="9"/>
        <color rgb="FF000000"/>
        <rFont val="楷体"/>
        <charset val="134"/>
      </rPr>
      <t>单元</t>
    </r>
    <r>
      <rPr>
        <sz val="9"/>
        <color rgb="FF000000"/>
        <rFont val="Arial"/>
        <charset val="134"/>
      </rPr>
      <t>;</t>
    </r>
    <r>
      <rPr>
        <sz val="9"/>
        <color rgb="FF000000"/>
        <rFont val="楷体"/>
        <charset val="134"/>
      </rPr>
      <t>北京市朝阳区三里屯路</t>
    </r>
    <r>
      <rPr>
        <sz val="9"/>
        <color rgb="FF000000"/>
        <rFont val="Arial"/>
        <charset val="134"/>
      </rPr>
      <t>11</t>
    </r>
    <r>
      <rPr>
        <sz val="9"/>
        <color rgb="FF000000"/>
        <rFont val="楷体"/>
        <charset val="134"/>
      </rPr>
      <t>号院</t>
    </r>
    <r>
      <rPr>
        <sz val="9"/>
        <color rgb="FF000000"/>
        <rFont val="Arial"/>
        <charset val="134"/>
      </rPr>
      <t>4</t>
    </r>
    <r>
      <rPr>
        <sz val="9"/>
        <color rgb="FF000000"/>
        <rFont val="楷体"/>
        <charset val="134"/>
      </rPr>
      <t>号楼四层</t>
    </r>
    <r>
      <rPr>
        <sz val="9"/>
        <color rgb="FF000000"/>
        <rFont val="Arial"/>
        <charset val="134"/>
      </rPr>
      <t>N4-40a</t>
    </r>
    <r>
      <rPr>
        <sz val="9"/>
        <color rgb="FF000000"/>
        <rFont val="楷体"/>
        <charset val="134"/>
      </rPr>
      <t>单元</t>
    </r>
    <r>
      <rPr>
        <sz val="9"/>
        <color rgb="FF000000"/>
        <rFont val="Arial"/>
        <charset val="134"/>
      </rPr>
      <t xml:space="preserve"> </t>
    </r>
  </si>
  <si>
    <t xml:space="preserve"> 010-6415-5799 </t>
  </si>
  <si>
    <t>76570549@163.com</t>
  </si>
  <si>
    <t>Optibus</t>
  </si>
  <si>
    <r>
      <rPr>
        <sz val="9"/>
        <color rgb="FF000000"/>
        <rFont val="Arial"/>
        <charset val="134"/>
      </rPr>
      <t>Optibus</t>
    </r>
    <r>
      <rPr>
        <sz val="9"/>
        <color rgb="FF000000"/>
        <rFont val="楷体"/>
        <charset val="134"/>
      </rPr>
      <t>是一家公共交通智能优化系统开发商，用户可以使用</t>
    </r>
    <r>
      <rPr>
        <sz val="9"/>
        <color rgb="FF000000"/>
        <rFont val="Arial"/>
        <charset val="134"/>
      </rPr>
      <t>Optibus</t>
    </r>
    <r>
      <rPr>
        <sz val="9"/>
        <color rgb="FF000000"/>
        <rFont val="楷体"/>
        <charset val="134"/>
      </rPr>
      <t>移动应用输入所在地和目的地，之后便会有公共交通工具上门接客户搭乘，因为</t>
    </r>
    <r>
      <rPr>
        <sz val="9"/>
        <color rgb="FF000000"/>
        <rFont val="Arial"/>
        <charset val="134"/>
      </rPr>
      <t>Optibus</t>
    </r>
    <r>
      <rPr>
        <sz val="9"/>
        <color rgb="FF000000"/>
        <rFont val="楷体"/>
        <charset val="134"/>
      </rPr>
      <t>已经和公交运营商达成了合作关系，提供价格更低的类似服务。</t>
    </r>
  </si>
  <si>
    <t>http://www.optibus.co/</t>
  </si>
  <si>
    <r>
      <rPr>
        <sz val="9"/>
        <color rgb="FF000000"/>
        <rFont val="楷体"/>
        <charset val="134"/>
      </rPr>
      <t>腾讯投资</t>
    </r>
    <r>
      <rPr>
        <sz val="9"/>
        <color rgb="FF000000"/>
        <rFont val="Arial"/>
        <charset val="134"/>
      </rPr>
      <t>,Bessemer Venture Partners,Insight Partners,Verizon Ventures,Pitango First &amp; Pitango Growth,SOMV Momentum</t>
    </r>
  </si>
  <si>
    <t>Amos Haggiag:Co-Founder &amp; CEO,Crispin Humm MBE:Strategic Account Director,Ehud Rokach:Executive Chairman,Eitan Yanovsky:Co-Founder &amp; CTO,Hilla Porat Goldshtein:VP People,Jennifer Bentley:Vice President Global Marketing,Mor Doron :Data Scientist,Ram Greenberg:VP Product,Yaniv Izaki:SPV Investor,Crissy Ditmore:Head of Strategy and Public Policy, North America</t>
  </si>
  <si>
    <t>2021-03-17</t>
  </si>
  <si>
    <r>
      <rPr>
        <sz val="9"/>
        <color rgb="FF000000"/>
        <rFont val="Arial"/>
        <charset val="134"/>
      </rPr>
      <t>1.07</t>
    </r>
    <r>
      <rPr>
        <sz val="9"/>
        <color rgb="FF000000"/>
        <rFont val="楷体"/>
        <charset val="134"/>
      </rPr>
      <t>亿美元</t>
    </r>
  </si>
  <si>
    <t>Insight Partners,Pitango Venture Capital,BVP,BlueRed Partners,New Era Capital Partners,Dynamic Loop Capital</t>
  </si>
  <si>
    <t>2018-12-13</t>
  </si>
  <si>
    <r>
      <rPr>
        <sz val="9"/>
        <color rgb="FF000000"/>
        <rFont val="Arial"/>
        <charset val="134"/>
      </rPr>
      <t>Pitango Venture Capital,Verizon Ventures,</t>
    </r>
    <r>
      <rPr>
        <sz val="9"/>
        <color rgb="FF000000"/>
        <rFont val="楷体"/>
        <charset val="134"/>
      </rPr>
      <t>阿里巴巴创业者基金</t>
    </r>
    <r>
      <rPr>
        <sz val="9"/>
        <color rgb="FF000000"/>
        <rFont val="Arial"/>
        <charset val="134"/>
      </rPr>
      <t>,Sir Ronald Cohen,New Era Capital</t>
    </r>
  </si>
  <si>
    <t>2017-11-07</t>
  </si>
  <si>
    <t>Verizon Ventures,Pintango Venture Capital,Ronald Cohen</t>
  </si>
  <si>
    <t>2016-10-08</t>
  </si>
  <si>
    <t>Grana</t>
  </si>
  <si>
    <r>
      <rPr>
        <sz val="9"/>
        <color rgb="FF000000"/>
        <rFont val="Arial"/>
        <charset val="134"/>
      </rPr>
      <t>GRANA</t>
    </r>
    <r>
      <rPr>
        <sz val="9"/>
        <color rgb="FF000000"/>
        <rFont val="楷体"/>
        <charset val="134"/>
      </rPr>
      <t>是一家直接面向消费者的在线时尚品牌，拥有内部团队设计衣橱必需品，采用全球最优质的材料，并且定价公开合理。</t>
    </r>
    <r>
      <rPr>
        <sz val="9"/>
        <color rgb="FF000000"/>
        <rFont val="Arial"/>
        <charset val="134"/>
      </rPr>
      <t>GRANA</t>
    </r>
    <r>
      <rPr>
        <sz val="9"/>
        <color rgb="FF000000"/>
        <rFont val="楷体"/>
        <charset val="134"/>
      </rPr>
      <t>目前能够在一到两日将产品送达</t>
    </r>
    <r>
      <rPr>
        <sz val="9"/>
        <color rgb="FF000000"/>
        <rFont val="Arial"/>
        <charset val="134"/>
      </rPr>
      <t>12</t>
    </r>
    <r>
      <rPr>
        <sz val="9"/>
        <color rgb="FF000000"/>
        <rFont val="楷体"/>
        <charset val="134"/>
      </rPr>
      <t>个国家的用户手中，可送达的地区包括澳洲、美国、新加坡、香港、比利时、法国、</t>
    </r>
    <r>
      <rPr>
        <sz val="9"/>
        <color rgb="FF000000"/>
        <rFont val="Arial"/>
        <charset val="134"/>
      </rPr>
      <t xml:space="preserve"> </t>
    </r>
    <r>
      <rPr>
        <sz val="9"/>
        <color rgb="FF000000"/>
        <rFont val="楷体"/>
        <charset val="134"/>
      </rPr>
      <t>德国、意大利、荷兰、新西兰、西班牙和英国。</t>
    </r>
  </si>
  <si>
    <t>Grana website</t>
  </si>
  <si>
    <t>https://www.grana.com/</t>
  </si>
  <si>
    <r>
      <rPr>
        <sz val="9"/>
        <color rgb="FF000000"/>
        <rFont val="Arial"/>
        <charset val="134"/>
      </rPr>
      <t>Golden Gate Ventures,MindWorks Ventures</t>
    </r>
    <r>
      <rPr>
        <sz val="9"/>
        <color rgb="FF000000"/>
        <rFont val="楷体"/>
        <charset val="134"/>
      </rPr>
      <t>概念资本</t>
    </r>
    <r>
      <rPr>
        <sz val="9"/>
        <color rgb="FF000000"/>
        <rFont val="Arial"/>
        <charset val="134"/>
      </rPr>
      <t>,</t>
    </r>
    <r>
      <rPr>
        <sz val="9"/>
        <color rgb="FF000000"/>
        <rFont val="楷体"/>
        <charset val="134"/>
      </rPr>
      <t>阿里巴巴创业者基金</t>
    </r>
  </si>
  <si>
    <r>
      <rPr>
        <sz val="9"/>
        <color rgb="FF000000"/>
        <rFont val="Arial"/>
        <charset val="134"/>
      </rPr>
      <t>1.27</t>
    </r>
    <r>
      <rPr>
        <sz val="9"/>
        <color rgb="FF000000"/>
        <rFont val="楷体"/>
        <charset val="134"/>
      </rPr>
      <t>亿</t>
    </r>
  </si>
  <si>
    <t>2016-02-28</t>
  </si>
  <si>
    <r>
      <rPr>
        <sz val="9"/>
        <color rgb="FF000000"/>
        <rFont val="Arial"/>
        <charset val="134"/>
      </rPr>
      <t>Golden Gate Ventures,MindWorks Ventures</t>
    </r>
    <r>
      <rPr>
        <sz val="9"/>
        <color rgb="FF000000"/>
        <rFont val="楷体"/>
        <charset val="134"/>
      </rPr>
      <t>概念资本</t>
    </r>
    <r>
      <rPr>
        <sz val="9"/>
        <color rgb="FF000000"/>
        <rFont val="Arial"/>
        <charset val="134"/>
      </rPr>
      <t>,Bluebell Group</t>
    </r>
  </si>
  <si>
    <r>
      <rPr>
        <sz val="9"/>
        <color rgb="FF000000"/>
        <rFont val="Arial"/>
        <charset val="134"/>
      </rPr>
      <t>Golden Gate Ventures,MindWorks Ventures</t>
    </r>
    <r>
      <rPr>
        <sz val="9"/>
        <color rgb="FF000000"/>
        <rFont val="楷体"/>
        <charset val="134"/>
      </rPr>
      <t>概念资本</t>
    </r>
  </si>
  <si>
    <t>NOSH外卖</t>
  </si>
  <si>
    <r>
      <rPr>
        <sz val="9"/>
        <color rgb="FF000000"/>
        <rFont val="Arial"/>
        <charset val="134"/>
      </rPr>
      <t>NOSH</t>
    </r>
    <r>
      <rPr>
        <sz val="9"/>
        <color rgb="FF000000"/>
        <rFont val="楷体"/>
        <charset val="134"/>
      </rPr>
      <t>外卖</t>
    </r>
  </si>
  <si>
    <r>
      <rPr>
        <sz val="9"/>
        <color rgb="FF000000"/>
        <rFont val="Arial"/>
        <charset val="134"/>
      </rPr>
      <t>NOSH</t>
    </r>
    <r>
      <rPr>
        <sz val="9"/>
        <color rgb="FF000000"/>
        <rFont val="楷体"/>
        <charset val="134"/>
      </rPr>
      <t>是一家来自香港的外卖品牌，主打新鲜、健康、送货上门，用户可以在家或公司都能享受健康美味餐饮。</t>
    </r>
  </si>
  <si>
    <t>http://www.nosh.hk/</t>
  </si>
  <si>
    <t xml:space="preserve"> +852 2388 1999</t>
  </si>
  <si>
    <t>kitchen@nosh.hk</t>
  </si>
  <si>
    <t>GetLinks</t>
  </si>
  <si>
    <r>
      <rPr>
        <sz val="9"/>
        <color rgb="FF000000"/>
        <rFont val="Arial"/>
        <charset val="134"/>
      </rPr>
      <t>GetLinks</t>
    </r>
    <r>
      <rPr>
        <sz val="9"/>
        <color rgb="FF000000"/>
        <rFont val="楷体"/>
        <charset val="134"/>
      </rPr>
      <t>是一家亚洲技术人才招聘平台，致力于帮助技术人才实现他们在亚洲技术公司和创业公司工作的梦想。目前</t>
    </r>
    <r>
      <rPr>
        <sz val="9"/>
        <color rgb="FF000000"/>
        <rFont val="Arial"/>
        <charset val="134"/>
      </rPr>
      <t>GetLinks</t>
    </r>
    <r>
      <rPr>
        <sz val="9"/>
        <color rgb="FF000000"/>
        <rFont val="楷体"/>
        <charset val="134"/>
      </rPr>
      <t>运营地区包括泰国、新加坡、越南，其软件的使用地还包括韩国和日本。</t>
    </r>
  </si>
  <si>
    <t>https://getlinks.co/</t>
  </si>
  <si>
    <r>
      <rPr>
        <sz val="9"/>
        <color rgb="FF000000"/>
        <rFont val="楷体"/>
        <charset val="134"/>
      </rPr>
      <t>阿里巴巴创业者基金</t>
    </r>
    <r>
      <rPr>
        <sz val="9"/>
        <color rgb="FF000000"/>
        <rFont val="Arial"/>
        <charset val="134"/>
      </rPr>
      <t>,SEEK Ltd.</t>
    </r>
  </si>
  <si>
    <r>
      <rPr>
        <sz val="9"/>
        <color rgb="FF000000"/>
        <rFont val="Arial"/>
        <charset val="134"/>
      </rPr>
      <t>4359.5</t>
    </r>
    <r>
      <rPr>
        <sz val="9"/>
        <color rgb="FF000000"/>
        <rFont val="楷体"/>
        <charset val="134"/>
      </rPr>
      <t>万</t>
    </r>
  </si>
  <si>
    <t>Djoann Fal:Group Strategy &amp; Corporate Development,Keenan Kwok:Group CEO,Pichaya Srifar:CTO, Co-Founder,Polpat Songthamjitti:Co-Founder and CMO,Rick Johannessen:Investor</t>
  </si>
  <si>
    <t>Axis Capital Partners,Wellesleys Partners</t>
  </si>
  <si>
    <r>
      <rPr>
        <sz val="9"/>
        <color rgb="FF000000"/>
        <rFont val="Arial"/>
        <charset val="134"/>
      </rPr>
      <t>50</t>
    </r>
    <r>
      <rPr>
        <sz val="9"/>
        <color rgb="FF000000"/>
        <rFont val="楷体"/>
        <charset val="134"/>
      </rPr>
      <t>万美元</t>
    </r>
  </si>
  <si>
    <r>
      <rPr>
        <sz val="9"/>
        <color rgb="FF000000"/>
        <rFont val="Arial"/>
        <charset val="134"/>
      </rPr>
      <t>CA</t>
    </r>
    <r>
      <rPr>
        <sz val="9"/>
        <color rgb="FF000000"/>
        <rFont val="楷体"/>
        <charset val="134"/>
      </rPr>
      <t>创投</t>
    </r>
    <r>
      <rPr>
        <sz val="9"/>
        <color rgb="FF000000"/>
        <rFont val="Arial"/>
        <charset val="134"/>
      </rPr>
      <t>,500 Startups</t>
    </r>
  </si>
  <si>
    <r>
      <rPr>
        <sz val="9"/>
        <color rgb="FF000000"/>
        <rFont val="Arial"/>
        <charset val="134"/>
      </rPr>
      <t>13</t>
    </r>
    <r>
      <rPr>
        <sz val="9"/>
        <color rgb="FF000000"/>
        <rFont val="楷体"/>
        <charset val="134"/>
      </rPr>
      <t>万美元</t>
    </r>
  </si>
  <si>
    <t>500 Startups</t>
  </si>
  <si>
    <t>2020-01-20</t>
  </si>
  <si>
    <t>AutoX</t>
  </si>
  <si>
    <r>
      <rPr>
        <sz val="9"/>
        <color rgb="FF000000"/>
        <rFont val="Arial"/>
        <charset val="134"/>
      </rPr>
      <t>AutoX</t>
    </r>
    <r>
      <rPr>
        <sz val="9"/>
        <color rgb="FF000000"/>
        <rFont val="楷体"/>
        <charset val="134"/>
      </rPr>
      <t>主要研发的方向是将人工智能技术应用在自动驾驶领域。他们目前的解决方案涵盖了环境感知、路径规划以及系统对机械的控制。仅使用摄像头就能实现车辆的自动驾驶，由于无需采用雷达、激光、超声或者特殊的导航设备，所以能够大量降低自动驾驶的实现成本。</t>
    </r>
  </si>
  <si>
    <t>https://www.autox.ai/</t>
  </si>
  <si>
    <t>2016-10</t>
  </si>
  <si>
    <r>
      <rPr>
        <sz val="9"/>
        <color rgb="FF000000"/>
        <rFont val="楷体"/>
        <charset val="134"/>
      </rPr>
      <t>深圳前海宏兆基金管理有限公司</t>
    </r>
    <r>
      <rPr>
        <sz val="9"/>
        <color rgb="FF000000"/>
        <rFont val="Arial"/>
        <charset val="134"/>
      </rPr>
      <t>,</t>
    </r>
    <r>
      <rPr>
        <sz val="9"/>
        <color rgb="FF000000"/>
        <rFont val="楷体"/>
        <charset val="134"/>
      </rPr>
      <t>潮汕资本</t>
    </r>
  </si>
  <si>
    <r>
      <rPr>
        <sz val="9"/>
        <color rgb="FF000000"/>
        <rFont val="楷体"/>
        <charset val="134"/>
      </rPr>
      <t>肖健雄</t>
    </r>
    <r>
      <rPr>
        <sz val="9"/>
        <color rgb="FF000000"/>
        <rFont val="Arial"/>
        <charset val="134"/>
      </rPr>
      <t>:</t>
    </r>
    <r>
      <rPr>
        <sz val="9"/>
        <color rgb="FF000000"/>
        <rFont val="楷体"/>
        <charset val="134"/>
      </rPr>
      <t>创始人</t>
    </r>
    <r>
      <rPr>
        <sz val="9"/>
        <color rgb="FF000000"/>
        <rFont val="Arial"/>
        <charset val="134"/>
      </rPr>
      <t>,Hugo Fozzati:Director, Business and Operations,Jewel Li:COO,Jianxiong Xiao:Founder and CEO,Stephanie Heinsohn:Operations Manager</t>
    </r>
  </si>
  <si>
    <t>2019-09-16</t>
  </si>
  <si>
    <r>
      <rPr>
        <sz val="9"/>
        <color rgb="FF000000"/>
        <rFont val="楷体"/>
        <charset val="134"/>
      </rPr>
      <t>戈壁创投</t>
    </r>
    <r>
      <rPr>
        <sz val="9"/>
        <color rgb="FF000000"/>
        <rFont val="Arial"/>
        <charset val="134"/>
      </rPr>
      <t>,</t>
    </r>
    <r>
      <rPr>
        <sz val="9"/>
        <color rgb="FF000000"/>
        <rFont val="楷体"/>
        <charset val="134"/>
      </rPr>
      <t>阿里巴巴创业者基金</t>
    </r>
    <r>
      <rPr>
        <sz val="9"/>
        <color rgb="FF000000"/>
        <rFont val="Arial"/>
        <charset val="134"/>
      </rPr>
      <t>,Plug and Play,</t>
    </r>
    <r>
      <rPr>
        <sz val="9"/>
        <color rgb="FF000000"/>
        <rFont val="楷体"/>
        <charset val="134"/>
      </rPr>
      <t>东风汽车</t>
    </r>
    <r>
      <rPr>
        <sz val="9"/>
        <color rgb="FF000000"/>
        <rFont val="Arial"/>
        <charset val="134"/>
      </rPr>
      <t>,</t>
    </r>
    <r>
      <rPr>
        <sz val="9"/>
        <color rgb="FF000000"/>
        <rFont val="楷体"/>
        <charset val="134"/>
      </rPr>
      <t>香港</t>
    </r>
    <r>
      <rPr>
        <sz val="9"/>
        <color rgb="FF000000"/>
        <rFont val="Arial"/>
        <charset val="134"/>
      </rPr>
      <t>HKSTP</t>
    </r>
    <r>
      <rPr>
        <sz val="9"/>
        <color rgb="FF000000"/>
        <rFont val="楷体"/>
        <charset val="134"/>
      </rPr>
      <t>科技发展基金</t>
    </r>
  </si>
  <si>
    <t>2019-04-10</t>
  </si>
  <si>
    <t>东风汽车</t>
  </si>
  <si>
    <r>
      <rPr>
        <sz val="9"/>
        <color rgb="FF000000"/>
        <rFont val="楷体"/>
        <charset val="134"/>
      </rPr>
      <t>今日资本</t>
    </r>
    <r>
      <rPr>
        <sz val="9"/>
        <color rgb="FF000000"/>
        <rFont val="Arial"/>
        <charset val="134"/>
      </rPr>
      <t>,</t>
    </r>
    <r>
      <rPr>
        <sz val="9"/>
        <color rgb="FF000000"/>
        <rFont val="楷体"/>
        <charset val="134"/>
      </rPr>
      <t>联发科</t>
    </r>
    <r>
      <rPr>
        <sz val="9"/>
        <color rgb="FF000000"/>
        <rFont val="Arial"/>
        <charset val="134"/>
      </rPr>
      <t>MTK,</t>
    </r>
    <r>
      <rPr>
        <sz val="9"/>
        <color rgb="FF000000"/>
        <rFont val="楷体"/>
        <charset val="134"/>
      </rPr>
      <t>上汽集团</t>
    </r>
  </si>
  <si>
    <r>
      <rPr>
        <sz val="9"/>
        <color rgb="FF000000"/>
        <rFont val="楷体"/>
        <charset val="134"/>
      </rPr>
      <t>真格基金</t>
    </r>
    <r>
      <rPr>
        <sz val="9"/>
        <color rgb="FF000000"/>
        <rFont val="Arial"/>
        <charset val="134"/>
      </rPr>
      <t>,</t>
    </r>
    <r>
      <rPr>
        <sz val="9"/>
        <color rgb="FF000000"/>
        <rFont val="楷体"/>
        <charset val="134"/>
      </rPr>
      <t>丹华资本</t>
    </r>
  </si>
  <si>
    <t>FunNow</t>
  </si>
  <si>
    <r>
      <rPr>
        <sz val="9"/>
        <color rgb="FF000000"/>
        <rFont val="Arial"/>
        <charset val="134"/>
      </rPr>
      <t>FunNow</t>
    </r>
    <r>
      <rPr>
        <sz val="9"/>
        <color rgb="FF000000"/>
        <rFont val="楷体"/>
        <charset val="134"/>
      </rPr>
      <t>是一款主打即时预订休闲娱乐</t>
    </r>
    <r>
      <rPr>
        <sz val="9"/>
        <color rgb="FF000000"/>
        <rFont val="Arial"/>
        <charset val="134"/>
      </rPr>
      <t>APP</t>
    </r>
    <r>
      <rPr>
        <sz val="9"/>
        <color rgb="FF000000"/>
        <rFont val="楷体"/>
        <charset val="134"/>
      </rPr>
      <t>，提供了十多种休闲娱乐产业服务，共有超过</t>
    </r>
    <r>
      <rPr>
        <sz val="9"/>
        <color rgb="FF000000"/>
        <rFont val="Arial"/>
        <charset val="134"/>
      </rPr>
      <t xml:space="preserve"> 20,000 </t>
    </r>
    <r>
      <rPr>
        <sz val="9"/>
        <color rgb="FF000000"/>
        <rFont val="楷体"/>
        <charset val="134"/>
      </rPr>
      <t>种即时预订服务选择，包含旅宿、泡汤、餐厅、酒吧、按摩等等。</t>
    </r>
  </si>
  <si>
    <t>https://www.myfunnow.com/</t>
  </si>
  <si>
    <r>
      <rPr>
        <sz val="9"/>
        <color rgb="FF000000"/>
        <rFont val="楷体"/>
        <charset val="134"/>
      </rPr>
      <t>中华开发</t>
    </r>
    <r>
      <rPr>
        <sz val="9"/>
        <color rgb="FF000000"/>
        <rFont val="Arial"/>
        <charset val="134"/>
      </rPr>
      <t>,Perfect Hexagon Commodity &amp; Investment Bank,Ascendo Ventures,PChome,KKday,Wistron,CDIB Capital,Darwin Ventures,Accuvest,Darwin Ventures</t>
    </r>
  </si>
  <si>
    <t>2018-08-14</t>
  </si>
  <si>
    <r>
      <rPr>
        <sz val="9"/>
        <color rgb="FF000000"/>
        <rFont val="楷体"/>
        <charset val="134"/>
      </rPr>
      <t>中华开发</t>
    </r>
    <r>
      <rPr>
        <sz val="9"/>
        <color rgb="FF000000"/>
        <rFont val="Arial"/>
        <charset val="134"/>
      </rPr>
      <t>,</t>
    </r>
    <r>
      <rPr>
        <sz val="9"/>
        <color rgb="FF000000"/>
        <rFont val="楷体"/>
        <charset val="134"/>
      </rPr>
      <t>阿里巴巴创业者基金</t>
    </r>
    <r>
      <rPr>
        <sz val="9"/>
        <color rgb="FF000000"/>
        <rFont val="Arial"/>
        <charset val="134"/>
      </rPr>
      <t>,Accuvest Global Advisors,Darwin Ventures</t>
    </r>
  </si>
  <si>
    <t>2017-06-15</t>
  </si>
  <si>
    <t>中华开发</t>
  </si>
  <si>
    <t>2015-12-10</t>
  </si>
  <si>
    <t>2018-03-20</t>
  </si>
  <si>
    <t>QooApp</t>
  </si>
  <si>
    <r>
      <rPr>
        <sz val="9"/>
        <color rgb="FF000000"/>
        <rFont val="Arial"/>
        <charset val="134"/>
      </rPr>
      <t>QooApp</t>
    </r>
    <r>
      <rPr>
        <sz val="9"/>
        <color rgb="FF000000"/>
        <rFont val="楷体"/>
        <charset val="134"/>
      </rPr>
      <t>是一个二次元游戏平台，为</t>
    </r>
    <r>
      <rPr>
        <sz val="9"/>
        <color rgb="FF000000"/>
        <rFont val="Arial"/>
        <charset val="134"/>
      </rPr>
      <t>ACG</t>
    </r>
    <r>
      <rPr>
        <sz val="9"/>
        <color rgb="FF000000"/>
        <rFont val="楷体"/>
        <charset val="134"/>
      </rPr>
      <t>爱好者提供一站式的服务。从精品游戏商店，最新动漫信息，到实时聊天群组，甚至创作连载漫画等。</t>
    </r>
  </si>
  <si>
    <t>酷社（深圳）科技有限公司</t>
  </si>
  <si>
    <t>https://corp.qoo-app.com/</t>
  </si>
  <si>
    <r>
      <rPr>
        <sz val="9"/>
        <color rgb="FF000000"/>
        <rFont val="楷体"/>
        <charset val="134"/>
      </rPr>
      <t>深圳市福田区福田街道深南大道</t>
    </r>
    <r>
      <rPr>
        <sz val="9"/>
        <color rgb="FF000000"/>
        <rFont val="Arial"/>
        <charset val="134"/>
      </rPr>
      <t>2001</t>
    </r>
    <r>
      <rPr>
        <sz val="9"/>
        <color rgb="FF000000"/>
        <rFont val="楷体"/>
        <charset val="134"/>
      </rPr>
      <t>号嘉麟豪庭</t>
    </r>
    <r>
      <rPr>
        <sz val="9"/>
        <color rgb="FF000000"/>
        <rFont val="Arial"/>
        <charset val="134"/>
      </rPr>
      <t>C</t>
    </r>
    <r>
      <rPr>
        <sz val="9"/>
        <color rgb="FF000000"/>
        <rFont val="楷体"/>
        <charset val="134"/>
      </rPr>
      <t>座</t>
    </r>
    <r>
      <rPr>
        <sz val="9"/>
        <color rgb="FF000000"/>
        <rFont val="Arial"/>
        <charset val="134"/>
      </rPr>
      <t>2104</t>
    </r>
  </si>
  <si>
    <t>bd@qoo-app.com</t>
  </si>
  <si>
    <t>2022-07-11</t>
  </si>
  <si>
    <t>AsiaYo</t>
  </si>
  <si>
    <r>
      <rPr>
        <sz val="9"/>
        <color rgb="FF000000"/>
        <rFont val="Arial"/>
        <charset val="134"/>
      </rPr>
      <t>AsiaYo</t>
    </r>
    <r>
      <rPr>
        <sz val="9"/>
        <color rgb="FF000000"/>
        <rFont val="楷体"/>
        <charset val="134"/>
      </rPr>
      <t>是一家台湾民宿租赁平台，打造「订房向导」，提供多语系的客服与多元的联系管道。</t>
    </r>
    <r>
      <rPr>
        <sz val="9"/>
        <color rgb="FF000000"/>
        <rFont val="Arial"/>
        <charset val="134"/>
      </rPr>
      <t xml:space="preserve">
</t>
    </r>
  </si>
  <si>
    <t>https://www.asiayo.com/zh-tw/</t>
  </si>
  <si>
    <r>
      <rPr>
        <sz val="9"/>
        <color rgb="FF000000"/>
        <rFont val="楷体"/>
        <charset val="134"/>
      </rPr>
      <t>阿里巴巴创业者基金</t>
    </r>
    <r>
      <rPr>
        <sz val="9"/>
        <color rgb="FF000000"/>
        <rFont val="Arial"/>
        <charset val="134"/>
      </rPr>
      <t>,KLOOK</t>
    </r>
    <r>
      <rPr>
        <sz val="9"/>
        <color rgb="FF000000"/>
        <rFont val="楷体"/>
        <charset val="134"/>
      </rPr>
      <t>客路旅行</t>
    </r>
    <r>
      <rPr>
        <sz val="9"/>
        <color rgb="FF000000"/>
        <rFont val="Arial"/>
        <charset val="134"/>
      </rPr>
      <t>,</t>
    </r>
    <r>
      <rPr>
        <sz val="9"/>
        <color rgb="FF000000"/>
        <rFont val="楷体"/>
        <charset val="134"/>
      </rPr>
      <t>雄狮旅游</t>
    </r>
  </si>
  <si>
    <r>
      <rPr>
        <sz val="9"/>
        <color rgb="FF000000"/>
        <rFont val="Arial"/>
        <charset val="134"/>
      </rPr>
      <t>4.0625</t>
    </r>
    <r>
      <rPr>
        <sz val="9"/>
        <color rgb="FF000000"/>
        <rFont val="楷体"/>
        <charset val="134"/>
      </rPr>
      <t>亿元</t>
    </r>
  </si>
  <si>
    <r>
      <rPr>
        <sz val="9"/>
        <color rgb="FF000000"/>
        <rFont val="楷体"/>
        <charset val="134"/>
      </rPr>
      <t>郑兆刚</t>
    </r>
    <r>
      <rPr>
        <sz val="9"/>
        <color rgb="FF000000"/>
        <rFont val="Arial"/>
        <charset val="134"/>
      </rPr>
      <t>:</t>
    </r>
    <r>
      <rPr>
        <sz val="9"/>
        <color rgb="FF000000"/>
        <rFont val="楷体"/>
        <charset val="134"/>
      </rPr>
      <t>创始人</t>
    </r>
  </si>
  <si>
    <t>2018-12-06</t>
  </si>
  <si>
    <r>
      <rPr>
        <sz val="9"/>
        <color rgb="FF000000"/>
        <rFont val="楷体"/>
        <charset val="134"/>
      </rPr>
      <t>阿里巴巴创业者基金</t>
    </r>
    <r>
      <rPr>
        <sz val="9"/>
        <color rgb="FF000000"/>
        <rFont val="Arial"/>
        <charset val="134"/>
      </rPr>
      <t>,</t>
    </r>
    <r>
      <rPr>
        <sz val="9"/>
        <color rgb="FF000000"/>
        <rFont val="楷体"/>
        <charset val="134"/>
      </rPr>
      <t>台达资本</t>
    </r>
    <r>
      <rPr>
        <sz val="9"/>
        <color rgb="FF000000"/>
        <rFont val="Arial"/>
        <charset val="134"/>
      </rPr>
      <t>,</t>
    </r>
    <r>
      <rPr>
        <sz val="9"/>
        <color rgb="FF000000"/>
        <rFont val="楷体"/>
        <charset val="134"/>
      </rPr>
      <t>达盈管理顾问</t>
    </r>
    <r>
      <rPr>
        <sz val="9"/>
        <color rgb="FF000000"/>
        <rFont val="Arial"/>
        <charset val="134"/>
      </rPr>
      <t>,</t>
    </r>
    <r>
      <rPr>
        <sz val="9"/>
        <color rgb="FF000000"/>
        <rFont val="楷体"/>
        <charset val="134"/>
      </rPr>
      <t>中华开发创新加速器</t>
    </r>
  </si>
  <si>
    <t>2016-01-01</t>
  </si>
  <si>
    <t>2021-03-25</t>
  </si>
  <si>
    <t>视动智能 viAct.ai</t>
  </si>
  <si>
    <r>
      <rPr>
        <sz val="9"/>
        <color rgb="FF000000"/>
        <rFont val="楷体"/>
        <charset val="134"/>
      </rPr>
      <t>视动智能</t>
    </r>
    <r>
      <rPr>
        <sz val="9"/>
        <color rgb="FF000000"/>
        <rFont val="Arial"/>
        <charset val="134"/>
      </rPr>
      <t xml:space="preserve"> viAct.ai</t>
    </r>
  </si>
  <si>
    <r>
      <rPr>
        <sz val="9"/>
        <color rgb="FF000000"/>
        <rFont val="楷体"/>
        <charset val="134"/>
      </rPr>
      <t>视动智能</t>
    </r>
    <r>
      <rPr>
        <sz val="9"/>
        <color rgb="FF000000"/>
        <rFont val="Arial"/>
        <charset val="134"/>
      </rPr>
      <t>viAct.ai</t>
    </r>
    <r>
      <rPr>
        <sz val="9"/>
        <color rgb="FF000000"/>
        <rFont val="楷体"/>
        <charset val="134"/>
      </rPr>
      <t>是一个建筑云视频监控平台，为建筑业企业开发专用的计算机视觉引擎，一站式人工智能平台，实时检测施工现场设备、车辆及工人的安全故障、资源分配和生产效率等关键因素，其研发的云端设备能根据从摄像头和移动应用程序中获取的视频和图片信息进行实时数据分析，生产深度检测报告，从而自动化现场监测和管理流程。</t>
    </r>
  </si>
  <si>
    <t>https://www.viact.ai/</t>
  </si>
  <si>
    <t>建筑建材</t>
  </si>
  <si>
    <r>
      <rPr>
        <sz val="9"/>
        <color rgb="FF000000"/>
        <rFont val="Arial"/>
        <charset val="134"/>
      </rPr>
      <t>Artesian Capital Management,</t>
    </r>
    <r>
      <rPr>
        <sz val="9"/>
        <color rgb="FF000000"/>
        <rFont val="楷体"/>
        <charset val="134"/>
      </rPr>
      <t>阿里巴巴创业者基金</t>
    </r>
    <r>
      <rPr>
        <sz val="9"/>
        <color rgb="FF000000"/>
        <rFont val="Arial"/>
        <charset val="134"/>
      </rPr>
      <t>,Orbit Startups,Vectr Ventures,ParticleX</t>
    </r>
  </si>
  <si>
    <r>
      <rPr>
        <sz val="9"/>
        <color rgb="FF000000"/>
        <rFont val="Arial"/>
        <charset val="134"/>
      </rPr>
      <t>1497.5</t>
    </r>
    <r>
      <rPr>
        <sz val="9"/>
        <color rgb="FF000000"/>
        <rFont val="楷体"/>
        <charset val="134"/>
      </rPr>
      <t>万</t>
    </r>
  </si>
  <si>
    <r>
      <rPr>
        <sz val="9"/>
        <color rgb="FF000000"/>
        <rFont val="楷体"/>
        <charset val="134"/>
      </rPr>
      <t>伍震驱</t>
    </r>
    <r>
      <rPr>
        <sz val="9"/>
        <color rgb="FF000000"/>
        <rFont val="Arial"/>
        <charset val="134"/>
      </rPr>
      <t>:CEO</t>
    </r>
    <r>
      <rPr>
        <sz val="9"/>
        <color rgb="FF000000"/>
        <rFont val="楷体"/>
        <charset val="134"/>
      </rPr>
      <t>兼创始人</t>
    </r>
  </si>
  <si>
    <t>0852-9125-3390</t>
  </si>
  <si>
    <t>gary.ng@viact.ai</t>
  </si>
  <si>
    <t>2020-03-02</t>
  </si>
  <si>
    <r>
      <rPr>
        <sz val="9"/>
        <color rgb="FF000000"/>
        <rFont val="楷体"/>
        <charset val="134"/>
      </rPr>
      <t>中国加速</t>
    </r>
    <r>
      <rPr>
        <sz val="9"/>
        <color rgb="FF000000"/>
        <rFont val="Arial"/>
        <charset val="134"/>
      </rPr>
      <t>Chinaccelerator,Orbit Startups,HKAILAB</t>
    </r>
  </si>
  <si>
    <t>2019-09-19</t>
  </si>
  <si>
    <r>
      <rPr>
        <sz val="9"/>
        <color rgb="FF000000"/>
        <rFont val="Arial"/>
        <charset val="134"/>
      </rPr>
      <t>15</t>
    </r>
    <r>
      <rPr>
        <sz val="9"/>
        <color rgb="FF000000"/>
        <rFont val="楷体"/>
        <charset val="134"/>
      </rPr>
      <t>万美元</t>
    </r>
  </si>
  <si>
    <r>
      <rPr>
        <sz val="9"/>
        <color rgb="FF000000"/>
        <rFont val="楷体"/>
        <charset val="134"/>
      </rPr>
      <t>中国加速</t>
    </r>
    <r>
      <rPr>
        <sz val="9"/>
        <color rgb="FF000000"/>
        <rFont val="Arial"/>
        <charset val="134"/>
      </rPr>
      <t>Chinaccelerator,Orbit Startups</t>
    </r>
  </si>
  <si>
    <t>2019-11-22</t>
  </si>
  <si>
    <t>Lynk</t>
  </si>
  <si>
    <r>
      <rPr>
        <sz val="9"/>
        <color rgb="FF000000"/>
        <rFont val="Arial"/>
        <charset val="134"/>
      </rPr>
      <t>Lynk</t>
    </r>
    <r>
      <rPr>
        <sz val="9"/>
        <color rgb="FF000000"/>
        <rFont val="楷体"/>
        <charset val="134"/>
      </rPr>
      <t>是一个全球</t>
    </r>
    <r>
      <rPr>
        <sz val="9"/>
        <color rgb="FF000000"/>
        <rFont val="Arial"/>
        <charset val="134"/>
      </rPr>
      <t>“</t>
    </r>
    <r>
      <rPr>
        <sz val="9"/>
        <color rgb="FF000000"/>
        <rFont val="楷体"/>
        <charset val="134"/>
      </rPr>
      <t>知识即服务</t>
    </r>
    <r>
      <rPr>
        <sz val="9"/>
        <color rgb="FF000000"/>
        <rFont val="Arial"/>
        <charset val="134"/>
      </rPr>
      <t>”</t>
    </r>
    <r>
      <rPr>
        <sz val="9"/>
        <color rgb="FF000000"/>
        <rFont val="楷体"/>
        <charset val="134"/>
      </rPr>
      <t>平台，这使客户可以从顾问那里获得专业知识和见解，以进行创新、进入新市场并快速了解业务风险并评估机会。与其他专家访问产品不同，</t>
    </r>
    <r>
      <rPr>
        <sz val="9"/>
        <color rgb="FF000000"/>
        <rFont val="Arial"/>
        <charset val="134"/>
      </rPr>
      <t>Lynk</t>
    </r>
    <r>
      <rPr>
        <sz val="9"/>
        <color rgb="FF000000"/>
        <rFont val="楷体"/>
        <charset val="134"/>
      </rPr>
      <t>专注于其</t>
    </r>
    <r>
      <rPr>
        <sz val="9"/>
        <color rgb="FF000000"/>
        <rFont val="Arial"/>
        <charset val="134"/>
      </rPr>
      <t>KaaS</t>
    </r>
    <r>
      <rPr>
        <sz val="9"/>
        <color rgb="FF000000"/>
        <rFont val="楷体"/>
        <charset val="134"/>
      </rPr>
      <t>技术平台，该平台利用自然语言处理、对话式人工智能分析以及人机共生机器学习功能，可以大规模地获取和共享专家知识。</t>
    </r>
  </si>
  <si>
    <t>https://lynk.global/en/</t>
  </si>
  <si>
    <r>
      <rPr>
        <sz val="9"/>
        <color rgb="FF000000"/>
        <rFont val="楷体"/>
        <charset val="134"/>
      </rPr>
      <t>戈壁创投</t>
    </r>
    <r>
      <rPr>
        <sz val="9"/>
        <color rgb="FF000000"/>
        <rFont val="Arial"/>
        <charset val="134"/>
      </rPr>
      <t>,</t>
    </r>
    <r>
      <rPr>
        <sz val="9"/>
        <color rgb="FF000000"/>
        <rFont val="楷体"/>
        <charset val="134"/>
      </rPr>
      <t>阿里巴巴创业者基金</t>
    </r>
    <r>
      <rPr>
        <sz val="9"/>
        <color rgb="FF000000"/>
        <rFont val="Arial"/>
        <charset val="134"/>
      </rPr>
      <t>,Wavemaker Partners,MMV SEA</t>
    </r>
  </si>
  <si>
    <r>
      <rPr>
        <sz val="9"/>
        <color rgb="FF000000"/>
        <rFont val="Arial"/>
        <charset val="134"/>
      </rPr>
      <t>1.77</t>
    </r>
    <r>
      <rPr>
        <sz val="9"/>
        <color rgb="FF000000"/>
        <rFont val="楷体"/>
        <charset val="134"/>
      </rPr>
      <t>亿</t>
    </r>
  </si>
  <si>
    <t>852-3905-2001</t>
  </si>
  <si>
    <t>hi@lynkpeople.com</t>
  </si>
  <si>
    <t>2018-01-22</t>
  </si>
  <si>
    <t>Wavemaker Partners</t>
  </si>
  <si>
    <t>2017-04-26</t>
  </si>
  <si>
    <t>Wavemaker Partners,CRE Venture Capital,Cyberport Hong Kong,Zhuhai Da Heng Qin,Hong Leong Group</t>
  </si>
  <si>
    <t>2017-01-26</t>
  </si>
  <si>
    <t>Click Ventures</t>
  </si>
  <si>
    <t>2015-07-27</t>
  </si>
  <si>
    <t>Carman Chan</t>
  </si>
  <si>
    <t>Cloudbreakr</t>
  </si>
  <si>
    <r>
      <rPr>
        <sz val="9"/>
        <color rgb="FF000000"/>
        <rFont val="Arial"/>
        <charset val="134"/>
      </rPr>
      <t>Cloudbreakr</t>
    </r>
    <r>
      <rPr>
        <sz val="9"/>
        <color rgb="FF000000"/>
        <rFont val="楷体"/>
        <charset val="134"/>
      </rPr>
      <t>是一个媒体数据分析平台，通过大数据及</t>
    </r>
    <r>
      <rPr>
        <sz val="9"/>
        <color rgb="FF000000"/>
        <rFont val="Arial"/>
        <charset val="134"/>
      </rPr>
      <t>AI</t>
    </r>
    <r>
      <rPr>
        <sz val="9"/>
        <color rgb="FF000000"/>
        <rFont val="楷体"/>
        <charset val="134"/>
      </rPr>
      <t>分析软件，帮助客户捕捉网络热话、制定策略，并为品牌客户及网红提供合作机会。</t>
    </r>
  </si>
  <si>
    <t>https://cloudbreakr.com/</t>
  </si>
  <si>
    <r>
      <rPr>
        <sz val="9"/>
        <color rgb="FF000000"/>
        <rFont val="Arial"/>
        <charset val="134"/>
      </rPr>
      <t>1000</t>
    </r>
    <r>
      <rPr>
        <sz val="9"/>
        <color rgb="FF000000"/>
        <rFont val="楷体"/>
        <charset val="134"/>
      </rPr>
      <t>万港元</t>
    </r>
  </si>
  <si>
    <r>
      <rPr>
        <sz val="9"/>
        <color rgb="FF000000"/>
        <rFont val="楷体"/>
        <charset val="134"/>
      </rPr>
      <t>阿里巴巴创业者基金</t>
    </r>
    <r>
      <rPr>
        <sz val="9"/>
        <color rgb="FF000000"/>
        <rFont val="Arial"/>
        <charset val="134"/>
      </rPr>
      <t>,</t>
    </r>
    <r>
      <rPr>
        <sz val="9"/>
        <color rgb="FF000000"/>
        <rFont val="楷体"/>
        <charset val="134"/>
      </rPr>
      <t>香港</t>
    </r>
    <r>
      <rPr>
        <sz val="9"/>
        <color rgb="FF000000"/>
        <rFont val="Arial"/>
        <charset val="134"/>
      </rPr>
      <t>X</t>
    </r>
    <r>
      <rPr>
        <sz val="9"/>
        <color rgb="FF000000"/>
        <rFont val="楷体"/>
        <charset val="134"/>
      </rPr>
      <t>科技基金</t>
    </r>
    <r>
      <rPr>
        <sz val="9"/>
        <color rgb="FF000000"/>
        <rFont val="Arial"/>
        <charset val="134"/>
      </rPr>
      <t>,Mahagitsiri,Beyond Ventures</t>
    </r>
  </si>
  <si>
    <r>
      <rPr>
        <sz val="9"/>
        <color rgb="FF000000"/>
        <rFont val="Arial"/>
        <charset val="134"/>
      </rPr>
      <t>800</t>
    </r>
    <r>
      <rPr>
        <sz val="9"/>
        <color rgb="FF000000"/>
        <rFont val="楷体"/>
        <charset val="134"/>
      </rPr>
      <t>万</t>
    </r>
  </si>
  <si>
    <r>
      <rPr>
        <sz val="9"/>
        <color rgb="FF000000"/>
        <rFont val="Arial"/>
        <charset val="134"/>
      </rPr>
      <t>4000</t>
    </r>
    <r>
      <rPr>
        <sz val="9"/>
        <color rgb="FF000000"/>
        <rFont val="楷体"/>
        <charset val="134"/>
      </rPr>
      <t>万元</t>
    </r>
  </si>
  <si>
    <t>2020-10-22</t>
  </si>
  <si>
    <t>弘量科技</t>
  </si>
  <si>
    <r>
      <rPr>
        <sz val="9"/>
        <color rgb="FF000000"/>
        <rFont val="楷体"/>
        <charset val="134"/>
      </rPr>
      <t>弘量科技是一家数字化财富管理和资产管理服务商，致力于数字化财富管理和资产管理的的全新浪潮。在亚洲</t>
    </r>
    <r>
      <rPr>
        <sz val="9"/>
        <color rgb="FF000000"/>
        <rFont val="Arial"/>
        <charset val="134"/>
      </rPr>
      <t>45</t>
    </r>
    <r>
      <rPr>
        <sz val="9"/>
        <color rgb="FF000000"/>
        <rFont val="楷体"/>
        <charset val="134"/>
      </rPr>
      <t>万亿财富管理的巨大市场转型中，自动化和算法投资将扮演无比重要的角色，改变金融服务链条的业态，大幅降低门槛，同时为投资人带来真正的长期收益。</t>
    </r>
  </si>
  <si>
    <t>弘量（深圳）智能科技有限公司</t>
  </si>
  <si>
    <t>http://www.hongliangtech.com</t>
  </si>
  <si>
    <r>
      <rPr>
        <sz val="9"/>
        <color rgb="FF000000"/>
        <rFont val="楷体"/>
        <charset val="134"/>
      </rPr>
      <t>联想创投</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郑和资本</t>
    </r>
    <r>
      <rPr>
        <sz val="9"/>
        <color rgb="FF000000"/>
        <rFont val="Arial"/>
        <charset val="134"/>
      </rPr>
      <t>,</t>
    </r>
    <r>
      <rPr>
        <sz val="9"/>
        <color rgb="FF000000"/>
        <rFont val="楷体"/>
        <charset val="134"/>
      </rPr>
      <t>永隆银行</t>
    </r>
    <r>
      <rPr>
        <sz val="9"/>
        <color rgb="FF000000"/>
        <rFont val="Arial"/>
        <charset val="134"/>
      </rPr>
      <t>,</t>
    </r>
    <r>
      <rPr>
        <sz val="9"/>
        <color rgb="FF000000"/>
        <rFont val="楷体"/>
        <charset val="134"/>
      </rPr>
      <t>香港政府旗下数码港</t>
    </r>
  </si>
  <si>
    <r>
      <rPr>
        <sz val="9"/>
        <color rgb="FF000000"/>
        <rFont val="Arial"/>
        <charset val="134"/>
      </rPr>
      <t>2.65</t>
    </r>
    <r>
      <rPr>
        <sz val="9"/>
        <color rgb="FF000000"/>
        <rFont val="楷体"/>
        <charset val="134"/>
      </rPr>
      <t>亿</t>
    </r>
  </si>
  <si>
    <r>
      <rPr>
        <sz val="9"/>
        <color rgb="FF000000"/>
        <rFont val="楷体"/>
        <charset val="134"/>
      </rPr>
      <t>韦家谟</t>
    </r>
    <r>
      <rPr>
        <sz val="9"/>
        <color rgb="FF000000"/>
        <rFont val="Arial"/>
        <charset val="134"/>
      </rPr>
      <t>:CEO</t>
    </r>
  </si>
  <si>
    <t>0755-8656-3394</t>
  </si>
  <si>
    <t>1240022549@qq.com</t>
  </si>
  <si>
    <r>
      <rPr>
        <sz val="9"/>
        <color rgb="FF000000"/>
        <rFont val="楷体"/>
        <charset val="134"/>
      </rPr>
      <t>联想创投</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永隆银行</t>
    </r>
    <r>
      <rPr>
        <sz val="9"/>
        <color rgb="FF000000"/>
        <rFont val="Arial"/>
        <charset val="134"/>
      </rPr>
      <t>,</t>
    </r>
    <r>
      <rPr>
        <sz val="9"/>
        <color rgb="FF000000"/>
        <rFont val="楷体"/>
        <charset val="134"/>
      </rPr>
      <t>香港政府旗下数码港</t>
    </r>
    <r>
      <rPr>
        <sz val="9"/>
        <color rgb="FF000000"/>
        <rFont val="Arial"/>
        <charset val="134"/>
      </rPr>
      <t>,Plaxo</t>
    </r>
  </si>
  <si>
    <r>
      <rPr>
        <sz val="9"/>
        <color rgb="FF000000"/>
        <rFont val="楷体"/>
        <charset val="134"/>
      </rPr>
      <t>阿里巴巴创业者基金</t>
    </r>
    <r>
      <rPr>
        <sz val="9"/>
        <color rgb="FF000000"/>
        <rFont val="Arial"/>
        <charset val="134"/>
      </rPr>
      <t xml:space="preserve">,Bohai XingWang, L.P. </t>
    </r>
  </si>
  <si>
    <t>2018-12-01</t>
  </si>
  <si>
    <t>攒局家</t>
  </si>
  <si>
    <r>
      <rPr>
        <sz val="9"/>
        <color rgb="FF000000"/>
        <rFont val="楷体"/>
        <charset val="134"/>
      </rPr>
      <t>攒局家是一个垂直覆盖卡座与票务的销售平台，为全国超过</t>
    </r>
    <r>
      <rPr>
        <sz val="9"/>
        <color rgb="FF000000"/>
        <rFont val="Arial"/>
        <charset val="134"/>
      </rPr>
      <t>2000</t>
    </r>
    <r>
      <rPr>
        <sz val="9"/>
        <color rgb="FF000000"/>
        <rFont val="楷体"/>
        <charset val="134"/>
      </rPr>
      <t>亿的夜店市场、卡座酒水、电音演出现场服务，集成活动发布及推广、门票与卡座预定、会员管理以及现场管理等功能；满足以新一代年轻人拼卡、攒局的消费需求和社交需求，为用户带来全面化的消费体验以及为俱乐部带来营收。</t>
    </r>
  </si>
  <si>
    <t>北京攒局家文化传媒有限公司</t>
  </si>
  <si>
    <t>http://www.cuanjujia.net/</t>
  </si>
  <si>
    <r>
      <rPr>
        <sz val="9"/>
        <color rgb="FF000000"/>
        <rFont val="楷体"/>
        <charset val="134"/>
      </rPr>
      <t>泰有投资</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天使投资人</t>
    </r>
  </si>
  <si>
    <r>
      <rPr>
        <sz val="9"/>
        <color rgb="FF000000"/>
        <rFont val="楷体"/>
        <charset val="134"/>
      </rPr>
      <t>王哲</t>
    </r>
    <r>
      <rPr>
        <sz val="9"/>
        <color rgb="FF000000"/>
        <rFont val="Arial"/>
        <charset val="134"/>
      </rPr>
      <t>:CEO</t>
    </r>
  </si>
  <si>
    <r>
      <rPr>
        <sz val="9"/>
        <color rgb="FF000000"/>
        <rFont val="楷体"/>
        <charset val="134"/>
      </rPr>
      <t>北京市大兴区旧桥路</t>
    </r>
    <r>
      <rPr>
        <sz val="9"/>
        <color rgb="FF000000"/>
        <rFont val="Arial"/>
        <charset val="134"/>
      </rPr>
      <t>25</t>
    </r>
    <r>
      <rPr>
        <sz val="9"/>
        <color rgb="FF000000"/>
        <rFont val="楷体"/>
        <charset val="134"/>
      </rPr>
      <t>号院</t>
    </r>
    <r>
      <rPr>
        <sz val="9"/>
        <color rgb="FF000000"/>
        <rFont val="Arial"/>
        <charset val="134"/>
      </rPr>
      <t>11</t>
    </r>
    <r>
      <rPr>
        <sz val="9"/>
        <color rgb="FF000000"/>
        <rFont val="楷体"/>
        <charset val="134"/>
      </rPr>
      <t>号楼</t>
    </r>
    <r>
      <rPr>
        <sz val="9"/>
        <color rgb="FF000000"/>
        <rFont val="Arial"/>
        <charset val="134"/>
      </rPr>
      <t>17</t>
    </r>
    <r>
      <rPr>
        <sz val="9"/>
        <color rgb="FF000000"/>
        <rFont val="楷体"/>
        <charset val="134"/>
      </rPr>
      <t>层</t>
    </r>
    <r>
      <rPr>
        <sz val="9"/>
        <color rgb="FF000000"/>
        <rFont val="Arial"/>
        <charset val="134"/>
      </rPr>
      <t>1703</t>
    </r>
  </si>
  <si>
    <t>185-1555-5002</t>
  </si>
  <si>
    <t>874772019@qq.com</t>
  </si>
  <si>
    <t>2020-04-02</t>
  </si>
  <si>
    <t>2018-11-12</t>
  </si>
  <si>
    <t>2020-05-07</t>
  </si>
  <si>
    <t>寰科创新</t>
  </si>
  <si>
    <r>
      <rPr>
        <sz val="9"/>
        <color rgb="FF000000"/>
        <rFont val="楷体"/>
        <charset val="134"/>
      </rPr>
      <t>寰科创新是一家绿色新材料研发商，致力于利用其独有的绿色复合材料（</t>
    </r>
    <r>
      <rPr>
        <sz val="9"/>
        <color rgb="FF000000"/>
        <rFont val="Arial"/>
        <charset val="134"/>
      </rPr>
      <t>GCM™</t>
    </r>
    <r>
      <rPr>
        <sz val="9"/>
        <color rgb="FF000000"/>
        <rFont val="楷体"/>
        <charset val="134"/>
      </rPr>
      <t>）开发多种类别的消费包装产品，该复合材料来自天然植物纤维，使用</t>
    </r>
    <r>
      <rPr>
        <sz val="9"/>
        <color rgb="FF000000"/>
        <rFont val="Arial"/>
        <charset val="134"/>
      </rPr>
      <t>Ecoinno</t>
    </r>
    <r>
      <rPr>
        <sz val="9"/>
        <color rgb="FF000000"/>
        <rFont val="楷体"/>
        <charset val="134"/>
      </rPr>
      <t>寰科创新先进专利技术加工而成。</t>
    </r>
  </si>
  <si>
    <t>新材料</t>
  </si>
  <si>
    <r>
      <rPr>
        <sz val="9"/>
        <color rgb="FF000000"/>
        <rFont val="Arial"/>
        <charset val="134"/>
      </rPr>
      <t>5000</t>
    </r>
    <r>
      <rPr>
        <sz val="9"/>
        <color rgb="FF000000"/>
        <rFont val="楷体"/>
        <charset val="134"/>
      </rPr>
      <t>万港元</t>
    </r>
  </si>
  <si>
    <t>WeLab汇立集团</t>
  </si>
  <si>
    <r>
      <rPr>
        <sz val="9"/>
        <color rgb="FF000000"/>
        <rFont val="Arial"/>
        <charset val="134"/>
      </rPr>
      <t>WeLab</t>
    </r>
    <r>
      <rPr>
        <sz val="9"/>
        <color rgb="FF000000"/>
        <rFont val="楷体"/>
        <charset val="134"/>
      </rPr>
      <t>汇立集团</t>
    </r>
  </si>
  <si>
    <r>
      <rPr>
        <sz val="9"/>
        <color rgb="FF000000"/>
        <rFont val="Arial"/>
        <charset val="134"/>
      </rPr>
      <t>WeLab</t>
    </r>
    <r>
      <rPr>
        <sz val="9"/>
        <color rgb="FF000000"/>
        <rFont val="楷体"/>
        <charset val="134"/>
      </rPr>
      <t>旗下在三地市场拥有八大品牌：在中国香港拥有纯线上贷款先锋</t>
    </r>
    <r>
      <rPr>
        <sz val="9"/>
        <color rgb="FF000000"/>
        <rFont val="Arial"/>
        <charset val="134"/>
      </rPr>
      <t>“WeLend”</t>
    </r>
    <r>
      <rPr>
        <sz val="9"/>
        <color rgb="FF000000"/>
        <rFont val="楷体"/>
        <charset val="134"/>
      </rPr>
      <t>和虚拟银行</t>
    </r>
    <r>
      <rPr>
        <sz val="9"/>
        <color rgb="FF000000"/>
        <rFont val="Arial"/>
        <charset val="134"/>
      </rPr>
      <t>“WeLab Bank</t>
    </r>
    <r>
      <rPr>
        <sz val="9"/>
        <color rgb="FF000000"/>
        <rFont val="楷体"/>
        <charset val="134"/>
      </rPr>
      <t>（汇立银行）</t>
    </r>
    <r>
      <rPr>
        <sz val="9"/>
        <color rgb="FF000000"/>
        <rFont val="Arial"/>
        <charset val="134"/>
      </rPr>
      <t>”</t>
    </r>
    <r>
      <rPr>
        <sz val="9"/>
        <color rgb="FF000000"/>
        <rFont val="楷体"/>
        <charset val="134"/>
      </rPr>
      <t>。中国内地品牌包括纯线上金融科技平台</t>
    </r>
    <r>
      <rPr>
        <sz val="9"/>
        <color rgb="FF000000"/>
        <rFont val="Arial"/>
        <charset val="134"/>
      </rPr>
      <t>“</t>
    </r>
    <r>
      <rPr>
        <sz val="9"/>
        <color rgb="FF000000"/>
        <rFont val="楷体"/>
        <charset val="134"/>
      </rPr>
      <t>我来数科</t>
    </r>
    <r>
      <rPr>
        <sz val="9"/>
        <color rgb="FF000000"/>
        <rFont val="Arial"/>
        <charset val="134"/>
      </rPr>
      <t>”</t>
    </r>
    <r>
      <rPr>
        <sz val="9"/>
        <color rgb="FF000000"/>
        <rFont val="楷体"/>
        <charset val="134"/>
      </rPr>
      <t>、新锐租赁品牌</t>
    </r>
    <r>
      <rPr>
        <sz val="9"/>
        <color rgb="FF000000"/>
        <rFont val="Arial"/>
        <charset val="134"/>
      </rPr>
      <t>“</t>
    </r>
    <r>
      <rPr>
        <sz val="9"/>
        <color rgb="FF000000"/>
        <rFont val="楷体"/>
        <charset val="134"/>
      </rPr>
      <t>淘新机</t>
    </r>
    <r>
      <rPr>
        <sz val="9"/>
        <color rgb="FF000000"/>
        <rFont val="Arial"/>
        <charset val="134"/>
      </rPr>
      <t>”</t>
    </r>
    <r>
      <rPr>
        <sz val="9"/>
        <color rgb="FF000000"/>
        <rFont val="楷体"/>
        <charset val="134"/>
      </rPr>
      <t>、</t>
    </r>
    <r>
      <rPr>
        <sz val="9"/>
        <color rgb="FF000000"/>
        <rFont val="Arial"/>
        <charset val="134"/>
      </rPr>
      <t xml:space="preserve"> </t>
    </r>
    <r>
      <rPr>
        <sz val="9"/>
        <color rgb="FF000000"/>
        <rFont val="楷体"/>
        <charset val="134"/>
      </rPr>
      <t>全场景支付与智慧电子钱包</t>
    </r>
    <r>
      <rPr>
        <sz val="9"/>
        <color rgb="FF000000"/>
        <rFont val="Arial"/>
        <charset val="134"/>
      </rPr>
      <t>“</t>
    </r>
    <r>
      <rPr>
        <sz val="9"/>
        <color rgb="FF000000"/>
        <rFont val="楷体"/>
        <charset val="134"/>
      </rPr>
      <t>钱夹谷谷</t>
    </r>
    <r>
      <rPr>
        <sz val="9"/>
        <color rgb="FF000000"/>
        <rFont val="Arial"/>
        <charset val="134"/>
      </rPr>
      <t>”</t>
    </r>
    <r>
      <rPr>
        <sz val="9"/>
        <color rgb="FF000000"/>
        <rFont val="楷体"/>
        <charset val="134"/>
      </rPr>
      <t>。一站式金融科技服务商</t>
    </r>
    <r>
      <rPr>
        <sz val="9"/>
        <color rgb="FF000000"/>
        <rFont val="Arial"/>
        <charset val="134"/>
      </rPr>
      <t xml:space="preserve"> “</t>
    </r>
    <r>
      <rPr>
        <sz val="9"/>
        <color rgb="FF000000"/>
        <rFont val="楷体"/>
        <charset val="134"/>
      </rPr>
      <t>天冕科技</t>
    </r>
    <r>
      <rPr>
        <sz val="9"/>
        <color rgb="FF000000"/>
        <rFont val="Arial"/>
        <charset val="134"/>
      </rPr>
      <t>”</t>
    </r>
    <r>
      <rPr>
        <sz val="9"/>
        <color rgb="FF000000"/>
        <rFont val="楷体"/>
        <charset val="134"/>
      </rPr>
      <t>、精品分期购物平台</t>
    </r>
    <r>
      <rPr>
        <sz val="9"/>
        <color rgb="FF000000"/>
        <rFont val="Arial"/>
        <charset val="134"/>
      </rPr>
      <t>“</t>
    </r>
    <r>
      <rPr>
        <sz val="9"/>
        <color rgb="FF000000"/>
        <rFont val="楷体"/>
        <charset val="134"/>
      </rPr>
      <t>就享买</t>
    </r>
    <r>
      <rPr>
        <sz val="9"/>
        <color rgb="FF000000"/>
        <rFont val="Arial"/>
        <charset val="134"/>
      </rPr>
      <t>”</t>
    </r>
    <r>
      <rPr>
        <sz val="9"/>
        <color rgb="FF000000"/>
        <rFont val="楷体"/>
        <charset val="134"/>
      </rPr>
      <t>；以及在印尼与当地大型综合集团</t>
    </r>
    <r>
      <rPr>
        <sz val="9"/>
        <color rgb="FF000000"/>
        <rFont val="Arial"/>
        <charset val="134"/>
      </rPr>
      <t>Astra</t>
    </r>
    <r>
      <rPr>
        <sz val="9"/>
        <color rgb="FF000000"/>
        <rFont val="楷体"/>
        <charset val="134"/>
      </rPr>
      <t>合资成立的金融科技公司</t>
    </r>
    <r>
      <rPr>
        <sz val="9"/>
        <color rgb="FF000000"/>
        <rFont val="Arial"/>
        <charset val="134"/>
      </rPr>
      <t>“AWDA”</t>
    </r>
    <r>
      <rPr>
        <sz val="9"/>
        <color rgb="FF000000"/>
        <rFont val="楷体"/>
        <charset val="134"/>
      </rPr>
      <t>。并在当地推出纯线上贷款平台</t>
    </r>
    <r>
      <rPr>
        <sz val="9"/>
        <color rgb="FF000000"/>
        <rFont val="Arial"/>
        <charset val="134"/>
      </rPr>
      <t>“Maucash”</t>
    </r>
    <r>
      <rPr>
        <sz val="9"/>
        <color rgb="FF000000"/>
        <rFont val="楷体"/>
        <charset val="134"/>
      </rPr>
      <t>。</t>
    </r>
  </si>
  <si>
    <t>匯立金融控股有限公司</t>
  </si>
  <si>
    <t>https://www.welab.co/zh-hk/</t>
  </si>
  <si>
    <r>
      <rPr>
        <sz val="9"/>
        <color rgb="FF000000"/>
        <rFont val="Arial"/>
        <charset val="134"/>
      </rPr>
      <t>Allianz</t>
    </r>
    <r>
      <rPr>
        <sz val="9"/>
        <color rgb="FF000000"/>
        <rFont val="楷体"/>
        <charset val="134"/>
      </rPr>
      <t>安联投资</t>
    </r>
  </si>
  <si>
    <r>
      <rPr>
        <sz val="9"/>
        <color rgb="FF000000"/>
        <rFont val="Arial"/>
        <charset val="134"/>
      </rPr>
      <t>42.18</t>
    </r>
    <r>
      <rPr>
        <sz val="9"/>
        <color rgb="FF000000"/>
        <rFont val="楷体"/>
        <charset val="134"/>
      </rPr>
      <t>亿</t>
    </r>
  </si>
  <si>
    <r>
      <rPr>
        <sz val="9"/>
        <color rgb="FF000000"/>
        <rFont val="楷体"/>
        <charset val="134"/>
      </rPr>
      <t>龙沛智</t>
    </r>
    <r>
      <rPr>
        <sz val="9"/>
        <color rgb="FF000000"/>
        <rFont val="Arial"/>
        <charset val="134"/>
      </rPr>
      <t>:CEO</t>
    </r>
  </si>
  <si>
    <r>
      <rPr>
        <sz val="9"/>
        <color rgb="FF000000"/>
        <rFont val="楷体"/>
        <charset val="134"/>
      </rPr>
      <t>香港鲗鱼涌英皇道</t>
    </r>
    <r>
      <rPr>
        <sz val="9"/>
        <color rgb="FF000000"/>
        <rFont val="Arial"/>
        <charset val="134"/>
      </rPr>
      <t>728</t>
    </r>
    <r>
      <rPr>
        <sz val="9"/>
        <color rgb="FF000000"/>
        <rFont val="楷体"/>
        <charset val="134"/>
      </rPr>
      <t>号</t>
    </r>
    <r>
      <rPr>
        <sz val="9"/>
        <color rgb="FF000000"/>
        <rFont val="Arial"/>
        <charset val="134"/>
      </rPr>
      <t>K11 Atelier King's Road 22</t>
    </r>
    <r>
      <rPr>
        <sz val="9"/>
        <color rgb="FF000000"/>
        <rFont val="楷体"/>
        <charset val="134"/>
      </rPr>
      <t>楼</t>
    </r>
    <r>
      <rPr>
        <sz val="9"/>
        <color rgb="FF000000"/>
        <rFont val="Arial"/>
        <charset val="134"/>
      </rPr>
      <t>2205-12</t>
    </r>
    <r>
      <rPr>
        <sz val="9"/>
        <color rgb="FF000000"/>
        <rFont val="楷体"/>
        <charset val="134"/>
      </rPr>
      <t>室</t>
    </r>
  </si>
  <si>
    <t>852-3590-6396</t>
  </si>
  <si>
    <t>2019-12-12</t>
  </si>
  <si>
    <r>
      <rPr>
        <sz val="9"/>
        <color rgb="FF000000"/>
        <rFont val="Arial"/>
        <charset val="134"/>
      </rPr>
      <t>11</t>
    </r>
    <r>
      <rPr>
        <sz val="9"/>
        <color rgb="FF000000"/>
        <rFont val="楷体"/>
        <charset val="134"/>
      </rPr>
      <t>亿人民币</t>
    </r>
  </si>
  <si>
    <r>
      <rPr>
        <sz val="9"/>
        <color rgb="FF000000"/>
        <rFont val="楷体"/>
        <charset val="134"/>
      </rPr>
      <t>阿里巴巴创业者基金</t>
    </r>
    <r>
      <rPr>
        <sz val="9"/>
        <color rgb="FF000000"/>
        <rFont val="Arial"/>
        <charset val="134"/>
      </rPr>
      <t>,</t>
    </r>
    <r>
      <rPr>
        <sz val="9"/>
        <color rgb="FF000000"/>
        <rFont val="楷体"/>
        <charset val="134"/>
      </rPr>
      <t>建银国际</t>
    </r>
  </si>
  <si>
    <r>
      <rPr>
        <sz val="9"/>
        <color rgb="FF000000"/>
        <rFont val="Arial"/>
        <charset val="134"/>
      </rPr>
      <t>IFC</t>
    </r>
    <r>
      <rPr>
        <sz val="9"/>
        <color rgb="FF000000"/>
        <rFont val="楷体"/>
        <charset val="134"/>
      </rPr>
      <t>国际金融公司</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瑞士信贷</t>
    </r>
    <r>
      <rPr>
        <sz val="9"/>
        <color rgb="FF000000"/>
        <rFont val="Arial"/>
        <charset val="134"/>
      </rPr>
      <t>Credit Suisse</t>
    </r>
  </si>
  <si>
    <t>2016-01-20</t>
  </si>
  <si>
    <r>
      <rPr>
        <sz val="9"/>
        <color rgb="FF000000"/>
        <rFont val="楷体"/>
        <charset val="134"/>
      </rPr>
      <t>粤科金融</t>
    </r>
    <r>
      <rPr>
        <sz val="9"/>
        <color rgb="FF000000"/>
        <rFont val="Arial"/>
        <charset val="134"/>
      </rPr>
      <t>,ING(</t>
    </r>
    <r>
      <rPr>
        <sz val="9"/>
        <color rgb="FF000000"/>
        <rFont val="楷体"/>
        <charset val="134"/>
      </rPr>
      <t>荷兰国际集团</t>
    </r>
    <r>
      <rPr>
        <sz val="9"/>
        <color rgb="FF000000"/>
        <rFont val="Arial"/>
        <charset val="134"/>
      </rPr>
      <t>),Khazanah Nasional Berhad</t>
    </r>
  </si>
  <si>
    <r>
      <rPr>
        <sz val="9"/>
        <color rgb="FF000000"/>
        <rFont val="楷体"/>
        <charset val="134"/>
      </rPr>
      <t>红杉资本中国</t>
    </r>
    <r>
      <rPr>
        <sz val="9"/>
        <color rgb="FF000000"/>
        <rFont val="Arial"/>
        <charset val="134"/>
      </rPr>
      <t>,Iconiq Capital,TOM</t>
    </r>
    <r>
      <rPr>
        <sz val="9"/>
        <color rgb="FF000000"/>
        <rFont val="楷体"/>
        <charset val="134"/>
      </rPr>
      <t>集团</t>
    </r>
    <r>
      <rPr>
        <sz val="9"/>
        <color rgb="FF000000"/>
        <rFont val="Arial"/>
        <charset val="134"/>
      </rPr>
      <t>,</t>
    </r>
    <r>
      <rPr>
        <sz val="9"/>
        <color rgb="FF000000"/>
        <rFont val="楷体"/>
        <charset val="134"/>
      </rPr>
      <t>邮乐网</t>
    </r>
    <r>
      <rPr>
        <sz val="9"/>
        <color rgb="FF000000"/>
        <rFont val="Arial"/>
        <charset val="134"/>
      </rPr>
      <t>,Yuri Milner</t>
    </r>
  </si>
  <si>
    <t>2022-09-14</t>
  </si>
  <si>
    <t>大湾生物</t>
  </si>
  <si>
    <r>
      <rPr>
        <sz val="9"/>
        <color rgb="FF000000"/>
        <rFont val="楷体"/>
        <charset val="134"/>
      </rPr>
      <t>大湾生物是一家人工智能生物医药技术研发商，致力于将人工智能（</t>
    </r>
    <r>
      <rPr>
        <sz val="9"/>
        <color rgb="FF000000"/>
        <rFont val="Arial"/>
        <charset val="134"/>
      </rPr>
      <t>AI</t>
    </r>
    <r>
      <rPr>
        <sz val="9"/>
        <color rgb="FF000000"/>
        <rFont val="楷体"/>
        <charset val="134"/>
      </rPr>
      <t>）前沿技术应用于生物制药和蓝海生物产品开发。公司核心技术包括</t>
    </r>
    <r>
      <rPr>
        <sz val="9"/>
        <color rgb="FF000000"/>
        <rFont val="Arial"/>
        <charset val="134"/>
      </rPr>
      <t>AI</t>
    </r>
    <r>
      <rPr>
        <sz val="9"/>
        <color rgb="FF000000"/>
        <rFont val="楷体"/>
        <charset val="134"/>
      </rPr>
      <t>抗体药物序列预测平台，智能化细胞株构建平台</t>
    </r>
    <r>
      <rPr>
        <sz val="9"/>
        <color rgb="FF000000"/>
        <rFont val="Arial"/>
        <charset val="134"/>
      </rPr>
      <t>Klone4.0™</t>
    </r>
    <r>
      <rPr>
        <sz val="9"/>
        <color rgb="FF000000"/>
        <rFont val="楷体"/>
        <charset val="134"/>
      </rPr>
      <t>，智能化培养基开发平台</t>
    </r>
    <r>
      <rPr>
        <sz val="9"/>
        <color rgb="FF000000"/>
        <rFont val="Arial"/>
        <charset val="134"/>
      </rPr>
      <t>AlfaMedX®</t>
    </r>
    <r>
      <rPr>
        <sz val="9"/>
        <color rgb="FF000000"/>
        <rFont val="楷体"/>
        <charset val="134"/>
      </rPr>
      <t>和智能化生物工艺开发平台，其中</t>
    </r>
    <r>
      <rPr>
        <sz val="9"/>
        <color rgb="FF000000"/>
        <rFont val="Arial"/>
        <charset val="134"/>
      </rPr>
      <t>Klone 4.0™</t>
    </r>
    <r>
      <rPr>
        <sz val="9"/>
        <color rgb="FF000000"/>
        <rFont val="楷体"/>
        <charset val="134"/>
      </rPr>
      <t>平台与</t>
    </r>
    <r>
      <rPr>
        <sz val="9"/>
        <color rgb="FF000000"/>
        <rFont val="Arial"/>
        <charset val="134"/>
      </rPr>
      <t>AlfaMedX®</t>
    </r>
    <r>
      <rPr>
        <sz val="9"/>
        <color rgb="FF000000"/>
        <rFont val="楷体"/>
        <charset val="134"/>
      </rPr>
      <t>平台已进入商业化阶段。</t>
    </r>
  </si>
  <si>
    <t>东莞太力生物工程有限公司</t>
  </si>
  <si>
    <t>http://www.greatbay-bio.com/</t>
  </si>
  <si>
    <t>2020-09</t>
  </si>
  <si>
    <r>
      <rPr>
        <sz val="9"/>
        <color rgb="FF000000"/>
        <rFont val="楷体"/>
        <charset val="134"/>
      </rPr>
      <t>广东</t>
    </r>
    <r>
      <rPr>
        <sz val="9"/>
        <color rgb="FF000000"/>
        <rFont val="Arial"/>
        <charset val="134"/>
      </rPr>
      <t>-</t>
    </r>
    <r>
      <rPr>
        <sz val="9"/>
        <color rgb="FF000000"/>
        <rFont val="楷体"/>
        <charset val="134"/>
      </rPr>
      <t>东莞</t>
    </r>
  </si>
  <si>
    <t>生物技术和制药</t>
  </si>
  <si>
    <r>
      <rPr>
        <sz val="9"/>
        <color rgb="FF000000"/>
        <rFont val="楷体"/>
        <charset val="134"/>
      </rPr>
      <t>戈壁创投</t>
    </r>
    <r>
      <rPr>
        <sz val="9"/>
        <color rgb="FF000000"/>
        <rFont val="Arial"/>
        <charset val="134"/>
      </rPr>
      <t>,</t>
    </r>
    <r>
      <rPr>
        <sz val="9"/>
        <color rgb="FF000000"/>
        <rFont val="楷体"/>
        <charset val="134"/>
      </rPr>
      <t>泰欣资本</t>
    </r>
    <r>
      <rPr>
        <sz val="9"/>
        <color rgb="FF000000"/>
        <rFont val="Arial"/>
        <charset val="134"/>
      </rPr>
      <t>,Vectr Ventures</t>
    </r>
  </si>
  <si>
    <r>
      <rPr>
        <sz val="9"/>
        <color rgb="FF000000"/>
        <rFont val="楷体"/>
        <charset val="134"/>
      </rPr>
      <t>梁国龙</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陈亮</t>
    </r>
    <r>
      <rPr>
        <sz val="9"/>
        <color rgb="FF000000"/>
        <rFont val="Arial"/>
        <charset val="134"/>
      </rPr>
      <t>:CEO</t>
    </r>
  </si>
  <si>
    <t>东莞市常平镇土塘村</t>
  </si>
  <si>
    <t>076-93901-8698</t>
  </si>
  <si>
    <t>js.chen@greatbay-bio.com</t>
  </si>
  <si>
    <t>2021-12-01</t>
  </si>
  <si>
    <r>
      <rPr>
        <sz val="9"/>
        <color rgb="FF000000"/>
        <rFont val="楷体"/>
        <charset val="134"/>
      </rPr>
      <t>阿里巴巴创业者基金</t>
    </r>
    <r>
      <rPr>
        <sz val="9"/>
        <color rgb="FF000000"/>
        <rFont val="Arial"/>
        <charset val="134"/>
      </rPr>
      <t>,</t>
    </r>
    <r>
      <rPr>
        <sz val="9"/>
        <color rgb="FF000000"/>
        <rFont val="楷体"/>
        <charset val="134"/>
      </rPr>
      <t>天际资本</t>
    </r>
    <r>
      <rPr>
        <sz val="9"/>
        <color rgb="FF000000"/>
        <rFont val="Arial"/>
        <charset val="134"/>
      </rPr>
      <t>FutureX Capital,</t>
    </r>
    <r>
      <rPr>
        <sz val="9"/>
        <color rgb="FF000000"/>
        <rFont val="楷体"/>
        <charset val="134"/>
      </rPr>
      <t>比邻星创投</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阿隆资本</t>
    </r>
  </si>
  <si>
    <r>
      <rPr>
        <sz val="9"/>
        <color rgb="FF000000"/>
        <rFont val="楷体"/>
        <charset val="134"/>
      </rPr>
      <t>阿里巴巴创业者基金</t>
    </r>
    <r>
      <rPr>
        <sz val="9"/>
        <color rgb="FF000000"/>
        <rFont val="Arial"/>
        <charset val="134"/>
      </rPr>
      <t>,</t>
    </r>
    <r>
      <rPr>
        <sz val="9"/>
        <color rgb="FF000000"/>
        <rFont val="楷体"/>
        <charset val="134"/>
      </rPr>
      <t>富德金融集团</t>
    </r>
    <r>
      <rPr>
        <sz val="9"/>
        <color rgb="FF000000"/>
        <rFont val="Arial"/>
        <charset val="134"/>
      </rPr>
      <t>,</t>
    </r>
    <r>
      <rPr>
        <sz val="9"/>
        <color rgb="FF000000"/>
        <rFont val="楷体"/>
        <charset val="134"/>
      </rPr>
      <t>丰德资本</t>
    </r>
  </si>
  <si>
    <t>2022-03-10</t>
  </si>
  <si>
    <t>KICKS CREW</t>
  </si>
  <si>
    <r>
      <rPr>
        <sz val="9"/>
        <color rgb="FF000000"/>
        <rFont val="Arial"/>
        <charset val="134"/>
      </rPr>
      <t>KICKS CREW</t>
    </r>
    <r>
      <rPr>
        <sz val="9"/>
        <color rgb="FF000000"/>
        <rFont val="楷体"/>
        <charset val="134"/>
      </rPr>
      <t>是一个潮流电商交易平台，专注于球鞋、运动服等品类。平台提供了一种超越国界的文化，将越来越多的创作者、策展人和消费者连接到一个包容的社区。</t>
    </r>
  </si>
  <si>
    <t>深圳市前海极酷潮物网络科技有限公司</t>
  </si>
  <si>
    <t>https://www.kickscrew.com/</t>
  </si>
  <si>
    <t>2008-02</t>
  </si>
  <si>
    <r>
      <rPr>
        <sz val="9"/>
        <color rgb="FF000000"/>
        <rFont val="楷体"/>
        <charset val="134"/>
      </rPr>
      <t>戈壁创投</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盈科拓展集团</t>
    </r>
  </si>
  <si>
    <r>
      <rPr>
        <sz val="9"/>
        <color rgb="FF000000"/>
        <rFont val="Arial"/>
        <charset val="134"/>
      </rPr>
      <t>Johnny Mak:</t>
    </r>
    <r>
      <rPr>
        <sz val="9"/>
        <color rgb="FF000000"/>
        <rFont val="楷体"/>
        <charset val="134"/>
      </rPr>
      <t>创始人</t>
    </r>
    <r>
      <rPr>
        <sz val="9"/>
        <color rgb="FF000000"/>
        <rFont val="Arial"/>
        <charset val="134"/>
      </rPr>
      <t>,Gary Hui:</t>
    </r>
    <r>
      <rPr>
        <sz val="9"/>
        <color rgb="FF000000"/>
        <rFont val="楷体"/>
        <charset val="134"/>
      </rPr>
      <t>联合创始人</t>
    </r>
    <r>
      <rPr>
        <sz val="9"/>
        <color rgb="FF000000"/>
        <rFont val="Arial"/>
        <charset val="134"/>
      </rPr>
      <t>,Ross Adrian Yip:</t>
    </r>
    <r>
      <rPr>
        <sz val="9"/>
        <color rgb="FF000000"/>
        <rFont val="楷体"/>
        <charset val="134"/>
      </rPr>
      <t>联合创始人</t>
    </r>
    <r>
      <rPr>
        <sz val="9"/>
        <color rgb="FF000000"/>
        <rFont val="Arial"/>
        <charset val="134"/>
      </rPr>
      <t>,Gary Hui:Cofounder, CGO,Johnny Mak:Founder, CEO,Ross Adrian Yip:Cofounder, COO</t>
    </r>
  </si>
  <si>
    <t>CS@KICKSCREW.COM</t>
  </si>
  <si>
    <t>2022-03-21</t>
  </si>
  <si>
    <t>原子半导体</t>
  </si>
  <si>
    <r>
      <rPr>
        <sz val="9"/>
        <color rgb="FF000000"/>
        <rFont val="楷体"/>
        <charset val="134"/>
      </rPr>
      <t>原子半导体致力为最先进的消费类和工业物联网系统开发高性能模拟芯片。</t>
    </r>
    <r>
      <rPr>
        <sz val="9"/>
        <color rgb="FF000000"/>
        <rFont val="Arial"/>
        <charset val="134"/>
      </rPr>
      <t xml:space="preserve"> </t>
    </r>
    <r>
      <rPr>
        <sz val="9"/>
        <color rgb="FF000000"/>
        <rFont val="楷体"/>
        <charset val="134"/>
      </rPr>
      <t>产品包括集成数字传感器芯片和高性能模数转换（</t>
    </r>
    <r>
      <rPr>
        <sz val="9"/>
        <color rgb="FF000000"/>
        <rFont val="Arial"/>
        <charset val="134"/>
      </rPr>
      <t>ADC</t>
    </r>
    <r>
      <rPr>
        <sz val="9"/>
        <color rgb="FF000000"/>
        <rFont val="楷体"/>
        <charset val="134"/>
      </rPr>
      <t>）芯片。</t>
    </r>
  </si>
  <si>
    <t>深圳原子半导体科技有限公司</t>
  </si>
  <si>
    <t>https://atom-semiconductor.com/</t>
  </si>
  <si>
    <t>2020-10</t>
  </si>
  <si>
    <r>
      <rPr>
        <sz val="9"/>
        <color rgb="FF000000"/>
        <rFont val="楷体"/>
        <charset val="134"/>
      </rPr>
      <t>启明创投</t>
    </r>
    <r>
      <rPr>
        <sz val="9"/>
        <color rgb="FF000000"/>
        <rFont val="Arial"/>
        <charset val="134"/>
      </rPr>
      <t>,</t>
    </r>
    <r>
      <rPr>
        <sz val="9"/>
        <color rgb="FF000000"/>
        <rFont val="楷体"/>
        <charset val="134"/>
      </rPr>
      <t>阿里巴巴创业者基金</t>
    </r>
    <r>
      <rPr>
        <sz val="9"/>
        <color rgb="FF000000"/>
        <rFont val="Arial"/>
        <charset val="134"/>
      </rPr>
      <t>,</t>
    </r>
    <r>
      <rPr>
        <sz val="9"/>
        <color rgb="FF000000"/>
        <rFont val="楷体"/>
        <charset val="134"/>
      </rPr>
      <t>启明医疗</t>
    </r>
  </si>
  <si>
    <r>
      <rPr>
        <sz val="9"/>
        <color rgb="FF000000"/>
        <rFont val="楷体"/>
        <charset val="134"/>
      </rPr>
      <t>袁杰</t>
    </r>
    <r>
      <rPr>
        <sz val="9"/>
        <color rgb="FF000000"/>
        <rFont val="Arial"/>
        <charset val="134"/>
      </rPr>
      <t>:</t>
    </r>
    <r>
      <rPr>
        <sz val="9"/>
        <color rgb="FF000000"/>
        <rFont val="楷体"/>
        <charset val="134"/>
      </rPr>
      <t>创始人</t>
    </r>
  </si>
  <si>
    <r>
      <rPr>
        <sz val="9"/>
        <color rgb="FF000000"/>
        <rFont val="楷体"/>
        <charset val="134"/>
      </rPr>
      <t>深圳市南山区科园路</t>
    </r>
    <r>
      <rPr>
        <sz val="9"/>
        <color rgb="FF000000"/>
        <rFont val="Arial"/>
        <charset val="134"/>
      </rPr>
      <t>1001</t>
    </r>
    <r>
      <rPr>
        <sz val="9"/>
        <color rgb="FF000000"/>
        <rFont val="楷体"/>
        <charset val="134"/>
      </rPr>
      <t>号深圳湾创业投资大厦</t>
    </r>
    <r>
      <rPr>
        <sz val="9"/>
        <color rgb="FF000000"/>
        <rFont val="Arial"/>
        <charset val="134"/>
      </rPr>
      <t>806A</t>
    </r>
  </si>
  <si>
    <t>0755-8695-8676</t>
  </si>
  <si>
    <t>sales@atom-semiconductor.com</t>
  </si>
  <si>
    <t>2022-06-24</t>
  </si>
  <si>
    <t>SleekFlow</t>
  </si>
  <si>
    <r>
      <rPr>
        <sz val="9"/>
        <color rgb="FF000000"/>
        <rFont val="Arial"/>
        <charset val="134"/>
      </rPr>
      <t>SleekFlow</t>
    </r>
    <r>
      <rPr>
        <sz val="9"/>
        <color rgb="FF000000"/>
        <rFont val="楷体"/>
        <charset val="134"/>
      </rPr>
      <t>是一家全管道社交商务软件开发商，利用金融科技支援用户在所有即时及社交通讯应用程式内创建产品目录及收款链结，连接</t>
    </r>
    <r>
      <rPr>
        <sz val="9"/>
        <color rgb="FF000000"/>
        <rFont val="Arial"/>
        <charset val="134"/>
      </rPr>
      <t>Facebook</t>
    </r>
    <r>
      <rPr>
        <sz val="9"/>
        <color rgb="FF000000"/>
        <rFont val="楷体"/>
        <charset val="134"/>
      </rPr>
      <t>、</t>
    </r>
    <r>
      <rPr>
        <sz val="9"/>
        <color rgb="FF000000"/>
        <rFont val="Arial"/>
        <charset val="134"/>
      </rPr>
      <t>Instagram</t>
    </r>
    <r>
      <rPr>
        <sz val="9"/>
        <color rgb="FF000000"/>
        <rFont val="楷体"/>
        <charset val="134"/>
      </rPr>
      <t>、</t>
    </r>
    <r>
      <rPr>
        <sz val="9"/>
        <color rgb="FF000000"/>
        <rFont val="Arial"/>
        <charset val="134"/>
      </rPr>
      <t>TikTok</t>
    </r>
    <r>
      <rPr>
        <sz val="9"/>
        <color rgb="FF000000"/>
        <rFont val="楷体"/>
        <charset val="134"/>
      </rPr>
      <t>的自家网购平台，整合来自对话、留言、直播的讯息，同时提供能满足大型零售商需求的销售分析、自动化工具，建立完整的社交商务销售生态。</t>
    </r>
  </si>
  <si>
    <t>SleekFlow.io</t>
  </si>
  <si>
    <t>2021-01</t>
  </si>
  <si>
    <r>
      <rPr>
        <sz val="9"/>
        <color rgb="FF000000"/>
        <rFont val="Arial"/>
        <charset val="134"/>
      </rPr>
      <t>Tiger Global</t>
    </r>
    <r>
      <rPr>
        <sz val="9"/>
        <color rgb="FF000000"/>
        <rFont val="楷体"/>
        <charset val="134"/>
      </rPr>
      <t>老虎海外</t>
    </r>
    <r>
      <rPr>
        <sz val="9"/>
        <color rgb="FF000000"/>
        <rFont val="Arial"/>
        <charset val="134"/>
      </rPr>
      <t>,Transcend,AEF</t>
    </r>
    <r>
      <rPr>
        <sz val="9"/>
        <color rgb="FF000000"/>
        <rFont val="楷体"/>
        <charset val="134"/>
      </rPr>
      <t>大湾区创业基金</t>
    </r>
  </si>
  <si>
    <r>
      <rPr>
        <sz val="9"/>
        <color rgb="FF000000"/>
        <rFont val="Arial"/>
        <charset val="134"/>
      </rPr>
      <t>1.82</t>
    </r>
    <r>
      <rPr>
        <sz val="9"/>
        <color rgb="FF000000"/>
        <rFont val="楷体"/>
        <charset val="134"/>
      </rPr>
      <t>亿</t>
    </r>
  </si>
  <si>
    <r>
      <rPr>
        <sz val="9"/>
        <color rgb="FF000000"/>
        <rFont val="Arial"/>
        <charset val="134"/>
      </rPr>
      <t>2.6</t>
    </r>
    <r>
      <rPr>
        <sz val="9"/>
        <color rgb="FF000000"/>
        <rFont val="楷体"/>
        <charset val="134"/>
      </rPr>
      <t>亿元</t>
    </r>
  </si>
  <si>
    <t>2021-05-05</t>
  </si>
  <si>
    <t>2022-09-08</t>
  </si>
  <si>
    <t>Clearbot</t>
  </si>
  <si>
    <r>
      <rPr>
        <sz val="9"/>
        <color rgb="FF000000"/>
        <rFont val="Arial"/>
        <charset val="134"/>
      </rPr>
      <t>Clearbot</t>
    </r>
    <r>
      <rPr>
        <sz val="9"/>
        <color rgb="FF000000"/>
        <rFont val="楷体"/>
        <charset val="134"/>
      </rPr>
      <t>是一家海洋垃圾收集机器人研发商，致力于为海洋业打造人工智能驱动的电动船，为用户提供机器人服务</t>
    </r>
    <r>
      <rPr>
        <sz val="9"/>
        <color rgb="FF000000"/>
        <rFont val="Arial"/>
        <charset val="134"/>
      </rPr>
      <t>(RaaS)</t>
    </r>
    <r>
      <rPr>
        <sz val="9"/>
        <color rgb="FF000000"/>
        <rFont val="楷体"/>
        <charset val="134"/>
      </rPr>
      <t>，使各种海事服务如垃圾收集、水质监测和货物运输等实现自动化。</t>
    </r>
  </si>
  <si>
    <t>https://www.clearbot.org/</t>
  </si>
  <si>
    <r>
      <rPr>
        <sz val="9"/>
        <color rgb="FF000000"/>
        <rFont val="楷体"/>
        <charset val="134"/>
      </rPr>
      <t>阿里巴巴创业者基金</t>
    </r>
    <r>
      <rPr>
        <sz val="9"/>
        <color rgb="FF000000"/>
        <rFont val="Arial"/>
        <charset val="134"/>
      </rPr>
      <t>,CarbonX Global</t>
    </r>
  </si>
  <si>
    <r>
      <rPr>
        <sz val="9"/>
        <color rgb="FF000000"/>
        <rFont val="Arial"/>
        <charset val="134"/>
      </rPr>
      <t>80</t>
    </r>
    <r>
      <rPr>
        <sz val="9"/>
        <color rgb="FF000000"/>
        <rFont val="楷体"/>
        <charset val="134"/>
      </rPr>
      <t>万</t>
    </r>
  </si>
  <si>
    <t>2023-02-10</t>
  </si>
  <si>
    <t>PanopticAI</t>
  </si>
  <si>
    <r>
      <rPr>
        <sz val="9"/>
        <color rgb="FF000000"/>
        <rFont val="Arial"/>
        <charset val="134"/>
      </rPr>
      <t>PanopticAI</t>
    </r>
    <r>
      <rPr>
        <sz val="9"/>
        <color rgb="FF000000"/>
        <rFont val="楷体"/>
        <charset val="134"/>
      </rPr>
      <t>是一家健康监测软件开发商，旗下研发的</t>
    </r>
    <r>
      <rPr>
        <sz val="9"/>
        <color rgb="FF000000"/>
        <rFont val="Arial"/>
        <charset val="134"/>
      </rPr>
      <t>“Vitals”</t>
    </r>
    <r>
      <rPr>
        <sz val="9"/>
        <color rgb="FF000000"/>
        <rFont val="楷体"/>
        <charset val="134"/>
      </rPr>
      <t>是一个以摄像技术进行健康监测的软件</t>
    </r>
    <r>
      <rPr>
        <sz val="9"/>
        <color rgb="FF000000"/>
        <rFont val="Arial"/>
        <charset val="134"/>
      </rPr>
      <t>APP</t>
    </r>
    <r>
      <rPr>
        <sz val="9"/>
        <color rgb="FF000000"/>
        <rFont val="楷体"/>
        <charset val="134"/>
      </rPr>
      <t>，用户可以通过智能装置进行人像扫描，并直接获取个人健康状况分析报告，并对其做出正确的医疗判断和对策。</t>
    </r>
  </si>
  <si>
    <t>全境智能有限公司</t>
  </si>
  <si>
    <t>https://panoptic.ai/</t>
  </si>
  <si>
    <r>
      <rPr>
        <sz val="9"/>
        <color rgb="FF000000"/>
        <rFont val="楷体"/>
        <charset val="134"/>
      </rPr>
      <t>阿里巴巴创业者基金</t>
    </r>
    <r>
      <rPr>
        <sz val="9"/>
        <color rgb="FF000000"/>
        <rFont val="Arial"/>
        <charset val="134"/>
      </rPr>
      <t>,Gobi GBA,E-Fund</t>
    </r>
  </si>
  <si>
    <t>2023-03-21</t>
  </si>
  <si>
    <t>万想科技</t>
  </si>
  <si>
    <r>
      <rPr>
        <sz val="9"/>
        <color rgb="FF000000"/>
        <rFont val="楷体"/>
        <charset val="134"/>
      </rPr>
      <t>万想科技是一家人工智能数字人技术开发商，运用超像真人脸合成、表情及动作自动化、语音合成等生成式人工智能技术，制作可即时对答交流的</t>
    </r>
    <r>
      <rPr>
        <sz val="9"/>
        <color rgb="FF000000"/>
        <rFont val="Arial"/>
        <charset val="134"/>
      </rPr>
      <t>AI</t>
    </r>
    <r>
      <rPr>
        <sz val="9"/>
        <color rgb="FF000000"/>
        <rFont val="楷体"/>
        <charset val="134"/>
      </rPr>
      <t>数字人。</t>
    </r>
  </si>
  <si>
    <t>万想科技有限公司</t>
  </si>
  <si>
    <t>https://www.pantheonlab.ai/</t>
  </si>
  <si>
    <t>新世界</t>
  </si>
  <si>
    <r>
      <rPr>
        <sz val="9"/>
        <color rgb="FF000000"/>
        <rFont val="Arial"/>
        <charset val="134"/>
      </rPr>
      <t>160</t>
    </r>
    <r>
      <rPr>
        <sz val="9"/>
        <color rgb="FF000000"/>
        <rFont val="楷体"/>
        <charset val="134"/>
      </rPr>
      <t>万</t>
    </r>
  </si>
  <si>
    <t>2022-11-10</t>
  </si>
  <si>
    <t>Rice Robotics</t>
  </si>
  <si>
    <r>
      <rPr>
        <sz val="9"/>
        <color rgb="FF000000"/>
        <rFont val="Arial"/>
        <charset val="134"/>
      </rPr>
      <t>Rice Robotics</t>
    </r>
    <r>
      <rPr>
        <sz val="9"/>
        <color rgb="FF000000"/>
        <rFont val="楷体"/>
        <charset val="134"/>
      </rPr>
      <t>是一家服务机器人研发商，定位为劳动力自动化领域的开拓者，致力于构建软件和硬件基础设施，以帮助下一代企业大规模部署自主机器人。通过其先进的送货和消毒机器人彻底改变了各个行业。这些最先进的机器人配备了卓越的功能，使它们能够在复杂的环境中导航、操作电梯和自动充电，从而最大限度地减少人类参与的需要。</t>
    </r>
  </si>
  <si>
    <t>RICE ROBOTICS LIMITED</t>
  </si>
  <si>
    <t>https://www.ricerobotics.com</t>
  </si>
  <si>
    <r>
      <rPr>
        <sz val="9"/>
        <color rgb="FF000000"/>
        <rFont val="楷体"/>
        <charset val="134"/>
      </rPr>
      <t>香港</t>
    </r>
    <r>
      <rPr>
        <sz val="9"/>
        <color rgb="FF000000"/>
        <rFont val="Arial"/>
        <charset val="134"/>
      </rPr>
      <t>-</t>
    </r>
    <r>
      <rPr>
        <sz val="9"/>
        <color rgb="FF000000"/>
        <rFont val="楷体"/>
        <charset val="134"/>
      </rPr>
      <t>荃湾区</t>
    </r>
  </si>
  <si>
    <r>
      <rPr>
        <sz val="9"/>
        <color rgb="FF000000"/>
        <rFont val="楷体"/>
        <charset val="134"/>
      </rPr>
      <t>阿里巴巴创业者基金</t>
    </r>
    <r>
      <rPr>
        <sz val="9"/>
        <color rgb="FF000000"/>
        <rFont val="Arial"/>
        <charset val="134"/>
      </rPr>
      <t>,Soul Capital,Audacy Ventures,</t>
    </r>
    <r>
      <rPr>
        <sz val="9"/>
        <color rgb="FF000000"/>
        <rFont val="楷体"/>
        <charset val="134"/>
      </rPr>
      <t>新鸿基公司</t>
    </r>
    <r>
      <rPr>
        <sz val="9"/>
        <color rgb="FF000000"/>
        <rFont val="Arial"/>
        <charset val="134"/>
      </rPr>
      <t>,</t>
    </r>
    <r>
      <rPr>
        <sz val="9"/>
        <color rgb="FF000000"/>
        <rFont val="楷体"/>
        <charset val="134"/>
      </rPr>
      <t>香港数码港</t>
    </r>
  </si>
  <si>
    <r>
      <rPr>
        <sz val="9"/>
        <color rgb="FF000000"/>
        <rFont val="Arial"/>
        <charset val="134"/>
      </rPr>
      <t>2.275</t>
    </r>
    <r>
      <rPr>
        <sz val="9"/>
        <color rgb="FF000000"/>
        <rFont val="楷体"/>
        <charset val="134"/>
      </rPr>
      <t>亿元</t>
    </r>
  </si>
  <si>
    <r>
      <rPr>
        <sz val="9"/>
        <color rgb="FF000000"/>
        <rFont val="楷体"/>
        <charset val="134"/>
      </rPr>
      <t>香港特别行政区荃湾德士古路</t>
    </r>
    <r>
      <rPr>
        <sz val="9"/>
        <color rgb="FF000000"/>
        <rFont val="Arial"/>
        <charset val="134"/>
      </rPr>
      <t>2/F, 266-270</t>
    </r>
  </si>
  <si>
    <t>2015-08-19</t>
  </si>
  <si>
    <t>2009-10-30</t>
  </si>
  <si>
    <t>2007-09-01</t>
  </si>
  <si>
    <t>大地影院</t>
  </si>
  <si>
    <t>大地影院是一家连锁影院品牌，提供贯性的合理化票价、丰富且有效的营销活动、统一的品质管理等，隶属于广东大地电影院线股份有限公司。</t>
  </si>
  <si>
    <t>广东大地电影院线股份有限公司</t>
  </si>
  <si>
    <t>http://www.dadicinema.com/</t>
  </si>
  <si>
    <r>
      <rPr>
        <sz val="9"/>
        <color rgb="FF000000"/>
        <rFont val="Arial"/>
        <charset val="134"/>
      </rPr>
      <t>7885</t>
    </r>
    <r>
      <rPr>
        <sz val="9"/>
        <color rgb="FF000000"/>
        <rFont val="楷体"/>
        <charset val="134"/>
      </rPr>
      <t>万人民币</t>
    </r>
  </si>
  <si>
    <r>
      <rPr>
        <sz val="9"/>
        <color rgb="FF000000"/>
        <rFont val="Arial"/>
        <charset val="134"/>
      </rPr>
      <t>10.79</t>
    </r>
    <r>
      <rPr>
        <sz val="9"/>
        <color rgb="FF000000"/>
        <rFont val="楷体"/>
        <charset val="134"/>
      </rPr>
      <t>亿</t>
    </r>
  </si>
  <si>
    <t>400-678-2828</t>
  </si>
  <si>
    <t>2015-04-20</t>
  </si>
  <si>
    <t>粤科软件</t>
  </si>
  <si>
    <r>
      <rPr>
        <sz val="9"/>
        <color rgb="FF000000"/>
        <rFont val="楷体"/>
        <charset val="134"/>
      </rPr>
      <t>粤科软件成立于</t>
    </r>
    <r>
      <rPr>
        <sz val="9"/>
        <color rgb="FF000000"/>
        <rFont val="Arial"/>
        <charset val="134"/>
      </rPr>
      <t>1997</t>
    </r>
    <r>
      <rPr>
        <sz val="9"/>
        <color rgb="FF000000"/>
        <rFont val="楷体"/>
        <charset val="134"/>
      </rPr>
      <t>年，是一家影院票务软件开发商，核心业务包括影院票务销售管理、连锁管理、电子票务平台、移动购票应用，以及为第三方</t>
    </r>
    <r>
      <rPr>
        <sz val="9"/>
        <color rgb="FF000000"/>
        <rFont val="Arial"/>
        <charset val="134"/>
      </rPr>
      <t>(</t>
    </r>
    <r>
      <rPr>
        <sz val="9"/>
        <color rgb="FF000000"/>
        <rFont val="楷体"/>
        <charset val="134"/>
      </rPr>
      <t>电商平台</t>
    </r>
    <r>
      <rPr>
        <sz val="9"/>
        <color rgb="FF000000"/>
        <rFont val="Arial"/>
        <charset val="134"/>
      </rPr>
      <t>)</t>
    </r>
    <r>
      <rPr>
        <sz val="9"/>
        <color rgb="FF000000"/>
        <rFont val="楷体"/>
        <charset val="134"/>
      </rPr>
      <t>设置接入平台及自动放映系统等平台化产品，包括凤凰佳影等。</t>
    </r>
  </si>
  <si>
    <t>广东阿里影业云智软件有限公司</t>
  </si>
  <si>
    <t>http://www.ykse.com.cn/</t>
  </si>
  <si>
    <t>1997-08</t>
  </si>
  <si>
    <t>其他工具</t>
  </si>
  <si>
    <r>
      <rPr>
        <sz val="9"/>
        <color rgb="FF000000"/>
        <rFont val="Arial"/>
        <charset val="134"/>
      </rPr>
      <t>8.3</t>
    </r>
    <r>
      <rPr>
        <sz val="9"/>
        <color rgb="FF000000"/>
        <rFont val="楷体"/>
        <charset val="134"/>
      </rPr>
      <t>亿人民币</t>
    </r>
  </si>
  <si>
    <r>
      <rPr>
        <sz val="9"/>
        <color rgb="FF000000"/>
        <rFont val="Arial"/>
        <charset val="134"/>
      </rPr>
      <t>41.5</t>
    </r>
    <r>
      <rPr>
        <sz val="9"/>
        <color rgb="FF000000"/>
        <rFont val="楷体"/>
        <charset val="134"/>
      </rPr>
      <t>亿元</t>
    </r>
  </si>
  <si>
    <t>2019-10-10</t>
  </si>
  <si>
    <t>亭东影业</t>
  </si>
  <si>
    <t>亭东影业是一家原创影视制作公司，公司的主营业务包括影视作品发行、实业投资、文化艺术交流与策划、设计制作各类广告等。曾出品承制《天空制造》、《三重门》、《乘风破浪》。</t>
  </si>
  <si>
    <t>上海亭东影业有限公司</t>
  </si>
  <si>
    <r>
      <rPr>
        <sz val="9"/>
        <color rgb="FF000000"/>
        <rFont val="Arial"/>
        <charset val="134"/>
      </rPr>
      <t>9.4</t>
    </r>
    <r>
      <rPr>
        <sz val="9"/>
        <color rgb="FF000000"/>
        <rFont val="楷体"/>
        <charset val="134"/>
      </rPr>
      <t>亿</t>
    </r>
  </si>
  <si>
    <r>
      <rPr>
        <sz val="9"/>
        <color rgb="FF000000"/>
        <rFont val="Arial"/>
        <charset val="134"/>
      </rPr>
      <t>33</t>
    </r>
    <r>
      <rPr>
        <sz val="9"/>
        <color rgb="FF000000"/>
        <rFont val="楷体"/>
        <charset val="134"/>
      </rPr>
      <t>亿元</t>
    </r>
  </si>
  <si>
    <r>
      <rPr>
        <sz val="9"/>
        <color rgb="FF000000"/>
        <rFont val="楷体"/>
        <charset val="134"/>
      </rPr>
      <t>韩寒</t>
    </r>
    <r>
      <rPr>
        <sz val="9"/>
        <color rgb="FF000000"/>
        <rFont val="Arial"/>
        <charset val="134"/>
      </rPr>
      <t>:</t>
    </r>
    <r>
      <rPr>
        <sz val="9"/>
        <color rgb="FF000000"/>
        <rFont val="楷体"/>
        <charset val="134"/>
      </rPr>
      <t>创始人</t>
    </r>
  </si>
  <si>
    <r>
      <rPr>
        <sz val="9"/>
        <color rgb="FF000000"/>
        <rFont val="楷体"/>
        <charset val="134"/>
      </rPr>
      <t>上海市长宁区福泉北路</t>
    </r>
    <r>
      <rPr>
        <sz val="9"/>
        <color rgb="FF000000"/>
        <rFont val="Arial"/>
        <charset val="134"/>
      </rPr>
      <t>518</t>
    </r>
    <r>
      <rPr>
        <sz val="9"/>
        <color rgb="FF000000"/>
        <rFont val="楷体"/>
        <charset val="134"/>
      </rPr>
      <t>号</t>
    </r>
    <r>
      <rPr>
        <sz val="9"/>
        <color rgb="FF000000"/>
        <rFont val="Arial"/>
        <charset val="134"/>
      </rPr>
      <t>8</t>
    </r>
    <r>
      <rPr>
        <sz val="9"/>
        <color rgb="FF000000"/>
        <rFont val="楷体"/>
        <charset val="134"/>
      </rPr>
      <t>号楼</t>
    </r>
  </si>
  <si>
    <t>021-3988-3504</t>
  </si>
  <si>
    <t>yux@pmfpictures.com</t>
  </si>
  <si>
    <t>2019-01-09</t>
  </si>
  <si>
    <t>2017-10-19</t>
  </si>
  <si>
    <r>
      <rPr>
        <sz val="9"/>
        <color rgb="FF000000"/>
        <rFont val="Arial"/>
        <charset val="134"/>
      </rPr>
      <t>3.1</t>
    </r>
    <r>
      <rPr>
        <sz val="9"/>
        <color rgb="FF000000"/>
        <rFont val="楷体"/>
        <charset val="134"/>
      </rPr>
      <t>亿人民币</t>
    </r>
  </si>
  <si>
    <r>
      <rPr>
        <sz val="9"/>
        <color rgb="FF000000"/>
        <rFont val="楷体"/>
        <charset val="134"/>
      </rPr>
      <t>辰海资本</t>
    </r>
    <r>
      <rPr>
        <sz val="9"/>
        <color rgb="FF000000"/>
        <rFont val="Arial"/>
        <charset val="134"/>
      </rPr>
      <t>,</t>
    </r>
    <r>
      <rPr>
        <sz val="9"/>
        <color rgb="FF000000"/>
        <rFont val="楷体"/>
        <charset val="134"/>
      </rPr>
      <t>景荣基金</t>
    </r>
    <r>
      <rPr>
        <sz val="9"/>
        <color rgb="FF000000"/>
        <rFont val="Arial"/>
        <charset val="134"/>
      </rPr>
      <t>,</t>
    </r>
    <r>
      <rPr>
        <sz val="9"/>
        <color rgb="FF000000"/>
        <rFont val="楷体"/>
        <charset val="134"/>
      </rPr>
      <t>博纳影业</t>
    </r>
  </si>
  <si>
    <t>普华资本</t>
  </si>
  <si>
    <t>2022-08-18</t>
  </si>
  <si>
    <t>博纳影业</t>
  </si>
  <si>
    <t>博纳影业集团是中国一家全产业链布局的、具有发行能力的影视内容制作公司。业务板块主要包括影视制作、影视发行、影院投资、院线管理、广告营销、艺人经纪等等。</t>
  </si>
  <si>
    <t>博纳影业集团股份有限公司</t>
  </si>
  <si>
    <t>http://ch.bonafilm.cn/</t>
  </si>
  <si>
    <t>2003-08</t>
  </si>
  <si>
    <r>
      <rPr>
        <sz val="9"/>
        <color rgb="FF000000"/>
        <rFont val="Arial"/>
        <charset val="134"/>
      </rPr>
      <t>13.83</t>
    </r>
    <r>
      <rPr>
        <sz val="9"/>
        <color rgb="FF000000"/>
        <rFont val="楷体"/>
        <charset val="134"/>
      </rPr>
      <t>亿人民币</t>
    </r>
  </si>
  <si>
    <r>
      <rPr>
        <sz val="9"/>
        <color rgb="FF000000"/>
        <rFont val="Arial"/>
        <charset val="134"/>
      </rPr>
      <t>77.94</t>
    </r>
    <r>
      <rPr>
        <sz val="9"/>
        <color rgb="FF000000"/>
        <rFont val="楷体"/>
        <charset val="134"/>
      </rPr>
      <t>亿</t>
    </r>
  </si>
  <si>
    <r>
      <rPr>
        <sz val="9"/>
        <color rgb="FF000000"/>
        <rFont val="Arial"/>
        <charset val="134"/>
      </rPr>
      <t>69.15</t>
    </r>
    <r>
      <rPr>
        <sz val="9"/>
        <color rgb="FF000000"/>
        <rFont val="楷体"/>
        <charset val="134"/>
      </rPr>
      <t>亿元</t>
    </r>
  </si>
  <si>
    <r>
      <rPr>
        <sz val="9"/>
        <color rgb="FF000000"/>
        <rFont val="楷体"/>
        <charset val="134"/>
      </rPr>
      <t>于冬</t>
    </r>
    <r>
      <rPr>
        <sz val="9"/>
        <color rgb="FF000000"/>
        <rFont val="Arial"/>
        <charset val="134"/>
      </rPr>
      <t>:CEO</t>
    </r>
  </si>
  <si>
    <r>
      <rPr>
        <sz val="9"/>
        <color rgb="FF000000"/>
        <rFont val="楷体"/>
        <charset val="134"/>
      </rPr>
      <t>北京市朝阳区三丰北里</t>
    </r>
    <r>
      <rPr>
        <sz val="9"/>
        <color rgb="FF000000"/>
        <rFont val="Arial"/>
        <charset val="134"/>
      </rPr>
      <t>1</t>
    </r>
    <r>
      <rPr>
        <sz val="9"/>
        <color rgb="FF000000"/>
        <rFont val="楷体"/>
        <charset val="134"/>
      </rPr>
      <t>号悠唐国际</t>
    </r>
    <r>
      <rPr>
        <sz val="9"/>
        <color rgb="FF000000"/>
        <rFont val="Arial"/>
        <charset val="134"/>
      </rPr>
      <t>A</t>
    </r>
    <r>
      <rPr>
        <sz val="9"/>
        <color rgb="FF000000"/>
        <rFont val="楷体"/>
        <charset val="134"/>
      </rPr>
      <t>座</t>
    </r>
    <r>
      <rPr>
        <sz val="9"/>
        <color rgb="FF000000"/>
        <rFont val="Arial"/>
        <charset val="134"/>
      </rPr>
      <t>18</t>
    </r>
    <r>
      <rPr>
        <sz val="9"/>
        <color rgb="FF000000"/>
        <rFont val="楷体"/>
        <charset val="134"/>
      </rPr>
      <t>层</t>
    </r>
  </si>
  <si>
    <t>010-5631-0700</t>
  </si>
  <si>
    <t>bonafilm@bonafilm.cn</t>
  </si>
  <si>
    <t>2017-05-16</t>
  </si>
  <si>
    <r>
      <rPr>
        <sz val="9"/>
        <color rgb="FF000000"/>
        <rFont val="Arial"/>
        <charset val="134"/>
      </rPr>
      <t>25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</si>
  <si>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金石投资</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国开金融</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新华联集团</t>
    </r>
    <r>
      <rPr>
        <sz val="9"/>
        <color rgb="FF000000"/>
        <rFont val="Arial"/>
        <charset val="134"/>
      </rPr>
      <t>,</t>
    </r>
    <r>
      <rPr>
        <sz val="9"/>
        <color rgb="FF000000"/>
        <rFont val="楷体"/>
        <charset val="134"/>
      </rPr>
      <t>千山资本</t>
    </r>
    <r>
      <rPr>
        <sz val="9"/>
        <color rgb="FF000000"/>
        <rFont val="Arial"/>
        <charset val="134"/>
      </rPr>
      <t>,</t>
    </r>
    <r>
      <rPr>
        <sz val="9"/>
        <color rgb="FF000000"/>
        <rFont val="楷体"/>
        <charset val="134"/>
      </rPr>
      <t>中融鼎新</t>
    </r>
    <r>
      <rPr>
        <sz val="9"/>
        <color rgb="FF000000"/>
        <rFont val="Arial"/>
        <charset val="134"/>
      </rPr>
      <t>,</t>
    </r>
    <r>
      <rPr>
        <sz val="9"/>
        <color rgb="FF000000"/>
        <rFont val="楷体"/>
        <charset val="134"/>
      </rPr>
      <t>中植集团</t>
    </r>
    <r>
      <rPr>
        <sz val="9"/>
        <color rgb="FF000000"/>
        <rFont val="Arial"/>
        <charset val="134"/>
      </rPr>
      <t>,</t>
    </r>
    <r>
      <rPr>
        <sz val="9"/>
        <color rgb="FF000000"/>
        <rFont val="楷体"/>
        <charset val="134"/>
      </rPr>
      <t>工商银行</t>
    </r>
    <r>
      <rPr>
        <sz val="9"/>
        <color rgb="FF000000"/>
        <rFont val="Arial"/>
        <charset val="134"/>
      </rPr>
      <t>,</t>
    </r>
    <r>
      <rPr>
        <sz val="9"/>
        <color rgb="FF000000"/>
        <rFont val="楷体"/>
        <charset val="134"/>
      </rPr>
      <t>海尔资本</t>
    </r>
  </si>
  <si>
    <t>2016-10-01</t>
  </si>
  <si>
    <t>汉富控股</t>
  </si>
  <si>
    <r>
      <rPr>
        <sz val="9"/>
        <color rgb="FF000000"/>
        <rFont val="Arial"/>
        <charset val="134"/>
      </rPr>
      <t>5.89</t>
    </r>
    <r>
      <rPr>
        <sz val="9"/>
        <color rgb="FF000000"/>
        <rFont val="楷体"/>
        <charset val="134"/>
      </rPr>
      <t>亿人民币</t>
    </r>
  </si>
  <si>
    <t>海尔</t>
  </si>
  <si>
    <r>
      <rPr>
        <sz val="9"/>
        <color rgb="FF000000"/>
        <rFont val="Arial"/>
        <charset val="134"/>
      </rPr>
      <t>2.62</t>
    </r>
    <r>
      <rPr>
        <sz val="9"/>
        <color rgb="FF000000"/>
        <rFont val="楷体"/>
        <charset val="134"/>
      </rPr>
      <t>亿人民币</t>
    </r>
  </si>
  <si>
    <t>2016-04-08</t>
  </si>
  <si>
    <t>2010-12-09</t>
  </si>
  <si>
    <t>2010-03-17</t>
  </si>
  <si>
    <t>2009-06-14</t>
  </si>
  <si>
    <r>
      <rPr>
        <sz val="9"/>
        <color rgb="FF000000"/>
        <rFont val="楷体"/>
        <charset val="134"/>
      </rPr>
      <t>红杉资本中国</t>
    </r>
    <r>
      <rPr>
        <sz val="9"/>
        <color rgb="FF000000"/>
        <rFont val="Arial"/>
        <charset val="134"/>
      </rPr>
      <t>,</t>
    </r>
    <r>
      <rPr>
        <sz val="9"/>
        <color rgb="FF000000"/>
        <rFont val="楷体"/>
        <charset val="134"/>
      </rPr>
      <t>经纬创投</t>
    </r>
  </si>
  <si>
    <t>2007-03-17</t>
  </si>
  <si>
    <r>
      <rPr>
        <sz val="9"/>
        <color rgb="FF000000"/>
        <rFont val="楷体"/>
        <charset val="134"/>
      </rPr>
      <t>红杉资本中国</t>
    </r>
    <r>
      <rPr>
        <sz val="9"/>
        <color rgb="FF000000"/>
        <rFont val="Arial"/>
        <charset val="134"/>
      </rPr>
      <t>,SIG</t>
    </r>
    <r>
      <rPr>
        <sz val="9"/>
        <color rgb="FF000000"/>
        <rFont val="楷体"/>
        <charset val="134"/>
      </rPr>
      <t>海纳亚洲</t>
    </r>
  </si>
  <si>
    <t>稻草熊影业</t>
  </si>
  <si>
    <r>
      <rPr>
        <sz val="9"/>
        <color rgb="FF000000"/>
        <rFont val="楷体"/>
        <charset val="134"/>
      </rPr>
      <t>稻草熊影业是一家从事电视剧投资制作发行及影视作品开发的衍生产业，产品有原创</t>
    </r>
    <r>
      <rPr>
        <sz val="9"/>
        <color rgb="FF000000"/>
        <rFont val="Arial"/>
        <charset val="134"/>
      </rPr>
      <t>IP</t>
    </r>
    <r>
      <rPr>
        <sz val="9"/>
        <color rgb="FF000000"/>
        <rFont val="楷体"/>
        <charset val="134"/>
      </rPr>
      <t>影视作品《蜀山战纪之剑侠传奇》等。公司的目标是借助成功的</t>
    </r>
    <r>
      <rPr>
        <sz val="9"/>
        <color rgb="FF000000"/>
        <rFont val="Arial"/>
        <charset val="134"/>
      </rPr>
      <t>IP</t>
    </r>
    <r>
      <rPr>
        <sz val="9"/>
        <color rgb="FF000000"/>
        <rFont val="楷体"/>
        <charset val="134"/>
      </rPr>
      <t>开发业绩以及强大的投资、制作及发行能力，致力于成为互联网驱动的娱乐媒体集团，让大众享受包罗万有且吸引眼球的精彩内容。本公司由知名艺人吴奇隆创办，著名影星刘诗诗、赵丽颖均有持股。</t>
    </r>
  </si>
  <si>
    <t>江苏稻草熊影业有限公司</t>
  </si>
  <si>
    <t>http://weibo.com/jsstrawbear</t>
  </si>
  <si>
    <r>
      <rPr>
        <sz val="9"/>
        <color rgb="FF000000"/>
        <rFont val="Arial"/>
        <charset val="134"/>
      </rPr>
      <t>10.21</t>
    </r>
    <r>
      <rPr>
        <sz val="9"/>
        <color rgb="FF000000"/>
        <rFont val="楷体"/>
        <charset val="134"/>
      </rPr>
      <t>亿港元</t>
    </r>
  </si>
  <si>
    <r>
      <rPr>
        <sz val="9"/>
        <color rgb="FF000000"/>
        <rFont val="Arial"/>
        <charset val="134"/>
      </rPr>
      <t>22.82</t>
    </r>
    <r>
      <rPr>
        <sz val="9"/>
        <color rgb="FF000000"/>
        <rFont val="楷体"/>
        <charset val="134"/>
      </rPr>
      <t>亿</t>
    </r>
  </si>
  <si>
    <r>
      <rPr>
        <sz val="9"/>
        <color rgb="FF000000"/>
        <rFont val="Arial"/>
        <charset val="134"/>
      </rPr>
      <t>36.8</t>
    </r>
    <r>
      <rPr>
        <sz val="9"/>
        <color rgb="FF000000"/>
        <rFont val="楷体"/>
        <charset val="134"/>
      </rPr>
      <t>亿元</t>
    </r>
  </si>
  <si>
    <r>
      <rPr>
        <sz val="9"/>
        <color rgb="FF000000"/>
        <rFont val="楷体"/>
        <charset val="134"/>
      </rPr>
      <t>吴奇隆</t>
    </r>
    <r>
      <rPr>
        <sz val="9"/>
        <color rgb="FF000000"/>
        <rFont val="Arial"/>
        <charset val="134"/>
      </rPr>
      <t>:</t>
    </r>
    <r>
      <rPr>
        <sz val="9"/>
        <color rgb="FF000000"/>
        <rFont val="楷体"/>
        <charset val="134"/>
      </rPr>
      <t>创始人</t>
    </r>
  </si>
  <si>
    <r>
      <rPr>
        <sz val="9"/>
        <color rgb="FF000000"/>
        <rFont val="楷体"/>
        <charset val="134"/>
      </rPr>
      <t>南京市浦口区星甸街道育才北路</t>
    </r>
    <r>
      <rPr>
        <sz val="9"/>
        <color rgb="FF000000"/>
        <rFont val="Arial"/>
        <charset val="134"/>
      </rPr>
      <t>A</t>
    </r>
    <r>
      <rPr>
        <sz val="9"/>
        <color rgb="FF000000"/>
        <rFont val="楷体"/>
        <charset val="134"/>
      </rPr>
      <t>座</t>
    </r>
    <r>
      <rPr>
        <sz val="9"/>
        <color rgb="FF000000"/>
        <rFont val="Arial"/>
        <charset val="134"/>
      </rPr>
      <t>2020</t>
    </r>
    <r>
      <rPr>
        <sz val="9"/>
        <color rgb="FF000000"/>
        <rFont val="楷体"/>
        <charset val="134"/>
      </rPr>
      <t>号</t>
    </r>
  </si>
  <si>
    <t>025-58055551</t>
  </si>
  <si>
    <t>415665008@qq.com</t>
  </si>
  <si>
    <t>2020-12-31</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</si>
  <si>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唯品会</t>
    </r>
    <r>
      <rPr>
        <sz val="9"/>
        <color rgb="FF000000"/>
        <rFont val="Arial"/>
        <charset val="134"/>
      </rPr>
      <t>,</t>
    </r>
    <r>
      <rPr>
        <sz val="9"/>
        <color rgb="FF000000"/>
        <rFont val="楷体"/>
        <charset val="134"/>
      </rPr>
      <t>雪湖资本</t>
    </r>
  </si>
  <si>
    <t>2018-08-16</t>
  </si>
  <si>
    <t>爱奇艺</t>
  </si>
  <si>
    <t>2016-12-26</t>
  </si>
  <si>
    <t>2016-03-14</t>
  </si>
  <si>
    <r>
      <rPr>
        <sz val="9"/>
        <color rgb="FF000000"/>
        <rFont val="Arial"/>
        <charset val="134"/>
      </rPr>
      <t>10.8</t>
    </r>
    <r>
      <rPr>
        <sz val="9"/>
        <color rgb="FF000000"/>
        <rFont val="楷体"/>
        <charset val="134"/>
      </rPr>
      <t>亿人民币</t>
    </r>
  </si>
  <si>
    <t>暴风科技</t>
  </si>
  <si>
    <t>两点十分动漫</t>
  </si>
  <si>
    <t>两点十分动漫是一家动漫创作公司，主要面向二次元群体且非低幼向人群提供动画、漫画研发运营，作品有《银之守墓人》、《爆蛋晶英》等。</t>
  </si>
  <si>
    <t>武汉两点十分文化传播有限公司</t>
  </si>
  <si>
    <t>http://www.2-10.cn/</t>
  </si>
  <si>
    <r>
      <rPr>
        <sz val="9"/>
        <color rgb="FF000000"/>
        <rFont val="楷体"/>
        <charset val="134"/>
      </rPr>
      <t>中文在线</t>
    </r>
    <r>
      <rPr>
        <sz val="9"/>
        <color rgb="FF000000"/>
        <rFont val="Arial"/>
        <charset val="134"/>
      </rPr>
      <t>,</t>
    </r>
    <r>
      <rPr>
        <sz val="9"/>
        <color rgb="FF000000"/>
        <rFont val="楷体"/>
        <charset val="134"/>
      </rPr>
      <t>泡泡玛特</t>
    </r>
    <r>
      <rPr>
        <sz val="9"/>
        <color rgb="FF000000"/>
        <rFont val="Arial"/>
        <charset val="134"/>
      </rPr>
      <t>POP MART,</t>
    </r>
    <r>
      <rPr>
        <sz val="9"/>
        <color rgb="FF000000"/>
        <rFont val="楷体"/>
        <charset val="134"/>
      </rPr>
      <t>鹰角网络</t>
    </r>
  </si>
  <si>
    <r>
      <rPr>
        <sz val="9"/>
        <color rgb="FF000000"/>
        <rFont val="楷体"/>
        <charset val="134"/>
      </rPr>
      <t>王世勇</t>
    </r>
    <r>
      <rPr>
        <sz val="9"/>
        <color rgb="FF000000"/>
        <rFont val="Arial"/>
        <charset val="134"/>
      </rPr>
      <t>:CEO</t>
    </r>
  </si>
  <si>
    <r>
      <rPr>
        <sz val="9"/>
        <color rgb="FF000000"/>
        <rFont val="楷体"/>
        <charset val="134"/>
      </rPr>
      <t>武汉市关山大道光谷创意产业基地</t>
    </r>
    <r>
      <rPr>
        <sz val="9"/>
        <color rgb="FF000000"/>
        <rFont val="Arial"/>
        <charset val="134"/>
      </rPr>
      <t>B</t>
    </r>
    <r>
      <rPr>
        <sz val="9"/>
        <color rgb="FF000000"/>
        <rFont val="楷体"/>
        <charset val="134"/>
      </rPr>
      <t>座</t>
    </r>
    <r>
      <rPr>
        <sz val="9"/>
        <color rgb="FF000000"/>
        <rFont val="Arial"/>
        <charset val="134"/>
      </rPr>
      <t>8</t>
    </r>
    <r>
      <rPr>
        <sz val="9"/>
        <color rgb="FF000000"/>
        <rFont val="楷体"/>
        <charset val="134"/>
      </rPr>
      <t>楼</t>
    </r>
  </si>
  <si>
    <t>027-87223093</t>
  </si>
  <si>
    <t xml:space="preserve"> market@2-10.cn</t>
  </si>
  <si>
    <t>2018-02-10</t>
  </si>
  <si>
    <t>尚之诺投资</t>
  </si>
  <si>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光谷成长</t>
    </r>
  </si>
  <si>
    <t>2016-03-23</t>
  </si>
  <si>
    <r>
      <rPr>
        <sz val="9"/>
        <color rgb="FF000000"/>
        <rFont val="楷体"/>
        <charset val="134"/>
      </rPr>
      <t>峰瑞资本</t>
    </r>
    <r>
      <rPr>
        <sz val="9"/>
        <color rgb="FF000000"/>
        <rFont val="Arial"/>
        <charset val="134"/>
      </rPr>
      <t>,</t>
    </r>
    <r>
      <rPr>
        <sz val="9"/>
        <color rgb="FF000000"/>
        <rFont val="楷体"/>
        <charset val="134"/>
      </rPr>
      <t>博将资本</t>
    </r>
  </si>
  <si>
    <t>麦特文化</t>
  </si>
  <si>
    <t>麦特文化是一家以娱乐营销和影视投资为核心业务的综合性娱乐传媒公司。公司立足于娱乐资源，为有价值的影视公司、高品质影视剧作品、一线娱乐机构以及一线艺人提供综合性营销公关服务，近几年在影视投资、艺人经纪、数据科技等业务领域也获得长足发展。</t>
  </si>
  <si>
    <t>北京麦特文化发展有限公司</t>
  </si>
  <si>
    <r>
      <rPr>
        <sz val="9"/>
        <color rgb="FF000000"/>
        <rFont val="楷体"/>
        <charset val="134"/>
      </rPr>
      <t>陈砺志</t>
    </r>
    <r>
      <rPr>
        <sz val="9"/>
        <color rgb="FF000000"/>
        <rFont val="Arial"/>
        <charset val="134"/>
      </rPr>
      <t>:CEO</t>
    </r>
  </si>
  <si>
    <t>北京市朝阳区酒仙桥路兆维华灯大厦</t>
  </si>
  <si>
    <t>010-8044-9028</t>
  </si>
  <si>
    <t>hr@maxtimes.com.cn</t>
  </si>
  <si>
    <t>2015-02-09</t>
  </si>
  <si>
    <t>杭州星际</t>
  </si>
  <si>
    <r>
      <rPr>
        <sz val="9"/>
        <color rgb="FF000000"/>
        <rFont val="楷体"/>
        <charset val="134"/>
      </rPr>
      <t>杭州星际是一家影视文化公司，主要从事杭州星际影城</t>
    </r>
    <r>
      <rPr>
        <sz val="9"/>
        <color rgb="FF000000"/>
        <rFont val="Arial"/>
        <charset val="134"/>
      </rPr>
      <t>(</t>
    </r>
    <r>
      <rPr>
        <sz val="9"/>
        <color rgb="FF000000"/>
        <rFont val="楷体"/>
        <charset val="134"/>
      </rPr>
      <t>涵盖十一个影厅</t>
    </r>
    <r>
      <rPr>
        <sz val="9"/>
        <color rgb="FF000000"/>
        <rFont val="Arial"/>
        <charset val="134"/>
      </rPr>
      <t>)</t>
    </r>
    <r>
      <rPr>
        <sz val="9"/>
        <color rgb="FF000000"/>
        <rFont val="楷体"/>
        <charset val="134"/>
      </rPr>
      <t>之经营及管理、电影放映及其他相关业务，产业涵盖投资运营电影院、影院设计装修、影院增值产业动漫城网咖水果吧餐饮等领域。</t>
    </r>
  </si>
  <si>
    <t>杭州星际影视文化有限公司</t>
  </si>
  <si>
    <r>
      <rPr>
        <sz val="9"/>
        <color rgb="FF000000"/>
        <rFont val="楷体"/>
        <charset val="134"/>
      </rPr>
      <t>陆炳祥</t>
    </r>
    <r>
      <rPr>
        <sz val="9"/>
        <color rgb="FF000000"/>
        <rFont val="Arial"/>
        <charset val="134"/>
      </rPr>
      <t>:CEO</t>
    </r>
  </si>
  <si>
    <r>
      <rPr>
        <sz val="9"/>
        <color rgb="FF000000"/>
        <rFont val="楷体"/>
        <charset val="134"/>
      </rPr>
      <t>浙江省杭州市下城区石桥路</t>
    </r>
    <r>
      <rPr>
        <sz val="9"/>
        <color rgb="FF000000"/>
        <rFont val="Arial"/>
        <charset val="134"/>
      </rPr>
      <t>468</t>
    </r>
    <r>
      <rPr>
        <sz val="9"/>
        <color rgb="FF000000"/>
        <rFont val="楷体"/>
        <charset val="134"/>
      </rPr>
      <t>号</t>
    </r>
    <r>
      <rPr>
        <sz val="9"/>
        <color rgb="FF000000"/>
        <rFont val="Arial"/>
        <charset val="134"/>
      </rPr>
      <t>201</t>
    </r>
    <r>
      <rPr>
        <sz val="9"/>
        <color rgb="FF000000"/>
        <rFont val="楷体"/>
        <charset val="134"/>
      </rPr>
      <t>室</t>
    </r>
  </si>
  <si>
    <t>2016-11-29</t>
  </si>
  <si>
    <t>和和影业</t>
  </si>
  <si>
    <t>和和影业是一家影视制作公司，致力于电影、电视剧的拍摄，特别致力于为青年导演、演员和编剧构建发展平台，隶属于和和（上海）影业有限公司。</t>
  </si>
  <si>
    <t>和和（上海）影业有限公司</t>
  </si>
  <si>
    <r>
      <rPr>
        <sz val="9"/>
        <color rgb="FF000000"/>
        <rFont val="楷体"/>
        <charset val="134"/>
      </rPr>
      <t>杨巍</t>
    </r>
    <r>
      <rPr>
        <sz val="9"/>
        <color rgb="FF000000"/>
        <rFont val="Arial"/>
        <charset val="134"/>
      </rPr>
      <t>:CEO</t>
    </r>
  </si>
  <si>
    <r>
      <rPr>
        <sz val="9"/>
        <color rgb="FF000000"/>
        <rFont val="楷体"/>
        <charset val="134"/>
      </rPr>
      <t>上海市松江区富永路</t>
    </r>
    <r>
      <rPr>
        <sz val="9"/>
        <color rgb="FF000000"/>
        <rFont val="Arial"/>
        <charset val="134"/>
      </rPr>
      <t>425</t>
    </r>
    <r>
      <rPr>
        <sz val="9"/>
        <color rgb="FF000000"/>
        <rFont val="楷体"/>
        <charset val="134"/>
      </rPr>
      <t>弄</t>
    </r>
    <r>
      <rPr>
        <sz val="9"/>
        <color rgb="FF000000"/>
        <rFont val="Arial"/>
        <charset val="134"/>
      </rPr>
      <t>212</t>
    </r>
    <r>
      <rPr>
        <sz val="9"/>
        <color rgb="FF000000"/>
        <rFont val="楷体"/>
        <charset val="134"/>
      </rPr>
      <t>号</t>
    </r>
    <r>
      <rPr>
        <sz val="9"/>
        <color rgb="FF000000"/>
        <rFont val="Arial"/>
        <charset val="134"/>
      </rPr>
      <t>1282</t>
    </r>
    <r>
      <rPr>
        <sz val="9"/>
        <color rgb="FF000000"/>
        <rFont val="楷体"/>
        <charset val="134"/>
      </rPr>
      <t>室</t>
    </r>
  </si>
  <si>
    <t>13162399855@163.com</t>
  </si>
  <si>
    <t>TicketNew</t>
  </si>
  <si>
    <r>
      <rPr>
        <sz val="9"/>
        <color rgb="FF000000"/>
        <rFont val="Arial"/>
        <charset val="134"/>
      </rPr>
      <t>TicketNew</t>
    </r>
    <r>
      <rPr>
        <sz val="9"/>
        <color rgb="FF000000"/>
        <rFont val="楷体"/>
        <charset val="134"/>
      </rPr>
      <t>是一家印度线上票务公司，</t>
    </r>
    <r>
      <rPr>
        <sz val="9"/>
        <color rgb="FF000000"/>
        <rFont val="Arial"/>
        <charset val="134"/>
      </rPr>
      <t>TicketNew</t>
    </r>
    <r>
      <rPr>
        <sz val="9"/>
        <color rgb="FF000000"/>
        <rFont val="楷体"/>
        <charset val="134"/>
      </rPr>
      <t>平台业务覆盖印度</t>
    </r>
    <r>
      <rPr>
        <sz val="9"/>
        <color rgb="FF000000"/>
        <rFont val="Arial"/>
        <charset val="134"/>
      </rPr>
      <t xml:space="preserve"> 300 </t>
    </r>
    <r>
      <rPr>
        <sz val="9"/>
        <color rgb="FF000000"/>
        <rFont val="楷体"/>
        <charset val="134"/>
      </rPr>
      <t>多座城市，并且整合了单屏影院、电影发行商、电影制作室和电影活动等服务。</t>
    </r>
  </si>
  <si>
    <t>http://www.ticketnews.com/</t>
  </si>
  <si>
    <r>
      <rPr>
        <sz val="9"/>
        <color rgb="FF000000"/>
        <rFont val="Arial"/>
        <charset val="134"/>
      </rPr>
      <t>2.6</t>
    </r>
    <r>
      <rPr>
        <sz val="9"/>
        <color rgb="FF000000"/>
        <rFont val="楷体"/>
        <charset val="134"/>
      </rPr>
      <t>亿</t>
    </r>
  </si>
  <si>
    <r>
      <rPr>
        <sz val="9"/>
        <color rgb="FF000000"/>
        <rFont val="Arial"/>
        <charset val="134"/>
      </rPr>
      <t>13</t>
    </r>
    <r>
      <rPr>
        <sz val="9"/>
        <color rgb="FF000000"/>
        <rFont val="楷体"/>
        <charset val="134"/>
      </rPr>
      <t>亿元</t>
    </r>
  </si>
  <si>
    <t>Nammalvar Ramkumar:Founder and Chief Executive Officer</t>
  </si>
  <si>
    <t>info@ticketnews.com</t>
  </si>
  <si>
    <t>2019-12-02</t>
  </si>
  <si>
    <t>兴格传媒</t>
  </si>
  <si>
    <r>
      <rPr>
        <sz val="9"/>
        <color rgb="FF000000"/>
        <rFont val="楷体"/>
        <charset val="134"/>
      </rPr>
      <t>兴格传媒是一家专注于影视剧、综艺、</t>
    </r>
    <r>
      <rPr>
        <sz val="9"/>
        <color rgb="FF000000"/>
        <rFont val="Arial"/>
        <charset val="134"/>
      </rPr>
      <t>PCG</t>
    </r>
    <r>
      <rPr>
        <sz val="9"/>
        <color rgb="FF000000"/>
        <rFont val="楷体"/>
        <charset val="134"/>
      </rPr>
      <t>和现场娱乐等新生代内容制作和娱乐传播的企业，致力于让每一个喜欢娱乐内容的人通过内容享受娱乐，隶属于上海兴格文化传媒有限公司。</t>
    </r>
  </si>
  <si>
    <t>上海兴格文化传媒有限公司</t>
  </si>
  <si>
    <t>http://www.xgentertainment.com/</t>
  </si>
  <si>
    <t>海通创意资本</t>
  </si>
  <si>
    <r>
      <rPr>
        <sz val="9"/>
        <color rgb="FF000000"/>
        <rFont val="Arial"/>
        <charset val="134"/>
      </rPr>
      <t>11.3</t>
    </r>
    <r>
      <rPr>
        <sz val="9"/>
        <color rgb="FF000000"/>
        <rFont val="楷体"/>
        <charset val="134"/>
      </rPr>
      <t>亿</t>
    </r>
  </si>
  <si>
    <r>
      <rPr>
        <sz val="9"/>
        <color rgb="FF000000"/>
        <rFont val="楷体"/>
        <charset val="134"/>
      </rPr>
      <t>杨文红</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黄海晨</t>
    </r>
    <r>
      <rPr>
        <sz val="9"/>
        <color rgb="FF000000"/>
        <rFont val="Arial"/>
        <charset val="134"/>
      </rPr>
      <t>:</t>
    </r>
    <r>
      <rPr>
        <sz val="9"/>
        <color rgb="FF000000"/>
        <rFont val="楷体"/>
        <charset val="134"/>
      </rPr>
      <t>联合创始人</t>
    </r>
  </si>
  <si>
    <r>
      <rPr>
        <sz val="9"/>
        <color rgb="FF000000"/>
        <rFont val="楷体"/>
        <charset val="134"/>
      </rPr>
      <t>上海黄浦区中山东二路</t>
    </r>
    <r>
      <rPr>
        <sz val="9"/>
        <color rgb="FF000000"/>
        <rFont val="Arial"/>
        <charset val="134"/>
      </rPr>
      <t>88</t>
    </r>
    <r>
      <rPr>
        <sz val="9"/>
        <color rgb="FF000000"/>
        <rFont val="楷体"/>
        <charset val="134"/>
      </rPr>
      <t>号外滩</t>
    </r>
    <r>
      <rPr>
        <sz val="9"/>
        <color rgb="FF000000"/>
        <rFont val="Arial"/>
        <charset val="134"/>
      </rPr>
      <t>SOHOC</t>
    </r>
    <r>
      <rPr>
        <sz val="9"/>
        <color rgb="FF000000"/>
        <rFont val="楷体"/>
        <charset val="134"/>
      </rPr>
      <t>座</t>
    </r>
    <r>
      <rPr>
        <sz val="9"/>
        <color rgb="FF000000"/>
        <rFont val="Arial"/>
        <charset val="134"/>
      </rPr>
      <t>1501-1502</t>
    </r>
  </si>
  <si>
    <t>021-6333-3890</t>
  </si>
  <si>
    <t>xg@xgentertainment.com</t>
  </si>
  <si>
    <r>
      <rPr>
        <sz val="9"/>
        <color rgb="FF000000"/>
        <rFont val="楷体"/>
        <charset val="134"/>
      </rPr>
      <t>新文化</t>
    </r>
    <r>
      <rPr>
        <sz val="9"/>
        <color rgb="FF000000"/>
        <rFont val="Arial"/>
        <charset val="134"/>
      </rPr>
      <t>,</t>
    </r>
    <r>
      <rPr>
        <sz val="9"/>
        <color rgb="FF000000"/>
        <rFont val="楷体"/>
        <charset val="134"/>
      </rPr>
      <t>优酷</t>
    </r>
    <r>
      <rPr>
        <sz val="9"/>
        <color rgb="FF000000"/>
        <rFont val="Arial"/>
        <charset val="134"/>
      </rPr>
      <t>,</t>
    </r>
    <r>
      <rPr>
        <sz val="9"/>
        <color rgb="FF000000"/>
        <rFont val="楷体"/>
        <charset val="134"/>
      </rPr>
      <t>中金公司</t>
    </r>
  </si>
  <si>
    <r>
      <rPr>
        <sz val="9"/>
        <color rgb="FF000000"/>
        <rFont val="楷体"/>
        <charset val="134"/>
      </rPr>
      <t>云锋基金</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</si>
  <si>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t>2020-10-09</t>
  </si>
  <si>
    <t>灵河传媒</t>
  </si>
  <si>
    <t>灵河传媒是一家影视制作出品服务提供商，公司先后制作出品了《老九门》、《暗黑者》系列、《执念师》系列、《鬼吹灯》、《盗墓笔记》等作品，致力于为用户提供优质的影视作品内容。</t>
  </si>
  <si>
    <t>灵河文化传媒（上海）有限公司</t>
  </si>
  <si>
    <t>http://weibo.com/u/5265125521</t>
  </si>
  <si>
    <r>
      <rPr>
        <sz val="9"/>
        <color rgb="FF000000"/>
        <rFont val="楷体"/>
        <charset val="134"/>
      </rPr>
      <t>白一骢</t>
    </r>
    <r>
      <rPr>
        <sz val="9"/>
        <color rgb="FF000000"/>
        <rFont val="Arial"/>
        <charset val="134"/>
      </rPr>
      <t>:CEO</t>
    </r>
  </si>
  <si>
    <r>
      <rPr>
        <sz val="9"/>
        <color rgb="FF000000"/>
        <rFont val="楷体"/>
        <charset val="134"/>
      </rPr>
      <t>紫星路</t>
    </r>
    <r>
      <rPr>
        <sz val="9"/>
        <color rgb="FF000000"/>
        <rFont val="Arial"/>
        <charset val="134"/>
      </rPr>
      <t>588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2173</t>
    </r>
    <r>
      <rPr>
        <sz val="9"/>
        <color rgb="FF000000"/>
        <rFont val="楷体"/>
        <charset val="134"/>
      </rPr>
      <t>室</t>
    </r>
  </si>
  <si>
    <t>2017-03-09</t>
  </si>
  <si>
    <t>2016-11-10</t>
  </si>
  <si>
    <r>
      <rPr>
        <sz val="9"/>
        <color rgb="FF000000"/>
        <rFont val="楷体"/>
        <charset val="134"/>
      </rPr>
      <t>腾讯投资</t>
    </r>
    <r>
      <rPr>
        <sz val="9"/>
        <color rgb="FF000000"/>
        <rFont val="Arial"/>
        <charset val="134"/>
      </rPr>
      <t>,</t>
    </r>
    <r>
      <rPr>
        <sz val="9"/>
        <color rgb="FF000000"/>
        <rFont val="楷体"/>
        <charset val="134"/>
      </rPr>
      <t>禾欣股份</t>
    </r>
    <r>
      <rPr>
        <sz val="9"/>
        <color rgb="FF000000"/>
        <rFont val="Arial"/>
        <charset val="134"/>
      </rPr>
      <t>-</t>
    </r>
    <r>
      <rPr>
        <sz val="9"/>
        <color rgb="FF000000"/>
        <rFont val="楷体"/>
        <charset val="134"/>
      </rPr>
      <t>慈文传媒</t>
    </r>
    <r>
      <rPr>
        <sz val="9"/>
        <color rgb="FF000000"/>
        <rFont val="Arial"/>
        <charset val="134"/>
      </rPr>
      <t>,</t>
    </r>
    <r>
      <rPr>
        <sz val="9"/>
        <color rgb="FF000000"/>
        <rFont val="楷体"/>
        <charset val="134"/>
      </rPr>
      <t>富厚创投</t>
    </r>
  </si>
  <si>
    <t>2020-03-19</t>
  </si>
  <si>
    <t>银河酷娱</t>
  </si>
  <si>
    <r>
      <rPr>
        <sz val="9"/>
        <color rgb="FF000000"/>
        <rFont val="楷体"/>
        <charset val="134"/>
      </rPr>
      <t>银河酷娱是一家互联网娱乐公司，专注于互联网视频内容的孵化、生产、</t>
    </r>
    <r>
      <rPr>
        <sz val="9"/>
        <color rgb="FF000000"/>
        <rFont val="Arial"/>
        <charset val="134"/>
      </rPr>
      <t>IP</t>
    </r>
    <r>
      <rPr>
        <sz val="9"/>
        <color rgb="FF000000"/>
        <rFont val="楷体"/>
        <charset val="134"/>
      </rPr>
      <t>衍生经营，与优酷等互联网视频平台进行深度合作，打通网络视频内容全产业链条，《火星情报局》是银河酷娱孵化的第一个网综</t>
    </r>
    <r>
      <rPr>
        <sz val="9"/>
        <color rgb="FF000000"/>
        <rFont val="Arial"/>
        <charset val="134"/>
      </rPr>
      <t>IP</t>
    </r>
    <r>
      <rPr>
        <sz val="9"/>
        <color rgb="FF000000"/>
        <rFont val="楷体"/>
        <charset val="134"/>
      </rPr>
      <t>，是汪涵参与的首档网生综艺节目。</t>
    </r>
  </si>
  <si>
    <t>天津银河酷娱文化传媒有限公司</t>
  </si>
  <si>
    <r>
      <rPr>
        <sz val="9"/>
        <color rgb="FF000000"/>
        <rFont val="Arial"/>
        <charset val="134"/>
      </rPr>
      <t>6.3</t>
    </r>
    <r>
      <rPr>
        <sz val="9"/>
        <color rgb="FF000000"/>
        <rFont val="楷体"/>
        <charset val="134"/>
      </rPr>
      <t>亿</t>
    </r>
  </si>
  <si>
    <r>
      <rPr>
        <sz val="9"/>
        <color rgb="FF000000"/>
        <rFont val="楷体"/>
        <charset val="134"/>
      </rPr>
      <t>李炜</t>
    </r>
    <r>
      <rPr>
        <sz val="9"/>
        <color rgb="FF000000"/>
        <rFont val="Arial"/>
        <charset val="134"/>
      </rPr>
      <t>:CEO</t>
    </r>
  </si>
  <si>
    <t>天津滨海新区中新生态城</t>
  </si>
  <si>
    <t>010-8531-5010</t>
  </si>
  <si>
    <t>qinyue@yinhekuyu.com</t>
  </si>
  <si>
    <t>2017-06-27</t>
  </si>
  <si>
    <r>
      <rPr>
        <sz val="9"/>
        <color rgb="FF000000"/>
        <rFont val="楷体"/>
        <charset val="134"/>
      </rPr>
      <t>云锋基金</t>
    </r>
    <r>
      <rPr>
        <sz val="9"/>
        <color rgb="FF000000"/>
        <rFont val="Arial"/>
        <charset val="134"/>
      </rPr>
      <t>,</t>
    </r>
    <r>
      <rPr>
        <sz val="9"/>
        <color rgb="FF000000"/>
        <rFont val="楷体"/>
        <charset val="134"/>
      </rPr>
      <t>优酷</t>
    </r>
    <r>
      <rPr>
        <sz val="9"/>
        <color rgb="FF000000"/>
        <rFont val="Arial"/>
        <charset val="134"/>
      </rPr>
      <t>,</t>
    </r>
    <r>
      <rPr>
        <sz val="9"/>
        <color rgb="FF000000"/>
        <rFont val="楷体"/>
        <charset val="134"/>
      </rPr>
      <t>洪泰基金</t>
    </r>
  </si>
  <si>
    <r>
      <rPr>
        <sz val="9"/>
        <color rgb="FF000000"/>
        <rFont val="楷体"/>
        <charset val="134"/>
      </rPr>
      <t>拓维信息</t>
    </r>
    <r>
      <rPr>
        <sz val="9"/>
        <color rgb="FF000000"/>
        <rFont val="Arial"/>
        <charset val="134"/>
      </rPr>
      <t>,</t>
    </r>
    <r>
      <rPr>
        <sz val="9"/>
        <color rgb="FF000000"/>
        <rFont val="楷体"/>
        <charset val="134"/>
      </rPr>
      <t>优酷</t>
    </r>
  </si>
  <si>
    <t>2016-08-17</t>
  </si>
  <si>
    <t>希映文化</t>
  </si>
  <si>
    <t>希映文化，一家开发、制作并发行具有国际合作基因的高品质电影的影业公司，隶属上海希映文化传播有限公司</t>
  </si>
  <si>
    <t>上海希映文化传播有限公司</t>
  </si>
  <si>
    <r>
      <rPr>
        <sz val="9"/>
        <color rgb="FF000000"/>
        <rFont val="楷体"/>
        <charset val="134"/>
      </rPr>
      <t>刘晓巧</t>
    </r>
    <r>
      <rPr>
        <sz val="9"/>
        <color rgb="FF000000"/>
        <rFont val="Arial"/>
        <charset val="134"/>
      </rPr>
      <t>:</t>
    </r>
    <r>
      <rPr>
        <sz val="9"/>
        <color rgb="FF000000"/>
        <rFont val="楷体"/>
        <charset val="134"/>
      </rPr>
      <t>创始人</t>
    </r>
  </si>
  <si>
    <r>
      <rPr>
        <sz val="9"/>
        <color rgb="FF000000"/>
        <rFont val="楷体"/>
        <charset val="134"/>
      </rPr>
      <t>浦东新区书院镇石潭街</t>
    </r>
    <r>
      <rPr>
        <sz val="9"/>
        <color rgb="FF000000"/>
        <rFont val="Arial"/>
        <charset val="134"/>
      </rPr>
      <t>109</t>
    </r>
    <r>
      <rPr>
        <sz val="9"/>
        <color rgb="FF000000"/>
        <rFont val="楷体"/>
        <charset val="134"/>
      </rPr>
      <t>号</t>
    </r>
    <r>
      <rPr>
        <sz val="9"/>
        <color rgb="FF000000"/>
        <rFont val="Arial"/>
        <charset val="134"/>
      </rPr>
      <t>242</t>
    </r>
    <r>
      <rPr>
        <sz val="9"/>
        <color rgb="FF000000"/>
        <rFont val="楷体"/>
        <charset val="134"/>
      </rPr>
      <t>室</t>
    </r>
  </si>
  <si>
    <t xml:space="preserve">136-3660-0712 </t>
  </si>
  <si>
    <t>122723593@qq.com</t>
  </si>
  <si>
    <t>派瑞影院</t>
  </si>
  <si>
    <t>派瑞影院，专注于开发和制作华语电影，隶属南京派瑞影院管理有限公司。</t>
  </si>
  <si>
    <t>南京派瑞影院管理有限公司</t>
  </si>
  <si>
    <r>
      <rPr>
        <sz val="9"/>
        <color rgb="FF000000"/>
        <rFont val="楷体"/>
        <charset val="134"/>
      </rPr>
      <t>雷鸣</t>
    </r>
    <r>
      <rPr>
        <sz val="9"/>
        <color rgb="FF000000"/>
        <rFont val="Arial"/>
        <charset val="134"/>
      </rPr>
      <t>:</t>
    </r>
    <r>
      <rPr>
        <sz val="9"/>
        <color rgb="FF000000"/>
        <rFont val="楷体"/>
        <charset val="134"/>
      </rPr>
      <t>创始人</t>
    </r>
  </si>
  <si>
    <r>
      <rPr>
        <sz val="9"/>
        <color rgb="FF000000"/>
        <rFont val="楷体"/>
        <charset val="134"/>
      </rPr>
      <t>南京市雨花台区郁金香路</t>
    </r>
    <r>
      <rPr>
        <sz val="9"/>
        <color rgb="FF000000"/>
        <rFont val="Arial"/>
        <charset val="134"/>
      </rPr>
      <t>27</t>
    </r>
    <r>
      <rPr>
        <sz val="9"/>
        <color rgb="FF000000"/>
        <rFont val="楷体"/>
        <charset val="134"/>
      </rPr>
      <t>号</t>
    </r>
  </si>
  <si>
    <t>025-87792480</t>
  </si>
  <si>
    <t>13851688007@163.com</t>
  </si>
  <si>
    <t>悦凯影视</t>
  </si>
  <si>
    <t>悦凯影视是一家从事电视剧投资制作发行及影视作品开发的文化娱乐公司，集聚当红人气艺人，拥有专业制作、发行、营销团队，旗下艺人包括杨洋、颖儿。</t>
  </si>
  <si>
    <t>北京悦凯影视有限公司</t>
  </si>
  <si>
    <r>
      <rPr>
        <sz val="9"/>
        <color rgb="FF000000"/>
        <rFont val="Arial"/>
        <charset val="134"/>
      </rPr>
      <t>16.7</t>
    </r>
    <r>
      <rPr>
        <sz val="9"/>
        <color rgb="FF000000"/>
        <rFont val="楷体"/>
        <charset val="134"/>
      </rPr>
      <t>亿人民币</t>
    </r>
  </si>
  <si>
    <t>文投控股</t>
  </si>
  <si>
    <r>
      <rPr>
        <sz val="9"/>
        <color rgb="FF000000"/>
        <rFont val="Arial"/>
        <charset val="134"/>
      </rPr>
      <t>17.4</t>
    </r>
    <r>
      <rPr>
        <sz val="9"/>
        <color rgb="FF000000"/>
        <rFont val="楷体"/>
        <charset val="134"/>
      </rPr>
      <t>亿</t>
    </r>
  </si>
  <si>
    <r>
      <rPr>
        <sz val="9"/>
        <color rgb="FF000000"/>
        <rFont val="Arial"/>
        <charset val="134"/>
      </rPr>
      <t>83.5</t>
    </r>
    <r>
      <rPr>
        <sz val="9"/>
        <color rgb="FF000000"/>
        <rFont val="楷体"/>
        <charset val="134"/>
      </rPr>
      <t>亿元</t>
    </r>
  </si>
  <si>
    <r>
      <rPr>
        <sz val="9"/>
        <color rgb="FF000000"/>
        <rFont val="楷体"/>
        <charset val="134"/>
      </rPr>
      <t>贾士凯</t>
    </r>
    <r>
      <rPr>
        <sz val="9"/>
        <color rgb="FF000000"/>
        <rFont val="Arial"/>
        <charset val="134"/>
      </rPr>
      <t>:</t>
    </r>
    <r>
      <rPr>
        <sz val="9"/>
        <color rgb="FF000000"/>
        <rFont val="楷体"/>
        <charset val="134"/>
      </rPr>
      <t>创始人</t>
    </r>
  </si>
  <si>
    <r>
      <rPr>
        <sz val="9"/>
        <color rgb="FF000000"/>
        <rFont val="楷体"/>
        <charset val="134"/>
      </rPr>
      <t>北京市海淀区东北旺村南</t>
    </r>
    <r>
      <rPr>
        <sz val="9"/>
        <color rgb="FF000000"/>
        <rFont val="Arial"/>
        <charset val="134"/>
      </rPr>
      <t>1</t>
    </r>
    <r>
      <rPr>
        <sz val="9"/>
        <color rgb="FF000000"/>
        <rFont val="楷体"/>
        <charset val="134"/>
      </rPr>
      <t>号楼</t>
    </r>
    <r>
      <rPr>
        <sz val="9"/>
        <color rgb="FF000000"/>
        <rFont val="Arial"/>
        <charset val="134"/>
      </rPr>
      <t>6</t>
    </r>
    <r>
      <rPr>
        <sz val="9"/>
        <color rgb="FF000000"/>
        <rFont val="楷体"/>
        <charset val="134"/>
      </rPr>
      <t>层</t>
    </r>
    <r>
      <rPr>
        <sz val="9"/>
        <color rgb="FF000000"/>
        <rFont val="Arial"/>
        <charset val="134"/>
      </rPr>
      <t>B615</t>
    </r>
    <r>
      <rPr>
        <sz val="9"/>
        <color rgb="FF000000"/>
        <rFont val="楷体"/>
        <charset val="134"/>
      </rPr>
      <t>室</t>
    </r>
  </si>
  <si>
    <t>010-65819060</t>
  </si>
  <si>
    <t>shuixiulu@yuekaimedia.com</t>
  </si>
  <si>
    <t>耀客传媒</t>
  </si>
  <si>
    <t>2016-09-29</t>
  </si>
  <si>
    <t>上海影视传媒</t>
  </si>
  <si>
    <t>申城影业有限公司是一家致力于影视剧投资、制作、发行、文化演出及经纪业务为核心的影视公司。</t>
  </si>
  <si>
    <t>上海影视传媒股份有限公司</t>
  </si>
  <si>
    <t>http://shanghai-pictures.com/</t>
  </si>
  <si>
    <r>
      <rPr>
        <sz val="9"/>
        <color rgb="FF000000"/>
        <rFont val="楷体"/>
        <charset val="134"/>
      </rPr>
      <t>腾讯投资</t>
    </r>
    <r>
      <rPr>
        <sz val="9"/>
        <color rgb="FF000000"/>
        <rFont val="Arial"/>
        <charset val="134"/>
      </rPr>
      <t>,</t>
    </r>
    <r>
      <rPr>
        <sz val="9"/>
        <color rgb="FF000000"/>
        <rFont val="楷体"/>
        <charset val="134"/>
      </rPr>
      <t>中民投</t>
    </r>
  </si>
  <si>
    <r>
      <rPr>
        <sz val="9"/>
        <color rgb="FF000000"/>
        <rFont val="楷体"/>
        <charset val="134"/>
      </rPr>
      <t>朱辉龙</t>
    </r>
    <r>
      <rPr>
        <sz val="9"/>
        <color rgb="FF000000"/>
        <rFont val="Arial"/>
        <charset val="134"/>
      </rPr>
      <t>:</t>
    </r>
    <r>
      <rPr>
        <sz val="9"/>
        <color rgb="FF000000"/>
        <rFont val="楷体"/>
        <charset val="134"/>
      </rPr>
      <t>创始人</t>
    </r>
  </si>
  <si>
    <r>
      <rPr>
        <sz val="9"/>
        <color rgb="FF000000"/>
        <rFont val="楷体"/>
        <charset val="134"/>
      </rPr>
      <t>上海市静安区华山路</t>
    </r>
    <r>
      <rPr>
        <sz val="9"/>
        <color rgb="FF000000"/>
        <rFont val="Arial"/>
        <charset val="134"/>
      </rPr>
      <t>620</t>
    </r>
    <r>
      <rPr>
        <sz val="9"/>
        <color rgb="FF000000"/>
        <rFont val="楷体"/>
        <charset val="134"/>
      </rPr>
      <t>号</t>
    </r>
    <r>
      <rPr>
        <sz val="9"/>
        <color rgb="FF000000"/>
        <rFont val="Arial"/>
        <charset val="134"/>
      </rPr>
      <t>2</t>
    </r>
    <r>
      <rPr>
        <sz val="9"/>
        <color rgb="FF000000"/>
        <rFont val="楷体"/>
        <charset val="134"/>
      </rPr>
      <t>层</t>
    </r>
    <r>
      <rPr>
        <sz val="9"/>
        <color rgb="FF000000"/>
        <rFont val="Arial"/>
        <charset val="134"/>
      </rPr>
      <t>;</t>
    </r>
    <r>
      <rPr>
        <sz val="9"/>
        <color rgb="FF000000"/>
        <rFont val="楷体"/>
        <charset val="134"/>
      </rPr>
      <t>上海市静安区华山路</t>
    </r>
    <r>
      <rPr>
        <sz val="9"/>
        <color rgb="FF000000"/>
        <rFont val="Arial"/>
        <charset val="134"/>
      </rPr>
      <t>620</t>
    </r>
    <r>
      <rPr>
        <sz val="9"/>
        <color rgb="FF000000"/>
        <rFont val="楷体"/>
        <charset val="134"/>
      </rPr>
      <t>号</t>
    </r>
    <r>
      <rPr>
        <sz val="9"/>
        <color rgb="FF000000"/>
        <rFont val="Arial"/>
        <charset val="134"/>
      </rPr>
      <t>2</t>
    </r>
    <r>
      <rPr>
        <sz val="9"/>
        <color rgb="FF000000"/>
        <rFont val="楷体"/>
        <charset val="134"/>
      </rPr>
      <t>楼</t>
    </r>
  </si>
  <si>
    <t>021-62488110</t>
  </si>
  <si>
    <t>shenchengyingye@shanghai-pictures.com</t>
  </si>
  <si>
    <t>2017-10-11</t>
  </si>
  <si>
    <t>2016-06-02</t>
  </si>
  <si>
    <t>2016-10-19</t>
  </si>
  <si>
    <t>鸣涧影业</t>
  </si>
  <si>
    <t>鸣涧影业参与运营和出品了诸多业界代表性的作品，包括捉妖记、智取威虎山、中国合伙人、建党伟业、狼图腾、致青春、疯狂的石头、万万没想到等，累积票房过百亿。</t>
  </si>
  <si>
    <t>上海鸣涧影业有限公司</t>
  </si>
  <si>
    <r>
      <rPr>
        <sz val="9"/>
        <color rgb="FF000000"/>
        <rFont val="楷体"/>
        <charset val="134"/>
      </rPr>
      <t>创新工场</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</si>
  <si>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r>
      <rPr>
        <sz val="9"/>
        <color rgb="FF000000"/>
        <rFont val="楷体"/>
        <charset val="134"/>
      </rPr>
      <t>朱辉龙</t>
    </r>
    <r>
      <rPr>
        <sz val="9"/>
        <color rgb="FF000000"/>
        <rFont val="Arial"/>
        <charset val="134"/>
      </rPr>
      <t>:</t>
    </r>
    <r>
      <rPr>
        <sz val="9"/>
        <color rgb="FF000000"/>
        <rFont val="楷体"/>
        <charset val="134"/>
      </rPr>
      <t>董事长</t>
    </r>
  </si>
  <si>
    <r>
      <rPr>
        <sz val="9"/>
        <color rgb="FF000000"/>
        <rFont val="楷体"/>
        <charset val="134"/>
      </rPr>
      <t>紫星路</t>
    </r>
    <r>
      <rPr>
        <sz val="9"/>
        <color rgb="FF000000"/>
        <rFont val="Arial"/>
        <charset val="134"/>
      </rPr>
      <t>588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2003</t>
    </r>
    <r>
      <rPr>
        <sz val="9"/>
        <color rgb="FF000000"/>
        <rFont val="楷体"/>
        <charset val="134"/>
      </rPr>
      <t>室</t>
    </r>
  </si>
  <si>
    <t>2018-10-29</t>
  </si>
  <si>
    <t>海马轻帆</t>
  </si>
  <si>
    <r>
      <rPr>
        <sz val="9"/>
        <color rgb="FF000000"/>
        <rFont val="楷体"/>
        <charset val="134"/>
      </rPr>
      <t>海马轻帆就着手研发基于</t>
    </r>
    <r>
      <rPr>
        <sz val="9"/>
        <color rgb="FF000000"/>
        <rFont val="Arial"/>
        <charset val="134"/>
      </rPr>
      <t xml:space="preserve"> NLP</t>
    </r>
    <r>
      <rPr>
        <sz val="9"/>
        <color rgb="FF000000"/>
        <rFont val="楷体"/>
        <charset val="134"/>
      </rPr>
      <t>（自然语言处理）和机器学习的内容</t>
    </r>
    <r>
      <rPr>
        <sz val="9"/>
        <color rgb="FF000000"/>
        <rFont val="Arial"/>
        <charset val="134"/>
      </rPr>
      <t xml:space="preserve"> AI </t>
    </r>
    <r>
      <rPr>
        <sz val="9"/>
        <color rgb="FF000000"/>
        <rFont val="楷体"/>
        <charset val="134"/>
      </rPr>
      <t>分析系统，以实现内容产业</t>
    </r>
    <r>
      <rPr>
        <sz val="9"/>
        <color rgb="FF000000"/>
        <rFont val="Arial"/>
        <charset val="134"/>
      </rPr>
      <t xml:space="preserve"> IP </t>
    </r>
    <r>
      <rPr>
        <sz val="9"/>
        <color rgb="FF000000"/>
        <rFont val="楷体"/>
        <charset val="134"/>
      </rPr>
      <t>孵化的工业化及编剧工业化。研发出一套</t>
    </r>
    <r>
      <rPr>
        <sz val="9"/>
        <color rgb="FF000000"/>
        <rFont val="Arial"/>
        <charset val="134"/>
      </rPr>
      <t xml:space="preserve"> AI </t>
    </r>
    <r>
      <rPr>
        <sz val="9"/>
        <color rgb="FF000000"/>
        <rFont val="楷体"/>
        <charset val="134"/>
      </rPr>
      <t>文本检测分析系统，能够有效分析、筛选优质内容，预判</t>
    </r>
    <r>
      <rPr>
        <sz val="9"/>
        <color rgb="FF000000"/>
        <rFont val="Arial"/>
        <charset val="134"/>
      </rPr>
      <t xml:space="preserve"> IP </t>
    </r>
    <r>
      <rPr>
        <sz val="9"/>
        <color rgb="FF000000"/>
        <rFont val="楷体"/>
        <charset val="134"/>
      </rPr>
      <t>是否有爆款潜质和市场价值，降低改编风险。</t>
    </r>
  </si>
  <si>
    <t>北京海马轻帆娱乐科技有限公司</t>
  </si>
  <si>
    <t>http://www.haimaqingfan.com/</t>
  </si>
  <si>
    <r>
      <rPr>
        <sz val="9"/>
        <color rgb="FF000000"/>
        <rFont val="楷体"/>
        <charset val="134"/>
      </rPr>
      <t>刘笑逸</t>
    </r>
    <r>
      <rPr>
        <sz val="9"/>
        <color rgb="FF000000"/>
        <rFont val="Arial"/>
        <charset val="134"/>
      </rPr>
      <t>:</t>
    </r>
    <r>
      <rPr>
        <sz val="9"/>
        <color rgb="FF000000"/>
        <rFont val="楷体"/>
        <charset val="134"/>
      </rPr>
      <t>执行董事</t>
    </r>
  </si>
  <si>
    <r>
      <rPr>
        <sz val="9"/>
        <color rgb="FF000000"/>
        <rFont val="楷体"/>
        <charset val="134"/>
      </rPr>
      <t>北京市朝阳望京</t>
    </r>
    <r>
      <rPr>
        <sz val="9"/>
        <color rgb="FF000000"/>
        <rFont val="Arial"/>
        <charset val="134"/>
      </rPr>
      <t>SOHO T1 B</t>
    </r>
    <r>
      <rPr>
        <sz val="9"/>
        <color rgb="FF000000"/>
        <rFont val="楷体"/>
        <charset val="134"/>
      </rPr>
      <t>座</t>
    </r>
    <r>
      <rPr>
        <sz val="9"/>
        <color rgb="FF000000"/>
        <rFont val="Arial"/>
        <charset val="134"/>
      </rPr>
      <t xml:space="preserve"> 1105</t>
    </r>
  </si>
  <si>
    <t>010-6475-9871</t>
  </si>
  <si>
    <t>banquan@haimaqingfan.com</t>
  </si>
  <si>
    <t>光源资本</t>
  </si>
  <si>
    <t>2017-03-22</t>
  </si>
  <si>
    <t>好酷影视</t>
  </si>
  <si>
    <r>
      <rPr>
        <sz val="9"/>
        <color rgb="FF000000"/>
        <rFont val="楷体"/>
        <charset val="134"/>
      </rPr>
      <t>好酷影视是一家影视内容供应商，专注于女性和青春题材的精品剧的创作，拥有众多热门</t>
    </r>
    <r>
      <rPr>
        <sz val="9"/>
        <color rgb="FF000000"/>
        <rFont val="Arial"/>
        <charset val="134"/>
      </rPr>
      <t>IP</t>
    </r>
    <r>
      <rPr>
        <sz val="9"/>
        <color rgb="FF000000"/>
        <rFont val="楷体"/>
        <charset val="134"/>
      </rPr>
      <t>，主要业务包括精品影视剧内容制作、发行和艺人经纪。目前已有多部影视剧开始筹备拍摄制作。</t>
    </r>
  </si>
  <si>
    <t>浙江好酷影视有限公司</t>
  </si>
  <si>
    <r>
      <rPr>
        <sz val="9"/>
        <color rgb="FF000000"/>
        <rFont val="楷体"/>
        <charset val="134"/>
      </rPr>
      <t>云锋基金</t>
    </r>
    <r>
      <rPr>
        <sz val="9"/>
        <color rgb="FF000000"/>
        <rFont val="Arial"/>
        <charset val="134"/>
      </rPr>
      <t>,</t>
    </r>
    <r>
      <rPr>
        <sz val="9"/>
        <color rgb="FF000000"/>
        <rFont val="楷体"/>
        <charset val="134"/>
      </rPr>
      <t>优酷</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</si>
  <si>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r>
      <rPr>
        <sz val="9"/>
        <color rgb="FF000000"/>
        <rFont val="楷体"/>
        <charset val="134"/>
      </rPr>
      <t>姚嘉</t>
    </r>
    <r>
      <rPr>
        <sz val="9"/>
        <color rgb="FF000000"/>
        <rFont val="Arial"/>
        <charset val="134"/>
      </rPr>
      <t>:</t>
    </r>
    <r>
      <rPr>
        <sz val="9"/>
        <color rgb="FF000000"/>
        <rFont val="楷体"/>
        <charset val="134"/>
      </rPr>
      <t>董事长</t>
    </r>
  </si>
  <si>
    <r>
      <rPr>
        <sz val="9"/>
        <color rgb="FF000000"/>
        <rFont val="楷体"/>
        <charset val="134"/>
      </rPr>
      <t>浙江省杭州市余杭区乔司街道汀兰街</t>
    </r>
    <r>
      <rPr>
        <sz val="9"/>
        <color rgb="FF000000"/>
        <rFont val="Arial"/>
        <charset val="134"/>
      </rPr>
      <t>251</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139</t>
    </r>
    <r>
      <rPr>
        <sz val="9"/>
        <color rgb="FF000000"/>
        <rFont val="楷体"/>
        <charset val="134"/>
      </rPr>
      <t>、</t>
    </r>
    <r>
      <rPr>
        <sz val="9"/>
        <color rgb="FF000000"/>
        <rFont val="Arial"/>
        <charset val="134"/>
      </rPr>
      <t>140</t>
    </r>
    <r>
      <rPr>
        <sz val="9"/>
        <color rgb="FF000000"/>
        <rFont val="楷体"/>
        <charset val="134"/>
      </rPr>
      <t>室</t>
    </r>
  </si>
  <si>
    <t>0571-86089111</t>
  </si>
  <si>
    <t>2019-03-20</t>
  </si>
  <si>
    <t>比特星光</t>
  </si>
  <si>
    <r>
      <rPr>
        <sz val="9"/>
        <color rgb="FF000000"/>
        <rFont val="楷体"/>
        <charset val="134"/>
      </rPr>
      <t>比特星光是一家时尚短视频分享应用开发商，公司专注于短视频领域，旗下拥有时尚短视频分享社区</t>
    </r>
    <r>
      <rPr>
        <sz val="9"/>
        <color rgb="FF000000"/>
        <rFont val="Arial"/>
        <charset val="134"/>
      </rPr>
      <t>“</t>
    </r>
    <r>
      <rPr>
        <sz val="9"/>
        <color rgb="FF000000"/>
        <rFont val="楷体"/>
        <charset val="134"/>
      </rPr>
      <t>糖衣</t>
    </r>
    <r>
      <rPr>
        <sz val="9"/>
        <color rgb="FF000000"/>
        <rFont val="Arial"/>
        <charset val="134"/>
      </rPr>
      <t>”</t>
    </r>
    <r>
      <rPr>
        <sz val="9"/>
        <color rgb="FF000000"/>
        <rFont val="楷体"/>
        <charset val="134"/>
      </rPr>
      <t>，用户可以在社区里观看时尚短视频，了解美妆、生活、服饰、搭配等方面的内容，同时，也可以分享短视频，与干货、单品等。</t>
    </r>
  </si>
  <si>
    <t>北京比特星光科技有限公司</t>
  </si>
  <si>
    <t>https://www.tangyishipin.com/</t>
  </si>
  <si>
    <r>
      <rPr>
        <sz val="9"/>
        <color rgb="FF000000"/>
        <rFont val="楷体"/>
        <charset val="134"/>
      </rPr>
      <t>险峰</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零一创投</t>
    </r>
  </si>
  <si>
    <r>
      <rPr>
        <sz val="9"/>
        <color rgb="FF000000"/>
        <rFont val="楷体"/>
        <charset val="134"/>
      </rPr>
      <t>张月光</t>
    </r>
    <r>
      <rPr>
        <sz val="9"/>
        <color rgb="FF000000"/>
        <rFont val="Arial"/>
        <charset val="134"/>
      </rPr>
      <t>:</t>
    </r>
    <r>
      <rPr>
        <sz val="9"/>
        <color rgb="FF000000"/>
        <rFont val="楷体"/>
        <charset val="134"/>
      </rPr>
      <t>董事长</t>
    </r>
  </si>
  <si>
    <r>
      <rPr>
        <sz val="9"/>
        <color rgb="FF000000"/>
        <rFont val="楷体"/>
        <charset val="134"/>
      </rPr>
      <t>北京市海淀区紫金数码园</t>
    </r>
    <r>
      <rPr>
        <sz val="9"/>
        <color rgb="FF000000"/>
        <rFont val="Arial"/>
        <charset val="134"/>
      </rPr>
      <t>3</t>
    </r>
    <r>
      <rPr>
        <sz val="9"/>
        <color rgb="FF000000"/>
        <rFont val="楷体"/>
        <charset val="134"/>
      </rPr>
      <t>号楼</t>
    </r>
    <r>
      <rPr>
        <sz val="9"/>
        <color rgb="FF000000"/>
        <rFont val="Arial"/>
        <charset val="134"/>
      </rPr>
      <t>7</t>
    </r>
    <r>
      <rPr>
        <sz val="9"/>
        <color rgb="FF000000"/>
        <rFont val="楷体"/>
        <charset val="134"/>
      </rPr>
      <t>层</t>
    </r>
    <r>
      <rPr>
        <sz val="9"/>
        <color rgb="FF000000"/>
        <rFont val="Arial"/>
        <charset val="134"/>
      </rPr>
      <t>;</t>
    </r>
    <r>
      <rPr>
        <sz val="9"/>
        <color rgb="FF000000"/>
        <rFont val="楷体"/>
        <charset val="134"/>
      </rPr>
      <t>北京市海淀区知春路</t>
    </r>
    <r>
      <rPr>
        <sz val="9"/>
        <color rgb="FF000000"/>
        <rFont val="Arial"/>
        <charset val="134"/>
      </rPr>
      <t>118</t>
    </r>
    <r>
      <rPr>
        <sz val="9"/>
        <color rgb="FF000000"/>
        <rFont val="楷体"/>
        <charset val="134"/>
      </rPr>
      <t>号</t>
    </r>
    <r>
      <rPr>
        <sz val="9"/>
        <color rgb="FF000000"/>
        <rFont val="Arial"/>
        <charset val="134"/>
      </rPr>
      <t>A</t>
    </r>
    <r>
      <rPr>
        <sz val="9"/>
        <color rgb="FF000000"/>
        <rFont val="楷体"/>
        <charset val="134"/>
      </rPr>
      <t>座</t>
    </r>
    <r>
      <rPr>
        <sz val="9"/>
        <color rgb="FF000000"/>
        <rFont val="Arial"/>
        <charset val="134"/>
      </rPr>
      <t>13</t>
    </r>
    <r>
      <rPr>
        <sz val="9"/>
        <color rgb="FF000000"/>
        <rFont val="楷体"/>
        <charset val="134"/>
      </rPr>
      <t>层</t>
    </r>
    <r>
      <rPr>
        <sz val="9"/>
        <color rgb="FF000000"/>
        <rFont val="Arial"/>
        <charset val="134"/>
      </rPr>
      <t>1403B1</t>
    </r>
  </si>
  <si>
    <t>新力量影视</t>
  </si>
  <si>
    <t>新力量影视是一家集投资、制作、管理于一身的复合型影视剧制片公司，代表作有古装剧《剑王朝》等。</t>
  </si>
  <si>
    <t>北京新力量影视文化有限公司</t>
  </si>
  <si>
    <r>
      <rPr>
        <sz val="9"/>
        <color rgb="FF000000"/>
        <rFont val="楷体"/>
        <charset val="134"/>
      </rPr>
      <t>陆国强</t>
    </r>
    <r>
      <rPr>
        <sz val="9"/>
        <color rgb="FF000000"/>
        <rFont val="Arial"/>
        <charset val="134"/>
      </rPr>
      <t>:</t>
    </r>
    <r>
      <rPr>
        <sz val="9"/>
        <color rgb="FF000000"/>
        <rFont val="楷体"/>
        <charset val="134"/>
      </rPr>
      <t>创始人</t>
    </r>
  </si>
  <si>
    <r>
      <rPr>
        <sz val="9"/>
        <color rgb="FF000000"/>
        <rFont val="楷体"/>
        <charset val="134"/>
      </rPr>
      <t>北京市朝阳区酒仙桥北路</t>
    </r>
    <r>
      <rPr>
        <sz val="9"/>
        <color rgb="FF000000"/>
        <rFont val="Arial"/>
        <charset val="134"/>
      </rPr>
      <t>9</t>
    </r>
    <r>
      <rPr>
        <sz val="9"/>
        <color rgb="FF000000"/>
        <rFont val="楷体"/>
        <charset val="134"/>
      </rPr>
      <t>号</t>
    </r>
    <r>
      <rPr>
        <sz val="9"/>
        <color rgb="FF000000"/>
        <rFont val="Arial"/>
        <charset val="134"/>
      </rPr>
      <t>(</t>
    </r>
    <r>
      <rPr>
        <sz val="9"/>
        <color rgb="FF000000"/>
        <rFont val="楷体"/>
        <charset val="134"/>
      </rPr>
      <t>厂区</t>
    </r>
    <r>
      <rPr>
        <sz val="9"/>
        <color rgb="FF000000"/>
        <rFont val="Arial"/>
        <charset val="134"/>
      </rPr>
      <t>)14</t>
    </r>
    <r>
      <rPr>
        <sz val="9"/>
        <color rgb="FF000000"/>
        <rFont val="楷体"/>
        <charset val="134"/>
      </rPr>
      <t>幢</t>
    </r>
  </si>
  <si>
    <t>010-57905159</t>
  </si>
  <si>
    <t>zhp@force.ink</t>
  </si>
  <si>
    <t>2019-01-16</t>
  </si>
  <si>
    <t>2020-08-31</t>
  </si>
  <si>
    <t>耐看娱乐</t>
  </si>
  <si>
    <t>耐看娱乐（前身耐飞影视）是一家网剧及网络电影制作商及发行商，专注于制作、发行共同投资网剧及网络电影以及对于院线电影进行共同投资，代表作有《亲爱的柠檬精先生》、《扑通扑通喜欢你》等。</t>
  </si>
  <si>
    <t>北京耐看文化有限公司</t>
  </si>
  <si>
    <r>
      <rPr>
        <sz val="9"/>
        <color rgb="FF000000"/>
        <rFont val="楷体"/>
        <charset val="134"/>
      </rPr>
      <t>张栗坤</t>
    </r>
    <r>
      <rPr>
        <sz val="9"/>
        <color rgb="FF000000"/>
        <rFont val="Arial"/>
        <charset val="134"/>
      </rPr>
      <t>:CEO</t>
    </r>
  </si>
  <si>
    <r>
      <rPr>
        <sz val="9"/>
        <color rgb="FF000000"/>
        <rFont val="楷体"/>
        <charset val="134"/>
      </rPr>
      <t>北京市朝阳区豆各庄黄厂西路</t>
    </r>
    <r>
      <rPr>
        <sz val="9"/>
        <color rgb="FF000000"/>
        <rFont val="Arial"/>
        <charset val="134"/>
      </rPr>
      <t>1</t>
    </r>
    <r>
      <rPr>
        <sz val="9"/>
        <color rgb="FF000000"/>
        <rFont val="楷体"/>
        <charset val="134"/>
      </rPr>
      <t>号</t>
    </r>
    <r>
      <rPr>
        <sz val="9"/>
        <color rgb="FF000000"/>
        <rFont val="Arial"/>
        <charset val="134"/>
      </rPr>
      <t>A1</t>
    </r>
    <r>
      <rPr>
        <sz val="9"/>
        <color rgb="FF000000"/>
        <rFont val="楷体"/>
        <charset val="134"/>
      </rPr>
      <t>栋二层</t>
    </r>
    <r>
      <rPr>
        <sz val="9"/>
        <color rgb="FF000000"/>
        <rFont val="Arial"/>
        <charset val="134"/>
      </rPr>
      <t>25367</t>
    </r>
  </si>
  <si>
    <t>010-64703271</t>
  </si>
  <si>
    <t>312557871@qq.com</t>
  </si>
  <si>
    <t>深圳厚德前海基金</t>
  </si>
  <si>
    <t>2018-07-11</t>
  </si>
  <si>
    <t>2018-03-30</t>
  </si>
  <si>
    <t>2016-07-22</t>
  </si>
  <si>
    <t>2015-10-19</t>
  </si>
  <si>
    <t>2015-09-18</t>
  </si>
  <si>
    <t>2012-01-14</t>
  </si>
  <si>
    <t>2016-07-23</t>
  </si>
  <si>
    <t>递四方速递4PX</t>
  </si>
  <si>
    <r>
      <rPr>
        <sz val="9"/>
        <color rgb="FF000000"/>
        <rFont val="楷体"/>
        <charset val="134"/>
      </rPr>
      <t>递四方速递</t>
    </r>
    <r>
      <rPr>
        <sz val="9"/>
        <color rgb="FF000000"/>
        <rFont val="Arial"/>
        <charset val="134"/>
      </rPr>
      <t>4PX</t>
    </r>
  </si>
  <si>
    <r>
      <rPr>
        <sz val="9"/>
        <color rgb="FF000000"/>
        <rFont val="楷体"/>
        <charset val="134"/>
      </rPr>
      <t>递四方速递</t>
    </r>
    <r>
      <rPr>
        <sz val="9"/>
        <color rgb="FF000000"/>
        <rFont val="Arial"/>
        <charset val="134"/>
      </rPr>
      <t>(4PX)</t>
    </r>
    <r>
      <rPr>
        <sz val="9"/>
        <color rgb="FF000000"/>
        <rFont val="楷体"/>
        <charset val="134"/>
      </rPr>
      <t>是一家跨国电商服务物流服务平台，为跨国电子商务业者提供包含购物车建站、货源分销、渠道管理软件、在线推广、在线收付、全球物流和仓储的一站式服务。</t>
    </r>
  </si>
  <si>
    <t>深圳市递四方速递有限公司</t>
  </si>
  <si>
    <t>http://www.4px.com</t>
  </si>
  <si>
    <r>
      <rPr>
        <sz val="9"/>
        <color rgb="FF000000"/>
        <rFont val="Arial"/>
        <charset val="134"/>
      </rPr>
      <t>7.45</t>
    </r>
    <r>
      <rPr>
        <sz val="9"/>
        <color rgb="FF000000"/>
        <rFont val="楷体"/>
        <charset val="134"/>
      </rPr>
      <t>亿</t>
    </r>
  </si>
  <si>
    <r>
      <rPr>
        <sz val="9"/>
        <color rgb="FF000000"/>
        <rFont val="楷体"/>
        <charset val="134"/>
      </rPr>
      <t>李跃</t>
    </r>
    <r>
      <rPr>
        <sz val="9"/>
        <color rgb="FF000000"/>
        <rFont val="Arial"/>
        <charset val="134"/>
      </rPr>
      <t>:</t>
    </r>
    <r>
      <rPr>
        <sz val="9"/>
        <color rgb="FF000000"/>
        <rFont val="楷体"/>
        <charset val="134"/>
      </rPr>
      <t>创始人</t>
    </r>
  </si>
  <si>
    <t>liyue@4px.com;364110@qq.com;pengll@4px.com</t>
  </si>
  <si>
    <t>2011-05-01</t>
  </si>
  <si>
    <t>2008-09-01</t>
  </si>
  <si>
    <t>大掌柜</t>
  </si>
  <si>
    <r>
      <rPr>
        <sz val="9"/>
        <color rgb="FF000000"/>
        <rFont val="楷体"/>
        <charset val="134"/>
      </rPr>
      <t>大掌柜，一站式航运科技服务提供商，国际物流云计算平台（</t>
    </r>
    <r>
      <rPr>
        <sz val="9"/>
        <color rgb="FF000000"/>
        <rFont val="Arial"/>
        <charset val="134"/>
      </rPr>
      <t>CargoGM.com</t>
    </r>
    <r>
      <rPr>
        <sz val="9"/>
        <color rgb="FF000000"/>
        <rFont val="楷体"/>
        <charset val="134"/>
      </rPr>
      <t>）运营服务商，中国国际物流</t>
    </r>
    <r>
      <rPr>
        <sz val="9"/>
        <color rgb="FF000000"/>
        <rFont val="Arial"/>
        <charset val="134"/>
      </rPr>
      <t>SaaS</t>
    </r>
    <r>
      <rPr>
        <sz val="9"/>
        <color rgb="FF000000"/>
        <rFont val="楷体"/>
        <charset val="134"/>
      </rPr>
      <t>软件提供商和产业互联网服务的先行者，为国际物流行业及其上下游企业提供基于云计算、大数据和移动互联网技术的智能化</t>
    </r>
    <r>
      <rPr>
        <sz val="9"/>
        <color rgb="FF000000"/>
        <rFont val="Arial"/>
        <charset val="134"/>
      </rPr>
      <t>SaaS</t>
    </r>
    <r>
      <rPr>
        <sz val="9"/>
        <color rgb="FF000000"/>
        <rFont val="楷体"/>
        <charset val="134"/>
      </rPr>
      <t>软件和物流资源交易综合服务，帮助企业建立自己的商务平台，实现业务的在线化、数字化、标准化、自动化和智能化，构建跨区域营销服务和运营管理的能力，编织全球营销服务网络，高效低成本的随时、随地、随意做生意和管生意。</t>
    </r>
  </si>
  <si>
    <t>宁波大掌柜物流服务有限公司</t>
  </si>
  <si>
    <t>http://www.olymtech.com/</t>
  </si>
  <si>
    <t>环世物流</t>
  </si>
  <si>
    <r>
      <rPr>
        <sz val="9"/>
        <color rgb="FF000000"/>
        <rFont val="Arial"/>
        <charset val="134"/>
      </rPr>
      <t>2.61</t>
    </r>
    <r>
      <rPr>
        <sz val="9"/>
        <color rgb="FF000000"/>
        <rFont val="楷体"/>
        <charset val="134"/>
      </rPr>
      <t>亿</t>
    </r>
  </si>
  <si>
    <r>
      <rPr>
        <sz val="9"/>
        <color rgb="FF000000"/>
        <rFont val="楷体"/>
        <charset val="134"/>
      </rPr>
      <t>王坚</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袁峰</t>
    </r>
    <r>
      <rPr>
        <sz val="9"/>
        <color rgb="FF000000"/>
        <rFont val="Arial"/>
        <charset val="134"/>
      </rPr>
      <t>Tony:CEO,</t>
    </r>
    <r>
      <rPr>
        <sz val="9"/>
        <color rgb="FF000000"/>
        <rFont val="楷体"/>
        <charset val="134"/>
      </rPr>
      <t>刘凯</t>
    </r>
    <r>
      <rPr>
        <sz val="9"/>
        <color rgb="FF000000"/>
        <rFont val="Arial"/>
        <charset val="134"/>
      </rPr>
      <t>Jack:</t>
    </r>
    <r>
      <rPr>
        <sz val="9"/>
        <color rgb="FF000000"/>
        <rFont val="楷体"/>
        <charset val="134"/>
      </rPr>
      <t>联合创始人</t>
    </r>
  </si>
  <si>
    <r>
      <rPr>
        <sz val="9"/>
        <color rgb="FF000000"/>
        <rFont val="楷体"/>
        <charset val="134"/>
      </rPr>
      <t>宁波市鄞州区日丽中路</t>
    </r>
    <r>
      <rPr>
        <sz val="9"/>
        <color rgb="FF000000"/>
        <rFont val="Arial"/>
        <charset val="134"/>
      </rPr>
      <t>555</t>
    </r>
    <r>
      <rPr>
        <sz val="9"/>
        <color rgb="FF000000"/>
        <rFont val="楷体"/>
        <charset val="134"/>
      </rPr>
      <t>号华茂总部壹号</t>
    </r>
    <r>
      <rPr>
        <sz val="9"/>
        <color rgb="FF000000"/>
        <rFont val="Arial"/>
        <charset val="134"/>
      </rPr>
      <t>28</t>
    </r>
    <r>
      <rPr>
        <sz val="9"/>
        <color rgb="FF000000"/>
        <rFont val="楷体"/>
        <charset val="134"/>
      </rPr>
      <t>层</t>
    </r>
  </si>
  <si>
    <t>400-882-8871</t>
  </si>
  <si>
    <t>contact@olymtech.com</t>
  </si>
  <si>
    <t>2020-09-09</t>
  </si>
  <si>
    <r>
      <rPr>
        <sz val="9"/>
        <color rgb="FF000000"/>
        <rFont val="楷体"/>
        <charset val="134"/>
      </rPr>
      <t>德同资本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上海拙朴投资</t>
    </r>
  </si>
  <si>
    <t>2019-10-21</t>
  </si>
  <si>
    <r>
      <rPr>
        <sz val="9"/>
        <color rgb="FF000000"/>
        <rFont val="楷体"/>
        <charset val="134"/>
      </rPr>
      <t>德同资本</t>
    </r>
    <r>
      <rPr>
        <sz val="9"/>
        <color rgb="FF000000"/>
        <rFont val="Arial"/>
        <charset val="134"/>
      </rPr>
      <t>,</t>
    </r>
    <r>
      <rPr>
        <sz val="9"/>
        <color rgb="FF000000"/>
        <rFont val="楷体"/>
        <charset val="134"/>
      </rPr>
      <t>云启资本</t>
    </r>
  </si>
  <si>
    <t>2018-03-05</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</si>
  <si>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朗盛投资</t>
    </r>
    <r>
      <rPr>
        <sz val="9"/>
        <color rgb="FF000000"/>
        <rFont val="Arial"/>
        <charset val="134"/>
      </rPr>
      <t>,</t>
    </r>
    <r>
      <rPr>
        <sz val="9"/>
        <color rgb="FF000000"/>
        <rFont val="楷体"/>
        <charset val="134"/>
      </rPr>
      <t>仁弘资本</t>
    </r>
    <r>
      <rPr>
        <sz val="9"/>
        <color rgb="FF000000"/>
        <rFont val="Arial"/>
        <charset val="134"/>
      </rPr>
      <t>,</t>
    </r>
    <r>
      <rPr>
        <sz val="9"/>
        <color rgb="FF000000"/>
        <rFont val="楷体"/>
        <charset val="134"/>
      </rPr>
      <t>上海拙朴投资</t>
    </r>
  </si>
  <si>
    <t>上海拙朴投资</t>
  </si>
  <si>
    <t>卡行天下</t>
  </si>
  <si>
    <r>
      <rPr>
        <sz val="9"/>
        <color rgb="FF000000"/>
        <rFont val="楷体"/>
        <charset val="134"/>
      </rPr>
      <t>卡行天下</t>
    </r>
    <r>
      <rPr>
        <sz val="9"/>
        <color rgb="FF000000"/>
        <rFont val="Arial"/>
        <charset val="134"/>
      </rPr>
      <t>(</t>
    </r>
    <r>
      <rPr>
        <sz val="9"/>
        <color rgb="FF000000"/>
        <rFont val="楷体"/>
        <charset val="134"/>
      </rPr>
      <t>全称：上海卡行天下供应链管理有限公司</t>
    </r>
    <r>
      <rPr>
        <sz val="9"/>
        <color rgb="FF000000"/>
        <rFont val="Arial"/>
        <charset val="134"/>
      </rPr>
      <t>)</t>
    </r>
    <r>
      <rPr>
        <sz val="9"/>
        <color rgb="FF000000"/>
        <rFont val="楷体"/>
        <charset val="134"/>
      </rPr>
      <t>是一家为中小物流企业提供服务的交易网络平台。在线上用信息系统连接物流需求主体，使成员在系统内交易、结算、监督、评价；</t>
    </r>
    <r>
      <rPr>
        <sz val="9"/>
        <color rgb="FF000000"/>
        <rFont val="Arial"/>
        <charset val="134"/>
      </rPr>
      <t xml:space="preserve"> </t>
    </r>
    <r>
      <rPr>
        <sz val="9"/>
        <color rgb="FF000000"/>
        <rFont val="楷体"/>
        <charset val="134"/>
      </rPr>
      <t>线下建立城市物流节点，利用社会运力，建设全国运输网络，以线下网络支持线上交易，并融合手机</t>
    </r>
    <r>
      <rPr>
        <sz val="9"/>
        <color rgb="FF000000"/>
        <rFont val="Arial"/>
        <charset val="134"/>
      </rPr>
      <t>APP</t>
    </r>
    <r>
      <rPr>
        <sz val="9"/>
        <color rgb="FF000000"/>
        <rFont val="楷体"/>
        <charset val="134"/>
      </rPr>
      <t>、金融扶持、保险理赔、卡车服务，</t>
    </r>
    <r>
      <rPr>
        <sz val="9"/>
        <color rgb="FF000000"/>
        <rFont val="Arial"/>
        <charset val="134"/>
      </rPr>
      <t xml:space="preserve"> </t>
    </r>
    <r>
      <rPr>
        <sz val="9"/>
        <color rgb="FF000000"/>
        <rFont val="楷体"/>
        <charset val="134"/>
      </rPr>
      <t>培训支持等产品，与物流各载体共同构建行业生态圈，推动中小微物流企业发展。</t>
    </r>
  </si>
  <si>
    <t>上海卡行天下供应链管理有限公司</t>
  </si>
  <si>
    <t>http://www.kxtx.cn</t>
  </si>
  <si>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隐山资本</t>
    </r>
  </si>
  <si>
    <r>
      <rPr>
        <sz val="9"/>
        <color rgb="FF000000"/>
        <rFont val="楷体"/>
        <charset val="134"/>
      </rPr>
      <t>翟国良</t>
    </r>
    <r>
      <rPr>
        <sz val="9"/>
        <color rgb="FF000000"/>
        <rFont val="Arial"/>
        <charset val="134"/>
      </rPr>
      <t>:</t>
    </r>
    <r>
      <rPr>
        <sz val="9"/>
        <color rgb="FF000000"/>
        <rFont val="楷体"/>
        <charset val="134"/>
      </rPr>
      <t>创始人</t>
    </r>
  </si>
  <si>
    <r>
      <rPr>
        <sz val="9"/>
        <color rgb="FF000000"/>
        <rFont val="楷体"/>
        <charset val="134"/>
      </rPr>
      <t>上海市长宁区通协路</t>
    </r>
    <r>
      <rPr>
        <sz val="9"/>
        <color rgb="FF000000"/>
        <rFont val="Arial"/>
        <charset val="134"/>
      </rPr>
      <t>558</t>
    </r>
    <r>
      <rPr>
        <sz val="9"/>
        <color rgb="FF000000"/>
        <rFont val="楷体"/>
        <charset val="134"/>
      </rPr>
      <t>号汤泉国际大厦</t>
    </r>
    <r>
      <rPr>
        <sz val="9"/>
        <color rgb="FF000000"/>
        <rFont val="Arial"/>
        <charset val="134"/>
      </rPr>
      <t>B</t>
    </r>
    <r>
      <rPr>
        <sz val="9"/>
        <color rgb="FF000000"/>
        <rFont val="楷体"/>
        <charset val="134"/>
      </rPr>
      <t>幢</t>
    </r>
  </si>
  <si>
    <t>4001-816-816</t>
  </si>
  <si>
    <t>jiangsy@kxtx.cn</t>
  </si>
  <si>
    <r>
      <rPr>
        <sz val="9"/>
        <color rgb="FF000000"/>
        <rFont val="楷体"/>
        <charset val="134"/>
      </rPr>
      <t>景林投资</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钜派投资</t>
    </r>
  </si>
  <si>
    <r>
      <rPr>
        <sz val="9"/>
        <color rgb="FF000000"/>
        <rFont val="楷体"/>
        <charset val="134"/>
      </rPr>
      <t>钟鼎资本</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国泰君安</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楚昌投资</t>
    </r>
  </si>
  <si>
    <t>2014-05-06</t>
  </si>
  <si>
    <t>钟鼎资本</t>
  </si>
  <si>
    <t>2012-06-15</t>
  </si>
  <si>
    <t>2017-04-27</t>
  </si>
  <si>
    <t>2015-12-23</t>
  </si>
  <si>
    <t>2014-06-09</t>
  </si>
  <si>
    <t>2010-03-10</t>
  </si>
  <si>
    <t>2022-11-03</t>
  </si>
  <si>
    <t>2010-09-08</t>
  </si>
  <si>
    <t>2017-09-20</t>
  </si>
  <si>
    <t>2016-09-08</t>
  </si>
  <si>
    <t>2016-02-02</t>
  </si>
  <si>
    <t>2014-01-25</t>
  </si>
  <si>
    <t>2012-12-31</t>
  </si>
  <si>
    <t>2010-11-25</t>
  </si>
  <si>
    <t>2009-07-25</t>
  </si>
  <si>
    <t>2008-06-18</t>
  </si>
  <si>
    <t>2008-05-01</t>
  </si>
  <si>
    <t>2023-07-02</t>
  </si>
  <si>
    <t>速腾聚创</t>
  </si>
  <si>
    <r>
      <rPr>
        <sz val="9"/>
        <color rgb="FF000000"/>
        <rFont val="楷体"/>
        <charset val="134"/>
      </rPr>
      <t>速腾聚创</t>
    </r>
    <r>
      <rPr>
        <sz val="9"/>
        <color rgb="FF000000"/>
        <rFont val="Arial"/>
        <charset val="134"/>
      </rPr>
      <t xml:space="preserve"> (RoboSense) </t>
    </r>
    <r>
      <rPr>
        <sz val="9"/>
        <color rgb="FF000000"/>
        <rFont val="楷体"/>
        <charset val="134"/>
      </rPr>
      <t>是全球领先的自动驾驶激光雷达环境感知解决方案提供商。公司利用自主研发的具有世界领先水平的机器人感知产品，将激光雷达传感器硬件方案、三维数据处理算法和深度学习技术相结合。通过持续的技术创新，让机器人拥有超越人类眼睛的环境感知能力。</t>
    </r>
  </si>
  <si>
    <t>深圳市速腾聚创科技有限公司</t>
  </si>
  <si>
    <t>http://www.robosense.cn/</t>
  </si>
  <si>
    <r>
      <rPr>
        <sz val="9"/>
        <color rgb="FF000000"/>
        <rFont val="Arial"/>
        <charset val="134"/>
      </rPr>
      <t>11.9</t>
    </r>
    <r>
      <rPr>
        <sz val="9"/>
        <color rgb="FF000000"/>
        <rFont val="楷体"/>
        <charset val="134"/>
      </rPr>
      <t>亿人民币</t>
    </r>
  </si>
  <si>
    <r>
      <rPr>
        <sz val="9"/>
        <color rgb="FF000000"/>
        <rFont val="楷体"/>
        <charset val="134"/>
      </rPr>
      <t>云锋基金</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北汽产投</t>
    </r>
    <r>
      <rPr>
        <sz val="9"/>
        <color rgb="FF000000"/>
        <rFont val="Arial"/>
        <charset val="134"/>
      </rPr>
      <t>,</t>
    </r>
    <r>
      <rPr>
        <sz val="9"/>
        <color rgb="FF000000"/>
        <rFont val="楷体"/>
        <charset val="134"/>
      </rPr>
      <t>广汽集团</t>
    </r>
    <r>
      <rPr>
        <sz val="9"/>
        <color rgb="FF000000"/>
        <rFont val="Arial"/>
        <charset val="134"/>
      </rPr>
      <t>,</t>
    </r>
    <r>
      <rPr>
        <sz val="9"/>
        <color rgb="FF000000"/>
        <rFont val="楷体"/>
        <charset val="134"/>
      </rPr>
      <t>昆仲资本</t>
    </r>
    <r>
      <rPr>
        <sz val="9"/>
        <color rgb="FF000000"/>
        <rFont val="Arial"/>
        <charset val="134"/>
      </rPr>
      <t>,</t>
    </r>
    <r>
      <rPr>
        <sz val="9"/>
        <color rgb="FF000000"/>
        <rFont val="楷体"/>
        <charset val="134"/>
      </rPr>
      <t>康成亨投资</t>
    </r>
    <r>
      <rPr>
        <sz val="9"/>
        <color rgb="FF000000"/>
        <rFont val="Arial"/>
        <charset val="134"/>
      </rPr>
      <t>,</t>
    </r>
    <r>
      <rPr>
        <sz val="9"/>
        <color rgb="FF000000"/>
        <rFont val="楷体"/>
        <charset val="134"/>
      </rPr>
      <t>中新融创</t>
    </r>
    <r>
      <rPr>
        <sz val="9"/>
        <color rgb="FF000000"/>
        <rFont val="Arial"/>
        <charset val="134"/>
      </rPr>
      <t>,</t>
    </r>
    <r>
      <rPr>
        <sz val="9"/>
        <color rgb="FF000000"/>
        <rFont val="楷体"/>
        <charset val="134"/>
      </rPr>
      <t>比亚迪</t>
    </r>
    <r>
      <rPr>
        <sz val="9"/>
        <color rgb="FF000000"/>
        <rFont val="Arial"/>
        <charset val="134"/>
      </rPr>
      <t>,</t>
    </r>
    <r>
      <rPr>
        <sz val="9"/>
        <color rgb="FF000000"/>
        <rFont val="楷体"/>
        <charset val="134"/>
      </rPr>
      <t>晨岭资本</t>
    </r>
    <r>
      <rPr>
        <sz val="9"/>
        <color rgb="FF000000"/>
        <rFont val="Arial"/>
        <charset val="134"/>
      </rPr>
      <t>,</t>
    </r>
    <r>
      <rPr>
        <sz val="9"/>
        <color rgb="FF000000"/>
        <rFont val="楷体"/>
        <charset val="134"/>
      </rPr>
      <t>小米长江产业基金</t>
    </r>
    <r>
      <rPr>
        <sz val="9"/>
        <color rgb="FF000000"/>
        <rFont val="Arial"/>
        <charset val="134"/>
      </rPr>
      <t>,</t>
    </r>
    <r>
      <rPr>
        <sz val="9"/>
        <color rgb="FF000000"/>
        <rFont val="楷体"/>
        <charset val="134"/>
      </rPr>
      <t>德赛西威</t>
    </r>
    <r>
      <rPr>
        <sz val="9"/>
        <color rgb="FF000000"/>
        <rFont val="Arial"/>
        <charset val="134"/>
      </rPr>
      <t>,</t>
    </r>
    <r>
      <rPr>
        <sz val="9"/>
        <color rgb="FF000000"/>
        <rFont val="楷体"/>
        <charset val="134"/>
      </rPr>
      <t>宇通集团</t>
    </r>
    <r>
      <rPr>
        <sz val="9"/>
        <color rgb="FF000000"/>
        <rFont val="Arial"/>
        <charset val="134"/>
      </rPr>
      <t>,</t>
    </r>
    <r>
      <rPr>
        <sz val="9"/>
        <color rgb="FF000000"/>
        <rFont val="楷体"/>
        <charset val="134"/>
      </rPr>
      <t>香港立讯有限公司</t>
    </r>
    <r>
      <rPr>
        <sz val="9"/>
        <color rgb="FF000000"/>
        <rFont val="Arial"/>
        <charset val="134"/>
      </rPr>
      <t>,</t>
    </r>
    <r>
      <rPr>
        <sz val="9"/>
        <color rgb="FF000000"/>
        <rFont val="楷体"/>
        <charset val="134"/>
      </rPr>
      <t>吉利控股集团</t>
    </r>
    <r>
      <rPr>
        <sz val="9"/>
        <color rgb="FF000000"/>
        <rFont val="Arial"/>
        <charset val="134"/>
      </rPr>
      <t>&amp;</t>
    </r>
    <r>
      <rPr>
        <sz val="9"/>
        <color rgb="FF000000"/>
        <rFont val="楷体"/>
        <charset val="134"/>
      </rPr>
      <t>路特斯科技</t>
    </r>
    <r>
      <rPr>
        <sz val="9"/>
        <color rgb="FF000000"/>
        <rFont val="Arial"/>
        <charset val="134"/>
      </rPr>
      <t>,</t>
    </r>
    <r>
      <rPr>
        <sz val="9"/>
        <color rgb="FF000000"/>
        <rFont val="楷体"/>
        <charset val="134"/>
      </rPr>
      <t>星韶创投</t>
    </r>
  </si>
  <si>
    <r>
      <rPr>
        <sz val="9"/>
        <color rgb="FF000000"/>
        <rFont val="Arial"/>
        <charset val="134"/>
      </rPr>
      <t>42.13</t>
    </r>
    <r>
      <rPr>
        <sz val="9"/>
        <color rgb="FF000000"/>
        <rFont val="楷体"/>
        <charset val="134"/>
      </rPr>
      <t>亿</t>
    </r>
  </si>
  <si>
    <r>
      <rPr>
        <sz val="9"/>
        <color rgb="FF000000"/>
        <rFont val="Arial"/>
        <charset val="134"/>
      </rPr>
      <t>160</t>
    </r>
    <r>
      <rPr>
        <sz val="9"/>
        <color rgb="FF000000"/>
        <rFont val="楷体"/>
        <charset val="134"/>
      </rPr>
      <t>亿元</t>
    </r>
  </si>
  <si>
    <r>
      <rPr>
        <sz val="9"/>
        <color rgb="FF000000"/>
        <rFont val="楷体"/>
        <charset val="134"/>
      </rPr>
      <t>邱纯鑫</t>
    </r>
    <r>
      <rPr>
        <sz val="9"/>
        <color rgb="FF000000"/>
        <rFont val="Arial"/>
        <charset val="134"/>
      </rPr>
      <t>:CEO,</t>
    </r>
    <r>
      <rPr>
        <sz val="9"/>
        <color rgb="FF000000"/>
        <rFont val="楷体"/>
        <charset val="134"/>
      </rPr>
      <t>邱纯潮</t>
    </r>
    <r>
      <rPr>
        <sz val="9"/>
        <color rgb="FF000000"/>
        <rFont val="Arial"/>
        <charset val="134"/>
      </rPr>
      <t>:</t>
    </r>
    <r>
      <rPr>
        <sz val="9"/>
        <color rgb="FF000000"/>
        <rFont val="楷体"/>
        <charset val="134"/>
      </rPr>
      <t>联合创始人兼</t>
    </r>
    <r>
      <rPr>
        <sz val="9"/>
        <color rgb="FF000000"/>
        <rFont val="Arial"/>
        <charset val="134"/>
      </rPr>
      <t>COO</t>
    </r>
  </si>
  <si>
    <r>
      <rPr>
        <sz val="9"/>
        <color rgb="FF000000"/>
        <rFont val="楷体"/>
        <charset val="134"/>
      </rPr>
      <t>广东深圳南山</t>
    </r>
    <r>
      <rPr>
        <sz val="9"/>
        <color rgb="FF000000"/>
        <rFont val="Arial"/>
        <charset val="134"/>
      </rPr>
      <t>-</t>
    </r>
    <r>
      <rPr>
        <sz val="9"/>
        <color rgb="FF000000"/>
        <rFont val="楷体"/>
        <charset val="134"/>
      </rPr>
      <t>西丽</t>
    </r>
    <r>
      <rPr>
        <sz val="9"/>
        <color rgb="FF000000"/>
        <rFont val="Arial"/>
        <charset val="134"/>
      </rPr>
      <t xml:space="preserve"> </t>
    </r>
    <r>
      <rPr>
        <sz val="9"/>
        <color rgb="FF000000"/>
        <rFont val="楷体"/>
        <charset val="134"/>
      </rPr>
      <t>众冠红花岭工业园南区</t>
    </r>
    <r>
      <rPr>
        <sz val="9"/>
        <color rgb="FF000000"/>
        <rFont val="Arial"/>
        <charset val="134"/>
      </rPr>
      <t>2</t>
    </r>
    <r>
      <rPr>
        <sz val="9"/>
        <color rgb="FF000000"/>
        <rFont val="楷体"/>
        <charset val="134"/>
      </rPr>
      <t>区</t>
    </r>
    <r>
      <rPr>
        <sz val="9"/>
        <color rgb="FF000000"/>
        <rFont val="Arial"/>
        <charset val="134"/>
      </rPr>
      <t>6</t>
    </r>
    <r>
      <rPr>
        <sz val="9"/>
        <color rgb="FF000000"/>
        <rFont val="楷体"/>
        <charset val="134"/>
      </rPr>
      <t>栋</t>
    </r>
    <r>
      <rPr>
        <sz val="9"/>
        <color rgb="FF000000"/>
        <rFont val="Arial"/>
        <charset val="134"/>
      </rPr>
      <t>2</t>
    </r>
    <r>
      <rPr>
        <sz val="9"/>
        <color rgb="FF000000"/>
        <rFont val="楷体"/>
        <charset val="134"/>
      </rPr>
      <t>楼</t>
    </r>
    <r>
      <rPr>
        <sz val="9"/>
        <color rgb="FF000000"/>
        <rFont val="Arial"/>
        <charset val="134"/>
      </rPr>
      <t xml:space="preserve"> </t>
    </r>
    <r>
      <rPr>
        <sz val="9"/>
        <color rgb="FF000000"/>
        <rFont val="楷体"/>
        <charset val="134"/>
      </rPr>
      <t>速腾聚创运营中心</t>
    </r>
  </si>
  <si>
    <t>0755-86325830</t>
  </si>
  <si>
    <t>Service@sz-sti.com</t>
  </si>
  <si>
    <t>2022-11-11</t>
  </si>
  <si>
    <r>
      <rPr>
        <sz val="9"/>
        <color rgb="FF000000"/>
        <rFont val="楷体"/>
        <charset val="134"/>
      </rPr>
      <t>北汽产投</t>
    </r>
    <r>
      <rPr>
        <sz val="9"/>
        <color rgb="FF000000"/>
        <rFont val="Arial"/>
        <charset val="134"/>
      </rPr>
      <t>,</t>
    </r>
    <r>
      <rPr>
        <sz val="9"/>
        <color rgb="FF000000"/>
        <rFont val="楷体"/>
        <charset val="134"/>
      </rPr>
      <t>广汽集团</t>
    </r>
    <r>
      <rPr>
        <sz val="9"/>
        <color rgb="FF000000"/>
        <rFont val="Arial"/>
        <charset val="134"/>
      </rPr>
      <t>,</t>
    </r>
    <r>
      <rPr>
        <sz val="9"/>
        <color rgb="FF000000"/>
        <rFont val="楷体"/>
        <charset val="134"/>
      </rPr>
      <t>吉利控股</t>
    </r>
  </si>
  <si>
    <t>2022-06-14</t>
  </si>
  <si>
    <r>
      <rPr>
        <sz val="9"/>
        <color rgb="FF000000"/>
        <rFont val="楷体"/>
        <charset val="134"/>
      </rPr>
      <t>云锋基金</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昆仲资本</t>
    </r>
    <r>
      <rPr>
        <sz val="9"/>
        <color rgb="FF000000"/>
        <rFont val="Arial"/>
        <charset val="134"/>
      </rPr>
      <t>,</t>
    </r>
    <r>
      <rPr>
        <sz val="9"/>
        <color rgb="FF000000"/>
        <rFont val="楷体"/>
        <charset val="134"/>
      </rPr>
      <t>诺延资本</t>
    </r>
  </si>
  <si>
    <t>2021-12-29</t>
  </si>
  <si>
    <r>
      <rPr>
        <sz val="9"/>
        <color rgb="FF000000"/>
        <rFont val="楷体"/>
        <charset val="134"/>
      </rPr>
      <t>康成亨投资</t>
    </r>
    <r>
      <rPr>
        <sz val="9"/>
        <color rgb="FF000000"/>
        <rFont val="Arial"/>
        <charset val="134"/>
      </rPr>
      <t>,</t>
    </r>
    <r>
      <rPr>
        <sz val="9"/>
        <color rgb="FF000000"/>
        <rFont val="楷体"/>
        <charset val="134"/>
      </rPr>
      <t>中新融创</t>
    </r>
    <r>
      <rPr>
        <sz val="9"/>
        <color rgb="FF000000"/>
        <rFont val="Arial"/>
        <charset val="134"/>
      </rPr>
      <t>,</t>
    </r>
    <r>
      <rPr>
        <sz val="9"/>
        <color rgb="FF000000"/>
        <rFont val="楷体"/>
        <charset val="134"/>
      </rPr>
      <t>比亚迪</t>
    </r>
    <r>
      <rPr>
        <sz val="9"/>
        <color rgb="FF000000"/>
        <rFont val="Arial"/>
        <charset val="134"/>
      </rPr>
      <t>,</t>
    </r>
    <r>
      <rPr>
        <sz val="9"/>
        <color rgb="FF000000"/>
        <rFont val="楷体"/>
        <charset val="134"/>
      </rPr>
      <t>晨岭资本</t>
    </r>
    <r>
      <rPr>
        <sz val="9"/>
        <color rgb="FF000000"/>
        <rFont val="Arial"/>
        <charset val="134"/>
      </rPr>
      <t>,</t>
    </r>
    <r>
      <rPr>
        <sz val="9"/>
        <color rgb="FF000000"/>
        <rFont val="楷体"/>
        <charset val="134"/>
      </rPr>
      <t>小米长江产业基金</t>
    </r>
    <r>
      <rPr>
        <sz val="9"/>
        <color rgb="FF000000"/>
        <rFont val="Arial"/>
        <charset val="134"/>
      </rPr>
      <t>,</t>
    </r>
    <r>
      <rPr>
        <sz val="9"/>
        <color rgb="FF000000"/>
        <rFont val="楷体"/>
        <charset val="134"/>
      </rPr>
      <t>宇通客车</t>
    </r>
    <r>
      <rPr>
        <sz val="9"/>
        <color rgb="FF000000"/>
        <rFont val="Arial"/>
        <charset val="134"/>
      </rPr>
      <t>,</t>
    </r>
    <r>
      <rPr>
        <sz val="9"/>
        <color rgb="FF000000"/>
        <rFont val="楷体"/>
        <charset val="134"/>
      </rPr>
      <t>德赛西威</t>
    </r>
    <r>
      <rPr>
        <sz val="9"/>
        <color rgb="FF000000"/>
        <rFont val="Arial"/>
        <charset val="134"/>
      </rPr>
      <t>,</t>
    </r>
    <r>
      <rPr>
        <sz val="9"/>
        <color rgb="FF000000"/>
        <rFont val="楷体"/>
        <charset val="134"/>
      </rPr>
      <t>香港立讯</t>
    </r>
    <r>
      <rPr>
        <sz val="9"/>
        <color rgb="FF000000"/>
        <rFont val="Arial"/>
        <charset val="134"/>
      </rPr>
      <t>,</t>
    </r>
    <r>
      <rPr>
        <sz val="9"/>
        <color rgb="FF000000"/>
        <rFont val="楷体"/>
        <charset val="134"/>
      </rPr>
      <t>星韶创投</t>
    </r>
  </si>
  <si>
    <t>2018-10-11</t>
  </si>
  <si>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北汽产投</t>
    </r>
    <r>
      <rPr>
        <sz val="9"/>
        <color rgb="FF000000"/>
        <rFont val="Arial"/>
        <charset val="134"/>
      </rPr>
      <t>,</t>
    </r>
    <r>
      <rPr>
        <sz val="9"/>
        <color rgb="FF000000"/>
        <rFont val="楷体"/>
        <charset val="134"/>
      </rPr>
      <t>尚颀资本</t>
    </r>
  </si>
  <si>
    <r>
      <rPr>
        <sz val="9"/>
        <color rgb="FF000000"/>
        <rFont val="楷体"/>
        <charset val="134"/>
      </rPr>
      <t>北汽产投</t>
    </r>
    <r>
      <rPr>
        <sz val="9"/>
        <color rgb="FF000000"/>
        <rFont val="Arial"/>
        <charset val="134"/>
      </rPr>
      <t>,</t>
    </r>
    <r>
      <rPr>
        <sz val="9"/>
        <color rgb="FF000000"/>
        <rFont val="楷体"/>
        <charset val="134"/>
      </rPr>
      <t>普禾资产</t>
    </r>
    <r>
      <rPr>
        <sz val="9"/>
        <color rgb="FF000000"/>
        <rFont val="Arial"/>
        <charset val="134"/>
      </rPr>
      <t>,</t>
    </r>
    <r>
      <rPr>
        <sz val="9"/>
        <color rgb="FF000000"/>
        <rFont val="楷体"/>
        <charset val="134"/>
      </rPr>
      <t>粤民投</t>
    </r>
  </si>
  <si>
    <r>
      <rPr>
        <sz val="9"/>
        <color rgb="FF000000"/>
        <rFont val="楷体"/>
        <charset val="134"/>
      </rPr>
      <t>复星锐正资本</t>
    </r>
    <r>
      <rPr>
        <sz val="9"/>
        <color rgb="FF000000"/>
        <rFont val="Arial"/>
        <charset val="134"/>
      </rPr>
      <t>,</t>
    </r>
    <r>
      <rPr>
        <sz val="9"/>
        <color rgb="FF000000"/>
        <rFont val="楷体"/>
        <charset val="134"/>
      </rPr>
      <t>海通新能源</t>
    </r>
    <r>
      <rPr>
        <sz val="9"/>
        <color rgb="FF000000"/>
        <rFont val="Arial"/>
        <charset val="134"/>
      </rPr>
      <t>,</t>
    </r>
    <r>
      <rPr>
        <sz val="9"/>
        <color rgb="FF000000"/>
        <rFont val="楷体"/>
        <charset val="134"/>
      </rPr>
      <t>利瀚投资</t>
    </r>
  </si>
  <si>
    <t>2016-06-29</t>
  </si>
  <si>
    <r>
      <rPr>
        <sz val="9"/>
        <color rgb="FF000000"/>
        <rFont val="楷体"/>
        <charset val="134"/>
      </rPr>
      <t>复星集团</t>
    </r>
    <r>
      <rPr>
        <sz val="9"/>
        <color rgb="FF000000"/>
        <rFont val="Arial"/>
        <charset val="134"/>
      </rPr>
      <t>,</t>
    </r>
    <r>
      <rPr>
        <sz val="9"/>
        <color rgb="FF000000"/>
        <rFont val="楷体"/>
        <charset val="134"/>
      </rPr>
      <t>昆仲资本</t>
    </r>
  </si>
  <si>
    <r>
      <rPr>
        <sz val="9"/>
        <color rgb="FF000000"/>
        <rFont val="楷体"/>
        <charset val="134"/>
      </rPr>
      <t>快狗打车</t>
    </r>
    <r>
      <rPr>
        <sz val="9"/>
        <color rgb="FF000000"/>
        <rFont val="Arial"/>
        <charset val="134"/>
      </rPr>
      <t>(58</t>
    </r>
    <r>
      <rPr>
        <sz val="9"/>
        <color rgb="FF000000"/>
        <rFont val="楷体"/>
        <charset val="134"/>
      </rPr>
      <t>速运与快狗速运合并而来</t>
    </r>
    <r>
      <rPr>
        <sz val="9"/>
        <color rgb="FF000000"/>
        <rFont val="Arial"/>
        <charset val="134"/>
      </rPr>
      <t>)</t>
    </r>
    <r>
      <rPr>
        <sz val="9"/>
        <color rgb="FF000000"/>
        <rFont val="楷体"/>
        <charset val="134"/>
      </rPr>
      <t>是一家互联网</t>
    </r>
    <r>
      <rPr>
        <sz val="9"/>
        <color rgb="FF000000"/>
        <rFont val="Arial"/>
        <charset val="134"/>
      </rPr>
      <t>O2O</t>
    </r>
    <r>
      <rPr>
        <sz val="9"/>
        <color rgb="FF000000"/>
        <rFont val="楷体"/>
        <charset val="134"/>
      </rPr>
      <t>同城货运服务提供商，货运搬家平台，以搬家、货运为切入点，实现基于用户位置下单、服务者上门、在线支付及点评的</t>
    </r>
    <r>
      <rPr>
        <sz val="9"/>
        <color rgb="FF000000"/>
        <rFont val="Arial"/>
        <charset val="134"/>
      </rPr>
      <t>O2O</t>
    </r>
    <r>
      <rPr>
        <sz val="9"/>
        <color rgb="FF000000"/>
        <rFont val="楷体"/>
        <charset val="134"/>
      </rPr>
      <t>领域全闭环货运服务流程，为用户提供个人搬家、同城配送、同城拉货等整车同城货运服务。</t>
    </r>
  </si>
  <si>
    <t>天津五八到家货运服务有限公司</t>
  </si>
  <si>
    <t>http://suyun.daojia.com/</t>
  </si>
  <si>
    <r>
      <rPr>
        <sz val="9"/>
        <color rgb="FF000000"/>
        <rFont val="Arial"/>
        <charset val="134"/>
      </rPr>
      <t>5.67</t>
    </r>
    <r>
      <rPr>
        <sz val="9"/>
        <color rgb="FF000000"/>
        <rFont val="楷体"/>
        <charset val="134"/>
      </rPr>
      <t>亿港元</t>
    </r>
  </si>
  <si>
    <r>
      <rPr>
        <sz val="9"/>
        <color rgb="FF000000"/>
        <rFont val="Arial"/>
        <charset val="134"/>
      </rPr>
      <t>35.61</t>
    </r>
    <r>
      <rPr>
        <sz val="9"/>
        <color rgb="FF000000"/>
        <rFont val="楷体"/>
        <charset val="134"/>
      </rPr>
      <t>亿</t>
    </r>
  </si>
  <si>
    <r>
      <rPr>
        <sz val="9"/>
        <color rgb="FF000000"/>
        <rFont val="Arial"/>
        <charset val="134"/>
      </rPr>
      <t>109.6</t>
    </r>
    <r>
      <rPr>
        <sz val="9"/>
        <color rgb="FF000000"/>
        <rFont val="楷体"/>
        <charset val="134"/>
      </rPr>
      <t>亿元</t>
    </r>
  </si>
  <si>
    <r>
      <rPr>
        <sz val="9"/>
        <color rgb="FF000000"/>
        <rFont val="楷体"/>
        <charset val="134"/>
      </rPr>
      <t>陈小华</t>
    </r>
    <r>
      <rPr>
        <sz val="9"/>
        <color rgb="FF000000"/>
        <rFont val="Arial"/>
        <charset val="134"/>
      </rPr>
      <t>:</t>
    </r>
    <r>
      <rPr>
        <sz val="9"/>
        <color rgb="FF000000"/>
        <rFont val="楷体"/>
        <charset val="134"/>
      </rPr>
      <t>董事长</t>
    </r>
  </si>
  <si>
    <r>
      <rPr>
        <sz val="9"/>
        <color rgb="FF000000"/>
        <rFont val="楷体"/>
        <charset val="134"/>
      </rPr>
      <t>北京市朝阳区北苑路大羊坊</t>
    </r>
    <r>
      <rPr>
        <sz val="9"/>
        <color rgb="FF000000"/>
        <rFont val="Arial"/>
        <charset val="134"/>
      </rPr>
      <t>10</t>
    </r>
    <r>
      <rPr>
        <sz val="9"/>
        <color rgb="FF000000"/>
        <rFont val="楷体"/>
        <charset val="134"/>
      </rPr>
      <t>号桑普大厦</t>
    </r>
  </si>
  <si>
    <t>010-5082-6067</t>
  </si>
  <si>
    <r>
      <rPr>
        <sz val="9"/>
        <color rgb="FF000000"/>
        <rFont val="Arial"/>
        <charset val="134"/>
      </rPr>
      <t>6350</t>
    </r>
    <r>
      <rPr>
        <sz val="9"/>
        <color rgb="FF000000"/>
        <rFont val="楷体"/>
        <charset val="134"/>
      </rPr>
      <t>万美元</t>
    </r>
  </si>
  <si>
    <r>
      <rPr>
        <sz val="9"/>
        <color rgb="FF000000"/>
        <rFont val="楷体"/>
        <charset val="134"/>
      </rPr>
      <t>广发证券</t>
    </r>
    <r>
      <rPr>
        <sz val="9"/>
        <color rgb="FF000000"/>
        <rFont val="Arial"/>
        <charset val="134"/>
      </rPr>
      <t>,</t>
    </r>
    <r>
      <rPr>
        <sz val="9"/>
        <color rgb="FF000000"/>
        <rFont val="楷体"/>
        <charset val="134"/>
      </rPr>
      <t>奇瑞汽车</t>
    </r>
  </si>
  <si>
    <t>2021-07-13</t>
  </si>
  <si>
    <r>
      <rPr>
        <sz val="9"/>
        <color rgb="FF000000"/>
        <rFont val="楷体"/>
        <charset val="134"/>
      </rPr>
      <t>交银国际</t>
    </r>
    <r>
      <rPr>
        <sz val="9"/>
        <color rgb="FF000000"/>
        <rFont val="Arial"/>
        <charset val="134"/>
      </rPr>
      <t>,</t>
    </r>
    <r>
      <rPr>
        <sz val="9"/>
        <color rgb="FF000000"/>
        <rFont val="楷体"/>
        <charset val="134"/>
      </rPr>
      <t>数码港</t>
    </r>
  </si>
  <si>
    <t>2018-07-13</t>
  </si>
  <si>
    <t>2015-06-09</t>
  </si>
  <si>
    <t>2015-01-19</t>
  </si>
  <si>
    <r>
      <rPr>
        <sz val="9"/>
        <color rgb="FF000000"/>
        <rFont val="Arial"/>
        <charset val="134"/>
      </rPr>
      <t>58</t>
    </r>
    <r>
      <rPr>
        <sz val="9"/>
        <color rgb="FF000000"/>
        <rFont val="楷体"/>
        <charset val="134"/>
      </rPr>
      <t>同城</t>
    </r>
  </si>
  <si>
    <t>2022-06-07</t>
  </si>
  <si>
    <t>易流科技</t>
  </si>
  <si>
    <r>
      <rPr>
        <sz val="9"/>
        <color rgb="FF000000"/>
        <rFont val="楷体"/>
        <charset val="134"/>
      </rPr>
      <t>易流科技是一家物流透明</t>
    </r>
    <r>
      <rPr>
        <sz val="9"/>
        <color rgb="FF000000"/>
        <rFont val="Arial"/>
        <charset val="134"/>
      </rPr>
      <t>SaaS</t>
    </r>
    <r>
      <rPr>
        <sz val="9"/>
        <color rgb="FF000000"/>
        <rFont val="楷体"/>
        <charset val="134"/>
      </rPr>
      <t>服务运营商，主要业务为易流云、</t>
    </r>
    <r>
      <rPr>
        <sz val="9"/>
        <color rgb="FF000000"/>
        <rFont val="Arial"/>
        <charset val="134"/>
      </rPr>
      <t>e-TMS</t>
    </r>
    <r>
      <rPr>
        <sz val="9"/>
        <color rgb="FF000000"/>
        <rFont val="楷体"/>
        <charset val="134"/>
      </rPr>
      <t>平台服务及其所涉及的配套硬件设备销售、软件销售、平台服务等。</t>
    </r>
  </si>
  <si>
    <t>深圳市易流科技股份有限公司</t>
  </si>
  <si>
    <t>http://www.e6gps.com/</t>
  </si>
  <si>
    <t>2009-05</t>
  </si>
  <si>
    <r>
      <rPr>
        <sz val="9"/>
        <color rgb="FF000000"/>
        <rFont val="Arial"/>
        <charset val="134"/>
      </rPr>
      <t>G7</t>
    </r>
    <r>
      <rPr>
        <sz val="9"/>
        <color rgb="FF000000"/>
        <rFont val="楷体"/>
        <charset val="134"/>
      </rPr>
      <t>汇通天下</t>
    </r>
  </si>
  <si>
    <r>
      <rPr>
        <sz val="9"/>
        <color rgb="FF000000"/>
        <rFont val="楷体"/>
        <charset val="134"/>
      </rPr>
      <t>张景涛</t>
    </r>
    <r>
      <rPr>
        <sz val="9"/>
        <color rgb="FF000000"/>
        <rFont val="Arial"/>
        <charset val="134"/>
      </rPr>
      <t>:CEO</t>
    </r>
  </si>
  <si>
    <r>
      <rPr>
        <sz val="9"/>
        <color rgb="FF000000"/>
        <rFont val="楷体"/>
        <charset val="134"/>
      </rPr>
      <t>广东省深圳市南山区科技园高新南四道</t>
    </r>
    <r>
      <rPr>
        <sz val="9"/>
        <color rgb="FF000000"/>
        <rFont val="Arial"/>
        <charset val="134"/>
      </rPr>
      <t>R1-A</t>
    </r>
    <r>
      <rPr>
        <sz val="9"/>
        <color rgb="FF000000"/>
        <rFont val="楷体"/>
        <charset val="134"/>
      </rPr>
      <t>现代大厦</t>
    </r>
    <r>
      <rPr>
        <sz val="9"/>
        <color rgb="FF000000"/>
        <rFont val="Arial"/>
        <charset val="134"/>
      </rPr>
      <t>6</t>
    </r>
    <r>
      <rPr>
        <sz val="9"/>
        <color rgb="FF000000"/>
        <rFont val="楷体"/>
        <charset val="134"/>
      </rPr>
      <t>层</t>
    </r>
  </si>
  <si>
    <t>0755-2694-4168</t>
  </si>
  <si>
    <t>zhangwei@e6yun.com</t>
  </si>
  <si>
    <t>2018-09-13</t>
  </si>
  <si>
    <t>2016-02-22</t>
  </si>
  <si>
    <t>深圳高新投</t>
  </si>
  <si>
    <t>2016-10-27</t>
  </si>
  <si>
    <t>2013-05-17</t>
  </si>
  <si>
    <t>2020-12-17</t>
  </si>
  <si>
    <t>快仓</t>
  </si>
  <si>
    <r>
      <rPr>
        <sz val="9"/>
        <color rgb="FF000000"/>
        <rFont val="楷体"/>
        <charset val="134"/>
      </rPr>
      <t>快仓是全球第二大的智能仓储机器人系统解决方案提供商，是人工智能</t>
    </r>
    <r>
      <rPr>
        <sz val="9"/>
        <color rgb="FF000000"/>
        <rFont val="Arial"/>
        <charset val="134"/>
      </rPr>
      <t>+</t>
    </r>
    <r>
      <rPr>
        <sz val="9"/>
        <color rgb="FF000000"/>
        <rFont val="楷体"/>
        <charset val="134"/>
      </rPr>
      <t>智能机器人领域的头雁企业，拥有目前国内规模最大的千台级机器人智能仓。快仓致力于打造下一代无人驾驶机器人及机器人集群操作系统，让无人驾驶机器人成为智能制造、智能物流的基础设施，实现让人类不再搬运的伟大愿景。</t>
    </r>
  </si>
  <si>
    <t>上海快仓智能科技有限公司</t>
  </si>
  <si>
    <t>http://www.flashhold.com/</t>
  </si>
  <si>
    <r>
      <rPr>
        <sz val="9"/>
        <color rgb="FF000000"/>
        <rFont val="楷体"/>
        <charset val="134"/>
      </rPr>
      <t>交银国际</t>
    </r>
    <r>
      <rPr>
        <sz val="9"/>
        <color rgb="FF000000"/>
        <rFont val="Arial"/>
        <charset val="134"/>
      </rPr>
      <t>,</t>
    </r>
    <r>
      <rPr>
        <sz val="9"/>
        <color rgb="FF000000"/>
        <rFont val="楷体"/>
        <charset val="134"/>
      </rPr>
      <t>高能资本</t>
    </r>
    <r>
      <rPr>
        <sz val="9"/>
        <color rgb="FF000000"/>
        <rFont val="Arial"/>
        <charset val="134"/>
      </rPr>
      <t>,</t>
    </r>
    <r>
      <rPr>
        <sz val="9"/>
        <color rgb="FF000000"/>
        <rFont val="楷体"/>
        <charset val="134"/>
      </rPr>
      <t>申万宏源</t>
    </r>
    <r>
      <rPr>
        <sz val="9"/>
        <color rgb="FF000000"/>
        <rFont val="Arial"/>
        <charset val="134"/>
      </rPr>
      <t>,</t>
    </r>
    <r>
      <rPr>
        <sz val="9"/>
        <color rgb="FF000000"/>
        <rFont val="楷体"/>
        <charset val="134"/>
      </rPr>
      <t>华创深大投资</t>
    </r>
    <r>
      <rPr>
        <sz val="9"/>
        <color rgb="FF000000"/>
        <rFont val="Arial"/>
        <charset val="134"/>
      </rPr>
      <t>,</t>
    </r>
    <r>
      <rPr>
        <sz val="9"/>
        <color rgb="FF000000"/>
        <rFont val="楷体"/>
        <charset val="134"/>
      </rPr>
      <t>建信信托</t>
    </r>
    <r>
      <rPr>
        <sz val="9"/>
        <color rgb="FF000000"/>
        <rFont val="Arial"/>
        <charset val="134"/>
      </rPr>
      <t>,Prosperity7 Ventures,</t>
    </r>
    <r>
      <rPr>
        <sz val="9"/>
        <color rgb="FF000000"/>
        <rFont val="楷体"/>
        <charset val="134"/>
      </rPr>
      <t>凯傲集团</t>
    </r>
    <r>
      <rPr>
        <sz val="9"/>
        <color rgb="FF000000"/>
        <rFont val="Arial"/>
        <charset val="134"/>
      </rPr>
      <t>,</t>
    </r>
    <r>
      <rPr>
        <sz val="9"/>
        <color rgb="FF000000"/>
        <rFont val="楷体"/>
        <charset val="134"/>
      </rPr>
      <t>联道资产</t>
    </r>
  </si>
  <si>
    <r>
      <rPr>
        <sz val="9"/>
        <color rgb="FF000000"/>
        <rFont val="Arial"/>
        <charset val="134"/>
      </rPr>
      <t>12.9</t>
    </r>
    <r>
      <rPr>
        <sz val="9"/>
        <color rgb="FF000000"/>
        <rFont val="楷体"/>
        <charset val="134"/>
      </rPr>
      <t>亿</t>
    </r>
  </si>
  <si>
    <r>
      <rPr>
        <sz val="9"/>
        <color rgb="FF000000"/>
        <rFont val="楷体"/>
        <charset val="134"/>
      </rPr>
      <t>杨威</t>
    </r>
    <r>
      <rPr>
        <sz val="9"/>
        <color rgb="FF000000"/>
        <rFont val="Arial"/>
        <charset val="134"/>
      </rPr>
      <t>:CEO,</t>
    </r>
    <r>
      <rPr>
        <sz val="9"/>
        <color rgb="FF000000"/>
        <rFont val="楷体"/>
        <charset val="134"/>
      </rPr>
      <t>倪菲</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孙宇</t>
    </r>
    <r>
      <rPr>
        <sz val="9"/>
        <color rgb="FF000000"/>
        <rFont val="Arial"/>
        <charset val="134"/>
      </rPr>
      <t>:</t>
    </r>
    <r>
      <rPr>
        <sz val="9"/>
        <color rgb="FF000000"/>
        <rFont val="楷体"/>
        <charset val="134"/>
      </rPr>
      <t>联合创始人</t>
    </r>
  </si>
  <si>
    <r>
      <rPr>
        <sz val="9"/>
        <color rgb="FF000000"/>
        <rFont val="楷体"/>
        <charset val="134"/>
      </rPr>
      <t>上海市徐汇区钦州北路</t>
    </r>
    <r>
      <rPr>
        <sz val="9"/>
        <color rgb="FF000000"/>
        <rFont val="Arial"/>
        <charset val="134"/>
      </rPr>
      <t>1001</t>
    </r>
    <r>
      <rPr>
        <sz val="9"/>
        <color rgb="FF000000"/>
        <rFont val="楷体"/>
        <charset val="134"/>
      </rPr>
      <t>号</t>
    </r>
    <r>
      <rPr>
        <sz val="9"/>
        <color rgb="FF000000"/>
        <rFont val="Arial"/>
        <charset val="134"/>
      </rPr>
      <t>7</t>
    </r>
    <r>
      <rPr>
        <sz val="9"/>
        <color rgb="FF000000"/>
        <rFont val="楷体"/>
        <charset val="134"/>
      </rPr>
      <t>号楼</t>
    </r>
    <r>
      <rPr>
        <sz val="9"/>
        <color rgb="FF000000"/>
        <rFont val="Arial"/>
        <charset val="134"/>
      </rPr>
      <t>4</t>
    </r>
    <r>
      <rPr>
        <sz val="9"/>
        <color rgb="FF000000"/>
        <rFont val="楷体"/>
        <charset val="134"/>
      </rPr>
      <t>楼</t>
    </r>
  </si>
  <si>
    <t>400-859-2188</t>
  </si>
  <si>
    <t>info@flashhold.com</t>
  </si>
  <si>
    <t>2018-11-29</t>
  </si>
  <si>
    <r>
      <rPr>
        <sz val="9"/>
        <color rgb="FF000000"/>
        <rFont val="楷体"/>
        <charset val="134"/>
      </rPr>
      <t>联创永宣</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海富产业投资</t>
    </r>
    <r>
      <rPr>
        <sz val="9"/>
        <color rgb="FF000000"/>
        <rFont val="Arial"/>
        <charset val="134"/>
      </rPr>
      <t>,</t>
    </r>
    <r>
      <rPr>
        <sz val="9"/>
        <color rgb="FF000000"/>
        <rFont val="楷体"/>
        <charset val="134"/>
      </rPr>
      <t>上海国和投资</t>
    </r>
    <r>
      <rPr>
        <sz val="9"/>
        <color rgb="FF000000"/>
        <rFont val="Arial"/>
        <charset val="134"/>
      </rPr>
      <t>,</t>
    </r>
    <r>
      <rPr>
        <sz val="9"/>
        <color rgb="FF000000"/>
        <rFont val="楷体"/>
        <charset val="134"/>
      </rPr>
      <t>比中基金</t>
    </r>
    <r>
      <rPr>
        <sz val="9"/>
        <color rgb="FF000000"/>
        <rFont val="Arial"/>
        <charset val="134"/>
      </rPr>
      <t>,</t>
    </r>
    <r>
      <rPr>
        <sz val="9"/>
        <color rgb="FF000000"/>
        <rFont val="楷体"/>
        <charset val="134"/>
      </rPr>
      <t>创世伙伴资本</t>
    </r>
  </si>
  <si>
    <t>2017-03-29</t>
  </si>
  <si>
    <r>
      <rPr>
        <sz val="9"/>
        <color rgb="FF000000"/>
        <rFont val="楷体"/>
        <charset val="134"/>
      </rPr>
      <t>软银中国资本</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</si>
  <si>
    <t>2015-10-20</t>
  </si>
  <si>
    <r>
      <rPr>
        <sz val="9"/>
        <color rgb="FF000000"/>
        <rFont val="楷体"/>
        <charset val="134"/>
      </rPr>
      <t>中兴合创</t>
    </r>
    <r>
      <rPr>
        <sz val="9"/>
        <color rgb="FF000000"/>
        <rFont val="Arial"/>
        <charset val="134"/>
      </rPr>
      <t>,</t>
    </r>
    <r>
      <rPr>
        <sz val="9"/>
        <color rgb="FF000000"/>
        <rFont val="楷体"/>
        <charset val="134"/>
      </rPr>
      <t>百世物流</t>
    </r>
  </si>
  <si>
    <t>2014-08-15</t>
  </si>
  <si>
    <t>东骏快捷物流</t>
  </si>
  <si>
    <r>
      <rPr>
        <sz val="9"/>
        <color rgb="FF000000"/>
        <rFont val="楷体"/>
        <charset val="134"/>
      </rPr>
      <t>东骏快捷物流是一家电子商务</t>
    </r>
    <r>
      <rPr>
        <sz val="9"/>
        <color rgb="FF000000"/>
        <rFont val="Arial"/>
        <charset val="134"/>
      </rPr>
      <t>B2C</t>
    </r>
    <r>
      <rPr>
        <sz val="9"/>
        <color rgb="FF000000"/>
        <rFont val="楷体"/>
        <charset val="134"/>
      </rPr>
      <t>物流配送运营商，致力于配送网络的建设，主营业务包括云贵川电子商务</t>
    </r>
    <r>
      <rPr>
        <sz val="9"/>
        <color rgb="FF000000"/>
        <rFont val="Arial"/>
        <charset val="134"/>
      </rPr>
      <t>B2C</t>
    </r>
    <r>
      <rPr>
        <sz val="9"/>
        <color rgb="FF000000"/>
        <rFont val="楷体"/>
        <charset val="134"/>
      </rPr>
      <t>配送、</t>
    </r>
    <r>
      <rPr>
        <sz val="9"/>
        <color rgb="FF000000"/>
        <rFont val="Arial"/>
        <charset val="134"/>
      </rPr>
      <t>COD</t>
    </r>
    <r>
      <rPr>
        <sz val="9"/>
        <color rgb="FF000000"/>
        <rFont val="楷体"/>
        <charset val="134"/>
      </rPr>
      <t>代收货款、订单处理、仓储、分拨、运输、物流加工及相关延伸增值服务。</t>
    </r>
    <r>
      <rPr>
        <sz val="9"/>
        <color rgb="FF000000"/>
        <rFont val="Arial"/>
        <charset val="134"/>
      </rPr>
      <t xml:space="preserve">
</t>
    </r>
  </si>
  <si>
    <t>成都东骏快捷物流有限公司</t>
  </si>
  <si>
    <t>http://www.dj56.cc/</t>
  </si>
  <si>
    <r>
      <rPr>
        <sz val="9"/>
        <color rgb="FF000000"/>
        <rFont val="楷体"/>
        <charset val="134"/>
      </rPr>
      <t>成都市双流区航枢一路</t>
    </r>
    <r>
      <rPr>
        <sz val="9"/>
        <color rgb="FF000000"/>
        <rFont val="Arial"/>
        <charset val="134"/>
      </rPr>
      <t>338</t>
    </r>
    <r>
      <rPr>
        <sz val="9"/>
        <color rgb="FF000000"/>
        <rFont val="楷体"/>
        <charset val="134"/>
      </rPr>
      <t>号康路冻库</t>
    </r>
    <r>
      <rPr>
        <sz val="9"/>
        <color rgb="FF000000"/>
        <rFont val="Arial"/>
        <charset val="134"/>
      </rPr>
      <t>2</t>
    </r>
    <r>
      <rPr>
        <sz val="9"/>
        <color rgb="FF000000"/>
        <rFont val="楷体"/>
        <charset val="134"/>
      </rPr>
      <t>层</t>
    </r>
  </si>
  <si>
    <t>dongjd@dj56.cc</t>
  </si>
  <si>
    <t>芝麻开门配送</t>
  </si>
  <si>
    <r>
      <rPr>
        <sz val="9"/>
        <color rgb="FF000000"/>
        <rFont val="楷体"/>
        <charset val="134"/>
      </rPr>
      <t>芝麻开门配送是一家物流服务供应商，主营网购、电购、保单、银行积分礼品等</t>
    </r>
    <r>
      <rPr>
        <sz val="9"/>
        <color rgb="FF000000"/>
        <rFont val="Arial"/>
        <charset val="134"/>
      </rPr>
      <t>B2C</t>
    </r>
    <r>
      <rPr>
        <sz val="9"/>
        <color rgb="FF000000"/>
        <rFont val="楷体"/>
        <charset val="134"/>
      </rPr>
      <t>代收货款配送、第三方物流仓储加工、包装及高价值物品项目配送，致力于为电子商务公司和在线购物消费者提供全方位的门到门物流服务。</t>
    </r>
    <r>
      <rPr>
        <sz val="9"/>
        <color rgb="FF000000"/>
        <rFont val="Arial"/>
        <charset val="134"/>
      </rPr>
      <t xml:space="preserve">
</t>
    </r>
  </si>
  <si>
    <t>浙江丹鸟物流科技有限公司</t>
  </si>
  <si>
    <r>
      <rPr>
        <sz val="9"/>
        <color rgb="FF000000"/>
        <rFont val="楷体"/>
        <charset val="134"/>
      </rPr>
      <t>蒲伟津</t>
    </r>
    <r>
      <rPr>
        <sz val="9"/>
        <color rgb="FF000000"/>
        <rFont val="Arial"/>
        <charset val="134"/>
      </rPr>
      <t>:</t>
    </r>
    <r>
      <rPr>
        <sz val="9"/>
        <color rgb="FF000000"/>
        <rFont val="楷体"/>
        <charset val="134"/>
      </rPr>
      <t>董事兼副总经理</t>
    </r>
  </si>
  <si>
    <r>
      <rPr>
        <sz val="9"/>
        <color rgb="FF000000"/>
        <rFont val="楷体"/>
        <charset val="134"/>
      </rPr>
      <t>杭州市江干区九盛路</t>
    </r>
    <r>
      <rPr>
        <sz val="9"/>
        <color rgb="FF000000"/>
        <rFont val="Arial"/>
        <charset val="134"/>
      </rPr>
      <t>9</t>
    </r>
    <r>
      <rPr>
        <sz val="9"/>
        <color rgb="FF000000"/>
        <rFont val="楷体"/>
        <charset val="134"/>
      </rPr>
      <t>号</t>
    </r>
    <r>
      <rPr>
        <sz val="9"/>
        <color rgb="FF000000"/>
        <rFont val="Arial"/>
        <charset val="134"/>
      </rPr>
      <t>A03</t>
    </r>
    <r>
      <rPr>
        <sz val="9"/>
        <color rgb="FF000000"/>
        <rFont val="楷体"/>
        <charset val="134"/>
      </rPr>
      <t>幢</t>
    </r>
    <r>
      <rPr>
        <sz val="9"/>
        <color rgb="FF000000"/>
        <rFont val="Arial"/>
        <charset val="134"/>
      </rPr>
      <t>401</t>
    </r>
    <r>
      <rPr>
        <sz val="9"/>
        <color rgb="FF000000"/>
        <rFont val="楷体"/>
        <charset val="134"/>
      </rPr>
      <t>室</t>
    </r>
  </si>
  <si>
    <t>131-5713-5317</t>
  </si>
  <si>
    <t>zhangpei@zmkmex.com</t>
  </si>
  <si>
    <t>2012-08-11</t>
  </si>
  <si>
    <t>黄马甲</t>
  </si>
  <si>
    <r>
      <rPr>
        <sz val="9"/>
        <color rgb="FF000000"/>
        <rFont val="楷体"/>
        <charset val="134"/>
      </rPr>
      <t>黄马甲是一家物流配送服务提供商，主营业务包括报刊发行、电商配送、生鲜宅配、数据营销等，为用户提供快递订单查询、服务网点查询、发行站点地图等服务及</t>
    </r>
    <r>
      <rPr>
        <sz val="9"/>
        <color rgb="FF000000"/>
        <rFont val="Arial"/>
        <charset val="134"/>
      </rPr>
      <t>COD</t>
    </r>
    <r>
      <rPr>
        <sz val="9"/>
        <color rgb="FF000000"/>
        <rFont val="楷体"/>
        <charset val="134"/>
      </rPr>
      <t>落地配送服务、快递收件业务等解决方案。</t>
    </r>
    <r>
      <rPr>
        <sz val="9"/>
        <color rgb="FF000000"/>
        <rFont val="Arial"/>
        <charset val="134"/>
      </rPr>
      <t xml:space="preserve">
</t>
    </r>
  </si>
  <si>
    <t>陕西黄马甲快递有限公司</t>
  </si>
  <si>
    <t>http://www.huangmajia.com/</t>
  </si>
  <si>
    <r>
      <rPr>
        <sz val="9"/>
        <color rgb="FF000000"/>
        <rFont val="楷体"/>
        <charset val="134"/>
      </rPr>
      <t>陕西省西安市经开区尚华路</t>
    </r>
    <r>
      <rPr>
        <sz val="9"/>
        <color rgb="FF000000"/>
        <rFont val="Arial"/>
        <charset val="134"/>
      </rPr>
      <t>99</t>
    </r>
    <r>
      <rPr>
        <sz val="9"/>
        <color rgb="FF000000"/>
        <rFont val="楷体"/>
        <charset val="134"/>
      </rPr>
      <t>号</t>
    </r>
    <r>
      <rPr>
        <sz val="9"/>
        <color rgb="FF000000"/>
        <rFont val="Arial"/>
        <charset val="134"/>
      </rPr>
      <t>3</t>
    </r>
    <r>
      <rPr>
        <sz val="9"/>
        <color rgb="FF000000"/>
        <rFont val="楷体"/>
        <charset val="134"/>
      </rPr>
      <t>号楼</t>
    </r>
  </si>
  <si>
    <t>029-8651-9715</t>
  </si>
  <si>
    <t>565226369@qq.com</t>
  </si>
  <si>
    <t>快行天下</t>
  </si>
  <si>
    <r>
      <rPr>
        <sz val="9"/>
        <color rgb="FF000000"/>
        <rFont val="楷体"/>
        <charset val="134"/>
      </rPr>
      <t>快行天下冷链是一家冷链物流服务提供商，主要为大型连锁卖场、超市供应商、连锁餐饮提供多温层仓储、多温层运输、城市共同配送、区域零担，以及验货、分装、入库、上架等溯源服务。</t>
    </r>
    <r>
      <rPr>
        <sz val="9"/>
        <color rgb="FF000000"/>
        <rFont val="Arial"/>
        <charset val="134"/>
      </rPr>
      <t xml:space="preserve">
</t>
    </r>
  </si>
  <si>
    <t>上海快行天下冷链物流有限公司</t>
  </si>
  <si>
    <t>http://www.kxtxlogistic.com/</t>
  </si>
  <si>
    <r>
      <rPr>
        <sz val="9"/>
        <color rgb="FF000000"/>
        <rFont val="楷体"/>
        <charset val="134"/>
      </rPr>
      <t>昆山市张浦镇源浦路</t>
    </r>
    <r>
      <rPr>
        <sz val="9"/>
        <color rgb="FF000000"/>
        <rFont val="Arial"/>
        <charset val="134"/>
      </rPr>
      <t>519</t>
    </r>
    <r>
      <rPr>
        <sz val="9"/>
        <color rgb="FF000000"/>
        <rFont val="楷体"/>
        <charset val="134"/>
      </rPr>
      <t>号</t>
    </r>
  </si>
  <si>
    <t>400-8287667</t>
  </si>
  <si>
    <t>shkxtx@kxtxlogistic.com</t>
  </si>
  <si>
    <t>2021-10-18</t>
  </si>
  <si>
    <t>环世物流是一家国际综合物流服务商，依托自有散杂货船队、罐式集装箱设备、车队、货站和仓库，为全球用户提供端到端的国际海运、空运、陆运、化工物流、工程项目物流、跨境电商物流、仓储码头服务等国际综合物流服务。</t>
  </si>
  <si>
    <t>上海环世物流（集团）有限公司</t>
  </si>
  <si>
    <t>https://www.worldwide-logistics.cn//</t>
  </si>
  <si>
    <t>跨境物流</t>
  </si>
  <si>
    <r>
      <rPr>
        <sz val="9"/>
        <color rgb="FF000000"/>
        <rFont val="楷体"/>
        <charset val="134"/>
      </rPr>
      <t>创新工场</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中远海运</t>
    </r>
  </si>
  <si>
    <r>
      <rPr>
        <sz val="9"/>
        <color rgb="FF000000"/>
        <rFont val="Arial"/>
        <charset val="134"/>
      </rPr>
      <t>18.95</t>
    </r>
    <r>
      <rPr>
        <sz val="9"/>
        <color rgb="FF000000"/>
        <rFont val="楷体"/>
        <charset val="134"/>
      </rPr>
      <t>亿</t>
    </r>
  </si>
  <si>
    <r>
      <rPr>
        <sz val="9"/>
        <color rgb="FF000000"/>
        <rFont val="Arial"/>
        <charset val="134"/>
      </rPr>
      <t>170</t>
    </r>
    <r>
      <rPr>
        <sz val="9"/>
        <color rgb="FF000000"/>
        <rFont val="楷体"/>
        <charset val="134"/>
      </rPr>
      <t>亿元</t>
    </r>
  </si>
  <si>
    <r>
      <rPr>
        <sz val="9"/>
        <color rgb="FF000000"/>
        <rFont val="楷体"/>
        <charset val="134"/>
      </rPr>
      <t>林杰</t>
    </r>
    <r>
      <rPr>
        <sz val="9"/>
        <color rgb="FF000000"/>
        <rFont val="Arial"/>
        <charset val="134"/>
      </rPr>
      <t>:</t>
    </r>
    <r>
      <rPr>
        <sz val="9"/>
        <color rgb="FF000000"/>
        <rFont val="楷体"/>
        <charset val="134"/>
      </rPr>
      <t>创始人</t>
    </r>
  </si>
  <si>
    <r>
      <rPr>
        <sz val="9"/>
        <color rgb="FF000000"/>
        <rFont val="楷体"/>
        <charset val="134"/>
      </rPr>
      <t>上海市杨浦区宁国路</t>
    </r>
    <r>
      <rPr>
        <sz val="9"/>
        <color rgb="FF000000"/>
        <rFont val="Arial"/>
        <charset val="134"/>
      </rPr>
      <t>228</t>
    </r>
    <r>
      <rPr>
        <sz val="9"/>
        <color rgb="FF000000"/>
        <rFont val="楷体"/>
        <charset val="134"/>
      </rPr>
      <t>号郡江国际大厦</t>
    </r>
    <r>
      <rPr>
        <sz val="9"/>
        <color rgb="FF000000"/>
        <rFont val="Arial"/>
        <charset val="134"/>
      </rPr>
      <t>14-16</t>
    </r>
    <r>
      <rPr>
        <sz val="9"/>
        <color rgb="FF000000"/>
        <rFont val="楷体"/>
        <charset val="134"/>
      </rPr>
      <t>楼</t>
    </r>
  </si>
  <si>
    <t>021-6132-2333</t>
  </si>
  <si>
    <r>
      <rPr>
        <sz val="9"/>
        <color rgb="FF000000"/>
        <rFont val="楷体"/>
        <charset val="134"/>
      </rPr>
      <t>创新工场</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</si>
  <si>
    <t>2020-11-11</t>
  </si>
  <si>
    <t>中国国际货运航空</t>
  </si>
  <si>
    <r>
      <rPr>
        <sz val="9"/>
        <color rgb="FF000000"/>
        <rFont val="楷体"/>
        <charset val="134"/>
      </rPr>
      <t>中国国际货运航空是一家航空货运公司，形成了快运、标运</t>
    </r>
    <r>
      <rPr>
        <sz val="9"/>
        <color rgb="FF000000"/>
        <rFont val="Arial"/>
        <charset val="134"/>
      </rPr>
      <t>+</t>
    </r>
    <r>
      <rPr>
        <sz val="9"/>
        <color rgb="FF000000"/>
        <rFont val="楷体"/>
        <charset val="134"/>
      </rPr>
      <t>、医运、酷运、鲜运、安运、骏运、特运、珍运、标运、邮件等多种产品，同时还经营中国国航客机腹舱，旗下拥有运单查询、航班查询工具</t>
    </r>
    <r>
      <rPr>
        <sz val="9"/>
        <color rgb="FF000000"/>
        <rFont val="Arial"/>
        <charset val="134"/>
      </rPr>
      <t>“</t>
    </r>
    <r>
      <rPr>
        <sz val="9"/>
        <color rgb="FF000000"/>
        <rFont val="楷体"/>
        <charset val="134"/>
      </rPr>
      <t>国货航</t>
    </r>
    <r>
      <rPr>
        <sz val="9"/>
        <color rgb="FF000000"/>
        <rFont val="Arial"/>
        <charset val="134"/>
      </rPr>
      <t>”</t>
    </r>
    <r>
      <rPr>
        <sz val="9"/>
        <color rgb="FF000000"/>
        <rFont val="楷体"/>
        <charset val="134"/>
      </rPr>
      <t>、国货航值班排班查询工具</t>
    </r>
    <r>
      <rPr>
        <sz val="9"/>
        <color rgb="FF000000"/>
        <rFont val="Arial"/>
        <charset val="134"/>
      </rPr>
      <t>“</t>
    </r>
    <r>
      <rPr>
        <sz val="9"/>
        <color rgb="FF000000"/>
        <rFont val="楷体"/>
        <charset val="134"/>
      </rPr>
      <t>国货航值班</t>
    </r>
    <r>
      <rPr>
        <sz val="9"/>
        <color rgb="FF000000"/>
        <rFont val="Arial"/>
        <charset val="134"/>
      </rPr>
      <t>”</t>
    </r>
    <r>
      <rPr>
        <sz val="9"/>
        <color rgb="FF000000"/>
        <rFont val="楷体"/>
        <charset val="134"/>
      </rPr>
      <t>等产品。</t>
    </r>
  </si>
  <si>
    <t>中国国际货运航空股份有限公司</t>
  </si>
  <si>
    <t>http://www.airchinacargo.com/</t>
  </si>
  <si>
    <r>
      <rPr>
        <sz val="9"/>
        <color rgb="FF000000"/>
        <rFont val="Arial"/>
        <charset val="134"/>
      </rPr>
      <t>48.52</t>
    </r>
    <r>
      <rPr>
        <sz val="9"/>
        <color rgb="FF000000"/>
        <rFont val="楷体"/>
        <charset val="134"/>
      </rPr>
      <t>亿人民币</t>
    </r>
  </si>
  <si>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中国国新</t>
    </r>
    <r>
      <rPr>
        <sz val="9"/>
        <color rgb="FF000000"/>
        <rFont val="Arial"/>
        <charset val="134"/>
      </rPr>
      <t>,</t>
    </r>
    <r>
      <rPr>
        <sz val="9"/>
        <color rgb="FF000000"/>
        <rFont val="楷体"/>
        <charset val="134"/>
      </rPr>
      <t>深圳国际</t>
    </r>
  </si>
  <si>
    <r>
      <rPr>
        <sz val="9"/>
        <color rgb="FF000000"/>
        <rFont val="Arial"/>
        <charset val="134"/>
      </rPr>
      <t>48.52</t>
    </r>
    <r>
      <rPr>
        <sz val="9"/>
        <color rgb="FF000000"/>
        <rFont val="楷体"/>
        <charset val="134"/>
      </rPr>
      <t>亿</t>
    </r>
  </si>
  <si>
    <r>
      <rPr>
        <sz val="9"/>
        <color rgb="FF000000"/>
        <rFont val="Arial"/>
        <charset val="134"/>
      </rPr>
      <t>242.6</t>
    </r>
    <r>
      <rPr>
        <sz val="9"/>
        <color rgb="FF000000"/>
        <rFont val="楷体"/>
        <charset val="134"/>
      </rPr>
      <t>亿元</t>
    </r>
  </si>
  <si>
    <r>
      <rPr>
        <sz val="9"/>
        <color rgb="FF000000"/>
        <rFont val="楷体"/>
        <charset val="134"/>
      </rPr>
      <t>北京市顺义区天竺空港工业区</t>
    </r>
    <r>
      <rPr>
        <sz val="9"/>
        <color rgb="FF000000"/>
        <rFont val="Arial"/>
        <charset val="134"/>
      </rPr>
      <t>A</t>
    </r>
    <r>
      <rPr>
        <sz val="9"/>
        <color rgb="FF000000"/>
        <rFont val="楷体"/>
        <charset val="134"/>
      </rPr>
      <t>区</t>
    </r>
  </si>
  <si>
    <t>010-6146-5599</t>
  </si>
  <si>
    <t>zcglb@airchinacargo.com</t>
  </si>
  <si>
    <t>云盼智能柜</t>
  </si>
  <si>
    <r>
      <rPr>
        <sz val="9"/>
        <color rgb="FF000000"/>
        <rFont val="楷体"/>
        <charset val="134"/>
      </rPr>
      <t>云盼智能快递柜致力于为精品小区、高档社区提供第三方便民服务平台，为广大业主提供快递代收货及临时寄存服务，打通快递业</t>
    </r>
    <r>
      <rPr>
        <sz val="9"/>
        <color rgb="FF000000"/>
        <rFont val="Arial"/>
        <charset val="134"/>
      </rPr>
      <t>“</t>
    </r>
    <r>
      <rPr>
        <sz val="9"/>
        <color rgb="FF000000"/>
        <rFont val="楷体"/>
        <charset val="134"/>
      </rPr>
      <t>最后</t>
    </r>
    <r>
      <rPr>
        <sz val="9"/>
        <color rgb="FF000000"/>
        <rFont val="Arial"/>
        <charset val="134"/>
      </rPr>
      <t>100</t>
    </r>
    <r>
      <rPr>
        <sz val="9"/>
        <color rgb="FF000000"/>
        <rFont val="楷体"/>
        <charset val="134"/>
      </rPr>
      <t>米</t>
    </r>
    <r>
      <rPr>
        <sz val="9"/>
        <color rgb="FF000000"/>
        <rFont val="Arial"/>
        <charset val="134"/>
      </rPr>
      <t>”</t>
    </r>
    <r>
      <rPr>
        <sz val="9"/>
        <color rgb="FF000000"/>
        <rFont val="楷体"/>
        <charset val="134"/>
      </rPr>
      <t>，成为物业、电商、快递和业主之间的桥梁。</t>
    </r>
  </si>
  <si>
    <t>安徽诺韵网络科技有限公司</t>
  </si>
  <si>
    <t>2020-04</t>
  </si>
  <si>
    <r>
      <rPr>
        <sz val="9"/>
        <color rgb="FF000000"/>
        <rFont val="楷体"/>
        <charset val="134"/>
      </rPr>
      <t>安徽省合肥市蜀山区望江西路</t>
    </r>
    <r>
      <rPr>
        <sz val="9"/>
        <color rgb="FF000000"/>
        <rFont val="Arial"/>
        <charset val="134"/>
      </rPr>
      <t>69</t>
    </r>
    <r>
      <rPr>
        <sz val="9"/>
        <color rgb="FF000000"/>
        <rFont val="楷体"/>
        <charset val="134"/>
      </rPr>
      <t>号西湖国际广场</t>
    </r>
  </si>
  <si>
    <t>2021-06-10</t>
  </si>
  <si>
    <t>2021-06-28</t>
  </si>
  <si>
    <t>新里物流</t>
  </si>
  <si>
    <t>新里物流是一家普通货运代理服务商，经营范围包括普通货运代理；房屋租赁；物业管理服务；装卸服务；包装服务等。</t>
  </si>
  <si>
    <t>贵州新里物流有限公司</t>
  </si>
  <si>
    <r>
      <rPr>
        <sz val="9"/>
        <color rgb="FF000000"/>
        <rFont val="楷体"/>
        <charset val="134"/>
      </rPr>
      <t>贵州</t>
    </r>
    <r>
      <rPr>
        <sz val="9"/>
        <color rgb="FF000000"/>
        <rFont val="Arial"/>
        <charset val="134"/>
      </rPr>
      <t>-</t>
    </r>
    <r>
      <rPr>
        <sz val="9"/>
        <color rgb="FF000000"/>
        <rFont val="楷体"/>
        <charset val="134"/>
      </rPr>
      <t>黔南</t>
    </r>
  </si>
  <si>
    <t>贵州省黔南布依族苗族自治州龙里县谷脚镇快递物流园</t>
  </si>
  <si>
    <t xml:space="preserve"> 028-8603-9294</t>
  </si>
  <si>
    <t>limao@zlogis.com</t>
  </si>
  <si>
    <t>宝通科技</t>
  </si>
  <si>
    <t>宝通有限公司是宝尊电商旗下从事仓储及配送解决方案等物流业务的子公司。</t>
  </si>
  <si>
    <t>宝通有限公司</t>
  </si>
  <si>
    <r>
      <rPr>
        <sz val="9"/>
        <color rgb="FF000000"/>
        <rFont val="楷体"/>
        <charset val="134"/>
      </rPr>
      <t>上海市静安区万荣路</t>
    </r>
    <r>
      <rPr>
        <sz val="9"/>
        <color rgb="FF000000"/>
        <rFont val="Arial"/>
        <charset val="134"/>
      </rPr>
      <t>1188</t>
    </r>
    <r>
      <rPr>
        <sz val="9"/>
        <color rgb="FF000000"/>
        <rFont val="楷体"/>
        <charset val="134"/>
      </rPr>
      <t>弄</t>
    </r>
  </si>
  <si>
    <t>2021-09-14</t>
  </si>
  <si>
    <t>德威De Well</t>
  </si>
  <si>
    <r>
      <rPr>
        <sz val="9"/>
        <color rgb="FF000000"/>
        <rFont val="楷体"/>
        <charset val="134"/>
      </rPr>
      <t>德威</t>
    </r>
    <r>
      <rPr>
        <sz val="9"/>
        <color rgb="FF000000"/>
        <rFont val="Arial"/>
        <charset val="134"/>
      </rPr>
      <t>De Well</t>
    </r>
  </si>
  <si>
    <r>
      <rPr>
        <sz val="9"/>
        <color rgb="FF000000"/>
        <rFont val="楷体"/>
        <charset val="134"/>
      </rPr>
      <t>德威</t>
    </r>
    <r>
      <rPr>
        <sz val="9"/>
        <color rgb="FF000000"/>
        <rFont val="Arial"/>
        <charset val="134"/>
      </rPr>
      <t>De Well</t>
    </r>
    <r>
      <rPr>
        <sz val="9"/>
        <color rgb="FF000000"/>
        <rFont val="楷体"/>
        <charset val="134"/>
      </rPr>
      <t>是一家端到端跨境供应链解决方案服务商，是一家全球物流和货运企业、十大跨太平洋无船承运人和一级集装箱仓库运营商。</t>
    </r>
  </si>
  <si>
    <t>德威国际货运代理（上海）有限公司</t>
  </si>
  <si>
    <t>https://www.de-well.com/</t>
  </si>
  <si>
    <r>
      <rPr>
        <sz val="9"/>
        <color rgb="FF000000"/>
        <rFont val="Arial"/>
        <charset val="134"/>
      </rPr>
      <t>6723</t>
    </r>
    <r>
      <rPr>
        <sz val="9"/>
        <color rgb="FF000000"/>
        <rFont val="楷体"/>
        <charset val="134"/>
      </rPr>
      <t>万美元</t>
    </r>
  </si>
  <si>
    <r>
      <rPr>
        <sz val="9"/>
        <color rgb="FF000000"/>
        <rFont val="Arial"/>
        <charset val="134"/>
      </rPr>
      <t>4.37</t>
    </r>
    <r>
      <rPr>
        <sz val="9"/>
        <color rgb="FF000000"/>
        <rFont val="楷体"/>
        <charset val="134"/>
      </rPr>
      <t>亿</t>
    </r>
  </si>
  <si>
    <r>
      <rPr>
        <sz val="9"/>
        <color rgb="FF000000"/>
        <rFont val="Arial"/>
        <charset val="134"/>
      </rPr>
      <t>14.8122</t>
    </r>
    <r>
      <rPr>
        <sz val="9"/>
        <color rgb="FF000000"/>
        <rFont val="楷体"/>
        <charset val="134"/>
      </rPr>
      <t>亿元</t>
    </r>
  </si>
  <si>
    <r>
      <rPr>
        <sz val="9"/>
        <color rgb="FF000000"/>
        <rFont val="楷体"/>
        <charset val="134"/>
      </rPr>
      <t>杨时</t>
    </r>
    <r>
      <rPr>
        <sz val="9"/>
        <color rgb="FF000000"/>
        <rFont val="Arial"/>
        <charset val="134"/>
      </rPr>
      <t>:</t>
    </r>
    <r>
      <rPr>
        <sz val="9"/>
        <color rgb="FF000000"/>
        <rFont val="楷体"/>
        <charset val="134"/>
      </rPr>
      <t>创始人</t>
    </r>
  </si>
  <si>
    <r>
      <rPr>
        <sz val="9"/>
        <color rgb="FF000000"/>
        <rFont val="楷体"/>
        <charset val="134"/>
      </rPr>
      <t>上海市浦东新区光明路</t>
    </r>
    <r>
      <rPr>
        <sz val="9"/>
        <color rgb="FF000000"/>
        <rFont val="Arial"/>
        <charset val="134"/>
      </rPr>
      <t>718</t>
    </r>
    <r>
      <rPr>
        <sz val="9"/>
        <color rgb="FF000000"/>
        <rFont val="楷体"/>
        <charset val="134"/>
      </rPr>
      <t>号</t>
    </r>
    <r>
      <rPr>
        <sz val="9"/>
        <color rgb="FF000000"/>
        <rFont val="Arial"/>
        <charset val="134"/>
      </rPr>
      <t>808</t>
    </r>
    <r>
      <rPr>
        <sz val="9"/>
        <color rgb="FF000000"/>
        <rFont val="楷体"/>
        <charset val="134"/>
      </rPr>
      <t>室</t>
    </r>
  </si>
  <si>
    <t>021-61031877</t>
  </si>
  <si>
    <t>zhujing@sh.de-well.com</t>
  </si>
  <si>
    <t>2016-02-19</t>
  </si>
  <si>
    <t>糖趣</t>
  </si>
  <si>
    <t>上海云樱医疗是慢性病移动医疗服务平台，为用户提供硬件、软件和大数据服务为一体的产品和服务。糖趣的主要功能有健康日志，是以图文并茂的方式记录个人健康生活轨迹。</t>
  </si>
  <si>
    <t>上海云樱医疗科技有限公司</t>
  </si>
  <si>
    <t>http://www.tangqu.cn/</t>
  </si>
  <si>
    <t>太平洋保险</t>
  </si>
  <si>
    <r>
      <rPr>
        <sz val="9"/>
        <color rgb="FF000000"/>
        <rFont val="Arial"/>
        <charset val="134"/>
      </rPr>
      <t>9300</t>
    </r>
    <r>
      <rPr>
        <sz val="9"/>
        <color rgb="FF000000"/>
        <rFont val="楷体"/>
        <charset val="134"/>
      </rPr>
      <t>万</t>
    </r>
  </si>
  <si>
    <r>
      <rPr>
        <sz val="9"/>
        <color rgb="FF000000"/>
        <rFont val="楷体"/>
        <charset val="134"/>
      </rPr>
      <t>李暄</t>
    </r>
    <r>
      <rPr>
        <sz val="9"/>
        <color rgb="FF000000"/>
        <rFont val="Arial"/>
        <charset val="134"/>
      </rPr>
      <t>:CEO,</t>
    </r>
    <r>
      <rPr>
        <sz val="9"/>
        <color rgb="FF000000"/>
        <rFont val="楷体"/>
        <charset val="134"/>
      </rPr>
      <t>谢德刚</t>
    </r>
    <r>
      <rPr>
        <sz val="9"/>
        <color rgb="FF000000"/>
        <rFont val="Arial"/>
        <charset val="134"/>
      </rPr>
      <t>:CIO,</t>
    </r>
    <r>
      <rPr>
        <sz val="9"/>
        <color rgb="FF000000"/>
        <rFont val="楷体"/>
        <charset val="134"/>
      </rPr>
      <t>蔡晓华</t>
    </r>
    <r>
      <rPr>
        <sz val="9"/>
        <color rgb="FF000000"/>
        <rFont val="Arial"/>
        <charset val="134"/>
      </rPr>
      <t>:COO,</t>
    </r>
    <r>
      <rPr>
        <sz val="9"/>
        <color rgb="FF000000"/>
        <rFont val="楷体"/>
        <charset val="134"/>
      </rPr>
      <t>陈静</t>
    </r>
    <r>
      <rPr>
        <sz val="9"/>
        <color rgb="FF000000"/>
        <rFont val="Arial"/>
        <charset val="134"/>
      </rPr>
      <t>:CMO</t>
    </r>
  </si>
  <si>
    <r>
      <rPr>
        <sz val="9"/>
        <color rgb="FF000000"/>
        <rFont val="Arial"/>
        <charset val="134"/>
      </rPr>
      <t>PreAngel,</t>
    </r>
    <r>
      <rPr>
        <sz val="9"/>
        <color rgb="FF000000"/>
        <rFont val="楷体"/>
        <charset val="134"/>
      </rPr>
      <t>十维资本</t>
    </r>
  </si>
  <si>
    <t>2015-03-29</t>
  </si>
  <si>
    <r>
      <rPr>
        <sz val="9"/>
        <color rgb="FF000000"/>
        <rFont val="Arial"/>
        <charset val="134"/>
      </rPr>
      <t>3300</t>
    </r>
    <r>
      <rPr>
        <sz val="9"/>
        <color rgb="FF000000"/>
        <rFont val="楷体"/>
        <charset val="134"/>
      </rPr>
      <t>万人民币</t>
    </r>
  </si>
  <si>
    <t>长亭科技</t>
  </si>
  <si>
    <t>长亭科技是一家以技术为导向的安全公司，专注于解决互联网安全问题。长亭科技拥有技术水平顶尖的安全研究团队与技术研发团队，致力于发展新型网络安全技术，提高国内安全水平，接轨国际顶尖技术。公司目前主营高度定制化的安全服务与安全产品，旨在通过发展新技术新方法，为企业提供有效的解决方案。</t>
  </si>
  <si>
    <t>北京长亭科技有限公司</t>
  </si>
  <si>
    <t>https://chaitin.cn/</t>
  </si>
  <si>
    <r>
      <rPr>
        <sz val="9"/>
        <color rgb="FF000000"/>
        <rFont val="Arial"/>
        <charset val="134"/>
      </rPr>
      <t>1.63</t>
    </r>
    <r>
      <rPr>
        <sz val="9"/>
        <color rgb="FF000000"/>
        <rFont val="楷体"/>
        <charset val="134"/>
      </rPr>
      <t>亿</t>
    </r>
  </si>
  <si>
    <r>
      <rPr>
        <sz val="9"/>
        <color rgb="FF000000"/>
        <rFont val="楷体"/>
        <charset val="134"/>
      </rPr>
      <t>陈宇森</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杨坤</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朱文雷</t>
    </r>
    <r>
      <rPr>
        <sz val="9"/>
        <color rgb="FF000000"/>
        <rFont val="Arial"/>
        <charset val="134"/>
      </rPr>
      <t>:</t>
    </r>
    <r>
      <rPr>
        <sz val="9"/>
        <color rgb="FF000000"/>
        <rFont val="楷体"/>
        <charset val="134"/>
      </rPr>
      <t>首席技术官，联合创始人</t>
    </r>
  </si>
  <si>
    <r>
      <rPr>
        <sz val="9"/>
        <color rgb="FF000000"/>
        <rFont val="楷体"/>
        <charset val="134"/>
      </rPr>
      <t>北京市海淀区学清路</t>
    </r>
    <r>
      <rPr>
        <sz val="9"/>
        <color rgb="FF000000"/>
        <rFont val="Arial"/>
        <charset val="134"/>
      </rPr>
      <t>768</t>
    </r>
    <r>
      <rPr>
        <sz val="9"/>
        <color rgb="FF000000"/>
        <rFont val="楷体"/>
        <charset val="134"/>
      </rPr>
      <t>创意产业园</t>
    </r>
    <r>
      <rPr>
        <sz val="9"/>
        <color rgb="FF000000"/>
        <rFont val="Arial"/>
        <charset val="134"/>
      </rPr>
      <t>A</t>
    </r>
    <r>
      <rPr>
        <sz val="9"/>
        <color rgb="FF000000"/>
        <rFont val="楷体"/>
        <charset val="134"/>
      </rPr>
      <t>座西区</t>
    </r>
    <r>
      <rPr>
        <sz val="9"/>
        <color rgb="FF000000"/>
        <rFont val="Arial"/>
        <charset val="134"/>
      </rPr>
      <t>12</t>
    </r>
    <r>
      <rPr>
        <sz val="9"/>
        <color rgb="FF000000"/>
        <rFont val="楷体"/>
        <charset val="134"/>
      </rPr>
      <t>号门</t>
    </r>
    <r>
      <rPr>
        <sz val="9"/>
        <color rgb="FF000000"/>
        <rFont val="Arial"/>
        <charset val="134"/>
      </rPr>
      <t>2-008</t>
    </r>
  </si>
  <si>
    <t>4000-327-707</t>
  </si>
  <si>
    <t>info@chaitin.cn</t>
  </si>
  <si>
    <t>2018-06-19</t>
  </si>
  <si>
    <t>2017-06-21</t>
  </si>
  <si>
    <r>
      <rPr>
        <sz val="9"/>
        <color rgb="FF000000"/>
        <rFont val="楷体"/>
        <charset val="134"/>
      </rPr>
      <t>真格基金</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滴滴出行</t>
    </r>
    <r>
      <rPr>
        <sz val="9"/>
        <color rgb="FF000000"/>
        <rFont val="Arial"/>
        <charset val="134"/>
      </rPr>
      <t>,</t>
    </r>
    <r>
      <rPr>
        <sz val="9"/>
        <color rgb="FF000000"/>
        <rFont val="楷体"/>
        <charset val="134"/>
      </rPr>
      <t>君盛投资</t>
    </r>
    <r>
      <rPr>
        <sz val="9"/>
        <color rgb="FF000000"/>
        <rFont val="Arial"/>
        <charset val="134"/>
      </rPr>
      <t>,</t>
    </r>
    <r>
      <rPr>
        <sz val="9"/>
        <color rgb="FF000000"/>
        <rFont val="楷体"/>
        <charset val="134"/>
      </rPr>
      <t>苹果天使</t>
    </r>
    <r>
      <rPr>
        <sz val="9"/>
        <color rgb="FF000000"/>
        <rFont val="Arial"/>
        <charset val="134"/>
      </rPr>
      <t>APU</t>
    </r>
  </si>
  <si>
    <t>2016-07-01</t>
  </si>
  <si>
    <r>
      <rPr>
        <sz val="9"/>
        <color rgb="FF000000"/>
        <rFont val="Arial"/>
        <charset val="134"/>
      </rPr>
      <t>2700</t>
    </r>
    <r>
      <rPr>
        <sz val="9"/>
        <color rgb="FF000000"/>
        <rFont val="楷体"/>
        <charset val="134"/>
      </rPr>
      <t>万人民币</t>
    </r>
  </si>
  <si>
    <t>2015-09-24</t>
  </si>
  <si>
    <t>真格基金</t>
  </si>
  <si>
    <t>2021-11-22</t>
  </si>
  <si>
    <t>端点科技</t>
  </si>
  <si>
    <r>
      <rPr>
        <sz val="9"/>
        <color rgb="FF000000"/>
        <rFont val="楷体"/>
        <charset val="134"/>
      </rPr>
      <t>端点科技定位于新商业软件提供商，服务规模型企业，为行业客户提供核心业务系统软件，帮助企业实现数字化转型。目前研发的自主知识产权软件产品有：企业级</t>
    </r>
    <r>
      <rPr>
        <sz val="9"/>
        <color rgb="FF000000"/>
        <rFont val="Arial"/>
        <charset val="134"/>
      </rPr>
      <t>PaaS</t>
    </r>
    <r>
      <rPr>
        <sz val="9"/>
        <color rgb="FF000000"/>
        <rFont val="楷体"/>
        <charset val="134"/>
      </rPr>
      <t>平台</t>
    </r>
    <r>
      <rPr>
        <sz val="9"/>
        <color rgb="FF000000"/>
        <rFont val="Arial"/>
        <charset val="134"/>
      </rPr>
      <t>Erda</t>
    </r>
    <r>
      <rPr>
        <sz val="9"/>
        <color rgb="FF000000"/>
        <rFont val="楷体"/>
        <charset val="134"/>
      </rPr>
      <t>、软件生产系统</t>
    </r>
    <r>
      <rPr>
        <sz val="9"/>
        <color rgb="FF000000"/>
        <rFont val="Arial"/>
        <charset val="134"/>
      </rPr>
      <t>Trantor</t>
    </r>
    <r>
      <rPr>
        <sz val="9"/>
        <color rgb="FF000000"/>
        <rFont val="楷体"/>
        <charset val="134"/>
      </rPr>
      <t>、快数据平台、供应链采购平台、电商平台、全渠道运营平台、会员营销平台、</t>
    </r>
    <r>
      <rPr>
        <sz val="9"/>
        <color rgb="FF000000"/>
        <rFont val="Arial"/>
        <charset val="134"/>
      </rPr>
      <t>TMS</t>
    </r>
    <r>
      <rPr>
        <sz val="9"/>
        <color rgb="FF000000"/>
        <rFont val="楷体"/>
        <charset val="134"/>
      </rPr>
      <t>、</t>
    </r>
    <r>
      <rPr>
        <sz val="9"/>
        <color rgb="FF000000"/>
        <rFont val="Arial"/>
        <charset val="134"/>
      </rPr>
      <t>WMS</t>
    </r>
    <r>
      <rPr>
        <sz val="9"/>
        <color rgb="FF000000"/>
        <rFont val="楷体"/>
        <charset val="134"/>
      </rPr>
      <t>、</t>
    </r>
    <r>
      <rPr>
        <sz val="9"/>
        <color rgb="FF000000"/>
        <rFont val="Arial"/>
        <charset val="134"/>
      </rPr>
      <t>POS</t>
    </r>
    <r>
      <rPr>
        <sz val="9"/>
        <color rgb="FF000000"/>
        <rFont val="楷体"/>
        <charset val="134"/>
      </rPr>
      <t>等，产品覆盖企业从采购、管理到销售、营销大供应链业务体系。</t>
    </r>
  </si>
  <si>
    <t>杭州端点网络科技有限公司</t>
  </si>
  <si>
    <t>http://www.terminus.io</t>
  </si>
  <si>
    <t>中金佳成</t>
  </si>
  <si>
    <r>
      <rPr>
        <sz val="9"/>
        <color rgb="FF000000"/>
        <rFont val="Arial"/>
        <charset val="134"/>
      </rPr>
      <t>11</t>
    </r>
    <r>
      <rPr>
        <sz val="9"/>
        <color rgb="FF000000"/>
        <rFont val="楷体"/>
        <charset val="134"/>
      </rPr>
      <t>亿</t>
    </r>
  </si>
  <si>
    <r>
      <rPr>
        <sz val="9"/>
        <color rgb="FF000000"/>
        <rFont val="Arial"/>
        <charset val="134"/>
      </rPr>
      <t>36</t>
    </r>
    <r>
      <rPr>
        <sz val="9"/>
        <color rgb="FF000000"/>
        <rFont val="楷体"/>
        <charset val="134"/>
      </rPr>
      <t>亿元</t>
    </r>
  </si>
  <si>
    <r>
      <rPr>
        <sz val="9"/>
        <color rgb="FF000000"/>
        <rFont val="楷体"/>
        <charset val="134"/>
      </rPr>
      <t>赵沣伟</t>
    </r>
    <r>
      <rPr>
        <sz val="9"/>
        <color rgb="FF000000"/>
        <rFont val="Arial"/>
        <charset val="134"/>
      </rPr>
      <t>:CEO,</t>
    </r>
    <r>
      <rPr>
        <sz val="9"/>
        <color rgb="FF000000"/>
        <rFont val="楷体"/>
        <charset val="134"/>
      </rPr>
      <t>曾宪杰</t>
    </r>
    <r>
      <rPr>
        <sz val="9"/>
        <color rgb="FF000000"/>
        <rFont val="Arial"/>
        <charset val="134"/>
      </rPr>
      <t>:CTO</t>
    </r>
  </si>
  <si>
    <r>
      <rPr>
        <sz val="9"/>
        <color rgb="FF000000"/>
        <rFont val="楷体"/>
        <charset val="134"/>
      </rPr>
      <t>浙江省杭州市滨江区六和路</t>
    </r>
    <r>
      <rPr>
        <sz val="9"/>
        <color rgb="FF000000"/>
        <rFont val="Arial"/>
        <charset val="134"/>
      </rPr>
      <t>307</t>
    </r>
    <r>
      <rPr>
        <sz val="9"/>
        <color rgb="FF000000"/>
        <rFont val="楷体"/>
        <charset val="134"/>
      </rPr>
      <t>号中控大厦</t>
    </r>
    <r>
      <rPr>
        <sz val="9"/>
        <color rgb="FF000000"/>
        <rFont val="Arial"/>
        <charset val="134"/>
      </rPr>
      <t>E</t>
    </r>
    <r>
      <rPr>
        <sz val="9"/>
        <color rgb="FF000000"/>
        <rFont val="楷体"/>
        <charset val="134"/>
      </rPr>
      <t>座</t>
    </r>
    <r>
      <rPr>
        <sz val="9"/>
        <color rgb="FF000000"/>
        <rFont val="Arial"/>
        <charset val="134"/>
      </rPr>
      <t>4</t>
    </r>
    <r>
      <rPr>
        <sz val="9"/>
        <color rgb="FF000000"/>
        <rFont val="楷体"/>
        <charset val="134"/>
      </rPr>
      <t>层</t>
    </r>
  </si>
  <si>
    <t>0571-5613-1923</t>
  </si>
  <si>
    <t>marketing@terminus.io</t>
  </si>
  <si>
    <r>
      <rPr>
        <sz val="9"/>
        <color rgb="FF000000"/>
        <rFont val="楷体"/>
        <charset val="134"/>
      </rPr>
      <t>红杉资本中国</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阿里云</t>
    </r>
  </si>
  <si>
    <t>2021-03-15</t>
  </si>
  <si>
    <r>
      <rPr>
        <sz val="9"/>
        <color rgb="FF000000"/>
        <rFont val="楷体"/>
        <charset val="134"/>
      </rPr>
      <t>红杉资本中国</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阿里云</t>
    </r>
  </si>
  <si>
    <t>2017-11-24</t>
  </si>
  <si>
    <t>2016-05-04</t>
  </si>
  <si>
    <r>
      <rPr>
        <sz val="9"/>
        <color rgb="FF000000"/>
        <rFont val="楷体"/>
        <charset val="134"/>
      </rPr>
      <t>达晨财智</t>
    </r>
    <r>
      <rPr>
        <sz val="9"/>
        <color rgb="FF000000"/>
        <rFont val="Arial"/>
        <charset val="134"/>
      </rPr>
      <t>,</t>
    </r>
    <r>
      <rPr>
        <sz val="9"/>
        <color rgb="FF000000"/>
        <rFont val="楷体"/>
        <charset val="134"/>
      </rPr>
      <t>天创资本</t>
    </r>
    <r>
      <rPr>
        <sz val="9"/>
        <color rgb="FF000000"/>
        <rFont val="Arial"/>
        <charset val="134"/>
      </rPr>
      <t>,</t>
    </r>
    <r>
      <rPr>
        <sz val="9"/>
        <color rgb="FF000000"/>
        <rFont val="楷体"/>
        <charset val="134"/>
      </rPr>
      <t>千乘资本</t>
    </r>
    <r>
      <rPr>
        <sz val="9"/>
        <color rgb="FF000000"/>
        <rFont val="Arial"/>
        <charset val="134"/>
      </rPr>
      <t>,</t>
    </r>
    <r>
      <rPr>
        <sz val="9"/>
        <color rgb="FF000000"/>
        <rFont val="楷体"/>
        <charset val="134"/>
      </rPr>
      <t>海尔资本</t>
    </r>
  </si>
  <si>
    <t>2023-04-11</t>
  </si>
  <si>
    <t>ZStack</t>
  </si>
  <si>
    <r>
      <rPr>
        <sz val="9"/>
        <color rgb="FF000000"/>
        <rFont val="楷体"/>
        <charset val="134"/>
      </rPr>
      <t>云轴科技（</t>
    </r>
    <r>
      <rPr>
        <sz val="9"/>
        <color rgb="FF000000"/>
        <rFont val="Arial"/>
        <charset val="134"/>
      </rPr>
      <t>ZStack</t>
    </r>
    <r>
      <rPr>
        <sz val="9"/>
        <color rgb="FF000000"/>
        <rFont val="楷体"/>
        <charset val="134"/>
      </rPr>
      <t>）是一家自主创新、专注产品化的云计算公司，以</t>
    </r>
    <r>
      <rPr>
        <sz val="9"/>
        <color rgb="FF000000"/>
        <rFont val="Arial"/>
        <charset val="134"/>
      </rPr>
      <t>“</t>
    </r>
    <r>
      <rPr>
        <sz val="9"/>
        <color rgb="FF000000"/>
        <rFont val="楷体"/>
        <charset val="134"/>
      </rPr>
      <t>降低企业上云门槛</t>
    </r>
    <r>
      <rPr>
        <sz val="9"/>
        <color rgb="FF000000"/>
        <rFont val="Arial"/>
        <charset val="134"/>
      </rPr>
      <t>”</t>
    </r>
    <r>
      <rPr>
        <sz val="9"/>
        <color rgb="FF000000"/>
        <rFont val="楷体"/>
        <charset val="134"/>
      </rPr>
      <t>为使命、</t>
    </r>
    <r>
      <rPr>
        <sz val="9"/>
        <color rgb="FF000000"/>
        <rFont val="Arial"/>
        <charset val="134"/>
      </rPr>
      <t>“</t>
    </r>
    <r>
      <rPr>
        <sz val="9"/>
        <color rgb="FF000000"/>
        <rFont val="楷体"/>
        <charset val="134"/>
      </rPr>
      <t>让每一家企业都拥有自己的云</t>
    </r>
    <r>
      <rPr>
        <sz val="9"/>
        <color rgb="FF000000"/>
        <rFont val="Arial"/>
        <charset val="134"/>
      </rPr>
      <t>”</t>
    </r>
    <r>
      <rPr>
        <sz val="9"/>
        <color rgb="FF000000"/>
        <rFont val="楷体"/>
        <charset val="134"/>
      </rPr>
      <t>为愿景，提供自研的</t>
    </r>
    <r>
      <rPr>
        <sz val="9"/>
        <color rgb="FF000000"/>
        <rFont val="Arial"/>
        <charset val="134"/>
      </rPr>
      <t>ZStack</t>
    </r>
    <r>
      <rPr>
        <sz val="9"/>
        <color rgb="FF000000"/>
        <rFont val="楷体"/>
        <charset val="134"/>
      </rPr>
      <t>私有云、</t>
    </r>
    <r>
      <rPr>
        <sz val="9"/>
        <color rgb="FF000000"/>
        <rFont val="Arial"/>
        <charset val="134"/>
      </rPr>
      <t>ZStack</t>
    </r>
    <r>
      <rPr>
        <sz val="9"/>
        <color rgb="FF000000"/>
        <rFont val="楷体"/>
        <charset val="134"/>
      </rPr>
      <t>混合云、</t>
    </r>
    <r>
      <rPr>
        <sz val="9"/>
        <color rgb="FF000000"/>
        <rFont val="Arial"/>
        <charset val="134"/>
      </rPr>
      <t>ZStack Mini</t>
    </r>
    <r>
      <rPr>
        <sz val="9"/>
        <color rgb="FF000000"/>
        <rFont val="楷体"/>
        <charset val="134"/>
      </rPr>
      <t>边缘计算一体机、</t>
    </r>
    <r>
      <rPr>
        <sz val="9"/>
        <color rgb="FF000000"/>
        <rFont val="Arial"/>
        <charset val="134"/>
      </rPr>
      <t>ZStack CMP</t>
    </r>
    <r>
      <rPr>
        <sz val="9"/>
        <color rgb="FF000000"/>
        <rFont val="楷体"/>
        <charset val="134"/>
      </rPr>
      <t>多云管理平台、</t>
    </r>
    <r>
      <rPr>
        <sz val="9"/>
        <color rgb="FF000000"/>
        <rFont val="Arial"/>
        <charset val="134"/>
      </rPr>
      <t>ZStack</t>
    </r>
    <r>
      <rPr>
        <sz val="9"/>
        <color rgb="FF000000"/>
        <rFont val="楷体"/>
        <charset val="134"/>
      </rPr>
      <t>企业级分布式存储以及</t>
    </r>
    <r>
      <rPr>
        <sz val="9"/>
        <color rgb="FF000000"/>
        <rFont val="Arial"/>
        <charset val="134"/>
      </rPr>
      <t>ZStack</t>
    </r>
    <r>
      <rPr>
        <sz val="9"/>
        <color rgb="FF000000"/>
        <rFont val="楷体"/>
        <charset val="134"/>
      </rPr>
      <t>信创云平台等产品和方案。作为自主创新的开源云引擎，</t>
    </r>
    <r>
      <rPr>
        <sz val="9"/>
        <color rgb="FF000000"/>
        <rFont val="Arial"/>
        <charset val="134"/>
      </rPr>
      <t>ZStack</t>
    </r>
    <r>
      <rPr>
        <sz val="9"/>
        <color rgb="FF000000"/>
        <rFont val="楷体"/>
        <charset val="134"/>
      </rPr>
      <t>积极支持国产适配，拥有充足的知识产权储备，申报多项软著和专利，积极加入多个云计算行业联盟</t>
    </r>
    <r>
      <rPr>
        <sz val="9"/>
        <color rgb="FF000000"/>
        <rFont val="Arial"/>
        <charset val="134"/>
      </rPr>
      <t>——OSCAR</t>
    </r>
    <r>
      <rPr>
        <sz val="9"/>
        <color rgb="FF000000"/>
        <rFont val="楷体"/>
        <charset val="134"/>
      </rPr>
      <t>、</t>
    </r>
    <r>
      <rPr>
        <sz val="9"/>
        <color rgb="FF000000"/>
        <rFont val="Arial"/>
        <charset val="134"/>
      </rPr>
      <t>COSCL</t>
    </r>
    <r>
      <rPr>
        <sz val="9"/>
        <color rgb="FF000000"/>
        <rFont val="楷体"/>
        <charset val="134"/>
      </rPr>
      <t>以及混合云联盟，并作出创新贡献，助力多项云计算行业标准和白皮书发布，入选云计算行业方案目录，还通过了工信部云服务能力认证和可信云认证、云测评认证、</t>
    </r>
    <r>
      <rPr>
        <sz val="9"/>
        <color rgb="FF000000"/>
        <rFont val="Arial"/>
        <charset val="134"/>
      </rPr>
      <t>ISO9001</t>
    </r>
    <r>
      <rPr>
        <sz val="9"/>
        <color rgb="FF000000"/>
        <rFont val="楷体"/>
        <charset val="134"/>
      </rPr>
      <t>质量管理体系认证、上海市双软认证、国家高新技术企业认定等。凭借创新的产品化理念，</t>
    </r>
    <r>
      <rPr>
        <sz val="9"/>
        <color rgb="FF000000"/>
        <rFont val="Arial"/>
        <charset val="134"/>
      </rPr>
      <t xml:space="preserve">ZStack </t>
    </r>
    <r>
      <rPr>
        <sz val="9"/>
        <color rgb="FF000000"/>
        <rFont val="楷体"/>
        <charset val="134"/>
      </rPr>
      <t>率先业内提出云计算的</t>
    </r>
    <r>
      <rPr>
        <sz val="9"/>
        <color rgb="FF000000"/>
        <rFont val="Arial"/>
        <charset val="134"/>
      </rPr>
      <t>4S</t>
    </r>
    <r>
      <rPr>
        <sz val="9"/>
        <color rgb="FF000000"/>
        <rFont val="楷体"/>
        <charset val="134"/>
      </rPr>
      <t>标准</t>
    </r>
    <r>
      <rPr>
        <sz val="9"/>
        <color rgb="FF000000"/>
        <rFont val="Arial"/>
        <charset val="134"/>
      </rPr>
      <t>——</t>
    </r>
    <r>
      <rPr>
        <sz val="9"/>
        <color rgb="FF000000"/>
        <rFont val="楷体"/>
        <charset val="134"/>
      </rPr>
      <t>简单</t>
    </r>
    <r>
      <rPr>
        <sz val="9"/>
        <color rgb="FF000000"/>
        <rFont val="Arial"/>
        <charset val="134"/>
      </rPr>
      <t>Simple</t>
    </r>
    <r>
      <rPr>
        <sz val="9"/>
        <color rgb="FF000000"/>
        <rFont val="楷体"/>
        <charset val="134"/>
      </rPr>
      <t>、健壮</t>
    </r>
    <r>
      <rPr>
        <sz val="9"/>
        <color rgb="FF000000"/>
        <rFont val="Arial"/>
        <charset val="134"/>
      </rPr>
      <t>Strong</t>
    </r>
    <r>
      <rPr>
        <sz val="9"/>
        <color rgb="FF000000"/>
        <rFont val="楷体"/>
        <charset val="134"/>
      </rPr>
      <t>、弹性</t>
    </r>
    <r>
      <rPr>
        <sz val="9"/>
        <color rgb="FF000000"/>
        <rFont val="Arial"/>
        <charset val="134"/>
      </rPr>
      <t>Scalable</t>
    </r>
    <r>
      <rPr>
        <sz val="9"/>
        <color rgb="FF000000"/>
        <rFont val="楷体"/>
        <charset val="134"/>
      </rPr>
      <t>、智能</t>
    </r>
    <r>
      <rPr>
        <sz val="9"/>
        <color rgb="FF000000"/>
        <rFont val="Arial"/>
        <charset val="134"/>
      </rPr>
      <t>Smart</t>
    </r>
    <r>
      <rPr>
        <sz val="9"/>
        <color rgb="FF000000"/>
        <rFont val="楷体"/>
        <charset val="134"/>
      </rPr>
      <t>，发起并维护着国内最大的</t>
    </r>
    <r>
      <rPr>
        <sz val="9"/>
        <color rgb="FF000000"/>
        <rFont val="Arial"/>
        <charset val="134"/>
      </rPr>
      <t>IaaS</t>
    </r>
    <r>
      <rPr>
        <sz val="9"/>
        <color rgb="FF000000"/>
        <rFont val="楷体"/>
        <charset val="134"/>
      </rPr>
      <t>开源社区</t>
    </r>
    <r>
      <rPr>
        <sz val="9"/>
        <color rgb="FF000000"/>
        <rFont val="Arial"/>
        <charset val="134"/>
      </rPr>
      <t>——zstack.io</t>
    </r>
    <r>
      <rPr>
        <sz val="9"/>
        <color rgb="FF000000"/>
        <rFont val="楷体"/>
        <charset val="134"/>
      </rPr>
      <t>，提供云平台下载、在线文档、学堂培训、知识库等丰富资源，服务上万个社区用户。</t>
    </r>
  </si>
  <si>
    <t>上海云轴信息科技有限公司</t>
  </si>
  <si>
    <t>http://www.zstack.io</t>
  </si>
  <si>
    <r>
      <rPr>
        <sz val="9"/>
        <color rgb="FF000000"/>
        <rFont val="楷体"/>
        <charset val="134"/>
      </rPr>
      <t>君联资本</t>
    </r>
    <r>
      <rPr>
        <sz val="9"/>
        <color rgb="FF000000"/>
        <rFont val="Arial"/>
        <charset val="134"/>
      </rPr>
      <t>,</t>
    </r>
    <r>
      <rPr>
        <sz val="9"/>
        <color rgb="FF000000"/>
        <rFont val="楷体"/>
        <charset val="134"/>
      </rPr>
      <t>创业接力</t>
    </r>
    <r>
      <rPr>
        <sz val="9"/>
        <color rgb="FF000000"/>
        <rFont val="Arial"/>
        <charset val="134"/>
      </rPr>
      <t>,</t>
    </r>
    <r>
      <rPr>
        <sz val="9"/>
        <color rgb="FF000000"/>
        <rFont val="楷体"/>
        <charset val="134"/>
      </rPr>
      <t>七海资本</t>
    </r>
    <r>
      <rPr>
        <sz val="9"/>
        <color rgb="FF000000"/>
        <rFont val="Arial"/>
        <charset val="134"/>
      </rPr>
      <t>,</t>
    </r>
    <r>
      <rPr>
        <sz val="9"/>
        <color rgb="FF000000"/>
        <rFont val="楷体"/>
        <charset val="134"/>
      </rPr>
      <t>国方资本</t>
    </r>
    <r>
      <rPr>
        <sz val="9"/>
        <color rgb="FF000000"/>
        <rFont val="Arial"/>
        <charset val="134"/>
      </rPr>
      <t>,</t>
    </r>
    <r>
      <rPr>
        <sz val="9"/>
        <color rgb="FF000000"/>
        <rFont val="楷体"/>
        <charset val="134"/>
      </rPr>
      <t>国鑫创投</t>
    </r>
  </si>
  <si>
    <r>
      <rPr>
        <sz val="9"/>
        <color rgb="FF000000"/>
        <rFont val="Arial"/>
        <charset val="134"/>
      </rPr>
      <t>7.63</t>
    </r>
    <r>
      <rPr>
        <sz val="9"/>
        <color rgb="FF000000"/>
        <rFont val="楷体"/>
        <charset val="134"/>
      </rPr>
      <t>亿</t>
    </r>
  </si>
  <si>
    <r>
      <rPr>
        <sz val="9"/>
        <color rgb="FF000000"/>
        <rFont val="Arial"/>
        <charset val="134"/>
      </rPr>
      <t>28</t>
    </r>
    <r>
      <rPr>
        <sz val="9"/>
        <color rgb="FF000000"/>
        <rFont val="楷体"/>
        <charset val="134"/>
      </rPr>
      <t>亿元</t>
    </r>
  </si>
  <si>
    <r>
      <rPr>
        <sz val="9"/>
        <color rgb="FF000000"/>
        <rFont val="楷体"/>
        <charset val="134"/>
      </rPr>
      <t>张鑫</t>
    </r>
    <r>
      <rPr>
        <sz val="9"/>
        <color rgb="FF000000"/>
        <rFont val="Arial"/>
        <charset val="134"/>
      </rPr>
      <t>:</t>
    </r>
    <r>
      <rPr>
        <sz val="9"/>
        <color rgb="FF000000"/>
        <rFont val="楷体"/>
        <charset val="134"/>
      </rPr>
      <t>创始人</t>
    </r>
    <r>
      <rPr>
        <sz val="9"/>
        <color rgb="FF000000"/>
        <rFont val="Arial"/>
        <charset val="134"/>
      </rPr>
      <t>&amp;CEO</t>
    </r>
  </si>
  <si>
    <r>
      <rPr>
        <sz val="9"/>
        <color rgb="FF000000"/>
        <rFont val="楷体"/>
        <charset val="134"/>
      </rPr>
      <t>上海市闵行区东川路</t>
    </r>
    <r>
      <rPr>
        <sz val="9"/>
        <color rgb="FF000000"/>
        <rFont val="Arial"/>
        <charset val="134"/>
      </rPr>
      <t>555</t>
    </r>
    <r>
      <rPr>
        <sz val="9"/>
        <color rgb="FF000000"/>
        <rFont val="楷体"/>
        <charset val="134"/>
      </rPr>
      <t>号紫竹科学园</t>
    </r>
    <r>
      <rPr>
        <sz val="9"/>
        <color rgb="FF000000"/>
        <rFont val="Arial"/>
        <charset val="134"/>
      </rPr>
      <t>4</t>
    </r>
    <r>
      <rPr>
        <sz val="9"/>
        <color rgb="FF000000"/>
        <rFont val="楷体"/>
        <charset val="134"/>
      </rPr>
      <t>号楼</t>
    </r>
  </si>
  <si>
    <t>021-6173-3682</t>
  </si>
  <si>
    <t>marketing@zstack.io</t>
  </si>
  <si>
    <t>中国电信</t>
  </si>
  <si>
    <t>2020-08-18</t>
  </si>
  <si>
    <r>
      <rPr>
        <sz val="9"/>
        <color rgb="FF000000"/>
        <rFont val="Arial"/>
        <charset val="134"/>
      </rPr>
      <t>2.3</t>
    </r>
    <r>
      <rPr>
        <sz val="9"/>
        <color rgb="FF000000"/>
        <rFont val="楷体"/>
        <charset val="134"/>
      </rPr>
      <t>亿人民币</t>
    </r>
  </si>
  <si>
    <r>
      <rPr>
        <sz val="9"/>
        <color rgb="FF000000"/>
        <rFont val="楷体"/>
        <charset val="134"/>
      </rPr>
      <t>深创投</t>
    </r>
    <r>
      <rPr>
        <sz val="9"/>
        <color rgb="FF000000"/>
        <rFont val="Arial"/>
        <charset val="134"/>
      </rPr>
      <t>,</t>
    </r>
    <r>
      <rPr>
        <sz val="9"/>
        <color rgb="FF000000"/>
        <rFont val="楷体"/>
        <charset val="134"/>
      </rPr>
      <t>朗玛峰创投</t>
    </r>
    <r>
      <rPr>
        <sz val="9"/>
        <color rgb="FF000000"/>
        <rFont val="Arial"/>
        <charset val="134"/>
      </rPr>
      <t>,</t>
    </r>
    <r>
      <rPr>
        <sz val="9"/>
        <color rgb="FF000000"/>
        <rFont val="楷体"/>
        <charset val="134"/>
      </rPr>
      <t>天堂硅谷</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朗程资本</t>
    </r>
    <r>
      <rPr>
        <sz val="9"/>
        <color rgb="FF000000"/>
        <rFont val="Arial"/>
        <charset val="134"/>
      </rPr>
      <t>,</t>
    </r>
    <r>
      <rPr>
        <sz val="9"/>
        <color rgb="FF000000"/>
        <rFont val="楷体"/>
        <charset val="134"/>
      </rPr>
      <t>交银国际</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三峡鑫泰</t>
    </r>
    <r>
      <rPr>
        <sz val="9"/>
        <color rgb="FF000000"/>
        <rFont val="Arial"/>
        <charset val="134"/>
      </rPr>
      <t>,</t>
    </r>
    <r>
      <rPr>
        <sz val="9"/>
        <color rgb="FF000000"/>
        <rFont val="楷体"/>
        <charset val="134"/>
      </rPr>
      <t>中国互联网投资基金</t>
    </r>
    <r>
      <rPr>
        <sz val="9"/>
        <color rgb="FF000000"/>
        <rFont val="Arial"/>
        <charset val="134"/>
      </rPr>
      <t>,</t>
    </r>
    <r>
      <rPr>
        <sz val="9"/>
        <color rgb="FF000000"/>
        <rFont val="楷体"/>
        <charset val="134"/>
      </rPr>
      <t>安恒信息</t>
    </r>
    <r>
      <rPr>
        <sz val="9"/>
        <color rgb="FF000000"/>
        <rFont val="Arial"/>
        <charset val="134"/>
      </rPr>
      <t>,</t>
    </r>
    <r>
      <rPr>
        <sz val="9"/>
        <color rgb="FF000000"/>
        <rFont val="楷体"/>
        <charset val="134"/>
      </rPr>
      <t>阿里云</t>
    </r>
    <r>
      <rPr>
        <sz val="9"/>
        <color rgb="FF000000"/>
        <rFont val="Arial"/>
        <charset val="134"/>
      </rPr>
      <t>,</t>
    </r>
    <r>
      <rPr>
        <sz val="9"/>
        <color rgb="FF000000"/>
        <rFont val="楷体"/>
        <charset val="134"/>
      </rPr>
      <t>闻勤资本</t>
    </r>
  </si>
  <si>
    <r>
      <rPr>
        <sz val="9"/>
        <color rgb="FF000000"/>
        <rFont val="楷体"/>
        <charset val="134"/>
      </rPr>
      <t>深创投</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小苗朗程</t>
    </r>
    <r>
      <rPr>
        <sz val="9"/>
        <color rgb="FF000000"/>
        <rFont val="Arial"/>
        <charset val="134"/>
      </rPr>
      <t>,</t>
    </r>
    <r>
      <rPr>
        <sz val="9"/>
        <color rgb="FF000000"/>
        <rFont val="楷体"/>
        <charset val="134"/>
      </rPr>
      <t>阿里云</t>
    </r>
  </si>
  <si>
    <t>2017-01-18</t>
  </si>
  <si>
    <r>
      <rPr>
        <sz val="9"/>
        <color rgb="FF000000"/>
        <rFont val="楷体"/>
        <charset val="134"/>
      </rPr>
      <t>胖猫创投</t>
    </r>
    <r>
      <rPr>
        <sz val="9"/>
        <color rgb="FF000000"/>
        <rFont val="Arial"/>
        <charset val="134"/>
      </rPr>
      <t>(</t>
    </r>
    <r>
      <rPr>
        <sz val="9"/>
        <color rgb="FF000000"/>
        <rFont val="楷体"/>
        <charset val="134"/>
      </rPr>
      <t>找钢网</t>
    </r>
    <r>
      <rPr>
        <sz val="9"/>
        <color rgb="FF000000"/>
        <rFont val="Arial"/>
        <charset val="134"/>
      </rPr>
      <t>),</t>
    </r>
    <r>
      <rPr>
        <sz val="9"/>
        <color rgb="FF000000"/>
        <rFont val="楷体"/>
        <charset val="134"/>
      </rPr>
      <t>小苗朗程</t>
    </r>
    <r>
      <rPr>
        <sz val="9"/>
        <color rgb="FF000000"/>
        <rFont val="Arial"/>
        <charset val="134"/>
      </rPr>
      <t>,</t>
    </r>
    <r>
      <rPr>
        <sz val="9"/>
        <color rgb="FF000000"/>
        <rFont val="楷体"/>
        <charset val="134"/>
      </rPr>
      <t>阿里云</t>
    </r>
  </si>
  <si>
    <t>2016-01-22</t>
  </si>
  <si>
    <t>力维投资</t>
  </si>
  <si>
    <t>2019-10-31</t>
  </si>
  <si>
    <t>九州云腾</t>
  </si>
  <si>
    <t>九州云腾是一家身份认证服务提供商，专注于为企业提供企业人员电子身份管理服务，通过九州云腾的统一入口，在手机端用指纹可激活数字证书，认证完成后员工不必再输密码，就能访问权限内的其他系统。</t>
  </si>
  <si>
    <t>北京九州云腾科技有限公司</t>
  </si>
  <si>
    <t>http://www.idsmanager.com/</t>
  </si>
  <si>
    <r>
      <rPr>
        <sz val="9"/>
        <color rgb="FF000000"/>
        <rFont val="楷体"/>
        <charset val="134"/>
      </rPr>
      <t>尚春明</t>
    </r>
    <r>
      <rPr>
        <sz val="9"/>
        <color rgb="FF000000"/>
        <rFont val="Arial"/>
        <charset val="134"/>
      </rPr>
      <t>:</t>
    </r>
    <r>
      <rPr>
        <sz val="9"/>
        <color rgb="FF000000"/>
        <rFont val="楷体"/>
        <charset val="134"/>
      </rPr>
      <t>董事长兼总经理</t>
    </r>
    <r>
      <rPr>
        <sz val="9"/>
        <color rgb="FF000000"/>
        <rFont val="Arial"/>
        <charset val="134"/>
      </rPr>
      <t>,</t>
    </r>
    <r>
      <rPr>
        <sz val="9"/>
        <color rgb="FF000000"/>
        <rFont val="楷体"/>
        <charset val="134"/>
      </rPr>
      <t>尚红林</t>
    </r>
    <r>
      <rPr>
        <sz val="9"/>
        <color rgb="FF000000"/>
        <rFont val="Arial"/>
        <charset val="134"/>
      </rPr>
      <t>:CEO</t>
    </r>
  </si>
  <si>
    <r>
      <rPr>
        <sz val="9"/>
        <color rgb="FF000000"/>
        <rFont val="楷体"/>
        <charset val="134"/>
      </rPr>
      <t>北京市海淀区知春路盈都大厦</t>
    </r>
    <r>
      <rPr>
        <sz val="9"/>
        <color rgb="FF000000"/>
        <rFont val="Arial"/>
        <charset val="134"/>
      </rPr>
      <t>C</t>
    </r>
    <r>
      <rPr>
        <sz val="9"/>
        <color rgb="FF000000"/>
        <rFont val="楷体"/>
        <charset val="134"/>
      </rPr>
      <t>座</t>
    </r>
    <r>
      <rPr>
        <sz val="9"/>
        <color rgb="FF000000"/>
        <rFont val="Arial"/>
        <charset val="134"/>
      </rPr>
      <t>3</t>
    </r>
    <r>
      <rPr>
        <sz val="9"/>
        <color rgb="FF000000"/>
        <rFont val="楷体"/>
        <charset val="134"/>
      </rPr>
      <t>单元</t>
    </r>
    <r>
      <rPr>
        <sz val="9"/>
        <color rgb="FF000000"/>
        <rFont val="Arial"/>
        <charset val="134"/>
      </rPr>
      <t>21C</t>
    </r>
  </si>
  <si>
    <t>010-6236-6788</t>
  </si>
  <si>
    <t>info@idsmanager.com</t>
  </si>
  <si>
    <r>
      <rPr>
        <sz val="9"/>
        <color rgb="FF000000"/>
        <rFont val="楷体"/>
        <charset val="134"/>
      </rPr>
      <t>启明创投</t>
    </r>
    <r>
      <rPr>
        <sz val="9"/>
        <color rgb="FF000000"/>
        <rFont val="Arial"/>
        <charset val="134"/>
      </rPr>
      <t>,</t>
    </r>
    <r>
      <rPr>
        <sz val="9"/>
        <color rgb="FF000000"/>
        <rFont val="楷体"/>
        <charset val="134"/>
      </rPr>
      <t>达晨财智</t>
    </r>
  </si>
  <si>
    <t>2017-02-23</t>
  </si>
  <si>
    <r>
      <rPr>
        <sz val="9"/>
        <color rgb="FF000000"/>
        <rFont val="楷体"/>
        <charset val="134"/>
      </rPr>
      <t>绿盟科技</t>
    </r>
    <r>
      <rPr>
        <sz val="9"/>
        <color rgb="FF000000"/>
        <rFont val="Arial"/>
        <charset val="134"/>
      </rPr>
      <t>,</t>
    </r>
    <r>
      <rPr>
        <sz val="9"/>
        <color rgb="FF000000"/>
        <rFont val="楷体"/>
        <charset val="134"/>
      </rPr>
      <t>启迪之星</t>
    </r>
  </si>
  <si>
    <t>2015-05-21</t>
  </si>
  <si>
    <t>同桌游戏</t>
  </si>
  <si>
    <r>
      <rPr>
        <sz val="9"/>
        <color rgb="FF000000"/>
        <rFont val="楷体"/>
        <charset val="134"/>
      </rPr>
      <t>同桌游戏是一款场景对战游戏平台，帮助用户在多种场景下与好友进行实时娱乐对战。平台内容包含多款对战游戏，如斗兽棋争霸、暴走消砖块、同桌五子棋、疯狂竞速等</t>
    </r>
    <r>
      <rPr>
        <sz val="9"/>
        <color rgb="FF000000"/>
        <rFont val="Arial"/>
        <charset val="134"/>
      </rPr>
      <t>H5</t>
    </r>
    <r>
      <rPr>
        <sz val="9"/>
        <color rgb="FF000000"/>
        <rFont val="楷体"/>
        <charset val="134"/>
      </rPr>
      <t>游戏。</t>
    </r>
  </si>
  <si>
    <t>北京同桌游戏科技有限公司</t>
  </si>
  <si>
    <t>http://www.tongzhuoplay.com/</t>
  </si>
  <si>
    <r>
      <rPr>
        <sz val="9"/>
        <color rgb="FF000000"/>
        <rFont val="楷体"/>
        <charset val="134"/>
      </rPr>
      <t>苗雷</t>
    </r>
    <r>
      <rPr>
        <sz val="9"/>
        <color rgb="FF000000"/>
        <rFont val="Arial"/>
        <charset val="134"/>
      </rPr>
      <t>:</t>
    </r>
    <r>
      <rPr>
        <sz val="9"/>
        <color rgb="FF000000"/>
        <rFont val="楷体"/>
        <charset val="134"/>
      </rPr>
      <t>总经理</t>
    </r>
  </si>
  <si>
    <r>
      <rPr>
        <sz val="9"/>
        <color rgb="FF000000"/>
        <rFont val="楷体"/>
        <charset val="134"/>
      </rPr>
      <t>北京市朝阳区博雅国际中心</t>
    </r>
    <r>
      <rPr>
        <sz val="9"/>
        <color rgb="FF000000"/>
        <rFont val="Arial"/>
        <charset val="134"/>
      </rPr>
      <t>A</t>
    </r>
    <r>
      <rPr>
        <sz val="9"/>
        <color rgb="FF000000"/>
        <rFont val="楷体"/>
        <charset val="134"/>
      </rPr>
      <t>座</t>
    </r>
    <r>
      <rPr>
        <sz val="9"/>
        <color rgb="FF000000"/>
        <rFont val="Arial"/>
        <charset val="134"/>
      </rPr>
      <t>2101</t>
    </r>
  </si>
  <si>
    <t>010-5365-0827</t>
  </si>
  <si>
    <t>tianchuan@tongzhuogame.com</t>
  </si>
  <si>
    <t>2017-11-16</t>
  </si>
  <si>
    <r>
      <rPr>
        <sz val="9"/>
        <color rgb="FF000000"/>
        <rFont val="楷体"/>
        <charset val="134"/>
      </rPr>
      <t>原子创投</t>
    </r>
    <r>
      <rPr>
        <sz val="9"/>
        <color rgb="FF000000"/>
        <rFont val="Arial"/>
        <charset val="134"/>
      </rPr>
      <t>,</t>
    </r>
    <r>
      <rPr>
        <sz val="9"/>
        <color rgb="FF000000"/>
        <rFont val="楷体"/>
        <charset val="134"/>
      </rPr>
      <t>以太创服（以太资本）</t>
    </r>
  </si>
  <si>
    <t>2017-02-06</t>
  </si>
  <si>
    <r>
      <rPr>
        <sz val="9"/>
        <color rgb="FF000000"/>
        <rFont val="楷体"/>
        <charset val="134"/>
      </rPr>
      <t>东湖创投</t>
    </r>
    <r>
      <rPr>
        <sz val="9"/>
        <color rgb="FF000000"/>
        <rFont val="Arial"/>
        <charset val="134"/>
      </rPr>
      <t>,</t>
    </r>
    <r>
      <rPr>
        <sz val="9"/>
        <color rgb="FF000000"/>
        <rFont val="楷体"/>
        <charset val="134"/>
      </rPr>
      <t>盛天网络</t>
    </r>
  </si>
  <si>
    <t>2018-09-29</t>
  </si>
  <si>
    <t>粒聚科技</t>
  </si>
  <si>
    <t>粒聚科技是一家物联网端到端产品及服务提供商，坚持自主研发物联网技术，其产品已应用在在低功耗物联网网络覆盖、传感接入和数据挖掘分析等方面，致力于成为城市级智能化示范应用的推动者，孵化运营基地的践行者，物联网开放能力平台的供应商，打造中国物联网产业的领先企业。</t>
  </si>
  <si>
    <t>南京粒聚智能科技有限公司</t>
  </si>
  <si>
    <t>http://www.letsiot.com</t>
  </si>
  <si>
    <t>金茂资本</t>
  </si>
  <si>
    <r>
      <rPr>
        <sz val="9"/>
        <color rgb="FF000000"/>
        <rFont val="楷体"/>
        <charset val="134"/>
      </rPr>
      <t>王东明</t>
    </r>
    <r>
      <rPr>
        <sz val="9"/>
        <color rgb="FF000000"/>
        <rFont val="Arial"/>
        <charset val="134"/>
      </rPr>
      <t>:</t>
    </r>
    <r>
      <rPr>
        <sz val="9"/>
        <color rgb="FF000000"/>
        <rFont val="楷体"/>
        <charset val="134"/>
      </rPr>
      <t>董事长兼总经理</t>
    </r>
  </si>
  <si>
    <r>
      <rPr>
        <sz val="9"/>
        <color rgb="FF000000"/>
        <rFont val="楷体"/>
        <charset val="134"/>
      </rPr>
      <t>江苏省南京市江宁开发区苏源大道</t>
    </r>
    <r>
      <rPr>
        <sz val="9"/>
        <color rgb="FF000000"/>
        <rFont val="Arial"/>
        <charset val="134"/>
      </rPr>
      <t>19</t>
    </r>
    <r>
      <rPr>
        <sz val="9"/>
        <color rgb="FF000000"/>
        <rFont val="楷体"/>
        <charset val="134"/>
      </rPr>
      <t>号</t>
    </r>
    <r>
      <rPr>
        <sz val="9"/>
        <color rgb="FF000000"/>
        <rFont val="Arial"/>
        <charset val="134"/>
      </rPr>
      <t xml:space="preserve"> </t>
    </r>
    <r>
      <rPr>
        <sz val="9"/>
        <color rgb="FF000000"/>
        <rFont val="楷体"/>
        <charset val="134"/>
      </rPr>
      <t>九龙湖国际企业总部园</t>
    </r>
    <r>
      <rPr>
        <sz val="9"/>
        <color rgb="FF000000"/>
        <rFont val="Arial"/>
        <charset val="134"/>
      </rPr>
      <t>C2</t>
    </r>
    <r>
      <rPr>
        <sz val="9"/>
        <color rgb="FF000000"/>
        <rFont val="楷体"/>
        <charset val="134"/>
      </rPr>
      <t>座</t>
    </r>
    <r>
      <rPr>
        <sz val="9"/>
        <color rgb="FF000000"/>
        <rFont val="Arial"/>
        <charset val="134"/>
      </rPr>
      <t>8</t>
    </r>
    <r>
      <rPr>
        <sz val="9"/>
        <color rgb="FF000000"/>
        <rFont val="楷体"/>
        <charset val="134"/>
      </rPr>
      <t>楼</t>
    </r>
  </si>
  <si>
    <t>400-803-6365</t>
  </si>
  <si>
    <t>service@letsiot.com</t>
  </si>
  <si>
    <t>2018-01-02</t>
  </si>
  <si>
    <t>置柏投资</t>
  </si>
  <si>
    <r>
      <rPr>
        <sz val="9"/>
        <color rgb="FF000000"/>
        <rFont val="楷体"/>
        <charset val="134"/>
      </rPr>
      <t>赛伯乐投资</t>
    </r>
    <r>
      <rPr>
        <sz val="9"/>
        <color rgb="FF000000"/>
        <rFont val="Arial"/>
        <charset val="134"/>
      </rPr>
      <t>,</t>
    </r>
    <r>
      <rPr>
        <sz val="9"/>
        <color rgb="FF000000"/>
        <rFont val="楷体"/>
        <charset val="134"/>
      </rPr>
      <t>阿里云</t>
    </r>
    <r>
      <rPr>
        <sz val="9"/>
        <color rgb="FF000000"/>
        <rFont val="Arial"/>
        <charset val="134"/>
      </rPr>
      <t>,</t>
    </r>
    <r>
      <rPr>
        <sz val="9"/>
        <color rgb="FF000000"/>
        <rFont val="楷体"/>
        <charset val="134"/>
      </rPr>
      <t>同济规划设计院</t>
    </r>
  </si>
  <si>
    <t>2022-03-11</t>
  </si>
  <si>
    <t>球棍体育</t>
  </si>
  <si>
    <t>球棍体育是一家体育场广告电商媒体服务商，通过买断一二线城市羽毛球馆、乒乓球馆、网球馆广告资源，与体育场馆进行深度利益绑定，占领线下大众体育入口，进而依靠已有的羽、乒、网三项运动人口流量，做垂直体育电商，为中小体育场馆增加收入。</t>
  </si>
  <si>
    <t>球棍体育科技（北京）有限公司</t>
  </si>
  <si>
    <r>
      <rPr>
        <sz val="9"/>
        <color rgb="FF000000"/>
        <rFont val="楷体"/>
        <charset val="134"/>
      </rPr>
      <t>北京市西城区月坛北小街</t>
    </r>
    <r>
      <rPr>
        <sz val="9"/>
        <color rgb="FF000000"/>
        <rFont val="Arial"/>
        <charset val="134"/>
      </rPr>
      <t>2</t>
    </r>
    <r>
      <rPr>
        <sz val="9"/>
        <color rgb="FF000000"/>
        <rFont val="楷体"/>
        <charset val="134"/>
      </rPr>
      <t>号</t>
    </r>
    <r>
      <rPr>
        <sz val="9"/>
        <color rgb="FF000000"/>
        <rFont val="Arial"/>
        <charset val="134"/>
      </rPr>
      <t>3</t>
    </r>
    <r>
      <rPr>
        <sz val="9"/>
        <color rgb="FF000000"/>
        <rFont val="楷体"/>
        <charset val="134"/>
      </rPr>
      <t>号楼国瑞商务服务中心</t>
    </r>
    <r>
      <rPr>
        <sz val="9"/>
        <color rgb="FF000000"/>
        <rFont val="Arial"/>
        <charset val="134"/>
      </rPr>
      <t>3009</t>
    </r>
    <r>
      <rPr>
        <sz val="9"/>
        <color rgb="FF000000"/>
        <rFont val="楷体"/>
        <charset val="134"/>
      </rPr>
      <t>室</t>
    </r>
  </si>
  <si>
    <t>136-1126-0405</t>
  </si>
  <si>
    <t>841687557@qq.com</t>
  </si>
  <si>
    <t>2016-06-06</t>
  </si>
  <si>
    <t>2015-11-23</t>
  </si>
  <si>
    <t>2018-09-01</t>
  </si>
  <si>
    <t>博卡软件</t>
  </si>
  <si>
    <r>
      <rPr>
        <sz val="9"/>
        <color rgb="FF000000"/>
        <rFont val="楷体"/>
        <charset val="134"/>
      </rPr>
      <t>博卡软件是一家美业管理系统软件研发商，专注于美业内部管理解决方案的软硬件研发服务，主要从事美容美发行业管理咨询、管理软件开发和信息系统建设，旗下产品有智慧前台、靓丽前台、靓丽微店、第</t>
    </r>
    <r>
      <rPr>
        <sz val="9"/>
        <color rgb="FF000000"/>
        <rFont val="Arial"/>
        <charset val="134"/>
      </rPr>
      <t>7</t>
    </r>
    <r>
      <rPr>
        <sz val="9"/>
        <color rgb="FF000000"/>
        <rFont val="楷体"/>
        <charset val="134"/>
      </rPr>
      <t>代美业管理营销系统等。</t>
    </r>
  </si>
  <si>
    <t>上海博卡软件科技有限公司</t>
  </si>
  <si>
    <t>http://www.shboka.com</t>
  </si>
  <si>
    <t>美业服务</t>
  </si>
  <si>
    <r>
      <rPr>
        <sz val="9"/>
        <color rgb="FF000000"/>
        <rFont val="楷体"/>
        <charset val="134"/>
      </rPr>
      <t>吴新明</t>
    </r>
    <r>
      <rPr>
        <sz val="9"/>
        <color rgb="FF000000"/>
        <rFont val="Arial"/>
        <charset val="134"/>
      </rPr>
      <t>:CEO</t>
    </r>
  </si>
  <si>
    <r>
      <rPr>
        <sz val="9"/>
        <color rgb="FF000000"/>
        <rFont val="楷体"/>
        <charset val="134"/>
      </rPr>
      <t>上海市闵行区顾戴路</t>
    </r>
    <r>
      <rPr>
        <sz val="9"/>
        <color rgb="FF000000"/>
        <rFont val="Arial"/>
        <charset val="134"/>
      </rPr>
      <t>2337</t>
    </r>
    <r>
      <rPr>
        <sz val="9"/>
        <color rgb="FF000000"/>
        <rFont val="楷体"/>
        <charset val="134"/>
      </rPr>
      <t>号丰树商业城</t>
    </r>
    <r>
      <rPr>
        <sz val="9"/>
        <color rgb="FF000000"/>
        <rFont val="Arial"/>
        <charset val="134"/>
      </rPr>
      <t>B</t>
    </r>
    <r>
      <rPr>
        <sz val="9"/>
        <color rgb="FF000000"/>
        <rFont val="楷体"/>
        <charset val="134"/>
      </rPr>
      <t>栋</t>
    </r>
    <r>
      <rPr>
        <sz val="9"/>
        <color rgb="FF000000"/>
        <rFont val="Arial"/>
        <charset val="134"/>
      </rPr>
      <t>6</t>
    </r>
    <r>
      <rPr>
        <sz val="9"/>
        <color rgb="FF000000"/>
        <rFont val="楷体"/>
        <charset val="134"/>
      </rPr>
      <t>层</t>
    </r>
  </si>
  <si>
    <t>021-5415-7753</t>
  </si>
  <si>
    <r>
      <rPr>
        <sz val="9"/>
        <color rgb="FF000000"/>
        <rFont val="楷体"/>
        <charset val="134"/>
      </rPr>
      <t>阿米巴资本</t>
    </r>
    <r>
      <rPr>
        <sz val="9"/>
        <color rgb="FF000000"/>
        <rFont val="Arial"/>
        <charset val="134"/>
      </rPr>
      <t>,</t>
    </r>
    <r>
      <rPr>
        <sz val="9"/>
        <color rgb="FF000000"/>
        <rFont val="楷体"/>
        <charset val="134"/>
      </rPr>
      <t>华创资本</t>
    </r>
  </si>
  <si>
    <t>幻熊科技</t>
  </si>
  <si>
    <r>
      <rPr>
        <sz val="9"/>
        <color rgb="FF000000"/>
        <rFont val="楷体"/>
        <charset val="134"/>
      </rPr>
      <t>幻熊科技是基于</t>
    </r>
    <r>
      <rPr>
        <sz val="9"/>
        <color rgb="FF000000"/>
        <rFont val="Arial"/>
        <charset val="134"/>
      </rPr>
      <t>SaaS</t>
    </r>
    <r>
      <rPr>
        <sz val="9"/>
        <color rgb="FF000000"/>
        <rFont val="楷体"/>
        <charset val="134"/>
      </rPr>
      <t>的婚庆行业</t>
    </r>
    <r>
      <rPr>
        <sz val="9"/>
        <color rgb="FF000000"/>
        <rFont val="Arial"/>
        <charset val="134"/>
      </rPr>
      <t>S2B2C</t>
    </r>
    <r>
      <rPr>
        <sz val="9"/>
        <color rgb="FF000000"/>
        <rFont val="楷体"/>
        <charset val="134"/>
      </rPr>
      <t>平台，从传统婚庆门店销售系统切入，提供标准化、体验化、智能化的辅助销售工具及供应链服务聚合平台，并借助虚拟现实技术实时渲染呈现婚礼场景。</t>
    </r>
  </si>
  <si>
    <t>杭州幻熊科技有限公司</t>
  </si>
  <si>
    <t>http://www.halobear.com</t>
  </si>
  <si>
    <t>2014-02</t>
  </si>
  <si>
    <t>婚礼婚庆</t>
  </si>
  <si>
    <r>
      <rPr>
        <sz val="9"/>
        <color rgb="FF000000"/>
        <rFont val="Arial"/>
        <charset val="134"/>
      </rPr>
      <t>3.23</t>
    </r>
    <r>
      <rPr>
        <sz val="9"/>
        <color rgb="FF000000"/>
        <rFont val="楷体"/>
        <charset val="134"/>
      </rPr>
      <t>亿</t>
    </r>
  </si>
  <si>
    <r>
      <rPr>
        <sz val="9"/>
        <color rgb="FF000000"/>
        <rFont val="楷体"/>
        <charset val="134"/>
      </rPr>
      <t>上海市静安区江场路</t>
    </r>
    <r>
      <rPr>
        <sz val="9"/>
        <color rgb="FF000000"/>
        <rFont val="Arial"/>
        <charset val="134"/>
      </rPr>
      <t>1377</t>
    </r>
    <r>
      <rPr>
        <sz val="9"/>
        <color rgb="FF000000"/>
        <rFont val="楷体"/>
        <charset val="134"/>
      </rPr>
      <t>号绿地中央广场</t>
    </r>
    <r>
      <rPr>
        <sz val="9"/>
        <color rgb="FF000000"/>
        <rFont val="Arial"/>
        <charset val="134"/>
      </rPr>
      <t>3</t>
    </r>
    <r>
      <rPr>
        <sz val="9"/>
        <color rgb="FF000000"/>
        <rFont val="楷体"/>
        <charset val="134"/>
      </rPr>
      <t>号楼</t>
    </r>
  </si>
  <si>
    <t>400-025-8717</t>
  </si>
  <si>
    <r>
      <rPr>
        <sz val="9"/>
        <color rgb="FF000000"/>
        <rFont val="楷体"/>
        <charset val="134"/>
      </rPr>
      <t>普华资本</t>
    </r>
    <r>
      <rPr>
        <sz val="9"/>
        <color rgb="FF000000"/>
        <rFont val="Arial"/>
        <charset val="134"/>
      </rPr>
      <t>,</t>
    </r>
    <r>
      <rPr>
        <sz val="9"/>
        <color rgb="FF000000"/>
        <rFont val="楷体"/>
        <charset val="134"/>
      </rPr>
      <t>浅石创投</t>
    </r>
    <r>
      <rPr>
        <sz val="9"/>
        <color rgb="FF000000"/>
        <rFont val="Arial"/>
        <charset val="134"/>
      </rPr>
      <t>,</t>
    </r>
    <r>
      <rPr>
        <sz val="9"/>
        <color rgb="FF000000"/>
        <rFont val="楷体"/>
        <charset val="134"/>
      </rPr>
      <t>美团</t>
    </r>
  </si>
  <si>
    <t>2014-05-21</t>
  </si>
  <si>
    <t>曹国熊</t>
  </si>
  <si>
    <t>2018-03-31</t>
  </si>
  <si>
    <t>银盒宝成</t>
  </si>
  <si>
    <r>
      <rPr>
        <sz val="9"/>
        <color rgb="FF000000"/>
        <rFont val="楷体"/>
        <charset val="134"/>
      </rPr>
      <t>银盒子致力于云计算收银系统平台的研发和推广，为商户提供国内最为先进理念的商业智能云</t>
    </r>
    <r>
      <rPr>
        <sz val="9"/>
        <color rgb="FF000000"/>
        <rFont val="Arial"/>
        <charset val="134"/>
      </rPr>
      <t>POS</t>
    </r>
    <r>
      <rPr>
        <sz val="9"/>
        <color rgb="FF000000"/>
        <rFont val="楷体"/>
        <charset val="134"/>
      </rPr>
      <t>解决方案，通过移动支付和</t>
    </r>
    <r>
      <rPr>
        <sz val="9"/>
        <color rgb="FF000000"/>
        <rFont val="Arial"/>
        <charset val="134"/>
      </rPr>
      <t>O2O</t>
    </r>
    <r>
      <rPr>
        <sz val="9"/>
        <color rgb="FF000000"/>
        <rFont val="楷体"/>
        <charset val="134"/>
      </rPr>
      <t>的有机结合，在不同细分行业中对用户行为进行大变革，改变传统的收银支付场景，在解决商家痛点的同时，利用线上线下平台体系，建立真正意义上的闭环商业生态圈，给商家提供一整</t>
    </r>
    <r>
      <rPr>
        <sz val="9"/>
        <color rgb="FF000000"/>
        <rFont val="Arial"/>
        <charset val="134"/>
      </rPr>
      <t xml:space="preserve"> </t>
    </r>
    <r>
      <rPr>
        <sz val="9"/>
        <color rgb="FF000000"/>
        <rFont val="楷体"/>
        <charset val="134"/>
      </rPr>
      <t>套完整的一站式解决方案，同时也营造了一个全自主的营销平台。</t>
    </r>
  </si>
  <si>
    <t>杭州银盒宝成科技有限公司</t>
  </si>
  <si>
    <t>http://www.blibao.com</t>
  </si>
  <si>
    <r>
      <rPr>
        <sz val="9"/>
        <color rgb="FF000000"/>
        <rFont val="Arial"/>
        <charset val="134"/>
      </rPr>
      <t>1.93</t>
    </r>
    <r>
      <rPr>
        <sz val="9"/>
        <color rgb="FF000000"/>
        <rFont val="楷体"/>
        <charset val="134"/>
      </rPr>
      <t>亿</t>
    </r>
  </si>
  <si>
    <r>
      <rPr>
        <sz val="9"/>
        <color rgb="FF000000"/>
        <rFont val="楷体"/>
        <charset val="134"/>
      </rPr>
      <t>崔巍巍</t>
    </r>
    <r>
      <rPr>
        <sz val="9"/>
        <color rgb="FF000000"/>
        <rFont val="Arial"/>
        <charset val="134"/>
      </rPr>
      <t>:</t>
    </r>
    <r>
      <rPr>
        <sz val="9"/>
        <color rgb="FF000000"/>
        <rFont val="楷体"/>
        <charset val="134"/>
      </rPr>
      <t>创始人</t>
    </r>
  </si>
  <si>
    <r>
      <rPr>
        <sz val="9"/>
        <color rgb="FF000000"/>
        <rFont val="楷体"/>
        <charset val="134"/>
      </rPr>
      <t>杭州市西湖区翠柏路</t>
    </r>
    <r>
      <rPr>
        <sz val="9"/>
        <color rgb="FF000000"/>
        <rFont val="Arial"/>
        <charset val="134"/>
      </rPr>
      <t>7</t>
    </r>
    <r>
      <rPr>
        <sz val="9"/>
        <color rgb="FF000000"/>
        <rFont val="楷体"/>
        <charset val="134"/>
      </rPr>
      <t>号</t>
    </r>
  </si>
  <si>
    <t>0571-2806-3680</t>
  </si>
  <si>
    <t>2017-10-26</t>
  </si>
  <si>
    <t>华点投资</t>
  </si>
  <si>
    <t>联合基金</t>
  </si>
  <si>
    <r>
      <rPr>
        <sz val="9"/>
        <color rgb="FF000000"/>
        <rFont val="楷体"/>
        <charset val="134"/>
      </rPr>
      <t>东方富海</t>
    </r>
    <r>
      <rPr>
        <sz val="9"/>
        <color rgb="FF000000"/>
        <rFont val="Arial"/>
        <charset val="134"/>
      </rPr>
      <t>,</t>
    </r>
    <r>
      <rPr>
        <sz val="9"/>
        <color rgb="FF000000"/>
        <rFont val="楷体"/>
        <charset val="134"/>
      </rPr>
      <t>中瑞资本－和嘉瑞兴</t>
    </r>
  </si>
  <si>
    <t>2018-01-19</t>
  </si>
  <si>
    <t>米客互联</t>
  </si>
  <si>
    <r>
      <rPr>
        <sz val="9"/>
        <color rgb="FF000000"/>
        <rFont val="楷体"/>
        <charset val="134"/>
      </rPr>
      <t>米客互联是一家餐饮行业互联网化的创业公司，服务的餐饮品牌包括全聚德、德克士、康师傅等</t>
    </r>
    <r>
      <rPr>
        <sz val="9"/>
        <color rgb="FF000000"/>
        <rFont val="Arial"/>
        <charset val="134"/>
      </rPr>
      <t>1000</t>
    </r>
    <r>
      <rPr>
        <sz val="9"/>
        <color rgb="FF000000"/>
        <rFont val="楷体"/>
        <charset val="134"/>
      </rPr>
      <t>多个餐饮品牌，结合餐饮商家需求研发了扫码点菜、互联餐厅管理、支付宝移动支付、门店云端管理等系统。</t>
    </r>
  </si>
  <si>
    <t>福建米客互联网科技有限公司</t>
  </si>
  <si>
    <t>http://weibo.com/5793226284</t>
  </si>
  <si>
    <r>
      <rPr>
        <sz val="9"/>
        <color rgb="FF000000"/>
        <rFont val="楷体"/>
        <charset val="134"/>
      </rPr>
      <t>福建省福州市鼓楼区五一北路</t>
    </r>
    <r>
      <rPr>
        <sz val="9"/>
        <color rgb="FF000000"/>
        <rFont val="Arial"/>
        <charset val="134"/>
      </rPr>
      <t>171</t>
    </r>
    <r>
      <rPr>
        <sz val="9"/>
        <color rgb="FF000000"/>
        <rFont val="楷体"/>
        <charset val="134"/>
      </rPr>
      <t>号新都会花园广场</t>
    </r>
    <r>
      <rPr>
        <sz val="9"/>
        <color rgb="FF000000"/>
        <rFont val="Arial"/>
        <charset val="134"/>
      </rPr>
      <t>24</t>
    </r>
    <r>
      <rPr>
        <sz val="9"/>
        <color rgb="FF000000"/>
        <rFont val="楷体"/>
        <charset val="134"/>
      </rPr>
      <t>层</t>
    </r>
    <r>
      <rPr>
        <sz val="9"/>
        <color rgb="FF000000"/>
        <rFont val="Arial"/>
        <charset val="134"/>
      </rPr>
      <t>H</t>
    </r>
  </si>
  <si>
    <t>2016-07-06</t>
  </si>
  <si>
    <t>2016-12-09</t>
  </si>
  <si>
    <t>辰森世纪</t>
  </si>
  <si>
    <r>
      <rPr>
        <sz val="9"/>
        <color rgb="FF000000"/>
        <rFont val="楷体"/>
        <charset val="134"/>
      </rPr>
      <t>辰森世纪是一个餐饮信息化云服务平台，产品包括餐饮</t>
    </r>
    <r>
      <rPr>
        <sz val="9"/>
        <color rgb="FF000000"/>
        <rFont val="Arial"/>
        <charset val="134"/>
      </rPr>
      <t>O2O</t>
    </r>
    <r>
      <rPr>
        <sz val="9"/>
        <color rgb="FF000000"/>
        <rFont val="楷体"/>
        <charset val="134"/>
      </rPr>
      <t>系统、</t>
    </r>
    <r>
      <rPr>
        <sz val="9"/>
        <color rgb="FF000000"/>
        <rFont val="Arial"/>
        <charset val="134"/>
      </rPr>
      <t>CRM</t>
    </r>
    <r>
      <rPr>
        <sz val="9"/>
        <color rgb="FF000000"/>
        <rFont val="楷体"/>
        <charset val="134"/>
      </rPr>
      <t>系统以及供应链管理等，专注于行业信息化</t>
    </r>
    <r>
      <rPr>
        <sz val="9"/>
        <color rgb="FF000000"/>
        <rFont val="Arial"/>
        <charset val="134"/>
      </rPr>
      <t>IT</t>
    </r>
    <r>
      <rPr>
        <sz val="9"/>
        <color rgb="FF000000"/>
        <rFont val="楷体"/>
        <charset val="134"/>
      </rPr>
      <t>技术研发与创新，致力于成为餐饮企业值得信赖的互联网信息化整体解决方案服务商。</t>
    </r>
  </si>
  <si>
    <t>北京辰森世纪科技股份有限公司</t>
  </si>
  <si>
    <t>http://www.choicesoft.com.cn/</t>
  </si>
  <si>
    <r>
      <rPr>
        <sz val="9"/>
        <color rgb="FF000000"/>
        <rFont val="楷体"/>
        <charset val="134"/>
      </rPr>
      <t>王丽娟</t>
    </r>
    <r>
      <rPr>
        <sz val="9"/>
        <color rgb="FF000000"/>
        <rFont val="Arial"/>
        <charset val="134"/>
      </rPr>
      <t>:CEO</t>
    </r>
  </si>
  <si>
    <r>
      <rPr>
        <sz val="9"/>
        <color rgb="FF000000"/>
        <rFont val="楷体"/>
        <charset val="134"/>
      </rPr>
      <t>北京市朝阳区大郊亭中街</t>
    </r>
    <r>
      <rPr>
        <sz val="9"/>
        <color rgb="FF000000"/>
        <rFont val="Arial"/>
        <charset val="134"/>
      </rPr>
      <t>2</t>
    </r>
    <r>
      <rPr>
        <sz val="9"/>
        <color rgb="FF000000"/>
        <rFont val="楷体"/>
        <charset val="134"/>
      </rPr>
      <t>号院华腾国际</t>
    </r>
    <r>
      <rPr>
        <sz val="9"/>
        <color rgb="FF000000"/>
        <rFont val="Arial"/>
        <charset val="134"/>
      </rPr>
      <t>3</t>
    </r>
    <r>
      <rPr>
        <sz val="9"/>
        <color rgb="FF000000"/>
        <rFont val="楷体"/>
        <charset val="134"/>
      </rPr>
      <t>号楼</t>
    </r>
    <r>
      <rPr>
        <sz val="9"/>
        <color rgb="FF000000"/>
        <rFont val="Arial"/>
        <charset val="134"/>
      </rPr>
      <t>17-BC</t>
    </r>
  </si>
  <si>
    <t>010-8795-2590</t>
  </si>
  <si>
    <t>xll01@choicesoft.com.cn</t>
  </si>
  <si>
    <t>米雅科技</t>
  </si>
  <si>
    <t>米雅是一家新兴的基于移动互联网，专注于购物者数据精准营销的公司。致力于提高商品营销的效率，降低人们的生活成本，提升购物者体验，该平台以聚合支付，共享数据，精准营销为核心；链接购物者，品牌商、零售商，自动高效整合线上线下营销资源。</t>
  </si>
  <si>
    <t>杭州米雅信息科技有限公司</t>
  </si>
  <si>
    <t>http://www.miyahh.cn/</t>
  </si>
  <si>
    <r>
      <rPr>
        <sz val="9"/>
        <color rgb="FF000000"/>
        <rFont val="楷体"/>
        <charset val="134"/>
      </rPr>
      <t>杨德宏</t>
    </r>
    <r>
      <rPr>
        <sz val="9"/>
        <color rgb="FF000000"/>
        <rFont val="Arial"/>
        <charset val="134"/>
      </rPr>
      <t>:</t>
    </r>
    <r>
      <rPr>
        <sz val="9"/>
        <color rgb="FF000000"/>
        <rFont val="楷体"/>
        <charset val="134"/>
      </rPr>
      <t>董事长</t>
    </r>
  </si>
  <si>
    <r>
      <rPr>
        <sz val="9"/>
        <color rgb="FF000000"/>
        <rFont val="楷体"/>
        <charset val="134"/>
      </rPr>
      <t>浙江省杭州市滨江区长河街道江虹路</t>
    </r>
    <r>
      <rPr>
        <sz val="9"/>
        <color rgb="FF000000"/>
        <rFont val="Arial"/>
        <charset val="134"/>
      </rPr>
      <t>459</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B</t>
    </r>
    <r>
      <rPr>
        <sz val="9"/>
        <color rgb="FF000000"/>
        <rFont val="楷体"/>
        <charset val="134"/>
      </rPr>
      <t>座</t>
    </r>
    <r>
      <rPr>
        <sz val="9"/>
        <color rgb="FF000000"/>
        <rFont val="Arial"/>
        <charset val="134"/>
      </rPr>
      <t>1101</t>
    </r>
    <r>
      <rPr>
        <sz val="9"/>
        <color rgb="FF000000"/>
        <rFont val="楷体"/>
        <charset val="134"/>
      </rPr>
      <t>室</t>
    </r>
  </si>
  <si>
    <t>0571-8507-6186</t>
  </si>
  <si>
    <t>wangfanghao@mi-ya.com.cn</t>
  </si>
  <si>
    <t>2015-05-12</t>
  </si>
  <si>
    <t>美小店</t>
  </si>
  <si>
    <t>美小店是一个餐饮信息平台，用户可以在平台上根据特色菜系、异国料理等类别，选择自己喜欢的门店进行下单。</t>
  </si>
  <si>
    <t>点味（上海）信息科技有限公司</t>
  </si>
  <si>
    <t>http://www.idianwei.cn/</t>
  </si>
  <si>
    <r>
      <rPr>
        <sz val="9"/>
        <color rgb="FF000000"/>
        <rFont val="楷体"/>
        <charset val="134"/>
      </rPr>
      <t>饿了么</t>
    </r>
    <r>
      <rPr>
        <sz val="9"/>
        <color rgb="FF000000"/>
        <rFont val="Arial"/>
        <charset val="134"/>
      </rPr>
      <t>,</t>
    </r>
    <r>
      <rPr>
        <sz val="9"/>
        <color rgb="FF000000"/>
        <rFont val="楷体"/>
        <charset val="134"/>
      </rPr>
      <t>口碑</t>
    </r>
  </si>
  <si>
    <r>
      <rPr>
        <sz val="9"/>
        <color rgb="FF000000"/>
        <rFont val="楷体"/>
        <charset val="134"/>
      </rPr>
      <t>梅锦万</t>
    </r>
    <r>
      <rPr>
        <sz val="9"/>
        <color rgb="FF000000"/>
        <rFont val="Arial"/>
        <charset val="134"/>
      </rPr>
      <t>:CEO</t>
    </r>
  </si>
  <si>
    <r>
      <rPr>
        <sz val="9"/>
        <color rgb="FF000000"/>
        <rFont val="楷体"/>
        <charset val="134"/>
      </rPr>
      <t>中国（上海）自由贸易试验区芳春路</t>
    </r>
    <r>
      <rPr>
        <sz val="9"/>
        <color rgb="FF000000"/>
        <rFont val="Arial"/>
        <charset val="134"/>
      </rPr>
      <t>400</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3</t>
    </r>
    <r>
      <rPr>
        <sz val="9"/>
        <color rgb="FF000000"/>
        <rFont val="楷体"/>
        <charset val="134"/>
      </rPr>
      <t>层</t>
    </r>
  </si>
  <si>
    <t>021-8028-1717</t>
  </si>
  <si>
    <t>localservices@alibaba-inc.com</t>
  </si>
  <si>
    <r>
      <rPr>
        <sz val="9"/>
        <color rgb="FF000000"/>
        <rFont val="Arial"/>
        <charset val="134"/>
      </rPr>
      <t>eWTP</t>
    </r>
    <r>
      <rPr>
        <sz val="9"/>
        <color rgb="FF000000"/>
        <rFont val="楷体"/>
        <charset val="134"/>
      </rPr>
      <t>基金</t>
    </r>
  </si>
  <si>
    <t>2020-11-09</t>
  </si>
  <si>
    <t>融云</t>
  </si>
  <si>
    <r>
      <rPr>
        <sz val="9"/>
        <color rgb="FF000000"/>
        <rFont val="楷体"/>
        <charset val="134"/>
      </rPr>
      <t>融云，安全、可靠的全球互联网通信云服务商，向开发者和企业提供即时通讯和实时音视频通信云服务。当前融云构建了一张覆盖全球所有国家及地区（共</t>
    </r>
    <r>
      <rPr>
        <sz val="9"/>
        <color rgb="FF000000"/>
        <rFont val="Arial"/>
        <charset val="134"/>
      </rPr>
      <t xml:space="preserve"> 233 </t>
    </r>
    <r>
      <rPr>
        <sz val="9"/>
        <color rgb="FF000000"/>
        <rFont val="楷体"/>
        <charset val="134"/>
      </rPr>
      <t>个）的通信云网络，在全球各地设立多个数据中心及数千个加速节点。基于客户业务需求，可提供多种部署模式</t>
    </r>
    <r>
      <rPr>
        <sz val="9"/>
        <color rgb="FF000000"/>
        <rFont val="Arial"/>
        <charset val="134"/>
      </rPr>
      <t>——</t>
    </r>
    <r>
      <rPr>
        <sz val="9"/>
        <color rgb="FF000000"/>
        <rFont val="楷体"/>
        <charset val="134"/>
      </rPr>
      <t>公有云、私有云、混合云，为全球企业提供稳定的互联网通信云服务。针对企业级用户，融云将业务垂直到各个行业，为社交、直播、金融、交通运输、教育、电商、医疗等多个行业领域推出了针对性解决方案。</t>
    </r>
  </si>
  <si>
    <t>北京云中融信网络科技有限公司</t>
  </si>
  <si>
    <t>http://www.rongcloud.cn/</t>
  </si>
  <si>
    <r>
      <rPr>
        <sz val="9"/>
        <color rgb="FF000000"/>
        <rFont val="楷体"/>
        <charset val="134"/>
      </rPr>
      <t>深创投</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</si>
  <si>
    <r>
      <rPr>
        <sz val="9"/>
        <color rgb="FF000000"/>
        <rFont val="Arial"/>
        <charset val="134"/>
      </rPr>
      <t>7.51</t>
    </r>
    <r>
      <rPr>
        <sz val="9"/>
        <color rgb="FF000000"/>
        <rFont val="楷体"/>
        <charset val="134"/>
      </rPr>
      <t>亿</t>
    </r>
  </si>
  <si>
    <r>
      <rPr>
        <sz val="9"/>
        <color rgb="FF000000"/>
        <rFont val="楷体"/>
        <charset val="134"/>
      </rPr>
      <t>韩迎</t>
    </r>
    <r>
      <rPr>
        <sz val="9"/>
        <color rgb="FF000000"/>
        <rFont val="Arial"/>
        <charset val="134"/>
      </rPr>
      <t>:CEO</t>
    </r>
  </si>
  <si>
    <r>
      <rPr>
        <sz val="9"/>
        <color rgb="FF000000"/>
        <rFont val="楷体"/>
        <charset val="134"/>
      </rPr>
      <t>北京市朝阳区北苑路北甲</t>
    </r>
    <r>
      <rPr>
        <sz val="9"/>
        <color rgb="FF000000"/>
        <rFont val="Arial"/>
        <charset val="134"/>
      </rPr>
      <t>13</t>
    </r>
    <r>
      <rPr>
        <sz val="9"/>
        <color rgb="FF000000"/>
        <rFont val="楷体"/>
        <charset val="134"/>
      </rPr>
      <t>号北辰泰岳大厦</t>
    </r>
    <r>
      <rPr>
        <sz val="9"/>
        <color rgb="FF000000"/>
        <rFont val="Arial"/>
        <charset val="134"/>
      </rPr>
      <t>14</t>
    </r>
    <r>
      <rPr>
        <sz val="9"/>
        <color rgb="FF000000"/>
        <rFont val="楷体"/>
        <charset val="134"/>
      </rPr>
      <t>层</t>
    </r>
  </si>
  <si>
    <t>400-919-9066</t>
  </si>
  <si>
    <t>market-operation@rongcloud.cn</t>
  </si>
  <si>
    <r>
      <rPr>
        <sz val="9"/>
        <color rgb="FF000000"/>
        <rFont val="楷体"/>
        <charset val="134"/>
      </rPr>
      <t>美国中经合集团</t>
    </r>
    <r>
      <rPr>
        <sz val="9"/>
        <color rgb="FF000000"/>
        <rFont val="Arial"/>
        <charset val="134"/>
      </rPr>
      <t>,</t>
    </r>
    <r>
      <rPr>
        <sz val="9"/>
        <color rgb="FF000000"/>
        <rFont val="楷体"/>
        <charset val="134"/>
      </rPr>
      <t>东证资本</t>
    </r>
    <r>
      <rPr>
        <sz val="9"/>
        <color rgb="FF000000"/>
        <rFont val="Arial"/>
        <charset val="134"/>
      </rPr>
      <t>,</t>
    </r>
    <r>
      <rPr>
        <sz val="9"/>
        <color rgb="FF000000"/>
        <rFont val="楷体"/>
        <charset val="134"/>
      </rPr>
      <t>国投创业</t>
    </r>
  </si>
  <si>
    <r>
      <rPr>
        <sz val="9"/>
        <color rgb="FF000000"/>
        <rFont val="楷体"/>
        <charset val="134"/>
      </rPr>
      <t>天星资本</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上海嘉存</t>
    </r>
  </si>
  <si>
    <t>中兴合创</t>
  </si>
  <si>
    <t>泰岳梧桐资本</t>
  </si>
  <si>
    <t>2022-06-06</t>
  </si>
  <si>
    <t>海管家</t>
  </si>
  <si>
    <r>
      <rPr>
        <sz val="9"/>
        <color rgb="FF000000"/>
        <rFont val="楷体"/>
        <charset val="134"/>
      </rPr>
      <t>海管家是苏州运哪儿物流科技有限公司打造的</t>
    </r>
    <r>
      <rPr>
        <sz val="9"/>
        <color rgb="FF000000"/>
        <rFont val="Arial"/>
        <charset val="134"/>
      </rPr>
      <t>B2B</t>
    </r>
    <r>
      <rPr>
        <sz val="9"/>
        <color rgb="FF000000"/>
        <rFont val="楷体"/>
        <charset val="134"/>
      </rPr>
      <t>国际物流服务平台，为中小微外贸和货代企业提供一站式解决方案以及国际集装箱物流服务。海管家成功入选国家商务部发起的</t>
    </r>
    <r>
      <rPr>
        <sz val="9"/>
        <color rgb="FF000000"/>
        <rFont val="Arial"/>
        <charset val="134"/>
      </rPr>
      <t>“</t>
    </r>
    <r>
      <rPr>
        <sz val="9"/>
        <color rgb="FF000000"/>
        <rFont val="楷体"/>
        <charset val="134"/>
      </rPr>
      <t>现代服务业综合试点</t>
    </r>
    <r>
      <rPr>
        <sz val="9"/>
        <color rgb="FF000000"/>
        <rFont val="Arial"/>
        <charset val="134"/>
      </rPr>
      <t>”</t>
    </r>
    <r>
      <rPr>
        <sz val="9"/>
        <color rgb="FF000000"/>
        <rFont val="楷体"/>
        <charset val="134"/>
      </rPr>
      <t>项目。</t>
    </r>
  </si>
  <si>
    <t>苏州海管家物流科技有限公司</t>
  </si>
  <si>
    <t>http://www.yunlsp.com</t>
  </si>
  <si>
    <r>
      <rPr>
        <sz val="9"/>
        <color rgb="FF000000"/>
        <rFont val="楷体"/>
        <charset val="134"/>
      </rPr>
      <t>长江国弘</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匠一基金投资</t>
    </r>
  </si>
  <si>
    <r>
      <rPr>
        <sz val="9"/>
        <color rgb="FF000000"/>
        <rFont val="楷体"/>
        <charset val="134"/>
      </rPr>
      <t>金忠国</t>
    </r>
    <r>
      <rPr>
        <sz val="9"/>
        <color rgb="FF000000"/>
        <rFont val="Arial"/>
        <charset val="134"/>
      </rPr>
      <t>:CEO</t>
    </r>
  </si>
  <si>
    <r>
      <rPr>
        <sz val="9"/>
        <color rgb="FF000000"/>
        <rFont val="楷体"/>
        <charset val="134"/>
      </rPr>
      <t>江苏省苏州工业园区星湖街</t>
    </r>
    <r>
      <rPr>
        <sz val="9"/>
        <color rgb="FF000000"/>
        <rFont val="Arial"/>
        <charset val="134"/>
      </rPr>
      <t>328</t>
    </r>
    <r>
      <rPr>
        <sz val="9"/>
        <color rgb="FF000000"/>
        <rFont val="楷体"/>
        <charset val="134"/>
      </rPr>
      <t>号创意产业园</t>
    </r>
    <r>
      <rPr>
        <sz val="9"/>
        <color rgb="FF000000"/>
        <rFont val="Arial"/>
        <charset val="134"/>
      </rPr>
      <t>2-B604-1</t>
    </r>
  </si>
  <si>
    <t>400-061-1010</t>
  </si>
  <si>
    <t>service@yunlsp.com</t>
  </si>
  <si>
    <t>2020-06-28</t>
  </si>
  <si>
    <r>
      <rPr>
        <sz val="9"/>
        <color rgb="FF000000"/>
        <rFont val="楷体"/>
        <charset val="134"/>
      </rPr>
      <t>住友商事亚洲资本</t>
    </r>
    <r>
      <rPr>
        <sz val="9"/>
        <color rgb="FF000000"/>
        <rFont val="Arial"/>
        <charset val="134"/>
      </rPr>
      <t>,</t>
    </r>
    <r>
      <rPr>
        <sz val="9"/>
        <color rgb="FF000000"/>
        <rFont val="楷体"/>
        <charset val="134"/>
      </rPr>
      <t>正轩投资</t>
    </r>
  </si>
  <si>
    <t>2015-09-28</t>
  </si>
  <si>
    <t>KK集团</t>
  </si>
  <si>
    <r>
      <rPr>
        <sz val="9"/>
        <color rgb="FF000000"/>
        <rFont val="Arial"/>
        <charset val="134"/>
      </rPr>
      <t>KK</t>
    </r>
    <r>
      <rPr>
        <sz val="9"/>
        <color rgb="FF000000"/>
        <rFont val="楷体"/>
        <charset val="134"/>
      </rPr>
      <t>集团</t>
    </r>
  </si>
  <si>
    <r>
      <rPr>
        <sz val="9"/>
        <color rgb="FF000000"/>
        <rFont val="Arial"/>
        <charset val="134"/>
      </rPr>
      <t>KK</t>
    </r>
    <r>
      <rPr>
        <sz val="9"/>
        <color rgb="FF000000"/>
        <rFont val="楷体"/>
        <charset val="134"/>
      </rPr>
      <t>集团创立于</t>
    </r>
    <r>
      <rPr>
        <sz val="9"/>
        <color rgb="FF000000"/>
        <rFont val="Arial"/>
        <charset val="134"/>
      </rPr>
      <t>2015</t>
    </r>
    <r>
      <rPr>
        <sz val="9"/>
        <color rgb="FF000000"/>
        <rFont val="楷体"/>
        <charset val="134"/>
      </rPr>
      <t>年，是国内领先的潮流零售企业，集团践行多品牌战略，旗下拥有主打极致性价比的迷你生活集合品牌「</t>
    </r>
    <r>
      <rPr>
        <sz val="9"/>
        <color rgb="FF000000"/>
        <rFont val="Arial"/>
        <charset val="134"/>
      </rPr>
      <t>KK</t>
    </r>
    <r>
      <rPr>
        <sz val="9"/>
        <color rgb="FF000000"/>
        <rFont val="楷体"/>
        <charset val="134"/>
      </rPr>
      <t>馆」、主打精致生活集合的新一代主力店品牌「</t>
    </r>
    <r>
      <rPr>
        <sz val="9"/>
        <color rgb="FF000000"/>
        <rFont val="Arial"/>
        <charset val="134"/>
      </rPr>
      <t>KKV</t>
    </r>
    <r>
      <rPr>
        <sz val="9"/>
        <color rgb="FF000000"/>
        <rFont val="楷体"/>
        <charset val="134"/>
      </rPr>
      <t>」、国内首个大型美妆集合品牌「</t>
    </r>
    <r>
      <rPr>
        <sz val="9"/>
        <color rgb="FF000000"/>
        <rFont val="Arial"/>
        <charset val="134"/>
      </rPr>
      <t>THE COLORIST</t>
    </r>
    <r>
      <rPr>
        <sz val="9"/>
        <color rgb="FF000000"/>
        <rFont val="楷体"/>
        <charset val="134"/>
      </rPr>
      <t>调色师」、国内首个全球潮玩集合品牌「</t>
    </r>
    <r>
      <rPr>
        <sz val="9"/>
        <color rgb="FF000000"/>
        <rFont val="Arial"/>
        <charset val="134"/>
      </rPr>
      <t>X11</t>
    </r>
    <r>
      <rPr>
        <sz val="9"/>
        <color rgb="FF000000"/>
        <rFont val="楷体"/>
        <charset val="134"/>
      </rPr>
      <t>」等多个优质品牌。</t>
    </r>
    <r>
      <rPr>
        <sz val="9"/>
        <color rgb="FF000000"/>
        <rFont val="Arial"/>
        <charset val="134"/>
      </rPr>
      <t xml:space="preserve">
</t>
    </r>
    <r>
      <rPr>
        <sz val="9"/>
        <color rgb="FF000000"/>
        <rFont val="楷体"/>
        <charset val="134"/>
      </rPr>
      <t>作为潮流零售模式的代表企业和践行者，截止目前，集团旗下品牌已在北京、上海、广州、深圳、杭州、成都、苏州、天津、武汉、重庆等全国多个重点城市的顶级商圈及购物中心拥有数百家线下门店，并不断拓展中，为</t>
    </r>
    <r>
      <rPr>
        <sz val="9"/>
        <color rgb="FF000000"/>
        <rFont val="Arial"/>
        <charset val="134"/>
      </rPr>
      <t>Z</t>
    </r>
    <r>
      <rPr>
        <sz val="9"/>
        <color rgb="FF000000"/>
        <rFont val="楷体"/>
        <charset val="134"/>
      </rPr>
      <t>世代为主的新一代消费者，满足其有关美好生活方式的需求。</t>
    </r>
  </si>
  <si>
    <t>广东快客电子商务有限公司</t>
  </si>
  <si>
    <t>http://www.kkguan.com</t>
  </si>
  <si>
    <r>
      <rPr>
        <sz val="9"/>
        <color rgb="FF000000"/>
        <rFont val="楷体"/>
        <charset val="134"/>
      </rPr>
      <t>京东</t>
    </r>
    <r>
      <rPr>
        <sz val="9"/>
        <color rgb="FF000000"/>
        <rFont val="Arial"/>
        <charset val="134"/>
      </rPr>
      <t>,</t>
    </r>
    <r>
      <rPr>
        <sz val="9"/>
        <color rgb="FF000000"/>
        <rFont val="楷体"/>
        <charset val="134"/>
      </rPr>
      <t>新天域资本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渶策资本</t>
    </r>
  </si>
  <si>
    <r>
      <rPr>
        <sz val="9"/>
        <color rgb="FF000000"/>
        <rFont val="Arial"/>
        <charset val="134"/>
      </rPr>
      <t>41.85</t>
    </r>
    <r>
      <rPr>
        <sz val="9"/>
        <color rgb="FF000000"/>
        <rFont val="楷体"/>
        <charset val="134"/>
      </rPr>
      <t>亿</t>
    </r>
  </si>
  <si>
    <r>
      <rPr>
        <sz val="9"/>
        <color rgb="FF000000"/>
        <rFont val="楷体"/>
        <charset val="134"/>
      </rPr>
      <t>吴悦宁</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冯杰</t>
    </r>
    <r>
      <rPr>
        <sz val="9"/>
        <color rgb="FF000000"/>
        <rFont val="Arial"/>
        <charset val="134"/>
      </rPr>
      <t>:</t>
    </r>
    <r>
      <rPr>
        <sz val="9"/>
        <color rgb="FF000000"/>
        <rFont val="楷体"/>
        <charset val="134"/>
      </rPr>
      <t>运营总监</t>
    </r>
    <r>
      <rPr>
        <sz val="9"/>
        <color rgb="FF000000"/>
        <rFont val="Arial"/>
        <charset val="134"/>
      </rPr>
      <t>,</t>
    </r>
    <r>
      <rPr>
        <sz val="9"/>
        <color rgb="FF000000"/>
        <rFont val="楷体"/>
        <charset val="134"/>
      </rPr>
      <t>陈宏城</t>
    </r>
    <r>
      <rPr>
        <sz val="9"/>
        <color rgb="FF000000"/>
        <rFont val="Arial"/>
        <charset val="134"/>
      </rPr>
      <t>:</t>
    </r>
    <r>
      <rPr>
        <sz val="9"/>
        <color rgb="FF000000"/>
        <rFont val="楷体"/>
        <charset val="134"/>
      </rPr>
      <t>联合创始人</t>
    </r>
  </si>
  <si>
    <r>
      <rPr>
        <sz val="9"/>
        <color rgb="FF000000"/>
        <rFont val="楷体"/>
        <charset val="134"/>
      </rPr>
      <t>东莞市南城街道袁屋边社区隐山路</t>
    </r>
    <r>
      <rPr>
        <sz val="9"/>
        <color rgb="FF000000"/>
        <rFont val="Arial"/>
        <charset val="134"/>
      </rPr>
      <t>35</t>
    </r>
    <r>
      <rPr>
        <sz val="9"/>
        <color rgb="FF000000"/>
        <rFont val="楷体"/>
        <charset val="134"/>
      </rPr>
      <t>号</t>
    </r>
  </si>
  <si>
    <t>4000-522-321</t>
  </si>
  <si>
    <t>server@kkguan.com</t>
  </si>
  <si>
    <t>2020-08-04</t>
  </si>
  <si>
    <r>
      <rPr>
        <sz val="9"/>
        <color rgb="FF000000"/>
        <rFont val="楷体"/>
        <charset val="134"/>
      </rPr>
      <t>经纬创投</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黑蚁资本</t>
    </r>
    <r>
      <rPr>
        <sz val="9"/>
        <color rgb="FF000000"/>
        <rFont val="Arial"/>
        <charset val="134"/>
      </rPr>
      <t>,</t>
    </r>
    <r>
      <rPr>
        <sz val="9"/>
        <color rgb="FF000000"/>
        <rFont val="楷体"/>
        <charset val="134"/>
      </rPr>
      <t>渶策资本</t>
    </r>
    <r>
      <rPr>
        <sz val="9"/>
        <color rgb="FF000000"/>
        <rFont val="Arial"/>
        <charset val="134"/>
      </rPr>
      <t>,Kamet Capital</t>
    </r>
  </si>
  <si>
    <t>2019-10-23</t>
  </si>
  <si>
    <r>
      <rPr>
        <sz val="9"/>
        <color rgb="FF000000"/>
        <rFont val="楷体"/>
        <charset val="134"/>
      </rPr>
      <t>经纬创投</t>
    </r>
    <r>
      <rPr>
        <sz val="9"/>
        <color rgb="FF000000"/>
        <rFont val="Arial"/>
        <charset val="134"/>
      </rPr>
      <t>,</t>
    </r>
    <r>
      <rPr>
        <sz val="9"/>
        <color rgb="FF000000"/>
        <rFont val="楷体"/>
        <charset val="134"/>
      </rPr>
      <t>五岳资本</t>
    </r>
    <r>
      <rPr>
        <sz val="9"/>
        <color rgb="FF000000"/>
        <rFont val="Arial"/>
        <charset val="134"/>
      </rPr>
      <t>,</t>
    </r>
    <r>
      <rPr>
        <sz val="9"/>
        <color rgb="FF000000"/>
        <rFont val="楷体"/>
        <charset val="134"/>
      </rPr>
      <t>洪泰基金</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黑藻资本</t>
    </r>
  </si>
  <si>
    <r>
      <rPr>
        <sz val="9"/>
        <color rgb="FF000000"/>
        <rFont val="楷体"/>
        <charset val="134"/>
      </rPr>
      <t>经纬创投</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五岳资本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璀璨资本</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黑藻资本</t>
    </r>
  </si>
  <si>
    <t>2018-04-09</t>
  </si>
  <si>
    <r>
      <rPr>
        <sz val="9"/>
        <color rgb="FF000000"/>
        <rFont val="楷体"/>
        <charset val="134"/>
      </rPr>
      <t>经纬创投</t>
    </r>
    <r>
      <rPr>
        <sz val="9"/>
        <color rgb="FF000000"/>
        <rFont val="Arial"/>
        <charset val="134"/>
      </rPr>
      <t>,</t>
    </r>
    <r>
      <rPr>
        <sz val="9"/>
        <color rgb="FF000000"/>
        <rFont val="楷体"/>
        <charset val="134"/>
      </rPr>
      <t>璀璨资本</t>
    </r>
    <r>
      <rPr>
        <sz val="9"/>
        <color rgb="FF000000"/>
        <rFont val="Arial"/>
        <charset val="134"/>
      </rPr>
      <t>,</t>
    </r>
    <r>
      <rPr>
        <sz val="9"/>
        <color rgb="FF000000"/>
        <rFont val="楷体"/>
        <charset val="134"/>
      </rPr>
      <t>黑藻资本</t>
    </r>
  </si>
  <si>
    <t>2017-06-24</t>
  </si>
  <si>
    <r>
      <rPr>
        <sz val="9"/>
        <color rgb="FF000000"/>
        <rFont val="楷体"/>
        <charset val="134"/>
      </rPr>
      <t>深创投</t>
    </r>
    <r>
      <rPr>
        <sz val="9"/>
        <color rgb="FF000000"/>
        <rFont val="Arial"/>
        <charset val="134"/>
      </rPr>
      <t>,</t>
    </r>
    <r>
      <rPr>
        <sz val="9"/>
        <color rgb="FF000000"/>
        <rFont val="楷体"/>
        <charset val="134"/>
      </rPr>
      <t>璀璨资本</t>
    </r>
    <r>
      <rPr>
        <sz val="9"/>
        <color rgb="FF000000"/>
        <rFont val="Arial"/>
        <charset val="134"/>
      </rPr>
      <t>,</t>
    </r>
    <r>
      <rPr>
        <sz val="9"/>
        <color rgb="FF000000"/>
        <rFont val="楷体"/>
        <charset val="134"/>
      </rPr>
      <t>黑藻资本</t>
    </r>
  </si>
  <si>
    <t>2016-03-05</t>
  </si>
  <si>
    <t>2019-04-03</t>
  </si>
  <si>
    <t>Box8</t>
  </si>
  <si>
    <r>
      <rPr>
        <sz val="9"/>
        <color rgb="FF000000"/>
        <rFont val="Arial"/>
        <charset val="134"/>
      </rPr>
      <t>Box8</t>
    </r>
    <r>
      <rPr>
        <sz val="9"/>
        <color rgb="FF000000"/>
        <rFont val="楷体"/>
        <charset val="134"/>
      </rPr>
      <t>是印度一家食品科技初创公司，专注于针对墨西哥食品的快餐服务，提供各类不同的服务，包括：冰淇淋、餐盒、包装、三明治、沙拉和甜点等。</t>
    </r>
  </si>
  <si>
    <t>https://box8.in/#/</t>
  </si>
  <si>
    <r>
      <rPr>
        <sz val="9"/>
        <color rgb="FF000000"/>
        <rFont val="Arial"/>
        <charset val="134"/>
      </rPr>
      <t>Mayfield Fund,IIFL,eWTP</t>
    </r>
    <r>
      <rPr>
        <sz val="9"/>
        <color rgb="FF000000"/>
        <rFont val="楷体"/>
        <charset val="134"/>
      </rPr>
      <t>基金</t>
    </r>
    <r>
      <rPr>
        <sz val="9"/>
        <color rgb="FF000000"/>
        <rFont val="Arial"/>
        <charset val="134"/>
      </rPr>
      <t>-</t>
    </r>
    <r>
      <rPr>
        <sz val="9"/>
        <color rgb="FF000000"/>
        <rFont val="楷体"/>
        <charset val="134"/>
      </rPr>
      <t>阿里巴巴</t>
    </r>
  </si>
  <si>
    <r>
      <rPr>
        <sz val="9"/>
        <color rgb="FF000000"/>
        <rFont val="Arial"/>
        <charset val="134"/>
      </rPr>
      <t>1.67</t>
    </r>
    <r>
      <rPr>
        <sz val="9"/>
        <color rgb="FF000000"/>
        <rFont val="楷体"/>
        <charset val="134"/>
      </rPr>
      <t>亿</t>
    </r>
  </si>
  <si>
    <t>talk@box8.in</t>
  </si>
  <si>
    <t>2016-10-24</t>
  </si>
  <si>
    <r>
      <rPr>
        <sz val="9"/>
        <color rgb="FF000000"/>
        <rFont val="Arial"/>
        <charset val="134"/>
      </rPr>
      <t>720</t>
    </r>
    <r>
      <rPr>
        <sz val="9"/>
        <color rgb="FF000000"/>
        <rFont val="楷体"/>
        <charset val="134"/>
      </rPr>
      <t>万美元</t>
    </r>
  </si>
  <si>
    <t>Mayfield Fund,IIFL</t>
  </si>
  <si>
    <t>2015-05-30</t>
  </si>
  <si>
    <t>2022-02-28</t>
  </si>
  <si>
    <t>钛动科技</t>
  </si>
  <si>
    <r>
      <rPr>
        <sz val="9"/>
        <color rgb="FF000000"/>
        <rFont val="楷体"/>
        <charset val="134"/>
      </rPr>
      <t>钛动科技</t>
    </r>
    <r>
      <rPr>
        <sz val="9"/>
        <color rgb="FF000000"/>
        <rFont val="Arial"/>
        <charset val="134"/>
      </rPr>
      <t xml:space="preserve"> (Tec-Do) </t>
    </r>
    <r>
      <rPr>
        <sz val="9"/>
        <color rgb="FF000000"/>
        <rFont val="楷体"/>
        <charset val="134"/>
      </rPr>
      <t>成立于</t>
    </r>
    <r>
      <rPr>
        <sz val="9"/>
        <color rgb="FF000000"/>
        <rFont val="Arial"/>
        <charset val="134"/>
      </rPr>
      <t>2017</t>
    </r>
    <r>
      <rPr>
        <sz val="9"/>
        <color rgb="FF000000"/>
        <rFont val="楷体"/>
        <charset val="134"/>
      </rPr>
      <t>年，是基于大数据和</t>
    </r>
    <r>
      <rPr>
        <sz val="9"/>
        <color rgb="FF000000"/>
        <rFont val="Arial"/>
        <charset val="134"/>
      </rPr>
      <t>BI</t>
    </r>
    <r>
      <rPr>
        <sz val="9"/>
        <color rgb="FF000000"/>
        <rFont val="楷体"/>
        <charset val="134"/>
      </rPr>
      <t>的商业增长赋能公司。公司旗下拥有为中国出海品牌提供一站式电商出海解决方案的</t>
    </r>
    <r>
      <rPr>
        <sz val="9"/>
        <color rgb="FF000000"/>
        <rFont val="Arial"/>
        <charset val="134"/>
      </rPr>
      <t>Tec-Retail</t>
    </r>
    <r>
      <rPr>
        <sz val="9"/>
        <color rgb="FF000000"/>
        <rFont val="楷体"/>
        <charset val="134"/>
      </rPr>
      <t>、为全球移动端流量主提供一站式移动电商解决方案的</t>
    </r>
    <r>
      <rPr>
        <sz val="9"/>
        <color rgb="FF000000"/>
        <rFont val="Arial"/>
        <charset val="134"/>
      </rPr>
      <t>meetMyShop</t>
    </r>
    <r>
      <rPr>
        <sz val="9"/>
        <color rgb="FF000000"/>
        <rFont val="楷体"/>
        <charset val="134"/>
      </rPr>
      <t>、专注海外移动效果广告的商业智能广告服务品牌</t>
    </r>
    <r>
      <rPr>
        <sz val="9"/>
        <color rgb="FF000000"/>
        <rFont val="Arial"/>
        <charset val="134"/>
      </rPr>
      <t>Mobisummer</t>
    </r>
    <r>
      <rPr>
        <sz val="9"/>
        <color rgb="FF000000"/>
        <rFont val="楷体"/>
        <charset val="134"/>
      </rPr>
      <t>和一站式整合营销及代理服务品牌</t>
    </r>
    <r>
      <rPr>
        <sz val="9"/>
        <color rgb="FF000000"/>
        <rFont val="Arial"/>
        <charset val="134"/>
      </rPr>
      <t>UniAgency</t>
    </r>
    <r>
      <rPr>
        <sz val="9"/>
        <color rgb="FF000000"/>
        <rFont val="楷体"/>
        <charset val="134"/>
      </rPr>
      <t>。</t>
    </r>
  </si>
  <si>
    <t>广州钛动科技股份有限公司</t>
  </si>
  <si>
    <t>http://www.tec-do.com</t>
  </si>
  <si>
    <t>2017-09</t>
  </si>
  <si>
    <r>
      <rPr>
        <sz val="9"/>
        <color rgb="FF000000"/>
        <rFont val="Arial"/>
        <charset val="134"/>
      </rPr>
      <t>9.7</t>
    </r>
    <r>
      <rPr>
        <sz val="9"/>
        <color rgb="FF000000"/>
        <rFont val="楷体"/>
        <charset val="134"/>
      </rPr>
      <t>亿</t>
    </r>
  </si>
  <si>
    <r>
      <rPr>
        <sz val="9"/>
        <color rgb="FF000000"/>
        <rFont val="楷体"/>
        <charset val="134"/>
      </rPr>
      <t>李述昊</t>
    </r>
    <r>
      <rPr>
        <sz val="9"/>
        <color rgb="FF000000"/>
        <rFont val="Arial"/>
        <charset val="134"/>
      </rPr>
      <t>:CEO</t>
    </r>
  </si>
  <si>
    <r>
      <rPr>
        <sz val="9"/>
        <color rgb="FF000000"/>
        <rFont val="楷体"/>
        <charset val="134"/>
      </rPr>
      <t>广东省广州市天河区中山大道西</t>
    </r>
    <r>
      <rPr>
        <sz val="9"/>
        <color rgb="FF000000"/>
        <rFont val="Arial"/>
        <charset val="134"/>
      </rPr>
      <t>89</t>
    </r>
    <r>
      <rPr>
        <sz val="9"/>
        <color rgb="FF000000"/>
        <rFont val="楷体"/>
        <charset val="134"/>
      </rPr>
      <t>号办公楼（部位：</t>
    </r>
    <r>
      <rPr>
        <sz val="9"/>
        <color rgb="FF000000"/>
        <rFont val="Arial"/>
        <charset val="134"/>
      </rPr>
      <t>A</t>
    </r>
    <r>
      <rPr>
        <sz val="9"/>
        <color rgb="FF000000"/>
        <rFont val="楷体"/>
        <charset val="134"/>
      </rPr>
      <t>栋</t>
    </r>
    <r>
      <rPr>
        <sz val="9"/>
        <color rgb="FF000000"/>
        <rFont val="Arial"/>
        <charset val="134"/>
      </rPr>
      <t>15</t>
    </r>
    <r>
      <rPr>
        <sz val="9"/>
        <color rgb="FF000000"/>
        <rFont val="楷体"/>
        <charset val="134"/>
      </rPr>
      <t>层北</t>
    </r>
    <r>
      <rPr>
        <sz val="9"/>
        <color rgb="FF000000"/>
        <rFont val="Arial"/>
        <charset val="134"/>
      </rPr>
      <t>1-8</t>
    </r>
    <r>
      <rPr>
        <sz val="9"/>
        <color rgb="FF000000"/>
        <rFont val="楷体"/>
        <charset val="134"/>
      </rPr>
      <t>）</t>
    </r>
  </si>
  <si>
    <t>020-3891-5396</t>
  </si>
  <si>
    <t>support@mobisummer.com</t>
  </si>
  <si>
    <t>2021-08-09</t>
  </si>
  <si>
    <r>
      <rPr>
        <sz val="9"/>
        <color rgb="FF000000"/>
        <rFont val="楷体"/>
        <charset val="134"/>
      </rPr>
      <t>头头是道投资基金</t>
    </r>
    <r>
      <rPr>
        <sz val="9"/>
        <color rgb="FF000000"/>
        <rFont val="Arial"/>
        <charset val="134"/>
      </rPr>
      <t>,</t>
    </r>
    <r>
      <rPr>
        <sz val="9"/>
        <color rgb="FF000000"/>
        <rFont val="楷体"/>
        <charset val="134"/>
      </rPr>
      <t>中银粤财</t>
    </r>
    <r>
      <rPr>
        <sz val="9"/>
        <color rgb="FF000000"/>
        <rFont val="Arial"/>
        <charset val="134"/>
      </rPr>
      <t>,</t>
    </r>
    <r>
      <rPr>
        <sz val="9"/>
        <color rgb="FF000000"/>
        <rFont val="楷体"/>
        <charset val="134"/>
      </rPr>
      <t>粤财创投</t>
    </r>
    <r>
      <rPr>
        <sz val="9"/>
        <color rgb="FF000000"/>
        <rFont val="Arial"/>
        <charset val="134"/>
      </rPr>
      <t>,</t>
    </r>
    <r>
      <rPr>
        <sz val="9"/>
        <color rgb="FF000000"/>
        <rFont val="楷体"/>
        <charset val="134"/>
      </rPr>
      <t>温氏投资</t>
    </r>
    <r>
      <rPr>
        <sz val="9"/>
        <color rgb="FF000000"/>
        <rFont val="Arial"/>
        <charset val="134"/>
      </rPr>
      <t>,</t>
    </r>
    <r>
      <rPr>
        <sz val="9"/>
        <color rgb="FF000000"/>
        <rFont val="楷体"/>
        <charset val="134"/>
      </rPr>
      <t>金沙江联合资本</t>
    </r>
    <r>
      <rPr>
        <sz val="9"/>
        <color rgb="FF000000"/>
        <rFont val="Arial"/>
        <charset val="134"/>
      </rPr>
      <t>,</t>
    </r>
    <r>
      <rPr>
        <sz val="9"/>
        <color rgb="FF000000"/>
        <rFont val="楷体"/>
        <charset val="134"/>
      </rPr>
      <t>广州基金</t>
    </r>
    <r>
      <rPr>
        <sz val="9"/>
        <color rgb="FF000000"/>
        <rFont val="Arial"/>
        <charset val="134"/>
      </rPr>
      <t>,</t>
    </r>
    <r>
      <rPr>
        <sz val="9"/>
        <color rgb="FF000000"/>
        <rFont val="楷体"/>
        <charset val="134"/>
      </rPr>
      <t>粤财信托</t>
    </r>
  </si>
  <si>
    <r>
      <rPr>
        <sz val="9"/>
        <color rgb="FF000000"/>
        <rFont val="楷体"/>
        <charset val="134"/>
      </rPr>
      <t>新犁资本</t>
    </r>
    <r>
      <rPr>
        <sz val="9"/>
        <color rgb="FF000000"/>
        <rFont val="Arial"/>
        <charset val="134"/>
      </rPr>
      <t>,</t>
    </r>
    <r>
      <rPr>
        <sz val="9"/>
        <color rgb="FF000000"/>
        <rFont val="楷体"/>
        <charset val="134"/>
      </rPr>
      <t>宁波满树果子</t>
    </r>
  </si>
  <si>
    <t>2021-02-03</t>
  </si>
  <si>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</si>
  <si>
    <t>2018-12-29</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</si>
  <si>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险峰旗云</t>
    </r>
  </si>
  <si>
    <t>2017-12-09</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</si>
  <si>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</si>
  <si>
    <t>2021-08-03</t>
  </si>
  <si>
    <t>易仓科技</t>
  </si>
  <si>
    <r>
      <rPr>
        <sz val="9"/>
        <color rgb="FF000000"/>
        <rFont val="楷体"/>
        <charset val="134"/>
      </rPr>
      <t>易仓科技一直致力于研发高效可控的跨境管理模式。精研跨境电商</t>
    </r>
    <r>
      <rPr>
        <sz val="9"/>
        <color rgb="FF000000"/>
        <rFont val="Arial"/>
        <charset val="134"/>
      </rPr>
      <t>ERP</t>
    </r>
    <r>
      <rPr>
        <sz val="9"/>
        <color rgb="FF000000"/>
        <rFont val="楷体"/>
        <charset val="134"/>
      </rPr>
      <t>、国际物流</t>
    </r>
    <r>
      <rPr>
        <sz val="9"/>
        <color rgb="FF000000"/>
        <rFont val="Arial"/>
        <charset val="134"/>
      </rPr>
      <t>TMS</t>
    </r>
    <r>
      <rPr>
        <sz val="9"/>
        <color rgb="FF000000"/>
        <rFont val="楷体"/>
        <charset val="134"/>
      </rPr>
      <t>、海外仓</t>
    </r>
    <r>
      <rPr>
        <sz val="9"/>
        <color rgb="FF000000"/>
        <rFont val="Arial"/>
        <charset val="134"/>
      </rPr>
      <t>WMS</t>
    </r>
    <r>
      <rPr>
        <sz val="9"/>
        <color rgb="FF000000"/>
        <rFont val="楷体"/>
        <charset val="134"/>
      </rPr>
      <t>和跨境分销</t>
    </r>
    <r>
      <rPr>
        <sz val="9"/>
        <color rgb="FF000000"/>
        <rFont val="Arial"/>
        <charset val="134"/>
      </rPr>
      <t>M2B</t>
    </r>
    <r>
      <rPr>
        <sz val="9"/>
        <color rgb="FF000000"/>
        <rFont val="楷体"/>
        <charset val="134"/>
      </rPr>
      <t>等管理系统。汇集目前国内强大的</t>
    </r>
    <r>
      <rPr>
        <sz val="9"/>
        <color rgb="FF000000"/>
        <rFont val="Arial"/>
        <charset val="134"/>
      </rPr>
      <t>IT</t>
    </r>
    <r>
      <rPr>
        <sz val="9"/>
        <color rgb="FF000000"/>
        <rFont val="楷体"/>
        <charset val="134"/>
      </rPr>
      <t>团队，创始人和开发巨匠均在跨境</t>
    </r>
    <r>
      <rPr>
        <sz val="9"/>
        <color rgb="FF000000"/>
        <rFont val="Arial"/>
        <charset val="134"/>
      </rPr>
      <t>B2C</t>
    </r>
    <r>
      <rPr>
        <sz val="9"/>
        <color rgb="FF000000"/>
        <rFont val="楷体"/>
        <charset val="134"/>
      </rPr>
      <t>、海外仓、国际物流等领域有</t>
    </r>
    <r>
      <rPr>
        <sz val="9"/>
        <color rgb="FF000000"/>
        <rFont val="Arial"/>
        <charset val="134"/>
      </rPr>
      <t>5-12</t>
    </r>
    <r>
      <rPr>
        <sz val="9"/>
        <color rgb="FF000000"/>
        <rFont val="楷体"/>
        <charset val="134"/>
      </rPr>
      <t>年研发经验，易仓目前已和国内外众多跨境卖家、海外仓服务商和国际物流等跨境巨头合作。跨境业务不断发展，易仓管理软件每月也更新大量功能，以确保客户使用软件在跨境行业占有优势地位。</t>
    </r>
  </si>
  <si>
    <t>深圳市易仓科技有限公司</t>
  </si>
  <si>
    <t>http://www.eccang.com</t>
  </si>
  <si>
    <r>
      <rPr>
        <sz val="9"/>
        <color rgb="FF000000"/>
        <rFont val="楷体"/>
        <charset val="134"/>
      </rPr>
      <t>创世伙伴资本</t>
    </r>
    <r>
      <rPr>
        <sz val="9"/>
        <color rgb="FF000000"/>
        <rFont val="Arial"/>
        <charset val="134"/>
      </rPr>
      <t>,</t>
    </r>
    <r>
      <rPr>
        <sz val="9"/>
        <color rgb="FF000000"/>
        <rFont val="楷体"/>
        <charset val="134"/>
      </rPr>
      <t>中金资本</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,Paradox</t>
    </r>
  </si>
  <si>
    <r>
      <rPr>
        <sz val="9"/>
        <color rgb="FF000000"/>
        <rFont val="Arial"/>
        <charset val="134"/>
      </rPr>
      <t>8.125</t>
    </r>
    <r>
      <rPr>
        <sz val="9"/>
        <color rgb="FF000000"/>
        <rFont val="楷体"/>
        <charset val="134"/>
      </rPr>
      <t>亿元</t>
    </r>
  </si>
  <si>
    <r>
      <rPr>
        <sz val="9"/>
        <color rgb="FF000000"/>
        <rFont val="楷体"/>
        <charset val="134"/>
      </rPr>
      <t>陈磊</t>
    </r>
    <r>
      <rPr>
        <sz val="9"/>
        <color rgb="FF000000"/>
        <rFont val="Arial"/>
        <charset val="134"/>
      </rPr>
      <t>:</t>
    </r>
    <r>
      <rPr>
        <sz val="9"/>
        <color rgb="FF000000"/>
        <rFont val="楷体"/>
        <charset val="134"/>
      </rPr>
      <t>创始人</t>
    </r>
  </si>
  <si>
    <r>
      <rPr>
        <sz val="9"/>
        <color rgb="FF000000"/>
        <rFont val="楷体"/>
        <charset val="134"/>
      </rPr>
      <t>深圳市南山区西丽街道新围工业区</t>
    </r>
    <r>
      <rPr>
        <sz val="9"/>
        <color rgb="FF000000"/>
        <rFont val="Arial"/>
        <charset val="134"/>
      </rPr>
      <t>9</t>
    </r>
    <r>
      <rPr>
        <sz val="9"/>
        <color rgb="FF000000"/>
        <rFont val="楷体"/>
        <charset val="134"/>
      </rPr>
      <t>栋</t>
    </r>
    <r>
      <rPr>
        <sz val="9"/>
        <color rgb="FF000000"/>
        <rFont val="Arial"/>
        <charset val="134"/>
      </rPr>
      <t>1</t>
    </r>
    <r>
      <rPr>
        <sz val="9"/>
        <color rgb="FF000000"/>
        <rFont val="楷体"/>
        <charset val="134"/>
      </rPr>
      <t>楼</t>
    </r>
  </si>
  <si>
    <t>0755-8652-8003</t>
  </si>
  <si>
    <t>qianqian@eccang.com</t>
  </si>
  <si>
    <t>2021-02-08</t>
  </si>
  <si>
    <r>
      <rPr>
        <sz val="9"/>
        <color rgb="FF000000"/>
        <rFont val="楷体"/>
        <charset val="134"/>
      </rPr>
      <t>五岳资本</t>
    </r>
    <r>
      <rPr>
        <sz val="9"/>
        <color rgb="FF000000"/>
        <rFont val="Arial"/>
        <charset val="134"/>
      </rPr>
      <t>,</t>
    </r>
    <r>
      <rPr>
        <sz val="9"/>
        <color rgb="FF000000"/>
        <rFont val="楷体"/>
        <charset val="134"/>
      </rPr>
      <t>创世伙伴资本</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,Paradox LP</t>
    </r>
  </si>
  <si>
    <r>
      <rPr>
        <sz val="9"/>
        <color rgb="FF000000"/>
        <rFont val="楷体"/>
        <charset val="134"/>
      </rPr>
      <t>真格基金</t>
    </r>
    <r>
      <rPr>
        <sz val="9"/>
        <color rgb="FF000000"/>
        <rFont val="Arial"/>
        <charset val="134"/>
      </rPr>
      <t>,</t>
    </r>
    <r>
      <rPr>
        <sz val="9"/>
        <color rgb="FF000000"/>
        <rFont val="楷体"/>
        <charset val="134"/>
      </rPr>
      <t>五岳资本</t>
    </r>
  </si>
  <si>
    <t>2021-09-17</t>
  </si>
  <si>
    <t>XTransfer</t>
  </si>
  <si>
    <r>
      <rPr>
        <sz val="9"/>
        <color rgb="FF000000"/>
        <rFont val="Arial"/>
        <charset val="134"/>
      </rPr>
      <t>XTransfer</t>
    </r>
    <r>
      <rPr>
        <sz val="9"/>
        <color rgb="FF000000"/>
        <rFont val="楷体"/>
        <charset val="134"/>
      </rPr>
      <t>是一站式外贸企业跨境金融和风控服务公司，致力于帮助中小微企业大幅降低全球展业的门槛和成本，提升全球竞争力。目前，</t>
    </r>
    <r>
      <rPr>
        <sz val="9"/>
        <color rgb="FF000000"/>
        <rFont val="Arial"/>
        <charset val="134"/>
      </rPr>
      <t>XTransfer</t>
    </r>
    <r>
      <rPr>
        <sz val="9"/>
        <color rgb="FF000000"/>
        <rFont val="楷体"/>
        <charset val="134"/>
      </rPr>
      <t>已在中国香港地区、英国、美国、加拿大、澳大利亚获得当地支付牌照。通过与知名跨国银行及金融机构合作，</t>
    </r>
    <r>
      <rPr>
        <sz val="9"/>
        <color rgb="FF000000"/>
        <rFont val="Arial"/>
        <charset val="134"/>
      </rPr>
      <t>XTransfer</t>
    </r>
    <r>
      <rPr>
        <sz val="9"/>
        <color rgb="FF000000"/>
        <rFont val="楷体"/>
        <charset val="134"/>
      </rPr>
      <t>建设跨国大集团级全球多币种统一结算平台，并打造了以中小微企业为中心的，数据化、自动化、互联网化和智能化的反洗钱风控基础设施。截至</t>
    </r>
    <r>
      <rPr>
        <sz val="9"/>
        <color rgb="FF000000"/>
        <rFont val="Arial"/>
        <charset val="134"/>
      </rPr>
      <t>2023</t>
    </r>
    <r>
      <rPr>
        <sz val="9"/>
        <color rgb="FF000000"/>
        <rFont val="楷体"/>
        <charset val="134"/>
      </rPr>
      <t>年初，公司人员规模已达</t>
    </r>
    <r>
      <rPr>
        <sz val="9"/>
        <color rgb="FF000000"/>
        <rFont val="Arial"/>
        <charset val="134"/>
      </rPr>
      <t>1000</t>
    </r>
    <r>
      <rPr>
        <sz val="9"/>
        <color rgb="FF000000"/>
        <rFont val="楷体"/>
        <charset val="134"/>
      </rPr>
      <t>人以上。</t>
    </r>
  </si>
  <si>
    <t>上海夺汇网络技术有限公司</t>
  </si>
  <si>
    <t>http://www.xtransfer.cn</t>
  </si>
  <si>
    <t>D1 Capital Partners</t>
  </si>
  <si>
    <r>
      <rPr>
        <sz val="9"/>
        <color rgb="FF000000"/>
        <rFont val="Arial"/>
        <charset val="134"/>
      </rPr>
      <t>14.95</t>
    </r>
    <r>
      <rPr>
        <sz val="9"/>
        <color rgb="FF000000"/>
        <rFont val="楷体"/>
        <charset val="134"/>
      </rPr>
      <t>亿</t>
    </r>
  </si>
  <si>
    <r>
      <rPr>
        <sz val="9"/>
        <color rgb="FF000000"/>
        <rFont val="楷体"/>
        <charset val="134"/>
      </rPr>
      <t>邓国标</t>
    </r>
    <r>
      <rPr>
        <sz val="9"/>
        <color rgb="FF000000"/>
        <rFont val="Arial"/>
        <charset val="134"/>
      </rPr>
      <t>:CEO,</t>
    </r>
    <r>
      <rPr>
        <sz val="9"/>
        <color rgb="FF000000"/>
        <rFont val="楷体"/>
        <charset val="134"/>
      </rPr>
      <t>邓先亮</t>
    </r>
    <r>
      <rPr>
        <sz val="9"/>
        <color rgb="FF000000"/>
        <rFont val="Arial"/>
        <charset val="134"/>
      </rPr>
      <t>:CMO,</t>
    </r>
    <r>
      <rPr>
        <sz val="9"/>
        <color rgb="FF000000"/>
        <rFont val="楷体"/>
        <charset val="134"/>
      </rPr>
      <t>郑凯</t>
    </r>
    <r>
      <rPr>
        <sz val="9"/>
        <color rgb="FF000000"/>
        <rFont val="Arial"/>
        <charset val="134"/>
      </rPr>
      <t>:CSO,</t>
    </r>
    <r>
      <rPr>
        <sz val="9"/>
        <color rgb="FF000000"/>
        <rFont val="楷体"/>
        <charset val="134"/>
      </rPr>
      <t>刘艳芳</t>
    </r>
    <r>
      <rPr>
        <sz val="9"/>
        <color rgb="FF000000"/>
        <rFont val="Arial"/>
        <charset val="134"/>
      </rPr>
      <t>:CTO,</t>
    </r>
    <r>
      <rPr>
        <sz val="9"/>
        <color rgb="FF000000"/>
        <rFont val="楷体"/>
        <charset val="134"/>
      </rPr>
      <t>姚伟春</t>
    </r>
    <r>
      <rPr>
        <sz val="9"/>
        <color rgb="FF000000"/>
        <rFont val="Arial"/>
        <charset val="134"/>
      </rPr>
      <t>:CRO</t>
    </r>
  </si>
  <si>
    <r>
      <rPr>
        <sz val="9"/>
        <color rgb="FF000000"/>
        <rFont val="楷体"/>
        <charset val="134"/>
      </rPr>
      <t>上海市大连路</t>
    </r>
    <r>
      <rPr>
        <sz val="9"/>
        <color rgb="FF000000"/>
        <rFont val="Arial"/>
        <charset val="134"/>
      </rPr>
      <t>990</t>
    </r>
    <r>
      <rPr>
        <sz val="9"/>
        <color rgb="FF000000"/>
        <rFont val="楷体"/>
        <charset val="134"/>
      </rPr>
      <t>号海上海新城商务楼</t>
    </r>
    <r>
      <rPr>
        <sz val="9"/>
        <color rgb="FF000000"/>
        <rFont val="Arial"/>
        <charset val="134"/>
      </rPr>
      <t>10</t>
    </r>
    <r>
      <rPr>
        <sz val="9"/>
        <color rgb="FF000000"/>
        <rFont val="楷体"/>
        <charset val="134"/>
      </rPr>
      <t>栋</t>
    </r>
  </si>
  <si>
    <t>400-998-9930</t>
  </si>
  <si>
    <t>service@xtransfer.cn</t>
  </si>
  <si>
    <t>2021-01-27</t>
  </si>
  <si>
    <r>
      <rPr>
        <sz val="9"/>
        <color rgb="FF000000"/>
        <rFont val="Arial"/>
        <charset val="134"/>
      </rPr>
      <t>Lavender Hill Capital Partners</t>
    </r>
    <r>
      <rPr>
        <sz val="9"/>
        <color rgb="FF000000"/>
        <rFont val="楷体"/>
        <charset val="134"/>
      </rPr>
      <t>（</t>
    </r>
    <r>
      <rPr>
        <sz val="9"/>
        <color rgb="FF000000"/>
        <rFont val="Arial"/>
        <charset val="134"/>
      </rPr>
      <t>LHCP</t>
    </r>
    <r>
      <rPr>
        <sz val="9"/>
        <color rgb="FF000000"/>
        <rFont val="楷体"/>
        <charset val="134"/>
      </rPr>
      <t>）</t>
    </r>
  </si>
  <si>
    <r>
      <rPr>
        <sz val="9"/>
        <color rgb="FF000000"/>
        <rFont val="Arial"/>
        <charset val="134"/>
      </rPr>
      <t xml:space="preserve"> </t>
    </r>
    <r>
      <rPr>
        <sz val="9"/>
        <color rgb="FF000000"/>
        <rFont val="楷体"/>
        <charset val="134"/>
      </rPr>
      <t>澳电创投</t>
    </r>
  </si>
  <si>
    <r>
      <rPr>
        <sz val="9"/>
        <color rgb="FF000000"/>
        <rFont val="楷体"/>
        <charset val="134"/>
      </rPr>
      <t>高榕资本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零一创投</t>
    </r>
    <r>
      <rPr>
        <sz val="9"/>
        <color rgb="FF000000"/>
        <rFont val="Arial"/>
        <charset val="134"/>
      </rPr>
      <t>,</t>
    </r>
    <r>
      <rPr>
        <sz val="9"/>
        <color rgb="FF000000"/>
        <rFont val="楷体"/>
        <charset val="134"/>
      </rPr>
      <t>招商局创投</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</si>
  <si>
    <r>
      <rPr>
        <sz val="9"/>
        <color rgb="FF000000"/>
        <rFont val="楷体"/>
        <charset val="134"/>
      </rPr>
      <t>高榕资本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零一创投</t>
    </r>
    <r>
      <rPr>
        <sz val="9"/>
        <color rgb="FF000000"/>
        <rFont val="Arial"/>
        <charset val="134"/>
      </rPr>
      <t>,</t>
    </r>
    <r>
      <rPr>
        <sz val="9"/>
        <color rgb="FF000000"/>
        <rFont val="楷体"/>
        <charset val="134"/>
      </rPr>
      <t>招商局创投</t>
    </r>
  </si>
  <si>
    <r>
      <rPr>
        <sz val="9"/>
        <color rgb="FF000000"/>
        <rFont val="楷体"/>
        <charset val="134"/>
      </rPr>
      <t>高榕资本</t>
    </r>
    <r>
      <rPr>
        <sz val="9"/>
        <color rgb="FF000000"/>
        <rFont val="Arial"/>
        <charset val="134"/>
      </rPr>
      <t>,</t>
    </r>
    <r>
      <rPr>
        <sz val="9"/>
        <color rgb="FF000000"/>
        <rFont val="楷体"/>
        <charset val="134"/>
      </rPr>
      <t>云启资本</t>
    </r>
  </si>
  <si>
    <t>闪电达flash express</t>
  </si>
  <si>
    <r>
      <rPr>
        <sz val="9"/>
        <color rgb="FF000000"/>
        <rFont val="楷体"/>
        <charset val="134"/>
      </rPr>
      <t>闪电达</t>
    </r>
    <r>
      <rPr>
        <sz val="9"/>
        <color rgb="FF000000"/>
        <rFont val="Arial"/>
        <charset val="134"/>
      </rPr>
      <t>flash express</t>
    </r>
  </si>
  <si>
    <r>
      <rPr>
        <sz val="9"/>
        <color rgb="FF000000"/>
        <rFont val="楷体"/>
        <charset val="134"/>
      </rPr>
      <t>闪电达公司于</t>
    </r>
    <r>
      <rPr>
        <sz val="9"/>
        <color rgb="FF000000"/>
        <rFont val="Arial"/>
        <charset val="134"/>
      </rPr>
      <t>2017</t>
    </r>
    <r>
      <rPr>
        <sz val="9"/>
        <color rgb="FF000000"/>
        <rFont val="楷体"/>
        <charset val="134"/>
      </rPr>
      <t>年</t>
    </r>
    <r>
      <rPr>
        <sz val="9"/>
        <color rgb="FF000000"/>
        <rFont val="Arial"/>
        <charset val="134"/>
      </rPr>
      <t>5</t>
    </r>
    <r>
      <rPr>
        <sz val="9"/>
        <color rgb="FF000000"/>
        <rFont val="楷体"/>
        <charset val="134"/>
      </rPr>
      <t>月成立，目前在泰国、老挝、菲律宾和马来西亚均提供</t>
    </r>
    <r>
      <rPr>
        <sz val="9"/>
        <color rgb="FF000000"/>
        <rFont val="Arial"/>
        <charset val="134"/>
      </rPr>
      <t>“</t>
    </r>
    <r>
      <rPr>
        <sz val="9"/>
        <color rgb="FF000000"/>
        <rFont val="楷体"/>
        <charset val="134"/>
      </rPr>
      <t>隔日达</t>
    </r>
    <r>
      <rPr>
        <sz val="9"/>
        <color rgb="FF000000"/>
        <rFont val="Arial"/>
        <charset val="134"/>
      </rPr>
      <t>”</t>
    </r>
    <r>
      <rPr>
        <sz val="9"/>
        <color rgb="FF000000"/>
        <rFont val="楷体"/>
        <charset val="134"/>
      </rPr>
      <t>快递服务，客群主要为</t>
    </r>
    <r>
      <rPr>
        <sz val="9"/>
        <color rgb="FF000000"/>
        <rFont val="Arial"/>
        <charset val="134"/>
      </rPr>
      <t xml:space="preserve"> B2C </t>
    </r>
    <r>
      <rPr>
        <sz val="9"/>
        <color rgb="FF000000"/>
        <rFont val="楷体"/>
        <charset val="134"/>
      </rPr>
      <t>电商商户与</t>
    </r>
    <r>
      <rPr>
        <sz val="9"/>
        <color rgb="FF000000"/>
        <rFont val="Arial"/>
        <charset val="134"/>
      </rPr>
      <t xml:space="preserve"> C2C </t>
    </r>
    <r>
      <rPr>
        <sz val="9"/>
        <color rgb="FF000000"/>
        <rFont val="楷体"/>
        <charset val="134"/>
      </rPr>
      <t>大众消费者，公司规模已达</t>
    </r>
    <r>
      <rPr>
        <sz val="9"/>
        <color rgb="FF000000"/>
        <rFont val="Arial"/>
        <charset val="134"/>
      </rPr>
      <t>500</t>
    </r>
    <r>
      <rPr>
        <sz val="9"/>
        <color rgb="FF000000"/>
        <rFont val="楷体"/>
        <charset val="134"/>
      </rPr>
      <t>人，总部位于泰国曼谷，研发中心分设在北京。</t>
    </r>
  </si>
  <si>
    <t>http://www.flashexpress.com/?l=zh-CN</t>
  </si>
  <si>
    <r>
      <rPr>
        <sz val="9"/>
        <color rgb="FF000000"/>
        <rFont val="Arial"/>
        <charset val="134"/>
      </rPr>
      <t>4.47</t>
    </r>
    <r>
      <rPr>
        <sz val="9"/>
        <color rgb="FF000000"/>
        <rFont val="楷体"/>
        <charset val="134"/>
      </rPr>
      <t>亿美元</t>
    </r>
  </si>
  <si>
    <r>
      <rPr>
        <sz val="9"/>
        <color rgb="FF000000"/>
        <rFont val="Arial"/>
        <charset val="134"/>
      </rPr>
      <t>58.96</t>
    </r>
    <r>
      <rPr>
        <sz val="9"/>
        <color rgb="FF000000"/>
        <rFont val="楷体"/>
        <charset val="134"/>
      </rPr>
      <t>亿</t>
    </r>
  </si>
  <si>
    <t>Di Weijie:COO,Komsan Saelee:CEO,Richard Tang:CFO</t>
  </si>
  <si>
    <t>184/233 Forum Tower, 34th Floor, Ratchdapisak Road, huaykwang,Bangkok 10310</t>
  </si>
  <si>
    <t>(02)168-2111</t>
  </si>
  <si>
    <t>thai@flashexpress.com</t>
  </si>
  <si>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,Founder’s Fund,</t>
    </r>
    <r>
      <rPr>
        <sz val="9"/>
        <color rgb="FF000000"/>
        <rFont val="楷体"/>
        <charset val="134"/>
      </rPr>
      <t>泰国石油</t>
    </r>
    <r>
      <rPr>
        <sz val="9"/>
        <color rgb="FF000000"/>
        <rFont val="Arial"/>
        <charset val="134"/>
      </rPr>
      <t>,</t>
    </r>
    <r>
      <rPr>
        <sz val="9"/>
        <color rgb="FF000000"/>
        <rFont val="楷体"/>
        <charset val="134"/>
      </rPr>
      <t>泰国红牛集团</t>
    </r>
    <r>
      <rPr>
        <sz val="9"/>
        <color rgb="FF000000"/>
        <rFont val="Arial"/>
        <charset val="134"/>
      </rPr>
      <t>,</t>
    </r>
    <r>
      <rPr>
        <sz val="9"/>
        <color rgb="FF000000"/>
        <rFont val="楷体"/>
        <charset val="134"/>
      </rPr>
      <t>泰国大城银行</t>
    </r>
  </si>
  <si>
    <t>2020-12-03</t>
  </si>
  <si>
    <t>SCB 10X,Chan Wanich</t>
  </si>
  <si>
    <t>2020-10-12</t>
  </si>
  <si>
    <r>
      <rPr>
        <sz val="9"/>
        <color rgb="FF000000"/>
        <rFont val="楷体"/>
        <charset val="134"/>
      </rPr>
      <t>云天使基金</t>
    </r>
    <r>
      <rPr>
        <sz val="9"/>
        <color rgb="FF000000"/>
        <rFont val="Arial"/>
        <charset val="134"/>
      </rPr>
      <t>,</t>
    </r>
    <r>
      <rPr>
        <sz val="9"/>
        <color rgb="FF000000"/>
        <rFont val="楷体"/>
        <charset val="134"/>
      </rPr>
      <t>高榕资本</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泰国石油</t>
    </r>
    <r>
      <rPr>
        <sz val="9"/>
        <color rgb="FF000000"/>
        <rFont val="Arial"/>
        <charset val="134"/>
      </rPr>
      <t>,</t>
    </r>
    <r>
      <rPr>
        <sz val="9"/>
        <color rgb="FF000000"/>
        <rFont val="楷体"/>
        <charset val="134"/>
      </rPr>
      <t>泰国红牛集团</t>
    </r>
    <r>
      <rPr>
        <sz val="9"/>
        <color rgb="FF000000"/>
        <rFont val="Arial"/>
        <charset val="134"/>
      </rPr>
      <t>,</t>
    </r>
    <r>
      <rPr>
        <sz val="9"/>
        <color rgb="FF000000"/>
        <rFont val="楷体"/>
        <charset val="134"/>
      </rPr>
      <t>大城银行</t>
    </r>
  </si>
  <si>
    <t>2022-09-26</t>
  </si>
  <si>
    <t>Sonendo</t>
  </si>
  <si>
    <r>
      <rPr>
        <sz val="9"/>
        <color rgb="FF000000"/>
        <rFont val="Arial"/>
        <charset val="134"/>
      </rPr>
      <t>Sonendo</t>
    </r>
    <r>
      <rPr>
        <sz val="9"/>
        <color rgb="FF000000"/>
        <rFont val="楷体"/>
        <charset val="134"/>
      </rPr>
      <t>成立于</t>
    </r>
    <r>
      <rPr>
        <sz val="9"/>
        <color rgb="FF000000"/>
        <rFont val="Arial"/>
        <charset val="134"/>
      </rPr>
      <t>2006</t>
    </r>
    <r>
      <rPr>
        <sz val="9"/>
        <color rgb="FF000000"/>
        <rFont val="楷体"/>
        <charset val="134"/>
      </rPr>
      <t>年，始于生命科学加速器</t>
    </r>
    <r>
      <rPr>
        <sz val="9"/>
        <color rgb="FF000000"/>
        <rFont val="Arial"/>
        <charset val="134"/>
      </rPr>
      <t>Fjord Ventures</t>
    </r>
    <r>
      <rPr>
        <sz val="9"/>
        <color rgb="FF000000"/>
        <rFont val="楷体"/>
        <charset val="134"/>
      </rPr>
      <t>的孵化项目。公司致力于运用创新技术改进现有的根管治疗，其研发的</t>
    </r>
    <r>
      <rPr>
        <sz val="9"/>
        <color rgb="FF000000"/>
        <rFont val="Arial"/>
        <charset val="134"/>
      </rPr>
      <t>GentleWave</t>
    </r>
    <r>
      <rPr>
        <sz val="9"/>
        <color rgb="FF000000"/>
        <rFont val="楷体"/>
        <charset val="134"/>
      </rPr>
      <t>系统通过向根管上的损坏点喷液体和施加超声，去除组织和菌斑，以增加根管治疗的成功率并减少病患的疼痛时间。</t>
    </r>
  </si>
  <si>
    <t>http://www.sonendo.com/</t>
  </si>
  <si>
    <r>
      <rPr>
        <sz val="9"/>
        <color rgb="FF000000"/>
        <rFont val="Arial"/>
        <charset val="134"/>
      </rPr>
      <t>6300</t>
    </r>
    <r>
      <rPr>
        <sz val="9"/>
        <color rgb="FF000000"/>
        <rFont val="楷体"/>
        <charset val="134"/>
      </rPr>
      <t>万美元</t>
    </r>
  </si>
  <si>
    <t>ArrowMark Partners,Pura Vida Investments,First Light Asset Management,Blue Water Life Science Advisors,Driehaus Capital Management,JMR Capital</t>
  </si>
  <si>
    <r>
      <rPr>
        <sz val="9"/>
        <color rgb="FF000000"/>
        <rFont val="Arial"/>
        <charset val="134"/>
      </rPr>
      <t>27.44</t>
    </r>
    <r>
      <rPr>
        <sz val="9"/>
        <color rgb="FF000000"/>
        <rFont val="楷体"/>
        <charset val="134"/>
      </rPr>
      <t>亿</t>
    </r>
  </si>
  <si>
    <r>
      <rPr>
        <sz val="9"/>
        <color rgb="FF000000"/>
        <rFont val="Arial"/>
        <charset val="134"/>
      </rPr>
      <t>20.475</t>
    </r>
    <r>
      <rPr>
        <sz val="9"/>
        <color rgb="FF000000"/>
        <rFont val="楷体"/>
        <charset val="134"/>
      </rPr>
      <t>亿元</t>
    </r>
  </si>
  <si>
    <t>Alma Salazar:Associate Vice President,Bjarne Bergheim:President &amp; CEO,Chris Rabbitt:Chief Commercial Officer,Michael Watts:Chief Financial Officer,Olav Bergheim:Founder, President &amp; CEO,Roy Chen:Chief Talent Officer,Carolyn Beaver:Director, Audit Committee Chair</t>
  </si>
  <si>
    <t>2021-10-25</t>
  </si>
  <si>
    <t>2020-01-06</t>
  </si>
  <si>
    <r>
      <rPr>
        <sz val="9"/>
        <color rgb="FF000000"/>
        <rFont val="Arial"/>
        <charset val="134"/>
      </rPr>
      <t>General Atlantic</t>
    </r>
    <r>
      <rPr>
        <sz val="9"/>
        <color rgb="FF000000"/>
        <rFont val="楷体"/>
        <charset val="134"/>
      </rPr>
      <t>泛大西洋投资</t>
    </r>
    <r>
      <rPr>
        <sz val="9"/>
        <color rgb="FF000000"/>
        <rFont val="Arial"/>
        <charset val="134"/>
      </rPr>
      <t>,SEB Private Equity,Meritech Capital Partners,Redmile Group,</t>
    </r>
    <r>
      <rPr>
        <sz val="9"/>
        <color rgb="FF000000"/>
        <rFont val="楷体"/>
        <charset val="134"/>
      </rPr>
      <t>奥博资本</t>
    </r>
    <r>
      <rPr>
        <sz val="9"/>
        <color rgb="FF000000"/>
        <rFont val="Arial"/>
        <charset val="134"/>
      </rPr>
      <t>OrbiMed,Perceptive Advisors,ArrowMark Partners,Neomed Management,eWTP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,Broadfin Capital,Central Valley Fund,JMR Capital,Security Pacific National Bank</t>
    </r>
  </si>
  <si>
    <t>2019-07-08</t>
  </si>
  <si>
    <r>
      <rPr>
        <sz val="9"/>
        <color rgb="FF000000"/>
        <rFont val="Arial"/>
        <charset val="134"/>
      </rPr>
      <t>General Atlantic</t>
    </r>
    <r>
      <rPr>
        <sz val="9"/>
        <color rgb="FF000000"/>
        <rFont val="楷体"/>
        <charset val="134"/>
      </rPr>
      <t>泛大西洋投资</t>
    </r>
    <r>
      <rPr>
        <sz val="9"/>
        <color rgb="FF000000"/>
        <rFont val="Arial"/>
        <charset val="134"/>
      </rPr>
      <t>,Meritech Capital Partners,</t>
    </r>
    <r>
      <rPr>
        <sz val="9"/>
        <color rgb="FF000000"/>
        <rFont val="楷体"/>
        <charset val="134"/>
      </rPr>
      <t>奥博资本</t>
    </r>
    <r>
      <rPr>
        <sz val="9"/>
        <color rgb="FF000000"/>
        <rFont val="Arial"/>
        <charset val="134"/>
      </rPr>
      <t>OrbiMed</t>
    </r>
  </si>
  <si>
    <r>
      <rPr>
        <sz val="9"/>
        <color rgb="FF000000"/>
        <rFont val="Arial"/>
        <charset val="134"/>
      </rPr>
      <t>Meritech Capital Partners,</t>
    </r>
    <r>
      <rPr>
        <sz val="9"/>
        <color rgb="FF000000"/>
        <rFont val="楷体"/>
        <charset val="134"/>
      </rPr>
      <t>奥博资本</t>
    </r>
    <r>
      <rPr>
        <sz val="9"/>
        <color rgb="FF000000"/>
        <rFont val="Arial"/>
        <charset val="134"/>
      </rPr>
      <t>OrbiMed,CVF</t>
    </r>
  </si>
  <si>
    <r>
      <rPr>
        <sz val="9"/>
        <color rgb="FF000000"/>
        <rFont val="Arial"/>
        <charset val="134"/>
      </rPr>
      <t>Meritech Capital Partners,</t>
    </r>
    <r>
      <rPr>
        <sz val="9"/>
        <color rgb="FF000000"/>
        <rFont val="楷体"/>
        <charset val="134"/>
      </rPr>
      <t>奥博资本</t>
    </r>
    <r>
      <rPr>
        <sz val="9"/>
        <color rgb="FF000000"/>
        <rFont val="Arial"/>
        <charset val="134"/>
      </rPr>
      <t>OrbiMed,</t>
    </r>
    <r>
      <rPr>
        <sz val="9"/>
        <color rgb="FF000000"/>
        <rFont val="楷体"/>
        <charset val="134"/>
      </rPr>
      <t>德诺资本</t>
    </r>
    <r>
      <rPr>
        <sz val="9"/>
        <color rgb="FF000000"/>
        <rFont val="Arial"/>
        <charset val="134"/>
      </rPr>
      <t>DNV Capital,Neomed Management</t>
    </r>
  </si>
  <si>
    <t>2013-01-04</t>
  </si>
  <si>
    <r>
      <rPr>
        <sz val="9"/>
        <color rgb="FF000000"/>
        <rFont val="楷体"/>
        <charset val="134"/>
      </rPr>
      <t>奥博资本</t>
    </r>
    <r>
      <rPr>
        <sz val="9"/>
        <color rgb="FF000000"/>
        <rFont val="Arial"/>
        <charset val="134"/>
      </rPr>
      <t>OrbiMed,Neomed Management,Themes Investment Partners,Fjord Ventures</t>
    </r>
  </si>
  <si>
    <t>2012-01-28</t>
  </si>
  <si>
    <r>
      <rPr>
        <sz val="9"/>
        <color rgb="FF000000"/>
        <rFont val="Arial"/>
        <charset val="134"/>
      </rPr>
      <t>920</t>
    </r>
    <r>
      <rPr>
        <sz val="9"/>
        <color rgb="FF000000"/>
        <rFont val="楷体"/>
        <charset val="134"/>
      </rPr>
      <t>万美元</t>
    </r>
  </si>
  <si>
    <r>
      <rPr>
        <sz val="9"/>
        <color rgb="FF000000"/>
        <rFont val="楷体"/>
        <charset val="134"/>
      </rPr>
      <t>奥博资本</t>
    </r>
    <r>
      <rPr>
        <sz val="9"/>
        <color rgb="FF000000"/>
        <rFont val="Arial"/>
        <charset val="134"/>
      </rPr>
      <t>OrbiMed,Neomed Management,Fjord Ventures</t>
    </r>
  </si>
  <si>
    <t>2011-08-10</t>
  </si>
  <si>
    <r>
      <rPr>
        <sz val="9"/>
        <color rgb="FF000000"/>
        <rFont val="Arial"/>
        <charset val="134"/>
      </rPr>
      <t>590</t>
    </r>
    <r>
      <rPr>
        <sz val="9"/>
        <color rgb="FF000000"/>
        <rFont val="楷体"/>
        <charset val="134"/>
      </rPr>
      <t>万美元</t>
    </r>
  </si>
  <si>
    <t>2010-12-01</t>
  </si>
  <si>
    <r>
      <rPr>
        <sz val="9"/>
        <color rgb="FF000000"/>
        <rFont val="Arial"/>
        <charset val="134"/>
      </rPr>
      <t>290</t>
    </r>
    <r>
      <rPr>
        <sz val="9"/>
        <color rgb="FF000000"/>
        <rFont val="楷体"/>
        <charset val="134"/>
      </rPr>
      <t>万美元</t>
    </r>
  </si>
  <si>
    <t>2009-01-11</t>
  </si>
  <si>
    <r>
      <rPr>
        <sz val="9"/>
        <color rgb="FF000000"/>
        <rFont val="Arial"/>
        <charset val="134"/>
      </rPr>
      <t>72</t>
    </r>
    <r>
      <rPr>
        <sz val="9"/>
        <color rgb="FF000000"/>
        <rFont val="楷体"/>
        <charset val="134"/>
      </rPr>
      <t>万美元</t>
    </r>
  </si>
  <si>
    <t>2008-11-26</t>
  </si>
  <si>
    <t>Challengermode</t>
  </si>
  <si>
    <r>
      <rPr>
        <sz val="9"/>
        <color rgb="FF000000"/>
        <rFont val="Arial"/>
        <charset val="134"/>
      </rPr>
      <t>Challengermode</t>
    </r>
    <r>
      <rPr>
        <sz val="9"/>
        <color rgb="FF000000"/>
        <rFont val="楷体"/>
        <charset val="134"/>
      </rPr>
      <t>是一家瑞典在线游戏对战平台，是欧洲最大的</t>
    </r>
    <r>
      <rPr>
        <sz val="9"/>
        <color rgb="FF000000"/>
        <rFont val="Arial"/>
        <charset val="134"/>
      </rPr>
      <t>PC</t>
    </r>
    <r>
      <rPr>
        <sz val="9"/>
        <color rgb="FF000000"/>
        <rFont val="楷体"/>
        <charset val="134"/>
      </rPr>
      <t>游戏线上匹配竞赛平台之一，主要的游戏竞赛有</t>
    </r>
    <r>
      <rPr>
        <sz val="9"/>
        <color rgb="FF000000"/>
        <rFont val="Arial"/>
        <charset val="134"/>
      </rPr>
      <t>CS:GO</t>
    </r>
    <r>
      <rPr>
        <sz val="9"/>
        <color rgb="FF000000"/>
        <rFont val="楷体"/>
        <charset val="134"/>
      </rPr>
      <t>、</t>
    </r>
    <r>
      <rPr>
        <sz val="9"/>
        <color rgb="FF000000"/>
        <rFont val="Arial"/>
        <charset val="134"/>
      </rPr>
      <t>PUBG</t>
    </r>
    <r>
      <rPr>
        <sz val="9"/>
        <color rgb="FF000000"/>
        <rFont val="楷体"/>
        <charset val="134"/>
      </rPr>
      <t>、</t>
    </r>
    <r>
      <rPr>
        <sz val="9"/>
        <color rgb="FF000000"/>
        <rFont val="Arial"/>
        <charset val="134"/>
      </rPr>
      <t>LOL</t>
    </r>
    <r>
      <rPr>
        <sz val="9"/>
        <color rgb="FF000000"/>
        <rFont val="楷体"/>
        <charset val="134"/>
      </rPr>
      <t>、</t>
    </r>
    <r>
      <rPr>
        <sz val="9"/>
        <color rgb="FF000000"/>
        <rFont val="Arial"/>
        <charset val="134"/>
      </rPr>
      <t>DOTA2</t>
    </r>
    <r>
      <rPr>
        <sz val="9"/>
        <color rgb="FF000000"/>
        <rFont val="楷体"/>
        <charset val="134"/>
      </rPr>
      <t>等。</t>
    </r>
  </si>
  <si>
    <t>https://www.challengermode.com/</t>
  </si>
  <si>
    <t>游戏直播及玩家</t>
  </si>
  <si>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,Telia Ventures</t>
    </r>
  </si>
  <si>
    <r>
      <rPr>
        <sz val="9"/>
        <color rgb="FF000000"/>
        <rFont val="Arial"/>
        <charset val="134"/>
      </rPr>
      <t>1.12</t>
    </r>
    <r>
      <rPr>
        <sz val="9"/>
        <color rgb="FF000000"/>
        <rFont val="楷体"/>
        <charset val="134"/>
      </rPr>
      <t>亿</t>
    </r>
  </si>
  <si>
    <t>Christopher Teljstedt:Founding Engineer &amp; Head of Growth &amp; Marketing,Dan-Alp Lindberg:Chief Financial Officer,Philip Hübner:Head of BD &amp; Strategy,Philip Skogsberg:Co-founder &amp; Head of Product &amp; Marketing,Robel Efrem:CEO and Co-Founder</t>
  </si>
  <si>
    <t>2018-05-24</t>
  </si>
  <si>
    <t>PIKvc</t>
  </si>
  <si>
    <t>2017-02-24</t>
  </si>
  <si>
    <r>
      <rPr>
        <sz val="9"/>
        <color rgb="FF000000"/>
        <rFont val="Arial"/>
        <charset val="134"/>
      </rPr>
      <t>130</t>
    </r>
    <r>
      <rPr>
        <sz val="9"/>
        <color rgb="FF000000"/>
        <rFont val="楷体"/>
        <charset val="134"/>
      </rPr>
      <t>万美元</t>
    </r>
  </si>
  <si>
    <t>瑞典足球明星伊布</t>
  </si>
  <si>
    <t>2020-12-23</t>
  </si>
  <si>
    <t>兰雀Lacheer</t>
  </si>
  <si>
    <r>
      <rPr>
        <sz val="9"/>
        <color rgb="FF000000"/>
        <rFont val="楷体"/>
        <charset val="134"/>
      </rPr>
      <t>兰雀</t>
    </r>
    <r>
      <rPr>
        <sz val="9"/>
        <color rgb="FF000000"/>
        <rFont val="Arial"/>
        <charset val="134"/>
      </rPr>
      <t>Lacheer</t>
    </r>
  </si>
  <si>
    <r>
      <rPr>
        <sz val="9"/>
        <color rgb="FF000000"/>
        <rFont val="楷体"/>
        <charset val="134"/>
      </rPr>
      <t>兰雀</t>
    </r>
    <r>
      <rPr>
        <sz val="9"/>
        <color rgb="FF000000"/>
        <rFont val="Arial"/>
        <charset val="134"/>
      </rPr>
      <t>Lacheer</t>
    </r>
    <r>
      <rPr>
        <sz val="9"/>
        <color rgb="FF000000"/>
        <rFont val="楷体"/>
        <charset val="134"/>
      </rPr>
      <t>是一家奶制品生产销售商，主要从事乳制品产品业务，覆盖天猫国际、网易考拉、京东、唯品会等平台，为用户提供脱脂纯牛奶、风味酸奶、全脂纯牛奶等罐装牛奶服务。</t>
    </r>
  </si>
  <si>
    <t>兰雀食品科技有限公司</t>
  </si>
  <si>
    <t>http://www.lacheer.com/</t>
  </si>
  <si>
    <r>
      <rPr>
        <sz val="9"/>
        <color rgb="FF000000"/>
        <rFont val="楷体"/>
        <charset val="134"/>
      </rPr>
      <t>不二资本</t>
    </r>
    <r>
      <rPr>
        <sz val="9"/>
        <color rgb="FF000000"/>
        <rFont val="Arial"/>
        <charset val="134"/>
      </rPr>
      <t>,</t>
    </r>
    <r>
      <rPr>
        <sz val="9"/>
        <color rgb="FF000000"/>
        <rFont val="楷体"/>
        <charset val="134"/>
      </rPr>
      <t>启承资本</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</si>
  <si>
    <r>
      <rPr>
        <sz val="9"/>
        <color rgb="FF000000"/>
        <rFont val="Arial"/>
        <charset val="134"/>
      </rPr>
      <t>2.95</t>
    </r>
    <r>
      <rPr>
        <sz val="9"/>
        <color rgb="FF000000"/>
        <rFont val="楷体"/>
        <charset val="134"/>
      </rPr>
      <t>亿</t>
    </r>
  </si>
  <si>
    <r>
      <rPr>
        <sz val="9"/>
        <color rgb="FF000000"/>
        <rFont val="楷体"/>
        <charset val="134"/>
      </rPr>
      <t>林锋</t>
    </r>
    <r>
      <rPr>
        <sz val="9"/>
        <color rgb="FF000000"/>
        <rFont val="Arial"/>
        <charset val="134"/>
      </rPr>
      <t>:CEO,</t>
    </r>
    <r>
      <rPr>
        <sz val="9"/>
        <color rgb="FF000000"/>
        <rFont val="楷体"/>
        <charset val="134"/>
      </rPr>
      <t>彭灵</t>
    </r>
    <r>
      <rPr>
        <sz val="9"/>
        <color rgb="FF000000"/>
        <rFont val="Arial"/>
        <charset val="134"/>
      </rPr>
      <t>:</t>
    </r>
    <r>
      <rPr>
        <sz val="9"/>
        <color rgb="FF000000"/>
        <rFont val="楷体"/>
        <charset val="134"/>
      </rPr>
      <t>首席市场官</t>
    </r>
    <r>
      <rPr>
        <sz val="9"/>
        <color rgb="FF000000"/>
        <rFont val="Arial"/>
        <charset val="134"/>
      </rPr>
      <t>,</t>
    </r>
    <r>
      <rPr>
        <sz val="9"/>
        <color rgb="FF000000"/>
        <rFont val="楷体"/>
        <charset val="134"/>
      </rPr>
      <t>林意</t>
    </r>
    <r>
      <rPr>
        <sz val="9"/>
        <color rgb="FF000000"/>
        <rFont val="Arial"/>
        <charset val="134"/>
      </rPr>
      <t>:</t>
    </r>
    <r>
      <rPr>
        <sz val="9"/>
        <color rgb="FF000000"/>
        <rFont val="楷体"/>
        <charset val="134"/>
      </rPr>
      <t>首席销售官</t>
    </r>
  </si>
  <si>
    <r>
      <rPr>
        <sz val="9"/>
        <color rgb="FF000000"/>
        <rFont val="楷体"/>
        <charset val="134"/>
      </rPr>
      <t>广州市天河区临江大道</t>
    </r>
    <r>
      <rPr>
        <sz val="9"/>
        <color rgb="FF000000"/>
        <rFont val="Arial"/>
        <charset val="134"/>
      </rPr>
      <t>503</t>
    </r>
    <r>
      <rPr>
        <sz val="9"/>
        <color rgb="FF000000"/>
        <rFont val="楷体"/>
        <charset val="134"/>
      </rPr>
      <t>号</t>
    </r>
    <r>
      <rPr>
        <sz val="9"/>
        <color rgb="FF000000"/>
        <rFont val="Arial"/>
        <charset val="134"/>
      </rPr>
      <t>T26</t>
    </r>
    <r>
      <rPr>
        <sz val="9"/>
        <color rgb="FF000000"/>
        <rFont val="楷体"/>
        <charset val="134"/>
      </rPr>
      <t>产业园</t>
    </r>
  </si>
  <si>
    <t>020-2901-3194</t>
  </si>
  <si>
    <t>sales@javoglobal.com</t>
  </si>
  <si>
    <t>2019-08-05</t>
  </si>
  <si>
    <t>启承资本</t>
  </si>
  <si>
    <t>2022-05-20</t>
  </si>
  <si>
    <t>StarPony</t>
  </si>
  <si>
    <r>
      <rPr>
        <sz val="9"/>
        <color rgb="FF000000"/>
        <rFont val="Arial"/>
        <charset val="134"/>
      </rPr>
      <t>StarPony</t>
    </r>
    <r>
      <rPr>
        <sz val="9"/>
        <color rgb="FF000000"/>
        <rFont val="楷体"/>
        <charset val="134"/>
      </rPr>
      <t>是一家儿童泛娱乐内容制作商，专注于动漫衍生品的研发、设计及制作，包括动漫</t>
    </r>
    <r>
      <rPr>
        <sz val="9"/>
        <color rgb="FF000000"/>
        <rFont val="Arial"/>
        <charset val="134"/>
      </rPr>
      <t>IP</t>
    </r>
    <r>
      <rPr>
        <sz val="9"/>
        <color rgb="FF000000"/>
        <rFont val="楷体"/>
        <charset val="134"/>
      </rPr>
      <t>的创作及授权。旗下主要有《魔幻陀螺》、《《帮帮龙》、《爆兽猎人》、《爆丸小子》等玩具品牌。同时运营小灵讲故事，是一家绘本故事教育品牌。</t>
    </r>
  </si>
  <si>
    <t>广州星空优品科技有限公司</t>
  </si>
  <si>
    <t>2020-06</t>
  </si>
  <si>
    <t>儿童早教</t>
  </si>
  <si>
    <r>
      <rPr>
        <sz val="9"/>
        <color rgb="FF000000"/>
        <rFont val="楷体"/>
        <charset val="134"/>
      </rPr>
      <t>险峰</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</si>
  <si>
    <r>
      <rPr>
        <sz val="9"/>
        <color rgb="FF000000"/>
        <rFont val="Arial"/>
        <charset val="134"/>
      </rPr>
      <t>2.27</t>
    </r>
    <r>
      <rPr>
        <sz val="9"/>
        <color rgb="FF000000"/>
        <rFont val="楷体"/>
        <charset val="134"/>
      </rPr>
      <t>亿</t>
    </r>
  </si>
  <si>
    <r>
      <rPr>
        <sz val="9"/>
        <color rgb="FF000000"/>
        <rFont val="楷体"/>
        <charset val="134"/>
      </rPr>
      <t>史仓健</t>
    </r>
    <r>
      <rPr>
        <sz val="9"/>
        <color rgb="FF000000"/>
        <rFont val="Arial"/>
        <charset val="134"/>
      </rPr>
      <t>:</t>
    </r>
    <r>
      <rPr>
        <sz val="9"/>
        <color rgb="FF000000"/>
        <rFont val="楷体"/>
        <charset val="134"/>
      </rPr>
      <t>创始人</t>
    </r>
  </si>
  <si>
    <r>
      <rPr>
        <sz val="9"/>
        <color rgb="FF000000"/>
        <rFont val="楷体"/>
        <charset val="134"/>
      </rPr>
      <t>广州市南沙区丰泽东路</t>
    </r>
    <r>
      <rPr>
        <sz val="9"/>
        <color rgb="FF000000"/>
        <rFont val="Arial"/>
        <charset val="134"/>
      </rPr>
      <t>106</t>
    </r>
    <r>
      <rPr>
        <sz val="9"/>
        <color rgb="FF000000"/>
        <rFont val="楷体"/>
        <charset val="134"/>
      </rPr>
      <t>号（自编</t>
    </r>
    <r>
      <rPr>
        <sz val="9"/>
        <color rgb="FF000000"/>
        <rFont val="Arial"/>
        <charset val="134"/>
      </rPr>
      <t>1</t>
    </r>
    <r>
      <rPr>
        <sz val="9"/>
        <color rgb="FF000000"/>
        <rFont val="楷体"/>
        <charset val="134"/>
      </rPr>
      <t>号楼）</t>
    </r>
    <r>
      <rPr>
        <sz val="9"/>
        <color rgb="FF000000"/>
        <rFont val="Arial"/>
        <charset val="134"/>
      </rPr>
      <t>X1301-G018851</t>
    </r>
  </si>
  <si>
    <t>弘毅投资</t>
  </si>
  <si>
    <t>灵动创想</t>
  </si>
  <si>
    <t>FUSE GROUP</t>
  </si>
  <si>
    <r>
      <rPr>
        <sz val="9"/>
        <color rgb="FF000000"/>
        <rFont val="楷体"/>
        <charset val="134"/>
      </rPr>
      <t>印尼</t>
    </r>
    <r>
      <rPr>
        <sz val="9"/>
        <color rgb="FF000000"/>
        <rFont val="Arial"/>
        <charset val="134"/>
      </rPr>
      <t>Fuse</t>
    </r>
    <r>
      <rPr>
        <sz val="9"/>
        <color rgb="FF000000"/>
        <rFont val="楷体"/>
        <charset val="134"/>
      </rPr>
      <t>是印尼一家保险科技服务提供商，该平台上提供的保险产品包括车辆、财产、旅行、健康、重大疾病以及涵盖小工具、货物责任和信用违约保险等。能提供即时结算和快速索赔处理的完整数字体验。</t>
    </r>
    <r>
      <rPr>
        <sz val="9"/>
        <color rgb="FF000000"/>
        <rFont val="Arial"/>
        <charset val="134"/>
      </rPr>
      <t xml:space="preserve">
</t>
    </r>
  </si>
  <si>
    <t>https://www.fuse.co.id/</t>
  </si>
  <si>
    <r>
      <rPr>
        <sz val="9"/>
        <color rgb="FF000000"/>
        <rFont val="Arial"/>
        <charset val="134"/>
      </rPr>
      <t>GGV</t>
    </r>
    <r>
      <rPr>
        <sz val="9"/>
        <color rgb="FF000000"/>
        <rFont val="楷体"/>
        <charset val="134"/>
      </rPr>
      <t>纪源资本</t>
    </r>
    <r>
      <rPr>
        <sz val="9"/>
        <color rgb="FF000000"/>
        <rFont val="Arial"/>
        <charset val="134"/>
      </rPr>
      <t>,East Ventures,Emtek Group,eWTP</t>
    </r>
    <r>
      <rPr>
        <sz val="9"/>
        <color rgb="FF000000"/>
        <rFont val="楷体"/>
        <charset val="134"/>
      </rPr>
      <t>基金</t>
    </r>
    <r>
      <rPr>
        <sz val="9"/>
        <color rgb="FF000000"/>
        <rFont val="Arial"/>
        <charset val="134"/>
      </rPr>
      <t>-</t>
    </r>
    <r>
      <rPr>
        <sz val="9"/>
        <color rgb="FF000000"/>
        <rFont val="楷体"/>
        <charset val="134"/>
      </rPr>
      <t>阿里巴巴</t>
    </r>
  </si>
  <si>
    <t>Michael Trovini:CEO and President</t>
  </si>
  <si>
    <t>雅加达</t>
  </si>
  <si>
    <r>
      <rPr>
        <sz val="9"/>
        <color rgb="FF000000"/>
        <rFont val="Arial"/>
        <charset val="134"/>
      </rPr>
      <t>GGV</t>
    </r>
    <r>
      <rPr>
        <sz val="9"/>
        <color rgb="FF000000"/>
        <rFont val="楷体"/>
        <charset val="134"/>
      </rPr>
      <t>纪源资本</t>
    </r>
    <r>
      <rPr>
        <sz val="9"/>
        <color rgb="FF000000"/>
        <rFont val="Arial"/>
        <charset val="134"/>
      </rPr>
      <t>,Golden Gate Ventures,East Ventures,</t>
    </r>
    <r>
      <rPr>
        <sz val="9"/>
        <color rgb="FF000000"/>
        <rFont val="楷体"/>
        <charset val="134"/>
      </rPr>
      <t>宜信财富</t>
    </r>
    <r>
      <rPr>
        <sz val="9"/>
        <color rgb="FF000000"/>
        <rFont val="Arial"/>
        <charset val="134"/>
      </rPr>
      <t>,Emtek Group,SMDV,eWTP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,Heyokha Brothers,Saratoga Capital</t>
    </r>
  </si>
  <si>
    <t>EV Growth</t>
  </si>
  <si>
    <t>POVISON缪斯科技</t>
  </si>
  <si>
    <r>
      <rPr>
        <sz val="9"/>
        <color rgb="FF000000"/>
        <rFont val="Arial"/>
        <charset val="134"/>
      </rPr>
      <t>POVISON</t>
    </r>
    <r>
      <rPr>
        <sz val="9"/>
        <color rgb="FF000000"/>
        <rFont val="楷体"/>
        <charset val="134"/>
      </rPr>
      <t>缪斯科技</t>
    </r>
  </si>
  <si>
    <r>
      <rPr>
        <sz val="9"/>
        <color rgb="FF000000"/>
        <rFont val="Arial"/>
        <charset val="134"/>
      </rPr>
      <t>POVISON</t>
    </r>
    <r>
      <rPr>
        <sz val="9"/>
        <color rgb="FF000000"/>
        <rFont val="楷体"/>
        <charset val="134"/>
      </rPr>
      <t>是一个服务于北美市场的家居电商平台。依托科技数字化支撑能力、柔性供应链管理能力和品牌体系化运营能力，切入家居生活场景，专注于家居产品的跨境销售。</t>
    </r>
  </si>
  <si>
    <t>缪斯科技（广州）有限公司</t>
  </si>
  <si>
    <t>天际线创投</t>
  </si>
  <si>
    <r>
      <rPr>
        <sz val="9"/>
        <color rgb="FF000000"/>
        <rFont val="Arial"/>
        <charset val="134"/>
      </rPr>
      <t>8450</t>
    </r>
    <r>
      <rPr>
        <sz val="9"/>
        <color rgb="FF000000"/>
        <rFont val="楷体"/>
        <charset val="134"/>
      </rPr>
      <t>万</t>
    </r>
  </si>
  <si>
    <r>
      <rPr>
        <sz val="9"/>
        <color rgb="FF000000"/>
        <rFont val="楷体"/>
        <charset val="134"/>
      </rPr>
      <t>林宇</t>
    </r>
    <r>
      <rPr>
        <sz val="9"/>
        <color rgb="FF000000"/>
        <rFont val="Arial"/>
        <charset val="134"/>
      </rPr>
      <t>:</t>
    </r>
    <r>
      <rPr>
        <sz val="9"/>
        <color rgb="FF000000"/>
        <rFont val="楷体"/>
        <charset val="134"/>
      </rPr>
      <t>创始人</t>
    </r>
  </si>
  <si>
    <r>
      <rPr>
        <sz val="9"/>
        <color rgb="FF000000"/>
        <rFont val="楷体"/>
        <charset val="134"/>
      </rPr>
      <t>广州市天河区黄埔大道中</t>
    </r>
    <r>
      <rPr>
        <sz val="9"/>
        <color rgb="FF000000"/>
        <rFont val="Arial"/>
        <charset val="134"/>
      </rPr>
      <t>662</t>
    </r>
    <r>
      <rPr>
        <sz val="9"/>
        <color rgb="FF000000"/>
        <rFont val="楷体"/>
        <charset val="134"/>
      </rPr>
      <t>号</t>
    </r>
    <r>
      <rPr>
        <sz val="9"/>
        <color rgb="FF000000"/>
        <rFont val="Arial"/>
        <charset val="134"/>
      </rPr>
      <t>415</t>
    </r>
    <r>
      <rPr>
        <sz val="9"/>
        <color rgb="FF000000"/>
        <rFont val="楷体"/>
        <charset val="134"/>
      </rPr>
      <t>室</t>
    </r>
  </si>
  <si>
    <t>186-2087-9394</t>
  </si>
  <si>
    <t>18620879394@139.com</t>
  </si>
  <si>
    <t>2020-02-05</t>
  </si>
  <si>
    <t>2022-03-31</t>
  </si>
  <si>
    <t>无忧达</t>
  </si>
  <si>
    <r>
      <rPr>
        <sz val="9"/>
        <color rgb="FF000000"/>
        <rFont val="楷体"/>
        <charset val="134"/>
      </rPr>
      <t>无忧达是一家跨境电商物流服务商，通过物流</t>
    </r>
    <r>
      <rPr>
        <sz val="9"/>
        <color rgb="FF000000"/>
        <rFont val="Arial"/>
        <charset val="134"/>
      </rPr>
      <t>+</t>
    </r>
    <r>
      <rPr>
        <sz val="9"/>
        <color rgb="FF000000"/>
        <rFont val="楷体"/>
        <charset val="134"/>
      </rPr>
      <t>互联网模式打造一站式跨境电商物流与海外综合服务平台，为跨境电商</t>
    </r>
    <r>
      <rPr>
        <sz val="9"/>
        <color rgb="FF000000"/>
        <rFont val="Arial"/>
        <charset val="134"/>
      </rPr>
      <t>B2B</t>
    </r>
    <r>
      <rPr>
        <sz val="9"/>
        <color rgb="FF000000"/>
        <rFont val="楷体"/>
        <charset val="134"/>
      </rPr>
      <t>、</t>
    </r>
    <r>
      <rPr>
        <sz val="9"/>
        <color rgb="FF000000"/>
        <rFont val="Arial"/>
        <charset val="134"/>
      </rPr>
      <t>B2C</t>
    </r>
    <r>
      <rPr>
        <sz val="9"/>
        <color rgb="FF000000"/>
        <rFont val="楷体"/>
        <charset val="134"/>
      </rPr>
      <t>用户提供海外仓、头程物流、国际专线等跨境物流服务以及跨境电商本土化售前售后服务、财务、法律等一站式海外综合服务解决。</t>
    </r>
  </si>
  <si>
    <t>无忧达（宁波）物流科技有限公司</t>
  </si>
  <si>
    <t>http://www.51-delivery.net</t>
  </si>
  <si>
    <r>
      <rPr>
        <sz val="9"/>
        <color rgb="FF000000"/>
        <rFont val="楷体"/>
        <charset val="134"/>
      </rPr>
      <t>郭宇</t>
    </r>
    <r>
      <rPr>
        <sz val="9"/>
        <color rgb="FF000000"/>
        <rFont val="Arial"/>
        <charset val="134"/>
      </rPr>
      <t>:CEO</t>
    </r>
  </si>
  <si>
    <r>
      <rPr>
        <sz val="9"/>
        <color rgb="FF000000"/>
        <rFont val="楷体"/>
        <charset val="134"/>
      </rPr>
      <t>浙江省宁波市鄞州区海晏北路</t>
    </r>
    <r>
      <rPr>
        <sz val="9"/>
        <color rgb="FF000000"/>
        <rFont val="Arial"/>
        <charset val="134"/>
      </rPr>
      <t>123</t>
    </r>
    <r>
      <rPr>
        <sz val="9"/>
        <color rgb="FF000000"/>
        <rFont val="楷体"/>
        <charset val="134"/>
      </rPr>
      <t>号</t>
    </r>
    <r>
      <rPr>
        <sz val="9"/>
        <color rgb="FF000000"/>
        <rFont val="Arial"/>
        <charset val="134"/>
      </rPr>
      <t>14-2</t>
    </r>
  </si>
  <si>
    <t>574-8831-8963</t>
  </si>
  <si>
    <t>jessiezhou@51-delivery.com</t>
  </si>
  <si>
    <t>Edupia</t>
  </si>
  <si>
    <r>
      <rPr>
        <sz val="9"/>
        <color rgb="FF000000"/>
        <rFont val="Arial"/>
        <charset val="134"/>
      </rPr>
      <t>Edupia</t>
    </r>
    <r>
      <rPr>
        <sz val="9"/>
        <color rgb="FF000000"/>
        <rFont val="楷体"/>
        <charset val="134"/>
      </rPr>
      <t>是一家</t>
    </r>
    <r>
      <rPr>
        <sz val="9"/>
        <color rgb="FF000000"/>
        <rFont val="Arial"/>
        <charset val="134"/>
      </rPr>
      <t>K12</t>
    </r>
    <r>
      <rPr>
        <sz val="9"/>
        <color rgb="FF000000"/>
        <rFont val="楷体"/>
        <charset val="134"/>
      </rPr>
      <t>在线英语教育服务商，开发一个名为</t>
    </r>
    <r>
      <rPr>
        <sz val="9"/>
        <color rgb="FF000000"/>
        <rFont val="Arial"/>
        <charset val="134"/>
      </rPr>
      <t>Edupia</t>
    </r>
    <r>
      <rPr>
        <sz val="9"/>
        <color rgb="FF000000"/>
        <rFont val="楷体"/>
        <charset val="134"/>
      </rPr>
      <t>的小学生在线英语教育产品，及针对</t>
    </r>
    <r>
      <rPr>
        <sz val="9"/>
        <color rgb="FF000000"/>
        <rFont val="Arial"/>
        <charset val="134"/>
      </rPr>
      <t>3-8</t>
    </r>
    <r>
      <rPr>
        <sz val="9"/>
        <color rgb="FF000000"/>
        <rFont val="楷体"/>
        <charset val="134"/>
      </rPr>
      <t>岁儿童的</t>
    </r>
    <r>
      <rPr>
        <sz val="9"/>
        <color rgb="FF000000"/>
        <rFont val="Arial"/>
        <charset val="134"/>
      </rPr>
      <t>Babilala</t>
    </r>
    <r>
      <rPr>
        <sz val="9"/>
        <color rgb="FF000000"/>
        <rFont val="楷体"/>
        <charset val="134"/>
      </rPr>
      <t>欧洲标准英语课程。</t>
    </r>
  </si>
  <si>
    <r>
      <rPr>
        <sz val="9"/>
        <color rgb="FF000000"/>
        <rFont val="Arial"/>
        <charset val="134"/>
      </rPr>
      <t>Jungle Ventures,eWTP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,ThinkZone Ventures</t>
    </r>
  </si>
  <si>
    <r>
      <rPr>
        <sz val="9"/>
        <color rgb="FF000000"/>
        <rFont val="Arial"/>
        <charset val="134"/>
      </rPr>
      <t>9100</t>
    </r>
    <r>
      <rPr>
        <sz val="9"/>
        <color rgb="FF000000"/>
        <rFont val="楷体"/>
        <charset val="134"/>
      </rPr>
      <t>万</t>
    </r>
  </si>
  <si>
    <r>
      <rPr>
        <sz val="9"/>
        <color rgb="FF000000"/>
        <rFont val="Arial"/>
        <charset val="134"/>
      </rPr>
      <t>4.55</t>
    </r>
    <r>
      <rPr>
        <sz val="9"/>
        <color rgb="FF000000"/>
        <rFont val="楷体"/>
        <charset val="134"/>
      </rPr>
      <t>亿元</t>
    </r>
  </si>
  <si>
    <t>Adam Lewis:Co-Founder &amp; Content Director,Nguyen Chuyen:Co-Founder &amp; CTO,Tran Duc Hung:CEO &amp; Founder</t>
  </si>
  <si>
    <t>2023-07-07</t>
  </si>
  <si>
    <t>Mindigital</t>
  </si>
  <si>
    <r>
      <rPr>
        <sz val="9"/>
        <color rgb="FF000000"/>
        <rFont val="Arial"/>
        <charset val="134"/>
      </rPr>
      <t>Mindigital</t>
    </r>
    <r>
      <rPr>
        <sz val="9"/>
        <color rgb="FF000000"/>
        <rFont val="楷体"/>
        <charset val="134"/>
      </rPr>
      <t>是一家金融科技服务商，致力于为东南亚等一带一路国家和新兴市场的银行和金融机构提供数字银行</t>
    </r>
    <r>
      <rPr>
        <sz val="9"/>
        <color rgb="FF000000"/>
        <rFont val="Arial"/>
        <charset val="134"/>
      </rPr>
      <t>SaaS</t>
    </r>
    <r>
      <rPr>
        <sz val="9"/>
        <color rgb="FF000000"/>
        <rFont val="楷体"/>
        <charset val="134"/>
      </rPr>
      <t>系统和解决方案，帮助用户实现数字化转型。</t>
    </r>
  </si>
  <si>
    <t>https://mindigitalgroup.com/</t>
  </si>
  <si>
    <r>
      <rPr>
        <sz val="9"/>
        <color rgb="FF000000"/>
        <rFont val="楷体"/>
        <charset val="134"/>
      </rPr>
      <t>金沙江创投</t>
    </r>
    <r>
      <rPr>
        <sz val="9"/>
        <color rgb="FF000000"/>
        <rFont val="Arial"/>
        <charset val="134"/>
      </rPr>
      <t>,Redpoint Ventures</t>
    </r>
    <r>
      <rPr>
        <sz val="9"/>
        <color rgb="FF000000"/>
        <rFont val="楷体"/>
        <charset val="134"/>
      </rPr>
      <t>红点全球基金</t>
    </r>
    <r>
      <rPr>
        <sz val="9"/>
        <color rgb="FF000000"/>
        <rFont val="Arial"/>
        <charset val="134"/>
      </rPr>
      <t>,</t>
    </r>
    <r>
      <rPr>
        <sz val="9"/>
        <color rgb="FF000000"/>
        <rFont val="楷体"/>
        <charset val="134"/>
      </rPr>
      <t>达泰资本</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</si>
  <si>
    <r>
      <rPr>
        <sz val="9"/>
        <color rgb="FF000000"/>
        <rFont val="Arial"/>
        <charset val="134"/>
      </rPr>
      <t>8000</t>
    </r>
    <r>
      <rPr>
        <sz val="9"/>
        <color rgb="FF000000"/>
        <rFont val="楷体"/>
        <charset val="134"/>
      </rPr>
      <t>万</t>
    </r>
  </si>
  <si>
    <r>
      <rPr>
        <sz val="9"/>
        <color rgb="FF000000"/>
        <rFont val="楷体"/>
        <charset val="134"/>
      </rPr>
      <t>达泰资本</t>
    </r>
    <r>
      <rPr>
        <sz val="9"/>
        <color rgb="FF000000"/>
        <rFont val="Arial"/>
        <charset val="134"/>
      </rPr>
      <t>,</t>
    </r>
    <r>
      <rPr>
        <sz val="9"/>
        <color rgb="FF000000"/>
        <rFont val="楷体"/>
        <charset val="134"/>
      </rPr>
      <t>红点中国</t>
    </r>
  </si>
  <si>
    <t>钉钉</t>
  </si>
  <si>
    <t>2018-09-26</t>
  </si>
  <si>
    <t>蓝凌</t>
  </si>
  <si>
    <r>
      <rPr>
        <sz val="9"/>
        <color rgb="FF000000"/>
        <rFont val="楷体"/>
        <charset val="134"/>
      </rPr>
      <t>蓝凌是一家知识管理与协同办公服务提供商，致力于为企业提供融合</t>
    </r>
    <r>
      <rPr>
        <sz val="9"/>
        <color rgb="FF000000"/>
        <rFont val="Arial"/>
        <charset val="134"/>
      </rPr>
      <t>“</t>
    </r>
    <r>
      <rPr>
        <sz val="9"/>
        <color rgb="FF000000"/>
        <rFont val="楷体"/>
        <charset val="134"/>
      </rPr>
      <t>知识管理、协同办公、移动门户、费用管控</t>
    </r>
    <r>
      <rPr>
        <sz val="9"/>
        <color rgb="FF000000"/>
        <rFont val="Arial"/>
        <charset val="134"/>
      </rPr>
      <t xml:space="preserve">” </t>
    </r>
    <r>
      <rPr>
        <sz val="9"/>
        <color rgb="FF000000"/>
        <rFont val="楷体"/>
        <charset val="134"/>
      </rPr>
      <t>等应用的移动化、平台化、社会化和智慧化整体解决方案，产品包括面向企业知识管理需求的</t>
    </r>
    <r>
      <rPr>
        <sz val="9"/>
        <color rgb="FF000000"/>
        <rFont val="Arial"/>
        <charset val="134"/>
      </rPr>
      <t>KMS</t>
    </r>
    <r>
      <rPr>
        <sz val="9"/>
        <color rgb="FF000000"/>
        <rFont val="楷体"/>
        <charset val="134"/>
      </rPr>
      <t>平台、流程与门户需求的</t>
    </r>
    <r>
      <rPr>
        <sz val="9"/>
        <color rgb="FF000000"/>
        <rFont val="Arial"/>
        <charset val="134"/>
      </rPr>
      <t>EKP</t>
    </r>
    <r>
      <rPr>
        <sz val="9"/>
        <color rgb="FF000000"/>
        <rFont val="楷体"/>
        <charset val="134"/>
      </rPr>
      <t>平台、移动办公需求的</t>
    </r>
    <r>
      <rPr>
        <sz val="9"/>
        <color rgb="FF000000"/>
        <rFont val="Arial"/>
        <charset val="134"/>
      </rPr>
      <t>KK</t>
    </r>
    <r>
      <rPr>
        <sz val="9"/>
        <color rgb="FF000000"/>
        <rFont val="楷体"/>
        <charset val="134"/>
      </rPr>
      <t>平台等。</t>
    </r>
  </si>
  <si>
    <t>深圳市蓝凌软件股份有限公司</t>
  </si>
  <si>
    <t>http://www.landray.com/index/</t>
  </si>
  <si>
    <r>
      <rPr>
        <sz val="9"/>
        <color rgb="FF000000"/>
        <rFont val="楷体"/>
        <charset val="134"/>
      </rPr>
      <t>杨健伟</t>
    </r>
    <r>
      <rPr>
        <sz val="9"/>
        <color rgb="FF000000"/>
        <rFont val="Arial"/>
        <charset val="134"/>
      </rPr>
      <t>:</t>
    </r>
    <r>
      <rPr>
        <sz val="9"/>
        <color rgb="FF000000"/>
        <rFont val="楷体"/>
        <charset val="134"/>
      </rPr>
      <t>创始人</t>
    </r>
  </si>
  <si>
    <r>
      <rPr>
        <sz val="9"/>
        <color rgb="FF000000"/>
        <rFont val="楷体"/>
        <charset val="134"/>
      </rPr>
      <t>深圳市南山区深南大道</t>
    </r>
    <r>
      <rPr>
        <sz val="9"/>
        <color rgb="FF000000"/>
        <rFont val="Arial"/>
        <charset val="134"/>
      </rPr>
      <t>9966</t>
    </r>
    <r>
      <rPr>
        <sz val="9"/>
        <color rgb="FF000000"/>
        <rFont val="楷体"/>
        <charset val="134"/>
      </rPr>
      <t>号威盛科技大厦</t>
    </r>
    <r>
      <rPr>
        <sz val="9"/>
        <color rgb="FF000000"/>
        <rFont val="Arial"/>
        <charset val="134"/>
      </rPr>
      <t>10</t>
    </r>
    <r>
      <rPr>
        <sz val="9"/>
        <color rgb="FF000000"/>
        <rFont val="楷体"/>
        <charset val="134"/>
      </rPr>
      <t>楼</t>
    </r>
  </si>
  <si>
    <t>4006-222-312</t>
  </si>
  <si>
    <t>先声智能</t>
  </si>
  <si>
    <r>
      <rPr>
        <sz val="9"/>
        <color rgb="FF000000"/>
        <rFont val="楷体"/>
        <charset val="134"/>
      </rPr>
      <t>先声智能（原名先声教育）是一家</t>
    </r>
    <r>
      <rPr>
        <sz val="9"/>
        <color rgb="FF000000"/>
        <rFont val="Arial"/>
        <charset val="134"/>
      </rPr>
      <t>K12</t>
    </r>
    <r>
      <rPr>
        <sz val="9"/>
        <color rgb="FF000000"/>
        <rFont val="楷体"/>
        <charset val="134"/>
      </rPr>
      <t>领域智能听说测评服务商，专注英语教育领域，提供在线口语、听力、评测系统及技术解决方案，隶属于北京先声教育科技有限公司。</t>
    </r>
  </si>
  <si>
    <t>北京先声智能科技有限公司</t>
  </si>
  <si>
    <t>http://singsound.com/</t>
  </si>
  <si>
    <r>
      <rPr>
        <sz val="9"/>
        <color rgb="FF000000"/>
        <rFont val="楷体"/>
        <charset val="134"/>
      </rPr>
      <t>陆勇毅</t>
    </r>
    <r>
      <rPr>
        <sz val="9"/>
        <color rgb="FF000000"/>
        <rFont val="Arial"/>
        <charset val="134"/>
      </rPr>
      <t xml:space="preserve"> :</t>
    </r>
    <r>
      <rPr>
        <sz val="9"/>
        <color rgb="FF000000"/>
        <rFont val="楷体"/>
        <charset val="134"/>
      </rPr>
      <t>董事长</t>
    </r>
  </si>
  <si>
    <r>
      <rPr>
        <sz val="9"/>
        <color rgb="FF000000"/>
        <rFont val="楷体"/>
        <charset val="134"/>
      </rPr>
      <t>永澄北路</t>
    </r>
    <r>
      <rPr>
        <sz val="9"/>
        <color rgb="FF000000"/>
        <rFont val="Arial"/>
        <charset val="134"/>
      </rPr>
      <t>2</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B</t>
    </r>
    <r>
      <rPr>
        <sz val="9"/>
        <color rgb="FF000000"/>
        <rFont val="楷体"/>
        <charset val="134"/>
      </rPr>
      <t>座二层</t>
    </r>
    <r>
      <rPr>
        <sz val="9"/>
        <color rgb="FF000000"/>
        <rFont val="Arial"/>
        <charset val="134"/>
      </rPr>
      <t>38</t>
    </r>
    <r>
      <rPr>
        <sz val="9"/>
        <color rgb="FF000000"/>
        <rFont val="楷体"/>
        <charset val="134"/>
      </rPr>
      <t>号</t>
    </r>
  </si>
  <si>
    <t>010-6444-3396</t>
  </si>
  <si>
    <t>wangy@singsound.com</t>
  </si>
  <si>
    <t>2018-12-11</t>
  </si>
  <si>
    <t>创世伙伴资本</t>
  </si>
  <si>
    <t>浙大友创</t>
  </si>
  <si>
    <t>2016-07-02</t>
  </si>
  <si>
    <r>
      <rPr>
        <sz val="9"/>
        <color rgb="FF000000"/>
        <rFont val="楷体"/>
        <charset val="134"/>
      </rPr>
      <t>联想之星</t>
    </r>
    <r>
      <rPr>
        <sz val="9"/>
        <color rgb="FF000000"/>
        <rFont val="Arial"/>
        <charset val="134"/>
      </rPr>
      <t>,</t>
    </r>
    <r>
      <rPr>
        <sz val="9"/>
        <color rgb="FF000000"/>
        <rFont val="楷体"/>
        <charset val="134"/>
      </rPr>
      <t>思必驰</t>
    </r>
  </si>
  <si>
    <t>2022-03-18</t>
  </si>
  <si>
    <t>拍乐云</t>
  </si>
  <si>
    <r>
      <rPr>
        <sz val="9"/>
        <color rgb="FF000000"/>
        <rFont val="楷体"/>
        <charset val="134"/>
      </rPr>
      <t>拍乐云是一家实时音视频</t>
    </r>
    <r>
      <rPr>
        <sz val="9"/>
        <color rgb="FF000000"/>
        <rFont val="Arial"/>
        <charset val="134"/>
      </rPr>
      <t>PaaS</t>
    </r>
    <r>
      <rPr>
        <sz val="9"/>
        <color rgb="FF000000"/>
        <rFont val="楷体"/>
        <charset val="134"/>
      </rPr>
      <t>云服务商，致力于把视频会议能力通过</t>
    </r>
    <r>
      <rPr>
        <sz val="9"/>
        <color rgb="FF000000"/>
        <rFont val="Arial"/>
        <charset val="134"/>
      </rPr>
      <t>PaaS</t>
    </r>
    <r>
      <rPr>
        <sz val="9"/>
        <color rgb="FF000000"/>
        <rFont val="楷体"/>
        <charset val="134"/>
      </rPr>
      <t>的方式提供给客户，为各种行业的线上化提供更好的底层实时通信能力，产品的应用领域包括在线教育行业、泛娱乐行业、协作办公行业、远程医疗行业、金融行业、电商行业、游戏行业等。</t>
    </r>
  </si>
  <si>
    <t>杭州拍乐云科技有限公司</t>
  </si>
  <si>
    <t>https://www.pano.video/</t>
  </si>
  <si>
    <r>
      <rPr>
        <sz val="9"/>
        <color rgb="FF000000"/>
        <rFont val="楷体"/>
        <charset val="134"/>
      </rPr>
      <t>赵加雨</t>
    </r>
    <r>
      <rPr>
        <sz val="9"/>
        <color rgb="FF000000"/>
        <rFont val="Arial"/>
        <charset val="134"/>
      </rPr>
      <t>:</t>
    </r>
    <r>
      <rPr>
        <sz val="9"/>
        <color rgb="FF000000"/>
        <rFont val="楷体"/>
        <charset val="134"/>
      </rPr>
      <t>创始人</t>
    </r>
  </si>
  <si>
    <r>
      <rPr>
        <sz val="9"/>
        <color rgb="FF000000"/>
        <rFont val="楷体"/>
        <charset val="134"/>
      </rPr>
      <t>杭州市西湖区文二路</t>
    </r>
    <r>
      <rPr>
        <sz val="9"/>
        <color rgb="FF000000"/>
        <rFont val="Arial"/>
        <charset val="134"/>
      </rPr>
      <t>391</t>
    </r>
    <r>
      <rPr>
        <sz val="9"/>
        <color rgb="FF000000"/>
        <rFont val="楷体"/>
        <charset val="134"/>
      </rPr>
      <t>号</t>
    </r>
  </si>
  <si>
    <t>2020-06-15</t>
  </si>
  <si>
    <t>2023-03-06</t>
  </si>
  <si>
    <t>我来wolai</t>
  </si>
  <si>
    <r>
      <rPr>
        <sz val="9"/>
        <color rgb="FF000000"/>
        <rFont val="楷体"/>
        <charset val="134"/>
      </rPr>
      <t>我来</t>
    </r>
    <r>
      <rPr>
        <sz val="9"/>
        <color rgb="FF000000"/>
        <rFont val="Arial"/>
        <charset val="134"/>
      </rPr>
      <t>wolai</t>
    </r>
  </si>
  <si>
    <r>
      <rPr>
        <sz val="9"/>
        <color rgb="FF000000"/>
        <rFont val="楷体"/>
        <charset val="134"/>
      </rPr>
      <t>我来</t>
    </r>
    <r>
      <rPr>
        <sz val="9"/>
        <color rgb="FF000000"/>
        <rFont val="Arial"/>
        <charset val="134"/>
      </rPr>
      <t>wolai</t>
    </r>
    <r>
      <rPr>
        <sz val="9"/>
        <color rgb="FF000000"/>
        <rFont val="楷体"/>
        <charset val="134"/>
      </rPr>
      <t>是一个办公协同应用，致力于将层级和网状链接的信息组织方式结合起来，产品形态，是一个以信息块（</t>
    </r>
    <r>
      <rPr>
        <sz val="9"/>
        <color rgb="FF000000"/>
        <rFont val="Arial"/>
        <charset val="134"/>
      </rPr>
      <t>Block</t>
    </r>
    <r>
      <rPr>
        <sz val="9"/>
        <color rgb="FF000000"/>
        <rFont val="楷体"/>
        <charset val="134"/>
      </rPr>
      <t>）为基础的笔记产品</t>
    </r>
    <r>
      <rPr>
        <sz val="9"/>
        <color rgb="FF000000"/>
        <rFont val="Arial"/>
        <charset val="134"/>
      </rPr>
      <t>——</t>
    </r>
    <r>
      <rPr>
        <sz val="9"/>
        <color rgb="FF000000"/>
        <rFont val="楷体"/>
        <charset val="134"/>
      </rPr>
      <t>在空白画布上，用户可以根据自己需要，自由组合包括文字、表格、图片、音视频等内容。产品集实时协同、共享、存储于一体，让企业和个人构建自己的信息库和基于信息组织的工作流。</t>
    </r>
  </si>
  <si>
    <t>上海我云网络科技有限公司</t>
  </si>
  <si>
    <t>https://www.wolai.com/</t>
  </si>
  <si>
    <r>
      <rPr>
        <sz val="9"/>
        <color rgb="FF000000"/>
        <rFont val="楷体"/>
        <charset val="134"/>
      </rPr>
      <t>马锐拉</t>
    </r>
    <r>
      <rPr>
        <sz val="9"/>
        <color rgb="FF000000"/>
        <rFont val="Arial"/>
        <charset val="134"/>
      </rPr>
      <t>:</t>
    </r>
    <r>
      <rPr>
        <sz val="9"/>
        <color rgb="FF000000"/>
        <rFont val="楷体"/>
        <charset val="134"/>
      </rPr>
      <t>创始人</t>
    </r>
  </si>
  <si>
    <r>
      <rPr>
        <sz val="9"/>
        <color rgb="FF000000"/>
        <rFont val="楷体"/>
        <charset val="134"/>
      </rPr>
      <t>上海市崇明区绿华镇新建公路</t>
    </r>
    <r>
      <rPr>
        <sz val="9"/>
        <color rgb="FF000000"/>
        <rFont val="Arial"/>
        <charset val="134"/>
      </rPr>
      <t>799</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1</t>
    </r>
    <r>
      <rPr>
        <sz val="9"/>
        <color rgb="FF000000"/>
        <rFont val="楷体"/>
        <charset val="134"/>
      </rPr>
      <t>层</t>
    </r>
  </si>
  <si>
    <t>hello@wolai.com</t>
  </si>
  <si>
    <t>策源创投</t>
  </si>
  <si>
    <t>2023-05-18</t>
  </si>
  <si>
    <t>Byju's</t>
  </si>
  <si>
    <r>
      <rPr>
        <sz val="9"/>
        <color rgb="FF000000"/>
        <rFont val="Arial"/>
        <charset val="134"/>
      </rPr>
      <t>Byju‘s</t>
    </r>
    <r>
      <rPr>
        <sz val="9"/>
        <color rgb="FF000000"/>
        <rFont val="楷体"/>
        <charset val="134"/>
      </rPr>
      <t>是一个印度</t>
    </r>
    <r>
      <rPr>
        <sz val="9"/>
        <color rgb="FF000000"/>
        <rFont val="Arial"/>
        <charset val="134"/>
      </rPr>
      <t>K12</t>
    </r>
    <r>
      <rPr>
        <sz val="9"/>
        <color rgb="FF000000"/>
        <rFont val="楷体"/>
        <charset val="134"/>
      </rPr>
      <t>在线教育服务平台，主要为在校学生提供原创学习内容、视频课程、以及互动教学活动，其学习项目包括</t>
    </r>
    <r>
      <rPr>
        <sz val="9"/>
        <color rgb="FF000000"/>
        <rFont val="Arial"/>
        <charset val="134"/>
      </rPr>
      <t>JEE</t>
    </r>
    <r>
      <rPr>
        <sz val="9"/>
        <color rgb="FF000000"/>
        <rFont val="楷体"/>
        <charset val="134"/>
      </rPr>
      <t>、</t>
    </r>
    <r>
      <rPr>
        <sz val="9"/>
        <color rgb="FF000000"/>
        <rFont val="Arial"/>
        <charset val="134"/>
      </rPr>
      <t>NEET</t>
    </r>
    <r>
      <rPr>
        <sz val="9"/>
        <color rgb="FF000000"/>
        <rFont val="楷体"/>
        <charset val="134"/>
      </rPr>
      <t>、</t>
    </r>
    <r>
      <rPr>
        <sz val="9"/>
        <color rgb="FF000000"/>
        <rFont val="Arial"/>
        <charset val="134"/>
      </rPr>
      <t>CAT</t>
    </r>
    <r>
      <rPr>
        <sz val="9"/>
        <color rgb="FF000000"/>
        <rFont val="楷体"/>
        <charset val="134"/>
      </rPr>
      <t>、</t>
    </r>
    <r>
      <rPr>
        <sz val="9"/>
        <color rgb="FF000000"/>
        <rFont val="Arial"/>
        <charset val="134"/>
      </rPr>
      <t>IAS</t>
    </r>
    <r>
      <rPr>
        <sz val="9"/>
        <color rgb="FF000000"/>
        <rFont val="楷体"/>
        <charset val="134"/>
      </rPr>
      <t>、</t>
    </r>
    <r>
      <rPr>
        <sz val="9"/>
        <color rgb="FF000000"/>
        <rFont val="Arial"/>
        <charset val="134"/>
      </rPr>
      <t>GRE</t>
    </r>
    <r>
      <rPr>
        <sz val="9"/>
        <color rgb="FF000000"/>
        <rFont val="楷体"/>
        <charset val="134"/>
      </rPr>
      <t>和</t>
    </r>
    <r>
      <rPr>
        <sz val="9"/>
        <color rgb="FF000000"/>
        <rFont val="Arial"/>
        <charset val="134"/>
      </rPr>
      <t>GMAT</t>
    </r>
    <r>
      <rPr>
        <sz val="9"/>
        <color rgb="FF000000"/>
        <rFont val="楷体"/>
        <charset val="134"/>
      </rPr>
      <t>等。</t>
    </r>
  </si>
  <si>
    <t>http://byjus.com/</t>
  </si>
  <si>
    <t>Davidson Kempner</t>
  </si>
  <si>
    <r>
      <rPr>
        <sz val="9"/>
        <color rgb="FF000000"/>
        <rFont val="Arial"/>
        <charset val="134"/>
      </rPr>
      <t>290.38</t>
    </r>
    <r>
      <rPr>
        <sz val="9"/>
        <color rgb="FF000000"/>
        <rFont val="楷体"/>
        <charset val="134"/>
      </rPr>
      <t>亿</t>
    </r>
  </si>
  <si>
    <r>
      <rPr>
        <sz val="9"/>
        <color rgb="FF000000"/>
        <rFont val="Arial"/>
        <charset val="134"/>
      </rPr>
      <t>1690</t>
    </r>
    <r>
      <rPr>
        <sz val="9"/>
        <color rgb="FF000000"/>
        <rFont val="楷体"/>
        <charset val="134"/>
      </rPr>
      <t>亿元</t>
    </r>
  </si>
  <si>
    <t>Anil Goel:President Technology, Byju's Group,Atit Mehta:Marketing Head,Brijesh Patel:Android Architect,Byju Raveendran:Founder &amp; CEO,Cherian Thomas:Senior Vice President,Dev Roy:Chief Innovation and Learning Officer,Dharmesh Gandhi:Vice President Product,Divya Gokulnath:Co-Founder,Majid Yazdani:VP of Research and Technology,Manil Gupta:Assistant Vice President,Mark Solomon:New Stuff,Mrinal Mohit:Senior Vice President, Business Development and Strategy,Deepak Bunde:Principal Director,Pramod Sharma:President, Technology &amp; Products,Puneet Bhirani:Senior Vice President Operations,Ranjit Radhakrishnan:Chief Product Officer,Rohit Bhardwaj:Digital Strategy,Sandeep Kumar:Maths Faculty,Siddhesh Joglekar:Vice President Marketing,Sriram Ganesh:Product - Early Learning,Teri Rousseau:Senior Director K3,Vidhya Lakshmi:Student Success Specialist,Yuvan Prasanth Ve:Inbound Sales Specialist,JP Schuerman:Head of Public Relations and Communications,Rajarshi Ghosh:Product Management,Krishna Vedati:President</t>
  </si>
  <si>
    <t>2022-10-20</t>
  </si>
  <si>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,Sequoia Capital</t>
    </r>
    <r>
      <rPr>
        <sz val="9"/>
        <color rgb="FF000000"/>
        <rFont val="楷体"/>
        <charset val="134"/>
      </rPr>
      <t>红杉</t>
    </r>
    <r>
      <rPr>
        <sz val="9"/>
        <color rgb="FF000000"/>
        <rFont val="Arial"/>
        <charset val="134"/>
      </rPr>
      <t>,Prosus Ventures-Naspers,</t>
    </r>
    <r>
      <rPr>
        <sz val="9"/>
        <color rgb="FF000000"/>
        <rFont val="楷体"/>
        <charset val="134"/>
      </rPr>
      <t>银湖投资</t>
    </r>
    <r>
      <rPr>
        <sz val="9"/>
        <color rgb="FF000000"/>
        <rFont val="Arial"/>
        <charset val="134"/>
      </rPr>
      <t>Silver Lake,UBS</t>
    </r>
    <r>
      <rPr>
        <sz val="9"/>
        <color rgb="FF000000"/>
        <rFont val="楷体"/>
        <charset val="134"/>
      </rPr>
      <t>瑞银</t>
    </r>
    <r>
      <rPr>
        <sz val="9"/>
        <color rgb="FF000000"/>
        <rFont val="Arial"/>
        <charset val="134"/>
      </rPr>
      <t>,Owl Ventures,Chan Zuckerberg Initiative</t>
    </r>
  </si>
  <si>
    <t>2021-10-06</t>
  </si>
  <si>
    <t xml:space="preserve">Oxshott Capital Partners,XN Exponent,Edelweiss,Verition Master Fund, IIFL,Time Capital Advisors </t>
  </si>
  <si>
    <t>2021-09-09</t>
  </si>
  <si>
    <r>
      <rPr>
        <sz val="9"/>
        <color rgb="FF000000"/>
        <rFont val="楷体"/>
        <charset val="134"/>
      </rPr>
      <t>韩国未来资产</t>
    </r>
    <r>
      <rPr>
        <sz val="9"/>
        <color rgb="FF000000"/>
        <rFont val="Arial"/>
        <charset val="134"/>
      </rPr>
      <t>Mirae Asset Venture Investment,Asmaan Ventures,ARK Ncore</t>
    </r>
  </si>
  <si>
    <t>2021-06-12</t>
  </si>
  <si>
    <r>
      <rPr>
        <sz val="9"/>
        <color rgb="FF000000"/>
        <rFont val="楷体"/>
        <charset val="134"/>
      </rPr>
      <t>黑石集团</t>
    </r>
    <r>
      <rPr>
        <sz val="9"/>
        <color rgb="FF000000"/>
        <rFont val="Arial"/>
        <charset val="134"/>
      </rPr>
      <t>Blackstone,UBS</t>
    </r>
    <r>
      <rPr>
        <sz val="9"/>
        <color rgb="FF000000"/>
        <rFont val="楷体"/>
        <charset val="134"/>
      </rPr>
      <t>瑞银</t>
    </r>
    <r>
      <rPr>
        <sz val="9"/>
        <color rgb="FF000000"/>
        <rFont val="Arial"/>
        <charset val="134"/>
      </rPr>
      <t>,Phoenix,RISING INVESTMENTS,ADQ,Beacon Holding</t>
    </r>
  </si>
  <si>
    <t>MC Global Edtech Investment Holdings LP,Arison Holdings,XN Exponent Holdings,Baron Global Advantage Fund,Baron Emerging Market Fund,TCDS India</t>
  </si>
  <si>
    <t>2020-09-24</t>
  </si>
  <si>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,Sands Capital Ventures,Alkeon Capital</t>
    </r>
  </si>
  <si>
    <r>
      <rPr>
        <sz val="9"/>
        <color rgb="FF000000"/>
        <rFont val="Arial"/>
        <charset val="134"/>
      </rPr>
      <t>General Atlantic</t>
    </r>
    <r>
      <rPr>
        <sz val="9"/>
        <color rgb="FF000000"/>
        <rFont val="楷体"/>
        <charset val="134"/>
      </rPr>
      <t>泛大西洋投资</t>
    </r>
    <r>
      <rPr>
        <sz val="9"/>
        <color rgb="FF000000"/>
        <rFont val="Arial"/>
        <charset val="134"/>
      </rPr>
      <t>,Tiger Global</t>
    </r>
    <r>
      <rPr>
        <sz val="9"/>
        <color rgb="FF000000"/>
        <rFont val="楷体"/>
        <charset val="134"/>
      </rPr>
      <t>老虎海外</t>
    </r>
    <r>
      <rPr>
        <sz val="9"/>
        <color rgb="FF000000"/>
        <rFont val="Arial"/>
        <charset val="134"/>
      </rPr>
      <t>,</t>
    </r>
    <r>
      <rPr>
        <sz val="9"/>
        <color rgb="FF000000"/>
        <rFont val="楷体"/>
        <charset val="134"/>
      </rPr>
      <t>银湖投资</t>
    </r>
    <r>
      <rPr>
        <sz val="9"/>
        <color rgb="FF000000"/>
        <rFont val="Arial"/>
        <charset val="134"/>
      </rPr>
      <t>Silver Lake,Owl Ventures</t>
    </r>
  </si>
  <si>
    <r>
      <rPr>
        <sz val="9"/>
        <color rgb="FF000000"/>
        <rFont val="Arial"/>
        <charset val="134"/>
      </rPr>
      <t>1.22</t>
    </r>
    <r>
      <rPr>
        <sz val="9"/>
        <color rgb="FF000000"/>
        <rFont val="楷体"/>
        <charset val="134"/>
      </rPr>
      <t>亿美元</t>
    </r>
  </si>
  <si>
    <t>2020-06-27</t>
  </si>
  <si>
    <t>Bond Capital</t>
  </si>
  <si>
    <t>2019-07-10</t>
  </si>
  <si>
    <r>
      <rPr>
        <sz val="9"/>
        <color rgb="FF000000"/>
        <rFont val="楷体"/>
        <charset val="134"/>
      </rPr>
      <t>卡塔尔投资局</t>
    </r>
    <r>
      <rPr>
        <sz val="9"/>
        <color rgb="FF000000"/>
        <rFont val="Arial"/>
        <charset val="134"/>
      </rPr>
      <t>QIA</t>
    </r>
  </si>
  <si>
    <r>
      <rPr>
        <sz val="9"/>
        <color rgb="FF000000"/>
        <rFont val="Arial"/>
        <charset val="134"/>
      </rPr>
      <t>1140</t>
    </r>
    <r>
      <rPr>
        <sz val="9"/>
        <color rgb="FF000000"/>
        <rFont val="楷体"/>
        <charset val="134"/>
      </rPr>
      <t>万美元</t>
    </r>
  </si>
  <si>
    <r>
      <rPr>
        <sz val="9"/>
        <color rgb="FF000000"/>
        <rFont val="楷体"/>
        <charset val="134"/>
      </rPr>
      <t>腾讯投资</t>
    </r>
    <r>
      <rPr>
        <sz val="9"/>
        <color rgb="FF000000"/>
        <rFont val="Arial"/>
        <charset val="134"/>
      </rPr>
      <t>,General Atlantic</t>
    </r>
    <r>
      <rPr>
        <sz val="9"/>
        <color rgb="FF000000"/>
        <rFont val="楷体"/>
        <charset val="134"/>
      </rPr>
      <t>泛大西洋投资</t>
    </r>
  </si>
  <si>
    <r>
      <rPr>
        <sz val="9"/>
        <color rgb="FF000000"/>
        <rFont val="Arial"/>
        <charset val="134"/>
      </rPr>
      <t>General Atlantic</t>
    </r>
    <r>
      <rPr>
        <sz val="9"/>
        <color rgb="FF000000"/>
        <rFont val="楷体"/>
        <charset val="134"/>
      </rPr>
      <t>泛大西洋投资</t>
    </r>
    <r>
      <rPr>
        <sz val="9"/>
        <color rgb="FF000000"/>
        <rFont val="Arial"/>
        <charset val="134"/>
      </rPr>
      <t>,Prosus Ventures-Naspers,</t>
    </r>
    <r>
      <rPr>
        <sz val="9"/>
        <color rgb="FF000000"/>
        <rFont val="楷体"/>
        <charset val="134"/>
      </rPr>
      <t>加拿大养老基金</t>
    </r>
    <r>
      <rPr>
        <sz val="9"/>
        <color rgb="FF000000"/>
        <rFont val="Arial"/>
        <charset val="134"/>
      </rPr>
      <t>(CPPIB)</t>
    </r>
  </si>
  <si>
    <t>2018-10-08</t>
  </si>
  <si>
    <r>
      <rPr>
        <sz val="9"/>
        <color rgb="FF000000"/>
        <rFont val="Arial"/>
        <charset val="134"/>
      </rPr>
      <t>General Atlantic</t>
    </r>
    <r>
      <rPr>
        <sz val="9"/>
        <color rgb="FF000000"/>
        <rFont val="楷体"/>
        <charset val="134"/>
      </rPr>
      <t>泛大西洋投资</t>
    </r>
  </si>
  <si>
    <t>2017-07-26</t>
  </si>
  <si>
    <t>Verlinvest,Lazada</t>
  </si>
  <si>
    <r>
      <rPr>
        <sz val="9"/>
        <color rgb="FF000000"/>
        <rFont val="Arial"/>
        <charset val="134"/>
      </rPr>
      <t>IFC</t>
    </r>
    <r>
      <rPr>
        <sz val="9"/>
        <color rgb="FF000000"/>
        <rFont val="楷体"/>
        <charset val="134"/>
      </rPr>
      <t>国际金融公司</t>
    </r>
  </si>
  <si>
    <r>
      <rPr>
        <sz val="9"/>
        <color rgb="FF000000"/>
        <rFont val="Arial"/>
        <charset val="134"/>
      </rPr>
      <t>Lightspeed Venture Partners</t>
    </r>
    <r>
      <rPr>
        <sz val="9"/>
        <color rgb="FF000000"/>
        <rFont val="楷体"/>
        <charset val="134"/>
      </rPr>
      <t>光速全球</t>
    </r>
    <r>
      <rPr>
        <sz val="9"/>
        <color rgb="FF000000"/>
        <rFont val="Arial"/>
        <charset val="134"/>
      </rPr>
      <t>,Sequoia Capital</t>
    </r>
    <r>
      <rPr>
        <sz val="9"/>
        <color rgb="FF000000"/>
        <rFont val="楷体"/>
        <charset val="134"/>
      </rPr>
      <t>红杉</t>
    </r>
    <r>
      <rPr>
        <sz val="9"/>
        <color rgb="FF000000"/>
        <rFont val="Arial"/>
        <charset val="134"/>
      </rPr>
      <t>,Sofina,Times Internet,Chan Zuckerberg Initiative</t>
    </r>
  </si>
  <si>
    <t>2016-03-22</t>
  </si>
  <si>
    <r>
      <rPr>
        <sz val="9"/>
        <color rgb="FF000000"/>
        <rFont val="Arial"/>
        <charset val="134"/>
      </rPr>
      <t>Lightspeed Venture Partners</t>
    </r>
    <r>
      <rPr>
        <sz val="9"/>
        <color rgb="FF000000"/>
        <rFont val="楷体"/>
        <charset val="134"/>
      </rPr>
      <t>光速全球</t>
    </r>
    <r>
      <rPr>
        <sz val="9"/>
        <color rgb="FF000000"/>
        <rFont val="Arial"/>
        <charset val="134"/>
      </rPr>
      <t>,Sequoia Capital</t>
    </r>
    <r>
      <rPr>
        <sz val="9"/>
        <color rgb="FF000000"/>
        <rFont val="楷体"/>
        <charset val="134"/>
      </rPr>
      <t>红杉</t>
    </r>
    <r>
      <rPr>
        <sz val="9"/>
        <color rgb="FF000000"/>
        <rFont val="Arial"/>
        <charset val="134"/>
      </rPr>
      <t>,Sofina,Lightspeed India Partners</t>
    </r>
  </si>
  <si>
    <t>2013-09-10</t>
  </si>
  <si>
    <t>Aarin Capital</t>
  </si>
  <si>
    <t>2022-08-12</t>
  </si>
  <si>
    <t>Dana</t>
  </si>
  <si>
    <r>
      <rPr>
        <sz val="9"/>
        <color rgb="FF000000"/>
        <rFont val="Arial"/>
        <charset val="134"/>
      </rPr>
      <t>Dana</t>
    </r>
    <r>
      <rPr>
        <sz val="9"/>
        <color rgb="FF000000"/>
        <rFont val="楷体"/>
        <charset val="134"/>
      </rPr>
      <t>是印尼一家电子钱包提供商，为个人用户和商户提供二维码转账、在线信用卡交易等服务，此外通过</t>
    </r>
    <r>
      <rPr>
        <sz val="9"/>
        <color rgb="FF000000"/>
        <rFont val="Arial"/>
        <charset val="134"/>
      </rPr>
      <t>Dana</t>
    </r>
    <r>
      <rPr>
        <sz val="9"/>
        <color rgb="FF000000"/>
        <rFont val="楷体"/>
        <charset val="134"/>
      </rPr>
      <t>，用户还可以进行缴手机费、固话费、缴付水电费、缴纳社保等生活服务。</t>
    </r>
  </si>
  <si>
    <t>https://dana.id/</t>
  </si>
  <si>
    <t>数字货币</t>
  </si>
  <si>
    <r>
      <rPr>
        <sz val="9"/>
        <color rgb="FF000000"/>
        <rFont val="Arial"/>
        <charset val="134"/>
      </rPr>
      <t>Sinar Mas Group/</t>
    </r>
    <r>
      <rPr>
        <sz val="9"/>
        <color rgb="FF000000"/>
        <rFont val="楷体"/>
        <charset val="134"/>
      </rPr>
      <t>金光集团</t>
    </r>
    <r>
      <rPr>
        <sz val="9"/>
        <color rgb="FF000000"/>
        <rFont val="Arial"/>
        <charset val="134"/>
      </rPr>
      <t>,Lazada</t>
    </r>
  </si>
  <si>
    <r>
      <rPr>
        <sz val="9"/>
        <color rgb="FF000000"/>
        <rFont val="Arial"/>
        <charset val="134"/>
      </rPr>
      <t>16.25</t>
    </r>
    <r>
      <rPr>
        <sz val="9"/>
        <color rgb="FF000000"/>
        <rFont val="楷体"/>
        <charset val="134"/>
      </rPr>
      <t>亿</t>
    </r>
  </si>
  <si>
    <t>Andy Pyle:EHS Consultant,Timothy R. Kraus:SVP &amp; Chief Financial Officer,Tricia Barnhart:Senior Finance Manager SSO Process Improvements</t>
  </si>
  <si>
    <t>2019-09-11</t>
  </si>
  <si>
    <t>TNG Digital</t>
  </si>
  <si>
    <r>
      <rPr>
        <sz val="9"/>
        <color rgb="FF000000"/>
        <rFont val="Arial"/>
        <charset val="134"/>
      </rPr>
      <t>TNG Digital</t>
    </r>
    <r>
      <rPr>
        <sz val="9"/>
        <color rgb="FF000000"/>
        <rFont val="楷体"/>
        <charset val="134"/>
      </rPr>
      <t>是一家电子钱包运营商，为用户提供电子钱包</t>
    </r>
    <r>
      <rPr>
        <sz val="9"/>
        <color rgb="FF000000"/>
        <rFont val="Arial"/>
        <charset val="134"/>
      </rPr>
      <t>“Touch 'n Go”</t>
    </r>
    <r>
      <rPr>
        <sz val="9"/>
        <color rgb="FF000000"/>
        <rFont val="楷体"/>
        <charset val="134"/>
      </rPr>
      <t>和城市支付在线支付平台，致力于提高支付便利性。</t>
    </r>
  </si>
  <si>
    <r>
      <rPr>
        <sz val="9"/>
        <color rgb="FF000000"/>
        <rFont val="楷体"/>
        <charset val="134"/>
      </rPr>
      <t>亚洲</t>
    </r>
    <r>
      <rPr>
        <sz val="9"/>
        <color rgb="FF000000"/>
        <rFont val="Arial"/>
        <charset val="134"/>
      </rPr>
      <t>-</t>
    </r>
    <r>
      <rPr>
        <sz val="9"/>
        <color rgb="FF000000"/>
        <rFont val="楷体"/>
        <charset val="134"/>
      </rPr>
      <t>马来西亚</t>
    </r>
  </si>
  <si>
    <r>
      <rPr>
        <sz val="9"/>
        <color rgb="FF000000"/>
        <rFont val="Arial"/>
        <charset val="134"/>
      </rPr>
      <t>1.68</t>
    </r>
    <r>
      <rPr>
        <sz val="9"/>
        <color rgb="FF000000"/>
        <rFont val="楷体"/>
        <charset val="134"/>
      </rPr>
      <t>亿美元</t>
    </r>
  </si>
  <si>
    <t>Lazada,Touch'n Go</t>
  </si>
  <si>
    <r>
      <rPr>
        <sz val="9"/>
        <color rgb="FF000000"/>
        <rFont val="Arial"/>
        <charset val="134"/>
      </rPr>
      <t>54.6</t>
    </r>
    <r>
      <rPr>
        <sz val="9"/>
        <color rgb="FF000000"/>
        <rFont val="楷体"/>
        <charset val="134"/>
      </rPr>
      <t>亿元</t>
    </r>
  </si>
  <si>
    <t>Alan Ni:COO,Danny Chua Khi Siang:Chief Commercial Officer,Gavin Zhao:CTO,Ignatius Ong:CEO,Izra Izzuddin:Director of Marketing and Communications,Jayden Wong:Chief Information Officer,Teh Huey Tzi:Chief Risk Officer,Wilson Soon:CFO</t>
  </si>
  <si>
    <r>
      <t>2020</t>
    </r>
    <r>
      <rPr>
        <b/>
        <sz val="10"/>
        <color theme="1"/>
        <rFont val="楷体"/>
        <charset val="134"/>
      </rPr>
      <t>年以来阿里系投资数量时间分布</t>
    </r>
  </si>
  <si>
    <r>
      <t>2020</t>
    </r>
    <r>
      <rPr>
        <b/>
        <sz val="10"/>
        <color theme="1"/>
        <rFont val="楷体"/>
        <charset val="134"/>
      </rPr>
      <t>年以来阿里投资非上市企业行业分布</t>
    </r>
  </si>
  <si>
    <r>
      <rPr>
        <i/>
        <sz val="8"/>
        <color theme="1"/>
        <rFont val="楷体"/>
        <charset val="134"/>
      </rPr>
      <t>注：上述数据截至</t>
    </r>
    <r>
      <rPr>
        <i/>
        <sz val="8"/>
        <color theme="1"/>
        <rFont val="Arial"/>
        <charset val="134"/>
      </rPr>
      <t>2023</t>
    </r>
    <r>
      <rPr>
        <i/>
        <sz val="8"/>
        <color theme="1"/>
        <rFont val="楷体"/>
        <charset val="134"/>
      </rPr>
      <t>年</t>
    </r>
    <r>
      <rPr>
        <i/>
        <sz val="8"/>
        <color theme="1"/>
        <rFont val="Arial"/>
        <charset val="134"/>
      </rPr>
      <t>7</t>
    </r>
    <r>
      <rPr>
        <i/>
        <sz val="8"/>
        <color theme="1"/>
        <rFont val="楷体"/>
        <charset val="134"/>
      </rPr>
      <t>月</t>
    </r>
    <r>
      <rPr>
        <i/>
        <sz val="8"/>
        <color theme="1"/>
        <rFont val="Arial"/>
        <charset val="134"/>
      </rPr>
      <t>29</t>
    </r>
    <r>
      <rPr>
        <i/>
        <sz val="8"/>
        <color theme="1"/>
        <rFont val="楷体"/>
        <charset val="134"/>
      </rPr>
      <t>日</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</si>
</sst>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
  </numFmts>
  <fonts count="40">
    <font>
      <sz val="11"/>
      <color rgb="FF000000"/>
      <name val="Calibri"/>
      <charset val="134"/>
    </font>
    <font>
      <b/>
      <sz val="9"/>
      <color rgb="FF000000"/>
      <name val="Arial"/>
      <charset val="134"/>
    </font>
    <font>
      <sz val="9"/>
      <color rgb="FF000000"/>
      <name val="Arial"/>
      <charset val="134"/>
    </font>
    <font>
      <b/>
      <sz val="9"/>
      <color rgb="FF000000"/>
      <name val="楷体"/>
      <charset val="134"/>
    </font>
    <font>
      <sz val="9"/>
      <color rgb="FF000000"/>
      <name val="楷体"/>
      <charset val="134"/>
    </font>
    <font>
      <sz val="9"/>
      <color rgb="FF000000"/>
      <name val="楷体"/>
      <charset val="134"/>
    </font>
    <font>
      <sz val="9"/>
      <color rgb="FF000000"/>
      <name val="Arial"/>
      <charset val="134"/>
    </font>
    <font>
      <b/>
      <sz val="9"/>
      <color rgb="FF000000"/>
      <name val="Arial"/>
      <charset val="134"/>
    </font>
    <font>
      <sz val="9"/>
      <color rgb="FF000000"/>
      <name val="Arial"/>
      <charset val="134"/>
    </font>
    <font>
      <sz val="12"/>
      <color theme="1"/>
      <name val="Arial"/>
      <charset val="134"/>
    </font>
    <font>
      <sz val="9"/>
      <color theme="0"/>
      <name val="Arial"/>
      <charset val="134"/>
    </font>
    <font>
      <b/>
      <sz val="14"/>
      <color rgb="FFC00000"/>
      <name val="Arial"/>
      <charset val="134"/>
    </font>
    <font>
      <b/>
      <sz val="14"/>
      <color rgb="FFC00000"/>
      <name val="Arial"/>
      <charset val="134"/>
    </font>
    <font>
      <b/>
      <sz val="9"/>
      <color theme="1"/>
      <name val="Arial"/>
      <charset val="134"/>
    </font>
    <font>
      <b/>
      <sz val="9"/>
      <color theme="1"/>
      <name val="Arial"/>
      <charset val="134"/>
    </font>
    <font>
      <sz val="10"/>
      <color theme="0"/>
      <name val="Arial"/>
      <charset val="134"/>
    </font>
    <font>
      <sz val="10"/>
      <color theme="1"/>
      <name val="Arial"/>
      <charset val="134"/>
    </font>
    <font>
      <b/>
      <sz val="10"/>
      <color theme="1"/>
      <name val="Arial"/>
      <charset val="134"/>
    </font>
    <font>
      <i/>
      <sz val="10"/>
      <color theme="1"/>
      <name val="Arial"/>
      <charset val="134"/>
    </font>
    <font>
      <i/>
      <sz val="8"/>
      <color theme="1"/>
      <name val="Arial"/>
      <charset val="134"/>
    </font>
    <font>
      <i/>
      <sz val="8"/>
      <color theme="1"/>
      <name val="Arial"/>
      <charset val="134"/>
    </font>
    <font>
      <sz val="9"/>
      <color theme="0"/>
      <name val="Arial"/>
      <charset val="134"/>
    </font>
    <font>
      <sz val="16"/>
      <color rgb="FFC00000"/>
      <name val="Arial"/>
      <charset val="134"/>
    </font>
    <font>
      <sz val="11"/>
      <color rgb="FFC00000"/>
      <name val="Arial"/>
      <charset val="134"/>
    </font>
    <font>
      <i/>
      <sz val="9"/>
      <color rgb="FF000000"/>
      <name val="Arial"/>
      <charset val="134"/>
    </font>
    <font>
      <sz val="9"/>
      <color rgb="FFC00000"/>
      <name val="Arial"/>
      <charset val="134"/>
    </font>
    <font>
      <sz val="9"/>
      <name val="Arial"/>
      <charset val="134"/>
    </font>
    <font>
      <sz val="11"/>
      <name val="Arial"/>
      <charset val="134"/>
    </font>
    <font>
      <sz val="11"/>
      <color rgb="FF000000"/>
      <name val="Arial"/>
      <charset val="134"/>
    </font>
    <font>
      <sz val="11"/>
      <color rgb="FF000000"/>
      <name val="Arial"/>
      <charset val="134"/>
    </font>
    <font>
      <sz val="11"/>
      <color rgb="FF000000"/>
      <name val="Calibri"/>
      <charset val="134"/>
    </font>
    <font>
      <sz val="11"/>
      <color theme="1"/>
      <name val="Calibri"/>
      <charset val="134"/>
      <scheme val="minor"/>
    </font>
    <font>
      <sz val="9"/>
      <color rgb="FF000000"/>
      <name val="宋体"/>
      <charset val="134"/>
    </font>
    <font>
      <b/>
      <sz val="14"/>
      <color rgb="FFC00000"/>
      <name val="楷体"/>
      <charset val="134"/>
    </font>
    <font>
      <b/>
      <sz val="9"/>
      <color theme="1"/>
      <name val="楷体"/>
      <charset val="134"/>
    </font>
    <font>
      <sz val="9"/>
      <name val="楷体"/>
      <charset val="134"/>
    </font>
    <font>
      <sz val="9"/>
      <color rgb="FFC00000"/>
      <name val="楷体"/>
      <charset val="134"/>
    </font>
    <font>
      <b/>
      <sz val="10"/>
      <color theme="1"/>
      <name val="楷体"/>
      <charset val="134"/>
    </font>
    <font>
      <i/>
      <sz val="8"/>
      <color theme="1"/>
      <name val="楷体"/>
      <charset val="134"/>
    </font>
    <font>
      <sz val="9"/>
      <color theme="0"/>
      <name val="楷体"/>
      <charset val="134"/>
    </font>
  </fonts>
  <fills count="8">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rgb="FF003778"/>
        <bgColor indexed="64"/>
      </patternFill>
    </fill>
    <fill>
      <patternFill patternType="solid">
        <fgColor theme="8" tint="0.79989013336588644"/>
        <bgColor indexed="64"/>
      </patternFill>
    </fill>
    <fill>
      <patternFill patternType="solid">
        <fgColor theme="0" tint="-4.9989318521683403E-2"/>
        <bgColor indexed="64"/>
      </patternFill>
    </fill>
    <fill>
      <patternFill patternType="solid">
        <fgColor theme="0"/>
        <bgColor indexed="64"/>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3">
    <xf numFmtId="0" fontId="0" fillId="0" borderId="0"/>
    <xf numFmtId="0" fontId="30" fillId="0" borderId="0"/>
    <xf numFmtId="9" fontId="31" fillId="0" borderId="0" applyFont="0" applyFill="0" applyBorder="0" applyAlignment="0" applyProtection="0">
      <alignment vertical="center"/>
    </xf>
  </cellStyleXfs>
  <cellXfs count="115">
    <xf numFmtId="0" fontId="0" fillId="0" borderId="0" xfId="0"/>
    <xf numFmtId="0" fontId="1" fillId="0" borderId="0" xfId="0" applyFont="1" applyAlignment="1">
      <alignment vertical="center"/>
    </xf>
    <xf numFmtId="0" fontId="2" fillId="0" borderId="0" xfId="0" applyFont="1" applyAlignment="1">
      <alignment vertical="center"/>
    </xf>
    <xf numFmtId="0" fontId="0" fillId="2" borderId="0" xfId="0" applyFill="1" applyAlignment="1">
      <alignment vertical="center"/>
    </xf>
    <xf numFmtId="0" fontId="0" fillId="0" borderId="0" xfId="0" applyAlignment="1">
      <alignment vertical="top"/>
    </xf>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vertical="center"/>
    </xf>
    <xf numFmtId="0" fontId="3" fillId="3" borderId="0" xfId="0" applyFont="1" applyFill="1" applyAlignment="1">
      <alignment vertical="top"/>
    </xf>
    <xf numFmtId="0" fontId="3" fillId="3" borderId="0" xfId="0" applyFont="1" applyFill="1" applyAlignment="1">
      <alignment vertical="center"/>
    </xf>
    <xf numFmtId="0" fontId="3" fillId="3" borderId="0" xfId="0" applyFont="1" applyFill="1" applyAlignment="1">
      <alignment vertical="center" wrapText="1"/>
    </xf>
    <xf numFmtId="0" fontId="2" fillId="2" borderId="0" xfId="0" applyFont="1" applyFill="1" applyAlignment="1">
      <alignment vertical="center"/>
    </xf>
    <xf numFmtId="0" fontId="4" fillId="0" borderId="0" xfId="0" applyFont="1" applyAlignment="1">
      <alignment horizontal="left" vertical="top"/>
    </xf>
    <xf numFmtId="0" fontId="2" fillId="0" borderId="0" xfId="0" applyFont="1" applyAlignment="1">
      <alignment horizontal="left" vertical="center"/>
    </xf>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2" fillId="0" borderId="0" xfId="0" applyFont="1" applyAlignment="1">
      <alignment horizontal="left" vertical="top"/>
    </xf>
    <xf numFmtId="0" fontId="2" fillId="0" borderId="0" xfId="0" applyFont="1" applyAlignment="1">
      <alignment horizontal="left" vertical="center" wrapText="1"/>
    </xf>
    <xf numFmtId="0" fontId="5" fillId="0" borderId="0" xfId="0" applyFont="1" applyAlignment="1">
      <alignment horizontal="left" vertical="center"/>
    </xf>
    <xf numFmtId="0" fontId="6" fillId="0" borderId="0" xfId="0" applyFont="1" applyAlignment="1">
      <alignment vertical="center"/>
    </xf>
    <xf numFmtId="0" fontId="2" fillId="0" borderId="0" xfId="0" applyFont="1" applyAlignment="1">
      <alignment vertical="center" wrapText="1"/>
    </xf>
    <xf numFmtId="0" fontId="7" fillId="3" borderId="0" xfId="0" applyFont="1" applyFill="1" applyAlignment="1">
      <alignment vertical="center"/>
    </xf>
    <xf numFmtId="0" fontId="7" fillId="3" borderId="0" xfId="0" applyFont="1" applyFill="1" applyAlignment="1">
      <alignment vertical="center" wrapText="1"/>
    </xf>
    <xf numFmtId="14" fontId="2" fillId="0" borderId="0" xfId="0" applyNumberFormat="1" applyFont="1" applyAlignment="1">
      <alignment horizontal="left" vertical="center"/>
    </xf>
    <xf numFmtId="0" fontId="6" fillId="0" borderId="0" xfId="0" applyFont="1" applyAlignment="1">
      <alignment horizontal="left" vertical="center"/>
    </xf>
    <xf numFmtId="0" fontId="2" fillId="2" borderId="0" xfId="0" applyFont="1" applyFill="1"/>
    <xf numFmtId="0" fontId="2" fillId="0" borderId="0" xfId="0" applyFont="1"/>
    <xf numFmtId="0" fontId="5" fillId="0" borderId="0" xfId="0" applyFont="1"/>
    <xf numFmtId="0" fontId="3" fillId="3" borderId="0" xfId="0" applyFont="1" applyFill="1"/>
    <xf numFmtId="0" fontId="4" fillId="2" borderId="0" xfId="0" applyFont="1" applyFill="1" applyAlignment="1">
      <alignment vertical="top"/>
    </xf>
    <xf numFmtId="0" fontId="5" fillId="0" borderId="0" xfId="0" applyFont="1" applyAlignment="1">
      <alignment vertical="top"/>
    </xf>
    <xf numFmtId="0" fontId="4" fillId="0" borderId="0" xfId="0" applyFont="1" applyAlignment="1">
      <alignment horizontal="left" vertical="top" wrapText="1"/>
    </xf>
    <xf numFmtId="0" fontId="2" fillId="2" borderId="0" xfId="0" applyFont="1" applyFill="1" applyAlignment="1">
      <alignment vertical="top"/>
    </xf>
    <xf numFmtId="0" fontId="2" fillId="0" borderId="0" xfId="0" applyFont="1" applyAlignment="1">
      <alignment horizontal="left" vertical="top" wrapText="1"/>
    </xf>
    <xf numFmtId="0" fontId="4" fillId="0" borderId="0" xfId="0" applyFont="1" applyAlignment="1">
      <alignment vertical="top"/>
    </xf>
    <xf numFmtId="14" fontId="2" fillId="0" borderId="0" xfId="0" applyNumberFormat="1" applyFont="1" applyAlignment="1">
      <alignment horizontal="left" vertical="top"/>
    </xf>
    <xf numFmtId="0" fontId="2" fillId="0" borderId="0" xfId="0" applyFont="1" applyAlignment="1">
      <alignment vertical="top"/>
    </xf>
    <xf numFmtId="0" fontId="5" fillId="0" borderId="0" xfId="0" applyFont="1" applyAlignment="1">
      <alignment horizontal="left" vertical="top"/>
    </xf>
    <xf numFmtId="0" fontId="8" fillId="0" borderId="0" xfId="1" applyFont="1" applyAlignment="1">
      <alignment vertical="center"/>
    </xf>
    <xf numFmtId="0" fontId="9" fillId="0" borderId="0" xfId="1" applyFont="1" applyAlignment="1">
      <alignment vertical="center"/>
    </xf>
    <xf numFmtId="0" fontId="10" fillId="0" borderId="0" xfId="1" applyFont="1" applyAlignment="1">
      <alignment vertical="center"/>
    </xf>
    <xf numFmtId="0" fontId="9" fillId="4" borderId="0" xfId="1" applyFont="1" applyFill="1" applyAlignment="1">
      <alignment vertical="center"/>
    </xf>
    <xf numFmtId="0" fontId="16" fillId="2" borderId="0" xfId="1" applyFont="1" applyFill="1" applyAlignment="1">
      <alignment horizontal="center" vertical="top"/>
    </xf>
    <xf numFmtId="0" fontId="16" fillId="2" borderId="0" xfId="1" applyFont="1" applyFill="1" applyAlignment="1">
      <alignment vertical="top" wrapText="1"/>
    </xf>
    <xf numFmtId="0" fontId="20" fillId="2" borderId="0" xfId="1" applyFont="1" applyFill="1" applyAlignment="1">
      <alignment horizontal="right" vertical="center" wrapText="1"/>
    </xf>
    <xf numFmtId="0" fontId="1" fillId="5" borderId="0" xfId="1" applyFont="1" applyFill="1" applyAlignment="1">
      <alignment vertical="center"/>
    </xf>
    <xf numFmtId="0" fontId="7" fillId="5" borderId="0" xfId="1" applyFont="1" applyFill="1" applyAlignment="1">
      <alignment vertical="center"/>
    </xf>
    <xf numFmtId="0" fontId="7" fillId="5" borderId="0" xfId="1" applyFont="1" applyFill="1" applyAlignment="1">
      <alignment horizontal="right" vertical="center"/>
    </xf>
    <xf numFmtId="0" fontId="22" fillId="2" borderId="0" xfId="1" applyFont="1" applyFill="1" applyAlignment="1">
      <alignment vertical="center" wrapText="1"/>
    </xf>
    <xf numFmtId="0" fontId="7" fillId="6" borderId="0" xfId="1" applyFont="1" applyFill="1" applyAlignment="1">
      <alignment vertical="center"/>
    </xf>
    <xf numFmtId="0" fontId="1" fillId="6" borderId="0" xfId="1" applyFont="1" applyFill="1" applyAlignment="1">
      <alignment vertical="center"/>
    </xf>
    <xf numFmtId="0" fontId="6" fillId="0" borderId="0" xfId="1" applyFont="1" applyAlignment="1">
      <alignment vertical="center"/>
    </xf>
    <xf numFmtId="166" fontId="24" fillId="0" borderId="0" xfId="1" applyNumberFormat="1" applyFont="1" applyAlignment="1">
      <alignment vertical="center"/>
    </xf>
    <xf numFmtId="0" fontId="19" fillId="2" borderId="0" xfId="1" applyFont="1" applyFill="1" applyAlignment="1">
      <alignment horizontal="right" vertical="center"/>
    </xf>
    <xf numFmtId="166" fontId="10" fillId="0" borderId="0" xfId="1" applyNumberFormat="1" applyFont="1" applyAlignment="1">
      <alignment vertical="center"/>
    </xf>
    <xf numFmtId="0" fontId="25" fillId="0" borderId="0" xfId="1" applyFont="1" applyAlignment="1">
      <alignment vertical="center"/>
    </xf>
    <xf numFmtId="166" fontId="25" fillId="0" borderId="0" xfId="1" applyNumberFormat="1" applyFont="1" applyAlignment="1">
      <alignment vertical="center"/>
    </xf>
    <xf numFmtId="0" fontId="1" fillId="0" borderId="0" xfId="1" applyFont="1" applyAlignment="1">
      <alignment vertical="center"/>
    </xf>
    <xf numFmtId="0" fontId="8" fillId="5" borderId="0" xfId="1" applyFont="1" applyFill="1" applyAlignment="1">
      <alignment vertical="center"/>
    </xf>
    <xf numFmtId="0" fontId="8" fillId="0" borderId="0" xfId="1" applyFont="1" applyAlignment="1">
      <alignment horizontal="right" vertical="center"/>
    </xf>
    <xf numFmtId="0" fontId="26" fillId="2" borderId="0" xfId="1" applyFont="1" applyFill="1" applyAlignment="1">
      <alignment vertical="center"/>
    </xf>
    <xf numFmtId="0" fontId="8" fillId="7" borderId="0" xfId="1" applyFont="1" applyFill="1" applyAlignment="1">
      <alignment vertical="center"/>
    </xf>
    <xf numFmtId="167" fontId="8" fillId="7" borderId="0" xfId="1" applyNumberFormat="1" applyFont="1" applyFill="1" applyAlignment="1">
      <alignment vertical="center"/>
    </xf>
    <xf numFmtId="0" fontId="8" fillId="7" borderId="0" xfId="1" applyFont="1" applyFill="1"/>
    <xf numFmtId="0" fontId="26" fillId="7" borderId="0" xfId="1" applyFont="1" applyFill="1" applyAlignment="1">
      <alignment horizontal="left" vertical="center"/>
    </xf>
    <xf numFmtId="0" fontId="8" fillId="2" borderId="0" xfId="1" applyFont="1" applyFill="1"/>
    <xf numFmtId="0" fontId="26" fillId="7" borderId="0" xfId="1" applyFont="1" applyFill="1" applyAlignment="1">
      <alignment vertical="center"/>
    </xf>
    <xf numFmtId="0" fontId="8" fillId="2" borderId="0" xfId="1" applyFont="1" applyFill="1" applyAlignment="1">
      <alignment vertical="center"/>
    </xf>
    <xf numFmtId="0" fontId="8" fillId="0" borderId="0" xfId="1" applyFont="1"/>
    <xf numFmtId="0" fontId="8" fillId="0" borderId="1" xfId="0" applyFont="1" applyBorder="1"/>
    <xf numFmtId="0" fontId="8" fillId="0" borderId="2" xfId="0" applyFont="1" applyBorder="1"/>
    <xf numFmtId="0" fontId="27" fillId="0" borderId="0" xfId="0" applyFont="1"/>
    <xf numFmtId="0" fontId="26" fillId="0" borderId="0" xfId="1" applyFont="1"/>
    <xf numFmtId="0" fontId="28" fillId="0" borderId="0" xfId="1" applyFont="1"/>
    <xf numFmtId="0" fontId="8" fillId="0" borderId="1" xfId="0" applyFont="1" applyBorder="1" applyAlignment="1">
      <alignment horizontal="left"/>
    </xf>
    <xf numFmtId="166" fontId="26" fillId="0" borderId="0" xfId="2" applyNumberFormat="1" applyFont="1" applyAlignment="1"/>
    <xf numFmtId="0" fontId="8" fillId="0" borderId="3" xfId="0" applyFont="1" applyBorder="1" applyAlignment="1">
      <alignment horizontal="left"/>
    </xf>
    <xf numFmtId="0" fontId="8" fillId="0" borderId="4" xfId="0" applyFont="1" applyBorder="1"/>
    <xf numFmtId="0" fontId="25" fillId="0" borderId="3" xfId="0" applyFont="1" applyBorder="1" applyAlignment="1">
      <alignment horizontal="left"/>
    </xf>
    <xf numFmtId="0" fontId="25" fillId="0" borderId="4" xfId="0" applyFont="1" applyBorder="1"/>
    <xf numFmtId="166" fontId="25" fillId="0" borderId="0" xfId="2" applyNumberFormat="1" applyFont="1" applyAlignment="1"/>
    <xf numFmtId="0" fontId="25" fillId="0" borderId="0" xfId="1" applyFont="1"/>
    <xf numFmtId="0" fontId="8" fillId="0" borderId="5" xfId="0" applyFont="1" applyBorder="1" applyAlignment="1">
      <alignment horizontal="left"/>
    </xf>
    <xf numFmtId="0" fontId="8" fillId="0" borderId="6" xfId="0" applyFont="1" applyBorder="1"/>
    <xf numFmtId="0" fontId="29" fillId="0" borderId="0" xfId="0" applyFont="1"/>
    <xf numFmtId="166" fontId="8" fillId="0" borderId="0" xfId="2" applyNumberFormat="1" applyFont="1" applyAlignment="1"/>
    <xf numFmtId="167" fontId="8" fillId="0" borderId="0" xfId="1" applyNumberFormat="1" applyFont="1" applyAlignment="1">
      <alignment vertical="center"/>
    </xf>
    <xf numFmtId="0" fontId="26" fillId="2" borderId="0" xfId="1" applyFont="1" applyFill="1" applyAlignment="1">
      <alignment horizontal="left" vertical="center"/>
    </xf>
    <xf numFmtId="0" fontId="26" fillId="0" borderId="0" xfId="1" applyFont="1" applyAlignment="1">
      <alignment vertical="center"/>
    </xf>
    <xf numFmtId="0" fontId="26" fillId="0" borderId="0" xfId="1" applyFont="1" applyAlignment="1">
      <alignment horizontal="left" vertical="center"/>
    </xf>
    <xf numFmtId="14" fontId="23" fillId="2" borderId="0" xfId="1" applyNumberFormat="1" applyFont="1" applyFill="1" applyAlignment="1">
      <alignment horizontal="left" vertical="center" wrapText="1" indent="5"/>
    </xf>
    <xf numFmtId="0" fontId="23" fillId="2" borderId="0" xfId="1" applyFont="1" applyFill="1" applyAlignment="1">
      <alignment horizontal="left" vertical="center" wrapText="1" indent="5"/>
    </xf>
    <xf numFmtId="0" fontId="13" fillId="2" borderId="0" xfId="1" applyFont="1" applyFill="1" applyAlignment="1">
      <alignment horizontal="center" vertical="center" wrapText="1"/>
    </xf>
    <xf numFmtId="0" fontId="14" fillId="2" borderId="0" xfId="1" applyFont="1" applyFill="1" applyAlignment="1">
      <alignment horizontal="center" vertical="center" wrapText="1"/>
    </xf>
    <xf numFmtId="0" fontId="15" fillId="4" borderId="0" xfId="1" applyFont="1" applyFill="1" applyAlignment="1">
      <alignment horizontal="left" vertical="center"/>
    </xf>
    <xf numFmtId="0" fontId="16" fillId="2" borderId="0" xfId="1" applyFont="1" applyFill="1" applyAlignment="1">
      <alignment horizontal="center" vertical="top"/>
    </xf>
    <xf numFmtId="0" fontId="17" fillId="2" borderId="0" xfId="1" applyFont="1" applyFill="1" applyAlignment="1">
      <alignment horizontal="center" vertical="top"/>
    </xf>
    <xf numFmtId="0" fontId="18" fillId="2" borderId="0" xfId="1" applyFont="1" applyFill="1" applyAlignment="1">
      <alignment horizontal="right" vertical="center" wrapText="1"/>
    </xf>
    <xf numFmtId="0" fontId="17" fillId="2" borderId="0" xfId="1" applyFont="1" applyFill="1" applyAlignment="1">
      <alignment horizontal="left" vertical="center"/>
    </xf>
    <xf numFmtId="0" fontId="19" fillId="2" borderId="0" xfId="1" applyFont="1" applyFill="1" applyAlignment="1">
      <alignment horizontal="right" vertical="center" wrapText="1"/>
    </xf>
    <xf numFmtId="0" fontId="20" fillId="2" borderId="0" xfId="1" applyFont="1" applyFill="1" applyAlignment="1">
      <alignment horizontal="right" vertical="center" wrapText="1"/>
    </xf>
    <xf numFmtId="0" fontId="16" fillId="2" borderId="0" xfId="1" applyFont="1" applyFill="1" applyAlignment="1">
      <alignment horizontal="left" vertical="top" wrapText="1"/>
    </xf>
    <xf numFmtId="0" fontId="21" fillId="4" borderId="0" xfId="1" applyFont="1" applyFill="1" applyAlignment="1">
      <alignment horizontal="left" vertical="center" wrapText="1"/>
    </xf>
    <xf numFmtId="0" fontId="10" fillId="4" borderId="0" xfId="1" applyFont="1" applyFill="1" applyAlignment="1">
      <alignment horizontal="left" vertical="center" wrapText="1"/>
    </xf>
    <xf numFmtId="0" fontId="11" fillId="2" borderId="0" xfId="1" applyFont="1" applyFill="1" applyAlignment="1">
      <alignment horizontal="center" vertical="center" wrapText="1"/>
    </xf>
    <xf numFmtId="0" fontId="12" fillId="2" borderId="0" xfId="1" applyFont="1" applyFill="1" applyAlignment="1">
      <alignment horizontal="center" vertical="center" wrapText="1"/>
    </xf>
    <xf numFmtId="0" fontId="4"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Alignment="1">
      <alignment horizontal="left" vertical="center" wrapText="1"/>
    </xf>
  </cellXfs>
  <cellStyles count="3">
    <cellStyle name="Normal" xfId="0" builtinId="0"/>
    <cellStyle name="Normal 2" xfId="1" xr:uid="{00000000-0005-0000-0000-000020000000}"/>
    <cellStyle name="Percent 2" xfId="2" xr:uid="{00000000-0005-0000-0000-00002C000000}"/>
  </cellStyles>
  <dxfs count="18">
    <dxf>
      <font>
        <name val="Arial"/>
        <scheme val="none"/>
      </font>
    </dxf>
    <dxf>
      <font>
        <name val="楷体"/>
        <scheme val="none"/>
      </font>
    </dxf>
    <dxf>
      <font>
        <name val="Arial"/>
        <scheme val="none"/>
      </font>
    </dxf>
    <dxf>
      <font>
        <name val="楷体"/>
        <scheme val="non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name val="Arial"/>
        <scheme val="none"/>
      </font>
    </dxf>
    <dxf>
      <font>
        <name val="楷体"/>
        <scheme val="none"/>
      </font>
    </dxf>
    <dxf>
      <font>
        <sz val="9"/>
        <charset val="134"/>
      </font>
    </dxf>
    <dxf>
      <font>
        <sz val="9"/>
        <charset val="134"/>
      </font>
    </dxf>
    <dxf>
      <font>
        <sz val="9"/>
        <charset val="134"/>
      </font>
    </dxf>
    <dxf>
      <font>
        <sz val="9"/>
        <charset val="134"/>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553551757856103E-2"/>
          <c:y val="0.13907167854018199"/>
          <c:w val="0.93618696815487901"/>
          <c:h val="0.77135566387534904"/>
        </c:manualLayout>
      </c:layout>
      <c:barChart>
        <c:barDir val="col"/>
        <c:grouping val="clustered"/>
        <c:varyColors val="0"/>
        <c:ser>
          <c:idx val="0"/>
          <c:order val="0"/>
          <c:spPr>
            <a:solidFill>
              <a:srgbClr val="0037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阿里系投资情况概览!$R$11:$R$14</c:f>
              <c:numCache>
                <c:formatCode>General</c:formatCode>
                <c:ptCount val="4"/>
                <c:pt idx="0">
                  <c:v>2020</c:v>
                </c:pt>
                <c:pt idx="1">
                  <c:v>2021</c:v>
                </c:pt>
                <c:pt idx="2">
                  <c:v>2022</c:v>
                </c:pt>
                <c:pt idx="3">
                  <c:v>2023</c:v>
                </c:pt>
              </c:numCache>
            </c:numRef>
          </c:cat>
          <c:val>
            <c:numRef>
              <c:f>阿里系投资情况概览!$S$11:$S$14</c:f>
              <c:numCache>
                <c:formatCode>General</c:formatCode>
                <c:ptCount val="4"/>
                <c:pt idx="0">
                  <c:v>64</c:v>
                </c:pt>
                <c:pt idx="1">
                  <c:v>89</c:v>
                </c:pt>
                <c:pt idx="2">
                  <c:v>37</c:v>
                </c:pt>
                <c:pt idx="3">
                  <c:v>19</c:v>
                </c:pt>
              </c:numCache>
            </c:numRef>
          </c:val>
          <c:extLst>
            <c:ext xmlns:c16="http://schemas.microsoft.com/office/drawing/2014/chart" uri="{C3380CC4-5D6E-409C-BE32-E72D297353CC}">
              <c16:uniqueId val="{00000000-035D-4310-89FA-7F30E55EBBA7}"/>
            </c:ext>
          </c:extLst>
        </c:ser>
        <c:dLbls>
          <c:showLegendKey val="0"/>
          <c:showVal val="1"/>
          <c:showCatName val="0"/>
          <c:showSerName val="0"/>
          <c:showPercent val="0"/>
          <c:showBubbleSize val="0"/>
        </c:dLbls>
        <c:gapWidth val="219"/>
        <c:axId val="149219648"/>
        <c:axId val="149220208"/>
      </c:barChart>
      <c:catAx>
        <c:axId val="14921964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0" spcFirstLastPara="1" vertOverflow="ellipsis" wrap="square" anchor="ctr" anchorCtr="1"/>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endParaRPr lang="en-US"/>
          </a:p>
        </c:txPr>
        <c:crossAx val="149220208"/>
        <c:crosses val="autoZero"/>
        <c:auto val="1"/>
        <c:lblAlgn val="ctr"/>
        <c:lblOffset val="100"/>
        <c:noMultiLvlLbl val="0"/>
      </c:catAx>
      <c:valAx>
        <c:axId val="149220208"/>
        <c:scaling>
          <c:orientation val="minMax"/>
        </c:scaling>
        <c:delete val="1"/>
        <c:axPos val="l"/>
        <c:numFmt formatCode="#,##0_);\(#,##0\)" sourceLinked="0"/>
        <c:majorTickMark val="out"/>
        <c:minorTickMark val="none"/>
        <c:tickLblPos val="nextTo"/>
        <c:crossAx val="149219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sz="700">
          <a:solidFill>
            <a:sysClr val="windowText" lastClr="000000"/>
          </a:solidFill>
          <a:latin typeface="Arial" panose="020B0604020202020204" pitchFamily="7" charset="0"/>
          <a:cs typeface="Arial" panose="020B0604020202020204" pitchFamily="7"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582045791303301"/>
          <c:y val="0.12235449735449699"/>
          <c:w val="0.46428571428571402"/>
          <c:h val="0.77380952380952395"/>
        </c:manualLayout>
      </c:layout>
      <c:pieChart>
        <c:varyColors val="1"/>
        <c:ser>
          <c:idx val="0"/>
          <c:order val="0"/>
          <c:spPr>
            <a:ln w="12700">
              <a:solidFill>
                <a:schemeClr val="bg1"/>
              </a:solidFill>
            </a:ln>
          </c:spPr>
          <c:dPt>
            <c:idx val="0"/>
            <c:bubble3D val="0"/>
            <c:spPr>
              <a:solidFill>
                <a:srgbClr val="003778"/>
              </a:solidFill>
              <a:ln w="12700">
                <a:solidFill>
                  <a:schemeClr val="bg1"/>
                </a:solidFill>
              </a:ln>
              <a:effectLst/>
            </c:spPr>
            <c:extLst>
              <c:ext xmlns:c16="http://schemas.microsoft.com/office/drawing/2014/chart" uri="{C3380CC4-5D6E-409C-BE32-E72D297353CC}">
                <c16:uniqueId val="{00000001-5363-474D-8855-C805EDCEA1EA}"/>
              </c:ext>
            </c:extLst>
          </c:dPt>
          <c:dPt>
            <c:idx val="1"/>
            <c:bubble3D val="0"/>
            <c:spPr>
              <a:solidFill>
                <a:schemeClr val="bg1">
                  <a:lumMod val="75000"/>
                </a:schemeClr>
              </a:solidFill>
              <a:ln w="12700">
                <a:solidFill>
                  <a:schemeClr val="bg1"/>
                </a:solidFill>
              </a:ln>
              <a:effectLst/>
            </c:spPr>
            <c:extLst>
              <c:ext xmlns:c16="http://schemas.microsoft.com/office/drawing/2014/chart" uri="{C3380CC4-5D6E-409C-BE32-E72D297353CC}">
                <c16:uniqueId val="{00000003-5363-474D-8855-C805EDCEA1EA}"/>
              </c:ext>
            </c:extLst>
          </c:dPt>
          <c:dPt>
            <c:idx val="2"/>
            <c:bubble3D val="0"/>
            <c:spPr>
              <a:solidFill>
                <a:srgbClr val="5F82AA"/>
              </a:solidFill>
              <a:ln w="12700">
                <a:solidFill>
                  <a:schemeClr val="bg1"/>
                </a:solidFill>
              </a:ln>
              <a:effectLst/>
            </c:spPr>
            <c:extLst>
              <c:ext xmlns:c16="http://schemas.microsoft.com/office/drawing/2014/chart" uri="{C3380CC4-5D6E-409C-BE32-E72D297353CC}">
                <c16:uniqueId val="{00000005-5363-474D-8855-C805EDCEA1EA}"/>
              </c:ext>
            </c:extLst>
          </c:dPt>
          <c:dPt>
            <c:idx val="3"/>
            <c:bubble3D val="0"/>
            <c:spPr>
              <a:solidFill>
                <a:srgbClr val="404040"/>
              </a:solidFill>
              <a:ln w="12700">
                <a:solidFill>
                  <a:schemeClr val="bg1"/>
                </a:solidFill>
              </a:ln>
              <a:effectLst/>
            </c:spPr>
            <c:extLst>
              <c:ext xmlns:c16="http://schemas.microsoft.com/office/drawing/2014/chart" uri="{C3380CC4-5D6E-409C-BE32-E72D297353CC}">
                <c16:uniqueId val="{00000007-5363-474D-8855-C805EDCEA1EA}"/>
              </c:ext>
            </c:extLst>
          </c:dPt>
          <c:dPt>
            <c:idx val="4"/>
            <c:bubble3D val="0"/>
            <c:spPr>
              <a:pattFill prst="pct80">
                <a:fgClr>
                  <a:srgbClr val="B40000"/>
                </a:fgClr>
                <a:bgClr>
                  <a:schemeClr val="bg1"/>
                </a:bgClr>
              </a:pattFill>
              <a:ln w="12700">
                <a:solidFill>
                  <a:schemeClr val="bg1"/>
                </a:solidFill>
              </a:ln>
              <a:effectLst/>
            </c:spPr>
            <c:extLst>
              <c:ext xmlns:c16="http://schemas.microsoft.com/office/drawing/2014/chart" uri="{C3380CC4-5D6E-409C-BE32-E72D297353CC}">
                <c16:uniqueId val="{00000009-5363-474D-8855-C805EDCEA1EA}"/>
              </c:ext>
            </c:extLst>
          </c:dPt>
          <c:dPt>
            <c:idx val="5"/>
            <c:bubble3D val="0"/>
            <c:spPr>
              <a:pattFill prst="pct80">
                <a:fgClr>
                  <a:srgbClr val="BFEBFB"/>
                </a:fgClr>
                <a:bgClr>
                  <a:schemeClr val="bg1"/>
                </a:bgClr>
              </a:pattFill>
              <a:ln w="12700">
                <a:solidFill>
                  <a:schemeClr val="bg1"/>
                </a:solidFill>
              </a:ln>
              <a:effectLst/>
            </c:spPr>
            <c:extLst>
              <c:ext xmlns:c16="http://schemas.microsoft.com/office/drawing/2014/chart" uri="{C3380CC4-5D6E-409C-BE32-E72D297353CC}">
                <c16:uniqueId val="{0000000B-5363-474D-8855-C805EDCEA1EA}"/>
              </c:ext>
            </c:extLst>
          </c:dPt>
          <c:dPt>
            <c:idx val="6"/>
            <c:bubble3D val="0"/>
            <c:spPr>
              <a:pattFill prst="pct80">
                <a:fgClr>
                  <a:srgbClr val="FF6464"/>
                </a:fgClr>
                <a:bgClr>
                  <a:schemeClr val="bg1"/>
                </a:bgClr>
              </a:pattFill>
              <a:ln w="12700">
                <a:solidFill>
                  <a:schemeClr val="bg1"/>
                </a:solidFill>
              </a:ln>
              <a:effectLst/>
            </c:spPr>
            <c:extLst>
              <c:ext xmlns:c16="http://schemas.microsoft.com/office/drawing/2014/chart" uri="{C3380CC4-5D6E-409C-BE32-E72D297353CC}">
                <c16:uniqueId val="{0000000D-5363-474D-8855-C805EDCEA1EA}"/>
              </c:ext>
            </c:extLst>
          </c:dPt>
          <c:dPt>
            <c:idx val="7"/>
            <c:bubble3D val="0"/>
            <c:spPr>
              <a:pattFill prst="pct80">
                <a:fgClr>
                  <a:srgbClr val="00AEEF"/>
                </a:fgClr>
                <a:bgClr>
                  <a:schemeClr val="bg1"/>
                </a:bgClr>
              </a:pattFill>
              <a:ln w="12700">
                <a:solidFill>
                  <a:schemeClr val="bg1"/>
                </a:solidFill>
              </a:ln>
              <a:effectLst/>
            </c:spPr>
            <c:extLst>
              <c:ext xmlns:c16="http://schemas.microsoft.com/office/drawing/2014/chart" uri="{C3380CC4-5D6E-409C-BE32-E72D297353CC}">
                <c16:uniqueId val="{0000000F-5363-474D-8855-C805EDCEA1EA}"/>
              </c:ext>
            </c:extLst>
          </c:dPt>
          <c:dLbls>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楷体" panose="02010609060101010101" charset="-122"/>
                    <a:ea typeface="楷体" panose="02010609060101010101" charset="-122"/>
                    <a:cs typeface="楷体" panose="02010609060101010101" charset="-122"/>
                    <a:sym typeface="楷体" panose="02010609060101010101" charset="-122"/>
                  </a:defRPr>
                </a:pPr>
                <a:endParaRPr lang="en-US"/>
              </a:p>
            </c:txPr>
            <c:dLblPos val="outEnd"/>
            <c:showLegendKey val="0"/>
            <c:showVal val="0"/>
            <c:showCatName val="1"/>
            <c:showSerName val="0"/>
            <c:showPercent val="1"/>
            <c:showBubbleSize val="0"/>
            <c:showLeaderLines val="1"/>
            <c:leaderLines>
              <c:spPr>
                <a:ln w="9525" cap="flat" cmpd="sng" algn="ctr">
                  <a:solidFill>
                    <a:sysClr val="windowText" lastClr="000000"/>
                  </a:solidFill>
                  <a:round/>
                </a:ln>
                <a:effectLst/>
              </c:spPr>
            </c:leaderLines>
            <c:extLst>
              <c:ext xmlns:c15="http://schemas.microsoft.com/office/drawing/2012/chart" uri="{CE6537A1-D6FC-4f65-9D91-7224C49458BB}"/>
            </c:extLst>
          </c:dLbls>
          <c:cat>
            <c:strRef>
              <c:f>阿里系投资情况概览!$O$27:$O$34</c:f>
              <c:strCache>
                <c:ptCount val="8"/>
                <c:pt idx="0">
                  <c:v>先进制造</c:v>
                </c:pt>
                <c:pt idx="1">
                  <c:v>企业服务</c:v>
                </c:pt>
                <c:pt idx="2">
                  <c:v>汽车交通</c:v>
                </c:pt>
                <c:pt idx="3">
                  <c:v>电商零售</c:v>
                </c:pt>
                <c:pt idx="4">
                  <c:v>医疗健康</c:v>
                </c:pt>
                <c:pt idx="5">
                  <c:v>本地生活</c:v>
                </c:pt>
                <c:pt idx="6">
                  <c:v>文娱传媒</c:v>
                </c:pt>
                <c:pt idx="7">
                  <c:v>其他</c:v>
                </c:pt>
              </c:strCache>
            </c:strRef>
          </c:cat>
          <c:val>
            <c:numRef>
              <c:f>阿里系投资情况概览!$P$27:$P$34</c:f>
              <c:numCache>
                <c:formatCode>0.0%</c:formatCode>
                <c:ptCount val="8"/>
                <c:pt idx="0">
                  <c:v>0.23529411764705899</c:v>
                </c:pt>
                <c:pt idx="1">
                  <c:v>0.14705882352941199</c:v>
                </c:pt>
                <c:pt idx="2">
                  <c:v>0.14705882352941199</c:v>
                </c:pt>
                <c:pt idx="3">
                  <c:v>0.13235294117647101</c:v>
                </c:pt>
                <c:pt idx="4">
                  <c:v>7.3529411764705899E-2</c:v>
                </c:pt>
                <c:pt idx="5">
                  <c:v>4.4117647058823498E-2</c:v>
                </c:pt>
                <c:pt idx="6">
                  <c:v>4.4117647058823498E-2</c:v>
                </c:pt>
                <c:pt idx="7">
                  <c:v>0.17647058823529305</c:v>
                </c:pt>
              </c:numCache>
            </c:numRef>
          </c:val>
          <c:extLst>
            <c:ext xmlns:c16="http://schemas.microsoft.com/office/drawing/2014/chart" uri="{C3380CC4-5D6E-409C-BE32-E72D297353CC}">
              <c16:uniqueId val="{00000010-5363-474D-8855-C805EDCEA1EA}"/>
            </c:ext>
          </c:extLst>
        </c:ser>
        <c:dLbls>
          <c:showLegendKey val="0"/>
          <c:showVal val="0"/>
          <c:showCatName val="0"/>
          <c:showSerName val="0"/>
          <c:showPercent val="0"/>
          <c:showBubbleSize val="0"/>
          <c:showLeaderLines val="1"/>
        </c:dLbls>
        <c:firstSliceAng val="45"/>
      </c:pieChart>
      <c:spPr>
        <a:noFill/>
        <a:ln>
          <a:noFill/>
        </a:ln>
        <a:effectLst/>
      </c:spPr>
    </c:plotArea>
    <c:plotVisOnly val="1"/>
    <c:dispBlanksAs val="gap"/>
    <c:showDLblsOverMax val="0"/>
  </c:chart>
  <c:spPr>
    <a:noFill/>
    <a:ln w="9525" cap="flat" cmpd="sng" algn="ctr">
      <a:noFill/>
      <a:round/>
    </a:ln>
    <a:effectLst/>
  </c:spPr>
  <c:txPr>
    <a:bodyPr/>
    <a:lstStyle/>
    <a:p>
      <a:pPr>
        <a:defRPr lang="en-US" sz="700">
          <a:latin typeface="楷体" panose="02010609060101010101" charset="-122"/>
          <a:ea typeface="楷体" panose="02010609060101010101" charset="-122"/>
          <a:cs typeface="楷体" panose="02010609060101010101" charset="-122"/>
          <a:sym typeface="楷体" panose="02010609060101010101" charset="-122"/>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139434</xdr:colOff>
      <xdr:row>2</xdr:row>
      <xdr:rowOff>84378</xdr:rowOff>
    </xdr:from>
    <xdr:to>
      <xdr:col>10</xdr:col>
      <xdr:colOff>769989</xdr:colOff>
      <xdr:row>4</xdr:row>
      <xdr:rowOff>80568</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085715" y="477520"/>
          <a:ext cx="1456055" cy="389890"/>
        </a:xfrm>
        <a:prstGeom prst="rect">
          <a:avLst/>
        </a:prstGeom>
      </xdr:spPr>
    </xdr:pic>
    <xdr:clientData/>
  </xdr:twoCellAnchor>
  <xdr:twoCellAnchor>
    <xdr:from>
      <xdr:col>7</xdr:col>
      <xdr:colOff>85725</xdr:colOff>
      <xdr:row>8</xdr:row>
      <xdr:rowOff>136525</xdr:rowOff>
    </xdr:from>
    <xdr:to>
      <xdr:col>10</xdr:col>
      <xdr:colOff>711200</xdr:colOff>
      <xdr:row>22</xdr:row>
      <xdr:rowOff>123825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xdr:row>
      <xdr:rowOff>6350</xdr:rowOff>
    </xdr:from>
    <xdr:to>
      <xdr:col>8</xdr:col>
      <xdr:colOff>336550</xdr:colOff>
      <xdr:row>22</xdr:row>
      <xdr:rowOff>190500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U" refreshedDate="45136.828191666697" createdVersion="8" refreshedVersion="8" minRefreshableVersion="3" recordCount="68" xr:uid="{00000000-000A-0000-FFFF-FFFF00000000}">
  <cacheSource type="worksheet">
    <worksheetSource ref="U3:W71" sheet="阿里系投资情况概览"/>
  </cacheSource>
  <cacheFields count="3">
    <cacheField name="公司名称" numFmtId="0">
      <sharedItems count="68">
        <s v="小红书"/>
        <s v="河狸家"/>
        <s v="小满科技"/>
        <s v="Bigbasket"/>
        <s v="驻云CloudCare"/>
        <s v="新康众"/>
        <s v="作业帮"/>
        <s v="斑马智行"/>
        <s v="Ninja Van"/>
        <s v="欧谱曼迪"/>
        <s v="乐言科技"/>
        <s v="中测智绘"/>
        <s v="康立明生物"/>
        <s v="霍曼HomeRun"/>
        <s v="亿可能源Equota"/>
        <s v="谐云科技"/>
        <s v="桥彼道Qupital"/>
        <s v="单立人喜剧"/>
        <s v="造易软件"/>
        <s v="nreal太若科技"/>
        <s v="叠境数字"/>
        <s v="清众科技"/>
        <s v="爱用科技"/>
        <s v="CARS24"/>
        <s v="驿栈网络"/>
        <s v="T11生鲜超市"/>
        <s v="享道出行"/>
        <s v="Sandbox VR"/>
        <s v="菜划算"/>
        <s v="大众出行"/>
        <s v="T3出行"/>
        <s v="行云创新"/>
        <s v="Cabana"/>
        <s v="元戎启行"/>
        <s v="长鑫存储"/>
        <s v="瀚博半导体"/>
        <s v="杰毅生物"/>
        <s v="Hotelmize"/>
        <s v="中科微针"/>
        <s v="飞象互联"/>
        <s v="衢州新闻网"/>
        <s v="飞腾信息"/>
        <s v="智己汽车"/>
        <s v="及时格子"/>
        <s v="喜屏传媒"/>
        <s v="视杏科技"/>
        <s v="恒宇医疗"/>
        <s v="JBD显耀显示"/>
        <s v="小蜜蜂智慧"/>
        <s v="KNOWIN潮流实验室"/>
        <s v="法奥FAIR"/>
        <s v="Yahaha"/>
        <s v="如涵文化"/>
        <s v="涵意电商"/>
        <s v="随幻科技"/>
        <s v="博瑞迪生物"/>
        <s v="格兰菲"/>
        <s v="Riki Group"/>
        <s v="泰乐坊"/>
        <s v="CrownX"/>
        <s v="济达交通"/>
        <s v="森宝积木"/>
        <s v="杰成新能源"/>
        <s v="Unity中国"/>
        <s v="十方运动TENWAYS"/>
        <s v="徕芬科技"/>
        <s v="COFE App"/>
        <s v="致敬未知"/>
      </sharedItems>
    </cacheField>
    <cacheField name="行业" numFmtId="0">
      <sharedItems count="16">
        <s v="本地生活"/>
        <s v="企业服务"/>
        <s v="汽车交通"/>
        <s v="教育"/>
        <s v="物流"/>
        <s v="医疗健康"/>
        <s v="先进制造"/>
        <s v="金融"/>
        <s v="文娱传媒"/>
        <s v="电商零售"/>
        <s v="旅游"/>
        <s v="广告营销"/>
        <s v="元宇宙"/>
        <s v="农业"/>
        <s v="游戏"/>
        <s v="传统制造"/>
      </sharedItems>
    </cacheField>
    <cacheField name="子行业"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x v="0"/>
    <x v="0"/>
    <s v="休闲娱乐"/>
  </r>
  <r>
    <x v="1"/>
    <x v="0"/>
    <s v="美业服务"/>
  </r>
  <r>
    <x v="2"/>
    <x v="1"/>
    <s v="行业信息化及解决方案"/>
  </r>
  <r>
    <x v="3"/>
    <x v="0"/>
    <s v="综合生活服务"/>
  </r>
  <r>
    <x v="4"/>
    <x v="1"/>
    <s v="云服务"/>
  </r>
  <r>
    <x v="5"/>
    <x v="2"/>
    <s v="汽车后服务"/>
  </r>
  <r>
    <x v="6"/>
    <x v="3"/>
    <s v="K12"/>
  </r>
  <r>
    <x v="7"/>
    <x v="2"/>
    <s v="车联网"/>
  </r>
  <r>
    <x v="8"/>
    <x v="4"/>
    <s v="综合物流"/>
  </r>
  <r>
    <x v="9"/>
    <x v="5"/>
    <s v="医疗器械"/>
  </r>
  <r>
    <x v="10"/>
    <x v="1"/>
    <s v="前沿技术"/>
  </r>
  <r>
    <x v="11"/>
    <x v="1"/>
    <s v="企业IT服务"/>
  </r>
  <r>
    <x v="12"/>
    <x v="5"/>
    <s v="生物技术和制药"/>
  </r>
  <r>
    <x v="13"/>
    <x v="6"/>
    <s v="家用电器"/>
  </r>
  <r>
    <x v="14"/>
    <x v="6"/>
    <s v="新能源"/>
  </r>
  <r>
    <x v="15"/>
    <x v="1"/>
    <s v="云服务"/>
  </r>
  <r>
    <x v="16"/>
    <x v="7"/>
    <s v="供应链金融"/>
  </r>
  <r>
    <x v="17"/>
    <x v="8"/>
    <s v="演艺"/>
  </r>
  <r>
    <x v="18"/>
    <x v="1"/>
    <s v="行业信息化及解决方案"/>
  </r>
  <r>
    <x v="19"/>
    <x v="6"/>
    <s v="AR/VR设备"/>
  </r>
  <r>
    <x v="20"/>
    <x v="6"/>
    <s v="AR/VR设备"/>
  </r>
  <r>
    <x v="21"/>
    <x v="1"/>
    <s v="行业信息化及解决方案"/>
  </r>
  <r>
    <x v="22"/>
    <x v="9"/>
    <s v="电商解决方案"/>
  </r>
  <r>
    <x v="23"/>
    <x v="2"/>
    <s v="二手车"/>
  </r>
  <r>
    <x v="24"/>
    <x v="4"/>
    <s v="其他物流"/>
  </r>
  <r>
    <x v="25"/>
    <x v="9"/>
    <s v="生鲜"/>
  </r>
  <r>
    <x v="26"/>
    <x v="2"/>
    <s v="交通出行"/>
  </r>
  <r>
    <x v="27"/>
    <x v="6"/>
    <s v="AR/VR设备"/>
  </r>
  <r>
    <x v="28"/>
    <x v="9"/>
    <s v="生鲜"/>
  </r>
  <r>
    <x v="29"/>
    <x v="2"/>
    <s v="交通出行"/>
  </r>
  <r>
    <x v="30"/>
    <x v="2"/>
    <s v="交通出行"/>
  </r>
  <r>
    <x v="31"/>
    <x v="1"/>
    <s v="开发者服务"/>
  </r>
  <r>
    <x v="32"/>
    <x v="9"/>
    <s v="家居家纺"/>
  </r>
  <r>
    <x v="33"/>
    <x v="2"/>
    <s v="自动/无人驾驶"/>
  </r>
  <r>
    <x v="34"/>
    <x v="6"/>
    <s v="集成电路"/>
  </r>
  <r>
    <x v="35"/>
    <x v="6"/>
    <s v="集成电路"/>
  </r>
  <r>
    <x v="36"/>
    <x v="5"/>
    <s v="生物技术和制药"/>
  </r>
  <r>
    <x v="37"/>
    <x v="10"/>
    <s v="交通食宿"/>
  </r>
  <r>
    <x v="38"/>
    <x v="5"/>
    <s v="医疗综合服务"/>
  </r>
  <r>
    <x v="39"/>
    <x v="6"/>
    <s v="工业4.0"/>
  </r>
  <r>
    <x v="40"/>
    <x v="8"/>
    <s v="媒体及阅读"/>
  </r>
  <r>
    <x v="41"/>
    <x v="6"/>
    <s v="集成电路"/>
  </r>
  <r>
    <x v="42"/>
    <x v="2"/>
    <s v="汽车制造"/>
  </r>
  <r>
    <x v="43"/>
    <x v="9"/>
    <s v="百货零售"/>
  </r>
  <r>
    <x v="44"/>
    <x v="11"/>
    <s v="传统广告"/>
  </r>
  <r>
    <x v="45"/>
    <x v="6"/>
    <s v="AR/VR设备"/>
  </r>
  <r>
    <x v="46"/>
    <x v="5"/>
    <s v="医疗器械"/>
  </r>
  <r>
    <x v="47"/>
    <x v="6"/>
    <s v="集成电路"/>
  </r>
  <r>
    <x v="48"/>
    <x v="1"/>
    <s v="企业IT服务"/>
  </r>
  <r>
    <x v="49"/>
    <x v="9"/>
    <s v="社区电商"/>
  </r>
  <r>
    <x v="50"/>
    <x v="6"/>
    <s v="机器人"/>
  </r>
  <r>
    <x v="51"/>
    <x v="12"/>
    <s v="元宇宙社交"/>
  </r>
  <r>
    <x v="52"/>
    <x v="11"/>
    <s v="广告平台"/>
  </r>
  <r>
    <x v="53"/>
    <x v="9"/>
    <s v="服装服饰"/>
  </r>
  <r>
    <x v="54"/>
    <x v="1"/>
    <s v="前沿技术"/>
  </r>
  <r>
    <x v="55"/>
    <x v="13"/>
    <s v="农业生物技术"/>
  </r>
  <r>
    <x v="56"/>
    <x v="6"/>
    <s v="集成电路"/>
  </r>
  <r>
    <x v="57"/>
    <x v="8"/>
    <s v="动漫"/>
  </r>
  <r>
    <x v="58"/>
    <x v="14"/>
    <s v="游戏开发商"/>
  </r>
  <r>
    <x v="59"/>
    <x v="9"/>
    <s v="综合电商"/>
  </r>
  <r>
    <x v="60"/>
    <x v="2"/>
    <s v="交通出行"/>
  </r>
  <r>
    <x v="61"/>
    <x v="15"/>
    <s v="轻工制造"/>
  </r>
  <r>
    <x v="62"/>
    <x v="6"/>
    <s v="新能源"/>
  </r>
  <r>
    <x v="63"/>
    <x v="14"/>
    <s v="游戏综合服务"/>
  </r>
  <r>
    <x v="64"/>
    <x v="2"/>
    <s v="交通出行"/>
  </r>
  <r>
    <x v="65"/>
    <x v="6"/>
    <s v="家用电器"/>
  </r>
  <r>
    <x v="66"/>
    <x v="9"/>
    <s v="食品饮料"/>
  </r>
  <r>
    <x v="67"/>
    <x v="6"/>
    <s v="AR/VR设备"/>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Z4:AA21" firstHeaderRow="1" firstDataRow="1" firstDataCol="1"/>
  <pivotFields count="3">
    <pivotField showAll="0">
      <items count="69">
        <item x="3"/>
        <item x="32"/>
        <item x="23"/>
        <item x="66"/>
        <item x="59"/>
        <item x="37"/>
        <item x="47"/>
        <item x="49"/>
        <item x="8"/>
        <item x="19"/>
        <item x="57"/>
        <item x="27"/>
        <item x="25"/>
        <item x="30"/>
        <item x="63"/>
        <item x="51"/>
        <item x="22"/>
        <item x="7"/>
        <item x="55"/>
        <item x="28"/>
        <item x="29"/>
        <item x="17"/>
        <item x="20"/>
        <item x="50"/>
        <item x="41"/>
        <item x="39"/>
        <item x="56"/>
        <item x="53"/>
        <item x="35"/>
        <item x="1"/>
        <item x="46"/>
        <item x="13"/>
        <item x="43"/>
        <item x="60"/>
        <item x="62"/>
        <item x="36"/>
        <item x="12"/>
        <item x="65"/>
        <item x="10"/>
        <item x="9"/>
        <item x="16"/>
        <item x="21"/>
        <item x="40"/>
        <item x="52"/>
        <item x="61"/>
        <item x="64"/>
        <item x="45"/>
        <item x="54"/>
        <item x="58"/>
        <item x="44"/>
        <item x="26"/>
        <item x="0"/>
        <item x="2"/>
        <item x="48"/>
        <item x="15"/>
        <item x="5"/>
        <item x="31"/>
        <item x="14"/>
        <item x="24"/>
        <item x="33"/>
        <item x="18"/>
        <item x="34"/>
        <item x="67"/>
        <item x="42"/>
        <item x="11"/>
        <item x="38"/>
        <item x="4"/>
        <item x="6"/>
        <item t="default"/>
      </items>
    </pivotField>
    <pivotField axis="axisRow" dataField="1" showAll="0">
      <items count="17">
        <item x="0"/>
        <item x="15"/>
        <item x="9"/>
        <item x="11"/>
        <item x="3"/>
        <item x="7"/>
        <item x="10"/>
        <item x="13"/>
        <item x="1"/>
        <item x="2"/>
        <item x="8"/>
        <item x="4"/>
        <item x="6"/>
        <item x="5"/>
        <item x="14"/>
        <item x="12"/>
        <item t="default"/>
      </items>
    </pivotField>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Count of 行业" fld="1" subtotal="count" baseField="0" baseItem="0"/>
  </dataFields>
  <formats count="18">
    <format dxfId="17">
      <pivotArea type="all" dataOnly="0" outline="0" fieldPosition="0"/>
    </format>
    <format dxfId="16">
      <pivotArea outline="0" collapsedLevelsAreSubtotals="1" fieldPosition="0"/>
    </format>
    <format dxfId="15">
      <pivotArea dataOnly="0" labelOnly="1" grandRow="1" outline="0" fieldPosition="0"/>
    </format>
    <format dxfId="14">
      <pivotArea dataOnly="0" labelOnly="1" outline="0" fieldPosition="0"/>
    </format>
    <format dxfId="13">
      <pivotArea type="all" dataOnly="0" outline="0" fieldPosition="0"/>
    </format>
    <format dxfId="12">
      <pivotArea type="all" dataOnly="0" outline="0" fieldPosition="0"/>
    </format>
    <format dxfId="11">
      <pivotArea collapsedLevelsAreSubtotals="1" fieldPosition="0">
        <references count="1">
          <reference field="1" count="1">
            <x v="12"/>
          </reference>
        </references>
      </pivotArea>
    </format>
    <format dxfId="10">
      <pivotArea dataOnly="0" labelOnly="1" fieldPosition="0">
        <references count="1">
          <reference field="1" count="1">
            <x v="12"/>
          </reference>
        </references>
      </pivotArea>
    </format>
    <format dxfId="9">
      <pivotArea collapsedLevelsAreSubtotals="1" fieldPosition="0">
        <references count="1">
          <reference field="1" count="2">
            <x v="8"/>
            <x v="9"/>
          </reference>
        </references>
      </pivotArea>
    </format>
    <format dxfId="8">
      <pivotArea dataOnly="0" labelOnly="1" fieldPosition="0">
        <references count="1">
          <reference field="1" count="2">
            <x v="8"/>
            <x v="9"/>
          </reference>
        </references>
      </pivotArea>
    </format>
    <format dxfId="7">
      <pivotArea collapsedLevelsAreSubtotals="1" fieldPosition="0">
        <references count="1">
          <reference field="1" count="1">
            <x v="2"/>
          </reference>
        </references>
      </pivotArea>
    </format>
    <format dxfId="6">
      <pivotArea dataOnly="0" labelOnly="1" fieldPosition="0">
        <references count="1">
          <reference field="1" count="1">
            <x v="2"/>
          </reference>
        </references>
      </pivotArea>
    </format>
    <format dxfId="5">
      <pivotArea collapsedLevelsAreSubtotals="1" fieldPosition="0">
        <references count="1">
          <reference field="1" count="1">
            <x v="13"/>
          </reference>
        </references>
      </pivotArea>
    </format>
    <format dxfId="4">
      <pivotArea dataOnly="0" labelOnly="1" fieldPosition="0">
        <references count="1">
          <reference field="1" count="1">
            <x v="13"/>
          </reference>
        </references>
      </pivotArea>
    </format>
    <format dxfId="3">
      <pivotArea type="all" dataOnly="0" outline="0" fieldPosition="0"/>
    </format>
    <format dxfId="2">
      <pivotArea type="all" dataOnly="0" outline="0" fieldPosition="0"/>
    </format>
    <format dxfId="1">
      <pivotArea type="all" dataOnly="0" outline="0" fieldPosition="0"/>
    </format>
    <format dxfId="0">
      <pivotArea type="all" dataOnly="0"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L472"/>
  <sheetViews>
    <sheetView showGridLines="0" tabSelected="1" topLeftCell="A4" workbookViewId="0">
      <selection activeCell="O21" sqref="O21"/>
    </sheetView>
  </sheetViews>
  <sheetFormatPr defaultColWidth="8.7265625" defaultRowHeight="15.5" customHeight="1"/>
  <cols>
    <col min="1" max="1" width="8.7265625" style="39"/>
    <col min="2" max="2" width="1.26953125" style="40" customWidth="1"/>
    <col min="3" max="3" width="4.90625" style="40" customWidth="1"/>
    <col min="4" max="5" width="8.7265625" style="40"/>
    <col min="6" max="7" width="11.81640625" style="40" customWidth="1"/>
    <col min="8" max="8" width="4.6328125" style="40" customWidth="1"/>
    <col min="9" max="9" width="10.1796875" style="40" customWidth="1"/>
    <col min="10" max="10" width="11.81640625" style="40" customWidth="1"/>
    <col min="11" max="11" width="12.7265625" style="40" customWidth="1"/>
    <col min="12" max="12" width="1.81640625" style="40" customWidth="1"/>
    <col min="13" max="14" width="8.7265625" style="39"/>
    <col min="15" max="16" width="9" style="39" customWidth="1"/>
    <col min="17" max="17" width="2.6328125" style="39" customWidth="1"/>
    <col min="18" max="18" width="11.26953125" style="39" customWidth="1"/>
    <col min="19" max="19" width="9" style="39" customWidth="1"/>
    <col min="20" max="20" width="2.6328125" style="39" customWidth="1"/>
    <col min="21" max="21" width="13" style="39" customWidth="1"/>
    <col min="22" max="23" width="8.7265625" style="39"/>
    <col min="24" max="24" width="12.1796875" style="39" customWidth="1"/>
    <col min="25" max="25" width="8.7265625" style="41"/>
    <col min="26" max="26" width="11.6328125" style="39" customWidth="1"/>
    <col min="27" max="27" width="10.7265625" style="39" customWidth="1"/>
    <col min="28" max="28" width="7.36328125" style="39" customWidth="1"/>
    <col min="29" max="29" width="8.36328125" style="39" customWidth="1"/>
    <col min="30" max="30" width="7.36328125" style="39" customWidth="1"/>
    <col min="31" max="32" width="8.36328125" style="39" customWidth="1"/>
    <col min="33" max="33" width="11.36328125" style="39" customWidth="1"/>
    <col min="34" max="34" width="9.81640625" style="39" customWidth="1"/>
    <col min="35" max="36" width="10.36328125" style="39" customWidth="1"/>
    <col min="37" max="37" width="7.81640625" style="39" customWidth="1"/>
    <col min="38" max="38" width="9.36328125" style="39" customWidth="1"/>
    <col min="39" max="39" width="6.81640625" style="39" customWidth="1"/>
    <col min="40" max="40" width="10.36328125" style="39" customWidth="1"/>
    <col min="41" max="41" width="8.36328125" style="39" customWidth="1"/>
    <col min="42" max="43" width="7.81640625" style="39" customWidth="1"/>
    <col min="44" max="44" width="10.36328125" style="39" customWidth="1"/>
    <col min="45" max="45" width="7.81640625" style="39" customWidth="1"/>
    <col min="46" max="46" width="10.36328125" style="39" customWidth="1"/>
    <col min="47" max="47" width="6.81640625" style="39" customWidth="1"/>
    <col min="48" max="48" width="8.81640625" style="39" customWidth="1"/>
    <col min="49" max="49" width="7.81640625" style="39" customWidth="1"/>
    <col min="50" max="50" width="9.36328125" style="39" customWidth="1"/>
    <col min="51" max="51" width="6.81640625" style="39" customWidth="1"/>
    <col min="52" max="52" width="11.36328125" style="39" customWidth="1"/>
    <col min="53" max="54" width="10.36328125" style="39" customWidth="1"/>
    <col min="55" max="55" width="7.81640625" style="39" customWidth="1"/>
    <col min="56" max="56" width="8.81640625" style="39" customWidth="1"/>
    <col min="57" max="57" width="8.36328125" style="39" customWidth="1"/>
    <col min="58" max="58" width="10.36328125" style="39" customWidth="1"/>
    <col min="59" max="59" width="8.81640625" style="39" customWidth="1"/>
    <col min="60" max="61" width="7.81640625" style="39" customWidth="1"/>
    <col min="62" max="62" width="10.36328125" style="39" customWidth="1"/>
    <col min="63" max="63" width="6.81640625" style="39" customWidth="1"/>
    <col min="64" max="64" width="9.36328125" style="39" customWidth="1"/>
    <col min="65" max="65" width="12.36328125" style="39" customWidth="1"/>
    <col min="66" max="66" width="8.36328125" style="39" customWidth="1"/>
    <col min="67" max="67" width="9.36328125" style="39" customWidth="1"/>
    <col min="68" max="68" width="6.81640625" style="39" customWidth="1"/>
    <col min="69" max="69" width="10.36328125" style="39" customWidth="1"/>
    <col min="70" max="70" width="8.81640625" style="39" customWidth="1"/>
    <col min="71" max="71" width="7.81640625" style="39" customWidth="1"/>
    <col min="72" max="72" width="7.36328125" style="39" customWidth="1"/>
    <col min="73" max="74" width="9.36328125" style="39" customWidth="1"/>
    <col min="75" max="75" width="6.81640625" style="39" customWidth="1"/>
    <col min="76" max="76" width="8.36328125" style="39" customWidth="1"/>
    <col min="77" max="77" width="10.36328125" style="39" customWidth="1"/>
    <col min="78" max="78" width="7.81640625" style="39" customWidth="1"/>
    <col min="79" max="80" width="9.36328125" style="39" customWidth="1"/>
    <col min="81" max="82" width="7.81640625" style="39" customWidth="1"/>
    <col min="83" max="83" width="6.81640625" style="39" customWidth="1"/>
    <col min="84" max="84" width="7.81640625" style="39" customWidth="1"/>
    <col min="85" max="85" width="8.81640625" style="39" customWidth="1"/>
    <col min="86" max="86" width="6.81640625" style="39" customWidth="1"/>
    <col min="87" max="87" width="11.36328125" style="39" customWidth="1"/>
    <col min="88" max="88" width="10.36328125" style="39" customWidth="1"/>
    <col min="89" max="89" width="12.36328125" style="39" customWidth="1"/>
    <col min="90" max="90" width="6.81640625" style="39" customWidth="1"/>
    <col min="91" max="92" width="9.36328125" style="39" customWidth="1"/>
    <col min="93" max="93" width="7.81640625" style="39" customWidth="1"/>
    <col min="94" max="94" width="6.81640625" style="39" customWidth="1"/>
    <col min="95" max="95" width="10.36328125" style="39" customWidth="1"/>
    <col min="96" max="96" width="6.81640625" style="39" customWidth="1"/>
    <col min="97" max="97" width="9.36328125" style="39" customWidth="1"/>
    <col min="98" max="98" width="5.81640625" style="39" customWidth="1"/>
    <col min="99" max="99" width="8.36328125" style="39" customWidth="1"/>
    <col min="100" max="100" width="10.36328125" style="39" customWidth="1"/>
    <col min="101" max="101" width="7.36328125" style="39" customWidth="1"/>
    <col min="102" max="103" width="6.81640625" style="39" customWidth="1"/>
    <col min="104" max="104" width="8.36328125" style="39" customWidth="1"/>
    <col min="105" max="105" width="7.81640625" style="39" customWidth="1"/>
    <col min="106" max="106" width="10.36328125" style="39" customWidth="1"/>
    <col min="107" max="107" width="8.36328125" style="39" customWidth="1"/>
    <col min="108" max="109" width="9.36328125" style="39" customWidth="1"/>
    <col min="110" max="111" width="6.81640625" style="39" customWidth="1"/>
    <col min="112" max="112" width="8.36328125" style="39" customWidth="1"/>
    <col min="113" max="113" width="11.36328125" style="39" customWidth="1"/>
    <col min="114" max="114" width="7.81640625" style="39" customWidth="1"/>
    <col min="115" max="115" width="6.81640625" style="39" customWidth="1"/>
    <col min="116" max="116" width="10.36328125" style="39" customWidth="1"/>
    <col min="117" max="117" width="6.81640625" style="39" customWidth="1"/>
    <col min="118" max="118" width="8.36328125" style="39" customWidth="1"/>
    <col min="119" max="119" width="9.36328125" style="39" customWidth="1"/>
    <col min="120" max="120" width="7.81640625" style="39" customWidth="1"/>
    <col min="121" max="121" width="6.81640625" style="39" customWidth="1"/>
    <col min="122" max="122" width="8.36328125" style="39" customWidth="1"/>
    <col min="123" max="123" width="9.36328125" style="39" customWidth="1"/>
    <col min="124" max="124" width="6.81640625" style="39" customWidth="1"/>
    <col min="125" max="125" width="9.36328125" style="39" customWidth="1"/>
    <col min="126" max="126" width="8.36328125" style="39" customWidth="1"/>
    <col min="127" max="127" width="6.81640625" style="39" customWidth="1"/>
    <col min="128" max="129" width="8.36328125" style="39" customWidth="1"/>
    <col min="130" max="130" width="9.36328125" style="39" customWidth="1"/>
    <col min="131" max="131" width="6.81640625" style="39" customWidth="1"/>
    <col min="132" max="132" width="8.36328125" style="39" customWidth="1"/>
    <col min="133" max="134" width="7.81640625" style="39" customWidth="1"/>
    <col min="135" max="135" width="5.81640625" style="39" customWidth="1"/>
    <col min="136" max="136" width="9.36328125" style="39" customWidth="1"/>
    <col min="137" max="138" width="7.36328125" style="39" customWidth="1"/>
    <col min="139" max="139" width="8.36328125" style="39" customWidth="1"/>
    <col min="140" max="140" width="9.36328125" style="39" customWidth="1"/>
    <col min="141" max="141" width="8.36328125" style="39" customWidth="1"/>
    <col min="142" max="142" width="9.36328125" style="39" customWidth="1"/>
    <col min="143" max="143" width="6.81640625" style="39" customWidth="1"/>
    <col min="144" max="144" width="9.36328125" style="39" customWidth="1"/>
    <col min="145" max="145" width="5.81640625" style="39" customWidth="1"/>
    <col min="146" max="146" width="10.36328125" style="39" customWidth="1"/>
    <col min="147" max="147" width="8.81640625" style="39" customWidth="1"/>
    <col min="148" max="148" width="6.81640625" style="39" customWidth="1"/>
    <col min="149" max="149" width="8.36328125" style="39" customWidth="1"/>
    <col min="150" max="151" width="6.81640625" style="39" customWidth="1"/>
    <col min="152" max="152" width="7.81640625" style="39" customWidth="1"/>
    <col min="153" max="153" width="6.81640625" style="39" customWidth="1"/>
    <col min="154" max="154" width="7.36328125" style="39" customWidth="1"/>
    <col min="155" max="155" width="6.81640625" style="39" customWidth="1"/>
    <col min="156" max="156" width="9.36328125" style="39" customWidth="1"/>
    <col min="157" max="157" width="8.81640625" style="39" customWidth="1"/>
    <col min="158" max="158" width="8.36328125" style="39" customWidth="1"/>
    <col min="159" max="159" width="10.36328125" style="39" customWidth="1"/>
    <col min="160" max="160" width="9.36328125" style="39" customWidth="1"/>
    <col min="161" max="161" width="5.81640625" style="39" customWidth="1"/>
    <col min="162" max="162" width="8.36328125" style="39" customWidth="1"/>
    <col min="163" max="164" width="6.81640625" style="39" customWidth="1"/>
    <col min="165" max="165" width="8.36328125" style="39" customWidth="1"/>
    <col min="166" max="166" width="8.81640625" style="39" customWidth="1"/>
    <col min="167" max="167" width="6.81640625" style="39" customWidth="1"/>
    <col min="168" max="168" width="10.6328125" style="39" customWidth="1"/>
    <col min="169" max="16384" width="8.7265625" style="39"/>
  </cols>
  <sheetData>
    <row r="2" spans="2:168">
      <c r="B2" s="42"/>
      <c r="C2" s="42"/>
      <c r="D2" s="42"/>
      <c r="E2" s="42"/>
      <c r="F2" s="42"/>
      <c r="G2" s="42"/>
      <c r="H2" s="42"/>
      <c r="I2" s="42"/>
      <c r="J2" s="42"/>
      <c r="K2" s="42"/>
      <c r="L2" s="42"/>
      <c r="N2" s="46"/>
      <c r="O2" s="47" t="s">
        <v>0</v>
      </c>
      <c r="P2" s="48" t="s">
        <v>1</v>
      </c>
      <c r="Q2" s="58"/>
      <c r="R2" s="46"/>
      <c r="S2" s="47" t="s">
        <v>0</v>
      </c>
      <c r="T2" s="58"/>
      <c r="U2" s="46" t="s">
        <v>2</v>
      </c>
      <c r="V2" s="59"/>
      <c r="W2" s="59"/>
      <c r="X2" s="59"/>
      <c r="Z2" s="69"/>
      <c r="AA2" s="69"/>
    </row>
    <row r="3" spans="2:168" ht="15.5" customHeight="1">
      <c r="B3" s="42"/>
      <c r="C3" s="105" t="s">
        <v>3</v>
      </c>
      <c r="D3" s="106"/>
      <c r="E3" s="106"/>
      <c r="F3" s="106"/>
      <c r="G3" s="106"/>
      <c r="H3" s="106"/>
      <c r="I3" s="106"/>
      <c r="J3" s="49"/>
      <c r="K3" s="49"/>
      <c r="L3" s="42"/>
      <c r="N3" s="50" t="s">
        <v>4</v>
      </c>
      <c r="O3" s="51"/>
      <c r="P3" s="51"/>
      <c r="R3" s="50" t="s">
        <v>5</v>
      </c>
      <c r="S3" s="51"/>
      <c r="U3" s="50" t="s">
        <v>6</v>
      </c>
      <c r="V3" s="50" t="s">
        <v>7</v>
      </c>
      <c r="W3" s="50" t="s">
        <v>8</v>
      </c>
      <c r="X3" s="50" t="s">
        <v>9</v>
      </c>
      <c r="Z3" s="58"/>
      <c r="AA3" s="58"/>
    </row>
    <row r="4" spans="2:168">
      <c r="B4" s="42"/>
      <c r="C4" s="106"/>
      <c r="D4" s="106"/>
      <c r="E4" s="106"/>
      <c r="F4" s="106"/>
      <c r="G4" s="106"/>
      <c r="H4" s="106"/>
      <c r="I4" s="106"/>
      <c r="J4" s="91">
        <f ca="1">TODAY()</f>
        <v>45136</v>
      </c>
      <c r="K4" s="92"/>
      <c r="L4" s="42"/>
      <c r="N4" s="52" t="s">
        <v>10</v>
      </c>
      <c r="O4" s="39">
        <v>120</v>
      </c>
      <c r="P4" s="53">
        <f t="shared" ref="P4:P24" si="0">O4/SUM(O$4:O$24)</f>
        <v>0.17266187050359713</v>
      </c>
      <c r="R4" s="60" t="s">
        <v>11</v>
      </c>
      <c r="S4" s="39">
        <v>59</v>
      </c>
      <c r="U4" s="61" t="s">
        <v>12</v>
      </c>
      <c r="V4" s="62" t="s">
        <v>13</v>
      </c>
      <c r="W4" s="62" t="s">
        <v>14</v>
      </c>
      <c r="X4" s="63" t="s">
        <v>15</v>
      </c>
      <c r="Z4" s="70" t="s">
        <v>16</v>
      </c>
      <c r="AA4" s="71" t="s">
        <v>17</v>
      </c>
      <c r="AB4" s="72"/>
      <c r="AC4" s="73"/>
      <c r="AD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c r="CY4" s="74"/>
      <c r="CZ4" s="74"/>
      <c r="DA4" s="74"/>
      <c r="DB4" s="74"/>
      <c r="DC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c r="EC4" s="74"/>
      <c r="ED4" s="74"/>
      <c r="EE4" s="74"/>
      <c r="EF4" s="74"/>
      <c r="EG4" s="74"/>
      <c r="EH4" s="74"/>
      <c r="EI4" s="74"/>
      <c r="EJ4" s="74"/>
      <c r="EK4" s="74"/>
      <c r="EL4" s="74"/>
      <c r="EM4" s="74"/>
      <c r="EN4" s="74"/>
      <c r="EO4" s="74"/>
      <c r="EP4" s="74"/>
      <c r="EQ4" s="74"/>
      <c r="ER4" s="74"/>
      <c r="ES4" s="74"/>
      <c r="ET4" s="74"/>
      <c r="EU4" s="74"/>
      <c r="EV4" s="74"/>
      <c r="EW4" s="74"/>
      <c r="EX4" s="74"/>
      <c r="EY4" s="74"/>
      <c r="EZ4" s="74"/>
      <c r="FA4" s="74"/>
      <c r="FB4" s="74"/>
      <c r="FC4" s="74"/>
      <c r="FD4" s="74"/>
      <c r="FE4" s="74"/>
      <c r="FF4" s="74"/>
      <c r="FG4" s="74"/>
      <c r="FH4" s="74"/>
      <c r="FI4" s="74"/>
      <c r="FJ4" s="74"/>
      <c r="FK4" s="74"/>
      <c r="FL4" s="74"/>
    </row>
    <row r="5" spans="2:168">
      <c r="B5" s="42"/>
      <c r="C5" s="93" t="s">
        <v>18</v>
      </c>
      <c r="D5" s="94"/>
      <c r="E5" s="94"/>
      <c r="F5" s="94"/>
      <c r="G5" s="94"/>
      <c r="H5" s="94"/>
      <c r="I5" s="94"/>
      <c r="J5" s="94"/>
      <c r="K5" s="94"/>
      <c r="L5" s="42"/>
      <c r="N5" s="52" t="s">
        <v>19</v>
      </c>
      <c r="O5" s="39">
        <v>91</v>
      </c>
      <c r="P5" s="53">
        <f t="shared" si="0"/>
        <v>0.13093525179856116</v>
      </c>
      <c r="R5" s="39">
        <v>2014</v>
      </c>
      <c r="S5" s="39">
        <v>56</v>
      </c>
      <c r="U5" s="64" t="s">
        <v>20</v>
      </c>
      <c r="V5" s="62" t="s">
        <v>13</v>
      </c>
      <c r="W5" s="62" t="s">
        <v>21</v>
      </c>
      <c r="X5" s="63" t="s">
        <v>22</v>
      </c>
      <c r="Z5" s="75" t="s">
        <v>13</v>
      </c>
      <c r="AA5" s="71">
        <v>3</v>
      </c>
      <c r="AB5" s="76">
        <f>GETPIVOTDATA("行业",$Z$4,"行业",Z5)/GETPIVOTDATA("行业",$Z$4)</f>
        <v>4.4117647058823532E-2</v>
      </c>
      <c r="AC5" s="73"/>
      <c r="AD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M5" s="74"/>
      <c r="EN5" s="74"/>
      <c r="EO5" s="74"/>
      <c r="EP5" s="74"/>
      <c r="EQ5" s="74"/>
      <c r="ER5" s="74"/>
      <c r="ES5" s="74"/>
      <c r="ET5" s="74"/>
      <c r="EU5" s="74"/>
      <c r="EV5" s="74"/>
      <c r="EW5" s="74"/>
      <c r="EX5" s="74"/>
      <c r="EY5" s="74"/>
      <c r="EZ5" s="74"/>
      <c r="FA5" s="74"/>
      <c r="FB5" s="74"/>
      <c r="FC5" s="74"/>
      <c r="FD5" s="74"/>
      <c r="FE5" s="74"/>
      <c r="FF5" s="74"/>
      <c r="FG5" s="74"/>
      <c r="FH5" s="74"/>
      <c r="FI5" s="74"/>
      <c r="FJ5" s="74"/>
      <c r="FK5" s="74"/>
      <c r="FL5" s="74"/>
    </row>
    <row r="6" spans="2:168">
      <c r="B6" s="42"/>
      <c r="C6" s="95"/>
      <c r="D6" s="95"/>
      <c r="E6" s="95"/>
      <c r="F6" s="95"/>
      <c r="G6" s="95"/>
      <c r="H6" s="95"/>
      <c r="I6" s="95"/>
      <c r="J6" s="95"/>
      <c r="K6" s="95"/>
      <c r="L6" s="42"/>
      <c r="N6" s="52" t="s">
        <v>23</v>
      </c>
      <c r="O6" s="39">
        <v>78</v>
      </c>
      <c r="P6" s="53">
        <f t="shared" si="0"/>
        <v>0.11223021582733812</v>
      </c>
      <c r="R6" s="39">
        <v>2015</v>
      </c>
      <c r="S6" s="39">
        <v>86</v>
      </c>
      <c r="U6" s="65" t="s">
        <v>24</v>
      </c>
      <c r="V6" s="62" t="s">
        <v>13</v>
      </c>
      <c r="W6" s="62" t="s">
        <v>25</v>
      </c>
      <c r="X6" s="63" t="s">
        <v>26</v>
      </c>
      <c r="Z6" s="77" t="s">
        <v>27</v>
      </c>
      <c r="AA6" s="78">
        <v>1</v>
      </c>
      <c r="AB6" s="76">
        <f t="shared" ref="AB6:AB20" si="1">GETPIVOTDATA("行业",$Z$4,"行业",Z6)/GETPIVOTDATA("行业",$Z$4)</f>
        <v>1.4705882352941176E-2</v>
      </c>
      <c r="AC6" s="73"/>
      <c r="AD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c r="CG6" s="74"/>
      <c r="CH6" s="74"/>
      <c r="CI6" s="74"/>
      <c r="CJ6" s="74"/>
      <c r="CK6" s="74"/>
      <c r="CL6" s="74"/>
      <c r="CM6" s="74"/>
      <c r="CN6" s="74"/>
      <c r="CO6" s="74"/>
      <c r="CP6" s="74"/>
      <c r="CQ6" s="74"/>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c r="EC6" s="74"/>
      <c r="ED6" s="74"/>
      <c r="EE6" s="74"/>
      <c r="EF6" s="74"/>
      <c r="EG6" s="74"/>
      <c r="EH6" s="74"/>
      <c r="EI6" s="74"/>
      <c r="EJ6" s="74"/>
      <c r="EK6" s="74"/>
      <c r="EL6" s="74"/>
      <c r="EM6" s="74"/>
      <c r="EN6" s="74"/>
      <c r="EO6" s="74"/>
      <c r="EP6" s="74"/>
      <c r="EQ6" s="74"/>
      <c r="ER6" s="74"/>
      <c r="ES6" s="74"/>
      <c r="ET6" s="74"/>
      <c r="EU6" s="74"/>
      <c r="EV6" s="74"/>
      <c r="EW6" s="74"/>
      <c r="EX6" s="74"/>
      <c r="EY6" s="74"/>
      <c r="EZ6" s="74"/>
      <c r="FA6" s="74"/>
      <c r="FB6" s="74"/>
      <c r="FC6" s="74"/>
      <c r="FD6" s="74"/>
      <c r="FE6" s="74"/>
      <c r="FF6" s="74"/>
      <c r="FG6" s="74"/>
      <c r="FH6" s="74"/>
      <c r="FI6" s="74"/>
      <c r="FJ6" s="74"/>
      <c r="FK6" s="74"/>
      <c r="FL6" s="74"/>
    </row>
    <row r="7" spans="2:168">
      <c r="B7" s="42"/>
      <c r="C7" s="96"/>
      <c r="D7" s="96"/>
      <c r="E7" s="96"/>
      <c r="F7" s="96"/>
      <c r="G7" s="43"/>
      <c r="H7" s="44"/>
      <c r="I7" s="44"/>
      <c r="J7" s="44"/>
      <c r="K7" s="44"/>
      <c r="L7" s="42"/>
      <c r="N7" s="52" t="s">
        <v>28</v>
      </c>
      <c r="O7" s="39">
        <v>72</v>
      </c>
      <c r="P7" s="53">
        <f t="shared" si="0"/>
        <v>0.10359712230215827</v>
      </c>
      <c r="R7" s="39">
        <v>2016</v>
      </c>
      <c r="S7" s="39">
        <v>99</v>
      </c>
      <c r="U7" s="66" t="s">
        <v>29</v>
      </c>
      <c r="V7" s="62" t="s">
        <v>27</v>
      </c>
      <c r="W7" s="62" t="s">
        <v>30</v>
      </c>
      <c r="X7" s="63" t="s">
        <v>31</v>
      </c>
      <c r="Z7" s="79" t="s">
        <v>32</v>
      </c>
      <c r="AA7" s="80">
        <v>9</v>
      </c>
      <c r="AB7" s="81">
        <f t="shared" si="1"/>
        <v>0.13235294117647059</v>
      </c>
      <c r="AC7" s="82"/>
      <c r="AD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c r="CG7" s="74"/>
      <c r="CH7" s="74"/>
      <c r="CI7" s="74"/>
      <c r="CJ7" s="74"/>
      <c r="CK7" s="74"/>
      <c r="CL7" s="74"/>
      <c r="CM7" s="74"/>
      <c r="CN7" s="74"/>
      <c r="CO7" s="74"/>
      <c r="CP7" s="74"/>
      <c r="CQ7" s="74"/>
      <c r="CR7" s="74"/>
      <c r="CS7" s="74"/>
      <c r="CT7" s="74"/>
      <c r="CU7" s="74"/>
      <c r="CV7" s="74"/>
      <c r="CW7" s="74"/>
      <c r="CX7" s="74"/>
      <c r="CY7" s="74"/>
      <c r="CZ7" s="74"/>
      <c r="DA7" s="74"/>
      <c r="DB7" s="74"/>
      <c r="DC7" s="74"/>
      <c r="DD7" s="74"/>
      <c r="DE7" s="74"/>
      <c r="DF7" s="74"/>
      <c r="DG7" s="74"/>
      <c r="DH7" s="74"/>
      <c r="DI7" s="74"/>
      <c r="DJ7" s="74"/>
      <c r="DK7" s="74"/>
      <c r="DL7" s="74"/>
      <c r="DM7" s="74"/>
      <c r="DN7" s="74"/>
      <c r="DO7" s="74"/>
      <c r="DP7" s="74"/>
      <c r="DQ7" s="74"/>
      <c r="DR7" s="74"/>
      <c r="DS7" s="74"/>
      <c r="DT7" s="74"/>
      <c r="DU7" s="74"/>
      <c r="DV7" s="74"/>
      <c r="DW7" s="74"/>
      <c r="DX7" s="74"/>
      <c r="DY7" s="74"/>
      <c r="DZ7" s="74"/>
      <c r="EA7" s="74"/>
      <c r="EB7" s="74"/>
      <c r="EC7" s="74"/>
      <c r="ED7" s="74"/>
      <c r="EE7" s="74"/>
      <c r="EF7" s="74"/>
      <c r="EG7" s="74"/>
      <c r="EH7" s="74"/>
      <c r="EI7" s="74"/>
      <c r="EJ7" s="74"/>
      <c r="EK7" s="74"/>
      <c r="EL7" s="74"/>
      <c r="EM7" s="74"/>
      <c r="EN7" s="74"/>
      <c r="EO7" s="74"/>
      <c r="EP7" s="74"/>
      <c r="EQ7" s="74"/>
      <c r="ER7" s="74"/>
      <c r="ES7" s="74"/>
      <c r="ET7" s="74"/>
      <c r="EU7" s="74"/>
      <c r="EV7" s="74"/>
      <c r="EW7" s="74"/>
      <c r="EX7" s="74"/>
      <c r="EY7" s="74"/>
      <c r="EZ7" s="74"/>
      <c r="FA7" s="74"/>
      <c r="FB7" s="74"/>
      <c r="FC7" s="74"/>
      <c r="FD7" s="74"/>
      <c r="FE7" s="74"/>
      <c r="FF7" s="74"/>
      <c r="FG7" s="74"/>
      <c r="FH7" s="74"/>
      <c r="FI7" s="74"/>
      <c r="FJ7" s="74"/>
      <c r="FK7" s="74"/>
      <c r="FL7" s="74"/>
    </row>
    <row r="8" spans="2:168">
      <c r="B8" s="42"/>
      <c r="C8" s="97" t="s">
        <v>11817</v>
      </c>
      <c r="D8" s="97"/>
      <c r="E8" s="97"/>
      <c r="F8" s="97"/>
      <c r="G8" s="97"/>
      <c r="H8" s="97" t="s">
        <v>11816</v>
      </c>
      <c r="I8" s="97"/>
      <c r="J8" s="97"/>
      <c r="K8" s="97"/>
      <c r="L8" s="42"/>
      <c r="N8" s="52" t="s">
        <v>33</v>
      </c>
      <c r="O8" s="39">
        <v>51</v>
      </c>
      <c r="P8" s="53">
        <f t="shared" si="0"/>
        <v>7.3381294964028773E-2</v>
      </c>
      <c r="R8" s="39">
        <v>2017</v>
      </c>
      <c r="S8" s="39">
        <v>99</v>
      </c>
      <c r="U8" s="62" t="s">
        <v>34</v>
      </c>
      <c r="V8" s="62" t="s">
        <v>35</v>
      </c>
      <c r="W8" s="62" t="s">
        <v>36</v>
      </c>
      <c r="X8" s="63" t="s">
        <v>37</v>
      </c>
      <c r="Z8" s="77" t="s">
        <v>38</v>
      </c>
      <c r="AA8" s="78">
        <v>2</v>
      </c>
      <c r="AB8" s="76">
        <f t="shared" si="1"/>
        <v>2.9411764705882353E-2</v>
      </c>
      <c r="AC8" s="73"/>
      <c r="AD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c r="CG8" s="74"/>
      <c r="CH8" s="74"/>
      <c r="CI8" s="74"/>
      <c r="CJ8" s="74"/>
      <c r="CK8" s="74"/>
      <c r="CL8" s="74"/>
      <c r="CM8" s="74"/>
      <c r="CN8" s="74"/>
      <c r="CO8" s="74"/>
      <c r="CP8" s="74"/>
      <c r="CQ8" s="74"/>
      <c r="CR8" s="74"/>
      <c r="CS8" s="74"/>
      <c r="CT8" s="74"/>
      <c r="CU8" s="74"/>
      <c r="CV8" s="74"/>
      <c r="CW8" s="74"/>
      <c r="CX8" s="74"/>
      <c r="CY8" s="74"/>
      <c r="CZ8" s="74"/>
      <c r="DA8" s="74"/>
      <c r="DB8" s="74"/>
      <c r="DC8" s="74"/>
      <c r="DD8" s="74"/>
      <c r="DE8" s="74"/>
      <c r="DF8" s="74"/>
      <c r="DG8" s="74"/>
      <c r="DH8" s="74"/>
      <c r="DI8" s="74"/>
      <c r="DJ8" s="74"/>
      <c r="DK8" s="74"/>
      <c r="DL8" s="74"/>
      <c r="DM8" s="74"/>
      <c r="DN8" s="74"/>
      <c r="DO8" s="74"/>
      <c r="DP8" s="74"/>
      <c r="DQ8" s="74"/>
      <c r="DR8" s="74"/>
      <c r="DS8" s="74"/>
      <c r="DT8" s="74"/>
      <c r="DU8" s="74"/>
      <c r="DV8" s="74"/>
      <c r="DW8" s="74"/>
      <c r="DX8" s="74"/>
      <c r="DY8" s="74"/>
      <c r="DZ8" s="74"/>
      <c r="EA8" s="74"/>
      <c r="EB8" s="74"/>
      <c r="EC8" s="74"/>
      <c r="ED8" s="74"/>
      <c r="EE8" s="74"/>
      <c r="EF8" s="74"/>
      <c r="EG8" s="74"/>
      <c r="EH8" s="74"/>
      <c r="EI8" s="74"/>
      <c r="EJ8" s="74"/>
      <c r="EK8" s="74"/>
      <c r="EL8" s="74"/>
      <c r="EM8" s="74"/>
      <c r="EN8" s="74"/>
      <c r="EO8" s="74"/>
      <c r="EP8" s="74"/>
      <c r="EQ8" s="74"/>
      <c r="ER8" s="74"/>
      <c r="ES8" s="74"/>
      <c r="ET8" s="74"/>
      <c r="EU8" s="74"/>
      <c r="EV8" s="74"/>
      <c r="EW8" s="74"/>
      <c r="EX8" s="74"/>
      <c r="EY8" s="74"/>
      <c r="EZ8" s="74"/>
      <c r="FA8" s="74"/>
      <c r="FB8" s="74"/>
      <c r="FC8" s="74"/>
      <c r="FD8" s="74"/>
      <c r="FE8" s="74"/>
      <c r="FF8" s="74"/>
      <c r="FG8" s="74"/>
      <c r="FH8" s="74"/>
      <c r="FI8" s="74"/>
      <c r="FJ8" s="74"/>
      <c r="FK8" s="74"/>
      <c r="FL8" s="74"/>
    </row>
    <row r="9" spans="2:168">
      <c r="B9" s="42"/>
      <c r="C9" s="102"/>
      <c r="D9" s="102"/>
      <c r="E9" s="102"/>
      <c r="F9" s="102"/>
      <c r="G9" s="102"/>
      <c r="H9" s="102"/>
      <c r="I9" s="102"/>
      <c r="J9" s="102"/>
      <c r="K9" s="102"/>
      <c r="L9" s="42"/>
      <c r="N9" s="52" t="s">
        <v>39</v>
      </c>
      <c r="O9" s="39">
        <v>46</v>
      </c>
      <c r="P9" s="53">
        <f t="shared" si="0"/>
        <v>6.6187050359712229E-2</v>
      </c>
      <c r="R9" s="39">
        <v>2018</v>
      </c>
      <c r="S9" s="39">
        <v>168</v>
      </c>
      <c r="U9" s="62" t="s">
        <v>40</v>
      </c>
      <c r="V9" s="62" t="s">
        <v>35</v>
      </c>
      <c r="W9" s="62" t="s">
        <v>41</v>
      </c>
      <c r="X9" s="63" t="s">
        <v>42</v>
      </c>
      <c r="Z9" s="77" t="s">
        <v>43</v>
      </c>
      <c r="AA9" s="78">
        <v>1</v>
      </c>
      <c r="AB9" s="76">
        <f t="shared" si="1"/>
        <v>1.4705882352941176E-2</v>
      </c>
      <c r="AC9" s="73"/>
      <c r="AD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c r="CG9" s="74"/>
      <c r="CH9" s="74"/>
      <c r="CI9" s="74"/>
      <c r="CJ9" s="74"/>
      <c r="CK9" s="74"/>
      <c r="CL9" s="74"/>
      <c r="CM9" s="74"/>
      <c r="CN9" s="74"/>
      <c r="CO9" s="74"/>
      <c r="CP9" s="74"/>
      <c r="CQ9" s="74"/>
      <c r="CR9" s="74"/>
      <c r="CS9" s="74"/>
      <c r="CT9" s="74"/>
      <c r="CU9" s="74"/>
      <c r="CV9" s="74"/>
      <c r="CW9" s="74"/>
      <c r="CX9" s="74"/>
      <c r="CY9" s="74"/>
      <c r="CZ9" s="74"/>
      <c r="DA9" s="74"/>
      <c r="DB9" s="74"/>
      <c r="DC9" s="74"/>
      <c r="DD9" s="74"/>
      <c r="DE9" s="74"/>
      <c r="DF9" s="74"/>
      <c r="DG9" s="74"/>
      <c r="DH9" s="74"/>
      <c r="DI9" s="74"/>
      <c r="DJ9" s="74"/>
      <c r="DK9" s="74"/>
      <c r="DL9" s="74"/>
      <c r="DM9" s="74"/>
      <c r="DN9" s="74"/>
      <c r="DO9" s="74"/>
      <c r="DP9" s="74"/>
      <c r="DQ9" s="74"/>
      <c r="DR9" s="74"/>
      <c r="DS9" s="74"/>
      <c r="DT9" s="74"/>
      <c r="DU9" s="74"/>
      <c r="DV9" s="74"/>
      <c r="DW9" s="74"/>
      <c r="DX9" s="74"/>
      <c r="DY9" s="74"/>
      <c r="DZ9" s="74"/>
      <c r="EA9" s="74"/>
      <c r="EB9" s="74"/>
      <c r="EC9" s="74"/>
      <c r="ED9" s="74"/>
      <c r="EE9" s="74"/>
      <c r="EF9" s="74"/>
      <c r="EG9" s="74"/>
      <c r="EH9" s="74"/>
      <c r="EI9" s="74"/>
      <c r="EJ9" s="74"/>
      <c r="EK9" s="74"/>
      <c r="EL9" s="74"/>
      <c r="EM9" s="74"/>
      <c r="EN9" s="74"/>
      <c r="EO9" s="74"/>
      <c r="EP9" s="74"/>
      <c r="EQ9" s="74"/>
      <c r="ER9" s="74"/>
      <c r="ES9" s="74"/>
      <c r="ET9" s="74"/>
      <c r="EU9" s="74"/>
      <c r="EV9" s="74"/>
      <c r="EW9" s="74"/>
      <c r="EX9" s="74"/>
      <c r="EY9" s="74"/>
      <c r="EZ9" s="74"/>
      <c r="FA9" s="74"/>
      <c r="FB9" s="74"/>
      <c r="FC9" s="74"/>
      <c r="FD9" s="74"/>
      <c r="FE9" s="74"/>
      <c r="FF9" s="74"/>
      <c r="FG9" s="74"/>
      <c r="FH9" s="74"/>
      <c r="FI9" s="74"/>
      <c r="FJ9" s="74"/>
      <c r="FK9" s="74"/>
      <c r="FL9" s="74"/>
    </row>
    <row r="10" spans="2:168">
      <c r="B10" s="42"/>
      <c r="C10" s="102"/>
      <c r="D10" s="102"/>
      <c r="E10" s="102"/>
      <c r="F10" s="102"/>
      <c r="G10" s="102"/>
      <c r="H10" s="102"/>
      <c r="I10" s="102"/>
      <c r="J10" s="102"/>
      <c r="K10" s="102"/>
      <c r="L10" s="42"/>
      <c r="N10" s="52" t="s">
        <v>44</v>
      </c>
      <c r="O10" s="39">
        <v>45</v>
      </c>
      <c r="P10" s="53">
        <f t="shared" si="0"/>
        <v>6.4748201438848921E-2</v>
      </c>
      <c r="R10" s="39">
        <v>2019</v>
      </c>
      <c r="S10" s="39">
        <v>90</v>
      </c>
      <c r="U10" s="67" t="s">
        <v>45</v>
      </c>
      <c r="V10" s="62" t="s">
        <v>35</v>
      </c>
      <c r="W10" s="62" t="s">
        <v>46</v>
      </c>
      <c r="X10" s="63" t="s">
        <v>47</v>
      </c>
      <c r="Z10" s="77" t="s">
        <v>48</v>
      </c>
      <c r="AA10" s="78">
        <v>1</v>
      </c>
      <c r="AB10" s="76">
        <f t="shared" si="1"/>
        <v>1.4705882352941176E-2</v>
      </c>
      <c r="AC10" s="73"/>
      <c r="AD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c r="CG10" s="74"/>
      <c r="CH10" s="74"/>
      <c r="CI10" s="74"/>
      <c r="CJ10" s="74"/>
      <c r="CK10" s="74"/>
      <c r="CL10" s="74"/>
      <c r="CM10" s="74"/>
      <c r="CN10" s="74"/>
      <c r="CO10" s="74"/>
      <c r="CP10" s="74"/>
      <c r="CQ10" s="74"/>
      <c r="CR10" s="74"/>
      <c r="CS10" s="74"/>
      <c r="CT10" s="74"/>
      <c r="CU10" s="74"/>
      <c r="CV10" s="74"/>
      <c r="CW10" s="74"/>
      <c r="CX10" s="74"/>
      <c r="CY10" s="74"/>
      <c r="CZ10" s="74"/>
      <c r="DA10" s="74"/>
      <c r="DB10" s="74"/>
      <c r="DC10" s="74"/>
      <c r="DD10" s="74"/>
      <c r="DE10" s="74"/>
      <c r="DF10" s="74"/>
      <c r="DG10" s="74"/>
      <c r="DH10" s="74"/>
      <c r="DI10" s="74"/>
      <c r="DJ10" s="74"/>
      <c r="DK10" s="74"/>
      <c r="DL10" s="74"/>
      <c r="DM10" s="74"/>
      <c r="DN10" s="74"/>
      <c r="DO10" s="74"/>
      <c r="DP10" s="74"/>
      <c r="DQ10" s="74"/>
      <c r="DR10" s="74"/>
      <c r="DS10" s="74"/>
      <c r="DT10" s="74"/>
      <c r="DU10" s="74"/>
      <c r="DV10" s="74"/>
      <c r="DW10" s="74"/>
      <c r="DX10" s="74"/>
      <c r="DY10" s="74"/>
      <c r="DZ10" s="74"/>
      <c r="EA10" s="74"/>
      <c r="EB10" s="74"/>
      <c r="EC10" s="74"/>
      <c r="ED10" s="74"/>
      <c r="EE10" s="74"/>
      <c r="EF10" s="74"/>
      <c r="EG10" s="74"/>
      <c r="EH10" s="74"/>
      <c r="EI10" s="74"/>
      <c r="EJ10" s="74"/>
      <c r="EK10" s="74"/>
      <c r="EL10" s="74"/>
      <c r="EM10" s="74"/>
      <c r="EN10" s="74"/>
      <c r="EO10" s="74"/>
      <c r="EP10" s="74"/>
      <c r="EQ10" s="74"/>
      <c r="ER10" s="74"/>
      <c r="ES10" s="74"/>
      <c r="ET10" s="74"/>
      <c r="EU10" s="74"/>
      <c r="EV10" s="74"/>
      <c r="EW10" s="74"/>
      <c r="EX10" s="74"/>
      <c r="EY10" s="74"/>
      <c r="EZ10" s="74"/>
      <c r="FA10" s="74"/>
      <c r="FB10" s="74"/>
      <c r="FC10" s="74"/>
      <c r="FD10" s="74"/>
      <c r="FE10" s="74"/>
      <c r="FF10" s="74"/>
      <c r="FG10" s="74"/>
      <c r="FH10" s="74"/>
      <c r="FI10" s="74"/>
      <c r="FJ10" s="74"/>
      <c r="FK10" s="74"/>
      <c r="FL10" s="74"/>
    </row>
    <row r="11" spans="2:168">
      <c r="B11" s="42"/>
      <c r="C11" s="98"/>
      <c r="D11" s="98"/>
      <c r="E11" s="98"/>
      <c r="F11" s="98"/>
      <c r="G11" s="98"/>
      <c r="H11" s="98"/>
      <c r="I11" s="98"/>
      <c r="J11" s="98"/>
      <c r="K11" s="98"/>
      <c r="L11" s="42"/>
      <c r="N11" s="52" t="s">
        <v>49</v>
      </c>
      <c r="O11" s="39">
        <v>39</v>
      </c>
      <c r="P11" s="53">
        <f t="shared" si="0"/>
        <v>5.6115107913669061E-2</v>
      </c>
      <c r="R11" s="56">
        <v>2020</v>
      </c>
      <c r="S11" s="56">
        <v>64</v>
      </c>
      <c r="U11" s="65" t="s">
        <v>50</v>
      </c>
      <c r="V11" s="62" t="s">
        <v>35</v>
      </c>
      <c r="W11" s="62" t="s">
        <v>51</v>
      </c>
      <c r="X11" s="63" t="s">
        <v>31</v>
      </c>
      <c r="Z11" s="77" t="s">
        <v>52</v>
      </c>
      <c r="AA11" s="78">
        <v>1</v>
      </c>
      <c r="AB11" s="76">
        <f t="shared" si="1"/>
        <v>1.4705882352941176E-2</v>
      </c>
      <c r="AC11" s="73"/>
      <c r="AD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c r="CG11" s="74"/>
      <c r="CH11" s="74"/>
      <c r="CI11" s="74"/>
      <c r="CJ11" s="74"/>
      <c r="CK11" s="74"/>
      <c r="CL11" s="74"/>
      <c r="CM11" s="74"/>
      <c r="CN11" s="74"/>
      <c r="CO11" s="74"/>
      <c r="CP11" s="74"/>
      <c r="CQ11" s="74"/>
      <c r="CR11" s="74"/>
      <c r="CS11" s="74"/>
      <c r="CT11" s="74"/>
      <c r="CU11" s="74"/>
      <c r="CV11" s="74"/>
      <c r="CW11" s="74"/>
      <c r="CX11" s="74"/>
      <c r="CY11" s="74"/>
      <c r="CZ11" s="74"/>
      <c r="DA11" s="74"/>
      <c r="DB11" s="74"/>
      <c r="DC11" s="74"/>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c r="EC11" s="74"/>
      <c r="ED11" s="74"/>
      <c r="EE11" s="74"/>
      <c r="EF11" s="74"/>
      <c r="EG11" s="74"/>
      <c r="EH11" s="74"/>
      <c r="EI11" s="74"/>
      <c r="EJ11" s="74"/>
      <c r="EK11" s="74"/>
      <c r="EL11" s="74"/>
      <c r="EM11" s="74"/>
      <c r="EN11" s="74"/>
      <c r="EO11" s="74"/>
      <c r="EP11" s="74"/>
      <c r="EQ11" s="74"/>
      <c r="ER11" s="74"/>
      <c r="ES11" s="74"/>
      <c r="ET11" s="74"/>
      <c r="EU11" s="74"/>
      <c r="EV11" s="74"/>
      <c r="EW11" s="74"/>
      <c r="EX11" s="74"/>
      <c r="EY11" s="74"/>
      <c r="EZ11" s="74"/>
      <c r="FA11" s="74"/>
      <c r="FB11" s="74"/>
      <c r="FC11" s="74"/>
      <c r="FD11" s="74"/>
      <c r="FE11" s="74"/>
      <c r="FF11" s="74"/>
      <c r="FG11" s="74"/>
      <c r="FH11" s="74"/>
      <c r="FI11" s="74"/>
      <c r="FJ11" s="74"/>
      <c r="FK11" s="74"/>
      <c r="FL11" s="74"/>
    </row>
    <row r="12" spans="2:168">
      <c r="B12" s="42"/>
      <c r="C12" s="99"/>
      <c r="D12" s="99"/>
      <c r="E12" s="99"/>
      <c r="F12" s="99"/>
      <c r="G12" s="99"/>
      <c r="H12" s="99"/>
      <c r="I12" s="99"/>
      <c r="J12" s="99"/>
      <c r="K12" s="99"/>
      <c r="L12" s="42"/>
      <c r="N12" s="52" t="s">
        <v>53</v>
      </c>
      <c r="O12" s="39">
        <v>38</v>
      </c>
      <c r="P12" s="53">
        <f t="shared" si="0"/>
        <v>5.4676258992805753E-2</v>
      </c>
      <c r="R12" s="56">
        <v>2021</v>
      </c>
      <c r="S12" s="56">
        <v>89</v>
      </c>
      <c r="U12" s="68" t="s">
        <v>54</v>
      </c>
      <c r="V12" s="62" t="s">
        <v>35</v>
      </c>
      <c r="W12" s="62" t="s">
        <v>55</v>
      </c>
      <c r="X12" s="63" t="s">
        <v>56</v>
      </c>
      <c r="Z12" s="77" t="s">
        <v>57</v>
      </c>
      <c r="AA12" s="78">
        <v>1</v>
      </c>
      <c r="AB12" s="76">
        <f t="shared" si="1"/>
        <v>1.4705882352941176E-2</v>
      </c>
      <c r="AC12" s="73"/>
      <c r="AD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row>
    <row r="13" spans="2:168">
      <c r="B13" s="42"/>
      <c r="C13" s="102"/>
      <c r="D13" s="102"/>
      <c r="E13" s="102"/>
      <c r="F13" s="102"/>
      <c r="G13" s="102"/>
      <c r="H13" s="102"/>
      <c r="I13" s="102"/>
      <c r="J13" s="102"/>
      <c r="K13" s="102"/>
      <c r="L13" s="42"/>
      <c r="N13" s="52" t="s">
        <v>58</v>
      </c>
      <c r="O13" s="39">
        <v>20</v>
      </c>
      <c r="P13" s="53">
        <f t="shared" si="0"/>
        <v>2.8776978417266189E-2</v>
      </c>
      <c r="R13" s="56">
        <v>2022</v>
      </c>
      <c r="S13" s="56">
        <v>37</v>
      </c>
      <c r="U13" s="61" t="s">
        <v>59</v>
      </c>
      <c r="V13" s="62" t="s">
        <v>35</v>
      </c>
      <c r="W13" s="62" t="s">
        <v>60</v>
      </c>
      <c r="X13" s="63" t="s">
        <v>61</v>
      </c>
      <c r="Z13" s="79" t="s">
        <v>62</v>
      </c>
      <c r="AA13" s="80">
        <v>10</v>
      </c>
      <c r="AB13" s="81">
        <f t="shared" si="1"/>
        <v>0.14705882352941177</v>
      </c>
      <c r="AC13" s="82"/>
      <c r="AD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row>
    <row r="14" spans="2:168">
      <c r="B14" s="42"/>
      <c r="C14" s="102"/>
      <c r="D14" s="102"/>
      <c r="E14" s="102"/>
      <c r="F14" s="102"/>
      <c r="G14" s="102"/>
      <c r="H14" s="102"/>
      <c r="I14" s="102"/>
      <c r="J14" s="102"/>
      <c r="K14" s="102"/>
      <c r="L14" s="42"/>
      <c r="N14" s="52" t="s">
        <v>63</v>
      </c>
      <c r="O14" s="39">
        <v>17</v>
      </c>
      <c r="P14" s="53">
        <f t="shared" si="0"/>
        <v>2.4460431654676259E-2</v>
      </c>
      <c r="R14" s="56">
        <v>2023</v>
      </c>
      <c r="S14" s="56">
        <v>19</v>
      </c>
      <c r="U14" s="62" t="s">
        <v>64</v>
      </c>
      <c r="V14" s="62" t="s">
        <v>35</v>
      </c>
      <c r="W14" s="62" t="s">
        <v>55</v>
      </c>
      <c r="X14" s="63" t="s">
        <v>65</v>
      </c>
      <c r="Z14" s="79" t="s">
        <v>66</v>
      </c>
      <c r="AA14" s="80">
        <v>10</v>
      </c>
      <c r="AB14" s="81">
        <f t="shared" si="1"/>
        <v>0.14705882352941177</v>
      </c>
      <c r="AC14" s="82"/>
      <c r="AD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row>
    <row r="15" spans="2:168">
      <c r="B15" s="42"/>
      <c r="C15" s="102"/>
      <c r="D15" s="102"/>
      <c r="E15" s="102"/>
      <c r="F15" s="102"/>
      <c r="G15" s="102"/>
      <c r="H15" s="102"/>
      <c r="I15" s="102"/>
      <c r="J15" s="102"/>
      <c r="K15" s="102"/>
      <c r="L15" s="42"/>
      <c r="N15" s="52" t="s">
        <v>67</v>
      </c>
      <c r="O15" s="39">
        <v>14</v>
      </c>
      <c r="P15" s="53">
        <f t="shared" si="0"/>
        <v>2.0143884892086329E-2</v>
      </c>
      <c r="U15" s="62" t="s">
        <v>68</v>
      </c>
      <c r="V15" s="62" t="s">
        <v>35</v>
      </c>
      <c r="W15" s="62" t="s">
        <v>69</v>
      </c>
      <c r="X15" s="63" t="s">
        <v>70</v>
      </c>
      <c r="Z15" s="77" t="s">
        <v>71</v>
      </c>
      <c r="AA15" s="78">
        <v>3</v>
      </c>
      <c r="AB15" s="76">
        <f t="shared" si="1"/>
        <v>4.4117647058823532E-2</v>
      </c>
      <c r="AC15" s="73"/>
      <c r="AD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row>
    <row r="16" spans="2:168">
      <c r="B16" s="42"/>
      <c r="C16" s="98"/>
      <c r="D16" s="98"/>
      <c r="E16" s="98"/>
      <c r="F16" s="98"/>
      <c r="G16" s="98"/>
      <c r="H16" s="98"/>
      <c r="I16" s="98"/>
      <c r="J16" s="98"/>
      <c r="K16" s="98"/>
      <c r="L16" s="42"/>
      <c r="N16" s="52" t="s">
        <v>72</v>
      </c>
      <c r="O16" s="39">
        <v>13</v>
      </c>
      <c r="P16" s="53">
        <f t="shared" si="0"/>
        <v>1.870503597122302E-2</v>
      </c>
      <c r="U16" s="61" t="s">
        <v>73</v>
      </c>
      <c r="V16" s="62" t="s">
        <v>35</v>
      </c>
      <c r="W16" s="62" t="s">
        <v>74</v>
      </c>
      <c r="X16" s="63" t="s">
        <v>70</v>
      </c>
      <c r="Z16" s="77" t="s">
        <v>75</v>
      </c>
      <c r="AA16" s="78">
        <v>2</v>
      </c>
      <c r="AB16" s="76">
        <f t="shared" si="1"/>
        <v>2.9411764705882353E-2</v>
      </c>
      <c r="AC16" s="73"/>
      <c r="AD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row>
    <row r="17" spans="2:168">
      <c r="B17" s="42"/>
      <c r="C17" s="99"/>
      <c r="D17" s="99"/>
      <c r="E17" s="99"/>
      <c r="F17" s="99"/>
      <c r="G17" s="99"/>
      <c r="H17" s="99"/>
      <c r="I17" s="99"/>
      <c r="J17" s="99"/>
      <c r="K17" s="99"/>
      <c r="L17" s="42"/>
      <c r="N17" s="52" t="s">
        <v>76</v>
      </c>
      <c r="O17" s="39">
        <v>12</v>
      </c>
      <c r="P17" s="53">
        <f t="shared" si="0"/>
        <v>1.7266187050359712E-2</v>
      </c>
      <c r="U17" s="62" t="s">
        <v>77</v>
      </c>
      <c r="V17" s="62" t="s">
        <v>38</v>
      </c>
      <c r="W17" s="62" t="s">
        <v>78</v>
      </c>
      <c r="X17" s="63" t="s">
        <v>70</v>
      </c>
      <c r="Z17" s="79" t="s">
        <v>79</v>
      </c>
      <c r="AA17" s="80">
        <v>16</v>
      </c>
      <c r="AB17" s="81">
        <f t="shared" si="1"/>
        <v>0.23529411764705882</v>
      </c>
      <c r="AC17" s="82"/>
      <c r="AD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row>
    <row r="18" spans="2:168">
      <c r="B18" s="42"/>
      <c r="C18" s="102"/>
      <c r="D18" s="102"/>
      <c r="E18" s="102"/>
      <c r="F18" s="102"/>
      <c r="G18" s="102"/>
      <c r="H18" s="102"/>
      <c r="I18" s="102"/>
      <c r="J18" s="102"/>
      <c r="K18" s="102"/>
      <c r="L18" s="42"/>
      <c r="N18" s="52" t="s">
        <v>80</v>
      </c>
      <c r="O18" s="39">
        <v>11</v>
      </c>
      <c r="P18" s="53">
        <f t="shared" si="0"/>
        <v>1.5827338129496403E-2</v>
      </c>
      <c r="U18" s="61" t="s">
        <v>81</v>
      </c>
      <c r="V18" s="62" t="s">
        <v>38</v>
      </c>
      <c r="W18" s="62" t="s">
        <v>82</v>
      </c>
      <c r="X18" s="63" t="s">
        <v>83</v>
      </c>
      <c r="Z18" s="79" t="s">
        <v>84</v>
      </c>
      <c r="AA18" s="80">
        <v>5</v>
      </c>
      <c r="AB18" s="81">
        <f t="shared" si="1"/>
        <v>7.3529411764705885E-2</v>
      </c>
      <c r="AC18" s="82"/>
      <c r="AD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row>
    <row r="19" spans="2:168">
      <c r="B19" s="42"/>
      <c r="C19" s="102"/>
      <c r="D19" s="102"/>
      <c r="E19" s="102"/>
      <c r="F19" s="102"/>
      <c r="G19" s="102"/>
      <c r="H19" s="102"/>
      <c r="I19" s="102"/>
      <c r="J19" s="102"/>
      <c r="K19" s="102"/>
      <c r="L19" s="42"/>
      <c r="N19" s="52" t="s">
        <v>85</v>
      </c>
      <c r="O19" s="39">
        <v>9</v>
      </c>
      <c r="P19" s="53">
        <f t="shared" si="0"/>
        <v>1.2949640287769784E-2</v>
      </c>
      <c r="U19" s="62" t="s">
        <v>86</v>
      </c>
      <c r="V19" s="62" t="s">
        <v>43</v>
      </c>
      <c r="W19" s="62" t="s">
        <v>87</v>
      </c>
      <c r="X19" s="63" t="s">
        <v>88</v>
      </c>
      <c r="Z19" s="77" t="s">
        <v>89</v>
      </c>
      <c r="AA19" s="78">
        <v>2</v>
      </c>
      <c r="AB19" s="76">
        <f t="shared" si="1"/>
        <v>2.9411764705882353E-2</v>
      </c>
      <c r="AC19" s="73"/>
      <c r="AD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row>
    <row r="20" spans="2:168">
      <c r="B20" s="42"/>
      <c r="C20" s="98"/>
      <c r="D20" s="98"/>
      <c r="E20" s="98"/>
      <c r="F20" s="98"/>
      <c r="G20" s="98"/>
      <c r="H20" s="98"/>
      <c r="I20" s="98"/>
      <c r="J20" s="98"/>
      <c r="K20" s="98"/>
      <c r="L20" s="42"/>
      <c r="N20" s="52" t="s">
        <v>90</v>
      </c>
      <c r="O20" s="39">
        <v>6</v>
      </c>
      <c r="P20" s="53">
        <f t="shared" si="0"/>
        <v>8.6330935251798559E-3</v>
      </c>
      <c r="U20" s="67" t="s">
        <v>91</v>
      </c>
      <c r="V20" s="62" t="s">
        <v>48</v>
      </c>
      <c r="W20" s="62" t="s">
        <v>92</v>
      </c>
      <c r="X20" s="63" t="s">
        <v>93</v>
      </c>
      <c r="Z20" s="77" t="s">
        <v>94</v>
      </c>
      <c r="AA20" s="78">
        <v>1</v>
      </c>
      <c r="AB20" s="76">
        <f t="shared" si="1"/>
        <v>1.4705882352941176E-2</v>
      </c>
      <c r="AC20" s="73"/>
      <c r="AD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row>
    <row r="21" spans="2:168">
      <c r="B21" s="42"/>
      <c r="C21" s="99"/>
      <c r="D21" s="99"/>
      <c r="E21" s="99"/>
      <c r="F21" s="99"/>
      <c r="G21" s="99"/>
      <c r="H21" s="99"/>
      <c r="I21" s="99"/>
      <c r="J21" s="99"/>
      <c r="K21" s="99"/>
      <c r="L21" s="42"/>
      <c r="N21" s="52" t="s">
        <v>95</v>
      </c>
      <c r="O21" s="39">
        <v>5</v>
      </c>
      <c r="P21" s="53">
        <f t="shared" si="0"/>
        <v>7.1942446043165471E-3</v>
      </c>
      <c r="U21" s="62" t="s">
        <v>96</v>
      </c>
      <c r="V21" s="62" t="s">
        <v>52</v>
      </c>
      <c r="W21" s="62" t="s">
        <v>97</v>
      </c>
      <c r="X21" s="63" t="s">
        <v>98</v>
      </c>
      <c r="Y21" s="41">
        <v>1</v>
      </c>
      <c r="Z21" s="83" t="s">
        <v>99</v>
      </c>
      <c r="AA21" s="84">
        <v>68</v>
      </c>
      <c r="AB21" s="76"/>
      <c r="AC21" s="73"/>
      <c r="AD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row>
    <row r="22" spans="2:168">
      <c r="B22" s="42"/>
      <c r="C22" s="102"/>
      <c r="D22" s="102"/>
      <c r="E22" s="102"/>
      <c r="F22" s="102"/>
      <c r="G22" s="102"/>
      <c r="H22" s="102"/>
      <c r="I22" s="102"/>
      <c r="J22" s="102"/>
      <c r="K22" s="102"/>
      <c r="L22" s="42"/>
      <c r="N22" s="52" t="s">
        <v>100</v>
      </c>
      <c r="O22" s="39">
        <v>4</v>
      </c>
      <c r="P22" s="53">
        <f t="shared" si="0"/>
        <v>5.7553956834532375E-3</v>
      </c>
      <c r="U22" s="67" t="s">
        <v>101</v>
      </c>
      <c r="V22" s="62" t="s">
        <v>57</v>
      </c>
      <c r="W22" s="62" t="s">
        <v>102</v>
      </c>
      <c r="X22" s="63" t="s">
        <v>103</v>
      </c>
      <c r="Y22" s="41">
        <v>1</v>
      </c>
      <c r="Z22" s="85"/>
      <c r="AA22" s="85"/>
      <c r="AB22" s="76"/>
      <c r="AC22" s="73"/>
      <c r="AD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row>
    <row r="23" spans="2:168">
      <c r="B23" s="42"/>
      <c r="C23" s="102"/>
      <c r="D23" s="102"/>
      <c r="E23" s="102"/>
      <c r="F23" s="102"/>
      <c r="G23" s="102"/>
      <c r="H23" s="102"/>
      <c r="I23" s="102"/>
      <c r="J23" s="102"/>
      <c r="K23" s="102"/>
      <c r="L23" s="42"/>
      <c r="N23" s="52" t="s">
        <v>104</v>
      </c>
      <c r="O23" s="39">
        <v>3</v>
      </c>
      <c r="P23" s="53">
        <f t="shared" si="0"/>
        <v>4.3165467625899279E-3</v>
      </c>
      <c r="U23" s="62" t="s">
        <v>105</v>
      </c>
      <c r="V23" s="62" t="s">
        <v>106</v>
      </c>
      <c r="W23" s="62" t="s">
        <v>107</v>
      </c>
      <c r="X23" s="63" t="s">
        <v>108</v>
      </c>
      <c r="Y23" s="41">
        <v>1</v>
      </c>
      <c r="Z23" s="85"/>
      <c r="AA23" s="85"/>
      <c r="AB23" s="76"/>
      <c r="AC23" s="73"/>
      <c r="AD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row>
    <row r="24" spans="2:168">
      <c r="B24" s="42"/>
      <c r="C24" s="100" t="s">
        <v>109</v>
      </c>
      <c r="D24" s="101"/>
      <c r="E24" s="101"/>
      <c r="F24" s="101"/>
      <c r="G24" s="101"/>
      <c r="H24" s="101"/>
      <c r="I24" s="101"/>
      <c r="J24" s="101"/>
      <c r="K24" s="101"/>
      <c r="L24" s="42"/>
      <c r="N24" s="52" t="s">
        <v>110</v>
      </c>
      <c r="O24" s="39">
        <v>1</v>
      </c>
      <c r="P24" s="53">
        <f t="shared" si="0"/>
        <v>1.4388489208633094E-3</v>
      </c>
      <c r="U24" s="61" t="s">
        <v>111</v>
      </c>
      <c r="V24" s="62" t="s">
        <v>106</v>
      </c>
      <c r="W24" s="62" t="s">
        <v>112</v>
      </c>
      <c r="X24" s="63" t="s">
        <v>113</v>
      </c>
      <c r="Y24" s="41">
        <v>1</v>
      </c>
      <c r="Z24" s="85"/>
      <c r="AA24" s="85"/>
      <c r="AB24" s="76"/>
      <c r="AC24" s="73"/>
      <c r="AD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row>
    <row r="25" spans="2:168">
      <c r="B25" s="42"/>
      <c r="C25" s="45"/>
      <c r="D25" s="45"/>
      <c r="E25" s="45"/>
      <c r="F25" s="45"/>
      <c r="G25" s="45"/>
      <c r="H25" s="45"/>
      <c r="I25" s="45"/>
      <c r="J25" s="45"/>
      <c r="K25" s="54" t="s">
        <v>11818</v>
      </c>
      <c r="L25" s="42"/>
      <c r="U25" s="67" t="s">
        <v>114</v>
      </c>
      <c r="V25" s="62" t="s">
        <v>106</v>
      </c>
      <c r="W25" s="62" t="s">
        <v>107</v>
      </c>
      <c r="X25" s="63" t="s">
        <v>115</v>
      </c>
      <c r="Y25" s="41">
        <v>1</v>
      </c>
      <c r="Z25" s="85"/>
      <c r="AA25" s="85"/>
      <c r="AB25" s="86"/>
      <c r="AC25" s="69"/>
      <c r="AD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row>
    <row r="26" spans="2:168">
      <c r="B26" s="42"/>
      <c r="C26" s="103" t="s">
        <v>116</v>
      </c>
      <c r="D26" s="104"/>
      <c r="E26" s="104"/>
      <c r="F26" s="104"/>
      <c r="G26" s="104"/>
      <c r="H26" s="104"/>
      <c r="I26" s="104"/>
      <c r="J26" s="104"/>
      <c r="K26" s="104"/>
      <c r="L26" s="42"/>
      <c r="N26" s="41"/>
      <c r="O26" s="41"/>
      <c r="P26" s="41"/>
      <c r="Q26" s="41"/>
      <c r="R26" s="41"/>
      <c r="U26" s="64" t="s">
        <v>117</v>
      </c>
      <c r="V26" s="62" t="s">
        <v>106</v>
      </c>
      <c r="W26" s="62" t="s">
        <v>112</v>
      </c>
      <c r="X26" s="63" t="s">
        <v>31</v>
      </c>
      <c r="Y26" s="41">
        <v>1</v>
      </c>
      <c r="Z26" s="85"/>
      <c r="AA26" s="85"/>
      <c r="AB26" s="69"/>
      <c r="AC26" s="69"/>
      <c r="AD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c r="DB26" s="74"/>
      <c r="DC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c r="EC26" s="74"/>
      <c r="ED26" s="74"/>
      <c r="EE26" s="74"/>
      <c r="EF26" s="74"/>
      <c r="EG26" s="74"/>
      <c r="EH26" s="74"/>
      <c r="EI26" s="74"/>
      <c r="EJ26" s="74"/>
      <c r="EK26" s="74"/>
      <c r="EL26" s="74"/>
      <c r="EM26" s="74"/>
      <c r="EN26" s="74"/>
      <c r="EO26" s="74"/>
      <c r="EP26" s="74"/>
      <c r="EQ26" s="74"/>
      <c r="ER26" s="74"/>
      <c r="ES26" s="74"/>
      <c r="ET26" s="74"/>
      <c r="EU26" s="74"/>
      <c r="EV26" s="74"/>
      <c r="EW26" s="74"/>
      <c r="EX26" s="74"/>
      <c r="EY26" s="74"/>
      <c r="EZ26" s="74"/>
      <c r="FA26" s="74"/>
      <c r="FB26" s="74"/>
      <c r="FC26" s="74"/>
      <c r="FD26" s="74"/>
      <c r="FE26" s="74"/>
      <c r="FF26" s="74"/>
      <c r="FG26" s="74"/>
      <c r="FH26" s="74"/>
      <c r="FI26" s="74"/>
      <c r="FJ26" s="74"/>
      <c r="FK26" s="74"/>
      <c r="FL26" s="74"/>
    </row>
    <row r="27" spans="2:168">
      <c r="B27" s="42"/>
      <c r="C27" s="104"/>
      <c r="D27" s="104"/>
      <c r="E27" s="104"/>
      <c r="F27" s="104"/>
      <c r="G27" s="104"/>
      <c r="H27" s="104"/>
      <c r="I27" s="104"/>
      <c r="J27" s="104"/>
      <c r="K27" s="104"/>
      <c r="L27" s="42"/>
      <c r="N27" s="41"/>
      <c r="O27" s="41" t="s">
        <v>118</v>
      </c>
      <c r="P27" s="55">
        <v>0.23529411764705899</v>
      </c>
      <c r="Q27" s="41"/>
      <c r="R27" s="41"/>
      <c r="U27" s="68" t="s">
        <v>119</v>
      </c>
      <c r="V27" s="62" t="s">
        <v>106</v>
      </c>
      <c r="W27" s="62" t="s">
        <v>120</v>
      </c>
      <c r="X27" s="63" t="s">
        <v>70</v>
      </c>
      <c r="Y27" s="41">
        <v>1</v>
      </c>
      <c r="Z27" s="85"/>
      <c r="AA27" s="85"/>
      <c r="AB27" s="69"/>
      <c r="AC27" s="69"/>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row>
    <row r="28" spans="2:168">
      <c r="B28" s="42"/>
      <c r="C28" s="104"/>
      <c r="D28" s="104"/>
      <c r="E28" s="104"/>
      <c r="F28" s="104"/>
      <c r="G28" s="104"/>
      <c r="H28" s="104"/>
      <c r="I28" s="104"/>
      <c r="J28" s="104"/>
      <c r="K28" s="104"/>
      <c r="L28" s="42"/>
      <c r="N28" s="41"/>
      <c r="O28" s="41" t="s">
        <v>121</v>
      </c>
      <c r="P28" s="55">
        <v>0.14705882352941199</v>
      </c>
      <c r="Q28" s="41"/>
      <c r="R28" s="41"/>
      <c r="U28" s="67" t="s">
        <v>122</v>
      </c>
      <c r="V28" s="62" t="s">
        <v>106</v>
      </c>
      <c r="W28" s="62" t="s">
        <v>123</v>
      </c>
      <c r="X28" s="63" t="s">
        <v>70</v>
      </c>
      <c r="Y28" s="41">
        <v>1</v>
      </c>
      <c r="Z28" s="85"/>
      <c r="AA28" s="85"/>
    </row>
    <row r="29" spans="2:168">
      <c r="B29" s="42"/>
      <c r="C29" s="104"/>
      <c r="D29" s="104"/>
      <c r="E29" s="104"/>
      <c r="F29" s="104"/>
      <c r="G29" s="104"/>
      <c r="H29" s="104"/>
      <c r="I29" s="104"/>
      <c r="J29" s="104"/>
      <c r="K29" s="104"/>
      <c r="L29" s="42"/>
      <c r="N29" s="41"/>
      <c r="O29" s="41" t="s">
        <v>124</v>
      </c>
      <c r="P29" s="55">
        <v>0.14705882352941199</v>
      </c>
      <c r="Q29" s="41"/>
      <c r="R29" s="41"/>
      <c r="U29" s="62" t="s">
        <v>125</v>
      </c>
      <c r="V29" s="62" t="s">
        <v>106</v>
      </c>
      <c r="W29" s="62" t="s">
        <v>126</v>
      </c>
      <c r="X29" s="63" t="s">
        <v>70</v>
      </c>
      <c r="Y29" s="41">
        <v>1</v>
      </c>
      <c r="Z29" s="85"/>
      <c r="AA29" s="85"/>
    </row>
    <row r="30" spans="2:168">
      <c r="N30" s="41"/>
      <c r="O30" s="41" t="s">
        <v>127</v>
      </c>
      <c r="P30" s="55">
        <v>0.13235294117647101</v>
      </c>
      <c r="Q30" s="41"/>
      <c r="R30" s="41"/>
      <c r="U30" s="64" t="s">
        <v>128</v>
      </c>
      <c r="V30" s="62" t="s">
        <v>106</v>
      </c>
      <c r="W30" s="62" t="s">
        <v>112</v>
      </c>
      <c r="X30" s="63" t="s">
        <v>70</v>
      </c>
      <c r="Y30" s="41">
        <v>1</v>
      </c>
      <c r="Z30" s="85"/>
      <c r="AA30" s="85"/>
    </row>
    <row r="31" spans="2:168">
      <c r="N31" s="41"/>
      <c r="O31" s="41" t="s">
        <v>129</v>
      </c>
      <c r="P31" s="55">
        <v>7.3529411764705899E-2</v>
      </c>
      <c r="Q31" s="41"/>
      <c r="R31" s="41"/>
      <c r="U31" s="62" t="s">
        <v>130</v>
      </c>
      <c r="V31" s="62" t="s">
        <v>106</v>
      </c>
      <c r="W31" s="62" t="s">
        <v>120</v>
      </c>
      <c r="X31" s="63" t="s">
        <v>83</v>
      </c>
      <c r="Y31" s="41">
        <v>1</v>
      </c>
      <c r="Z31" s="85"/>
      <c r="AA31" s="85"/>
    </row>
    <row r="32" spans="2:168">
      <c r="N32" s="41"/>
      <c r="O32" s="41" t="s">
        <v>131</v>
      </c>
      <c r="P32" s="55">
        <v>4.4117647058823498E-2</v>
      </c>
      <c r="Q32" s="41"/>
      <c r="R32" s="41"/>
      <c r="U32" s="68" t="s">
        <v>132</v>
      </c>
      <c r="V32" s="62" t="s">
        <v>106</v>
      </c>
      <c r="W32" s="62" t="s">
        <v>123</v>
      </c>
      <c r="X32" s="63" t="s">
        <v>133</v>
      </c>
      <c r="Y32" s="41">
        <v>1</v>
      </c>
      <c r="Z32" s="85"/>
      <c r="AA32" s="85"/>
    </row>
    <row r="33" spans="14:27">
      <c r="N33" s="41"/>
      <c r="O33" s="41" t="s">
        <v>134</v>
      </c>
      <c r="P33" s="55">
        <v>4.4117647058823498E-2</v>
      </c>
      <c r="Q33" s="41"/>
      <c r="R33" s="41"/>
      <c r="U33" s="61" t="s">
        <v>135</v>
      </c>
      <c r="V33" s="62" t="s">
        <v>136</v>
      </c>
      <c r="W33" s="62" t="s">
        <v>137</v>
      </c>
      <c r="X33" s="63" t="s">
        <v>138</v>
      </c>
      <c r="Y33" s="41">
        <v>1</v>
      </c>
      <c r="Z33" s="85"/>
      <c r="AA33" s="85"/>
    </row>
    <row r="34" spans="14:27">
      <c r="N34" s="41"/>
      <c r="O34" s="41" t="s">
        <v>139</v>
      </c>
      <c r="P34" s="55">
        <f>1-SUM(P27:P33)</f>
        <v>0.17647058823529305</v>
      </c>
      <c r="Q34" s="41"/>
      <c r="R34" s="41"/>
      <c r="U34" s="62" t="s">
        <v>140</v>
      </c>
      <c r="V34" s="62" t="s">
        <v>136</v>
      </c>
      <c r="W34" s="62" t="s">
        <v>141</v>
      </c>
      <c r="X34" s="63" t="s">
        <v>142</v>
      </c>
      <c r="Y34" s="41">
        <v>1</v>
      </c>
      <c r="Z34" s="85"/>
      <c r="AA34" s="85"/>
    </row>
    <row r="35" spans="14:27">
      <c r="N35" s="41"/>
      <c r="O35" s="41"/>
      <c r="P35" s="55"/>
      <c r="Q35" s="41"/>
      <c r="R35" s="41"/>
      <c r="U35" s="62" t="s">
        <v>143</v>
      </c>
      <c r="V35" s="62" t="s">
        <v>136</v>
      </c>
      <c r="W35" s="62" t="s">
        <v>144</v>
      </c>
      <c r="X35" s="63" t="s">
        <v>145</v>
      </c>
      <c r="Y35" s="41">
        <v>1</v>
      </c>
      <c r="Z35" s="85"/>
      <c r="AA35" s="85"/>
    </row>
    <row r="36" spans="14:27">
      <c r="N36" s="56"/>
      <c r="O36" s="56"/>
      <c r="P36" s="57"/>
      <c r="Q36" s="56"/>
      <c r="R36" s="56"/>
      <c r="U36" s="62" t="s">
        <v>146</v>
      </c>
      <c r="V36" s="62" t="s">
        <v>136</v>
      </c>
      <c r="W36" s="62" t="s">
        <v>141</v>
      </c>
      <c r="X36" s="63" t="s">
        <v>147</v>
      </c>
      <c r="Y36" s="41">
        <v>1</v>
      </c>
      <c r="Z36" s="85"/>
      <c r="AA36" s="85"/>
    </row>
    <row r="37" spans="14:27">
      <c r="N37" s="56"/>
      <c r="O37" s="56"/>
      <c r="P37" s="57"/>
      <c r="Q37" s="56"/>
      <c r="R37" s="56"/>
      <c r="U37" s="67" t="s">
        <v>148</v>
      </c>
      <c r="V37" s="62" t="s">
        <v>136</v>
      </c>
      <c r="W37" s="62" t="s">
        <v>141</v>
      </c>
      <c r="X37" s="63" t="s">
        <v>149</v>
      </c>
      <c r="Y37" s="41">
        <v>1</v>
      </c>
      <c r="Z37" s="85"/>
      <c r="AA37" s="85"/>
    </row>
    <row r="38" spans="14:27">
      <c r="N38" s="56"/>
      <c r="O38" s="56"/>
      <c r="P38" s="57"/>
      <c r="Q38" s="56"/>
      <c r="R38" s="56"/>
      <c r="U38" s="62" t="s">
        <v>150</v>
      </c>
      <c r="V38" s="62" t="s">
        <v>136</v>
      </c>
      <c r="W38" s="62" t="s">
        <v>141</v>
      </c>
      <c r="X38" s="63" t="s">
        <v>151</v>
      </c>
      <c r="Y38" s="41">
        <v>1</v>
      </c>
      <c r="Z38" s="85"/>
      <c r="AA38" s="85"/>
    </row>
    <row r="39" spans="14:27">
      <c r="N39" s="56"/>
      <c r="O39" s="56"/>
      <c r="P39" s="57"/>
      <c r="Q39" s="56"/>
      <c r="R39" s="56"/>
      <c r="U39" s="62" t="s">
        <v>152</v>
      </c>
      <c r="V39" s="62" t="s">
        <v>136</v>
      </c>
      <c r="W39" s="62" t="s">
        <v>141</v>
      </c>
      <c r="X39" s="63" t="s">
        <v>56</v>
      </c>
      <c r="Y39" s="41">
        <v>1</v>
      </c>
      <c r="Z39" s="85"/>
      <c r="AA39" s="85"/>
    </row>
    <row r="40" spans="14:27">
      <c r="N40" s="56"/>
      <c r="O40" s="56"/>
      <c r="P40" s="57"/>
      <c r="Q40" s="56"/>
      <c r="R40" s="56"/>
      <c r="U40" s="68" t="s">
        <v>153</v>
      </c>
      <c r="V40" s="62" t="s">
        <v>136</v>
      </c>
      <c r="W40" s="62" t="s">
        <v>154</v>
      </c>
      <c r="X40" s="63" t="s">
        <v>155</v>
      </c>
      <c r="Y40" s="41">
        <v>1</v>
      </c>
      <c r="Z40" s="85"/>
      <c r="AA40" s="85"/>
    </row>
    <row r="41" spans="14:27">
      <c r="N41" s="56"/>
      <c r="O41" s="56"/>
      <c r="P41" s="57"/>
      <c r="Q41" s="56"/>
      <c r="R41" s="56"/>
      <c r="U41" s="62" t="s">
        <v>156</v>
      </c>
      <c r="V41" s="62" t="s">
        <v>136</v>
      </c>
      <c r="W41" s="62" t="s">
        <v>157</v>
      </c>
      <c r="X41" s="63" t="s">
        <v>158</v>
      </c>
      <c r="Y41" s="41">
        <v>1</v>
      </c>
      <c r="Z41" s="85"/>
      <c r="AA41" s="85"/>
    </row>
    <row r="42" spans="14:27">
      <c r="N42" s="56"/>
      <c r="O42" s="56"/>
      <c r="P42" s="57"/>
      <c r="Q42" s="56"/>
      <c r="R42" s="56"/>
      <c r="U42" s="67" t="s">
        <v>159</v>
      </c>
      <c r="V42" s="62" t="s">
        <v>136</v>
      </c>
      <c r="W42" s="62" t="s">
        <v>160</v>
      </c>
      <c r="X42" s="63" t="s">
        <v>161</v>
      </c>
      <c r="Y42" s="41">
        <v>1</v>
      </c>
      <c r="Z42" s="85"/>
      <c r="AA42" s="85"/>
    </row>
    <row r="43" spans="14:27">
      <c r="N43" s="56"/>
      <c r="O43" s="56"/>
      <c r="P43" s="57"/>
      <c r="Q43" s="56"/>
      <c r="R43" s="56"/>
      <c r="U43" s="67" t="s">
        <v>162</v>
      </c>
      <c r="V43" s="62" t="s">
        <v>71</v>
      </c>
      <c r="W43" s="62" t="s">
        <v>163</v>
      </c>
      <c r="X43" s="63" t="s">
        <v>70</v>
      </c>
      <c r="Y43" s="41">
        <v>1</v>
      </c>
      <c r="Z43" s="85"/>
      <c r="AA43" s="85"/>
    </row>
    <row r="44" spans="14:27">
      <c r="N44" s="56"/>
      <c r="O44" s="56"/>
      <c r="P44" s="57"/>
      <c r="Q44" s="56"/>
      <c r="R44" s="56"/>
      <c r="U44" s="67" t="s">
        <v>164</v>
      </c>
      <c r="V44" s="62" t="s">
        <v>71</v>
      </c>
      <c r="W44" s="62" t="s">
        <v>165</v>
      </c>
      <c r="X44" s="63" t="s">
        <v>70</v>
      </c>
      <c r="Y44" s="41">
        <v>1</v>
      </c>
      <c r="Z44" s="85"/>
      <c r="AA44" s="85"/>
    </row>
    <row r="45" spans="14:27">
      <c r="N45" s="56"/>
      <c r="O45" s="56"/>
      <c r="P45" s="57"/>
      <c r="Q45" s="56"/>
      <c r="R45" s="56"/>
      <c r="U45" s="62" t="s">
        <v>166</v>
      </c>
      <c r="V45" s="62" t="s">
        <v>71</v>
      </c>
      <c r="W45" s="62" t="s">
        <v>167</v>
      </c>
      <c r="X45" s="63" t="s">
        <v>83</v>
      </c>
      <c r="Y45" s="41">
        <v>1</v>
      </c>
      <c r="Z45" s="85"/>
      <c r="AA45" s="85"/>
    </row>
    <row r="46" spans="14:27">
      <c r="N46" s="56"/>
      <c r="O46" s="56"/>
      <c r="P46" s="57"/>
      <c r="Q46" s="56"/>
      <c r="R46" s="56"/>
      <c r="U46" s="62" t="s">
        <v>168</v>
      </c>
      <c r="V46" s="62" t="s">
        <v>75</v>
      </c>
      <c r="W46" s="62" t="s">
        <v>169</v>
      </c>
      <c r="X46" s="63" t="s">
        <v>170</v>
      </c>
      <c r="Y46" s="41">
        <v>1</v>
      </c>
      <c r="Z46" s="85"/>
      <c r="AA46" s="85"/>
    </row>
    <row r="47" spans="14:27">
      <c r="N47" s="56"/>
      <c r="O47" s="56"/>
      <c r="P47" s="57"/>
      <c r="Q47" s="56"/>
      <c r="R47" s="56"/>
      <c r="U47" s="66" t="s">
        <v>171</v>
      </c>
      <c r="V47" s="62" t="s">
        <v>75</v>
      </c>
      <c r="W47" s="62" t="s">
        <v>172</v>
      </c>
      <c r="X47" s="63" t="s">
        <v>70</v>
      </c>
      <c r="Y47" s="41">
        <v>1</v>
      </c>
      <c r="Z47" s="85"/>
      <c r="AA47" s="85"/>
    </row>
    <row r="48" spans="14:27">
      <c r="N48" s="56"/>
      <c r="O48" s="56"/>
      <c r="P48" s="56"/>
      <c r="Q48" s="56"/>
      <c r="R48" s="56"/>
      <c r="U48" s="68" t="s">
        <v>173</v>
      </c>
      <c r="V48" s="62" t="s">
        <v>174</v>
      </c>
      <c r="W48" s="62" t="s">
        <v>175</v>
      </c>
      <c r="X48" s="63" t="s">
        <v>31</v>
      </c>
      <c r="Y48" s="41">
        <v>1</v>
      </c>
      <c r="Z48" s="85"/>
      <c r="AA48" s="85"/>
    </row>
    <row r="49" spans="14:27">
      <c r="N49" s="56"/>
      <c r="O49" s="56"/>
      <c r="P49" s="56"/>
      <c r="Q49" s="56"/>
      <c r="R49" s="56"/>
      <c r="U49" s="61" t="s">
        <v>176</v>
      </c>
      <c r="V49" s="62" t="s">
        <v>174</v>
      </c>
      <c r="W49" s="62" t="s">
        <v>177</v>
      </c>
      <c r="X49" s="63" t="s">
        <v>170</v>
      </c>
      <c r="Z49" s="85"/>
      <c r="AA49" s="85"/>
    </row>
    <row r="50" spans="14:27">
      <c r="N50" s="56"/>
      <c r="O50" s="56"/>
      <c r="P50" s="56"/>
      <c r="Q50" s="56"/>
      <c r="R50" s="56"/>
      <c r="U50" s="62" t="s">
        <v>178</v>
      </c>
      <c r="V50" s="62" t="s">
        <v>174</v>
      </c>
      <c r="W50" s="62" t="s">
        <v>177</v>
      </c>
      <c r="X50" s="63" t="s">
        <v>179</v>
      </c>
      <c r="Z50" s="85"/>
      <c r="AA50" s="85"/>
    </row>
    <row r="51" spans="14:27">
      <c r="U51" s="61" t="s">
        <v>180</v>
      </c>
      <c r="V51" s="62" t="s">
        <v>174</v>
      </c>
      <c r="W51" s="62" t="s">
        <v>177</v>
      </c>
      <c r="X51" s="63" t="s">
        <v>37</v>
      </c>
      <c r="Z51" s="85"/>
      <c r="AA51" s="85"/>
    </row>
    <row r="52" spans="14:27">
      <c r="U52" s="67" t="s">
        <v>181</v>
      </c>
      <c r="V52" s="62" t="s">
        <v>174</v>
      </c>
      <c r="W52" s="62" t="s">
        <v>182</v>
      </c>
      <c r="X52" s="63" t="s">
        <v>183</v>
      </c>
      <c r="Z52" s="85"/>
      <c r="AA52" s="85"/>
    </row>
    <row r="53" spans="14:27">
      <c r="U53" s="62" t="s">
        <v>184</v>
      </c>
      <c r="V53" s="62" t="s">
        <v>174</v>
      </c>
      <c r="W53" s="62" t="s">
        <v>175</v>
      </c>
      <c r="X53" s="63" t="s">
        <v>70</v>
      </c>
      <c r="Z53" s="85"/>
      <c r="AA53" s="85"/>
    </row>
    <row r="54" spans="14:27">
      <c r="U54" s="62" t="s">
        <v>185</v>
      </c>
      <c r="V54" s="62" t="s">
        <v>174</v>
      </c>
      <c r="W54" s="62" t="s">
        <v>186</v>
      </c>
      <c r="X54" s="63" t="s">
        <v>187</v>
      </c>
      <c r="Z54" s="85"/>
      <c r="AA54" s="85"/>
    </row>
    <row r="55" spans="14:27">
      <c r="U55" s="67" t="s">
        <v>188</v>
      </c>
      <c r="V55" s="62" t="s">
        <v>174</v>
      </c>
      <c r="W55" s="62" t="s">
        <v>175</v>
      </c>
      <c r="X55" s="63" t="s">
        <v>70</v>
      </c>
      <c r="Z55" s="85"/>
      <c r="AA55" s="85"/>
    </row>
    <row r="56" spans="14:27">
      <c r="U56" s="62" t="s">
        <v>189</v>
      </c>
      <c r="V56" s="62" t="s">
        <v>174</v>
      </c>
      <c r="W56" s="62" t="s">
        <v>175</v>
      </c>
      <c r="X56" s="63" t="s">
        <v>190</v>
      </c>
      <c r="Z56" s="85"/>
      <c r="AA56" s="85"/>
    </row>
    <row r="57" spans="14:27">
      <c r="U57" s="62" t="s">
        <v>191</v>
      </c>
      <c r="V57" s="62" t="s">
        <v>174</v>
      </c>
      <c r="W57" s="62" t="s">
        <v>192</v>
      </c>
      <c r="X57" s="63" t="s">
        <v>103</v>
      </c>
      <c r="Z57" s="85"/>
      <c r="AA57" s="85"/>
    </row>
    <row r="58" spans="14:27">
      <c r="U58" s="68" t="s">
        <v>193</v>
      </c>
      <c r="V58" s="62" t="s">
        <v>174</v>
      </c>
      <c r="W58" s="62" t="s">
        <v>194</v>
      </c>
      <c r="X58" s="63" t="s">
        <v>195</v>
      </c>
      <c r="Z58" s="85"/>
      <c r="AA58" s="85"/>
    </row>
    <row r="59" spans="14:27">
      <c r="U59" s="62" t="s">
        <v>196</v>
      </c>
      <c r="V59" s="62" t="s">
        <v>174</v>
      </c>
      <c r="W59" s="62" t="s">
        <v>192</v>
      </c>
      <c r="X59" s="63" t="s">
        <v>70</v>
      </c>
      <c r="Z59" s="85"/>
      <c r="AA59" s="85"/>
    </row>
    <row r="60" spans="14:27">
      <c r="U60" s="62" t="s">
        <v>197</v>
      </c>
      <c r="V60" s="62" t="s">
        <v>174</v>
      </c>
      <c r="W60" s="62" t="s">
        <v>177</v>
      </c>
      <c r="X60" s="63" t="s">
        <v>149</v>
      </c>
      <c r="Z60" s="85"/>
      <c r="AA60" s="85"/>
    </row>
    <row r="61" spans="14:27">
      <c r="U61" s="67" t="s">
        <v>198</v>
      </c>
      <c r="V61" s="62" t="s">
        <v>174</v>
      </c>
      <c r="W61" s="62" t="s">
        <v>194</v>
      </c>
      <c r="X61" s="63" t="s">
        <v>70</v>
      </c>
      <c r="Z61" s="85"/>
      <c r="AA61" s="85"/>
    </row>
    <row r="62" spans="14:27">
      <c r="U62" s="62" t="s">
        <v>199</v>
      </c>
      <c r="V62" s="62" t="s">
        <v>174</v>
      </c>
      <c r="W62" s="62" t="s">
        <v>175</v>
      </c>
      <c r="X62" s="63" t="s">
        <v>200</v>
      </c>
      <c r="Z62" s="85"/>
      <c r="AA62" s="85"/>
    </row>
    <row r="63" spans="14:27">
      <c r="U63" s="62" t="s">
        <v>201</v>
      </c>
      <c r="V63" s="62" t="s">
        <v>174</v>
      </c>
      <c r="W63" s="62" t="s">
        <v>177</v>
      </c>
      <c r="X63" s="63" t="s">
        <v>202</v>
      </c>
      <c r="Z63" s="85"/>
      <c r="AA63" s="85"/>
    </row>
    <row r="64" spans="14:27">
      <c r="U64" s="62" t="s">
        <v>203</v>
      </c>
      <c r="V64" s="62" t="s">
        <v>204</v>
      </c>
      <c r="W64" s="62" t="s">
        <v>205</v>
      </c>
      <c r="X64" s="63" t="s">
        <v>103</v>
      </c>
      <c r="Z64" s="85"/>
      <c r="AA64" s="85"/>
    </row>
    <row r="65" spans="21:30">
      <c r="U65" s="62" t="s">
        <v>206</v>
      </c>
      <c r="V65" s="62" t="s">
        <v>204</v>
      </c>
      <c r="W65" s="62" t="s">
        <v>207</v>
      </c>
      <c r="X65" s="63" t="s">
        <v>195</v>
      </c>
      <c r="Z65" s="85"/>
      <c r="AA65" s="85"/>
    </row>
    <row r="66" spans="21:30">
      <c r="U66" s="62" t="s">
        <v>208</v>
      </c>
      <c r="V66" s="62" t="s">
        <v>204</v>
      </c>
      <c r="W66" s="62" t="s">
        <v>207</v>
      </c>
      <c r="X66" s="63" t="s">
        <v>209</v>
      </c>
      <c r="Z66" s="85"/>
      <c r="AA66" s="85"/>
    </row>
    <row r="67" spans="21:30">
      <c r="U67" s="62" t="s">
        <v>210</v>
      </c>
      <c r="V67" s="62" t="s">
        <v>204</v>
      </c>
      <c r="W67" s="62" t="s">
        <v>205</v>
      </c>
      <c r="X67" s="63" t="s">
        <v>133</v>
      </c>
      <c r="Z67" s="85"/>
      <c r="AA67" s="85"/>
    </row>
    <row r="68" spans="21:30">
      <c r="U68" s="62" t="s">
        <v>211</v>
      </c>
      <c r="V68" s="62" t="s">
        <v>204</v>
      </c>
      <c r="W68" s="62" t="s">
        <v>212</v>
      </c>
      <c r="X68" s="63" t="s">
        <v>70</v>
      </c>
      <c r="Z68" s="85"/>
      <c r="AA68" s="85"/>
    </row>
    <row r="69" spans="21:30">
      <c r="U69" s="62" t="s">
        <v>213</v>
      </c>
      <c r="V69" s="62" t="s">
        <v>89</v>
      </c>
      <c r="W69" s="62" t="s">
        <v>214</v>
      </c>
      <c r="X69" s="63" t="s">
        <v>56</v>
      </c>
      <c r="Z69" s="85"/>
      <c r="AA69" s="85"/>
    </row>
    <row r="70" spans="21:30" ht="15.5" customHeight="1">
      <c r="U70" s="67" t="s">
        <v>215</v>
      </c>
      <c r="V70" s="62" t="s">
        <v>89</v>
      </c>
      <c r="W70" s="62" t="s">
        <v>216</v>
      </c>
      <c r="X70" s="63" t="s">
        <v>103</v>
      </c>
      <c r="Z70" s="85"/>
      <c r="AA70" s="85"/>
      <c r="AD70" s="85"/>
    </row>
    <row r="71" spans="21:30">
      <c r="U71" s="61" t="s">
        <v>217</v>
      </c>
      <c r="V71" s="62" t="s">
        <v>94</v>
      </c>
      <c r="W71" s="62" t="s">
        <v>218</v>
      </c>
      <c r="X71" s="63" t="s">
        <v>219</v>
      </c>
      <c r="Z71" s="85"/>
      <c r="AA71" s="85"/>
    </row>
    <row r="72" spans="21:30" ht="15.5" customHeight="1">
      <c r="U72" s="85"/>
      <c r="X72" s="87"/>
      <c r="Z72" s="85"/>
      <c r="AA72" s="85"/>
    </row>
    <row r="73" spans="21:30">
      <c r="X73" s="87"/>
      <c r="Z73" s="85"/>
      <c r="AA73" s="85"/>
    </row>
    <row r="74" spans="21:30">
      <c r="X74" s="87"/>
      <c r="Z74" s="85"/>
      <c r="AA74" s="74"/>
    </row>
    <row r="75" spans="21:30">
      <c r="X75" s="87"/>
      <c r="Z75" s="85"/>
      <c r="AA75" s="74"/>
    </row>
    <row r="76" spans="21:30">
      <c r="X76" s="87"/>
      <c r="Z76" s="85"/>
      <c r="AA76" s="74"/>
    </row>
    <row r="77" spans="21:30">
      <c r="X77" s="87"/>
      <c r="Z77" s="85"/>
      <c r="AA77" s="74"/>
    </row>
    <row r="78" spans="21:30">
      <c r="X78" s="87"/>
      <c r="Z78" s="85"/>
      <c r="AA78" s="74"/>
    </row>
    <row r="79" spans="21:30">
      <c r="X79" s="87"/>
      <c r="Z79" s="85"/>
      <c r="AA79" s="74"/>
    </row>
    <row r="80" spans="21:30">
      <c r="X80" s="87"/>
      <c r="Z80" s="85"/>
      <c r="AA80" s="74"/>
    </row>
    <row r="81" spans="21:27">
      <c r="X81" s="87"/>
      <c r="Z81" s="85"/>
      <c r="AA81" s="74"/>
    </row>
    <row r="82" spans="21:27">
      <c r="X82" s="87"/>
      <c r="Z82" s="85"/>
      <c r="AA82" s="74"/>
    </row>
    <row r="83" spans="21:27">
      <c r="U83" s="69"/>
      <c r="X83" s="87"/>
      <c r="Z83" s="85"/>
      <c r="AA83" s="74"/>
    </row>
    <row r="84" spans="21:27">
      <c r="U84" s="69"/>
      <c r="X84" s="87"/>
      <c r="Z84" s="85"/>
      <c r="AA84" s="74"/>
    </row>
    <row r="85" spans="21:27">
      <c r="U85" s="66"/>
      <c r="X85" s="87"/>
      <c r="Z85" s="85"/>
      <c r="AA85" s="74"/>
    </row>
    <row r="86" spans="21:27">
      <c r="U86" s="61"/>
      <c r="X86" s="87"/>
      <c r="Z86" s="85"/>
      <c r="AA86" s="74"/>
    </row>
    <row r="87" spans="21:27">
      <c r="U87" s="61"/>
      <c r="X87" s="87"/>
      <c r="Z87" s="85"/>
      <c r="AA87" s="74"/>
    </row>
    <row r="88" spans="21:27">
      <c r="U88" s="61"/>
      <c r="X88" s="87"/>
      <c r="Z88" s="85"/>
      <c r="AA88" s="74"/>
    </row>
    <row r="89" spans="21:27">
      <c r="U89" s="61"/>
      <c r="X89" s="87"/>
      <c r="Z89" s="85"/>
      <c r="AA89" s="74"/>
    </row>
    <row r="90" spans="21:27">
      <c r="U90" s="61"/>
      <c r="X90" s="87"/>
      <c r="Z90" s="85"/>
      <c r="AA90" s="74"/>
    </row>
    <row r="91" spans="21:27">
      <c r="U91" s="88"/>
      <c r="X91" s="87"/>
      <c r="Z91" s="85"/>
      <c r="AA91" s="74"/>
    </row>
    <row r="92" spans="21:27">
      <c r="U92" s="66"/>
      <c r="X92" s="87"/>
      <c r="Z92" s="85"/>
      <c r="AA92" s="74"/>
    </row>
    <row r="93" spans="21:27">
      <c r="U93" s="66"/>
      <c r="X93" s="87"/>
      <c r="Z93" s="85"/>
      <c r="AA93" s="74"/>
    </row>
    <row r="94" spans="21:27">
      <c r="U94" s="66"/>
      <c r="X94" s="87"/>
      <c r="Z94" s="85"/>
      <c r="AA94" s="74"/>
    </row>
    <row r="95" spans="21:27">
      <c r="U95" s="66"/>
      <c r="X95" s="87"/>
      <c r="Z95" s="85"/>
      <c r="AA95" s="74"/>
    </row>
    <row r="96" spans="21:27">
      <c r="U96" s="66"/>
      <c r="X96" s="87"/>
      <c r="Z96" s="85"/>
      <c r="AA96" s="74"/>
    </row>
    <row r="97" spans="21:27">
      <c r="U97" s="68"/>
      <c r="X97" s="87"/>
      <c r="Z97" s="85"/>
      <c r="AA97" s="74"/>
    </row>
    <row r="98" spans="21:27">
      <c r="U98" s="68"/>
      <c r="X98" s="87"/>
      <c r="Z98" s="85"/>
      <c r="AA98" s="74"/>
    </row>
    <row r="99" spans="21:27">
      <c r="X99" s="87"/>
      <c r="Z99" s="85"/>
      <c r="AA99" s="74"/>
    </row>
    <row r="100" spans="21:27">
      <c r="X100" s="87"/>
      <c r="Z100" s="85"/>
      <c r="AA100" s="74"/>
    </row>
    <row r="101" spans="21:27">
      <c r="X101" s="87"/>
      <c r="Z101" s="85"/>
      <c r="AA101" s="74"/>
    </row>
    <row r="102" spans="21:27">
      <c r="X102" s="87"/>
      <c r="Z102" s="85"/>
      <c r="AA102" s="74"/>
    </row>
    <row r="103" spans="21:27">
      <c r="X103" s="87"/>
      <c r="Z103" s="85"/>
      <c r="AA103" s="74"/>
    </row>
    <row r="104" spans="21:27">
      <c r="X104" s="87"/>
      <c r="Z104" s="85"/>
      <c r="AA104" s="74"/>
    </row>
    <row r="105" spans="21:27">
      <c r="X105" s="87"/>
      <c r="Z105" s="85"/>
      <c r="AA105" s="74"/>
    </row>
    <row r="106" spans="21:27">
      <c r="X106" s="87"/>
      <c r="Z106" s="85"/>
      <c r="AA106" s="74"/>
    </row>
    <row r="107" spans="21:27">
      <c r="X107" s="87"/>
      <c r="Z107" s="85"/>
      <c r="AA107" s="74"/>
    </row>
    <row r="108" spans="21:27">
      <c r="X108" s="87"/>
      <c r="Z108" s="85"/>
      <c r="AA108" s="74"/>
    </row>
    <row r="109" spans="21:27">
      <c r="X109" s="87"/>
      <c r="Z109" s="85"/>
      <c r="AA109" s="74"/>
    </row>
    <row r="110" spans="21:27">
      <c r="X110" s="87"/>
      <c r="Z110" s="85"/>
      <c r="AA110" s="74"/>
    </row>
    <row r="111" spans="21:27">
      <c r="X111" s="87"/>
      <c r="Z111" s="85"/>
      <c r="AA111" s="74"/>
    </row>
    <row r="112" spans="21:27">
      <c r="X112" s="87"/>
      <c r="Z112" s="85"/>
      <c r="AA112" s="74"/>
    </row>
    <row r="113" spans="21:27">
      <c r="X113" s="87"/>
      <c r="Z113" s="85"/>
      <c r="AA113" s="74"/>
    </row>
    <row r="114" spans="21:27">
      <c r="X114" s="87"/>
      <c r="Z114" s="85"/>
      <c r="AA114" s="74"/>
    </row>
    <row r="115" spans="21:27">
      <c r="X115" s="87"/>
      <c r="Z115" s="85"/>
      <c r="AA115" s="74"/>
    </row>
    <row r="116" spans="21:27">
      <c r="X116" s="87"/>
      <c r="Z116" s="85"/>
      <c r="AA116" s="74"/>
    </row>
    <row r="117" spans="21:27">
      <c r="X117" s="87"/>
      <c r="Z117" s="85"/>
      <c r="AA117" s="74"/>
    </row>
    <row r="118" spans="21:27">
      <c r="X118" s="87"/>
      <c r="Z118" s="85"/>
      <c r="AA118" s="74"/>
    </row>
    <row r="119" spans="21:27">
      <c r="X119" s="87"/>
      <c r="Z119" s="85"/>
      <c r="AA119" s="74"/>
    </row>
    <row r="120" spans="21:27">
      <c r="X120" s="87"/>
      <c r="Z120" s="85"/>
      <c r="AA120" s="74"/>
    </row>
    <row r="121" spans="21:27">
      <c r="X121" s="87"/>
      <c r="Z121" s="85"/>
      <c r="AA121" s="74"/>
    </row>
    <row r="122" spans="21:27">
      <c r="X122" s="87"/>
      <c r="Z122" s="85"/>
      <c r="AA122" s="74"/>
    </row>
    <row r="123" spans="21:27">
      <c r="U123" s="89"/>
      <c r="X123" s="87"/>
      <c r="Z123" s="85"/>
      <c r="AA123" s="74"/>
    </row>
    <row r="124" spans="21:27">
      <c r="U124" s="68"/>
      <c r="X124" s="87"/>
      <c r="Z124" s="85"/>
      <c r="AA124" s="74"/>
    </row>
    <row r="125" spans="21:27">
      <c r="X125" s="87"/>
      <c r="Z125" s="85"/>
      <c r="AA125" s="74"/>
    </row>
    <row r="126" spans="21:27">
      <c r="X126" s="87"/>
      <c r="Z126" s="85"/>
      <c r="AA126" s="74"/>
    </row>
    <row r="127" spans="21:27">
      <c r="X127" s="87"/>
      <c r="Z127" s="85"/>
      <c r="AA127" s="74"/>
    </row>
    <row r="128" spans="21:27">
      <c r="X128" s="87"/>
      <c r="Z128" s="85"/>
      <c r="AA128" s="74"/>
    </row>
    <row r="129" spans="21:27">
      <c r="X129" s="87"/>
      <c r="Z129" s="85"/>
      <c r="AA129" s="74"/>
    </row>
    <row r="130" spans="21:27">
      <c r="U130" s="89"/>
      <c r="X130" s="87"/>
      <c r="Z130" s="85"/>
      <c r="AA130" s="74"/>
    </row>
    <row r="131" spans="21:27">
      <c r="U131" s="89"/>
      <c r="X131" s="87"/>
      <c r="Z131" s="85"/>
      <c r="AA131" s="74"/>
    </row>
    <row r="132" spans="21:27">
      <c r="U132" s="89"/>
      <c r="X132" s="87"/>
      <c r="Z132" s="85"/>
      <c r="AA132" s="74"/>
    </row>
    <row r="133" spans="21:27">
      <c r="U133" s="89"/>
      <c r="X133" s="87"/>
      <c r="Z133" s="85"/>
      <c r="AA133" s="74"/>
    </row>
    <row r="134" spans="21:27">
      <c r="U134" s="89"/>
      <c r="X134" s="87"/>
      <c r="Z134" s="85"/>
      <c r="AA134" s="74"/>
    </row>
    <row r="135" spans="21:27">
      <c r="U135" s="89"/>
      <c r="X135" s="87"/>
      <c r="Z135" s="85"/>
      <c r="AA135" s="74"/>
    </row>
    <row r="136" spans="21:27">
      <c r="U136" s="89"/>
      <c r="X136" s="87"/>
      <c r="Z136" s="85"/>
      <c r="AA136" s="74"/>
    </row>
    <row r="137" spans="21:27">
      <c r="U137" s="89"/>
      <c r="X137" s="87"/>
      <c r="Z137" s="85"/>
      <c r="AA137" s="74"/>
    </row>
    <row r="138" spans="21:27">
      <c r="U138" s="89"/>
      <c r="X138" s="87"/>
      <c r="Z138" s="85"/>
      <c r="AA138" s="74"/>
    </row>
    <row r="139" spans="21:27">
      <c r="U139" s="89"/>
      <c r="X139" s="87"/>
      <c r="Z139" s="85"/>
      <c r="AA139" s="74"/>
    </row>
    <row r="140" spans="21:27">
      <c r="U140" s="90"/>
      <c r="X140" s="87"/>
      <c r="Z140" s="85"/>
      <c r="AA140" s="74"/>
    </row>
    <row r="141" spans="21:27">
      <c r="U141" s="69"/>
      <c r="X141" s="87"/>
      <c r="Z141" s="85"/>
      <c r="AA141" s="74"/>
    </row>
    <row r="142" spans="21:27">
      <c r="U142" s="69"/>
      <c r="X142" s="87"/>
      <c r="Z142" s="74"/>
      <c r="AA142" s="74"/>
    </row>
    <row r="143" spans="21:27">
      <c r="U143" s="69"/>
      <c r="X143" s="87"/>
      <c r="Z143" s="74"/>
      <c r="AA143" s="74"/>
    </row>
    <row r="144" spans="21:27" ht="15.5" customHeight="1">
      <c r="U144" s="68"/>
      <c r="X144" s="87"/>
      <c r="Z144" s="74"/>
      <c r="AA144" s="74"/>
    </row>
    <row r="145" spans="21:27" ht="15.5" customHeight="1">
      <c r="U145" s="61"/>
      <c r="X145" s="87"/>
      <c r="Z145" s="74"/>
      <c r="AA145" s="74"/>
    </row>
    <row r="146" spans="21:27" ht="15.5" customHeight="1">
      <c r="U146" s="61"/>
      <c r="X146" s="87"/>
      <c r="Z146" s="74"/>
      <c r="AA146" s="74"/>
    </row>
    <row r="147" spans="21:27" ht="15.5" customHeight="1">
      <c r="U147" s="88"/>
      <c r="X147" s="87"/>
      <c r="Z147" s="74"/>
      <c r="AA147" s="74"/>
    </row>
    <row r="148" spans="21:27" ht="15.5" customHeight="1">
      <c r="U148" s="61"/>
      <c r="X148" s="87"/>
      <c r="Z148" s="74"/>
      <c r="AA148" s="74"/>
    </row>
    <row r="149" spans="21:27" ht="15.5" customHeight="1">
      <c r="U149" s="61"/>
      <c r="X149" s="87"/>
      <c r="Z149" s="74"/>
      <c r="AA149" s="74"/>
    </row>
    <row r="150" spans="21:27" ht="15.5" customHeight="1">
      <c r="U150" s="61"/>
      <c r="X150" s="87"/>
      <c r="Z150" s="74"/>
      <c r="AA150" s="74"/>
    </row>
    <row r="151" spans="21:27" ht="15.5" customHeight="1">
      <c r="U151" s="61"/>
      <c r="X151" s="87"/>
      <c r="Z151" s="74"/>
      <c r="AA151" s="74"/>
    </row>
    <row r="152" spans="21:27" ht="15.5" customHeight="1">
      <c r="U152" s="88"/>
      <c r="X152" s="87"/>
      <c r="Z152" s="74"/>
      <c r="AA152" s="74"/>
    </row>
    <row r="153" spans="21:27" ht="15.5" customHeight="1">
      <c r="U153" s="61"/>
      <c r="X153" s="87"/>
      <c r="Z153" s="74"/>
      <c r="AA153" s="74"/>
    </row>
    <row r="154" spans="21:27" ht="15.5" customHeight="1">
      <c r="U154" s="61"/>
      <c r="X154" s="87"/>
      <c r="Z154" s="74"/>
      <c r="AA154" s="74"/>
    </row>
    <row r="155" spans="21:27" ht="15.5" customHeight="1">
      <c r="U155" s="61"/>
      <c r="X155" s="87"/>
      <c r="Z155" s="74"/>
      <c r="AA155" s="74"/>
    </row>
    <row r="156" spans="21:27">
      <c r="U156" s="66"/>
      <c r="X156" s="87"/>
      <c r="Z156" s="74"/>
      <c r="AA156" s="74"/>
    </row>
    <row r="157" spans="21:27">
      <c r="U157" s="66"/>
      <c r="X157" s="87"/>
      <c r="Z157" s="74"/>
      <c r="AA157" s="74"/>
    </row>
    <row r="158" spans="21:27">
      <c r="U158" s="66"/>
      <c r="X158" s="87"/>
      <c r="Z158" s="74"/>
      <c r="AA158" s="74"/>
    </row>
    <row r="159" spans="21:27">
      <c r="U159" s="66"/>
      <c r="X159" s="87"/>
      <c r="Z159" s="74"/>
      <c r="AA159" s="74"/>
    </row>
    <row r="160" spans="21:27" ht="15.5" customHeight="1">
      <c r="U160" s="68"/>
      <c r="X160" s="87"/>
      <c r="Z160" s="74"/>
      <c r="AA160" s="74"/>
    </row>
    <row r="161" spans="21:27" ht="15.5" customHeight="1">
      <c r="U161" s="68"/>
      <c r="X161" s="87"/>
      <c r="Z161" s="74"/>
      <c r="AA161" s="74"/>
    </row>
    <row r="162" spans="21:27" ht="15.5" customHeight="1">
      <c r="U162" s="68"/>
      <c r="X162" s="87"/>
      <c r="Z162" s="74"/>
      <c r="AA162" s="74"/>
    </row>
    <row r="163" spans="21:27" ht="15.5" customHeight="1">
      <c r="U163" s="68"/>
      <c r="X163" s="87"/>
      <c r="Z163" s="74"/>
      <c r="AA163" s="74"/>
    </row>
    <row r="164" spans="21:27" ht="15.5" customHeight="1">
      <c r="U164" s="68"/>
      <c r="X164" s="87"/>
      <c r="Z164" s="74"/>
      <c r="AA164" s="74"/>
    </row>
    <row r="165" spans="21:27" ht="15.5" customHeight="1">
      <c r="U165" s="68"/>
      <c r="X165" s="87"/>
      <c r="Z165" s="74"/>
      <c r="AA165" s="74"/>
    </row>
    <row r="166" spans="21:27" ht="15.5" customHeight="1">
      <c r="U166" s="68"/>
      <c r="X166" s="87"/>
      <c r="Z166" s="74"/>
      <c r="AA166" s="74"/>
    </row>
    <row r="167" spans="21:27" ht="15.5" customHeight="1">
      <c r="U167" s="68"/>
      <c r="X167" s="87"/>
      <c r="Z167" s="74"/>
      <c r="AA167" s="74"/>
    </row>
    <row r="168" spans="21:27" ht="15.5" customHeight="1">
      <c r="X168" s="87"/>
      <c r="Z168" s="74"/>
      <c r="AA168" s="74"/>
    </row>
    <row r="169" spans="21:27" ht="15.5" customHeight="1">
      <c r="X169" s="87"/>
      <c r="Z169" s="74"/>
      <c r="AA169" s="74"/>
    </row>
    <row r="170" spans="21:27" ht="15.5" customHeight="1">
      <c r="X170" s="87"/>
      <c r="Z170" s="74"/>
      <c r="AA170" s="74"/>
    </row>
    <row r="171" spans="21:27" ht="15.5" customHeight="1">
      <c r="X171" s="87"/>
      <c r="Z171" s="74"/>
      <c r="AA171" s="74"/>
    </row>
    <row r="172" spans="21:27" ht="15.5" customHeight="1">
      <c r="X172" s="87"/>
      <c r="Z172" s="74"/>
      <c r="AA172" s="74"/>
    </row>
    <row r="173" spans="21:27" ht="15.5" customHeight="1">
      <c r="X173" s="87"/>
      <c r="Z173" s="74"/>
      <c r="AA173" s="74"/>
    </row>
    <row r="174" spans="21:27" ht="15.5" customHeight="1">
      <c r="X174" s="87"/>
      <c r="Z174" s="74"/>
      <c r="AA174" s="74"/>
    </row>
    <row r="175" spans="21:27" ht="15.5" customHeight="1">
      <c r="X175" s="87"/>
      <c r="Z175" s="74"/>
      <c r="AA175" s="74"/>
    </row>
    <row r="176" spans="21:27" ht="15.5" customHeight="1">
      <c r="X176" s="87"/>
      <c r="Z176" s="74"/>
      <c r="AA176" s="74"/>
    </row>
    <row r="177" spans="24:27" ht="15.5" customHeight="1">
      <c r="X177" s="87"/>
      <c r="Z177" s="74"/>
      <c r="AA177" s="74"/>
    </row>
    <row r="178" spans="24:27" ht="15.5" customHeight="1">
      <c r="X178" s="87"/>
      <c r="Z178" s="74"/>
      <c r="AA178" s="74"/>
    </row>
    <row r="179" spans="24:27" ht="15.5" customHeight="1">
      <c r="X179" s="87"/>
      <c r="Z179" s="74"/>
      <c r="AA179" s="74"/>
    </row>
    <row r="180" spans="24:27" ht="15.5" customHeight="1">
      <c r="X180" s="87"/>
      <c r="Z180" s="74"/>
      <c r="AA180" s="74"/>
    </row>
    <row r="181" spans="24:27" ht="15.5" customHeight="1">
      <c r="X181" s="87"/>
      <c r="Z181" s="74"/>
      <c r="AA181" s="74"/>
    </row>
    <row r="182" spans="24:27" ht="15.5" customHeight="1">
      <c r="X182" s="87"/>
      <c r="Z182" s="74"/>
      <c r="AA182" s="74"/>
    </row>
    <row r="183" spans="24:27" ht="15.5" customHeight="1">
      <c r="X183" s="87"/>
      <c r="Z183" s="74"/>
      <c r="AA183" s="74"/>
    </row>
    <row r="184" spans="24:27" ht="15.5" customHeight="1">
      <c r="X184" s="87"/>
      <c r="Z184" s="74"/>
      <c r="AA184" s="74"/>
    </row>
    <row r="185" spans="24:27" ht="15.5" customHeight="1">
      <c r="X185" s="87"/>
      <c r="Z185" s="74"/>
      <c r="AA185" s="74"/>
    </row>
    <row r="186" spans="24:27" ht="15.5" customHeight="1">
      <c r="X186" s="87"/>
      <c r="Z186" s="74"/>
      <c r="AA186" s="74"/>
    </row>
    <row r="187" spans="24:27" ht="15.5" customHeight="1">
      <c r="X187" s="87"/>
      <c r="Z187" s="74"/>
      <c r="AA187" s="74"/>
    </row>
    <row r="188" spans="24:27" ht="15.5" customHeight="1">
      <c r="X188" s="87"/>
      <c r="Z188" s="74"/>
      <c r="AA188" s="74"/>
    </row>
    <row r="189" spans="24:27" ht="15.5" customHeight="1">
      <c r="X189" s="87"/>
      <c r="Z189" s="74"/>
      <c r="AA189" s="74"/>
    </row>
    <row r="190" spans="24:27" ht="15.5" customHeight="1">
      <c r="X190" s="87"/>
      <c r="Z190" s="74"/>
      <c r="AA190" s="74"/>
    </row>
    <row r="191" spans="24:27" ht="15.5" customHeight="1">
      <c r="X191" s="87"/>
      <c r="Z191" s="74"/>
      <c r="AA191" s="74"/>
    </row>
    <row r="192" spans="24:27" ht="15.5" customHeight="1">
      <c r="X192" s="87"/>
      <c r="Z192" s="74"/>
      <c r="AA192" s="74"/>
    </row>
    <row r="193" spans="24:27" ht="15.5" customHeight="1">
      <c r="X193" s="87"/>
      <c r="Z193" s="74"/>
      <c r="AA193" s="74"/>
    </row>
    <row r="194" spans="24:27" ht="15.5" customHeight="1">
      <c r="X194" s="87"/>
      <c r="Z194" s="74"/>
      <c r="AA194" s="74"/>
    </row>
    <row r="195" spans="24:27" ht="15.5" customHeight="1">
      <c r="X195" s="87"/>
      <c r="Z195" s="74"/>
      <c r="AA195" s="74"/>
    </row>
    <row r="196" spans="24:27" ht="15.5" customHeight="1">
      <c r="X196" s="87"/>
      <c r="Z196" s="74"/>
      <c r="AA196" s="74"/>
    </row>
    <row r="197" spans="24:27" ht="15.5" customHeight="1">
      <c r="X197" s="87"/>
      <c r="Z197" s="74"/>
      <c r="AA197" s="74"/>
    </row>
    <row r="198" spans="24:27" ht="15.5" customHeight="1">
      <c r="X198" s="87"/>
      <c r="Z198" s="74"/>
      <c r="AA198" s="74"/>
    </row>
    <row r="199" spans="24:27" ht="15.5" customHeight="1">
      <c r="X199" s="87"/>
      <c r="Z199" s="74"/>
      <c r="AA199" s="74"/>
    </row>
    <row r="200" spans="24:27" ht="15.5" customHeight="1">
      <c r="X200" s="87"/>
      <c r="Z200" s="74"/>
      <c r="AA200" s="74"/>
    </row>
    <row r="201" spans="24:27" ht="15.5" customHeight="1">
      <c r="X201" s="87"/>
      <c r="Z201" s="74"/>
      <c r="AA201" s="74"/>
    </row>
    <row r="202" spans="24:27" ht="15.5" customHeight="1">
      <c r="X202" s="87"/>
      <c r="Z202" s="74"/>
      <c r="AA202" s="74"/>
    </row>
    <row r="203" spans="24:27" ht="15.5" customHeight="1">
      <c r="X203" s="87"/>
      <c r="Z203" s="74"/>
      <c r="AA203" s="74"/>
    </row>
    <row r="204" spans="24:27" ht="15.5" customHeight="1">
      <c r="X204" s="87"/>
      <c r="Z204" s="74"/>
      <c r="AA204" s="74"/>
    </row>
    <row r="205" spans="24:27" ht="15.5" customHeight="1">
      <c r="X205" s="87"/>
      <c r="Z205" s="74"/>
      <c r="AA205" s="74"/>
    </row>
    <row r="206" spans="24:27" ht="15.5" customHeight="1">
      <c r="X206" s="87"/>
      <c r="Z206" s="74"/>
      <c r="AA206" s="74"/>
    </row>
    <row r="207" spans="24:27" ht="15.5" customHeight="1">
      <c r="X207" s="87"/>
      <c r="Z207" s="74"/>
      <c r="AA207" s="74"/>
    </row>
    <row r="208" spans="24:27" ht="15.5" customHeight="1">
      <c r="X208" s="87"/>
      <c r="Z208" s="74"/>
      <c r="AA208" s="74"/>
    </row>
    <row r="209" spans="21:27" ht="15.5" customHeight="1">
      <c r="X209" s="87"/>
      <c r="Z209" s="74"/>
      <c r="AA209" s="74"/>
    </row>
    <row r="210" spans="21:27" ht="15.5" customHeight="1">
      <c r="X210" s="87"/>
      <c r="Z210" s="74"/>
      <c r="AA210" s="74"/>
    </row>
    <row r="211" spans="21:27" ht="15.5" customHeight="1">
      <c r="X211" s="87"/>
      <c r="Z211" s="74"/>
      <c r="AA211" s="74"/>
    </row>
    <row r="212" spans="21:27" ht="15.5" customHeight="1">
      <c r="X212" s="87"/>
      <c r="Z212" s="74"/>
      <c r="AA212" s="74"/>
    </row>
    <row r="213" spans="21:27" ht="15.5" customHeight="1">
      <c r="X213" s="87"/>
      <c r="Z213" s="74"/>
      <c r="AA213" s="74"/>
    </row>
    <row r="214" spans="21:27" ht="15.5" customHeight="1">
      <c r="X214" s="87"/>
      <c r="Z214" s="74"/>
      <c r="AA214" s="74"/>
    </row>
    <row r="215" spans="21:27" ht="15.5" customHeight="1">
      <c r="X215" s="87"/>
      <c r="Z215" s="74"/>
      <c r="AA215" s="74"/>
    </row>
    <row r="216" spans="21:27" ht="15.5" customHeight="1">
      <c r="X216" s="87"/>
      <c r="Z216" s="74"/>
      <c r="AA216" s="74"/>
    </row>
    <row r="217" spans="21:27" ht="15.5" customHeight="1">
      <c r="X217" s="87"/>
      <c r="Z217" s="74"/>
      <c r="AA217" s="74"/>
    </row>
    <row r="218" spans="21:27" ht="15.5" customHeight="1">
      <c r="X218" s="87"/>
      <c r="Z218" s="74"/>
      <c r="AA218" s="74"/>
    </row>
    <row r="219" spans="21:27" ht="15.5" customHeight="1">
      <c r="X219" s="87"/>
      <c r="Z219" s="74"/>
      <c r="AA219" s="74"/>
    </row>
    <row r="220" spans="21:27" ht="15.5" customHeight="1">
      <c r="U220" s="89"/>
      <c r="X220" s="87"/>
      <c r="Z220" s="74"/>
      <c r="AA220" s="74"/>
    </row>
    <row r="221" spans="21:27" ht="15.5" customHeight="1">
      <c r="U221" s="61"/>
      <c r="X221" s="87"/>
      <c r="Z221" s="74"/>
      <c r="AA221" s="74"/>
    </row>
    <row r="222" spans="21:27">
      <c r="U222" s="66"/>
      <c r="X222" s="87"/>
      <c r="Z222" s="74"/>
      <c r="AA222" s="74"/>
    </row>
    <row r="223" spans="21:27">
      <c r="U223" s="66"/>
      <c r="X223" s="87"/>
      <c r="Z223" s="74"/>
      <c r="AA223" s="74"/>
    </row>
    <row r="224" spans="21:27" ht="15.5" customHeight="1">
      <c r="U224" s="68"/>
      <c r="X224" s="87"/>
      <c r="Z224" s="74"/>
      <c r="AA224" s="74"/>
    </row>
    <row r="225" spans="21:27" ht="15.5" customHeight="1">
      <c r="U225" s="68"/>
      <c r="X225" s="87"/>
      <c r="Z225" s="74"/>
      <c r="AA225" s="74"/>
    </row>
    <row r="226" spans="21:27" ht="15.5" customHeight="1">
      <c r="X226" s="87"/>
      <c r="Z226" s="74"/>
      <c r="AA226" s="74"/>
    </row>
    <row r="227" spans="21:27" ht="15.5" customHeight="1">
      <c r="X227" s="87"/>
      <c r="Z227" s="74"/>
      <c r="AA227" s="74"/>
    </row>
    <row r="228" spans="21:27" ht="15.5" customHeight="1">
      <c r="X228" s="87"/>
      <c r="Z228" s="74"/>
      <c r="AA228" s="74"/>
    </row>
    <row r="229" spans="21:27" ht="15.5" customHeight="1">
      <c r="X229" s="87"/>
      <c r="Z229" s="74"/>
      <c r="AA229" s="74"/>
    </row>
    <row r="230" spans="21:27" ht="15.5" customHeight="1">
      <c r="X230" s="87"/>
      <c r="Z230" s="74"/>
      <c r="AA230" s="74"/>
    </row>
    <row r="231" spans="21:27" ht="15.5" customHeight="1">
      <c r="X231" s="87"/>
      <c r="Z231" s="74"/>
      <c r="AA231" s="74"/>
    </row>
    <row r="232" spans="21:27" ht="15.5" customHeight="1">
      <c r="X232" s="87"/>
      <c r="Z232" s="74"/>
      <c r="AA232" s="74"/>
    </row>
    <row r="233" spans="21:27" ht="15.5" customHeight="1">
      <c r="X233" s="87"/>
      <c r="Z233" s="74"/>
      <c r="AA233" s="74"/>
    </row>
    <row r="234" spans="21:27" ht="15.5" customHeight="1">
      <c r="X234" s="87"/>
      <c r="Z234" s="74"/>
      <c r="AA234" s="74"/>
    </row>
    <row r="235" spans="21:27" ht="15.5" customHeight="1">
      <c r="X235" s="87"/>
      <c r="Z235" s="74"/>
      <c r="AA235" s="74"/>
    </row>
    <row r="236" spans="21:27" ht="15.5" customHeight="1">
      <c r="X236" s="87"/>
      <c r="Z236" s="74"/>
      <c r="AA236" s="74"/>
    </row>
    <row r="237" spans="21:27" ht="15.5" customHeight="1">
      <c r="U237" s="61"/>
      <c r="X237" s="87"/>
      <c r="Z237" s="74"/>
      <c r="AA237" s="74"/>
    </row>
    <row r="238" spans="21:27" ht="15.5" customHeight="1">
      <c r="U238" s="61"/>
      <c r="X238" s="87"/>
      <c r="Z238" s="74"/>
      <c r="AA238" s="74"/>
    </row>
    <row r="239" spans="21:27" ht="15.5" customHeight="1">
      <c r="X239" s="87"/>
      <c r="Z239" s="74"/>
      <c r="AA239" s="74"/>
    </row>
    <row r="240" spans="21:27" ht="15.5" customHeight="1">
      <c r="X240" s="87"/>
      <c r="Z240" s="74"/>
      <c r="AA240" s="74"/>
    </row>
    <row r="241" spans="21:27" ht="15.5" customHeight="1">
      <c r="X241" s="87"/>
      <c r="Z241" s="74"/>
      <c r="AA241" s="74"/>
    </row>
    <row r="242" spans="21:27" ht="15.5" customHeight="1">
      <c r="U242" s="90"/>
      <c r="X242" s="87"/>
      <c r="Z242" s="74"/>
      <c r="AA242" s="74"/>
    </row>
    <row r="243" spans="21:27">
      <c r="U243" s="69"/>
      <c r="X243" s="87"/>
      <c r="Z243" s="74"/>
      <c r="AA243" s="74"/>
    </row>
    <row r="244" spans="21:27" ht="15.5" customHeight="1">
      <c r="U244" s="61"/>
      <c r="X244" s="87"/>
      <c r="Z244" s="74"/>
      <c r="AA244" s="74"/>
    </row>
    <row r="245" spans="21:27" ht="15.5" customHeight="1">
      <c r="U245" s="88"/>
      <c r="X245" s="87"/>
      <c r="Z245" s="74"/>
      <c r="AA245" s="74"/>
    </row>
    <row r="246" spans="21:27" ht="15.5" customHeight="1">
      <c r="U246" s="61"/>
      <c r="X246" s="87"/>
      <c r="Z246" s="74"/>
      <c r="AA246" s="74"/>
    </row>
    <row r="247" spans="21:27" ht="15.5" customHeight="1">
      <c r="U247" s="61"/>
      <c r="X247" s="87"/>
      <c r="Z247" s="74"/>
      <c r="AA247" s="74"/>
    </row>
    <row r="248" spans="21:27" ht="15.5" customHeight="1">
      <c r="U248" s="61"/>
      <c r="X248" s="87"/>
      <c r="Z248" s="74"/>
      <c r="AA248" s="74"/>
    </row>
    <row r="249" spans="21:27" ht="15.5" customHeight="1">
      <c r="U249" s="61"/>
      <c r="X249" s="87"/>
      <c r="Z249" s="74"/>
      <c r="AA249" s="74"/>
    </row>
    <row r="250" spans="21:27" ht="15.5" customHeight="1">
      <c r="U250" s="61"/>
      <c r="X250" s="87"/>
      <c r="Z250" s="74"/>
      <c r="AA250" s="74"/>
    </row>
    <row r="251" spans="21:27">
      <c r="U251" s="66"/>
      <c r="X251" s="87"/>
      <c r="Z251" s="74"/>
      <c r="AA251" s="74"/>
    </row>
    <row r="252" spans="21:27">
      <c r="U252" s="66"/>
      <c r="X252" s="87"/>
      <c r="Z252" s="74"/>
      <c r="AA252" s="74"/>
    </row>
    <row r="253" spans="21:27" ht="15.5" customHeight="1">
      <c r="U253" s="68"/>
      <c r="X253" s="87"/>
      <c r="Z253" s="74"/>
      <c r="AA253" s="74"/>
    </row>
    <row r="254" spans="21:27" ht="15.5" customHeight="1">
      <c r="U254" s="68"/>
      <c r="X254" s="87"/>
      <c r="Z254" s="74"/>
      <c r="AA254" s="74"/>
    </row>
    <row r="255" spans="21:27" ht="15.5" customHeight="1">
      <c r="X255" s="87"/>
      <c r="Z255" s="74"/>
      <c r="AA255" s="74"/>
    </row>
    <row r="256" spans="21:27" ht="15.5" customHeight="1">
      <c r="X256" s="87"/>
      <c r="Z256" s="74"/>
      <c r="AA256" s="74"/>
    </row>
    <row r="257" spans="24:27" ht="15.5" customHeight="1">
      <c r="X257" s="87"/>
      <c r="Z257" s="74"/>
      <c r="AA257" s="74"/>
    </row>
    <row r="258" spans="24:27" ht="15.5" customHeight="1">
      <c r="X258" s="87"/>
      <c r="Z258" s="74"/>
      <c r="AA258" s="74"/>
    </row>
    <row r="259" spans="24:27" ht="15.5" customHeight="1">
      <c r="X259" s="87"/>
      <c r="Z259" s="74"/>
      <c r="AA259" s="74"/>
    </row>
    <row r="260" spans="24:27" ht="15.5" customHeight="1">
      <c r="X260" s="87"/>
      <c r="Z260" s="74"/>
      <c r="AA260" s="74"/>
    </row>
    <row r="261" spans="24:27" ht="15.5" customHeight="1">
      <c r="X261" s="87"/>
      <c r="Z261" s="74"/>
      <c r="AA261" s="74"/>
    </row>
    <row r="262" spans="24:27" ht="15.5" customHeight="1">
      <c r="X262" s="87"/>
      <c r="Z262" s="74"/>
      <c r="AA262" s="74"/>
    </row>
    <row r="263" spans="24:27" ht="15.5" customHeight="1">
      <c r="X263" s="87"/>
      <c r="Z263" s="74"/>
      <c r="AA263" s="74"/>
    </row>
    <row r="264" spans="24:27" ht="15.5" customHeight="1">
      <c r="X264" s="87"/>
      <c r="Z264" s="74"/>
      <c r="AA264" s="74"/>
    </row>
    <row r="265" spans="24:27" ht="15.5" customHeight="1">
      <c r="X265" s="87"/>
      <c r="Z265" s="74"/>
      <c r="AA265" s="74"/>
    </row>
    <row r="266" spans="24:27" ht="15.5" customHeight="1">
      <c r="X266" s="87"/>
      <c r="Z266" s="74"/>
    </row>
    <row r="267" spans="24:27" ht="15.5" customHeight="1">
      <c r="X267" s="87"/>
      <c r="Z267" s="74"/>
    </row>
    <row r="268" spans="24:27" ht="15.5" customHeight="1">
      <c r="X268" s="87"/>
      <c r="Z268" s="74"/>
    </row>
    <row r="269" spans="24:27" ht="15.5" customHeight="1">
      <c r="X269" s="87"/>
      <c r="Z269" s="74"/>
    </row>
    <row r="270" spans="24:27" ht="15.5" customHeight="1">
      <c r="X270" s="87"/>
      <c r="Z270" s="74"/>
    </row>
    <row r="271" spans="24:27" ht="15.5" customHeight="1">
      <c r="X271" s="87"/>
      <c r="Z271" s="74"/>
    </row>
    <row r="272" spans="24:27" ht="15.5" customHeight="1">
      <c r="X272" s="87"/>
      <c r="Z272" s="74"/>
    </row>
    <row r="273" spans="21:26" ht="15.5" customHeight="1">
      <c r="X273" s="87"/>
      <c r="Z273" s="74"/>
    </row>
    <row r="274" spans="21:26" ht="15.5" customHeight="1">
      <c r="X274" s="87"/>
      <c r="Z274" s="74"/>
    </row>
    <row r="275" spans="21:26" ht="15.5" customHeight="1">
      <c r="X275" s="87"/>
      <c r="Z275" s="74"/>
    </row>
    <row r="276" spans="21:26" ht="15.5" customHeight="1">
      <c r="X276" s="87"/>
      <c r="Z276" s="74"/>
    </row>
    <row r="277" spans="21:26" ht="15.5" customHeight="1">
      <c r="X277" s="87"/>
      <c r="Z277" s="74"/>
    </row>
    <row r="278" spans="21:26" ht="15.5" customHeight="1">
      <c r="X278" s="87"/>
      <c r="Z278" s="74"/>
    </row>
    <row r="279" spans="21:26" ht="15.5" customHeight="1">
      <c r="X279" s="87"/>
      <c r="Z279" s="74"/>
    </row>
    <row r="280" spans="21:26" ht="15.5" customHeight="1">
      <c r="X280" s="87"/>
      <c r="Z280" s="74"/>
    </row>
    <row r="281" spans="21:26" ht="15.5" customHeight="1">
      <c r="X281" s="87"/>
      <c r="Z281" s="74"/>
    </row>
    <row r="282" spans="21:26" ht="15.5" customHeight="1">
      <c r="U282" s="61"/>
      <c r="X282" s="87"/>
      <c r="Z282" s="74"/>
    </row>
    <row r="283" spans="21:26" ht="15.5" customHeight="1">
      <c r="X283" s="87"/>
      <c r="Z283" s="74"/>
    </row>
    <row r="284" spans="21:26" ht="15.5" customHeight="1">
      <c r="X284" s="87"/>
      <c r="Z284" s="74"/>
    </row>
    <row r="285" spans="21:26" ht="15.5" customHeight="1">
      <c r="X285" s="87"/>
      <c r="Z285" s="74"/>
    </row>
    <row r="286" spans="21:26" ht="15.5" customHeight="1">
      <c r="X286" s="87"/>
      <c r="Z286" s="74"/>
    </row>
    <row r="287" spans="21:26" ht="15.5" customHeight="1">
      <c r="U287" s="89"/>
      <c r="X287" s="87"/>
      <c r="Z287" s="74"/>
    </row>
    <row r="288" spans="21:26" ht="15.5" customHeight="1">
      <c r="U288" s="90"/>
      <c r="X288" s="87"/>
      <c r="Z288" s="74"/>
    </row>
    <row r="289" spans="21:26" ht="15.5" customHeight="1">
      <c r="U289" s="90"/>
      <c r="X289" s="87"/>
      <c r="Z289" s="74"/>
    </row>
    <row r="290" spans="21:26">
      <c r="U290" s="69"/>
      <c r="X290" s="87"/>
      <c r="Z290" s="74"/>
    </row>
    <row r="291" spans="21:26" ht="15.5" customHeight="1">
      <c r="U291" s="61"/>
      <c r="X291" s="87"/>
      <c r="Z291" s="74"/>
    </row>
    <row r="292" spans="21:26" ht="15.5" customHeight="1">
      <c r="U292" s="61"/>
      <c r="X292" s="87"/>
      <c r="Z292" s="74"/>
    </row>
    <row r="293" spans="21:26">
      <c r="U293" s="66"/>
      <c r="X293" s="87"/>
      <c r="Z293" s="74"/>
    </row>
    <row r="294" spans="21:26" ht="15.5" customHeight="1">
      <c r="U294" s="68"/>
      <c r="X294" s="87"/>
      <c r="Z294" s="74"/>
    </row>
    <row r="295" spans="21:26" ht="15.5" customHeight="1">
      <c r="U295" s="68"/>
      <c r="X295" s="87"/>
      <c r="Z295" s="74"/>
    </row>
    <row r="296" spans="21:26" ht="15.5" customHeight="1">
      <c r="U296" s="68"/>
      <c r="X296" s="87"/>
      <c r="Z296" s="74"/>
    </row>
    <row r="297" spans="21:26" ht="15.5" customHeight="1">
      <c r="U297" s="68"/>
      <c r="X297" s="87"/>
      <c r="Z297" s="74"/>
    </row>
    <row r="298" spans="21:26" ht="15.5" customHeight="1">
      <c r="U298" s="68"/>
      <c r="X298" s="87"/>
      <c r="Z298" s="74"/>
    </row>
    <row r="299" spans="21:26" ht="15.5" customHeight="1">
      <c r="X299" s="87"/>
      <c r="Z299" s="74"/>
    </row>
    <row r="300" spans="21:26" ht="15.5" customHeight="1">
      <c r="X300" s="87"/>
      <c r="Z300" s="74"/>
    </row>
    <row r="301" spans="21:26" ht="15.5" customHeight="1">
      <c r="X301" s="87"/>
      <c r="Z301" s="74"/>
    </row>
    <row r="302" spans="21:26" ht="15.5" customHeight="1">
      <c r="X302" s="87"/>
      <c r="Z302" s="74"/>
    </row>
    <row r="303" spans="21:26" ht="15.5" customHeight="1">
      <c r="X303" s="87"/>
      <c r="Z303" s="74"/>
    </row>
    <row r="304" spans="21:26" ht="15.5" customHeight="1">
      <c r="X304" s="87"/>
      <c r="Z304" s="74"/>
    </row>
    <row r="305" spans="21:26" ht="15.5" customHeight="1">
      <c r="X305" s="87"/>
      <c r="Z305" s="74"/>
    </row>
    <row r="306" spans="21:26" ht="15.5" customHeight="1">
      <c r="X306" s="87"/>
      <c r="Z306" s="74"/>
    </row>
    <row r="307" spans="21:26" ht="15.5" customHeight="1">
      <c r="X307" s="87"/>
      <c r="Z307" s="74"/>
    </row>
    <row r="308" spans="21:26" ht="15.5" customHeight="1">
      <c r="X308" s="87"/>
      <c r="Z308" s="74"/>
    </row>
    <row r="309" spans="21:26" ht="15.5" customHeight="1">
      <c r="X309" s="87"/>
      <c r="Z309" s="74"/>
    </row>
    <row r="310" spans="21:26" ht="15.5" customHeight="1">
      <c r="X310" s="87"/>
      <c r="Z310" s="74"/>
    </row>
    <row r="311" spans="21:26" ht="15.5" customHeight="1">
      <c r="X311" s="87"/>
      <c r="Z311" s="74"/>
    </row>
    <row r="312" spans="21:26" ht="15.5" customHeight="1">
      <c r="X312" s="87"/>
      <c r="Z312" s="74"/>
    </row>
    <row r="313" spans="21:26" ht="15.5" customHeight="1">
      <c r="X313" s="87"/>
      <c r="Z313" s="74"/>
    </row>
    <row r="314" spans="21:26" ht="15.5" customHeight="1">
      <c r="X314" s="87"/>
      <c r="Z314" s="74"/>
    </row>
    <row r="315" spans="21:26" ht="15.5" customHeight="1">
      <c r="X315" s="87"/>
      <c r="Z315" s="74"/>
    </row>
    <row r="316" spans="21:26" ht="15.5" customHeight="1">
      <c r="X316" s="87"/>
      <c r="Z316" s="74"/>
    </row>
    <row r="317" spans="21:26" ht="15.5" customHeight="1">
      <c r="X317" s="87"/>
      <c r="Z317" s="74"/>
    </row>
    <row r="318" spans="21:26" ht="15.5" customHeight="1">
      <c r="X318" s="87"/>
      <c r="Z318" s="74"/>
    </row>
    <row r="319" spans="21:26" ht="15.5" customHeight="1">
      <c r="X319" s="87"/>
      <c r="Z319" s="74"/>
    </row>
    <row r="320" spans="21:26" ht="15.5" customHeight="1">
      <c r="U320" s="89"/>
      <c r="X320" s="87"/>
      <c r="Z320" s="74"/>
    </row>
    <row r="321" spans="21:26" ht="15.5" customHeight="1">
      <c r="U321" s="89"/>
      <c r="X321" s="87"/>
      <c r="Z321" s="74"/>
    </row>
    <row r="322" spans="21:26" ht="15.5" customHeight="1">
      <c r="U322" s="89"/>
      <c r="X322" s="87"/>
      <c r="Z322" s="74"/>
    </row>
    <row r="323" spans="21:26" ht="15.5" customHeight="1">
      <c r="U323" s="89"/>
      <c r="X323" s="87"/>
      <c r="Z323" s="74"/>
    </row>
    <row r="324" spans="21:26" ht="15.5" customHeight="1">
      <c r="U324" s="89"/>
      <c r="X324" s="87"/>
      <c r="Z324" s="74"/>
    </row>
    <row r="325" spans="21:26">
      <c r="U325" s="69"/>
      <c r="X325" s="87"/>
      <c r="Z325" s="74"/>
    </row>
    <row r="326" spans="21:26" ht="15.5" customHeight="1">
      <c r="U326" s="68"/>
      <c r="X326" s="87"/>
      <c r="Z326" s="74"/>
    </row>
    <row r="327" spans="21:26" ht="15.5" customHeight="1">
      <c r="U327" s="61"/>
      <c r="X327" s="87"/>
      <c r="Z327" s="74"/>
    </row>
    <row r="328" spans="21:26" ht="15.5" customHeight="1">
      <c r="U328" s="61"/>
      <c r="X328" s="87"/>
      <c r="Z328" s="74"/>
    </row>
    <row r="329" spans="21:26" ht="15.5" customHeight="1">
      <c r="U329" s="61"/>
      <c r="X329" s="87"/>
      <c r="Z329" s="74"/>
    </row>
    <row r="330" spans="21:26">
      <c r="U330" s="66"/>
      <c r="X330" s="87"/>
      <c r="Z330" s="74"/>
    </row>
    <row r="331" spans="21:26" ht="15.5" customHeight="1">
      <c r="U331" s="68"/>
      <c r="X331" s="87"/>
      <c r="Z331" s="74"/>
    </row>
    <row r="332" spans="21:26" ht="15.5" customHeight="1">
      <c r="U332" s="68"/>
      <c r="X332" s="87"/>
      <c r="Z332" s="74"/>
    </row>
    <row r="333" spans="21:26" ht="15.5" customHeight="1">
      <c r="X333" s="87"/>
      <c r="Z333" s="74"/>
    </row>
    <row r="334" spans="21:26" ht="15.5" customHeight="1">
      <c r="X334" s="87"/>
      <c r="Z334" s="74"/>
    </row>
    <row r="335" spans="21:26" ht="15.5" customHeight="1">
      <c r="X335" s="87"/>
      <c r="Z335" s="74"/>
    </row>
    <row r="336" spans="21:26" ht="15.5" customHeight="1">
      <c r="X336" s="87"/>
      <c r="Z336" s="74"/>
    </row>
    <row r="337" spans="21:26" ht="15.5" customHeight="1">
      <c r="X337" s="87"/>
      <c r="Z337" s="74"/>
    </row>
    <row r="338" spans="21:26" ht="15.5" customHeight="1">
      <c r="X338" s="87"/>
      <c r="Z338" s="74"/>
    </row>
    <row r="339" spans="21:26" ht="15.5" customHeight="1">
      <c r="X339" s="87"/>
      <c r="Z339" s="74"/>
    </row>
    <row r="340" spans="21:26" ht="15.5" customHeight="1">
      <c r="X340" s="87"/>
      <c r="Z340" s="74"/>
    </row>
    <row r="341" spans="21:26" ht="15.5" customHeight="1">
      <c r="X341" s="87"/>
      <c r="Z341" s="74"/>
    </row>
    <row r="342" spans="21:26" ht="15.5" customHeight="1">
      <c r="X342" s="87"/>
      <c r="Z342" s="74"/>
    </row>
    <row r="343" spans="21:26" ht="15.5" customHeight="1">
      <c r="X343" s="87"/>
      <c r="Z343" s="74"/>
    </row>
    <row r="344" spans="21:26" ht="15.5" customHeight="1">
      <c r="X344" s="87"/>
      <c r="Z344" s="74"/>
    </row>
    <row r="345" spans="21:26" ht="15.5" customHeight="1">
      <c r="X345" s="87"/>
      <c r="Z345" s="74"/>
    </row>
    <row r="346" spans="21:26" ht="15.5" customHeight="1">
      <c r="X346" s="87"/>
      <c r="Z346" s="74"/>
    </row>
    <row r="347" spans="21:26" ht="15.5" customHeight="1">
      <c r="X347" s="87"/>
      <c r="Z347" s="74"/>
    </row>
    <row r="348" spans="21:26" ht="15.5" customHeight="1">
      <c r="X348" s="87"/>
      <c r="Z348" s="74"/>
    </row>
    <row r="349" spans="21:26" ht="15.5" customHeight="1">
      <c r="X349" s="87"/>
      <c r="Z349" s="74"/>
    </row>
    <row r="350" spans="21:26" ht="15.5" customHeight="1">
      <c r="U350" s="89"/>
      <c r="X350" s="87"/>
      <c r="Z350" s="74"/>
    </row>
    <row r="351" spans="21:26" ht="15.5" customHeight="1">
      <c r="U351" s="89"/>
      <c r="X351" s="87"/>
      <c r="Z351" s="74"/>
    </row>
    <row r="352" spans="21:26" ht="15.5" customHeight="1">
      <c r="U352" s="89"/>
      <c r="X352" s="87"/>
      <c r="Z352" s="74"/>
    </row>
    <row r="353" spans="21:26" ht="15.5" customHeight="1">
      <c r="U353" s="89"/>
      <c r="X353" s="87"/>
      <c r="Z353" s="74"/>
    </row>
    <row r="354" spans="21:26" ht="15.5" customHeight="1">
      <c r="U354" s="89"/>
      <c r="X354" s="87"/>
      <c r="Z354" s="74"/>
    </row>
    <row r="355" spans="21:26" ht="15.5" customHeight="1">
      <c r="U355" s="89"/>
      <c r="X355" s="87"/>
      <c r="Z355" s="74"/>
    </row>
    <row r="356" spans="21:26" ht="15.5" customHeight="1">
      <c r="U356" s="89"/>
      <c r="X356" s="87"/>
      <c r="Z356" s="74"/>
    </row>
    <row r="357" spans="21:26" ht="15.5" customHeight="1">
      <c r="U357" s="89"/>
      <c r="X357" s="87"/>
      <c r="Z357" s="74"/>
    </row>
    <row r="358" spans="21:26">
      <c r="U358" s="69"/>
      <c r="X358" s="87"/>
      <c r="Z358" s="74"/>
    </row>
    <row r="359" spans="21:26">
      <c r="U359" s="69"/>
      <c r="X359" s="87"/>
      <c r="Z359" s="74"/>
    </row>
    <row r="360" spans="21:26">
      <c r="U360" s="69"/>
      <c r="X360" s="87"/>
      <c r="Z360" s="74"/>
    </row>
    <row r="361" spans="21:26">
      <c r="U361" s="69"/>
      <c r="X361" s="87"/>
      <c r="Z361" s="74"/>
    </row>
    <row r="362" spans="21:26">
      <c r="U362" s="69"/>
      <c r="X362" s="87"/>
      <c r="Z362" s="74"/>
    </row>
    <row r="363" spans="21:26">
      <c r="U363" s="69"/>
      <c r="X363" s="87"/>
      <c r="Z363" s="74"/>
    </row>
    <row r="364" spans="21:26" ht="15.5" customHeight="1">
      <c r="U364" s="61"/>
      <c r="X364" s="87"/>
      <c r="Z364" s="74"/>
    </row>
    <row r="365" spans="21:26" ht="15.5" customHeight="1">
      <c r="U365" s="61"/>
      <c r="X365" s="87"/>
      <c r="Z365" s="74"/>
    </row>
    <row r="366" spans="21:26" ht="15.5" customHeight="1">
      <c r="U366" s="61"/>
      <c r="X366" s="87"/>
      <c r="Z366" s="74"/>
    </row>
    <row r="367" spans="21:26" ht="15.5" customHeight="1">
      <c r="U367" s="88"/>
      <c r="X367" s="87"/>
      <c r="Z367" s="74"/>
    </row>
    <row r="368" spans="21:26">
      <c r="U368" s="66"/>
      <c r="X368" s="87"/>
      <c r="Z368" s="74"/>
    </row>
    <row r="369" spans="21:26">
      <c r="U369" s="66"/>
      <c r="X369" s="87"/>
      <c r="Z369" s="74"/>
    </row>
    <row r="370" spans="21:26" ht="15.5" customHeight="1">
      <c r="U370" s="68"/>
      <c r="X370" s="87"/>
      <c r="Z370" s="74"/>
    </row>
    <row r="371" spans="21:26" ht="15.5" customHeight="1">
      <c r="U371" s="68"/>
      <c r="X371" s="87"/>
      <c r="Z371" s="74"/>
    </row>
    <row r="372" spans="21:26" ht="15.5" customHeight="1">
      <c r="U372" s="68"/>
      <c r="X372" s="87"/>
      <c r="Z372" s="74"/>
    </row>
    <row r="373" spans="21:26" ht="15.5" customHeight="1">
      <c r="U373" s="68"/>
      <c r="X373" s="87"/>
      <c r="Z373" s="74"/>
    </row>
    <row r="374" spans="21:26" ht="15.5" customHeight="1">
      <c r="U374" s="68"/>
      <c r="X374" s="87"/>
      <c r="Z374" s="74"/>
    </row>
    <row r="375" spans="21:26" ht="15.5" customHeight="1">
      <c r="X375" s="87"/>
      <c r="Z375" s="74"/>
    </row>
    <row r="376" spans="21:26" ht="15.5" customHeight="1">
      <c r="X376" s="87"/>
      <c r="Z376" s="74"/>
    </row>
    <row r="377" spans="21:26" ht="15.5" customHeight="1">
      <c r="X377" s="87"/>
      <c r="Z377" s="74"/>
    </row>
    <row r="378" spans="21:26" ht="15.5" customHeight="1">
      <c r="X378" s="87"/>
      <c r="Z378" s="74"/>
    </row>
    <row r="379" spans="21:26" ht="15.5" customHeight="1">
      <c r="X379" s="87"/>
      <c r="Z379" s="74"/>
    </row>
    <row r="380" spans="21:26" ht="15.5" customHeight="1">
      <c r="X380" s="87"/>
      <c r="Z380" s="74"/>
    </row>
    <row r="381" spans="21:26" ht="15.5" customHeight="1">
      <c r="X381" s="87"/>
      <c r="Z381" s="74"/>
    </row>
    <row r="382" spans="21:26" ht="15.5" customHeight="1">
      <c r="X382" s="87"/>
      <c r="Z382" s="74"/>
    </row>
    <row r="383" spans="21:26" ht="15.5" customHeight="1">
      <c r="X383" s="87"/>
      <c r="Z383" s="74"/>
    </row>
    <row r="384" spans="21:26" ht="15.5" customHeight="1">
      <c r="X384" s="87"/>
      <c r="Z384" s="74"/>
    </row>
    <row r="385" spans="24:26" ht="15.5" customHeight="1">
      <c r="X385" s="87"/>
      <c r="Z385" s="74"/>
    </row>
    <row r="386" spans="24:26" ht="15.5" customHeight="1">
      <c r="X386" s="87"/>
      <c r="Z386" s="74"/>
    </row>
    <row r="387" spans="24:26" ht="15.5" customHeight="1">
      <c r="X387" s="87"/>
      <c r="Z387" s="74"/>
    </row>
    <row r="388" spans="24:26" ht="15.5" customHeight="1">
      <c r="X388" s="87"/>
      <c r="Z388" s="74"/>
    </row>
    <row r="389" spans="24:26" ht="15.5" customHeight="1">
      <c r="X389" s="87"/>
      <c r="Z389" s="74"/>
    </row>
    <row r="390" spans="24:26" ht="15.5" customHeight="1">
      <c r="X390" s="87"/>
      <c r="Z390" s="74"/>
    </row>
    <row r="391" spans="24:26" ht="15.5" customHeight="1">
      <c r="X391" s="87"/>
      <c r="Z391" s="74"/>
    </row>
    <row r="392" spans="24:26" ht="15.5" customHeight="1">
      <c r="X392" s="87"/>
      <c r="Z392" s="74"/>
    </row>
    <row r="393" spans="24:26" ht="15.5" customHeight="1">
      <c r="X393" s="87"/>
      <c r="Z393" s="74"/>
    </row>
    <row r="394" spans="24:26" ht="15.5" customHeight="1">
      <c r="X394" s="87"/>
      <c r="Z394" s="74"/>
    </row>
    <row r="395" spans="24:26" ht="15.5" customHeight="1">
      <c r="X395" s="87"/>
      <c r="Z395" s="74"/>
    </row>
    <row r="396" spans="24:26" ht="15.5" customHeight="1">
      <c r="X396" s="87"/>
      <c r="Z396" s="74"/>
    </row>
    <row r="397" spans="24:26" ht="15.5" customHeight="1">
      <c r="X397" s="87"/>
      <c r="Z397" s="74"/>
    </row>
    <row r="398" spans="24:26" ht="15.5" customHeight="1">
      <c r="X398" s="87"/>
      <c r="Z398" s="74"/>
    </row>
    <row r="399" spans="24:26" ht="15.5" customHeight="1">
      <c r="X399" s="87"/>
      <c r="Z399" s="74"/>
    </row>
    <row r="400" spans="24:26" ht="15.5" customHeight="1">
      <c r="X400" s="87"/>
      <c r="Z400" s="74"/>
    </row>
    <row r="401" spans="24:26" ht="15.5" customHeight="1">
      <c r="X401" s="87"/>
      <c r="Z401" s="74"/>
    </row>
    <row r="402" spans="24:26" ht="15.5" customHeight="1">
      <c r="X402" s="87"/>
      <c r="Z402" s="74"/>
    </row>
    <row r="403" spans="24:26" ht="15.5" customHeight="1">
      <c r="X403" s="87"/>
      <c r="Z403" s="74"/>
    </row>
    <row r="404" spans="24:26" ht="15.5" customHeight="1">
      <c r="X404" s="87"/>
      <c r="Z404" s="74"/>
    </row>
    <row r="405" spans="24:26" ht="15.5" customHeight="1">
      <c r="X405" s="87"/>
      <c r="Z405" s="74"/>
    </row>
    <row r="406" spans="24:26" ht="15.5" customHeight="1">
      <c r="X406" s="87"/>
      <c r="Z406" s="74"/>
    </row>
    <row r="407" spans="24:26" ht="15.5" customHeight="1">
      <c r="X407" s="87"/>
      <c r="Z407" s="74"/>
    </row>
    <row r="408" spans="24:26" ht="15.5" customHeight="1">
      <c r="X408" s="87"/>
      <c r="Z408" s="74"/>
    </row>
    <row r="409" spans="24:26" ht="15.5" customHeight="1">
      <c r="X409" s="87"/>
      <c r="Z409" s="74"/>
    </row>
    <row r="410" spans="24:26" ht="15.5" customHeight="1">
      <c r="X410" s="87"/>
      <c r="Z410" s="74"/>
    </row>
    <row r="411" spans="24:26" ht="15.5" customHeight="1">
      <c r="X411" s="87"/>
      <c r="Z411" s="74"/>
    </row>
    <row r="412" spans="24:26" ht="15.5" customHeight="1">
      <c r="X412" s="87"/>
      <c r="Z412" s="74"/>
    </row>
    <row r="413" spans="24:26" ht="15.5" customHeight="1">
      <c r="X413" s="87"/>
      <c r="Z413" s="74"/>
    </row>
    <row r="414" spans="24:26" ht="15.5" customHeight="1">
      <c r="X414" s="87"/>
      <c r="Z414" s="74"/>
    </row>
    <row r="415" spans="24:26" ht="15.5" customHeight="1">
      <c r="X415" s="87"/>
      <c r="Z415" s="74"/>
    </row>
    <row r="416" spans="24:26" ht="15.5" customHeight="1">
      <c r="X416" s="87"/>
      <c r="Z416" s="74"/>
    </row>
    <row r="417" spans="24:26" ht="15.5" customHeight="1">
      <c r="X417" s="87"/>
      <c r="Z417" s="74"/>
    </row>
    <row r="418" spans="24:26" ht="15.5" customHeight="1">
      <c r="X418" s="87"/>
      <c r="Z418" s="74"/>
    </row>
    <row r="419" spans="24:26" ht="15.5" customHeight="1">
      <c r="X419" s="87"/>
      <c r="Z419" s="74"/>
    </row>
    <row r="420" spans="24:26" ht="15.5" customHeight="1">
      <c r="X420" s="87"/>
      <c r="Z420" s="74"/>
    </row>
    <row r="421" spans="24:26" ht="15.5" customHeight="1">
      <c r="X421" s="87"/>
      <c r="Z421" s="74"/>
    </row>
    <row r="422" spans="24:26" ht="15.5" customHeight="1">
      <c r="X422" s="87"/>
      <c r="Z422" s="74"/>
    </row>
    <row r="423" spans="24:26" ht="15.5" customHeight="1">
      <c r="X423" s="87"/>
      <c r="Z423" s="74"/>
    </row>
    <row r="424" spans="24:26" ht="15.5" customHeight="1">
      <c r="X424" s="87"/>
      <c r="Z424" s="74"/>
    </row>
    <row r="425" spans="24:26" ht="15.5" customHeight="1">
      <c r="X425" s="87"/>
      <c r="Z425" s="74"/>
    </row>
    <row r="426" spans="24:26" ht="15.5" customHeight="1">
      <c r="X426" s="87"/>
      <c r="Z426" s="74"/>
    </row>
    <row r="427" spans="24:26" ht="15.5" customHeight="1">
      <c r="X427" s="87"/>
      <c r="Z427" s="74"/>
    </row>
    <row r="428" spans="24:26" ht="15.5" customHeight="1">
      <c r="X428" s="87"/>
      <c r="Z428" s="74"/>
    </row>
    <row r="429" spans="24:26" ht="15.5" customHeight="1">
      <c r="X429" s="87"/>
      <c r="Z429" s="74"/>
    </row>
    <row r="430" spans="24:26" ht="15.5" customHeight="1">
      <c r="X430" s="87"/>
      <c r="Z430" s="74"/>
    </row>
    <row r="431" spans="24:26" ht="15.5" customHeight="1">
      <c r="X431" s="87"/>
      <c r="Z431" s="74"/>
    </row>
    <row r="432" spans="24:26" ht="15.5" customHeight="1">
      <c r="X432" s="87"/>
      <c r="Z432" s="74"/>
    </row>
    <row r="433" spans="21:26" ht="15.5" customHeight="1">
      <c r="X433" s="87"/>
      <c r="Z433" s="74"/>
    </row>
    <row r="434" spans="21:26" ht="15.5" customHeight="1">
      <c r="X434" s="87"/>
      <c r="Z434" s="74"/>
    </row>
    <row r="435" spans="21:26" ht="15.5" customHeight="1">
      <c r="X435" s="87"/>
      <c r="Z435" s="74"/>
    </row>
    <row r="436" spans="21:26" ht="15.5" customHeight="1">
      <c r="X436" s="87"/>
      <c r="Z436" s="74"/>
    </row>
    <row r="437" spans="21:26" ht="15.5" customHeight="1">
      <c r="X437" s="87"/>
      <c r="Z437" s="74"/>
    </row>
    <row r="438" spans="21:26" ht="15.5" customHeight="1">
      <c r="X438" s="87"/>
      <c r="Z438" s="74"/>
    </row>
    <row r="439" spans="21:26" ht="15.5" customHeight="1">
      <c r="X439" s="87"/>
      <c r="Z439" s="74"/>
    </row>
    <row r="440" spans="21:26" ht="15.5" customHeight="1">
      <c r="X440" s="87"/>
      <c r="Z440" s="74"/>
    </row>
    <row r="441" spans="21:26" ht="15.5" customHeight="1">
      <c r="X441" s="87"/>
      <c r="Z441" s="74"/>
    </row>
    <row r="442" spans="21:26" ht="15.5" customHeight="1">
      <c r="X442" s="87"/>
      <c r="Z442" s="74"/>
    </row>
    <row r="443" spans="21:26" ht="15.5" customHeight="1">
      <c r="X443" s="87"/>
      <c r="Z443" s="74"/>
    </row>
    <row r="444" spans="21:26" ht="15.5" customHeight="1">
      <c r="X444" s="87"/>
      <c r="Z444" s="74"/>
    </row>
    <row r="445" spans="21:26">
      <c r="U445" s="69"/>
      <c r="X445" s="87"/>
      <c r="Z445" s="74"/>
    </row>
    <row r="446" spans="21:26" ht="15.5" customHeight="1">
      <c r="X446" s="87"/>
      <c r="Z446" s="74"/>
    </row>
    <row r="447" spans="21:26" ht="15.5" customHeight="1">
      <c r="X447" s="87"/>
      <c r="Z447" s="74"/>
    </row>
    <row r="448" spans="21:26" ht="15.5" customHeight="1">
      <c r="X448" s="87"/>
      <c r="Z448" s="74"/>
    </row>
    <row r="449" spans="24:26" ht="15.5" customHeight="1">
      <c r="X449" s="87"/>
      <c r="Z449" s="74"/>
    </row>
    <row r="450" spans="24:26" ht="15.5" customHeight="1">
      <c r="Z450" s="74"/>
    </row>
    <row r="451" spans="24:26" ht="15.5" customHeight="1">
      <c r="Z451" s="74"/>
    </row>
    <row r="452" spans="24:26" ht="15.5" customHeight="1">
      <c r="Z452" s="74"/>
    </row>
    <row r="453" spans="24:26" ht="15.5" customHeight="1">
      <c r="Z453" s="74"/>
    </row>
    <row r="454" spans="24:26" ht="15.5" customHeight="1">
      <c r="Z454" s="74"/>
    </row>
    <row r="455" spans="24:26" ht="15.5" customHeight="1">
      <c r="Z455" s="74"/>
    </row>
    <row r="456" spans="24:26" ht="15.5" customHeight="1">
      <c r="Z456" s="74"/>
    </row>
    <row r="457" spans="24:26" ht="15.5" customHeight="1">
      <c r="Z457" s="74"/>
    </row>
    <row r="458" spans="24:26" ht="15.5" customHeight="1">
      <c r="Z458" s="74"/>
    </row>
    <row r="459" spans="24:26" ht="15.5" customHeight="1">
      <c r="Z459" s="74"/>
    </row>
    <row r="460" spans="24:26" ht="15.5" customHeight="1">
      <c r="Z460" s="74"/>
    </row>
    <row r="461" spans="24:26" ht="15.5" customHeight="1">
      <c r="Z461" s="74"/>
    </row>
    <row r="462" spans="24:26" ht="15.5" customHeight="1">
      <c r="Z462" s="74"/>
    </row>
    <row r="463" spans="24:26" ht="15.5" customHeight="1">
      <c r="Z463" s="74"/>
    </row>
    <row r="464" spans="24:26" ht="15.5" customHeight="1">
      <c r="Z464" s="74"/>
    </row>
    <row r="465" spans="26:26" ht="15.5" customHeight="1">
      <c r="Z465" s="74"/>
    </row>
    <row r="466" spans="26:26" ht="15.5" customHeight="1">
      <c r="Z466" s="74"/>
    </row>
    <row r="467" spans="26:26" ht="15.5" customHeight="1">
      <c r="Z467" s="74"/>
    </row>
    <row r="468" spans="26:26" ht="15.5" customHeight="1">
      <c r="Z468" s="74"/>
    </row>
    <row r="469" spans="26:26" ht="15.5" customHeight="1">
      <c r="Z469" s="74"/>
    </row>
    <row r="470" spans="26:26" ht="15.5" customHeight="1">
      <c r="Z470" s="74"/>
    </row>
    <row r="471" spans="26:26" ht="15.5" customHeight="1">
      <c r="Z471" s="74"/>
    </row>
    <row r="472" spans="26:26" ht="15.5" customHeight="1">
      <c r="Z472" s="74"/>
    </row>
  </sheetData>
  <sortState xmlns:xlrd2="http://schemas.microsoft.com/office/spreadsheetml/2017/richdata2" ref="U4:X71">
    <sortCondition ref="V4:V71"/>
  </sortState>
  <mergeCells count="19">
    <mergeCell ref="C9:K10"/>
    <mergeCell ref="C13:K15"/>
    <mergeCell ref="C3:I4"/>
    <mergeCell ref="C21:K21"/>
    <mergeCell ref="C24:K24"/>
    <mergeCell ref="C18:K19"/>
    <mergeCell ref="C22:K23"/>
    <mergeCell ref="C26:K29"/>
    <mergeCell ref="C11:K11"/>
    <mergeCell ref="C12:K12"/>
    <mergeCell ref="C16:K16"/>
    <mergeCell ref="C17:K17"/>
    <mergeCell ref="C20:K20"/>
    <mergeCell ref="J4:K4"/>
    <mergeCell ref="C5:K5"/>
    <mergeCell ref="C6:K6"/>
    <mergeCell ref="C7:F7"/>
    <mergeCell ref="C8:G8"/>
    <mergeCell ref="H8:K8"/>
  </mergeCell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1519"/>
  <sheetViews>
    <sheetView workbookViewId="0">
      <pane ySplit="246" topLeftCell="A247" activePane="bottomLeft" state="frozen"/>
      <selection pane="bottomLeft" activeCell="J546" sqref="J546:J551"/>
    </sheetView>
  </sheetViews>
  <sheetFormatPr defaultColWidth="0" defaultRowHeight="12"/>
  <cols>
    <col min="1" max="1" width="2.6328125" style="11" customWidth="1"/>
    <col min="2" max="3" width="9" style="27" hidden="1" customWidth="1"/>
    <col min="4" max="4" width="6.7265625" style="28" hidden="1" customWidth="1"/>
    <col min="5" max="5" width="10.453125" style="2" customWidth="1"/>
    <col min="6" max="6" width="47.453125" style="21" customWidth="1"/>
    <col min="7" max="8" width="0" style="27" hidden="1" customWidth="1"/>
    <col min="9" max="9" width="9" style="2" customWidth="1"/>
    <col min="10" max="10" width="10.54296875" style="2" customWidth="1"/>
    <col min="11" max="11" width="9" style="20" customWidth="1"/>
    <col min="12" max="12" width="11.453125" style="2" customWidth="1"/>
    <col min="13" max="13" width="13.08984375" style="2" customWidth="1"/>
    <col min="14" max="14" width="15.08984375" style="2" customWidth="1"/>
    <col min="15" max="15" width="10.08984375" style="2" customWidth="1"/>
    <col min="16" max="16" width="9" style="2" customWidth="1"/>
    <col min="17" max="17" width="14.81640625" style="2" customWidth="1"/>
    <col min="18" max="18" width="19.26953125" style="2" customWidth="1"/>
    <col min="19" max="19" width="16.26953125" style="2" customWidth="1"/>
    <col min="20" max="20" width="15.26953125" style="2" customWidth="1"/>
    <col min="21" max="21" width="22.6328125" style="21" customWidth="1"/>
    <col min="22" max="24" width="0" style="27" hidden="1" customWidth="1"/>
    <col min="25" max="25" width="9" style="11" customWidth="1"/>
    <col min="26" max="16384" width="9" style="27" hidden="1"/>
  </cols>
  <sheetData>
    <row r="1" spans="1:25" s="26" customFormat="1" ht="15.5" customHeight="1">
      <c r="A1" s="11"/>
      <c r="B1" s="29" t="s">
        <v>220</v>
      </c>
      <c r="C1" s="29" t="s">
        <v>221</v>
      </c>
      <c r="D1" s="29" t="s">
        <v>222</v>
      </c>
      <c r="E1" s="22" t="s">
        <v>6</v>
      </c>
      <c r="F1" s="23" t="s">
        <v>223</v>
      </c>
      <c r="G1" s="29" t="s">
        <v>224</v>
      </c>
      <c r="H1" s="29" t="s">
        <v>225</v>
      </c>
      <c r="I1" s="22" t="s">
        <v>226</v>
      </c>
      <c r="J1" s="22" t="s">
        <v>227</v>
      </c>
      <c r="K1" s="22" t="s">
        <v>228</v>
      </c>
      <c r="L1" s="22" t="s">
        <v>7</v>
      </c>
      <c r="M1" s="22" t="s">
        <v>8</v>
      </c>
      <c r="N1" s="22" t="s">
        <v>229</v>
      </c>
      <c r="O1" s="22" t="s">
        <v>230</v>
      </c>
      <c r="P1" s="22" t="s">
        <v>231</v>
      </c>
      <c r="Q1" s="22" t="s">
        <v>232</v>
      </c>
      <c r="R1" s="22" t="s">
        <v>233</v>
      </c>
      <c r="S1" s="22" t="s">
        <v>234</v>
      </c>
      <c r="T1" s="22" t="s">
        <v>235</v>
      </c>
      <c r="U1" s="23" t="s">
        <v>236</v>
      </c>
      <c r="V1" s="29" t="s">
        <v>237</v>
      </c>
      <c r="W1" s="29" t="s">
        <v>238</v>
      </c>
      <c r="X1" s="29" t="s">
        <v>239</v>
      </c>
      <c r="Y1" s="11"/>
    </row>
    <row r="2" spans="1:25" s="26" customFormat="1" hidden="1">
      <c r="A2" s="30"/>
      <c r="B2" s="107" t="s">
        <v>240</v>
      </c>
      <c r="C2" s="108" t="s">
        <v>241</v>
      </c>
      <c r="D2" s="31" t="s">
        <v>242</v>
      </c>
      <c r="E2" s="107" t="s">
        <v>242</v>
      </c>
      <c r="F2" s="110" t="s">
        <v>243</v>
      </c>
      <c r="G2" s="107" t="s">
        <v>244</v>
      </c>
      <c r="H2" s="108" t="s">
        <v>245</v>
      </c>
      <c r="I2" s="108" t="s">
        <v>246</v>
      </c>
      <c r="J2" s="107" t="s">
        <v>247</v>
      </c>
      <c r="K2" s="35" t="s">
        <v>248</v>
      </c>
      <c r="L2" s="107" t="s">
        <v>249</v>
      </c>
      <c r="M2" s="107" t="s">
        <v>250</v>
      </c>
      <c r="N2" s="12"/>
      <c r="O2" s="36">
        <v>42471</v>
      </c>
      <c r="P2" s="17" t="s">
        <v>251</v>
      </c>
      <c r="Q2" s="12" t="s">
        <v>252</v>
      </c>
      <c r="R2" s="17" t="s">
        <v>253</v>
      </c>
      <c r="S2" s="108" t="s">
        <v>254</v>
      </c>
      <c r="T2" s="107" t="s">
        <v>255</v>
      </c>
      <c r="U2" s="110" t="s">
        <v>256</v>
      </c>
      <c r="V2" s="108"/>
      <c r="W2" s="108"/>
      <c r="X2" s="108"/>
    </row>
    <row r="3" spans="1:25" s="26" customFormat="1" hidden="1">
      <c r="A3" s="33"/>
      <c r="B3" s="108"/>
      <c r="C3" s="108"/>
      <c r="D3" s="31" t="str">
        <f>D2</f>
        <v>在路上</v>
      </c>
      <c r="E3" s="108"/>
      <c r="F3" s="111"/>
      <c r="G3" s="108"/>
      <c r="H3" s="108"/>
      <c r="I3" s="108"/>
      <c r="J3" s="108"/>
      <c r="K3" s="37" t="str">
        <f>K2</f>
        <v>已关闭</v>
      </c>
      <c r="L3" s="108"/>
      <c r="M3" s="108"/>
      <c r="N3" s="17"/>
      <c r="O3" s="36">
        <v>42003</v>
      </c>
      <c r="P3" s="17" t="s">
        <v>257</v>
      </c>
      <c r="Q3" s="12" t="s">
        <v>258</v>
      </c>
      <c r="R3" s="17" t="s">
        <v>259</v>
      </c>
      <c r="S3" s="108"/>
      <c r="T3" s="108"/>
      <c r="U3" s="111"/>
      <c r="V3" s="108"/>
      <c r="W3" s="108"/>
      <c r="X3" s="108"/>
    </row>
    <row r="4" spans="1:25" s="26" customFormat="1" hidden="1">
      <c r="A4" s="33"/>
      <c r="B4" s="108"/>
      <c r="C4" s="108"/>
      <c r="D4" s="31" t="str">
        <f>D3</f>
        <v>在路上</v>
      </c>
      <c r="E4" s="108"/>
      <c r="F4" s="111"/>
      <c r="G4" s="108"/>
      <c r="H4" s="108"/>
      <c r="I4" s="108"/>
      <c r="J4" s="108"/>
      <c r="K4" s="37" t="str">
        <f t="shared" ref="K4:K5" si="0">K3</f>
        <v>已关闭</v>
      </c>
      <c r="L4" s="108"/>
      <c r="M4" s="108"/>
      <c r="N4" s="17"/>
      <c r="O4" s="36">
        <v>41365</v>
      </c>
      <c r="P4" s="17" t="s">
        <v>260</v>
      </c>
      <c r="Q4" s="12" t="s">
        <v>261</v>
      </c>
      <c r="R4" s="12" t="s">
        <v>240</v>
      </c>
      <c r="S4" s="108"/>
      <c r="T4" s="108"/>
      <c r="U4" s="111"/>
      <c r="V4" s="108"/>
      <c r="W4" s="108"/>
      <c r="X4" s="108"/>
    </row>
    <row r="5" spans="1:25" s="26" customFormat="1" hidden="1">
      <c r="A5" s="33"/>
      <c r="B5" s="108"/>
      <c r="C5" s="108"/>
      <c r="D5" s="31" t="str">
        <f>D4</f>
        <v>在路上</v>
      </c>
      <c r="E5" s="108"/>
      <c r="F5" s="111"/>
      <c r="G5" s="108"/>
      <c r="H5" s="108"/>
      <c r="I5" s="108"/>
      <c r="J5" s="108"/>
      <c r="K5" s="37" t="str">
        <f t="shared" si="0"/>
        <v>已关闭</v>
      </c>
      <c r="L5" s="108"/>
      <c r="M5" s="108"/>
      <c r="N5" s="17"/>
      <c r="O5" s="36">
        <v>41091</v>
      </c>
      <c r="P5" s="17" t="s">
        <v>262</v>
      </c>
      <c r="Q5" s="17" t="s">
        <v>263</v>
      </c>
      <c r="R5" s="12" t="s">
        <v>264</v>
      </c>
      <c r="S5" s="108"/>
      <c r="T5" s="108"/>
      <c r="U5" s="111"/>
      <c r="V5" s="108"/>
      <c r="W5" s="108"/>
      <c r="X5" s="108"/>
    </row>
    <row r="6" spans="1:25" s="26" customFormat="1" hidden="1">
      <c r="A6" s="33"/>
      <c r="B6" s="108"/>
      <c r="C6" s="108" t="s">
        <v>265</v>
      </c>
      <c r="D6" s="31" t="s">
        <v>266</v>
      </c>
      <c r="E6" s="107" t="s">
        <v>266</v>
      </c>
      <c r="F6" s="110" t="s">
        <v>267</v>
      </c>
      <c r="G6" s="107" t="s">
        <v>268</v>
      </c>
      <c r="H6" s="108" t="s">
        <v>269</v>
      </c>
      <c r="I6" s="108" t="s">
        <v>270</v>
      </c>
      <c r="J6" s="107" t="s">
        <v>271</v>
      </c>
      <c r="K6" s="31" t="s">
        <v>272</v>
      </c>
      <c r="L6" s="107" t="s">
        <v>273</v>
      </c>
      <c r="M6" s="107" t="s">
        <v>274</v>
      </c>
      <c r="N6" s="12">
        <v>1</v>
      </c>
      <c r="O6" s="36">
        <v>44724</v>
      </c>
      <c r="P6" s="12" t="s">
        <v>275</v>
      </c>
      <c r="Q6" s="12" t="s">
        <v>276</v>
      </c>
      <c r="R6" s="17" t="s">
        <v>253</v>
      </c>
      <c r="S6" s="108" t="s">
        <v>277</v>
      </c>
      <c r="T6" s="108" t="s">
        <v>278</v>
      </c>
      <c r="U6" s="110" t="s">
        <v>279</v>
      </c>
      <c r="V6" s="107" t="s">
        <v>280</v>
      </c>
      <c r="W6" s="108" t="s">
        <v>281</v>
      </c>
      <c r="X6" s="108" t="s">
        <v>282</v>
      </c>
    </row>
    <row r="7" spans="1:25" s="26" customFormat="1" hidden="1">
      <c r="A7" s="33"/>
      <c r="B7" s="108"/>
      <c r="C7" s="108"/>
      <c r="D7" s="31" t="str">
        <f t="shared" ref="D7:D27" si="1">D6</f>
        <v>滴滴出行</v>
      </c>
      <c r="E7" s="108"/>
      <c r="F7" s="111"/>
      <c r="G7" s="108"/>
      <c r="H7" s="108"/>
      <c r="I7" s="108"/>
      <c r="J7" s="108"/>
      <c r="K7" s="31" t="str">
        <f t="shared" ref="K7:K27" si="2">K6</f>
        <v>运营中</v>
      </c>
      <c r="L7" s="108"/>
      <c r="M7" s="108"/>
      <c r="N7" s="12">
        <v>1</v>
      </c>
      <c r="O7" s="36">
        <v>44377</v>
      </c>
      <c r="P7" s="17" t="s">
        <v>283</v>
      </c>
      <c r="Q7" s="17" t="s">
        <v>284</v>
      </c>
      <c r="R7" s="17" t="s">
        <v>253</v>
      </c>
      <c r="S7" s="108"/>
      <c r="T7" s="108"/>
      <c r="U7" s="111"/>
      <c r="V7" s="108"/>
      <c r="W7" s="108"/>
      <c r="X7" s="108"/>
    </row>
    <row r="8" spans="1:25" s="26" customFormat="1" hidden="1">
      <c r="A8" s="33"/>
      <c r="B8" s="108"/>
      <c r="C8" s="108"/>
      <c r="D8" s="31" t="str">
        <f t="shared" si="1"/>
        <v>滴滴出行</v>
      </c>
      <c r="E8" s="108"/>
      <c r="F8" s="111"/>
      <c r="G8" s="108"/>
      <c r="H8" s="108"/>
      <c r="I8" s="108"/>
      <c r="J8" s="108"/>
      <c r="K8" s="31" t="str">
        <f t="shared" si="2"/>
        <v>运营中</v>
      </c>
      <c r="L8" s="108"/>
      <c r="M8" s="108"/>
      <c r="N8" s="12">
        <v>1</v>
      </c>
      <c r="O8" s="36">
        <v>43671</v>
      </c>
      <c r="P8" s="12" t="s">
        <v>285</v>
      </c>
      <c r="Q8" s="17" t="s">
        <v>286</v>
      </c>
      <c r="R8" s="12" t="s">
        <v>287</v>
      </c>
      <c r="S8" s="108"/>
      <c r="T8" s="108"/>
      <c r="U8" s="111"/>
      <c r="V8" s="108"/>
      <c r="W8" s="108"/>
      <c r="X8" s="108"/>
    </row>
    <row r="9" spans="1:25" s="26" customFormat="1" hidden="1">
      <c r="A9" s="33"/>
      <c r="B9" s="108"/>
      <c r="C9" s="108"/>
      <c r="D9" s="31" t="str">
        <f t="shared" si="1"/>
        <v>滴滴出行</v>
      </c>
      <c r="E9" s="108"/>
      <c r="F9" s="111"/>
      <c r="G9" s="108"/>
      <c r="H9" s="108"/>
      <c r="I9" s="108"/>
      <c r="J9" s="108"/>
      <c r="K9" s="31" t="str">
        <f t="shared" si="2"/>
        <v>运营中</v>
      </c>
      <c r="L9" s="108"/>
      <c r="M9" s="108"/>
      <c r="N9" s="12">
        <v>1</v>
      </c>
      <c r="O9" s="36">
        <v>43298</v>
      </c>
      <c r="P9" s="12" t="s">
        <v>285</v>
      </c>
      <c r="Q9" s="17" t="s">
        <v>288</v>
      </c>
      <c r="R9" s="17" t="s">
        <v>289</v>
      </c>
      <c r="S9" s="108"/>
      <c r="T9" s="108"/>
      <c r="U9" s="111"/>
      <c r="V9" s="108"/>
      <c r="W9" s="108"/>
      <c r="X9" s="108"/>
    </row>
    <row r="10" spans="1:25" s="26" customFormat="1" hidden="1">
      <c r="A10" s="33"/>
      <c r="B10" s="108"/>
      <c r="C10" s="108"/>
      <c r="D10" s="31" t="str">
        <f t="shared" si="1"/>
        <v>滴滴出行</v>
      </c>
      <c r="E10" s="108"/>
      <c r="F10" s="111"/>
      <c r="G10" s="108"/>
      <c r="H10" s="108"/>
      <c r="I10" s="108"/>
      <c r="J10" s="108"/>
      <c r="K10" s="31" t="str">
        <f t="shared" si="2"/>
        <v>运营中</v>
      </c>
      <c r="L10" s="108"/>
      <c r="M10" s="108"/>
      <c r="N10" s="12">
        <v>1</v>
      </c>
      <c r="O10" s="36">
        <v>43195</v>
      </c>
      <c r="P10" s="12" t="s">
        <v>285</v>
      </c>
      <c r="Q10" s="17" t="s">
        <v>290</v>
      </c>
      <c r="R10" s="12" t="s">
        <v>291</v>
      </c>
      <c r="S10" s="108"/>
      <c r="T10" s="108"/>
      <c r="U10" s="111"/>
      <c r="V10" s="108"/>
      <c r="W10" s="108"/>
      <c r="X10" s="108"/>
    </row>
    <row r="11" spans="1:25" s="26" customFormat="1" hidden="1">
      <c r="A11" s="33"/>
      <c r="B11" s="108"/>
      <c r="C11" s="108"/>
      <c r="D11" s="31" t="str">
        <f t="shared" si="1"/>
        <v>滴滴出行</v>
      </c>
      <c r="E11" s="108"/>
      <c r="F11" s="111"/>
      <c r="G11" s="108"/>
      <c r="H11" s="108"/>
      <c r="I11" s="108"/>
      <c r="J11" s="108"/>
      <c r="K11" s="31" t="str">
        <f t="shared" si="2"/>
        <v>运营中</v>
      </c>
      <c r="L11" s="108"/>
      <c r="M11" s="108"/>
      <c r="N11" s="12">
        <v>1</v>
      </c>
      <c r="O11" s="36">
        <v>43090</v>
      </c>
      <c r="P11" s="12" t="s">
        <v>285</v>
      </c>
      <c r="Q11" s="17" t="s">
        <v>292</v>
      </c>
      <c r="R11" s="12" t="s">
        <v>293</v>
      </c>
      <c r="S11" s="108"/>
      <c r="T11" s="108"/>
      <c r="U11" s="111"/>
      <c r="V11" s="108"/>
      <c r="W11" s="108"/>
      <c r="X11" s="108"/>
    </row>
    <row r="12" spans="1:25" s="26" customFormat="1" hidden="1">
      <c r="A12" s="33"/>
      <c r="B12" s="108"/>
      <c r="C12" s="108"/>
      <c r="D12" s="31" t="str">
        <f t="shared" si="1"/>
        <v>滴滴出行</v>
      </c>
      <c r="E12" s="108"/>
      <c r="F12" s="111"/>
      <c r="G12" s="108"/>
      <c r="H12" s="108"/>
      <c r="I12" s="108"/>
      <c r="J12" s="108"/>
      <c r="K12" s="31" t="str">
        <f t="shared" si="2"/>
        <v>运营中</v>
      </c>
      <c r="L12" s="108"/>
      <c r="M12" s="108"/>
      <c r="N12" s="12">
        <v>1</v>
      </c>
      <c r="O12" s="36">
        <v>42853</v>
      </c>
      <c r="P12" s="12" t="s">
        <v>285</v>
      </c>
      <c r="Q12" s="17" t="s">
        <v>294</v>
      </c>
      <c r="R12" s="12" t="s">
        <v>295</v>
      </c>
      <c r="S12" s="108"/>
      <c r="T12" s="108"/>
      <c r="U12" s="111"/>
      <c r="V12" s="108"/>
      <c r="W12" s="108"/>
      <c r="X12" s="108"/>
    </row>
    <row r="13" spans="1:25" s="26" customFormat="1" hidden="1">
      <c r="A13" s="33"/>
      <c r="B13" s="108"/>
      <c r="C13" s="108"/>
      <c r="D13" s="31" t="str">
        <f t="shared" si="1"/>
        <v>滴滴出行</v>
      </c>
      <c r="E13" s="108"/>
      <c r="F13" s="111"/>
      <c r="G13" s="108"/>
      <c r="H13" s="108"/>
      <c r="I13" s="108"/>
      <c r="J13" s="108"/>
      <c r="K13" s="31" t="str">
        <f t="shared" si="2"/>
        <v>运营中</v>
      </c>
      <c r="L13" s="108"/>
      <c r="M13" s="108"/>
      <c r="N13" s="12">
        <v>1</v>
      </c>
      <c r="O13" s="36">
        <v>42717</v>
      </c>
      <c r="P13" s="12" t="s">
        <v>285</v>
      </c>
      <c r="Q13" s="12" t="s">
        <v>258</v>
      </c>
      <c r="R13" s="12" t="s">
        <v>296</v>
      </c>
      <c r="S13" s="108"/>
      <c r="T13" s="108"/>
      <c r="U13" s="111"/>
      <c r="V13" s="108"/>
      <c r="W13" s="108"/>
      <c r="X13" s="108"/>
    </row>
    <row r="14" spans="1:25" s="26" customFormat="1" hidden="1">
      <c r="A14" s="33"/>
      <c r="B14" s="108"/>
      <c r="C14" s="108"/>
      <c r="D14" s="31" t="str">
        <f t="shared" si="1"/>
        <v>滴滴出行</v>
      </c>
      <c r="E14" s="108"/>
      <c r="F14" s="111"/>
      <c r="G14" s="108"/>
      <c r="H14" s="108"/>
      <c r="I14" s="108"/>
      <c r="J14" s="108"/>
      <c r="K14" s="31" t="str">
        <f t="shared" si="2"/>
        <v>运营中</v>
      </c>
      <c r="L14" s="108"/>
      <c r="M14" s="108"/>
      <c r="N14" s="12">
        <v>1</v>
      </c>
      <c r="O14" s="36">
        <v>42622</v>
      </c>
      <c r="P14" s="12" t="s">
        <v>285</v>
      </c>
      <c r="Q14" s="17" t="s">
        <v>297</v>
      </c>
      <c r="R14" s="12" t="s">
        <v>298</v>
      </c>
      <c r="S14" s="108"/>
      <c r="T14" s="108"/>
      <c r="U14" s="111"/>
      <c r="V14" s="108"/>
      <c r="W14" s="108"/>
      <c r="X14" s="108"/>
    </row>
    <row r="15" spans="1:25" s="26" customFormat="1" hidden="1">
      <c r="A15" s="33"/>
      <c r="B15" s="108"/>
      <c r="C15" s="108"/>
      <c r="D15" s="31" t="str">
        <f t="shared" si="1"/>
        <v>滴滴出行</v>
      </c>
      <c r="E15" s="108"/>
      <c r="F15" s="111"/>
      <c r="G15" s="108"/>
      <c r="H15" s="108"/>
      <c r="I15" s="108"/>
      <c r="J15" s="108"/>
      <c r="K15" s="31" t="str">
        <f t="shared" si="2"/>
        <v>运营中</v>
      </c>
      <c r="L15" s="108"/>
      <c r="M15" s="108"/>
      <c r="N15" s="12">
        <v>1</v>
      </c>
      <c r="O15" s="36">
        <v>42598</v>
      </c>
      <c r="P15" s="12" t="s">
        <v>285</v>
      </c>
      <c r="Q15" s="12" t="s">
        <v>299</v>
      </c>
      <c r="R15" s="12" t="s">
        <v>300</v>
      </c>
      <c r="S15" s="108"/>
      <c r="T15" s="108"/>
      <c r="U15" s="111"/>
      <c r="V15" s="108"/>
      <c r="W15" s="108"/>
      <c r="X15" s="108"/>
    </row>
    <row r="16" spans="1:25" s="26" customFormat="1" hidden="1">
      <c r="A16" s="33"/>
      <c r="B16" s="108"/>
      <c r="C16" s="108"/>
      <c r="D16" s="31" t="str">
        <f t="shared" si="1"/>
        <v>滴滴出行</v>
      </c>
      <c r="E16" s="108"/>
      <c r="F16" s="111"/>
      <c r="G16" s="108"/>
      <c r="H16" s="108"/>
      <c r="I16" s="108"/>
      <c r="J16" s="108"/>
      <c r="K16" s="31" t="str">
        <f t="shared" si="2"/>
        <v>运营中</v>
      </c>
      <c r="L16" s="108"/>
      <c r="M16" s="108"/>
      <c r="N16" s="12">
        <v>1</v>
      </c>
      <c r="O16" s="36">
        <v>42543</v>
      </c>
      <c r="P16" s="12" t="s">
        <v>285</v>
      </c>
      <c r="Q16" s="17" t="s">
        <v>301</v>
      </c>
      <c r="R16" s="12" t="s">
        <v>302</v>
      </c>
      <c r="S16" s="108"/>
      <c r="T16" s="108"/>
      <c r="U16" s="111"/>
      <c r="V16" s="108"/>
      <c r="W16" s="108"/>
      <c r="X16" s="108"/>
    </row>
    <row r="17" spans="1:24" s="26" customFormat="1" hidden="1">
      <c r="A17" s="33"/>
      <c r="B17" s="108"/>
      <c r="C17" s="108"/>
      <c r="D17" s="31" t="str">
        <f t="shared" si="1"/>
        <v>滴滴出行</v>
      </c>
      <c r="E17" s="108"/>
      <c r="F17" s="111"/>
      <c r="G17" s="108"/>
      <c r="H17" s="108"/>
      <c r="I17" s="108"/>
      <c r="J17" s="108"/>
      <c r="K17" s="31" t="str">
        <f t="shared" si="2"/>
        <v>运营中</v>
      </c>
      <c r="L17" s="108"/>
      <c r="M17" s="108"/>
      <c r="N17" s="12">
        <v>1</v>
      </c>
      <c r="O17" s="36">
        <v>42537</v>
      </c>
      <c r="P17" s="17" t="s">
        <v>303</v>
      </c>
      <c r="Q17" s="17" t="s">
        <v>304</v>
      </c>
      <c r="R17" s="12" t="s">
        <v>305</v>
      </c>
      <c r="S17" s="108"/>
      <c r="T17" s="108"/>
      <c r="U17" s="111"/>
      <c r="V17" s="108"/>
      <c r="W17" s="108"/>
      <c r="X17" s="108"/>
    </row>
    <row r="18" spans="1:24" s="26" customFormat="1" hidden="1">
      <c r="A18" s="33"/>
      <c r="B18" s="108"/>
      <c r="C18" s="108"/>
      <c r="D18" s="31" t="str">
        <f t="shared" si="1"/>
        <v>滴滴出行</v>
      </c>
      <c r="E18" s="108"/>
      <c r="F18" s="111"/>
      <c r="G18" s="108"/>
      <c r="H18" s="108"/>
      <c r="I18" s="108"/>
      <c r="J18" s="108"/>
      <c r="K18" s="31" t="str">
        <f t="shared" si="2"/>
        <v>运营中</v>
      </c>
      <c r="L18" s="108"/>
      <c r="M18" s="108"/>
      <c r="N18" s="12">
        <v>1</v>
      </c>
      <c r="O18" s="36">
        <v>42424</v>
      </c>
      <c r="P18" s="17" t="s">
        <v>303</v>
      </c>
      <c r="Q18" s="17" t="s">
        <v>306</v>
      </c>
      <c r="R18" s="12" t="s">
        <v>307</v>
      </c>
      <c r="S18" s="108"/>
      <c r="T18" s="108"/>
      <c r="U18" s="111"/>
      <c r="V18" s="108"/>
      <c r="W18" s="108"/>
      <c r="X18" s="108"/>
    </row>
    <row r="19" spans="1:24" s="26" customFormat="1" hidden="1">
      <c r="A19" s="33"/>
      <c r="B19" s="108"/>
      <c r="C19" s="108"/>
      <c r="D19" s="31" t="str">
        <f t="shared" si="1"/>
        <v>滴滴出行</v>
      </c>
      <c r="E19" s="108"/>
      <c r="F19" s="111"/>
      <c r="G19" s="108"/>
      <c r="H19" s="108"/>
      <c r="I19" s="108"/>
      <c r="J19" s="108"/>
      <c r="K19" s="31" t="str">
        <f t="shared" si="2"/>
        <v>运营中</v>
      </c>
      <c r="L19" s="108"/>
      <c r="M19" s="108"/>
      <c r="N19" s="12">
        <v>1</v>
      </c>
      <c r="O19" s="36">
        <v>42193</v>
      </c>
      <c r="P19" s="17" t="s">
        <v>303</v>
      </c>
      <c r="Q19" s="17" t="s">
        <v>308</v>
      </c>
      <c r="R19" s="12" t="s">
        <v>309</v>
      </c>
      <c r="S19" s="108"/>
      <c r="T19" s="108"/>
      <c r="U19" s="111"/>
      <c r="V19" s="108"/>
      <c r="W19" s="108"/>
      <c r="X19" s="108"/>
    </row>
    <row r="20" spans="1:24" s="26" customFormat="1" hidden="1">
      <c r="A20" s="33"/>
      <c r="B20" s="108"/>
      <c r="C20" s="108"/>
      <c r="D20" s="31" t="str">
        <f t="shared" si="1"/>
        <v>滴滴出行</v>
      </c>
      <c r="E20" s="108"/>
      <c r="F20" s="111"/>
      <c r="G20" s="108"/>
      <c r="H20" s="108"/>
      <c r="I20" s="108"/>
      <c r="J20" s="108"/>
      <c r="K20" s="31" t="str">
        <f t="shared" si="2"/>
        <v>运营中</v>
      </c>
      <c r="L20" s="108"/>
      <c r="M20" s="108"/>
      <c r="N20" s="12">
        <v>1</v>
      </c>
      <c r="O20" s="36">
        <v>42151</v>
      </c>
      <c r="P20" s="17" t="s">
        <v>310</v>
      </c>
      <c r="Q20" s="17" t="s">
        <v>311</v>
      </c>
      <c r="R20" s="12" t="s">
        <v>312</v>
      </c>
      <c r="S20" s="108"/>
      <c r="T20" s="108"/>
      <c r="U20" s="111"/>
      <c r="V20" s="108"/>
      <c r="W20" s="108"/>
      <c r="X20" s="108"/>
    </row>
    <row r="21" spans="1:24" s="26" customFormat="1" hidden="1">
      <c r="A21" s="33"/>
      <c r="B21" s="108"/>
      <c r="C21" s="108"/>
      <c r="D21" s="31" t="str">
        <f t="shared" si="1"/>
        <v>滴滴出行</v>
      </c>
      <c r="E21" s="108"/>
      <c r="F21" s="111"/>
      <c r="G21" s="108"/>
      <c r="H21" s="108"/>
      <c r="I21" s="108"/>
      <c r="J21" s="108"/>
      <c r="K21" s="31" t="str">
        <f t="shared" si="2"/>
        <v>运营中</v>
      </c>
      <c r="L21" s="108"/>
      <c r="M21" s="108"/>
      <c r="N21" s="12">
        <v>1</v>
      </c>
      <c r="O21" s="36">
        <v>42049</v>
      </c>
      <c r="P21" s="12" t="s">
        <v>313</v>
      </c>
      <c r="Q21" s="12" t="s">
        <v>252</v>
      </c>
      <c r="R21" s="12" t="s">
        <v>314</v>
      </c>
      <c r="S21" s="108"/>
      <c r="T21" s="108"/>
      <c r="U21" s="111"/>
      <c r="V21" s="108"/>
      <c r="W21" s="108"/>
      <c r="X21" s="108"/>
    </row>
    <row r="22" spans="1:24" s="26" customFormat="1" hidden="1">
      <c r="A22" s="33"/>
      <c r="B22" s="108"/>
      <c r="C22" s="108"/>
      <c r="D22" s="31" t="str">
        <f t="shared" si="1"/>
        <v>滴滴出行</v>
      </c>
      <c r="E22" s="108"/>
      <c r="F22" s="111"/>
      <c r="G22" s="108"/>
      <c r="H22" s="108"/>
      <c r="I22" s="108"/>
      <c r="J22" s="108"/>
      <c r="K22" s="31" t="str">
        <f t="shared" si="2"/>
        <v>运营中</v>
      </c>
      <c r="L22" s="108"/>
      <c r="M22" s="108"/>
      <c r="N22" s="12">
        <v>1</v>
      </c>
      <c r="O22" s="36">
        <v>42005</v>
      </c>
      <c r="P22" s="17" t="s">
        <v>315</v>
      </c>
      <c r="Q22" s="12" t="s">
        <v>276</v>
      </c>
      <c r="R22" s="12" t="s">
        <v>316</v>
      </c>
      <c r="S22" s="108"/>
      <c r="T22" s="108"/>
      <c r="U22" s="111"/>
      <c r="V22" s="108"/>
      <c r="W22" s="108"/>
      <c r="X22" s="108"/>
    </row>
    <row r="23" spans="1:24" s="26" customFormat="1" hidden="1">
      <c r="A23" s="33"/>
      <c r="B23" s="108"/>
      <c r="C23" s="108"/>
      <c r="D23" s="31" t="str">
        <f t="shared" si="1"/>
        <v>滴滴出行</v>
      </c>
      <c r="E23" s="108"/>
      <c r="F23" s="111"/>
      <c r="G23" s="108"/>
      <c r="H23" s="108"/>
      <c r="I23" s="108"/>
      <c r="J23" s="108"/>
      <c r="K23" s="31" t="str">
        <f t="shared" si="2"/>
        <v>运营中</v>
      </c>
      <c r="L23" s="108"/>
      <c r="M23" s="108"/>
      <c r="N23" s="12">
        <v>1</v>
      </c>
      <c r="O23" s="36">
        <v>41982</v>
      </c>
      <c r="P23" s="17" t="s">
        <v>317</v>
      </c>
      <c r="Q23" s="17" t="s">
        <v>318</v>
      </c>
      <c r="R23" s="12" t="s">
        <v>319</v>
      </c>
      <c r="S23" s="108"/>
      <c r="T23" s="108"/>
      <c r="U23" s="111"/>
      <c r="V23" s="108"/>
      <c r="W23" s="108"/>
      <c r="X23" s="108"/>
    </row>
    <row r="24" spans="1:24" s="26" customFormat="1" hidden="1">
      <c r="A24" s="33"/>
      <c r="B24" s="108"/>
      <c r="C24" s="108"/>
      <c r="D24" s="31" t="str">
        <f t="shared" si="1"/>
        <v>滴滴出行</v>
      </c>
      <c r="E24" s="108"/>
      <c r="F24" s="111"/>
      <c r="G24" s="108"/>
      <c r="H24" s="108"/>
      <c r="I24" s="108"/>
      <c r="J24" s="108"/>
      <c r="K24" s="31" t="str">
        <f t="shared" si="2"/>
        <v>运营中</v>
      </c>
      <c r="L24" s="108"/>
      <c r="M24" s="108"/>
      <c r="N24" s="12">
        <v>1</v>
      </c>
      <c r="O24" s="36">
        <v>41640</v>
      </c>
      <c r="P24" s="17" t="s">
        <v>251</v>
      </c>
      <c r="Q24" s="17" t="s">
        <v>320</v>
      </c>
      <c r="R24" s="12" t="s">
        <v>321</v>
      </c>
      <c r="S24" s="108"/>
      <c r="T24" s="108"/>
      <c r="U24" s="111"/>
      <c r="V24" s="108"/>
      <c r="W24" s="108"/>
      <c r="X24" s="108"/>
    </row>
    <row r="25" spans="1:24" s="26" customFormat="1" hidden="1">
      <c r="A25" s="33"/>
      <c r="B25" s="108"/>
      <c r="C25" s="108"/>
      <c r="D25" s="31" t="str">
        <f t="shared" si="1"/>
        <v>滴滴出行</v>
      </c>
      <c r="E25" s="108"/>
      <c r="F25" s="111"/>
      <c r="G25" s="108"/>
      <c r="H25" s="108"/>
      <c r="I25" s="108"/>
      <c r="J25" s="108"/>
      <c r="K25" s="31" t="str">
        <f t="shared" si="2"/>
        <v>运营中</v>
      </c>
      <c r="L25" s="108"/>
      <c r="M25" s="108"/>
      <c r="N25" s="12">
        <v>1</v>
      </c>
      <c r="O25" s="36">
        <v>41365</v>
      </c>
      <c r="P25" s="17" t="s">
        <v>257</v>
      </c>
      <c r="Q25" s="17" t="s">
        <v>322</v>
      </c>
      <c r="R25" s="12" t="s">
        <v>323</v>
      </c>
      <c r="S25" s="108"/>
      <c r="T25" s="108"/>
      <c r="U25" s="111"/>
      <c r="V25" s="108"/>
      <c r="W25" s="108"/>
      <c r="X25" s="108"/>
    </row>
    <row r="26" spans="1:24" s="26" customFormat="1" hidden="1">
      <c r="A26" s="33"/>
      <c r="B26" s="108"/>
      <c r="C26" s="108"/>
      <c r="D26" s="31" t="str">
        <f t="shared" si="1"/>
        <v>滴滴出行</v>
      </c>
      <c r="E26" s="108"/>
      <c r="F26" s="111"/>
      <c r="G26" s="108"/>
      <c r="H26" s="108"/>
      <c r="I26" s="108"/>
      <c r="J26" s="108"/>
      <c r="K26" s="31" t="str">
        <f t="shared" si="2"/>
        <v>运营中</v>
      </c>
      <c r="L26" s="108"/>
      <c r="M26" s="108"/>
      <c r="N26" s="12">
        <v>1</v>
      </c>
      <c r="O26" s="36">
        <v>41153</v>
      </c>
      <c r="P26" s="17" t="s">
        <v>262</v>
      </c>
      <c r="Q26" s="17" t="s">
        <v>324</v>
      </c>
      <c r="R26" s="12" t="s">
        <v>325</v>
      </c>
      <c r="S26" s="108"/>
      <c r="T26" s="108"/>
      <c r="U26" s="111"/>
      <c r="V26" s="108"/>
      <c r="W26" s="108"/>
      <c r="X26" s="108"/>
    </row>
    <row r="27" spans="1:24" s="26" customFormat="1" hidden="1">
      <c r="A27" s="33"/>
      <c r="B27" s="108"/>
      <c r="C27" s="108"/>
      <c r="D27" s="31" t="str">
        <f t="shared" si="1"/>
        <v>滴滴出行</v>
      </c>
      <c r="E27" s="108"/>
      <c r="F27" s="111"/>
      <c r="G27" s="108"/>
      <c r="H27" s="108"/>
      <c r="I27" s="108"/>
      <c r="J27" s="108"/>
      <c r="K27" s="31" t="str">
        <f t="shared" si="2"/>
        <v>运营中</v>
      </c>
      <c r="L27" s="108"/>
      <c r="M27" s="108"/>
      <c r="N27" s="12">
        <v>1</v>
      </c>
      <c r="O27" s="36">
        <v>41091</v>
      </c>
      <c r="P27" s="12" t="s">
        <v>326</v>
      </c>
      <c r="Q27" s="12" t="s">
        <v>327</v>
      </c>
      <c r="R27" s="12" t="s">
        <v>328</v>
      </c>
      <c r="S27" s="108"/>
      <c r="T27" s="108"/>
      <c r="U27" s="111"/>
      <c r="V27" s="108"/>
      <c r="W27" s="108"/>
      <c r="X27" s="108"/>
    </row>
    <row r="28" spans="1:24" s="26" customFormat="1" hidden="1">
      <c r="A28" s="33"/>
      <c r="B28" s="108"/>
      <c r="C28" s="108" t="s">
        <v>329</v>
      </c>
      <c r="D28" s="31" t="s">
        <v>330</v>
      </c>
      <c r="E28" s="107" t="s">
        <v>330</v>
      </c>
      <c r="F28" s="110" t="s">
        <v>331</v>
      </c>
      <c r="G28" s="107" t="s">
        <v>332</v>
      </c>
      <c r="H28" s="108" t="s">
        <v>333</v>
      </c>
      <c r="I28" s="108" t="s">
        <v>334</v>
      </c>
      <c r="J28" s="107" t="s">
        <v>271</v>
      </c>
      <c r="K28" s="31" t="s">
        <v>272</v>
      </c>
      <c r="L28" s="107" t="s">
        <v>335</v>
      </c>
      <c r="M28" s="107" t="s">
        <v>336</v>
      </c>
      <c r="N28" s="12"/>
      <c r="O28" s="36">
        <v>41365</v>
      </c>
      <c r="P28" s="17" t="s">
        <v>257</v>
      </c>
      <c r="Q28" s="17" t="s">
        <v>337</v>
      </c>
      <c r="R28" s="12" t="s">
        <v>240</v>
      </c>
      <c r="S28" s="108" t="s">
        <v>338</v>
      </c>
      <c r="T28" s="108" t="s">
        <v>339</v>
      </c>
      <c r="U28" s="110" t="s">
        <v>340</v>
      </c>
      <c r="V28" s="108"/>
      <c r="W28" s="108"/>
      <c r="X28" s="108"/>
    </row>
    <row r="29" spans="1:24" s="26" customFormat="1" hidden="1">
      <c r="A29" s="33"/>
      <c r="B29" s="108"/>
      <c r="C29" s="108"/>
      <c r="D29" s="31" t="str">
        <f>D28</f>
        <v>卓大师</v>
      </c>
      <c r="E29" s="108"/>
      <c r="F29" s="111"/>
      <c r="G29" s="108"/>
      <c r="H29" s="108"/>
      <c r="I29" s="108"/>
      <c r="J29" s="108"/>
      <c r="K29" s="31" t="str">
        <f t="shared" ref="K29:K30" si="3">K28</f>
        <v>运营中</v>
      </c>
      <c r="L29" s="108"/>
      <c r="M29" s="108"/>
      <c r="N29" s="17"/>
      <c r="O29" s="36">
        <v>41214</v>
      </c>
      <c r="P29" s="12" t="s">
        <v>285</v>
      </c>
      <c r="Q29" s="12" t="s">
        <v>341</v>
      </c>
      <c r="R29" s="12" t="s">
        <v>342</v>
      </c>
      <c r="S29" s="108"/>
      <c r="T29" s="108"/>
      <c r="U29" s="111"/>
      <c r="V29" s="108"/>
      <c r="W29" s="108"/>
      <c r="X29" s="108"/>
    </row>
    <row r="30" spans="1:24" s="26" customFormat="1" hidden="1">
      <c r="A30" s="33"/>
      <c r="B30" s="108"/>
      <c r="C30" s="108"/>
      <c r="D30" s="31" t="str">
        <f>D29</f>
        <v>卓大师</v>
      </c>
      <c r="E30" s="108"/>
      <c r="F30" s="111"/>
      <c r="G30" s="108"/>
      <c r="H30" s="108"/>
      <c r="I30" s="108"/>
      <c r="J30" s="108"/>
      <c r="K30" s="31" t="str">
        <f t="shared" si="3"/>
        <v>运营中</v>
      </c>
      <c r="L30" s="108"/>
      <c r="M30" s="108"/>
      <c r="N30" s="17"/>
      <c r="O30" s="36">
        <v>40817</v>
      </c>
      <c r="P30" s="17" t="s">
        <v>262</v>
      </c>
      <c r="Q30" s="12" t="s">
        <v>327</v>
      </c>
      <c r="R30" s="12" t="s">
        <v>343</v>
      </c>
      <c r="S30" s="108"/>
      <c r="T30" s="108"/>
      <c r="U30" s="111"/>
      <c r="V30" s="108"/>
      <c r="W30" s="108"/>
      <c r="X30" s="108"/>
    </row>
    <row r="31" spans="1:24" s="26" customFormat="1" hidden="1">
      <c r="A31" s="33"/>
      <c r="B31" s="108"/>
      <c r="C31" s="108" t="s">
        <v>344</v>
      </c>
      <c r="D31" s="31" t="s">
        <v>345</v>
      </c>
      <c r="E31" s="107" t="s">
        <v>345</v>
      </c>
      <c r="F31" s="110" t="s">
        <v>346</v>
      </c>
      <c r="G31" s="107" t="s">
        <v>347</v>
      </c>
      <c r="H31" s="108" t="s">
        <v>348</v>
      </c>
      <c r="I31" s="108" t="s">
        <v>270</v>
      </c>
      <c r="J31" s="107" t="s">
        <v>349</v>
      </c>
      <c r="K31" s="31" t="s">
        <v>272</v>
      </c>
      <c r="L31" s="107" t="s">
        <v>350</v>
      </c>
      <c r="M31" s="107" t="s">
        <v>351</v>
      </c>
      <c r="N31" s="12"/>
      <c r="O31" s="36">
        <v>43283</v>
      </c>
      <c r="P31" s="17" t="s">
        <v>251</v>
      </c>
      <c r="Q31" s="17" t="s">
        <v>352</v>
      </c>
      <c r="R31" s="12" t="s">
        <v>240</v>
      </c>
      <c r="S31" s="108" t="s">
        <v>353</v>
      </c>
      <c r="T31" s="108" t="s">
        <v>354</v>
      </c>
      <c r="U31" s="110" t="s">
        <v>355</v>
      </c>
      <c r="V31" s="107" t="s">
        <v>356</v>
      </c>
      <c r="W31" s="108" t="s">
        <v>357</v>
      </c>
      <c r="X31" s="108" t="s">
        <v>358</v>
      </c>
    </row>
    <row r="32" spans="1:24" s="26" customFormat="1" hidden="1">
      <c r="A32" s="33"/>
      <c r="B32" s="108"/>
      <c r="C32" s="108"/>
      <c r="D32" s="31" t="str">
        <f t="shared" ref="D32:D37" si="4">D31</f>
        <v>好食期</v>
      </c>
      <c r="E32" s="108"/>
      <c r="F32" s="111"/>
      <c r="G32" s="108"/>
      <c r="H32" s="108"/>
      <c r="I32" s="108"/>
      <c r="J32" s="108"/>
      <c r="K32" s="31" t="str">
        <f t="shared" ref="K32:K37" si="5">K31</f>
        <v>运营中</v>
      </c>
      <c r="L32" s="108"/>
      <c r="M32" s="108"/>
      <c r="N32" s="12"/>
      <c r="O32" s="36">
        <v>43273</v>
      </c>
      <c r="P32" s="12" t="s">
        <v>275</v>
      </c>
      <c r="Q32" s="12" t="s">
        <v>252</v>
      </c>
      <c r="R32" s="17" t="s">
        <v>253</v>
      </c>
      <c r="S32" s="108"/>
      <c r="T32" s="108"/>
      <c r="U32" s="111"/>
      <c r="V32" s="108"/>
      <c r="W32" s="108"/>
      <c r="X32" s="108"/>
    </row>
    <row r="33" spans="1:24" s="26" customFormat="1" hidden="1">
      <c r="A33" s="33"/>
      <c r="B33" s="108"/>
      <c r="C33" s="108"/>
      <c r="D33" s="31" t="str">
        <f t="shared" si="4"/>
        <v>好食期</v>
      </c>
      <c r="E33" s="108"/>
      <c r="F33" s="111"/>
      <c r="G33" s="108"/>
      <c r="H33" s="108"/>
      <c r="I33" s="108"/>
      <c r="J33" s="108"/>
      <c r="K33" s="31" t="str">
        <f t="shared" si="5"/>
        <v>运营中</v>
      </c>
      <c r="L33" s="108"/>
      <c r="M33" s="108"/>
      <c r="N33" s="12"/>
      <c r="O33" s="36">
        <v>42793</v>
      </c>
      <c r="P33" s="12" t="s">
        <v>359</v>
      </c>
      <c r="Q33" s="17" t="s">
        <v>360</v>
      </c>
      <c r="R33" s="12" t="s">
        <v>361</v>
      </c>
      <c r="S33" s="108"/>
      <c r="T33" s="108"/>
      <c r="U33" s="111"/>
      <c r="V33" s="108"/>
      <c r="W33" s="108"/>
      <c r="X33" s="108"/>
    </row>
    <row r="34" spans="1:24" s="26" customFormat="1" hidden="1">
      <c r="A34" s="33"/>
      <c r="B34" s="108"/>
      <c r="C34" s="108"/>
      <c r="D34" s="31" t="str">
        <f t="shared" si="4"/>
        <v>好食期</v>
      </c>
      <c r="E34" s="108"/>
      <c r="F34" s="111"/>
      <c r="G34" s="108"/>
      <c r="H34" s="108"/>
      <c r="I34" s="108"/>
      <c r="J34" s="108"/>
      <c r="K34" s="31" t="str">
        <f t="shared" si="5"/>
        <v>运营中</v>
      </c>
      <c r="L34" s="108"/>
      <c r="M34" s="108"/>
      <c r="N34" s="12"/>
      <c r="O34" s="36">
        <v>42326</v>
      </c>
      <c r="P34" s="12" t="s">
        <v>362</v>
      </c>
      <c r="Q34" s="12" t="s">
        <v>252</v>
      </c>
      <c r="R34" s="17" t="s">
        <v>253</v>
      </c>
      <c r="S34" s="108"/>
      <c r="T34" s="108"/>
      <c r="U34" s="111"/>
      <c r="V34" s="108"/>
      <c r="W34" s="108"/>
      <c r="X34" s="108"/>
    </row>
    <row r="35" spans="1:24" s="26" customFormat="1" hidden="1">
      <c r="A35" s="33"/>
      <c r="B35" s="108"/>
      <c r="C35" s="108"/>
      <c r="D35" s="31" t="str">
        <f t="shared" si="4"/>
        <v>好食期</v>
      </c>
      <c r="E35" s="108"/>
      <c r="F35" s="111"/>
      <c r="G35" s="108"/>
      <c r="H35" s="108"/>
      <c r="I35" s="108"/>
      <c r="J35" s="108"/>
      <c r="K35" s="31" t="str">
        <f t="shared" si="5"/>
        <v>运营中</v>
      </c>
      <c r="L35" s="108"/>
      <c r="M35" s="108"/>
      <c r="N35" s="12"/>
      <c r="O35" s="36">
        <v>42116</v>
      </c>
      <c r="P35" s="17" t="s">
        <v>257</v>
      </c>
      <c r="Q35" s="12" t="s">
        <v>341</v>
      </c>
      <c r="R35" s="12" t="s">
        <v>240</v>
      </c>
      <c r="S35" s="108"/>
      <c r="T35" s="108"/>
      <c r="U35" s="111"/>
      <c r="V35" s="108"/>
      <c r="W35" s="108"/>
      <c r="X35" s="108"/>
    </row>
    <row r="36" spans="1:24" s="26" customFormat="1" hidden="1">
      <c r="A36" s="33"/>
      <c r="B36" s="108"/>
      <c r="C36" s="108"/>
      <c r="D36" s="31" t="str">
        <f t="shared" si="4"/>
        <v>好食期</v>
      </c>
      <c r="E36" s="108"/>
      <c r="F36" s="111"/>
      <c r="G36" s="108"/>
      <c r="H36" s="108"/>
      <c r="I36" s="108"/>
      <c r="J36" s="108"/>
      <c r="K36" s="31" t="str">
        <f t="shared" si="5"/>
        <v>运营中</v>
      </c>
      <c r="L36" s="108"/>
      <c r="M36" s="108"/>
      <c r="N36" s="12"/>
      <c r="O36" s="36">
        <v>41895</v>
      </c>
      <c r="P36" s="17" t="s">
        <v>262</v>
      </c>
      <c r="Q36" s="12" t="s">
        <v>341</v>
      </c>
      <c r="R36" s="12" t="s">
        <v>363</v>
      </c>
      <c r="S36" s="108"/>
      <c r="T36" s="108"/>
      <c r="U36" s="111"/>
      <c r="V36" s="108"/>
      <c r="W36" s="108"/>
      <c r="X36" s="108"/>
    </row>
    <row r="37" spans="1:24" s="26" customFormat="1" hidden="1">
      <c r="A37" s="33"/>
      <c r="B37" s="108"/>
      <c r="C37" s="108"/>
      <c r="D37" s="31" t="str">
        <f t="shared" si="4"/>
        <v>好食期</v>
      </c>
      <c r="E37" s="108"/>
      <c r="F37" s="111"/>
      <c r="G37" s="108"/>
      <c r="H37" s="108"/>
      <c r="I37" s="108"/>
      <c r="J37" s="108"/>
      <c r="K37" s="31" t="str">
        <f t="shared" si="5"/>
        <v>运营中</v>
      </c>
      <c r="L37" s="108"/>
      <c r="M37" s="108"/>
      <c r="N37" s="12"/>
      <c r="O37" s="36">
        <v>41381</v>
      </c>
      <c r="P37" s="12" t="s">
        <v>326</v>
      </c>
      <c r="Q37" s="12" t="s">
        <v>327</v>
      </c>
      <c r="R37" s="12" t="s">
        <v>364</v>
      </c>
      <c r="S37" s="108"/>
      <c r="T37" s="108"/>
      <c r="U37" s="111"/>
      <c r="V37" s="108"/>
      <c r="W37" s="108"/>
      <c r="X37" s="108"/>
    </row>
    <row r="38" spans="1:24" s="26" customFormat="1" hidden="1">
      <c r="A38" s="33"/>
      <c r="B38" s="108"/>
      <c r="C38" s="108" t="s">
        <v>365</v>
      </c>
      <c r="D38" s="31" t="s">
        <v>366</v>
      </c>
      <c r="E38" s="108" t="s">
        <v>367</v>
      </c>
      <c r="F38" s="111" t="s">
        <v>368</v>
      </c>
      <c r="G38" s="107" t="s">
        <v>369</v>
      </c>
      <c r="H38" s="108" t="s">
        <v>370</v>
      </c>
      <c r="I38" s="108" t="s">
        <v>371</v>
      </c>
      <c r="J38" s="107" t="s">
        <v>372</v>
      </c>
      <c r="K38" s="31" t="s">
        <v>272</v>
      </c>
      <c r="L38" s="107" t="s">
        <v>335</v>
      </c>
      <c r="M38" s="107" t="s">
        <v>373</v>
      </c>
      <c r="N38" s="12"/>
      <c r="O38" s="36">
        <v>41929</v>
      </c>
      <c r="P38" s="17" t="s">
        <v>262</v>
      </c>
      <c r="Q38" s="12" t="s">
        <v>261</v>
      </c>
      <c r="R38" s="12" t="s">
        <v>374</v>
      </c>
      <c r="S38" s="108" t="s">
        <v>375</v>
      </c>
      <c r="T38" s="108" t="s">
        <v>376</v>
      </c>
      <c r="U38" s="110" t="s">
        <v>377</v>
      </c>
      <c r="V38" s="108"/>
      <c r="W38" s="108"/>
      <c r="X38" s="108"/>
    </row>
    <row r="39" spans="1:24" s="26" customFormat="1" hidden="1">
      <c r="A39" s="33"/>
      <c r="B39" s="108"/>
      <c r="C39" s="108"/>
      <c r="D39" s="31" t="str">
        <f>D38</f>
        <v>TimeHut时光小屋</v>
      </c>
      <c r="E39" s="108"/>
      <c r="F39" s="111"/>
      <c r="G39" s="108"/>
      <c r="H39" s="108"/>
      <c r="I39" s="108"/>
      <c r="J39" s="108"/>
      <c r="K39" s="31" t="str">
        <f>K38</f>
        <v>运营中</v>
      </c>
      <c r="L39" s="108"/>
      <c r="M39" s="108"/>
      <c r="N39" s="17"/>
      <c r="O39" s="36">
        <v>41275</v>
      </c>
      <c r="P39" s="12" t="s">
        <v>326</v>
      </c>
      <c r="Q39" s="12" t="s">
        <v>327</v>
      </c>
      <c r="R39" s="17" t="s">
        <v>378</v>
      </c>
      <c r="S39" s="108"/>
      <c r="T39" s="108"/>
      <c r="U39" s="111"/>
      <c r="V39" s="108"/>
      <c r="W39" s="108"/>
      <c r="X39" s="108"/>
    </row>
    <row r="40" spans="1:24" s="26" customFormat="1" hidden="1">
      <c r="A40" s="33"/>
      <c r="B40" s="108"/>
      <c r="C40" s="108" t="s">
        <v>379</v>
      </c>
      <c r="D40" s="31" t="s">
        <v>380</v>
      </c>
      <c r="E40" s="107" t="s">
        <v>380</v>
      </c>
      <c r="F40" s="110" t="s">
        <v>381</v>
      </c>
      <c r="G40" s="107" t="s">
        <v>382</v>
      </c>
      <c r="H40" s="108" t="s">
        <v>383</v>
      </c>
      <c r="I40" s="108" t="s">
        <v>384</v>
      </c>
      <c r="J40" s="107" t="s">
        <v>385</v>
      </c>
      <c r="K40" s="31" t="s">
        <v>272</v>
      </c>
      <c r="L40" s="107" t="s">
        <v>386</v>
      </c>
      <c r="M40" s="107" t="s">
        <v>387</v>
      </c>
      <c r="N40" s="12"/>
      <c r="O40" s="36">
        <v>42955</v>
      </c>
      <c r="P40" s="12" t="s">
        <v>359</v>
      </c>
      <c r="Q40" s="17" t="s">
        <v>388</v>
      </c>
      <c r="R40" s="12" t="s">
        <v>389</v>
      </c>
      <c r="S40" s="108" t="s">
        <v>390</v>
      </c>
      <c r="T40" s="108" t="s">
        <v>391</v>
      </c>
      <c r="U40" s="110" t="s">
        <v>392</v>
      </c>
      <c r="V40" s="108"/>
      <c r="W40" s="108" t="s">
        <v>393</v>
      </c>
      <c r="X40" s="108" t="s">
        <v>394</v>
      </c>
    </row>
    <row r="41" spans="1:24" s="26" customFormat="1" hidden="1">
      <c r="A41" s="33"/>
      <c r="B41" s="108"/>
      <c r="C41" s="108"/>
      <c r="D41" s="31" t="str">
        <f>D40</f>
        <v>新片场</v>
      </c>
      <c r="E41" s="108"/>
      <c r="F41" s="111"/>
      <c r="G41" s="108"/>
      <c r="H41" s="108"/>
      <c r="I41" s="108"/>
      <c r="J41" s="108"/>
      <c r="K41" s="31" t="str">
        <f t="shared" ref="K41:K45" si="6">K40</f>
        <v>运营中</v>
      </c>
      <c r="L41" s="108"/>
      <c r="M41" s="108"/>
      <c r="N41" s="17"/>
      <c r="O41" s="36">
        <v>42618</v>
      </c>
      <c r="P41" s="12" t="s">
        <v>359</v>
      </c>
      <c r="Q41" s="17" t="s">
        <v>395</v>
      </c>
      <c r="R41" s="12" t="s">
        <v>396</v>
      </c>
      <c r="S41" s="108"/>
      <c r="T41" s="108"/>
      <c r="U41" s="111"/>
      <c r="V41" s="108"/>
      <c r="W41" s="108"/>
      <c r="X41" s="108"/>
    </row>
    <row r="42" spans="1:24" s="26" customFormat="1" hidden="1">
      <c r="A42" s="33"/>
      <c r="B42" s="108"/>
      <c r="C42" s="108"/>
      <c r="D42" s="31" t="str">
        <f>D41</f>
        <v>新片场</v>
      </c>
      <c r="E42" s="108"/>
      <c r="F42" s="111"/>
      <c r="G42" s="108"/>
      <c r="H42" s="108"/>
      <c r="I42" s="108"/>
      <c r="J42" s="108"/>
      <c r="K42" s="31" t="str">
        <f t="shared" si="6"/>
        <v>运营中</v>
      </c>
      <c r="L42" s="108"/>
      <c r="M42" s="108"/>
      <c r="N42" s="17"/>
      <c r="O42" s="36">
        <v>42342</v>
      </c>
      <c r="P42" s="12" t="s">
        <v>362</v>
      </c>
      <c r="Q42" s="12" t="s">
        <v>252</v>
      </c>
      <c r="R42" s="17" t="s">
        <v>253</v>
      </c>
      <c r="S42" s="108"/>
      <c r="T42" s="108"/>
      <c r="U42" s="111"/>
      <c r="V42" s="108"/>
      <c r="W42" s="108"/>
      <c r="X42" s="108"/>
    </row>
    <row r="43" spans="1:24" s="26" customFormat="1" hidden="1">
      <c r="A43" s="33"/>
      <c r="B43" s="108"/>
      <c r="C43" s="108"/>
      <c r="D43" s="31" t="str">
        <f>D42</f>
        <v>新片场</v>
      </c>
      <c r="E43" s="108"/>
      <c r="F43" s="111"/>
      <c r="G43" s="108"/>
      <c r="H43" s="108"/>
      <c r="I43" s="108"/>
      <c r="J43" s="108"/>
      <c r="K43" s="31" t="str">
        <f t="shared" si="6"/>
        <v>运营中</v>
      </c>
      <c r="L43" s="108"/>
      <c r="M43" s="108"/>
      <c r="N43" s="17"/>
      <c r="O43" s="36">
        <v>42037</v>
      </c>
      <c r="P43" s="17" t="s">
        <v>257</v>
      </c>
      <c r="Q43" s="12" t="s">
        <v>341</v>
      </c>
      <c r="R43" s="12" t="s">
        <v>397</v>
      </c>
      <c r="S43" s="108"/>
      <c r="T43" s="108"/>
      <c r="U43" s="111"/>
      <c r="V43" s="108"/>
      <c r="W43" s="108"/>
      <c r="X43" s="108"/>
    </row>
    <row r="44" spans="1:24" s="26" customFormat="1" hidden="1">
      <c r="A44" s="33"/>
      <c r="B44" s="108"/>
      <c r="C44" s="108"/>
      <c r="D44" s="31" t="str">
        <f>D43</f>
        <v>新片场</v>
      </c>
      <c r="E44" s="108"/>
      <c r="F44" s="111"/>
      <c r="G44" s="108"/>
      <c r="H44" s="108"/>
      <c r="I44" s="108"/>
      <c r="J44" s="108"/>
      <c r="K44" s="31" t="str">
        <f t="shared" si="6"/>
        <v>运营中</v>
      </c>
      <c r="L44" s="108"/>
      <c r="M44" s="108"/>
      <c r="N44" s="17"/>
      <c r="O44" s="36">
        <v>41730</v>
      </c>
      <c r="P44" s="17" t="s">
        <v>262</v>
      </c>
      <c r="Q44" s="12" t="s">
        <v>341</v>
      </c>
      <c r="R44" s="12" t="s">
        <v>240</v>
      </c>
      <c r="S44" s="108"/>
      <c r="T44" s="108"/>
      <c r="U44" s="111"/>
      <c r="V44" s="108"/>
      <c r="W44" s="108"/>
      <c r="X44" s="108"/>
    </row>
    <row r="45" spans="1:24" s="26" customFormat="1" hidden="1">
      <c r="A45" s="33"/>
      <c r="B45" s="108"/>
      <c r="C45" s="108"/>
      <c r="D45" s="31" t="str">
        <f>D44</f>
        <v>新片场</v>
      </c>
      <c r="E45" s="108"/>
      <c r="F45" s="111"/>
      <c r="G45" s="108"/>
      <c r="H45" s="108"/>
      <c r="I45" s="108"/>
      <c r="J45" s="108"/>
      <c r="K45" s="31" t="str">
        <f t="shared" si="6"/>
        <v>运营中</v>
      </c>
      <c r="L45" s="108"/>
      <c r="M45" s="108"/>
      <c r="N45" s="17"/>
      <c r="O45" s="36">
        <v>41061</v>
      </c>
      <c r="P45" s="12" t="s">
        <v>326</v>
      </c>
      <c r="Q45" s="12" t="s">
        <v>398</v>
      </c>
      <c r="R45" s="12" t="s">
        <v>399</v>
      </c>
      <c r="S45" s="108"/>
      <c r="T45" s="108"/>
      <c r="U45" s="111"/>
      <c r="V45" s="108"/>
      <c r="W45" s="108"/>
      <c r="X45" s="108"/>
    </row>
    <row r="46" spans="1:24" s="26" customFormat="1" hidden="1">
      <c r="A46" s="33"/>
      <c r="B46" s="108"/>
      <c r="C46" s="108" t="s">
        <v>400</v>
      </c>
      <c r="D46" s="31" t="s">
        <v>401</v>
      </c>
      <c r="E46" s="107" t="s">
        <v>401</v>
      </c>
      <c r="F46" s="110" t="s">
        <v>402</v>
      </c>
      <c r="G46" s="107" t="s">
        <v>403</v>
      </c>
      <c r="H46" s="108" t="s">
        <v>404</v>
      </c>
      <c r="I46" s="108" t="s">
        <v>405</v>
      </c>
      <c r="J46" s="107" t="s">
        <v>406</v>
      </c>
      <c r="K46" s="31" t="s">
        <v>272</v>
      </c>
      <c r="L46" s="107" t="s">
        <v>407</v>
      </c>
      <c r="M46" s="107" t="s">
        <v>408</v>
      </c>
      <c r="N46" s="12"/>
      <c r="O46" s="36">
        <v>44299</v>
      </c>
      <c r="P46" s="17" t="s">
        <v>310</v>
      </c>
      <c r="Q46" s="12" t="s">
        <v>409</v>
      </c>
      <c r="R46" s="12" t="s">
        <v>410</v>
      </c>
      <c r="S46" s="108" t="s">
        <v>411</v>
      </c>
      <c r="T46" s="108" t="s">
        <v>412</v>
      </c>
      <c r="U46" s="110" t="s">
        <v>413</v>
      </c>
      <c r="V46" s="107" t="s">
        <v>414</v>
      </c>
      <c r="W46" s="108" t="s">
        <v>415</v>
      </c>
      <c r="X46" s="108" t="s">
        <v>416</v>
      </c>
    </row>
    <row r="47" spans="1:24" s="26" customFormat="1" hidden="1">
      <c r="A47" s="33"/>
      <c r="B47" s="108"/>
      <c r="C47" s="108"/>
      <c r="D47" s="31" t="str">
        <f>D46</f>
        <v>数云</v>
      </c>
      <c r="E47" s="108"/>
      <c r="F47" s="111"/>
      <c r="G47" s="108"/>
      <c r="H47" s="108"/>
      <c r="I47" s="108"/>
      <c r="J47" s="108"/>
      <c r="K47" s="31" t="str">
        <f t="shared" ref="K47:K50" si="7">K46</f>
        <v>运营中</v>
      </c>
      <c r="L47" s="108"/>
      <c r="M47" s="108"/>
      <c r="N47" s="17"/>
      <c r="O47" s="36">
        <v>42851</v>
      </c>
      <c r="P47" s="17" t="s">
        <v>317</v>
      </c>
      <c r="Q47" s="12" t="s">
        <v>341</v>
      </c>
      <c r="R47" s="12" t="s">
        <v>417</v>
      </c>
      <c r="S47" s="108"/>
      <c r="T47" s="108"/>
      <c r="U47" s="111"/>
      <c r="V47" s="108"/>
      <c r="W47" s="108"/>
      <c r="X47" s="108"/>
    </row>
    <row r="48" spans="1:24" s="26" customFormat="1" hidden="1">
      <c r="A48" s="33"/>
      <c r="B48" s="108"/>
      <c r="C48" s="108"/>
      <c r="D48" s="31" t="str">
        <f>D47</f>
        <v>数云</v>
      </c>
      <c r="E48" s="108"/>
      <c r="F48" s="111"/>
      <c r="G48" s="108"/>
      <c r="H48" s="108"/>
      <c r="I48" s="108"/>
      <c r="J48" s="108"/>
      <c r="K48" s="31" t="str">
        <f t="shared" si="7"/>
        <v>运营中</v>
      </c>
      <c r="L48" s="108"/>
      <c r="M48" s="108"/>
      <c r="N48" s="17"/>
      <c r="O48" s="36">
        <v>42050</v>
      </c>
      <c r="P48" s="17" t="s">
        <v>251</v>
      </c>
      <c r="Q48" s="17" t="s">
        <v>418</v>
      </c>
      <c r="R48" s="12" t="s">
        <v>419</v>
      </c>
      <c r="S48" s="108"/>
      <c r="T48" s="108"/>
      <c r="U48" s="111"/>
      <c r="V48" s="108"/>
      <c r="W48" s="108"/>
      <c r="X48" s="108"/>
    </row>
    <row r="49" spans="1:24" s="26" customFormat="1" hidden="1">
      <c r="A49" s="33"/>
      <c r="B49" s="108"/>
      <c r="C49" s="108"/>
      <c r="D49" s="31" t="str">
        <f>D48</f>
        <v>数云</v>
      </c>
      <c r="E49" s="108"/>
      <c r="F49" s="111"/>
      <c r="G49" s="108"/>
      <c r="H49" s="108"/>
      <c r="I49" s="108"/>
      <c r="J49" s="108"/>
      <c r="K49" s="31" t="str">
        <f t="shared" si="7"/>
        <v>运营中</v>
      </c>
      <c r="L49" s="108"/>
      <c r="M49" s="108"/>
      <c r="N49" s="17"/>
      <c r="O49" s="36">
        <v>41764</v>
      </c>
      <c r="P49" s="17" t="s">
        <v>257</v>
      </c>
      <c r="Q49" s="12" t="s">
        <v>341</v>
      </c>
      <c r="R49" s="12" t="s">
        <v>420</v>
      </c>
      <c r="S49" s="108"/>
      <c r="T49" s="108"/>
      <c r="U49" s="111"/>
      <c r="V49" s="108"/>
      <c r="W49" s="108"/>
      <c r="X49" s="108"/>
    </row>
    <row r="50" spans="1:24" s="26" customFormat="1" hidden="1">
      <c r="A50" s="33"/>
      <c r="B50" s="108"/>
      <c r="C50" s="108"/>
      <c r="D50" s="31" t="str">
        <f>D49</f>
        <v>数云</v>
      </c>
      <c r="E50" s="108"/>
      <c r="F50" s="111"/>
      <c r="G50" s="108"/>
      <c r="H50" s="108"/>
      <c r="I50" s="108"/>
      <c r="J50" s="108"/>
      <c r="K50" s="31" t="str">
        <f t="shared" si="7"/>
        <v>运营中</v>
      </c>
      <c r="L50" s="108"/>
      <c r="M50" s="108"/>
      <c r="N50" s="17"/>
      <c r="O50" s="36">
        <v>41153</v>
      </c>
      <c r="P50" s="17" t="s">
        <v>262</v>
      </c>
      <c r="Q50" s="12" t="s">
        <v>261</v>
      </c>
      <c r="R50" s="12" t="s">
        <v>421</v>
      </c>
      <c r="S50" s="108"/>
      <c r="T50" s="108"/>
      <c r="U50" s="111"/>
      <c r="V50" s="108"/>
      <c r="W50" s="108"/>
      <c r="X50" s="108"/>
    </row>
    <row r="51" spans="1:24" s="26" customFormat="1" hidden="1">
      <c r="A51" s="33"/>
      <c r="B51" s="108"/>
      <c r="C51" s="108" t="s">
        <v>422</v>
      </c>
      <c r="D51" s="31" t="s">
        <v>423</v>
      </c>
      <c r="E51" s="107" t="s">
        <v>423</v>
      </c>
      <c r="F51" s="110" t="s">
        <v>424</v>
      </c>
      <c r="G51" s="107" t="s">
        <v>425</v>
      </c>
      <c r="H51" s="108" t="s">
        <v>426</v>
      </c>
      <c r="I51" s="108" t="s">
        <v>427</v>
      </c>
      <c r="J51" s="107" t="s">
        <v>428</v>
      </c>
      <c r="K51" s="31" t="s">
        <v>272</v>
      </c>
      <c r="L51" s="107" t="s">
        <v>249</v>
      </c>
      <c r="M51" s="107" t="s">
        <v>429</v>
      </c>
      <c r="N51" s="12"/>
      <c r="O51" s="36">
        <v>42027</v>
      </c>
      <c r="P51" s="17" t="s">
        <v>257</v>
      </c>
      <c r="Q51" s="12" t="s">
        <v>341</v>
      </c>
      <c r="R51" s="12" t="s">
        <v>430</v>
      </c>
      <c r="S51" s="108" t="s">
        <v>431</v>
      </c>
      <c r="T51" s="108" t="s">
        <v>432</v>
      </c>
      <c r="U51" s="110" t="s">
        <v>433</v>
      </c>
      <c r="V51" s="108"/>
      <c r="W51" s="108"/>
      <c r="X51" s="108"/>
    </row>
    <row r="52" spans="1:24" s="26" customFormat="1" hidden="1">
      <c r="A52" s="33"/>
      <c r="B52" s="108"/>
      <c r="C52" s="108"/>
      <c r="D52" s="31" t="str">
        <f>D51</f>
        <v>游友移动</v>
      </c>
      <c r="E52" s="108"/>
      <c r="F52" s="111"/>
      <c r="G52" s="108"/>
      <c r="H52" s="108"/>
      <c r="I52" s="108"/>
      <c r="J52" s="108"/>
      <c r="K52" s="31" t="str">
        <f t="shared" ref="K52:K54" si="8">K51</f>
        <v>运营中</v>
      </c>
      <c r="L52" s="108"/>
      <c r="M52" s="108"/>
      <c r="N52" s="17"/>
      <c r="O52" s="36">
        <v>41640</v>
      </c>
      <c r="P52" s="17" t="s">
        <v>262</v>
      </c>
      <c r="Q52" s="12" t="s">
        <v>327</v>
      </c>
      <c r="R52" s="12" t="s">
        <v>434</v>
      </c>
      <c r="S52" s="108"/>
      <c r="T52" s="108"/>
      <c r="U52" s="111"/>
      <c r="V52" s="108"/>
      <c r="W52" s="108"/>
      <c r="X52" s="108"/>
    </row>
    <row r="53" spans="1:24" s="26" customFormat="1" hidden="1">
      <c r="A53" s="33"/>
      <c r="B53" s="108"/>
      <c r="C53" s="108"/>
      <c r="D53" s="31" t="str">
        <f>D52</f>
        <v>游友移动</v>
      </c>
      <c r="E53" s="108"/>
      <c r="F53" s="111"/>
      <c r="G53" s="108"/>
      <c r="H53" s="108"/>
      <c r="I53" s="108"/>
      <c r="J53" s="108"/>
      <c r="K53" s="31" t="str">
        <f t="shared" si="8"/>
        <v>运营中</v>
      </c>
      <c r="L53" s="108"/>
      <c r="M53" s="108"/>
      <c r="N53" s="17"/>
      <c r="O53" s="36">
        <v>41518</v>
      </c>
      <c r="P53" s="12" t="s">
        <v>326</v>
      </c>
      <c r="Q53" s="17" t="s">
        <v>435</v>
      </c>
      <c r="R53" s="17" t="s">
        <v>436</v>
      </c>
      <c r="S53" s="108"/>
      <c r="T53" s="108"/>
      <c r="U53" s="111"/>
      <c r="V53" s="108"/>
      <c r="W53" s="108"/>
      <c r="X53" s="108"/>
    </row>
    <row r="54" spans="1:24" s="26" customFormat="1" hidden="1">
      <c r="A54" s="33"/>
      <c r="B54" s="108"/>
      <c r="C54" s="108"/>
      <c r="D54" s="31" t="str">
        <f>D53</f>
        <v>游友移动</v>
      </c>
      <c r="E54" s="108"/>
      <c r="F54" s="111"/>
      <c r="G54" s="108"/>
      <c r="H54" s="108"/>
      <c r="I54" s="108"/>
      <c r="J54" s="108"/>
      <c r="K54" s="31" t="str">
        <f t="shared" si="8"/>
        <v>运营中</v>
      </c>
      <c r="L54" s="108"/>
      <c r="M54" s="108"/>
      <c r="N54" s="17"/>
      <c r="O54" s="36">
        <v>41306</v>
      </c>
      <c r="P54" s="12" t="s">
        <v>437</v>
      </c>
      <c r="Q54" s="12" t="s">
        <v>252</v>
      </c>
      <c r="R54" s="17" t="s">
        <v>438</v>
      </c>
      <c r="S54" s="108"/>
      <c r="T54" s="108"/>
      <c r="U54" s="111"/>
      <c r="V54" s="108"/>
      <c r="W54" s="108"/>
      <c r="X54" s="108"/>
    </row>
    <row r="55" spans="1:24" s="26" customFormat="1" hidden="1">
      <c r="A55" s="33"/>
      <c r="B55" s="108"/>
      <c r="C55" s="108" t="s">
        <v>439</v>
      </c>
      <c r="D55" s="31" t="s">
        <v>440</v>
      </c>
      <c r="E55" s="107" t="s">
        <v>440</v>
      </c>
      <c r="F55" s="110" t="s">
        <v>441</v>
      </c>
      <c r="G55" s="107" t="s">
        <v>442</v>
      </c>
      <c r="H55" s="108" t="s">
        <v>443</v>
      </c>
      <c r="I55" s="108" t="s">
        <v>444</v>
      </c>
      <c r="J55" s="107" t="s">
        <v>428</v>
      </c>
      <c r="K55" s="31" t="s">
        <v>272</v>
      </c>
      <c r="L55" s="107" t="s">
        <v>407</v>
      </c>
      <c r="M55" s="107" t="s">
        <v>445</v>
      </c>
      <c r="N55" s="12"/>
      <c r="O55" s="36">
        <v>43998</v>
      </c>
      <c r="P55" s="17" t="s">
        <v>303</v>
      </c>
      <c r="Q55" s="17" t="s">
        <v>446</v>
      </c>
      <c r="R55" s="12" t="s">
        <v>447</v>
      </c>
      <c r="S55" s="108" t="s">
        <v>448</v>
      </c>
      <c r="T55" s="108" t="s">
        <v>449</v>
      </c>
      <c r="U55" s="110" t="s">
        <v>450</v>
      </c>
      <c r="V55" s="107" t="s">
        <v>451</v>
      </c>
      <c r="W55" s="108" t="s">
        <v>452</v>
      </c>
      <c r="X55" s="108" t="s">
        <v>453</v>
      </c>
    </row>
    <row r="56" spans="1:24" s="26" customFormat="1" hidden="1">
      <c r="A56" s="33"/>
      <c r="B56" s="108"/>
      <c r="C56" s="108"/>
      <c r="D56" s="31" t="str">
        <f>D55</f>
        <v>七牛云</v>
      </c>
      <c r="E56" s="108"/>
      <c r="F56" s="111"/>
      <c r="G56" s="108"/>
      <c r="H56" s="108"/>
      <c r="I56" s="108"/>
      <c r="J56" s="108"/>
      <c r="K56" s="31" t="str">
        <f t="shared" ref="K56:K60" si="9">K55</f>
        <v>运营中</v>
      </c>
      <c r="L56" s="108"/>
      <c r="M56" s="108"/>
      <c r="N56" s="17"/>
      <c r="O56" s="36">
        <v>43075</v>
      </c>
      <c r="P56" s="17" t="s">
        <v>310</v>
      </c>
      <c r="Q56" s="17" t="s">
        <v>454</v>
      </c>
      <c r="R56" s="12" t="s">
        <v>455</v>
      </c>
      <c r="S56" s="108"/>
      <c r="T56" s="108"/>
      <c r="U56" s="111"/>
      <c r="V56" s="108"/>
      <c r="W56" s="108"/>
      <c r="X56" s="108"/>
    </row>
    <row r="57" spans="1:24" s="26" customFormat="1" hidden="1">
      <c r="A57" s="33"/>
      <c r="B57" s="108"/>
      <c r="C57" s="108"/>
      <c r="D57" s="31" t="str">
        <f>D56</f>
        <v>七牛云</v>
      </c>
      <c r="E57" s="108"/>
      <c r="F57" s="111"/>
      <c r="G57" s="108"/>
      <c r="H57" s="108"/>
      <c r="I57" s="108"/>
      <c r="J57" s="108"/>
      <c r="K57" s="31" t="str">
        <f t="shared" si="9"/>
        <v>运营中</v>
      </c>
      <c r="L57" s="108"/>
      <c r="M57" s="108"/>
      <c r="N57" s="17"/>
      <c r="O57" s="36">
        <v>42395</v>
      </c>
      <c r="P57" s="17" t="s">
        <v>317</v>
      </c>
      <c r="Q57" s="17" t="s">
        <v>456</v>
      </c>
      <c r="R57" s="12" t="s">
        <v>457</v>
      </c>
      <c r="S57" s="108"/>
      <c r="T57" s="108"/>
      <c r="U57" s="111"/>
      <c r="V57" s="108"/>
      <c r="W57" s="108"/>
      <c r="X57" s="108"/>
    </row>
    <row r="58" spans="1:24" s="26" customFormat="1" hidden="1">
      <c r="A58" s="33"/>
      <c r="B58" s="108"/>
      <c r="C58" s="108"/>
      <c r="D58" s="31" t="str">
        <f>D57</f>
        <v>七牛云</v>
      </c>
      <c r="E58" s="108"/>
      <c r="F58" s="111"/>
      <c r="G58" s="108"/>
      <c r="H58" s="108"/>
      <c r="I58" s="108"/>
      <c r="J58" s="108"/>
      <c r="K58" s="31" t="str">
        <f t="shared" si="9"/>
        <v>运营中</v>
      </c>
      <c r="L58" s="108"/>
      <c r="M58" s="108"/>
      <c r="N58" s="17"/>
      <c r="O58" s="36">
        <v>41949</v>
      </c>
      <c r="P58" s="17" t="s">
        <v>251</v>
      </c>
      <c r="Q58" s="17" t="s">
        <v>458</v>
      </c>
      <c r="R58" s="12" t="s">
        <v>459</v>
      </c>
      <c r="S58" s="108"/>
      <c r="T58" s="108"/>
      <c r="U58" s="111"/>
      <c r="V58" s="108"/>
      <c r="W58" s="108"/>
      <c r="X58" s="108"/>
    </row>
    <row r="59" spans="1:24" s="26" customFormat="1" hidden="1">
      <c r="A59" s="33"/>
      <c r="B59" s="108"/>
      <c r="C59" s="108"/>
      <c r="D59" s="31" t="str">
        <f>D58</f>
        <v>七牛云</v>
      </c>
      <c r="E59" s="108"/>
      <c r="F59" s="111"/>
      <c r="G59" s="108"/>
      <c r="H59" s="108"/>
      <c r="I59" s="108"/>
      <c r="J59" s="108"/>
      <c r="K59" s="31" t="str">
        <f t="shared" si="9"/>
        <v>运营中</v>
      </c>
      <c r="L59" s="108"/>
      <c r="M59" s="108"/>
      <c r="N59" s="17"/>
      <c r="O59" s="36">
        <v>41311</v>
      </c>
      <c r="P59" s="17" t="s">
        <v>257</v>
      </c>
      <c r="Q59" s="17" t="s">
        <v>460</v>
      </c>
      <c r="R59" s="12" t="s">
        <v>461</v>
      </c>
      <c r="S59" s="108"/>
      <c r="T59" s="108"/>
      <c r="U59" s="111"/>
      <c r="V59" s="108"/>
      <c r="W59" s="108"/>
      <c r="X59" s="108"/>
    </row>
    <row r="60" spans="1:24" s="26" customFormat="1" hidden="1">
      <c r="A60" s="33"/>
      <c r="B60" s="108"/>
      <c r="C60" s="108"/>
      <c r="D60" s="31" t="str">
        <f>D59</f>
        <v>七牛云</v>
      </c>
      <c r="E60" s="108"/>
      <c r="F60" s="111"/>
      <c r="G60" s="108"/>
      <c r="H60" s="108"/>
      <c r="I60" s="108"/>
      <c r="J60" s="108"/>
      <c r="K60" s="31" t="str">
        <f t="shared" si="9"/>
        <v>运营中</v>
      </c>
      <c r="L60" s="108"/>
      <c r="M60" s="108"/>
      <c r="N60" s="17"/>
      <c r="O60" s="36">
        <v>40951</v>
      </c>
      <c r="P60" s="17" t="s">
        <v>262</v>
      </c>
      <c r="Q60" s="17" t="s">
        <v>263</v>
      </c>
      <c r="R60" s="12" t="s">
        <v>462</v>
      </c>
      <c r="S60" s="108"/>
      <c r="T60" s="108"/>
      <c r="U60" s="111"/>
      <c r="V60" s="108"/>
      <c r="W60" s="108"/>
      <c r="X60" s="108"/>
    </row>
    <row r="61" spans="1:24" s="26" customFormat="1" hidden="1">
      <c r="A61" s="33"/>
      <c r="B61" s="108"/>
      <c r="C61" s="108" t="s">
        <v>463</v>
      </c>
      <c r="D61" s="31" t="s">
        <v>464</v>
      </c>
      <c r="E61" s="107" t="s">
        <v>465</v>
      </c>
      <c r="F61" s="110" t="s">
        <v>466</v>
      </c>
      <c r="G61" s="107" t="s">
        <v>467</v>
      </c>
      <c r="H61" s="108" t="s">
        <v>468</v>
      </c>
      <c r="I61" s="108" t="s">
        <v>469</v>
      </c>
      <c r="J61" s="107" t="s">
        <v>385</v>
      </c>
      <c r="K61" s="35" t="s">
        <v>248</v>
      </c>
      <c r="L61" s="107" t="s">
        <v>407</v>
      </c>
      <c r="M61" s="107" t="s">
        <v>470</v>
      </c>
      <c r="N61" s="12">
        <v>1</v>
      </c>
      <c r="O61" s="36">
        <v>41518</v>
      </c>
      <c r="P61" s="12" t="s">
        <v>471</v>
      </c>
      <c r="Q61" s="12" t="s">
        <v>252</v>
      </c>
      <c r="R61" s="12" t="s">
        <v>240</v>
      </c>
      <c r="S61" s="108" t="s">
        <v>472</v>
      </c>
      <c r="T61" s="107" t="s">
        <v>255</v>
      </c>
      <c r="U61" s="110" t="s">
        <v>473</v>
      </c>
      <c r="V61" s="108"/>
      <c r="W61" s="108"/>
      <c r="X61" s="108"/>
    </row>
    <row r="62" spans="1:24" s="26" customFormat="1" hidden="1">
      <c r="A62" s="33"/>
      <c r="B62" s="108"/>
      <c r="C62" s="108"/>
      <c r="D62" s="31" t="str">
        <f>D61</f>
        <v>酷盘Kanbox</v>
      </c>
      <c r="E62" s="108"/>
      <c r="F62" s="111"/>
      <c r="G62" s="108"/>
      <c r="H62" s="108"/>
      <c r="I62" s="108"/>
      <c r="J62" s="108"/>
      <c r="K62" s="37" t="str">
        <f t="shared" ref="K62:K64" si="10">K61</f>
        <v>已关闭</v>
      </c>
      <c r="L62" s="108"/>
      <c r="M62" s="108"/>
      <c r="N62" s="12">
        <v>1</v>
      </c>
      <c r="O62" s="36">
        <v>40846</v>
      </c>
      <c r="P62" s="17" t="s">
        <v>257</v>
      </c>
      <c r="Q62" s="17" t="s">
        <v>458</v>
      </c>
      <c r="R62" s="17" t="s">
        <v>474</v>
      </c>
      <c r="S62" s="108"/>
      <c r="T62" s="108"/>
      <c r="U62" s="111"/>
      <c r="V62" s="108"/>
      <c r="W62" s="108"/>
      <c r="X62" s="108"/>
    </row>
    <row r="63" spans="1:24" s="26" customFormat="1" hidden="1">
      <c r="A63" s="33"/>
      <c r="B63" s="108"/>
      <c r="C63" s="108"/>
      <c r="D63" s="31" t="str">
        <f>D62</f>
        <v>酷盘Kanbox</v>
      </c>
      <c r="E63" s="108"/>
      <c r="F63" s="111"/>
      <c r="G63" s="108"/>
      <c r="H63" s="108"/>
      <c r="I63" s="108"/>
      <c r="J63" s="108"/>
      <c r="K63" s="37" t="str">
        <f t="shared" si="10"/>
        <v>已关闭</v>
      </c>
      <c r="L63" s="108"/>
      <c r="M63" s="108"/>
      <c r="N63" s="12">
        <v>1</v>
      </c>
      <c r="O63" s="36">
        <v>40544</v>
      </c>
      <c r="P63" s="17" t="s">
        <v>262</v>
      </c>
      <c r="Q63" s="17" t="s">
        <v>460</v>
      </c>
      <c r="R63" s="17" t="s">
        <v>475</v>
      </c>
      <c r="S63" s="108"/>
      <c r="T63" s="108"/>
      <c r="U63" s="111"/>
      <c r="V63" s="108"/>
      <c r="W63" s="108"/>
      <c r="X63" s="108"/>
    </row>
    <row r="64" spans="1:24" s="26" customFormat="1" hidden="1">
      <c r="A64" s="33"/>
      <c r="B64" s="108"/>
      <c r="C64" s="108"/>
      <c r="D64" s="31" t="str">
        <f>D63</f>
        <v>酷盘Kanbox</v>
      </c>
      <c r="E64" s="108"/>
      <c r="F64" s="111"/>
      <c r="G64" s="108"/>
      <c r="H64" s="108"/>
      <c r="I64" s="108"/>
      <c r="J64" s="108"/>
      <c r="K64" s="37" t="str">
        <f t="shared" si="10"/>
        <v>已关闭</v>
      </c>
      <c r="L64" s="108"/>
      <c r="M64" s="108"/>
      <c r="N64" s="12">
        <v>1</v>
      </c>
      <c r="O64" s="36">
        <v>40422</v>
      </c>
      <c r="P64" s="12" t="s">
        <v>326</v>
      </c>
      <c r="Q64" s="12" t="s">
        <v>327</v>
      </c>
      <c r="R64" s="12" t="s">
        <v>476</v>
      </c>
      <c r="S64" s="108"/>
      <c r="T64" s="108"/>
      <c r="U64" s="111"/>
      <c r="V64" s="108"/>
      <c r="W64" s="108"/>
      <c r="X64" s="108"/>
    </row>
    <row r="65" spans="1:24" s="26" customFormat="1" hidden="1">
      <c r="A65" s="33"/>
      <c r="B65" s="108"/>
      <c r="C65" s="108" t="s">
        <v>477</v>
      </c>
      <c r="D65" s="31" t="s">
        <v>478</v>
      </c>
      <c r="E65" s="108" t="s">
        <v>479</v>
      </c>
      <c r="F65" s="111" t="s">
        <v>480</v>
      </c>
      <c r="G65" s="107" t="s">
        <v>481</v>
      </c>
      <c r="H65" s="108" t="s">
        <v>482</v>
      </c>
      <c r="I65" s="108" t="s">
        <v>483</v>
      </c>
      <c r="J65" s="107" t="s">
        <v>484</v>
      </c>
      <c r="K65" s="35" t="s">
        <v>248</v>
      </c>
      <c r="L65" s="107" t="s">
        <v>485</v>
      </c>
      <c r="M65" s="107" t="s">
        <v>486</v>
      </c>
      <c r="N65" s="12">
        <v>1</v>
      </c>
      <c r="O65" s="36">
        <v>42236</v>
      </c>
      <c r="P65" s="12" t="s">
        <v>471</v>
      </c>
      <c r="Q65" s="12" t="s">
        <v>252</v>
      </c>
      <c r="R65" s="12" t="s">
        <v>240</v>
      </c>
      <c r="S65" s="108" t="s">
        <v>487</v>
      </c>
      <c r="T65" s="107" t="s">
        <v>255</v>
      </c>
      <c r="U65" s="110" t="s">
        <v>488</v>
      </c>
      <c r="V65" s="108"/>
      <c r="W65" s="108"/>
      <c r="X65" s="108"/>
    </row>
    <row r="66" spans="1:24" s="26" customFormat="1" hidden="1">
      <c r="A66" s="33"/>
      <c r="B66" s="108"/>
      <c r="C66" s="108"/>
      <c r="D66" s="31" t="str">
        <f>D65</f>
        <v>365翻译</v>
      </c>
      <c r="E66" s="108"/>
      <c r="F66" s="111"/>
      <c r="G66" s="108"/>
      <c r="H66" s="108"/>
      <c r="I66" s="108"/>
      <c r="J66" s="108"/>
      <c r="K66" s="37" t="str">
        <f t="shared" ref="K66:K67" si="11">K65</f>
        <v>已关闭</v>
      </c>
      <c r="L66" s="108"/>
      <c r="M66" s="108"/>
      <c r="N66" s="12">
        <v>1</v>
      </c>
      <c r="O66" s="36">
        <v>41244</v>
      </c>
      <c r="P66" s="17" t="s">
        <v>262</v>
      </c>
      <c r="Q66" s="12" t="s">
        <v>261</v>
      </c>
      <c r="R66" s="12" t="s">
        <v>489</v>
      </c>
      <c r="S66" s="108"/>
      <c r="T66" s="108"/>
      <c r="U66" s="111"/>
      <c r="V66" s="108"/>
      <c r="W66" s="108"/>
      <c r="X66" s="108"/>
    </row>
    <row r="67" spans="1:24" s="26" customFormat="1" hidden="1">
      <c r="A67" s="33"/>
      <c r="B67" s="108"/>
      <c r="C67" s="108"/>
      <c r="D67" s="31" t="str">
        <f>D66</f>
        <v>365翻译</v>
      </c>
      <c r="E67" s="108"/>
      <c r="F67" s="111"/>
      <c r="G67" s="108"/>
      <c r="H67" s="108"/>
      <c r="I67" s="108"/>
      <c r="J67" s="108"/>
      <c r="K67" s="37" t="str">
        <f t="shared" si="11"/>
        <v>已关闭</v>
      </c>
      <c r="L67" s="108"/>
      <c r="M67" s="108"/>
      <c r="N67" s="12">
        <v>1</v>
      </c>
      <c r="O67" s="36">
        <v>40878</v>
      </c>
      <c r="P67" s="12" t="s">
        <v>326</v>
      </c>
      <c r="Q67" s="12" t="s">
        <v>261</v>
      </c>
      <c r="R67" s="12" t="s">
        <v>490</v>
      </c>
      <c r="S67" s="108"/>
      <c r="T67" s="108"/>
      <c r="U67" s="111"/>
      <c r="V67" s="108"/>
      <c r="W67" s="108"/>
      <c r="X67" s="108"/>
    </row>
    <row r="68" spans="1:24" s="26" customFormat="1" hidden="1">
      <c r="A68" s="33"/>
      <c r="B68" s="108"/>
      <c r="C68" s="108" t="s">
        <v>491</v>
      </c>
      <c r="D68" s="31" t="s">
        <v>492</v>
      </c>
      <c r="E68" s="107" t="s">
        <v>492</v>
      </c>
      <c r="F68" s="110" t="s">
        <v>493</v>
      </c>
      <c r="G68" s="107" t="s">
        <v>494</v>
      </c>
      <c r="H68" s="108" t="s">
        <v>495</v>
      </c>
      <c r="I68" s="108" t="s">
        <v>496</v>
      </c>
      <c r="J68" s="107" t="s">
        <v>497</v>
      </c>
      <c r="K68" s="31" t="s">
        <v>272</v>
      </c>
      <c r="L68" s="107" t="s">
        <v>249</v>
      </c>
      <c r="M68" s="107" t="s">
        <v>429</v>
      </c>
      <c r="N68" s="12"/>
      <c r="O68" s="36">
        <v>42398</v>
      </c>
      <c r="P68" s="17" t="s">
        <v>262</v>
      </c>
      <c r="Q68" s="12" t="s">
        <v>341</v>
      </c>
      <c r="R68" s="12" t="s">
        <v>498</v>
      </c>
      <c r="S68" s="108" t="s">
        <v>499</v>
      </c>
      <c r="T68" s="108" t="s">
        <v>432</v>
      </c>
      <c r="U68" s="110" t="s">
        <v>500</v>
      </c>
      <c r="V68" s="107" t="s">
        <v>501</v>
      </c>
      <c r="W68" s="108" t="s">
        <v>502</v>
      </c>
      <c r="X68" s="108" t="s">
        <v>503</v>
      </c>
    </row>
    <row r="69" spans="1:24" s="26" customFormat="1" hidden="1">
      <c r="A69" s="33"/>
      <c r="B69" s="108"/>
      <c r="C69" s="108"/>
      <c r="D69" s="31" t="str">
        <f>D68</f>
        <v>丸子地球</v>
      </c>
      <c r="E69" s="108"/>
      <c r="F69" s="111"/>
      <c r="G69" s="108"/>
      <c r="H69" s="108"/>
      <c r="I69" s="108"/>
      <c r="J69" s="108"/>
      <c r="K69" s="31" t="str">
        <f t="shared" ref="K69:K70" si="12">K68</f>
        <v>运营中</v>
      </c>
      <c r="L69" s="108"/>
      <c r="M69" s="108"/>
      <c r="N69" s="17"/>
      <c r="O69" s="36">
        <v>41864</v>
      </c>
      <c r="P69" s="12" t="s">
        <v>326</v>
      </c>
      <c r="Q69" s="12" t="s">
        <v>252</v>
      </c>
      <c r="R69" s="12" t="s">
        <v>504</v>
      </c>
      <c r="S69" s="108"/>
      <c r="T69" s="108"/>
      <c r="U69" s="111"/>
      <c r="V69" s="108"/>
      <c r="W69" s="108"/>
      <c r="X69" s="108"/>
    </row>
    <row r="70" spans="1:24" s="26" customFormat="1" hidden="1">
      <c r="A70" s="33"/>
      <c r="B70" s="108"/>
      <c r="C70" s="108"/>
      <c r="D70" s="31" t="str">
        <f>D69</f>
        <v>丸子地球</v>
      </c>
      <c r="E70" s="108"/>
      <c r="F70" s="111"/>
      <c r="G70" s="108"/>
      <c r="H70" s="108"/>
      <c r="I70" s="108"/>
      <c r="J70" s="108"/>
      <c r="K70" s="31" t="str">
        <f t="shared" si="12"/>
        <v>运营中</v>
      </c>
      <c r="L70" s="108"/>
      <c r="M70" s="108"/>
      <c r="N70" s="17"/>
      <c r="O70" s="36">
        <v>41183</v>
      </c>
      <c r="P70" s="12" t="s">
        <v>437</v>
      </c>
      <c r="Q70" s="12" t="s">
        <v>398</v>
      </c>
      <c r="R70" s="12" t="s">
        <v>505</v>
      </c>
      <c r="S70" s="108"/>
      <c r="T70" s="108"/>
      <c r="U70" s="111"/>
      <c r="V70" s="108"/>
      <c r="W70" s="108"/>
      <c r="X70" s="108"/>
    </row>
    <row r="71" spans="1:24" s="26" customFormat="1" hidden="1">
      <c r="A71" s="33"/>
      <c r="B71" s="108"/>
      <c r="C71" s="108" t="s">
        <v>506</v>
      </c>
      <c r="D71" s="31" t="s">
        <v>507</v>
      </c>
      <c r="E71" s="107" t="s">
        <v>507</v>
      </c>
      <c r="F71" s="110" t="s">
        <v>508</v>
      </c>
      <c r="G71" s="107" t="s">
        <v>509</v>
      </c>
      <c r="H71" s="108" t="s">
        <v>510</v>
      </c>
      <c r="I71" s="108" t="s">
        <v>511</v>
      </c>
      <c r="J71" s="107" t="s">
        <v>406</v>
      </c>
      <c r="K71" s="31" t="s">
        <v>272</v>
      </c>
      <c r="L71" s="107" t="s">
        <v>512</v>
      </c>
      <c r="M71" s="107" t="s">
        <v>513</v>
      </c>
      <c r="N71" s="12">
        <v>1</v>
      </c>
      <c r="O71" s="36">
        <v>43913</v>
      </c>
      <c r="P71" s="12" t="s">
        <v>471</v>
      </c>
      <c r="Q71" s="12" t="s">
        <v>276</v>
      </c>
      <c r="R71" s="12" t="s">
        <v>514</v>
      </c>
      <c r="S71" s="108" t="s">
        <v>515</v>
      </c>
      <c r="T71" s="107" t="s">
        <v>255</v>
      </c>
      <c r="U71" s="110" t="s">
        <v>516</v>
      </c>
      <c r="V71" s="107" t="s">
        <v>517</v>
      </c>
      <c r="W71" s="108" t="s">
        <v>518</v>
      </c>
      <c r="X71" s="108" t="s">
        <v>519</v>
      </c>
    </row>
    <row r="72" spans="1:24" s="26" customFormat="1" hidden="1">
      <c r="A72" s="33"/>
      <c r="B72" s="108"/>
      <c r="C72" s="108"/>
      <c r="D72" s="31" t="str">
        <f t="shared" ref="D72:D78" si="13">D71</f>
        <v>点我达</v>
      </c>
      <c r="E72" s="108"/>
      <c r="F72" s="111"/>
      <c r="G72" s="108"/>
      <c r="H72" s="108"/>
      <c r="I72" s="108"/>
      <c r="J72" s="108"/>
      <c r="K72" s="31" t="str">
        <f t="shared" ref="K72:K78" si="14">K71</f>
        <v>运营中</v>
      </c>
      <c r="L72" s="108"/>
      <c r="M72" s="108"/>
      <c r="N72" s="12">
        <v>1</v>
      </c>
      <c r="O72" s="36">
        <v>43292</v>
      </c>
      <c r="P72" s="12" t="s">
        <v>285</v>
      </c>
      <c r="Q72" s="17" t="s">
        <v>520</v>
      </c>
      <c r="R72" s="12" t="s">
        <v>514</v>
      </c>
      <c r="S72" s="108"/>
      <c r="T72" s="108"/>
      <c r="U72" s="111"/>
      <c r="V72" s="108"/>
      <c r="W72" s="108"/>
      <c r="X72" s="108"/>
    </row>
    <row r="73" spans="1:24" s="26" customFormat="1" hidden="1">
      <c r="A73" s="33"/>
      <c r="B73" s="108"/>
      <c r="C73" s="108"/>
      <c r="D73" s="31" t="str">
        <f t="shared" si="13"/>
        <v>点我达</v>
      </c>
      <c r="E73" s="108"/>
      <c r="F73" s="111"/>
      <c r="G73" s="108"/>
      <c r="H73" s="108"/>
      <c r="I73" s="108"/>
      <c r="J73" s="108"/>
      <c r="K73" s="31" t="str">
        <f t="shared" si="14"/>
        <v>运营中</v>
      </c>
      <c r="L73" s="108"/>
      <c r="M73" s="108"/>
      <c r="N73" s="12">
        <v>1</v>
      </c>
      <c r="O73" s="36">
        <v>43189</v>
      </c>
      <c r="P73" s="12" t="s">
        <v>285</v>
      </c>
      <c r="Q73" s="12" t="s">
        <v>258</v>
      </c>
      <c r="R73" s="12" t="s">
        <v>521</v>
      </c>
      <c r="S73" s="108"/>
      <c r="T73" s="108"/>
      <c r="U73" s="111"/>
      <c r="V73" s="108"/>
      <c r="W73" s="108"/>
      <c r="X73" s="108"/>
    </row>
    <row r="74" spans="1:24" s="26" customFormat="1" hidden="1">
      <c r="A74" s="33"/>
      <c r="B74" s="108"/>
      <c r="C74" s="108"/>
      <c r="D74" s="31" t="str">
        <f t="shared" si="13"/>
        <v>点我达</v>
      </c>
      <c r="E74" s="108"/>
      <c r="F74" s="111"/>
      <c r="G74" s="108"/>
      <c r="H74" s="108"/>
      <c r="I74" s="108"/>
      <c r="J74" s="108"/>
      <c r="K74" s="31" t="str">
        <f t="shared" si="14"/>
        <v>运营中</v>
      </c>
      <c r="L74" s="108"/>
      <c r="M74" s="108"/>
      <c r="N74" s="12">
        <v>1</v>
      </c>
      <c r="O74" s="36">
        <v>42573</v>
      </c>
      <c r="P74" s="17" t="s">
        <v>317</v>
      </c>
      <c r="Q74" s="17" t="s">
        <v>522</v>
      </c>
      <c r="R74" s="12" t="s">
        <v>240</v>
      </c>
      <c r="S74" s="108"/>
      <c r="T74" s="108"/>
      <c r="U74" s="111"/>
      <c r="V74" s="108"/>
      <c r="W74" s="108"/>
      <c r="X74" s="108"/>
    </row>
    <row r="75" spans="1:24" s="26" customFormat="1" hidden="1">
      <c r="A75" s="33"/>
      <c r="B75" s="108"/>
      <c r="C75" s="108"/>
      <c r="D75" s="31" t="str">
        <f t="shared" si="13"/>
        <v>点我达</v>
      </c>
      <c r="E75" s="108"/>
      <c r="F75" s="111"/>
      <c r="G75" s="108"/>
      <c r="H75" s="108"/>
      <c r="I75" s="108"/>
      <c r="J75" s="108"/>
      <c r="K75" s="31" t="str">
        <f t="shared" si="14"/>
        <v>运营中</v>
      </c>
      <c r="L75" s="108"/>
      <c r="M75" s="108"/>
      <c r="N75" s="12">
        <v>1</v>
      </c>
      <c r="O75" s="36">
        <v>42296</v>
      </c>
      <c r="P75" s="17" t="s">
        <v>523</v>
      </c>
      <c r="Q75" s="12" t="s">
        <v>341</v>
      </c>
      <c r="R75" s="12" t="s">
        <v>524</v>
      </c>
      <c r="S75" s="108"/>
      <c r="T75" s="108"/>
      <c r="U75" s="111"/>
      <c r="V75" s="108"/>
      <c r="W75" s="108"/>
      <c r="X75" s="108"/>
    </row>
    <row r="76" spans="1:24" s="26" customFormat="1" hidden="1">
      <c r="A76" s="33"/>
      <c r="B76" s="108"/>
      <c r="C76" s="108"/>
      <c r="D76" s="31" t="str">
        <f t="shared" si="13"/>
        <v>点我达</v>
      </c>
      <c r="E76" s="108"/>
      <c r="F76" s="111"/>
      <c r="G76" s="108"/>
      <c r="H76" s="108"/>
      <c r="I76" s="108"/>
      <c r="J76" s="108"/>
      <c r="K76" s="31" t="str">
        <f t="shared" si="14"/>
        <v>运营中</v>
      </c>
      <c r="L76" s="108"/>
      <c r="M76" s="108"/>
      <c r="N76" s="12">
        <v>1</v>
      </c>
      <c r="O76" s="36">
        <v>42265</v>
      </c>
      <c r="P76" s="17" t="s">
        <v>251</v>
      </c>
      <c r="Q76" s="12" t="s">
        <v>409</v>
      </c>
      <c r="R76" s="12" t="s">
        <v>525</v>
      </c>
      <c r="S76" s="108"/>
      <c r="T76" s="108"/>
      <c r="U76" s="111"/>
      <c r="V76" s="108"/>
      <c r="W76" s="108"/>
      <c r="X76" s="108"/>
    </row>
    <row r="77" spans="1:24" s="26" customFormat="1" hidden="1">
      <c r="A77" s="33"/>
      <c r="B77" s="108"/>
      <c r="C77" s="108"/>
      <c r="D77" s="31" t="str">
        <f t="shared" si="13"/>
        <v>点我达</v>
      </c>
      <c r="E77" s="108"/>
      <c r="F77" s="111"/>
      <c r="G77" s="108"/>
      <c r="H77" s="108"/>
      <c r="I77" s="108"/>
      <c r="J77" s="108"/>
      <c r="K77" s="31" t="str">
        <f t="shared" si="14"/>
        <v>运营中</v>
      </c>
      <c r="L77" s="108"/>
      <c r="M77" s="108"/>
      <c r="N77" s="12">
        <v>1</v>
      </c>
      <c r="O77" s="36">
        <v>41821</v>
      </c>
      <c r="P77" s="17" t="s">
        <v>257</v>
      </c>
      <c r="Q77" s="17" t="s">
        <v>322</v>
      </c>
      <c r="R77" s="12" t="s">
        <v>526</v>
      </c>
      <c r="S77" s="108"/>
      <c r="T77" s="108"/>
      <c r="U77" s="111"/>
      <c r="V77" s="108"/>
      <c r="W77" s="108"/>
      <c r="X77" s="108"/>
    </row>
    <row r="78" spans="1:24" s="26" customFormat="1" hidden="1">
      <c r="A78" s="33"/>
      <c r="B78" s="108"/>
      <c r="C78" s="108"/>
      <c r="D78" s="31" t="str">
        <f t="shared" si="13"/>
        <v>点我达</v>
      </c>
      <c r="E78" s="108"/>
      <c r="F78" s="111"/>
      <c r="G78" s="108"/>
      <c r="H78" s="108"/>
      <c r="I78" s="108"/>
      <c r="J78" s="108"/>
      <c r="K78" s="31" t="str">
        <f t="shared" si="14"/>
        <v>运营中</v>
      </c>
      <c r="L78" s="108"/>
      <c r="M78" s="108"/>
      <c r="N78" s="12">
        <v>1</v>
      </c>
      <c r="O78" s="36">
        <v>40922</v>
      </c>
      <c r="P78" s="17" t="s">
        <v>262</v>
      </c>
      <c r="Q78" s="17" t="s">
        <v>527</v>
      </c>
      <c r="R78" s="12" t="s">
        <v>528</v>
      </c>
      <c r="S78" s="108"/>
      <c r="T78" s="108"/>
      <c r="U78" s="111"/>
      <c r="V78" s="108"/>
      <c r="W78" s="108"/>
      <c r="X78" s="108"/>
    </row>
    <row r="79" spans="1:24" s="26" customFormat="1" hidden="1">
      <c r="A79" s="33"/>
      <c r="B79" s="108"/>
      <c r="C79" s="108" t="s">
        <v>529</v>
      </c>
      <c r="D79" s="31" t="s">
        <v>314</v>
      </c>
      <c r="E79" s="107" t="s">
        <v>314</v>
      </c>
      <c r="F79" s="110" t="s">
        <v>530</v>
      </c>
      <c r="G79" s="107" t="s">
        <v>531</v>
      </c>
      <c r="H79" s="108" t="s">
        <v>532</v>
      </c>
      <c r="I79" s="108" t="s">
        <v>533</v>
      </c>
      <c r="J79" s="107" t="s">
        <v>406</v>
      </c>
      <c r="K79" s="31" t="s">
        <v>272</v>
      </c>
      <c r="L79" s="107" t="s">
        <v>273</v>
      </c>
      <c r="M79" s="107" t="s">
        <v>274</v>
      </c>
      <c r="N79" s="12">
        <v>1</v>
      </c>
      <c r="O79" s="36">
        <v>42049</v>
      </c>
      <c r="P79" s="12" t="s">
        <v>313</v>
      </c>
      <c r="Q79" s="12" t="s">
        <v>252</v>
      </c>
      <c r="R79" s="12" t="s">
        <v>266</v>
      </c>
      <c r="S79" s="108" t="s">
        <v>534</v>
      </c>
      <c r="T79" s="107" t="s">
        <v>255</v>
      </c>
      <c r="U79" s="110" t="s">
        <v>535</v>
      </c>
      <c r="V79" s="108"/>
      <c r="W79" s="108"/>
      <c r="X79" s="108"/>
    </row>
    <row r="80" spans="1:24" s="26" customFormat="1" hidden="1">
      <c r="A80" s="33"/>
      <c r="B80" s="108"/>
      <c r="C80" s="108"/>
      <c r="D80" s="31" t="str">
        <f t="shared" ref="D80:D85" si="15">D79</f>
        <v>快的打车</v>
      </c>
      <c r="E80" s="108"/>
      <c r="F80" s="111"/>
      <c r="G80" s="108"/>
      <c r="H80" s="108"/>
      <c r="I80" s="108"/>
      <c r="J80" s="108"/>
      <c r="K80" s="31" t="str">
        <f t="shared" ref="K80:K85" si="16">K79</f>
        <v>运营中</v>
      </c>
      <c r="L80" s="108"/>
      <c r="M80" s="108"/>
      <c r="N80" s="12">
        <v>1</v>
      </c>
      <c r="O80" s="36">
        <v>42019</v>
      </c>
      <c r="P80" s="17" t="s">
        <v>317</v>
      </c>
      <c r="Q80" s="17" t="s">
        <v>286</v>
      </c>
      <c r="R80" s="12" t="s">
        <v>536</v>
      </c>
      <c r="S80" s="108"/>
      <c r="T80" s="108"/>
      <c r="U80" s="111"/>
      <c r="V80" s="108"/>
      <c r="W80" s="108"/>
      <c r="X80" s="108"/>
    </row>
    <row r="81" spans="1:24" s="26" customFormat="1" hidden="1">
      <c r="A81" s="33"/>
      <c r="B81" s="108"/>
      <c r="C81" s="108"/>
      <c r="D81" s="31" t="str">
        <f t="shared" si="15"/>
        <v>快的打车</v>
      </c>
      <c r="E81" s="108"/>
      <c r="F81" s="111"/>
      <c r="G81" s="108"/>
      <c r="H81" s="108"/>
      <c r="I81" s="108"/>
      <c r="J81" s="108"/>
      <c r="K81" s="31" t="str">
        <f t="shared" si="16"/>
        <v>运营中</v>
      </c>
      <c r="L81" s="108"/>
      <c r="M81" s="108"/>
      <c r="N81" s="12">
        <v>1</v>
      </c>
      <c r="O81" s="36">
        <v>41930</v>
      </c>
      <c r="P81" s="17" t="s">
        <v>251</v>
      </c>
      <c r="Q81" s="17" t="s">
        <v>320</v>
      </c>
      <c r="R81" s="17" t="s">
        <v>537</v>
      </c>
      <c r="S81" s="108"/>
      <c r="T81" s="108"/>
      <c r="U81" s="111"/>
      <c r="V81" s="108"/>
      <c r="W81" s="108"/>
      <c r="X81" s="108"/>
    </row>
    <row r="82" spans="1:24" s="26" customFormat="1" hidden="1">
      <c r="A82" s="33"/>
      <c r="B82" s="108"/>
      <c r="C82" s="108"/>
      <c r="D82" s="31" t="str">
        <f t="shared" si="15"/>
        <v>快的打车</v>
      </c>
      <c r="E82" s="108"/>
      <c r="F82" s="111"/>
      <c r="G82" s="108"/>
      <c r="H82" s="108"/>
      <c r="I82" s="108"/>
      <c r="J82" s="108"/>
      <c r="K82" s="31" t="str">
        <f t="shared" si="16"/>
        <v>运营中</v>
      </c>
      <c r="L82" s="108"/>
      <c r="M82" s="108"/>
      <c r="N82" s="12">
        <v>1</v>
      </c>
      <c r="O82" s="36">
        <v>41741</v>
      </c>
      <c r="P82" s="17" t="s">
        <v>257</v>
      </c>
      <c r="Q82" s="12" t="s">
        <v>258</v>
      </c>
      <c r="R82" s="12" t="s">
        <v>538</v>
      </c>
      <c r="S82" s="108"/>
      <c r="T82" s="108"/>
      <c r="U82" s="111"/>
      <c r="V82" s="108"/>
      <c r="W82" s="108"/>
      <c r="X82" s="108"/>
    </row>
    <row r="83" spans="1:24" s="26" customFormat="1" hidden="1">
      <c r="A83" s="33"/>
      <c r="B83" s="108"/>
      <c r="C83" s="108"/>
      <c r="D83" s="31" t="str">
        <f t="shared" si="15"/>
        <v>快的打车</v>
      </c>
      <c r="E83" s="108"/>
      <c r="F83" s="111"/>
      <c r="G83" s="108"/>
      <c r="H83" s="108"/>
      <c r="I83" s="108"/>
      <c r="J83" s="108"/>
      <c r="K83" s="31" t="str">
        <f t="shared" si="16"/>
        <v>运营中</v>
      </c>
      <c r="L83" s="108"/>
      <c r="M83" s="108"/>
      <c r="N83" s="12">
        <v>1</v>
      </c>
      <c r="O83" s="36">
        <v>41560</v>
      </c>
      <c r="P83" s="17" t="s">
        <v>260</v>
      </c>
      <c r="Q83" s="17" t="s">
        <v>539</v>
      </c>
      <c r="R83" s="12" t="s">
        <v>462</v>
      </c>
      <c r="S83" s="108"/>
      <c r="T83" s="108"/>
      <c r="U83" s="111"/>
      <c r="V83" s="108"/>
      <c r="W83" s="108"/>
      <c r="X83" s="108"/>
    </row>
    <row r="84" spans="1:24" s="26" customFormat="1" hidden="1">
      <c r="A84" s="33"/>
      <c r="B84" s="108"/>
      <c r="C84" s="108"/>
      <c r="D84" s="31" t="str">
        <f t="shared" si="15"/>
        <v>快的打车</v>
      </c>
      <c r="E84" s="108"/>
      <c r="F84" s="111"/>
      <c r="G84" s="108"/>
      <c r="H84" s="108"/>
      <c r="I84" s="108"/>
      <c r="J84" s="108"/>
      <c r="K84" s="31" t="str">
        <f t="shared" si="16"/>
        <v>运营中</v>
      </c>
      <c r="L84" s="108"/>
      <c r="M84" s="108"/>
      <c r="N84" s="12">
        <v>1</v>
      </c>
      <c r="O84" s="36">
        <v>41365</v>
      </c>
      <c r="P84" s="17" t="s">
        <v>262</v>
      </c>
      <c r="Q84" s="17" t="s">
        <v>539</v>
      </c>
      <c r="R84" s="12" t="s">
        <v>240</v>
      </c>
      <c r="S84" s="108"/>
      <c r="T84" s="108"/>
      <c r="U84" s="111"/>
      <c r="V84" s="108"/>
      <c r="W84" s="108"/>
      <c r="X84" s="108"/>
    </row>
    <row r="85" spans="1:24" s="26" customFormat="1" hidden="1">
      <c r="A85" s="33"/>
      <c r="B85" s="108"/>
      <c r="C85" s="108"/>
      <c r="D85" s="31" t="str">
        <f t="shared" si="15"/>
        <v>快的打车</v>
      </c>
      <c r="E85" s="108"/>
      <c r="F85" s="111"/>
      <c r="G85" s="108"/>
      <c r="H85" s="108"/>
      <c r="I85" s="108"/>
      <c r="J85" s="108"/>
      <c r="K85" s="31" t="str">
        <f t="shared" si="16"/>
        <v>运营中</v>
      </c>
      <c r="L85" s="108"/>
      <c r="M85" s="108"/>
      <c r="N85" s="12">
        <v>1</v>
      </c>
      <c r="O85" s="36">
        <v>41244</v>
      </c>
      <c r="P85" s="12" t="s">
        <v>326</v>
      </c>
      <c r="Q85" s="12" t="s">
        <v>327</v>
      </c>
      <c r="R85" s="12" t="s">
        <v>540</v>
      </c>
      <c r="S85" s="108"/>
      <c r="T85" s="108"/>
      <c r="U85" s="111"/>
      <c r="V85" s="108"/>
      <c r="W85" s="108"/>
      <c r="X85" s="108"/>
    </row>
    <row r="86" spans="1:24" s="26" customFormat="1" hidden="1">
      <c r="A86" s="33"/>
      <c r="B86" s="108"/>
      <c r="C86" s="108" t="s">
        <v>541</v>
      </c>
      <c r="D86" s="31" t="s">
        <v>542</v>
      </c>
      <c r="E86" s="107" t="s">
        <v>542</v>
      </c>
      <c r="F86" s="110" t="s">
        <v>543</v>
      </c>
      <c r="G86" s="107" t="s">
        <v>544</v>
      </c>
      <c r="H86" s="108" t="s">
        <v>545</v>
      </c>
      <c r="I86" s="108" t="s">
        <v>546</v>
      </c>
      <c r="J86" s="107" t="s">
        <v>547</v>
      </c>
      <c r="K86" s="31" t="s">
        <v>272</v>
      </c>
      <c r="L86" s="107" t="s">
        <v>485</v>
      </c>
      <c r="M86" s="107" t="s">
        <v>548</v>
      </c>
      <c r="N86" s="12"/>
      <c r="O86" s="36">
        <v>41873</v>
      </c>
      <c r="P86" s="17" t="s">
        <v>257</v>
      </c>
      <c r="Q86" s="12" t="s">
        <v>258</v>
      </c>
      <c r="R86" s="12" t="s">
        <v>549</v>
      </c>
      <c r="S86" s="108" t="s">
        <v>550</v>
      </c>
      <c r="T86" s="108" t="s">
        <v>551</v>
      </c>
      <c r="U86" s="110" t="s">
        <v>552</v>
      </c>
      <c r="V86" s="108"/>
      <c r="W86" s="108"/>
      <c r="X86" s="108"/>
    </row>
    <row r="87" spans="1:24" s="26" customFormat="1" hidden="1">
      <c r="A87" s="33"/>
      <c r="B87" s="108"/>
      <c r="C87" s="108"/>
      <c r="D87" s="31" t="str">
        <f>D86</f>
        <v>超级课程表</v>
      </c>
      <c r="E87" s="108"/>
      <c r="F87" s="111"/>
      <c r="G87" s="108"/>
      <c r="H87" s="108"/>
      <c r="I87" s="108"/>
      <c r="J87" s="108"/>
      <c r="K87" s="31" t="str">
        <f t="shared" ref="K87:K89" si="17">K86</f>
        <v>运营中</v>
      </c>
      <c r="L87" s="108"/>
      <c r="M87" s="108"/>
      <c r="N87" s="17"/>
      <c r="O87" s="36">
        <v>41548</v>
      </c>
      <c r="P87" s="17" t="s">
        <v>262</v>
      </c>
      <c r="Q87" s="17" t="s">
        <v>360</v>
      </c>
      <c r="R87" s="12" t="s">
        <v>553</v>
      </c>
      <c r="S87" s="108"/>
      <c r="T87" s="108"/>
      <c r="U87" s="111"/>
      <c r="V87" s="108"/>
      <c r="W87" s="108"/>
      <c r="X87" s="108"/>
    </row>
    <row r="88" spans="1:24" s="26" customFormat="1" hidden="1">
      <c r="A88" s="33"/>
      <c r="B88" s="108"/>
      <c r="C88" s="108"/>
      <c r="D88" s="31" t="str">
        <f>D87</f>
        <v>超级课程表</v>
      </c>
      <c r="E88" s="108"/>
      <c r="F88" s="111"/>
      <c r="G88" s="108"/>
      <c r="H88" s="108"/>
      <c r="I88" s="108"/>
      <c r="J88" s="108"/>
      <c r="K88" s="31" t="str">
        <f t="shared" si="17"/>
        <v>运营中</v>
      </c>
      <c r="L88" s="108"/>
      <c r="M88" s="108"/>
      <c r="N88" s="17"/>
      <c r="O88" s="36">
        <v>41487</v>
      </c>
      <c r="P88" s="12" t="s">
        <v>326</v>
      </c>
      <c r="Q88" s="12" t="s">
        <v>327</v>
      </c>
      <c r="R88" s="12" t="s">
        <v>490</v>
      </c>
      <c r="S88" s="108"/>
      <c r="T88" s="108"/>
      <c r="U88" s="111"/>
      <c r="V88" s="108"/>
      <c r="W88" s="108"/>
      <c r="X88" s="108"/>
    </row>
    <row r="89" spans="1:24" s="26" customFormat="1" hidden="1">
      <c r="A89" s="33"/>
      <c r="B89" s="108"/>
      <c r="C89" s="108"/>
      <c r="D89" s="31" t="str">
        <f>D88</f>
        <v>超级课程表</v>
      </c>
      <c r="E89" s="108"/>
      <c r="F89" s="111"/>
      <c r="G89" s="108"/>
      <c r="H89" s="108"/>
      <c r="I89" s="108"/>
      <c r="J89" s="108"/>
      <c r="K89" s="31" t="str">
        <f t="shared" si="17"/>
        <v>运营中</v>
      </c>
      <c r="L89" s="108"/>
      <c r="M89" s="108"/>
      <c r="N89" s="17"/>
      <c r="O89" s="36">
        <v>41244</v>
      </c>
      <c r="P89" s="12" t="s">
        <v>437</v>
      </c>
      <c r="Q89" s="12" t="s">
        <v>398</v>
      </c>
      <c r="R89" s="12" t="s">
        <v>554</v>
      </c>
      <c r="S89" s="108"/>
      <c r="T89" s="108"/>
      <c r="U89" s="111"/>
      <c r="V89" s="108"/>
      <c r="W89" s="108"/>
      <c r="X89" s="108"/>
    </row>
    <row r="90" spans="1:24" s="26" customFormat="1" hidden="1">
      <c r="A90" s="33"/>
      <c r="B90" s="108"/>
      <c r="C90" s="108" t="s">
        <v>555</v>
      </c>
      <c r="D90" s="31" t="s">
        <v>556</v>
      </c>
      <c r="E90" s="108" t="s">
        <v>556</v>
      </c>
      <c r="F90" s="111" t="s">
        <v>557</v>
      </c>
      <c r="G90" s="107" t="s">
        <v>558</v>
      </c>
      <c r="H90" s="108" t="s">
        <v>559</v>
      </c>
      <c r="I90" s="108" t="s">
        <v>405</v>
      </c>
      <c r="J90" s="107" t="s">
        <v>428</v>
      </c>
      <c r="K90" s="31" t="s">
        <v>272</v>
      </c>
      <c r="L90" s="107" t="s">
        <v>407</v>
      </c>
      <c r="M90" s="107" t="s">
        <v>560</v>
      </c>
      <c r="N90" s="12">
        <v>1</v>
      </c>
      <c r="O90" s="36">
        <v>43552</v>
      </c>
      <c r="P90" s="12" t="s">
        <v>471</v>
      </c>
      <c r="Q90" s="12" t="s">
        <v>276</v>
      </c>
      <c r="R90" s="12" t="s">
        <v>240</v>
      </c>
      <c r="S90" s="108" t="s">
        <v>561</v>
      </c>
      <c r="T90" s="107" t="s">
        <v>255</v>
      </c>
      <c r="U90" s="110" t="s">
        <v>562</v>
      </c>
      <c r="V90" s="108"/>
      <c r="W90" s="108" t="s">
        <v>563</v>
      </c>
      <c r="X90" s="108" t="s">
        <v>564</v>
      </c>
    </row>
    <row r="91" spans="1:24" s="26" customFormat="1" hidden="1">
      <c r="A91" s="33"/>
      <c r="B91" s="108"/>
      <c r="C91" s="108"/>
      <c r="D91" s="31" t="str">
        <f>D90</f>
        <v>Teambition</v>
      </c>
      <c r="E91" s="108"/>
      <c r="F91" s="111"/>
      <c r="G91" s="108"/>
      <c r="H91" s="108"/>
      <c r="I91" s="108"/>
      <c r="J91" s="108"/>
      <c r="K91" s="31" t="str">
        <f t="shared" ref="K91:K95" si="18">K90</f>
        <v>运营中</v>
      </c>
      <c r="L91" s="108"/>
      <c r="M91" s="108"/>
      <c r="N91" s="12">
        <v>1</v>
      </c>
      <c r="O91" s="36">
        <v>42600</v>
      </c>
      <c r="P91" s="17" t="s">
        <v>565</v>
      </c>
      <c r="Q91" s="12" t="s">
        <v>276</v>
      </c>
      <c r="R91" s="12" t="s">
        <v>566</v>
      </c>
      <c r="S91" s="108"/>
      <c r="T91" s="108"/>
      <c r="U91" s="111"/>
      <c r="V91" s="108"/>
      <c r="W91" s="108"/>
      <c r="X91" s="108"/>
    </row>
    <row r="92" spans="1:24" s="26" customFormat="1" hidden="1">
      <c r="A92" s="33"/>
      <c r="B92" s="108"/>
      <c r="C92" s="108"/>
      <c r="D92" s="31" t="str">
        <f>D91</f>
        <v>Teambition</v>
      </c>
      <c r="E92" s="108"/>
      <c r="F92" s="111"/>
      <c r="G92" s="108"/>
      <c r="H92" s="108"/>
      <c r="I92" s="108"/>
      <c r="J92" s="108"/>
      <c r="K92" s="31" t="str">
        <f t="shared" si="18"/>
        <v>运营中</v>
      </c>
      <c r="L92" s="108"/>
      <c r="M92" s="108"/>
      <c r="N92" s="12">
        <v>1</v>
      </c>
      <c r="O92" s="36">
        <v>42268</v>
      </c>
      <c r="P92" s="17" t="s">
        <v>257</v>
      </c>
      <c r="Q92" s="17" t="s">
        <v>567</v>
      </c>
      <c r="R92" s="17" t="s">
        <v>568</v>
      </c>
      <c r="S92" s="108"/>
      <c r="T92" s="108"/>
      <c r="U92" s="111"/>
      <c r="V92" s="108"/>
      <c r="W92" s="108"/>
      <c r="X92" s="108"/>
    </row>
    <row r="93" spans="1:24" s="26" customFormat="1" hidden="1">
      <c r="A93" s="33"/>
      <c r="B93" s="108"/>
      <c r="C93" s="108"/>
      <c r="D93" s="31" t="str">
        <f>D92</f>
        <v>Teambition</v>
      </c>
      <c r="E93" s="108"/>
      <c r="F93" s="111"/>
      <c r="G93" s="108"/>
      <c r="H93" s="108"/>
      <c r="I93" s="108"/>
      <c r="J93" s="108"/>
      <c r="K93" s="31" t="str">
        <f t="shared" si="18"/>
        <v>运营中</v>
      </c>
      <c r="L93" s="108"/>
      <c r="M93" s="108"/>
      <c r="N93" s="12">
        <v>1</v>
      </c>
      <c r="O93" s="36">
        <v>41976</v>
      </c>
      <c r="P93" s="17" t="s">
        <v>262</v>
      </c>
      <c r="Q93" s="17" t="s">
        <v>460</v>
      </c>
      <c r="R93" s="17" t="s">
        <v>569</v>
      </c>
      <c r="S93" s="108"/>
      <c r="T93" s="108"/>
      <c r="U93" s="111"/>
      <c r="V93" s="108"/>
      <c r="W93" s="108"/>
      <c r="X93" s="108"/>
    </row>
    <row r="94" spans="1:24" s="26" customFormat="1" hidden="1">
      <c r="A94" s="33"/>
      <c r="B94" s="108"/>
      <c r="C94" s="108"/>
      <c r="D94" s="31" t="str">
        <f>D93</f>
        <v>Teambition</v>
      </c>
      <c r="E94" s="108"/>
      <c r="F94" s="111"/>
      <c r="G94" s="108"/>
      <c r="H94" s="108"/>
      <c r="I94" s="108"/>
      <c r="J94" s="108"/>
      <c r="K94" s="31" t="str">
        <f t="shared" si="18"/>
        <v>运营中</v>
      </c>
      <c r="L94" s="108"/>
      <c r="M94" s="108"/>
      <c r="N94" s="12">
        <v>1</v>
      </c>
      <c r="O94" s="36">
        <v>41437</v>
      </c>
      <c r="P94" s="12" t="s">
        <v>326</v>
      </c>
      <c r="Q94" s="12" t="s">
        <v>327</v>
      </c>
      <c r="R94" s="12" t="s">
        <v>528</v>
      </c>
      <c r="S94" s="108"/>
      <c r="T94" s="108"/>
      <c r="U94" s="111"/>
      <c r="V94" s="108"/>
      <c r="W94" s="108"/>
      <c r="X94" s="108"/>
    </row>
    <row r="95" spans="1:24" s="26" customFormat="1" hidden="1">
      <c r="A95" s="33"/>
      <c r="B95" s="108"/>
      <c r="C95" s="108"/>
      <c r="D95" s="31" t="str">
        <f>D94</f>
        <v>Teambition</v>
      </c>
      <c r="E95" s="108"/>
      <c r="F95" s="111"/>
      <c r="G95" s="108"/>
      <c r="H95" s="108"/>
      <c r="I95" s="108"/>
      <c r="J95" s="108"/>
      <c r="K95" s="31" t="str">
        <f t="shared" si="18"/>
        <v>运营中</v>
      </c>
      <c r="L95" s="108"/>
      <c r="M95" s="108"/>
      <c r="N95" s="12">
        <v>1</v>
      </c>
      <c r="O95" s="36">
        <v>40634</v>
      </c>
      <c r="P95" s="12" t="s">
        <v>437</v>
      </c>
      <c r="Q95" s="17" t="s">
        <v>570</v>
      </c>
      <c r="R95" s="17" t="s">
        <v>253</v>
      </c>
      <c r="S95" s="108"/>
      <c r="T95" s="108"/>
      <c r="U95" s="111"/>
      <c r="V95" s="108"/>
      <c r="W95" s="108"/>
      <c r="X95" s="108"/>
    </row>
    <row r="96" spans="1:24" s="26" customFormat="1" hidden="1">
      <c r="A96" s="33"/>
      <c r="B96" s="108"/>
      <c r="C96" s="108" t="s">
        <v>571</v>
      </c>
      <c r="D96" s="31" t="s">
        <v>572</v>
      </c>
      <c r="E96" s="107" t="s">
        <v>572</v>
      </c>
      <c r="F96" s="110" t="s">
        <v>573</v>
      </c>
      <c r="G96" s="107" t="s">
        <v>574</v>
      </c>
      <c r="H96" s="108" t="s">
        <v>575</v>
      </c>
      <c r="I96" s="108" t="s">
        <v>576</v>
      </c>
      <c r="J96" s="107" t="s">
        <v>406</v>
      </c>
      <c r="K96" s="31" t="s">
        <v>272</v>
      </c>
      <c r="L96" s="107" t="s">
        <v>407</v>
      </c>
      <c r="M96" s="107" t="s">
        <v>577</v>
      </c>
      <c r="N96" s="12"/>
      <c r="O96" s="36">
        <v>42533</v>
      </c>
      <c r="P96" s="17" t="s">
        <v>257</v>
      </c>
      <c r="Q96" s="17" t="s">
        <v>578</v>
      </c>
      <c r="R96" s="12" t="s">
        <v>579</v>
      </c>
      <c r="S96" s="108" t="s">
        <v>580</v>
      </c>
      <c r="T96" s="108" t="s">
        <v>581</v>
      </c>
      <c r="U96" s="110" t="s">
        <v>582</v>
      </c>
      <c r="V96" s="107" t="s">
        <v>583</v>
      </c>
      <c r="W96" s="108" t="s">
        <v>584</v>
      </c>
      <c r="X96" s="108" t="s">
        <v>585</v>
      </c>
    </row>
    <row r="97" spans="1:24" s="26" customFormat="1" hidden="1">
      <c r="A97" s="33"/>
      <c r="B97" s="108"/>
      <c r="C97" s="108"/>
      <c r="D97" s="31" t="str">
        <f>D96</f>
        <v>树熊集团</v>
      </c>
      <c r="E97" s="108"/>
      <c r="F97" s="111"/>
      <c r="G97" s="108"/>
      <c r="H97" s="108"/>
      <c r="I97" s="108"/>
      <c r="J97" s="108"/>
      <c r="K97" s="31" t="str">
        <f t="shared" ref="K97:K98" si="19">K96</f>
        <v>运营中</v>
      </c>
      <c r="L97" s="108"/>
      <c r="M97" s="108"/>
      <c r="N97" s="17"/>
      <c r="O97" s="36">
        <v>41872</v>
      </c>
      <c r="P97" s="17" t="s">
        <v>262</v>
      </c>
      <c r="Q97" s="12" t="s">
        <v>341</v>
      </c>
      <c r="R97" s="12" t="s">
        <v>586</v>
      </c>
      <c r="S97" s="108"/>
      <c r="T97" s="108"/>
      <c r="U97" s="111"/>
      <c r="V97" s="108"/>
      <c r="W97" s="108"/>
      <c r="X97" s="108"/>
    </row>
    <row r="98" spans="1:24" s="26" customFormat="1" hidden="1">
      <c r="A98" s="33"/>
      <c r="B98" s="108"/>
      <c r="C98" s="108"/>
      <c r="D98" s="31" t="str">
        <f>D97</f>
        <v>树熊集团</v>
      </c>
      <c r="E98" s="108"/>
      <c r="F98" s="111"/>
      <c r="G98" s="108"/>
      <c r="H98" s="108"/>
      <c r="I98" s="108"/>
      <c r="J98" s="108"/>
      <c r="K98" s="31" t="str">
        <f t="shared" si="19"/>
        <v>运营中</v>
      </c>
      <c r="L98" s="108"/>
      <c r="M98" s="108"/>
      <c r="N98" s="17"/>
      <c r="O98" s="36">
        <v>41214</v>
      </c>
      <c r="P98" s="12" t="s">
        <v>326</v>
      </c>
      <c r="Q98" s="12" t="s">
        <v>327</v>
      </c>
      <c r="R98" s="12" t="s">
        <v>587</v>
      </c>
      <c r="S98" s="108"/>
      <c r="T98" s="108"/>
      <c r="U98" s="111"/>
      <c r="V98" s="108"/>
      <c r="W98" s="108"/>
      <c r="X98" s="108"/>
    </row>
    <row r="99" spans="1:24" s="26" customFormat="1" hidden="1">
      <c r="A99" s="33"/>
      <c r="B99" s="108"/>
      <c r="C99" s="108" t="s">
        <v>588</v>
      </c>
      <c r="D99" s="31" t="s">
        <v>589</v>
      </c>
      <c r="E99" s="107" t="s">
        <v>589</v>
      </c>
      <c r="F99" s="110" t="s">
        <v>590</v>
      </c>
      <c r="G99" s="107" t="s">
        <v>591</v>
      </c>
      <c r="H99" s="108" t="s">
        <v>592</v>
      </c>
      <c r="I99" s="108" t="s">
        <v>593</v>
      </c>
      <c r="J99" s="107" t="s">
        <v>406</v>
      </c>
      <c r="K99" s="31" t="s">
        <v>272</v>
      </c>
      <c r="L99" s="107" t="s">
        <v>273</v>
      </c>
      <c r="M99" s="107" t="s">
        <v>594</v>
      </c>
      <c r="N99" s="12"/>
      <c r="O99" s="36">
        <v>43346</v>
      </c>
      <c r="P99" s="17" t="s">
        <v>303</v>
      </c>
      <c r="Q99" s="17" t="s">
        <v>595</v>
      </c>
      <c r="R99" s="12" t="s">
        <v>596</v>
      </c>
      <c r="S99" s="108" t="s">
        <v>597</v>
      </c>
      <c r="T99" s="108" t="s">
        <v>598</v>
      </c>
      <c r="U99" s="110" t="s">
        <v>599</v>
      </c>
      <c r="V99" s="107" t="s">
        <v>600</v>
      </c>
      <c r="W99" s="108" t="s">
        <v>601</v>
      </c>
      <c r="X99" s="108"/>
    </row>
    <row r="100" spans="1:24" s="26" customFormat="1" hidden="1">
      <c r="A100" s="33"/>
      <c r="B100" s="108"/>
      <c r="C100" s="108"/>
      <c r="D100" s="31" t="str">
        <f>D99</f>
        <v>大搜车</v>
      </c>
      <c r="E100" s="108"/>
      <c r="F100" s="111"/>
      <c r="G100" s="108"/>
      <c r="H100" s="108"/>
      <c r="I100" s="108"/>
      <c r="J100" s="108"/>
      <c r="K100" s="31" t="str">
        <f t="shared" ref="K100:K104" si="20">K99</f>
        <v>运营中</v>
      </c>
      <c r="L100" s="108"/>
      <c r="M100" s="108"/>
      <c r="N100" s="17"/>
      <c r="O100" s="36">
        <v>43040</v>
      </c>
      <c r="P100" s="17" t="s">
        <v>310</v>
      </c>
      <c r="Q100" s="17" t="s">
        <v>602</v>
      </c>
      <c r="R100" s="12" t="s">
        <v>603</v>
      </c>
      <c r="S100" s="108"/>
      <c r="T100" s="108"/>
      <c r="U100" s="111"/>
      <c r="V100" s="108"/>
      <c r="W100" s="108"/>
      <c r="X100" s="108"/>
    </row>
    <row r="101" spans="1:24" s="26" customFormat="1" hidden="1">
      <c r="A101" s="33"/>
      <c r="B101" s="108"/>
      <c r="C101" s="108"/>
      <c r="D101" s="31" t="str">
        <f>D100</f>
        <v>大搜车</v>
      </c>
      <c r="E101" s="108"/>
      <c r="F101" s="111"/>
      <c r="G101" s="108"/>
      <c r="H101" s="108"/>
      <c r="I101" s="108"/>
      <c r="J101" s="108"/>
      <c r="K101" s="31" t="str">
        <f t="shared" si="20"/>
        <v>运营中</v>
      </c>
      <c r="L101" s="108"/>
      <c r="M101" s="108"/>
      <c r="N101" s="17"/>
      <c r="O101" s="36">
        <v>42831</v>
      </c>
      <c r="P101" s="17" t="s">
        <v>317</v>
      </c>
      <c r="Q101" s="17" t="s">
        <v>604</v>
      </c>
      <c r="R101" s="12" t="s">
        <v>605</v>
      </c>
      <c r="S101" s="108"/>
      <c r="T101" s="108"/>
      <c r="U101" s="111"/>
      <c r="V101" s="108"/>
      <c r="W101" s="108"/>
      <c r="X101" s="108"/>
    </row>
    <row r="102" spans="1:24" s="26" customFormat="1" hidden="1">
      <c r="A102" s="33"/>
      <c r="B102" s="108"/>
      <c r="C102" s="108"/>
      <c r="D102" s="31" t="str">
        <f>D101</f>
        <v>大搜车</v>
      </c>
      <c r="E102" s="108"/>
      <c r="F102" s="111"/>
      <c r="G102" s="108"/>
      <c r="H102" s="108"/>
      <c r="I102" s="108"/>
      <c r="J102" s="108"/>
      <c r="K102" s="31" t="str">
        <f t="shared" si="20"/>
        <v>运营中</v>
      </c>
      <c r="L102" s="108"/>
      <c r="M102" s="108"/>
      <c r="N102" s="17"/>
      <c r="O102" s="36">
        <v>42690</v>
      </c>
      <c r="P102" s="17" t="s">
        <v>251</v>
      </c>
      <c r="Q102" s="17" t="s">
        <v>320</v>
      </c>
      <c r="R102" s="12" t="s">
        <v>606</v>
      </c>
      <c r="S102" s="108"/>
      <c r="T102" s="108"/>
      <c r="U102" s="111"/>
      <c r="V102" s="108"/>
      <c r="W102" s="108"/>
      <c r="X102" s="108"/>
    </row>
    <row r="103" spans="1:24" s="26" customFormat="1" hidden="1">
      <c r="A103" s="33"/>
      <c r="B103" s="108"/>
      <c r="C103" s="108"/>
      <c r="D103" s="31" t="str">
        <f>D102</f>
        <v>大搜车</v>
      </c>
      <c r="E103" s="108"/>
      <c r="F103" s="111"/>
      <c r="G103" s="108"/>
      <c r="H103" s="108"/>
      <c r="I103" s="108"/>
      <c r="J103" s="108"/>
      <c r="K103" s="31" t="str">
        <f t="shared" si="20"/>
        <v>运营中</v>
      </c>
      <c r="L103" s="108"/>
      <c r="M103" s="108"/>
      <c r="N103" s="17"/>
      <c r="O103" s="36">
        <v>41518</v>
      </c>
      <c r="P103" s="17" t="s">
        <v>257</v>
      </c>
      <c r="Q103" s="17" t="s">
        <v>607</v>
      </c>
      <c r="R103" s="12" t="s">
        <v>608</v>
      </c>
      <c r="S103" s="108"/>
      <c r="T103" s="108"/>
      <c r="U103" s="111"/>
      <c r="V103" s="108"/>
      <c r="W103" s="108"/>
      <c r="X103" s="108"/>
    </row>
    <row r="104" spans="1:24" s="26" customFormat="1" hidden="1">
      <c r="A104" s="33"/>
      <c r="B104" s="108"/>
      <c r="C104" s="108"/>
      <c r="D104" s="31" t="str">
        <f>D103</f>
        <v>大搜车</v>
      </c>
      <c r="E104" s="108"/>
      <c r="F104" s="111"/>
      <c r="G104" s="108"/>
      <c r="H104" s="108"/>
      <c r="I104" s="108"/>
      <c r="J104" s="108"/>
      <c r="K104" s="31" t="str">
        <f t="shared" si="20"/>
        <v>运营中</v>
      </c>
      <c r="L104" s="108"/>
      <c r="M104" s="108"/>
      <c r="N104" s="17"/>
      <c r="O104" s="36">
        <v>41277</v>
      </c>
      <c r="P104" s="17" t="s">
        <v>262</v>
      </c>
      <c r="Q104" s="17" t="s">
        <v>609</v>
      </c>
      <c r="R104" s="12" t="s">
        <v>610</v>
      </c>
      <c r="S104" s="108"/>
      <c r="T104" s="108"/>
      <c r="U104" s="111"/>
      <c r="V104" s="108"/>
      <c r="W104" s="108"/>
      <c r="X104" s="108"/>
    </row>
    <row r="105" spans="1:24" s="26" customFormat="1" hidden="1">
      <c r="A105" s="33"/>
      <c r="B105" s="108"/>
      <c r="C105" s="108" t="s">
        <v>611</v>
      </c>
      <c r="D105" s="31" t="s">
        <v>612</v>
      </c>
      <c r="E105" s="107" t="s">
        <v>612</v>
      </c>
      <c r="F105" s="110" t="s">
        <v>613</v>
      </c>
      <c r="G105" s="107" t="s">
        <v>614</v>
      </c>
      <c r="H105" s="108" t="s">
        <v>615</v>
      </c>
      <c r="I105" s="108" t="s">
        <v>616</v>
      </c>
      <c r="J105" s="107" t="s">
        <v>406</v>
      </c>
      <c r="K105" s="31" t="s">
        <v>272</v>
      </c>
      <c r="L105" s="107" t="s">
        <v>350</v>
      </c>
      <c r="M105" s="107" t="s">
        <v>617</v>
      </c>
      <c r="N105" s="12"/>
      <c r="O105" s="36">
        <v>41426</v>
      </c>
      <c r="P105" s="17" t="s">
        <v>257</v>
      </c>
      <c r="Q105" s="12" t="s">
        <v>258</v>
      </c>
      <c r="R105" s="12" t="s">
        <v>618</v>
      </c>
      <c r="S105" s="108" t="s">
        <v>619</v>
      </c>
      <c r="T105" s="108" t="s">
        <v>551</v>
      </c>
      <c r="U105" s="110" t="s">
        <v>620</v>
      </c>
      <c r="V105" s="108"/>
      <c r="W105" s="108"/>
      <c r="X105" s="108" t="s">
        <v>621</v>
      </c>
    </row>
    <row r="106" spans="1:24" s="26" customFormat="1" hidden="1">
      <c r="A106" s="33"/>
      <c r="B106" s="108"/>
      <c r="C106" s="108"/>
      <c r="D106" s="31" t="str">
        <f>D105</f>
        <v>淘淘搜</v>
      </c>
      <c r="E106" s="108"/>
      <c r="F106" s="111"/>
      <c r="G106" s="108"/>
      <c r="H106" s="108"/>
      <c r="I106" s="108"/>
      <c r="J106" s="108"/>
      <c r="K106" s="31" t="str">
        <f t="shared" ref="K106:K107" si="21">K105</f>
        <v>运营中</v>
      </c>
      <c r="L106" s="108"/>
      <c r="M106" s="108"/>
      <c r="N106" s="17"/>
      <c r="O106" s="36">
        <v>40848</v>
      </c>
      <c r="P106" s="17" t="s">
        <v>262</v>
      </c>
      <c r="Q106" s="12" t="s">
        <v>261</v>
      </c>
      <c r="R106" s="12" t="s">
        <v>622</v>
      </c>
      <c r="S106" s="108"/>
      <c r="T106" s="108"/>
      <c r="U106" s="111"/>
      <c r="V106" s="108"/>
      <c r="W106" s="108"/>
      <c r="X106" s="108"/>
    </row>
    <row r="107" spans="1:24" s="26" customFormat="1" hidden="1">
      <c r="A107" s="33"/>
      <c r="B107" s="108"/>
      <c r="C107" s="108"/>
      <c r="D107" s="31" t="str">
        <f>D106</f>
        <v>淘淘搜</v>
      </c>
      <c r="E107" s="108"/>
      <c r="F107" s="111"/>
      <c r="G107" s="108"/>
      <c r="H107" s="108"/>
      <c r="I107" s="108"/>
      <c r="J107" s="108"/>
      <c r="K107" s="31" t="str">
        <f t="shared" si="21"/>
        <v>运营中</v>
      </c>
      <c r="L107" s="108"/>
      <c r="M107" s="108"/>
      <c r="N107" s="17"/>
      <c r="O107" s="36">
        <v>40269</v>
      </c>
      <c r="P107" s="12" t="s">
        <v>326</v>
      </c>
      <c r="Q107" s="17" t="s">
        <v>623</v>
      </c>
      <c r="R107" s="12" t="s">
        <v>240</v>
      </c>
      <c r="S107" s="108"/>
      <c r="T107" s="108"/>
      <c r="U107" s="111"/>
      <c r="V107" s="108"/>
      <c r="W107" s="108"/>
      <c r="X107" s="108"/>
    </row>
    <row r="108" spans="1:24" s="26" customFormat="1" hidden="1">
      <c r="A108" s="33"/>
      <c r="B108" s="108"/>
      <c r="C108" s="108" t="s">
        <v>624</v>
      </c>
      <c r="D108" s="31" t="s">
        <v>625</v>
      </c>
      <c r="E108" s="107" t="s">
        <v>625</v>
      </c>
      <c r="F108" s="110" t="s">
        <v>626</v>
      </c>
      <c r="G108" s="107" t="s">
        <v>627</v>
      </c>
      <c r="H108" s="108" t="s">
        <v>628</v>
      </c>
      <c r="I108" s="108" t="s">
        <v>629</v>
      </c>
      <c r="J108" s="107" t="s">
        <v>630</v>
      </c>
      <c r="K108" s="31" t="s">
        <v>272</v>
      </c>
      <c r="L108" s="107" t="s">
        <v>386</v>
      </c>
      <c r="M108" s="107" t="s">
        <v>631</v>
      </c>
      <c r="N108" s="12">
        <v>1</v>
      </c>
      <c r="O108" s="36">
        <v>42815</v>
      </c>
      <c r="P108" s="12" t="s">
        <v>471</v>
      </c>
      <c r="Q108" s="12" t="s">
        <v>252</v>
      </c>
      <c r="R108" s="12" t="s">
        <v>240</v>
      </c>
      <c r="S108" s="108" t="s">
        <v>632</v>
      </c>
      <c r="T108" s="107" t="s">
        <v>255</v>
      </c>
      <c r="U108" s="110" t="s">
        <v>633</v>
      </c>
      <c r="V108" s="107" t="s">
        <v>634</v>
      </c>
      <c r="W108" s="108" t="s">
        <v>635</v>
      </c>
      <c r="X108" s="108" t="s">
        <v>636</v>
      </c>
    </row>
    <row r="109" spans="1:24" s="26" customFormat="1" hidden="1">
      <c r="A109" s="33"/>
      <c r="B109" s="108"/>
      <c r="C109" s="108"/>
      <c r="D109" s="31" t="str">
        <f>D108</f>
        <v>大麦网</v>
      </c>
      <c r="E109" s="108"/>
      <c r="F109" s="111"/>
      <c r="G109" s="108"/>
      <c r="H109" s="108"/>
      <c r="I109" s="108"/>
      <c r="J109" s="108"/>
      <c r="K109" s="31" t="str">
        <f t="shared" ref="K109:K111" si="22">K108</f>
        <v>运营中</v>
      </c>
      <c r="L109" s="108"/>
      <c r="M109" s="108"/>
      <c r="N109" s="12">
        <v>1</v>
      </c>
      <c r="O109" s="36">
        <v>41821</v>
      </c>
      <c r="P109" s="17" t="s">
        <v>251</v>
      </c>
      <c r="Q109" s="12" t="s">
        <v>252</v>
      </c>
      <c r="R109" s="12" t="s">
        <v>240</v>
      </c>
      <c r="S109" s="108"/>
      <c r="T109" s="108"/>
      <c r="U109" s="111"/>
      <c r="V109" s="108"/>
      <c r="W109" s="108"/>
      <c r="X109" s="108"/>
    </row>
    <row r="110" spans="1:24" s="26" customFormat="1" hidden="1">
      <c r="A110" s="33"/>
      <c r="B110" s="108"/>
      <c r="C110" s="108"/>
      <c r="D110" s="31" t="str">
        <f>D109</f>
        <v>大麦网</v>
      </c>
      <c r="E110" s="108"/>
      <c r="F110" s="111"/>
      <c r="G110" s="108"/>
      <c r="H110" s="108"/>
      <c r="I110" s="108"/>
      <c r="J110" s="108"/>
      <c r="K110" s="31" t="str">
        <f t="shared" si="22"/>
        <v>运营中</v>
      </c>
      <c r="L110" s="108"/>
      <c r="M110" s="108"/>
      <c r="N110" s="12">
        <v>1</v>
      </c>
      <c r="O110" s="36">
        <v>40269</v>
      </c>
      <c r="P110" s="17" t="s">
        <v>257</v>
      </c>
      <c r="Q110" s="17" t="s">
        <v>637</v>
      </c>
      <c r="R110" s="12" t="s">
        <v>638</v>
      </c>
      <c r="S110" s="108"/>
      <c r="T110" s="108"/>
      <c r="U110" s="111"/>
      <c r="V110" s="108"/>
      <c r="W110" s="108"/>
      <c r="X110" s="108"/>
    </row>
    <row r="111" spans="1:24" s="26" customFormat="1" hidden="1">
      <c r="A111" s="33"/>
      <c r="B111" s="108"/>
      <c r="C111" s="108"/>
      <c r="D111" s="31" t="str">
        <f>D110</f>
        <v>大麦网</v>
      </c>
      <c r="E111" s="108"/>
      <c r="F111" s="111"/>
      <c r="G111" s="108"/>
      <c r="H111" s="108"/>
      <c r="I111" s="108"/>
      <c r="J111" s="108"/>
      <c r="K111" s="31" t="str">
        <f t="shared" si="22"/>
        <v>运营中</v>
      </c>
      <c r="L111" s="108"/>
      <c r="M111" s="108"/>
      <c r="N111" s="12">
        <v>1</v>
      </c>
      <c r="O111" s="36">
        <v>38353</v>
      </c>
      <c r="P111" s="17" t="s">
        <v>262</v>
      </c>
      <c r="Q111" s="17" t="s">
        <v>639</v>
      </c>
      <c r="R111" s="12" t="s">
        <v>343</v>
      </c>
      <c r="S111" s="108"/>
      <c r="T111" s="108"/>
      <c r="U111" s="111"/>
      <c r="V111" s="108"/>
      <c r="W111" s="108"/>
      <c r="X111" s="108"/>
    </row>
    <row r="112" spans="1:24" s="26" customFormat="1" hidden="1">
      <c r="A112" s="33"/>
      <c r="B112" s="108"/>
      <c r="C112" s="108" t="s">
        <v>640</v>
      </c>
      <c r="D112" s="31" t="s">
        <v>641</v>
      </c>
      <c r="E112" s="107" t="s">
        <v>641</v>
      </c>
      <c r="F112" s="110" t="s">
        <v>642</v>
      </c>
      <c r="G112" s="107" t="s">
        <v>643</v>
      </c>
      <c r="H112" s="108" t="s">
        <v>644</v>
      </c>
      <c r="I112" s="108" t="s">
        <v>483</v>
      </c>
      <c r="J112" s="107" t="s">
        <v>271</v>
      </c>
      <c r="K112" s="31" t="s">
        <v>272</v>
      </c>
      <c r="L112" s="107" t="s">
        <v>386</v>
      </c>
      <c r="M112" s="107" t="s">
        <v>645</v>
      </c>
      <c r="N112" s="12">
        <v>1</v>
      </c>
      <c r="O112" s="36">
        <v>44673</v>
      </c>
      <c r="P112" s="17" t="s">
        <v>283</v>
      </c>
      <c r="Q112" s="17" t="s">
        <v>646</v>
      </c>
      <c r="R112" s="17" t="s">
        <v>253</v>
      </c>
      <c r="S112" s="108" t="s">
        <v>647</v>
      </c>
      <c r="T112" s="108" t="s">
        <v>648</v>
      </c>
      <c r="U112" s="110" t="s">
        <v>649</v>
      </c>
      <c r="V112" s="107" t="s">
        <v>650</v>
      </c>
      <c r="W112" s="108" t="s">
        <v>651</v>
      </c>
      <c r="X112" s="108" t="s">
        <v>652</v>
      </c>
    </row>
    <row r="113" spans="1:24" s="26" customFormat="1" hidden="1">
      <c r="A113" s="33"/>
      <c r="B113" s="108"/>
      <c r="C113" s="108"/>
      <c r="D113" s="31" t="str">
        <f t="shared" ref="D113:D121" si="23">D112</f>
        <v>知乎</v>
      </c>
      <c r="E113" s="108"/>
      <c r="F113" s="111"/>
      <c r="G113" s="108"/>
      <c r="H113" s="108"/>
      <c r="I113" s="108"/>
      <c r="J113" s="108"/>
      <c r="K113" s="31" t="str">
        <f t="shared" ref="K113:K121" si="24">K112</f>
        <v>运营中</v>
      </c>
      <c r="L113" s="108"/>
      <c r="M113" s="108"/>
      <c r="N113" s="12">
        <v>1</v>
      </c>
      <c r="O113" s="36">
        <v>44281</v>
      </c>
      <c r="P113" s="17" t="s">
        <v>283</v>
      </c>
      <c r="Q113" s="17" t="s">
        <v>653</v>
      </c>
      <c r="R113" s="17" t="s">
        <v>253</v>
      </c>
      <c r="S113" s="108"/>
      <c r="T113" s="108"/>
      <c r="U113" s="111"/>
      <c r="V113" s="108"/>
      <c r="W113" s="108"/>
      <c r="X113" s="108"/>
    </row>
    <row r="114" spans="1:24" s="26" customFormat="1" hidden="1">
      <c r="A114" s="33"/>
      <c r="B114" s="108"/>
      <c r="C114" s="108"/>
      <c r="D114" s="31" t="str">
        <f t="shared" si="23"/>
        <v>知乎</v>
      </c>
      <c r="E114" s="108"/>
      <c r="F114" s="111"/>
      <c r="G114" s="108"/>
      <c r="H114" s="108"/>
      <c r="I114" s="108"/>
      <c r="J114" s="108"/>
      <c r="K114" s="31" t="str">
        <f t="shared" si="24"/>
        <v>运营中</v>
      </c>
      <c r="L114" s="108"/>
      <c r="M114" s="108"/>
      <c r="N114" s="12">
        <v>1</v>
      </c>
      <c r="O114" s="36">
        <v>44274</v>
      </c>
      <c r="P114" s="12" t="s">
        <v>654</v>
      </c>
      <c r="Q114" s="17" t="s">
        <v>655</v>
      </c>
      <c r="R114" s="12" t="s">
        <v>656</v>
      </c>
      <c r="S114" s="108"/>
      <c r="T114" s="108"/>
      <c r="U114" s="111"/>
      <c r="V114" s="108"/>
      <c r="W114" s="108"/>
      <c r="X114" s="108"/>
    </row>
    <row r="115" spans="1:24" s="26" customFormat="1" hidden="1">
      <c r="A115" s="33"/>
      <c r="B115" s="108"/>
      <c r="C115" s="108"/>
      <c r="D115" s="31" t="str">
        <f t="shared" si="23"/>
        <v>知乎</v>
      </c>
      <c r="E115" s="108"/>
      <c r="F115" s="111"/>
      <c r="G115" s="108"/>
      <c r="H115" s="108"/>
      <c r="I115" s="108"/>
      <c r="J115" s="108"/>
      <c r="K115" s="31" t="str">
        <f t="shared" si="24"/>
        <v>运营中</v>
      </c>
      <c r="L115" s="108"/>
      <c r="M115" s="108"/>
      <c r="N115" s="12">
        <v>1</v>
      </c>
      <c r="O115" s="36">
        <v>43689</v>
      </c>
      <c r="P115" s="17" t="s">
        <v>303</v>
      </c>
      <c r="Q115" s="17" t="s">
        <v>657</v>
      </c>
      <c r="R115" s="12" t="s">
        <v>658</v>
      </c>
      <c r="S115" s="108"/>
      <c r="T115" s="108"/>
      <c r="U115" s="111"/>
      <c r="V115" s="108"/>
      <c r="W115" s="108"/>
      <c r="X115" s="108"/>
    </row>
    <row r="116" spans="1:24" s="26" customFormat="1" hidden="1">
      <c r="A116" s="33"/>
      <c r="B116" s="108"/>
      <c r="C116" s="108"/>
      <c r="D116" s="31" t="str">
        <f t="shared" si="23"/>
        <v>知乎</v>
      </c>
      <c r="E116" s="108"/>
      <c r="F116" s="111"/>
      <c r="G116" s="108"/>
      <c r="H116" s="108"/>
      <c r="I116" s="108"/>
      <c r="J116" s="108"/>
      <c r="K116" s="31" t="str">
        <f t="shared" si="24"/>
        <v>运营中</v>
      </c>
      <c r="L116" s="108"/>
      <c r="M116" s="108"/>
      <c r="N116" s="12">
        <v>1</v>
      </c>
      <c r="O116" s="36">
        <v>43320</v>
      </c>
      <c r="P116" s="17" t="s">
        <v>310</v>
      </c>
      <c r="Q116" s="17" t="s">
        <v>659</v>
      </c>
      <c r="R116" s="12" t="s">
        <v>660</v>
      </c>
      <c r="S116" s="108"/>
      <c r="T116" s="108"/>
      <c r="U116" s="111"/>
      <c r="V116" s="108"/>
      <c r="W116" s="108"/>
      <c r="X116" s="108"/>
    </row>
    <row r="117" spans="1:24" s="26" customFormat="1" hidden="1">
      <c r="A117" s="33"/>
      <c r="B117" s="108"/>
      <c r="C117" s="108"/>
      <c r="D117" s="31" t="str">
        <f t="shared" si="23"/>
        <v>知乎</v>
      </c>
      <c r="E117" s="108"/>
      <c r="F117" s="111"/>
      <c r="G117" s="108"/>
      <c r="H117" s="108"/>
      <c r="I117" s="108"/>
      <c r="J117" s="108"/>
      <c r="K117" s="31" t="str">
        <f t="shared" si="24"/>
        <v>运营中</v>
      </c>
      <c r="L117" s="108"/>
      <c r="M117" s="108"/>
      <c r="N117" s="12">
        <v>1</v>
      </c>
      <c r="O117" s="36">
        <v>42747</v>
      </c>
      <c r="P117" s="17" t="s">
        <v>317</v>
      </c>
      <c r="Q117" s="17" t="s">
        <v>320</v>
      </c>
      <c r="R117" s="12" t="s">
        <v>661</v>
      </c>
      <c r="S117" s="108"/>
      <c r="T117" s="108"/>
      <c r="U117" s="111"/>
      <c r="V117" s="108"/>
      <c r="W117" s="108"/>
      <c r="X117" s="108"/>
    </row>
    <row r="118" spans="1:24" s="26" customFormat="1" hidden="1">
      <c r="A118" s="33"/>
      <c r="B118" s="108"/>
      <c r="C118" s="108"/>
      <c r="D118" s="31" t="str">
        <f t="shared" si="23"/>
        <v>知乎</v>
      </c>
      <c r="E118" s="108"/>
      <c r="F118" s="111"/>
      <c r="G118" s="108"/>
      <c r="H118" s="108"/>
      <c r="I118" s="108"/>
      <c r="J118" s="108"/>
      <c r="K118" s="31" t="str">
        <f t="shared" si="24"/>
        <v>运营中</v>
      </c>
      <c r="L118" s="108"/>
      <c r="M118" s="108"/>
      <c r="N118" s="12">
        <v>1</v>
      </c>
      <c r="O118" s="36">
        <v>42313</v>
      </c>
      <c r="P118" s="17" t="s">
        <v>251</v>
      </c>
      <c r="Q118" s="17" t="s">
        <v>456</v>
      </c>
      <c r="R118" s="12" t="s">
        <v>662</v>
      </c>
      <c r="S118" s="108"/>
      <c r="T118" s="108"/>
      <c r="U118" s="111"/>
      <c r="V118" s="108"/>
      <c r="W118" s="108"/>
      <c r="X118" s="108"/>
    </row>
    <row r="119" spans="1:24" s="26" customFormat="1" hidden="1">
      <c r="A119" s="33"/>
      <c r="B119" s="108"/>
      <c r="C119" s="108"/>
      <c r="D119" s="31" t="str">
        <f t="shared" si="23"/>
        <v>知乎</v>
      </c>
      <c r="E119" s="108"/>
      <c r="F119" s="111"/>
      <c r="G119" s="108"/>
      <c r="H119" s="108"/>
      <c r="I119" s="108"/>
      <c r="J119" s="108"/>
      <c r="K119" s="31" t="str">
        <f t="shared" si="24"/>
        <v>运营中</v>
      </c>
      <c r="L119" s="108"/>
      <c r="M119" s="108"/>
      <c r="N119" s="12">
        <v>1</v>
      </c>
      <c r="O119" s="36">
        <v>41803</v>
      </c>
      <c r="P119" s="17" t="s">
        <v>257</v>
      </c>
      <c r="Q119" s="17" t="s">
        <v>663</v>
      </c>
      <c r="R119" s="12" t="s">
        <v>664</v>
      </c>
      <c r="S119" s="108"/>
      <c r="T119" s="108"/>
      <c r="U119" s="111"/>
      <c r="V119" s="108"/>
      <c r="W119" s="108"/>
      <c r="X119" s="108"/>
    </row>
    <row r="120" spans="1:24" s="26" customFormat="1" hidden="1">
      <c r="A120" s="33"/>
      <c r="B120" s="108"/>
      <c r="C120" s="108"/>
      <c r="D120" s="31" t="str">
        <f t="shared" si="23"/>
        <v>知乎</v>
      </c>
      <c r="E120" s="108"/>
      <c r="F120" s="111"/>
      <c r="G120" s="108"/>
      <c r="H120" s="108"/>
      <c r="I120" s="108"/>
      <c r="J120" s="108"/>
      <c r="K120" s="31" t="str">
        <f t="shared" si="24"/>
        <v>运营中</v>
      </c>
      <c r="L120" s="108"/>
      <c r="M120" s="108"/>
      <c r="N120" s="12">
        <v>1</v>
      </c>
      <c r="O120" s="36">
        <v>40969</v>
      </c>
      <c r="P120" s="17" t="s">
        <v>262</v>
      </c>
      <c r="Q120" s="12" t="s">
        <v>261</v>
      </c>
      <c r="R120" s="12" t="s">
        <v>665</v>
      </c>
      <c r="S120" s="108"/>
      <c r="T120" s="108"/>
      <c r="U120" s="111"/>
      <c r="V120" s="108"/>
      <c r="W120" s="108"/>
      <c r="X120" s="108"/>
    </row>
    <row r="121" spans="1:24" s="26" customFormat="1" hidden="1">
      <c r="A121" s="33"/>
      <c r="B121" s="108"/>
      <c r="C121" s="108"/>
      <c r="D121" s="31" t="str">
        <f t="shared" si="23"/>
        <v>知乎</v>
      </c>
      <c r="E121" s="108"/>
      <c r="F121" s="111"/>
      <c r="G121" s="108"/>
      <c r="H121" s="108"/>
      <c r="I121" s="108"/>
      <c r="J121" s="108"/>
      <c r="K121" s="31" t="str">
        <f t="shared" si="24"/>
        <v>运营中</v>
      </c>
      <c r="L121" s="108"/>
      <c r="M121" s="108"/>
      <c r="N121" s="12">
        <v>1</v>
      </c>
      <c r="O121" s="36">
        <v>40621</v>
      </c>
      <c r="P121" s="12" t="s">
        <v>326</v>
      </c>
      <c r="Q121" s="12" t="s">
        <v>327</v>
      </c>
      <c r="R121" s="12" t="s">
        <v>524</v>
      </c>
      <c r="S121" s="108"/>
      <c r="T121" s="108"/>
      <c r="U121" s="111"/>
      <c r="V121" s="108"/>
      <c r="W121" s="108"/>
      <c r="X121" s="108"/>
    </row>
    <row r="122" spans="1:24" s="26" customFormat="1" hidden="1">
      <c r="A122" s="33"/>
      <c r="B122" s="108"/>
      <c r="C122" s="108" t="s">
        <v>666</v>
      </c>
      <c r="D122" s="31" t="s">
        <v>667</v>
      </c>
      <c r="E122" s="107" t="s">
        <v>667</v>
      </c>
      <c r="F122" s="110" t="s">
        <v>668</v>
      </c>
      <c r="G122" s="107" t="s">
        <v>669</v>
      </c>
      <c r="H122" s="108" t="s">
        <v>670</v>
      </c>
      <c r="I122" s="108" t="s">
        <v>671</v>
      </c>
      <c r="J122" s="107" t="s">
        <v>428</v>
      </c>
      <c r="K122" s="35" t="s">
        <v>248</v>
      </c>
      <c r="L122" s="107" t="s">
        <v>672</v>
      </c>
      <c r="M122" s="107" t="s">
        <v>673</v>
      </c>
      <c r="N122" s="12"/>
      <c r="O122" s="36">
        <v>41214</v>
      </c>
      <c r="P122" s="17" t="s">
        <v>317</v>
      </c>
      <c r="Q122" s="12" t="s">
        <v>258</v>
      </c>
      <c r="R122" s="12" t="s">
        <v>240</v>
      </c>
      <c r="S122" s="108" t="s">
        <v>674</v>
      </c>
      <c r="T122" s="108" t="s">
        <v>551</v>
      </c>
      <c r="U122" s="110" t="s">
        <v>675</v>
      </c>
      <c r="V122" s="108"/>
      <c r="W122" s="108"/>
      <c r="X122" s="108"/>
    </row>
    <row r="123" spans="1:24" s="26" customFormat="1" hidden="1">
      <c r="A123" s="33"/>
      <c r="B123" s="108"/>
      <c r="C123" s="108"/>
      <c r="D123" s="31" t="str">
        <f>D122</f>
        <v>丁丁网</v>
      </c>
      <c r="E123" s="108"/>
      <c r="F123" s="111"/>
      <c r="G123" s="108"/>
      <c r="H123" s="108"/>
      <c r="I123" s="108"/>
      <c r="J123" s="108"/>
      <c r="K123" s="37" t="str">
        <f t="shared" ref="K123:K125" si="25">K122</f>
        <v>已关闭</v>
      </c>
      <c r="L123" s="108"/>
      <c r="M123" s="108"/>
      <c r="N123" s="17"/>
      <c r="O123" s="36">
        <v>41000</v>
      </c>
      <c r="P123" s="17" t="s">
        <v>251</v>
      </c>
      <c r="Q123" s="17" t="s">
        <v>676</v>
      </c>
      <c r="R123" s="12" t="s">
        <v>677</v>
      </c>
      <c r="S123" s="108"/>
      <c r="T123" s="108"/>
      <c r="U123" s="111"/>
      <c r="V123" s="108"/>
      <c r="W123" s="108"/>
      <c r="X123" s="108"/>
    </row>
    <row r="124" spans="1:24" s="26" customFormat="1" hidden="1">
      <c r="A124" s="33"/>
      <c r="B124" s="108"/>
      <c r="C124" s="108"/>
      <c r="D124" s="31" t="str">
        <f>D123</f>
        <v>丁丁网</v>
      </c>
      <c r="E124" s="108"/>
      <c r="F124" s="111"/>
      <c r="G124" s="108"/>
      <c r="H124" s="108"/>
      <c r="I124" s="108"/>
      <c r="J124" s="108"/>
      <c r="K124" s="37" t="str">
        <f t="shared" si="25"/>
        <v>已关闭</v>
      </c>
      <c r="L124" s="108"/>
      <c r="M124" s="108"/>
      <c r="N124" s="17"/>
      <c r="O124" s="36">
        <v>40299</v>
      </c>
      <c r="P124" s="17" t="s">
        <v>257</v>
      </c>
      <c r="Q124" s="17" t="s">
        <v>678</v>
      </c>
      <c r="R124" s="12" t="s">
        <v>679</v>
      </c>
      <c r="S124" s="108"/>
      <c r="T124" s="108"/>
      <c r="U124" s="111"/>
      <c r="V124" s="108"/>
      <c r="W124" s="108"/>
      <c r="X124" s="108"/>
    </row>
    <row r="125" spans="1:24" s="26" customFormat="1" hidden="1">
      <c r="A125" s="33"/>
      <c r="B125" s="108"/>
      <c r="C125" s="108"/>
      <c r="D125" s="31" t="str">
        <f>D124</f>
        <v>丁丁网</v>
      </c>
      <c r="E125" s="108"/>
      <c r="F125" s="111"/>
      <c r="G125" s="108"/>
      <c r="H125" s="108"/>
      <c r="I125" s="108"/>
      <c r="J125" s="108"/>
      <c r="K125" s="37" t="str">
        <f t="shared" si="25"/>
        <v>已关闭</v>
      </c>
      <c r="L125" s="108"/>
      <c r="M125" s="108"/>
      <c r="N125" s="17"/>
      <c r="O125" s="36">
        <v>39448</v>
      </c>
      <c r="P125" s="17" t="s">
        <v>262</v>
      </c>
      <c r="Q125" s="17" t="s">
        <v>678</v>
      </c>
      <c r="R125" s="12" t="s">
        <v>680</v>
      </c>
      <c r="S125" s="108"/>
      <c r="T125" s="108"/>
      <c r="U125" s="111"/>
      <c r="V125" s="108"/>
      <c r="W125" s="108"/>
      <c r="X125" s="108"/>
    </row>
    <row r="126" spans="1:24" s="26" customFormat="1" hidden="1">
      <c r="A126" s="33"/>
      <c r="B126" s="108"/>
      <c r="C126" s="108" t="s">
        <v>681</v>
      </c>
      <c r="D126" s="31" t="s">
        <v>682</v>
      </c>
      <c r="E126" s="107" t="s">
        <v>682</v>
      </c>
      <c r="F126" s="110" t="s">
        <v>683</v>
      </c>
      <c r="G126" s="107" t="s">
        <v>684</v>
      </c>
      <c r="H126" s="108" t="s">
        <v>685</v>
      </c>
      <c r="I126" s="108" t="s">
        <v>686</v>
      </c>
      <c r="J126" s="107" t="s">
        <v>385</v>
      </c>
      <c r="K126" s="31" t="s">
        <v>272</v>
      </c>
      <c r="L126" s="107" t="s">
        <v>672</v>
      </c>
      <c r="M126" s="107" t="s">
        <v>673</v>
      </c>
      <c r="N126" s="12">
        <v>1</v>
      </c>
      <c r="O126" s="36">
        <v>43750</v>
      </c>
      <c r="P126" s="17" t="s">
        <v>687</v>
      </c>
      <c r="Q126" s="17" t="s">
        <v>688</v>
      </c>
      <c r="R126" s="12" t="s">
        <v>689</v>
      </c>
      <c r="S126" s="108" t="s">
        <v>690</v>
      </c>
      <c r="T126" s="108" t="s">
        <v>691</v>
      </c>
      <c r="U126" s="110" t="s">
        <v>692</v>
      </c>
      <c r="V126" s="107" t="s">
        <v>693</v>
      </c>
      <c r="W126" s="108" t="s">
        <v>694</v>
      </c>
      <c r="X126" s="108" t="s">
        <v>695</v>
      </c>
    </row>
    <row r="127" spans="1:24" s="26" customFormat="1" hidden="1">
      <c r="A127" s="33"/>
      <c r="B127" s="108"/>
      <c r="C127" s="108"/>
      <c r="D127" s="31" t="str">
        <f t="shared" ref="D127:D134" si="26">D126</f>
        <v>宝宝树</v>
      </c>
      <c r="E127" s="108"/>
      <c r="F127" s="111"/>
      <c r="G127" s="108"/>
      <c r="H127" s="108"/>
      <c r="I127" s="108"/>
      <c r="J127" s="108"/>
      <c r="K127" s="31" t="str">
        <f t="shared" ref="K127:K134" si="27">K126</f>
        <v>运营中</v>
      </c>
      <c r="L127" s="108"/>
      <c r="M127" s="108"/>
      <c r="N127" s="12">
        <v>1</v>
      </c>
      <c r="O127" s="36">
        <v>43431</v>
      </c>
      <c r="P127" s="17" t="s">
        <v>283</v>
      </c>
      <c r="Q127" s="17" t="s">
        <v>696</v>
      </c>
      <c r="R127" s="17" t="s">
        <v>253</v>
      </c>
      <c r="S127" s="108"/>
      <c r="T127" s="108"/>
      <c r="U127" s="111"/>
      <c r="V127" s="108"/>
      <c r="W127" s="108"/>
      <c r="X127" s="108"/>
    </row>
    <row r="128" spans="1:24" s="26" customFormat="1" hidden="1">
      <c r="A128" s="33"/>
      <c r="B128" s="108"/>
      <c r="C128" s="108"/>
      <c r="D128" s="31" t="str">
        <f t="shared" si="26"/>
        <v>宝宝树</v>
      </c>
      <c r="E128" s="108"/>
      <c r="F128" s="111"/>
      <c r="G128" s="108"/>
      <c r="H128" s="108"/>
      <c r="I128" s="108"/>
      <c r="J128" s="108"/>
      <c r="K128" s="31" t="str">
        <f t="shared" si="27"/>
        <v>运营中</v>
      </c>
      <c r="L128" s="108"/>
      <c r="M128" s="108"/>
      <c r="N128" s="12">
        <v>1</v>
      </c>
      <c r="O128" s="36">
        <v>43255</v>
      </c>
      <c r="P128" s="12" t="s">
        <v>285</v>
      </c>
      <c r="Q128" s="12" t="s">
        <v>409</v>
      </c>
      <c r="R128" s="12" t="s">
        <v>240</v>
      </c>
      <c r="S128" s="108"/>
      <c r="T128" s="108"/>
      <c r="U128" s="111"/>
      <c r="V128" s="108"/>
      <c r="W128" s="108"/>
      <c r="X128" s="108"/>
    </row>
    <row r="129" spans="1:24" s="26" customFormat="1" hidden="1">
      <c r="A129" s="33"/>
      <c r="B129" s="108"/>
      <c r="C129" s="108"/>
      <c r="D129" s="31" t="str">
        <f t="shared" si="26"/>
        <v>宝宝树</v>
      </c>
      <c r="E129" s="108"/>
      <c r="F129" s="111"/>
      <c r="G129" s="108"/>
      <c r="H129" s="108"/>
      <c r="I129" s="108"/>
      <c r="J129" s="108"/>
      <c r="K129" s="31" t="str">
        <f t="shared" si="27"/>
        <v>运营中</v>
      </c>
      <c r="L129" s="108"/>
      <c r="M129" s="108"/>
      <c r="N129" s="12">
        <v>1</v>
      </c>
      <c r="O129" s="36">
        <v>42570</v>
      </c>
      <c r="P129" s="17" t="s">
        <v>317</v>
      </c>
      <c r="Q129" s="17" t="s">
        <v>697</v>
      </c>
      <c r="R129" s="12" t="s">
        <v>698</v>
      </c>
      <c r="S129" s="108"/>
      <c r="T129" s="108"/>
      <c r="U129" s="111"/>
      <c r="V129" s="108"/>
      <c r="W129" s="108"/>
      <c r="X129" s="108"/>
    </row>
    <row r="130" spans="1:24" s="26" customFormat="1" hidden="1">
      <c r="A130" s="33"/>
      <c r="B130" s="108"/>
      <c r="C130" s="108"/>
      <c r="D130" s="31" t="str">
        <f t="shared" si="26"/>
        <v>宝宝树</v>
      </c>
      <c r="E130" s="108"/>
      <c r="F130" s="111"/>
      <c r="G130" s="108"/>
      <c r="H130" s="108"/>
      <c r="I130" s="108"/>
      <c r="J130" s="108"/>
      <c r="K130" s="31" t="str">
        <f t="shared" si="27"/>
        <v>运营中</v>
      </c>
      <c r="L130" s="108"/>
      <c r="M130" s="108"/>
      <c r="N130" s="12">
        <v>1</v>
      </c>
      <c r="O130" s="36">
        <v>42207</v>
      </c>
      <c r="P130" s="17" t="s">
        <v>251</v>
      </c>
      <c r="Q130" s="17" t="s">
        <v>699</v>
      </c>
      <c r="R130" s="12" t="s">
        <v>700</v>
      </c>
      <c r="S130" s="108"/>
      <c r="T130" s="108"/>
      <c r="U130" s="111"/>
      <c r="V130" s="108"/>
      <c r="W130" s="108"/>
      <c r="X130" s="108"/>
    </row>
    <row r="131" spans="1:24" s="26" customFormat="1" hidden="1">
      <c r="A131" s="33"/>
      <c r="B131" s="108"/>
      <c r="C131" s="108"/>
      <c r="D131" s="31" t="str">
        <f t="shared" si="26"/>
        <v>宝宝树</v>
      </c>
      <c r="E131" s="108"/>
      <c r="F131" s="111"/>
      <c r="G131" s="108"/>
      <c r="H131" s="108"/>
      <c r="I131" s="108"/>
      <c r="J131" s="108"/>
      <c r="K131" s="31" t="str">
        <f t="shared" si="27"/>
        <v>运营中</v>
      </c>
      <c r="L131" s="108"/>
      <c r="M131" s="108"/>
      <c r="N131" s="12">
        <v>1</v>
      </c>
      <c r="O131" s="36">
        <v>41640</v>
      </c>
      <c r="P131" s="12" t="s">
        <v>285</v>
      </c>
      <c r="Q131" s="17" t="s">
        <v>701</v>
      </c>
      <c r="R131" s="12" t="s">
        <v>702</v>
      </c>
      <c r="S131" s="108"/>
      <c r="T131" s="108"/>
      <c r="U131" s="111"/>
      <c r="V131" s="108"/>
      <c r="W131" s="108"/>
      <c r="X131" s="108"/>
    </row>
    <row r="132" spans="1:24" s="26" customFormat="1" hidden="1">
      <c r="A132" s="33"/>
      <c r="B132" s="108"/>
      <c r="C132" s="108"/>
      <c r="D132" s="31" t="str">
        <f t="shared" si="26"/>
        <v>宝宝树</v>
      </c>
      <c r="E132" s="108"/>
      <c r="F132" s="111"/>
      <c r="G132" s="108"/>
      <c r="H132" s="108"/>
      <c r="I132" s="108"/>
      <c r="J132" s="108"/>
      <c r="K132" s="31" t="str">
        <f t="shared" si="27"/>
        <v>运营中</v>
      </c>
      <c r="L132" s="108"/>
      <c r="M132" s="108"/>
      <c r="N132" s="12">
        <v>1</v>
      </c>
      <c r="O132" s="36">
        <v>40556</v>
      </c>
      <c r="P132" s="17" t="s">
        <v>565</v>
      </c>
      <c r="Q132" s="12" t="s">
        <v>258</v>
      </c>
      <c r="R132" s="12" t="s">
        <v>703</v>
      </c>
      <c r="S132" s="108"/>
      <c r="T132" s="108"/>
      <c r="U132" s="111"/>
      <c r="V132" s="108"/>
      <c r="W132" s="108"/>
      <c r="X132" s="108"/>
    </row>
    <row r="133" spans="1:24" s="26" customFormat="1" hidden="1">
      <c r="A133" s="33"/>
      <c r="B133" s="108"/>
      <c r="C133" s="108"/>
      <c r="D133" s="31" t="str">
        <f t="shared" si="26"/>
        <v>宝宝树</v>
      </c>
      <c r="E133" s="108"/>
      <c r="F133" s="111"/>
      <c r="G133" s="108"/>
      <c r="H133" s="108"/>
      <c r="I133" s="108"/>
      <c r="J133" s="108"/>
      <c r="K133" s="31" t="str">
        <f t="shared" si="27"/>
        <v>运营中</v>
      </c>
      <c r="L133" s="108"/>
      <c r="M133" s="108"/>
      <c r="N133" s="12">
        <v>1</v>
      </c>
      <c r="O133" s="36">
        <v>39508</v>
      </c>
      <c r="P133" s="17" t="s">
        <v>257</v>
      </c>
      <c r="Q133" s="17" t="s">
        <v>337</v>
      </c>
      <c r="R133" s="12" t="s">
        <v>704</v>
      </c>
      <c r="S133" s="108"/>
      <c r="T133" s="108"/>
      <c r="U133" s="111"/>
      <c r="V133" s="108"/>
      <c r="W133" s="108"/>
      <c r="X133" s="108"/>
    </row>
    <row r="134" spans="1:24" s="26" customFormat="1" hidden="1">
      <c r="A134" s="33"/>
      <c r="B134" s="108"/>
      <c r="C134" s="108"/>
      <c r="D134" s="31" t="str">
        <f t="shared" si="26"/>
        <v>宝宝树</v>
      </c>
      <c r="E134" s="108"/>
      <c r="F134" s="111"/>
      <c r="G134" s="108"/>
      <c r="H134" s="108"/>
      <c r="I134" s="108"/>
      <c r="J134" s="108"/>
      <c r="K134" s="31" t="str">
        <f t="shared" si="27"/>
        <v>运营中</v>
      </c>
      <c r="L134" s="108"/>
      <c r="M134" s="108"/>
      <c r="N134" s="12">
        <v>1</v>
      </c>
      <c r="O134" s="36">
        <v>39212</v>
      </c>
      <c r="P134" s="17" t="s">
        <v>262</v>
      </c>
      <c r="Q134" s="17" t="s">
        <v>337</v>
      </c>
      <c r="R134" s="17" t="s">
        <v>705</v>
      </c>
      <c r="S134" s="108"/>
      <c r="T134" s="108"/>
      <c r="U134" s="111"/>
      <c r="V134" s="108"/>
      <c r="W134" s="108"/>
      <c r="X134" s="108"/>
    </row>
    <row r="135" spans="1:24" s="26" customFormat="1" hidden="1">
      <c r="A135" s="33"/>
      <c r="B135" s="108"/>
      <c r="C135" s="108" t="s">
        <v>706</v>
      </c>
      <c r="D135" s="31" t="s">
        <v>707</v>
      </c>
      <c r="E135" s="107" t="s">
        <v>708</v>
      </c>
      <c r="F135" s="110" t="s">
        <v>709</v>
      </c>
      <c r="G135" s="107" t="s">
        <v>710</v>
      </c>
      <c r="H135" s="108" t="s">
        <v>711</v>
      </c>
      <c r="I135" s="108" t="s">
        <v>712</v>
      </c>
      <c r="J135" s="107" t="s">
        <v>428</v>
      </c>
      <c r="K135" s="31" t="s">
        <v>272</v>
      </c>
      <c r="L135" s="107" t="s">
        <v>713</v>
      </c>
      <c r="M135" s="107" t="s">
        <v>714</v>
      </c>
      <c r="N135" s="12"/>
      <c r="O135" s="36">
        <v>42717</v>
      </c>
      <c r="P135" s="17" t="s">
        <v>257</v>
      </c>
      <c r="Q135" s="12" t="s">
        <v>341</v>
      </c>
      <c r="R135" s="12" t="s">
        <v>715</v>
      </c>
      <c r="S135" s="108" t="s">
        <v>716</v>
      </c>
      <c r="T135" s="108" t="s">
        <v>432</v>
      </c>
      <c r="U135" s="110" t="s">
        <v>717</v>
      </c>
      <c r="V135" s="107" t="s">
        <v>718</v>
      </c>
      <c r="W135" s="108" t="s">
        <v>719</v>
      </c>
      <c r="X135" s="108" t="s">
        <v>720</v>
      </c>
    </row>
    <row r="136" spans="1:24" s="26" customFormat="1" hidden="1">
      <c r="A136" s="33"/>
      <c r="B136" s="108"/>
      <c r="C136" s="108"/>
      <c r="D136" s="31" t="str">
        <f>D135</f>
        <v>堆糖APP</v>
      </c>
      <c r="E136" s="108"/>
      <c r="F136" s="111"/>
      <c r="G136" s="108"/>
      <c r="H136" s="108"/>
      <c r="I136" s="108"/>
      <c r="J136" s="108"/>
      <c r="K136" s="31" t="str">
        <f t="shared" ref="K136:K138" si="28">K135</f>
        <v>运营中</v>
      </c>
      <c r="L136" s="108"/>
      <c r="M136" s="108"/>
      <c r="N136" s="17"/>
      <c r="O136" s="36">
        <v>41729</v>
      </c>
      <c r="P136" s="17" t="s">
        <v>262</v>
      </c>
      <c r="Q136" s="12" t="s">
        <v>341</v>
      </c>
      <c r="R136" s="12" t="s">
        <v>240</v>
      </c>
      <c r="S136" s="108"/>
      <c r="T136" s="108"/>
      <c r="U136" s="111"/>
      <c r="V136" s="108"/>
      <c r="W136" s="108"/>
      <c r="X136" s="108"/>
    </row>
    <row r="137" spans="1:24" s="26" customFormat="1" hidden="1">
      <c r="A137" s="33"/>
      <c r="B137" s="108"/>
      <c r="C137" s="108"/>
      <c r="D137" s="31" t="str">
        <f>D136</f>
        <v>堆糖APP</v>
      </c>
      <c r="E137" s="108"/>
      <c r="F137" s="111"/>
      <c r="G137" s="108"/>
      <c r="H137" s="108"/>
      <c r="I137" s="108"/>
      <c r="J137" s="108"/>
      <c r="K137" s="31" t="str">
        <f t="shared" si="28"/>
        <v>运营中</v>
      </c>
      <c r="L137" s="108"/>
      <c r="M137" s="108"/>
      <c r="N137" s="17"/>
      <c r="O137" s="36">
        <v>40989</v>
      </c>
      <c r="P137" s="17" t="s">
        <v>721</v>
      </c>
      <c r="Q137" s="17" t="s">
        <v>263</v>
      </c>
      <c r="R137" s="17" t="s">
        <v>253</v>
      </c>
      <c r="S137" s="108"/>
      <c r="T137" s="108"/>
      <c r="U137" s="111"/>
      <c r="V137" s="108"/>
      <c r="W137" s="108"/>
      <c r="X137" s="108"/>
    </row>
    <row r="138" spans="1:24" s="26" customFormat="1" hidden="1">
      <c r="A138" s="33"/>
      <c r="B138" s="108"/>
      <c r="C138" s="108"/>
      <c r="D138" s="31" t="str">
        <f>D137</f>
        <v>堆糖APP</v>
      </c>
      <c r="E138" s="108"/>
      <c r="F138" s="111"/>
      <c r="G138" s="108"/>
      <c r="H138" s="108"/>
      <c r="I138" s="108"/>
      <c r="J138" s="108"/>
      <c r="K138" s="31" t="str">
        <f t="shared" si="28"/>
        <v>运营中</v>
      </c>
      <c r="L138" s="108"/>
      <c r="M138" s="108"/>
      <c r="N138" s="17"/>
      <c r="O138" s="36">
        <v>40878</v>
      </c>
      <c r="P138" s="12" t="s">
        <v>326</v>
      </c>
      <c r="Q138" s="12" t="s">
        <v>327</v>
      </c>
      <c r="R138" s="12" t="s">
        <v>399</v>
      </c>
      <c r="S138" s="108"/>
      <c r="T138" s="108"/>
      <c r="U138" s="111"/>
      <c r="V138" s="108"/>
      <c r="W138" s="108"/>
      <c r="X138" s="108"/>
    </row>
    <row r="139" spans="1:24" s="26" customFormat="1" hidden="1">
      <c r="A139" s="33"/>
      <c r="B139" s="108"/>
      <c r="C139" s="108" t="s">
        <v>722</v>
      </c>
      <c r="D139" s="31" t="s">
        <v>723</v>
      </c>
      <c r="E139" s="107" t="s">
        <v>723</v>
      </c>
      <c r="F139" s="110" t="s">
        <v>724</v>
      </c>
      <c r="G139" s="107" t="s">
        <v>725</v>
      </c>
      <c r="H139" s="108" t="s">
        <v>726</v>
      </c>
      <c r="I139" s="108" t="s">
        <v>727</v>
      </c>
      <c r="J139" s="107" t="s">
        <v>497</v>
      </c>
      <c r="K139" s="35" t="s">
        <v>248</v>
      </c>
      <c r="L139" s="107" t="s">
        <v>350</v>
      </c>
      <c r="M139" s="107" t="s">
        <v>728</v>
      </c>
      <c r="N139" s="12"/>
      <c r="O139" s="36">
        <v>42950</v>
      </c>
      <c r="P139" s="17" t="s">
        <v>317</v>
      </c>
      <c r="Q139" s="17" t="s">
        <v>699</v>
      </c>
      <c r="R139" s="12" t="s">
        <v>729</v>
      </c>
      <c r="S139" s="108" t="s">
        <v>730</v>
      </c>
      <c r="T139" s="108" t="s">
        <v>731</v>
      </c>
      <c r="U139" s="110" t="s">
        <v>732</v>
      </c>
      <c r="V139" s="107" t="s">
        <v>733</v>
      </c>
      <c r="W139" s="108" t="s">
        <v>734</v>
      </c>
      <c r="X139" s="108" t="s">
        <v>735</v>
      </c>
    </row>
    <row r="140" spans="1:24" s="26" customFormat="1" hidden="1">
      <c r="A140" s="33"/>
      <c r="B140" s="108"/>
      <c r="C140" s="108"/>
      <c r="D140" s="31" t="str">
        <f>D139</f>
        <v>易果生鲜</v>
      </c>
      <c r="E140" s="108"/>
      <c r="F140" s="111"/>
      <c r="G140" s="108"/>
      <c r="H140" s="108"/>
      <c r="I140" s="108"/>
      <c r="J140" s="108"/>
      <c r="K140" s="37" t="str">
        <f t="shared" ref="K140:K144" si="29">K139</f>
        <v>已关闭</v>
      </c>
      <c r="L140" s="108"/>
      <c r="M140" s="108"/>
      <c r="N140" s="17"/>
      <c r="O140" s="36">
        <v>42702</v>
      </c>
      <c r="P140" s="17" t="s">
        <v>523</v>
      </c>
      <c r="Q140" s="12" t="s">
        <v>299</v>
      </c>
      <c r="R140" s="12" t="s">
        <v>736</v>
      </c>
      <c r="S140" s="108"/>
      <c r="T140" s="108"/>
      <c r="U140" s="111"/>
      <c r="V140" s="108"/>
      <c r="W140" s="108"/>
      <c r="X140" s="108"/>
    </row>
    <row r="141" spans="1:24" s="26" customFormat="1" hidden="1">
      <c r="A141" s="33"/>
      <c r="B141" s="108"/>
      <c r="C141" s="108"/>
      <c r="D141" s="31" t="str">
        <f>D140</f>
        <v>易果生鲜</v>
      </c>
      <c r="E141" s="108"/>
      <c r="F141" s="111"/>
      <c r="G141" s="108"/>
      <c r="H141" s="108"/>
      <c r="I141" s="108"/>
      <c r="J141" s="108"/>
      <c r="K141" s="37" t="str">
        <f t="shared" si="29"/>
        <v>已关闭</v>
      </c>
      <c r="L141" s="108"/>
      <c r="M141" s="108"/>
      <c r="N141" s="17"/>
      <c r="O141" s="36">
        <v>42457</v>
      </c>
      <c r="P141" s="17" t="s">
        <v>251</v>
      </c>
      <c r="Q141" s="17" t="s">
        <v>737</v>
      </c>
      <c r="R141" s="12" t="s">
        <v>738</v>
      </c>
      <c r="S141" s="108"/>
      <c r="T141" s="108"/>
      <c r="U141" s="111"/>
      <c r="V141" s="108"/>
      <c r="W141" s="108"/>
      <c r="X141" s="108"/>
    </row>
    <row r="142" spans="1:24" s="26" customFormat="1" hidden="1">
      <c r="A142" s="33"/>
      <c r="B142" s="108"/>
      <c r="C142" s="108"/>
      <c r="D142" s="31" t="str">
        <f>D141</f>
        <v>易果生鲜</v>
      </c>
      <c r="E142" s="108"/>
      <c r="F142" s="111"/>
      <c r="G142" s="108"/>
      <c r="H142" s="108"/>
      <c r="I142" s="108"/>
      <c r="J142" s="108"/>
      <c r="K142" s="37" t="str">
        <f t="shared" si="29"/>
        <v>已关闭</v>
      </c>
      <c r="L142" s="108"/>
      <c r="M142" s="108"/>
      <c r="N142" s="17"/>
      <c r="O142" s="36">
        <v>42064</v>
      </c>
      <c r="P142" s="17" t="s">
        <v>565</v>
      </c>
      <c r="Q142" s="12" t="s">
        <v>258</v>
      </c>
      <c r="R142" s="12" t="s">
        <v>739</v>
      </c>
      <c r="S142" s="108"/>
      <c r="T142" s="108"/>
      <c r="U142" s="111"/>
      <c r="V142" s="108"/>
      <c r="W142" s="108"/>
      <c r="X142" s="108"/>
    </row>
    <row r="143" spans="1:24" s="26" customFormat="1" hidden="1">
      <c r="A143" s="33"/>
      <c r="B143" s="108"/>
      <c r="C143" s="108"/>
      <c r="D143" s="31" t="str">
        <f>D142</f>
        <v>易果生鲜</v>
      </c>
      <c r="E143" s="108"/>
      <c r="F143" s="111"/>
      <c r="G143" s="108"/>
      <c r="H143" s="108"/>
      <c r="I143" s="108"/>
      <c r="J143" s="108"/>
      <c r="K143" s="37" t="str">
        <f t="shared" si="29"/>
        <v>已关闭</v>
      </c>
      <c r="L143" s="108"/>
      <c r="M143" s="108"/>
      <c r="N143" s="17"/>
      <c r="O143" s="36">
        <v>41701</v>
      </c>
      <c r="P143" s="17" t="s">
        <v>257</v>
      </c>
      <c r="Q143" s="12" t="s">
        <v>341</v>
      </c>
      <c r="R143" s="12" t="s">
        <v>455</v>
      </c>
      <c r="S143" s="108"/>
      <c r="T143" s="108"/>
      <c r="U143" s="111"/>
      <c r="V143" s="108"/>
      <c r="W143" s="108"/>
      <c r="X143" s="108"/>
    </row>
    <row r="144" spans="1:24" s="26" customFormat="1" hidden="1">
      <c r="A144" s="33"/>
      <c r="B144" s="108"/>
      <c r="C144" s="108"/>
      <c r="D144" s="31" t="str">
        <f>D143</f>
        <v>易果生鲜</v>
      </c>
      <c r="E144" s="108"/>
      <c r="F144" s="111"/>
      <c r="G144" s="108"/>
      <c r="H144" s="108"/>
      <c r="I144" s="108"/>
      <c r="J144" s="108"/>
      <c r="K144" s="37" t="str">
        <f t="shared" si="29"/>
        <v>已关闭</v>
      </c>
      <c r="L144" s="108"/>
      <c r="M144" s="108"/>
      <c r="N144" s="17"/>
      <c r="O144" s="36">
        <v>41487</v>
      </c>
      <c r="P144" s="17" t="s">
        <v>262</v>
      </c>
      <c r="Q144" s="12" t="s">
        <v>258</v>
      </c>
      <c r="R144" s="12" t="s">
        <v>240</v>
      </c>
      <c r="S144" s="108"/>
      <c r="T144" s="108"/>
      <c r="U144" s="111"/>
      <c r="V144" s="108"/>
      <c r="W144" s="108"/>
      <c r="X144" s="108"/>
    </row>
    <row r="145" spans="1:24" s="26" customFormat="1" hidden="1">
      <c r="A145" s="33"/>
      <c r="B145" s="108"/>
      <c r="C145" s="108" t="s">
        <v>740</v>
      </c>
      <c r="D145" s="31" t="s">
        <v>741</v>
      </c>
      <c r="E145" s="107" t="s">
        <v>741</v>
      </c>
      <c r="F145" s="110" t="s">
        <v>742</v>
      </c>
      <c r="G145" s="107" t="s">
        <v>743</v>
      </c>
      <c r="H145" s="108" t="s">
        <v>744</v>
      </c>
      <c r="I145" s="108" t="s">
        <v>745</v>
      </c>
      <c r="J145" s="107" t="s">
        <v>349</v>
      </c>
      <c r="K145" s="35" t="s">
        <v>248</v>
      </c>
      <c r="L145" s="107" t="s">
        <v>672</v>
      </c>
      <c r="M145" s="107" t="s">
        <v>746</v>
      </c>
      <c r="N145" s="12"/>
      <c r="O145" s="36">
        <v>42490</v>
      </c>
      <c r="P145" s="17" t="s">
        <v>262</v>
      </c>
      <c r="Q145" s="12" t="s">
        <v>252</v>
      </c>
      <c r="R145" s="12" t="s">
        <v>747</v>
      </c>
      <c r="S145" s="108" t="s">
        <v>748</v>
      </c>
      <c r="T145" s="108" t="s">
        <v>749</v>
      </c>
      <c r="U145" s="110" t="s">
        <v>750</v>
      </c>
      <c r="V145" s="108"/>
      <c r="W145" s="108"/>
      <c r="X145" s="108" t="s">
        <v>751</v>
      </c>
    </row>
    <row r="146" spans="1:24" s="26" customFormat="1" hidden="1">
      <c r="A146" s="33"/>
      <c r="B146" s="108"/>
      <c r="C146" s="108"/>
      <c r="D146" s="31" t="str">
        <f>D145</f>
        <v>遛遛宠物</v>
      </c>
      <c r="E146" s="108"/>
      <c r="F146" s="111"/>
      <c r="G146" s="108"/>
      <c r="H146" s="108"/>
      <c r="I146" s="108"/>
      <c r="J146" s="108"/>
      <c r="K146" s="37" t="str">
        <f t="shared" ref="K146:K147" si="30">K145</f>
        <v>已关闭</v>
      </c>
      <c r="L146" s="108"/>
      <c r="M146" s="108"/>
      <c r="N146" s="17"/>
      <c r="O146" s="36">
        <v>41942</v>
      </c>
      <c r="P146" s="12" t="s">
        <v>285</v>
      </c>
      <c r="Q146" s="12" t="s">
        <v>327</v>
      </c>
      <c r="R146" s="12" t="s">
        <v>752</v>
      </c>
      <c r="S146" s="108"/>
      <c r="T146" s="108"/>
      <c r="U146" s="111"/>
      <c r="V146" s="108"/>
      <c r="W146" s="108"/>
      <c r="X146" s="108"/>
    </row>
    <row r="147" spans="1:24" s="26" customFormat="1" hidden="1">
      <c r="A147" s="33"/>
      <c r="B147" s="108"/>
      <c r="C147" s="108"/>
      <c r="D147" s="31" t="str">
        <f>D146</f>
        <v>遛遛宠物</v>
      </c>
      <c r="E147" s="108"/>
      <c r="F147" s="111"/>
      <c r="G147" s="108"/>
      <c r="H147" s="108"/>
      <c r="I147" s="108"/>
      <c r="J147" s="108"/>
      <c r="K147" s="37" t="str">
        <f t="shared" si="30"/>
        <v>已关闭</v>
      </c>
      <c r="L147" s="108"/>
      <c r="M147" s="108"/>
      <c r="N147" s="17"/>
      <c r="O147" s="36">
        <v>41395</v>
      </c>
      <c r="P147" s="12" t="s">
        <v>326</v>
      </c>
      <c r="Q147" s="17" t="s">
        <v>753</v>
      </c>
      <c r="R147" s="12" t="s">
        <v>754</v>
      </c>
      <c r="S147" s="108"/>
      <c r="T147" s="108"/>
      <c r="U147" s="111"/>
      <c r="V147" s="108"/>
      <c r="W147" s="108"/>
      <c r="X147" s="108"/>
    </row>
    <row r="148" spans="1:24" s="26" customFormat="1" hidden="1">
      <c r="A148" s="33"/>
      <c r="B148" s="108"/>
      <c r="C148" s="108" t="s">
        <v>755</v>
      </c>
      <c r="D148" s="31" t="s">
        <v>756</v>
      </c>
      <c r="E148" s="107" t="s">
        <v>756</v>
      </c>
      <c r="F148" s="110" t="s">
        <v>757</v>
      </c>
      <c r="G148" s="107" t="s">
        <v>758</v>
      </c>
      <c r="H148" s="108" t="s">
        <v>759</v>
      </c>
      <c r="I148" s="108" t="s">
        <v>760</v>
      </c>
      <c r="J148" s="107" t="s">
        <v>761</v>
      </c>
      <c r="K148" s="31" t="s">
        <v>272</v>
      </c>
      <c r="L148" s="107" t="s">
        <v>407</v>
      </c>
      <c r="M148" s="107" t="s">
        <v>762</v>
      </c>
      <c r="N148" s="12"/>
      <c r="O148" s="36">
        <v>44070</v>
      </c>
      <c r="P148" s="17" t="s">
        <v>763</v>
      </c>
      <c r="Q148" s="12" t="s">
        <v>409</v>
      </c>
      <c r="R148" s="12" t="s">
        <v>764</v>
      </c>
      <c r="S148" s="108" t="s">
        <v>765</v>
      </c>
      <c r="T148" s="108" t="s">
        <v>766</v>
      </c>
      <c r="U148" s="110" t="s">
        <v>767</v>
      </c>
      <c r="V148" s="107" t="s">
        <v>768</v>
      </c>
      <c r="W148" s="108" t="s">
        <v>769</v>
      </c>
      <c r="X148" s="108" t="s">
        <v>770</v>
      </c>
    </row>
    <row r="149" spans="1:24" s="26" customFormat="1" hidden="1">
      <c r="A149" s="33"/>
      <c r="B149" s="108"/>
      <c r="C149" s="108"/>
      <c r="D149" s="31" t="str">
        <f t="shared" ref="D149:D154" si="31">D148</f>
        <v>思必驰</v>
      </c>
      <c r="E149" s="108"/>
      <c r="F149" s="111"/>
      <c r="G149" s="108"/>
      <c r="H149" s="108"/>
      <c r="I149" s="108"/>
      <c r="J149" s="108"/>
      <c r="K149" s="31" t="str">
        <f t="shared" ref="K149:K154" si="32">K148</f>
        <v>运营中</v>
      </c>
      <c r="L149" s="108"/>
      <c r="M149" s="108"/>
      <c r="N149" s="17"/>
      <c r="O149" s="36">
        <v>43928</v>
      </c>
      <c r="P149" s="17" t="s">
        <v>310</v>
      </c>
      <c r="Q149" s="17" t="s">
        <v>771</v>
      </c>
      <c r="R149" s="12" t="s">
        <v>772</v>
      </c>
      <c r="S149" s="108"/>
      <c r="T149" s="108"/>
      <c r="U149" s="111"/>
      <c r="V149" s="108"/>
      <c r="W149" s="108"/>
      <c r="X149" s="108"/>
    </row>
    <row r="150" spans="1:24" s="26" customFormat="1" hidden="1">
      <c r="A150" s="33"/>
      <c r="B150" s="108"/>
      <c r="C150" s="108"/>
      <c r="D150" s="31" t="str">
        <f t="shared" si="31"/>
        <v>思必驰</v>
      </c>
      <c r="E150" s="108"/>
      <c r="F150" s="111"/>
      <c r="G150" s="108"/>
      <c r="H150" s="108"/>
      <c r="I150" s="108"/>
      <c r="J150" s="108"/>
      <c r="K150" s="31" t="str">
        <f t="shared" si="32"/>
        <v>运营中</v>
      </c>
      <c r="L150" s="108"/>
      <c r="M150" s="108"/>
      <c r="N150" s="17"/>
      <c r="O150" s="36">
        <v>43277</v>
      </c>
      <c r="P150" s="17" t="s">
        <v>317</v>
      </c>
      <c r="Q150" s="17" t="s">
        <v>773</v>
      </c>
      <c r="R150" s="12" t="s">
        <v>774</v>
      </c>
      <c r="S150" s="108"/>
      <c r="T150" s="108"/>
      <c r="U150" s="111"/>
      <c r="V150" s="108"/>
      <c r="W150" s="108"/>
      <c r="X150" s="108"/>
    </row>
    <row r="151" spans="1:24" s="26" customFormat="1" hidden="1">
      <c r="A151" s="33"/>
      <c r="B151" s="108"/>
      <c r="C151" s="108"/>
      <c r="D151" s="31" t="str">
        <f t="shared" si="31"/>
        <v>思必驰</v>
      </c>
      <c r="E151" s="108"/>
      <c r="F151" s="111"/>
      <c r="G151" s="108"/>
      <c r="H151" s="108"/>
      <c r="I151" s="108"/>
      <c r="J151" s="108"/>
      <c r="K151" s="31" t="str">
        <f t="shared" si="32"/>
        <v>运营中</v>
      </c>
      <c r="L151" s="108"/>
      <c r="M151" s="108"/>
      <c r="N151" s="17"/>
      <c r="O151" s="36">
        <v>42639</v>
      </c>
      <c r="P151" s="17" t="s">
        <v>523</v>
      </c>
      <c r="Q151" s="12" t="s">
        <v>252</v>
      </c>
      <c r="R151" s="17" t="s">
        <v>253</v>
      </c>
      <c r="S151" s="108"/>
      <c r="T151" s="108"/>
      <c r="U151" s="111"/>
      <c r="V151" s="108"/>
      <c r="W151" s="108"/>
      <c r="X151" s="108"/>
    </row>
    <row r="152" spans="1:24" s="26" customFormat="1" hidden="1">
      <c r="A152" s="33"/>
      <c r="B152" s="108"/>
      <c r="C152" s="108"/>
      <c r="D152" s="31" t="str">
        <f t="shared" si="31"/>
        <v>思必驰</v>
      </c>
      <c r="E152" s="108"/>
      <c r="F152" s="111"/>
      <c r="G152" s="108"/>
      <c r="H152" s="108"/>
      <c r="I152" s="108"/>
      <c r="J152" s="108"/>
      <c r="K152" s="31" t="str">
        <f t="shared" si="32"/>
        <v>运营中</v>
      </c>
      <c r="L152" s="108"/>
      <c r="M152" s="108"/>
      <c r="N152" s="17"/>
      <c r="O152" s="36">
        <v>42387</v>
      </c>
      <c r="P152" s="17" t="s">
        <v>251</v>
      </c>
      <c r="Q152" s="17" t="s">
        <v>578</v>
      </c>
      <c r="R152" s="12" t="s">
        <v>775</v>
      </c>
      <c r="S152" s="108"/>
      <c r="T152" s="108"/>
      <c r="U152" s="111"/>
      <c r="V152" s="108"/>
      <c r="W152" s="108"/>
      <c r="X152" s="108"/>
    </row>
    <row r="153" spans="1:24" s="26" customFormat="1" hidden="1">
      <c r="A153" s="33"/>
      <c r="B153" s="108"/>
      <c r="C153" s="108"/>
      <c r="D153" s="31" t="str">
        <f t="shared" si="31"/>
        <v>思必驰</v>
      </c>
      <c r="E153" s="108"/>
      <c r="F153" s="111"/>
      <c r="G153" s="108"/>
      <c r="H153" s="108"/>
      <c r="I153" s="108"/>
      <c r="J153" s="108"/>
      <c r="K153" s="31" t="str">
        <f t="shared" si="32"/>
        <v>运营中</v>
      </c>
      <c r="L153" s="108"/>
      <c r="M153" s="108"/>
      <c r="N153" s="17"/>
      <c r="O153" s="36">
        <v>41760</v>
      </c>
      <c r="P153" s="17" t="s">
        <v>257</v>
      </c>
      <c r="Q153" s="17" t="s">
        <v>637</v>
      </c>
      <c r="R153" s="17" t="s">
        <v>776</v>
      </c>
      <c r="S153" s="108"/>
      <c r="T153" s="108"/>
      <c r="U153" s="111"/>
      <c r="V153" s="108"/>
      <c r="W153" s="108"/>
      <c r="X153" s="108"/>
    </row>
    <row r="154" spans="1:24" s="26" customFormat="1" hidden="1">
      <c r="A154" s="33"/>
      <c r="B154" s="108"/>
      <c r="C154" s="108"/>
      <c r="D154" s="31" t="str">
        <f t="shared" si="31"/>
        <v>思必驰</v>
      </c>
      <c r="E154" s="108"/>
      <c r="F154" s="111"/>
      <c r="G154" s="108"/>
      <c r="H154" s="108"/>
      <c r="I154" s="108"/>
      <c r="J154" s="108"/>
      <c r="K154" s="31" t="str">
        <f t="shared" si="32"/>
        <v>运营中</v>
      </c>
      <c r="L154" s="108"/>
      <c r="M154" s="108"/>
      <c r="N154" s="17"/>
      <c r="O154" s="36">
        <v>40909</v>
      </c>
      <c r="P154" s="17" t="s">
        <v>262</v>
      </c>
      <c r="Q154" s="12" t="s">
        <v>341</v>
      </c>
      <c r="R154" s="12" t="s">
        <v>777</v>
      </c>
      <c r="S154" s="108"/>
      <c r="T154" s="108"/>
      <c r="U154" s="111"/>
      <c r="V154" s="108"/>
      <c r="W154" s="108"/>
      <c r="X154" s="108"/>
    </row>
    <row r="155" spans="1:24" s="26" customFormat="1" hidden="1">
      <c r="A155" s="33"/>
      <c r="B155" s="108"/>
      <c r="C155" s="108" t="s">
        <v>778</v>
      </c>
      <c r="D155" s="31" t="s">
        <v>779</v>
      </c>
      <c r="E155" s="108" t="s">
        <v>780</v>
      </c>
      <c r="F155" s="111" t="s">
        <v>781</v>
      </c>
      <c r="G155" s="107" t="s">
        <v>782</v>
      </c>
      <c r="H155" s="108" t="s">
        <v>783</v>
      </c>
      <c r="I155" s="108" t="s">
        <v>784</v>
      </c>
      <c r="J155" s="107" t="s">
        <v>385</v>
      </c>
      <c r="K155" s="31" t="s">
        <v>272</v>
      </c>
      <c r="L155" s="107" t="s">
        <v>485</v>
      </c>
      <c r="M155" s="107" t="s">
        <v>486</v>
      </c>
      <c r="N155" s="12"/>
      <c r="O155" s="36">
        <v>43658</v>
      </c>
      <c r="P155" s="12" t="s">
        <v>285</v>
      </c>
      <c r="Q155" s="12" t="s">
        <v>276</v>
      </c>
      <c r="R155" s="12" t="s">
        <v>785</v>
      </c>
      <c r="S155" s="108" t="s">
        <v>786</v>
      </c>
      <c r="T155" s="108" t="s">
        <v>787</v>
      </c>
      <c r="U155" s="110" t="s">
        <v>788</v>
      </c>
      <c r="V155" s="107" t="s">
        <v>789</v>
      </c>
      <c r="W155" s="108" t="s">
        <v>790</v>
      </c>
      <c r="X155" s="108" t="s">
        <v>791</v>
      </c>
    </row>
    <row r="156" spans="1:24" s="26" customFormat="1" hidden="1">
      <c r="A156" s="33"/>
      <c r="B156" s="108"/>
      <c r="C156" s="108"/>
      <c r="D156" s="31" t="str">
        <f>D155</f>
        <v>iTutorGroup集团</v>
      </c>
      <c r="E156" s="108"/>
      <c r="F156" s="111"/>
      <c r="G156" s="108"/>
      <c r="H156" s="108"/>
      <c r="I156" s="108"/>
      <c r="J156" s="108"/>
      <c r="K156" s="31" t="str">
        <f t="shared" ref="K156:K160" si="33">K155</f>
        <v>运营中</v>
      </c>
      <c r="L156" s="108"/>
      <c r="M156" s="108"/>
      <c r="N156" s="17"/>
      <c r="O156" s="36">
        <v>43524</v>
      </c>
      <c r="P156" s="17" t="s">
        <v>763</v>
      </c>
      <c r="Q156" s="12" t="s">
        <v>276</v>
      </c>
      <c r="R156" s="17" t="s">
        <v>253</v>
      </c>
      <c r="S156" s="108"/>
      <c r="T156" s="108"/>
      <c r="U156" s="111"/>
      <c r="V156" s="108"/>
      <c r="W156" s="108"/>
      <c r="X156" s="108"/>
    </row>
    <row r="157" spans="1:24" s="26" customFormat="1" hidden="1">
      <c r="A157" s="33"/>
      <c r="B157" s="108"/>
      <c r="C157" s="108"/>
      <c r="D157" s="31" t="str">
        <f>D156</f>
        <v>iTutorGroup集团</v>
      </c>
      <c r="E157" s="108"/>
      <c r="F157" s="111"/>
      <c r="G157" s="108"/>
      <c r="H157" s="108"/>
      <c r="I157" s="108"/>
      <c r="J157" s="108"/>
      <c r="K157" s="31" t="str">
        <f t="shared" si="33"/>
        <v>运营中</v>
      </c>
      <c r="L157" s="108"/>
      <c r="M157" s="108"/>
      <c r="N157" s="17"/>
      <c r="O157" s="36">
        <v>42327</v>
      </c>
      <c r="P157" s="17" t="s">
        <v>251</v>
      </c>
      <c r="Q157" s="17" t="s">
        <v>792</v>
      </c>
      <c r="R157" s="12" t="s">
        <v>793</v>
      </c>
      <c r="S157" s="108"/>
      <c r="T157" s="108"/>
      <c r="U157" s="111"/>
      <c r="V157" s="108"/>
      <c r="W157" s="108"/>
      <c r="X157" s="108"/>
    </row>
    <row r="158" spans="1:24" s="26" customFormat="1" hidden="1">
      <c r="A158" s="33"/>
      <c r="B158" s="108"/>
      <c r="C158" s="108"/>
      <c r="D158" s="31" t="str">
        <f>D157</f>
        <v>iTutorGroup集团</v>
      </c>
      <c r="E158" s="108"/>
      <c r="F158" s="111"/>
      <c r="G158" s="108"/>
      <c r="H158" s="108"/>
      <c r="I158" s="108"/>
      <c r="J158" s="108"/>
      <c r="K158" s="31" t="str">
        <f t="shared" si="33"/>
        <v>运营中</v>
      </c>
      <c r="L158" s="108"/>
      <c r="M158" s="108"/>
      <c r="N158" s="17"/>
      <c r="O158" s="36">
        <v>41699</v>
      </c>
      <c r="P158" s="17" t="s">
        <v>565</v>
      </c>
      <c r="Q158" s="12" t="s">
        <v>276</v>
      </c>
      <c r="R158" s="12" t="s">
        <v>794</v>
      </c>
      <c r="S158" s="108"/>
      <c r="T158" s="108"/>
      <c r="U158" s="111"/>
      <c r="V158" s="108"/>
      <c r="W158" s="108"/>
      <c r="X158" s="108"/>
    </row>
    <row r="159" spans="1:24" s="26" customFormat="1" hidden="1">
      <c r="A159" s="33"/>
      <c r="B159" s="108"/>
      <c r="C159" s="108"/>
      <c r="D159" s="31" t="str">
        <f>D158</f>
        <v>iTutorGroup集团</v>
      </c>
      <c r="E159" s="108"/>
      <c r="F159" s="111"/>
      <c r="G159" s="108"/>
      <c r="H159" s="108"/>
      <c r="I159" s="108"/>
      <c r="J159" s="108"/>
      <c r="K159" s="31" t="str">
        <f t="shared" si="33"/>
        <v>运营中</v>
      </c>
      <c r="L159" s="108"/>
      <c r="M159" s="108"/>
      <c r="N159" s="17"/>
      <c r="O159" s="36">
        <v>41671</v>
      </c>
      <c r="P159" s="17" t="s">
        <v>257</v>
      </c>
      <c r="Q159" s="17" t="s">
        <v>320</v>
      </c>
      <c r="R159" s="12" t="s">
        <v>795</v>
      </c>
      <c r="S159" s="108"/>
      <c r="T159" s="108"/>
      <c r="U159" s="111"/>
      <c r="V159" s="108"/>
      <c r="W159" s="108"/>
      <c r="X159" s="108"/>
    </row>
    <row r="160" spans="1:24" s="26" customFormat="1" hidden="1">
      <c r="A160" s="33"/>
      <c r="B160" s="108"/>
      <c r="C160" s="108"/>
      <c r="D160" s="31" t="str">
        <f>D159</f>
        <v>iTutorGroup集团</v>
      </c>
      <c r="E160" s="108"/>
      <c r="F160" s="111"/>
      <c r="G160" s="108"/>
      <c r="H160" s="108"/>
      <c r="I160" s="108"/>
      <c r="J160" s="108"/>
      <c r="K160" s="31" t="str">
        <f t="shared" si="33"/>
        <v>运营中</v>
      </c>
      <c r="L160" s="108"/>
      <c r="M160" s="108"/>
      <c r="N160" s="17"/>
      <c r="O160" s="36">
        <v>41000</v>
      </c>
      <c r="P160" s="17" t="s">
        <v>262</v>
      </c>
      <c r="Q160" s="17" t="s">
        <v>322</v>
      </c>
      <c r="R160" s="12" t="s">
        <v>796</v>
      </c>
      <c r="S160" s="108"/>
      <c r="T160" s="108"/>
      <c r="U160" s="111"/>
      <c r="V160" s="108"/>
      <c r="W160" s="108"/>
      <c r="X160" s="108"/>
    </row>
    <row r="161" spans="1:24" s="26" customFormat="1" hidden="1">
      <c r="A161" s="33"/>
      <c r="B161" s="108"/>
      <c r="C161" s="108" t="s">
        <v>797</v>
      </c>
      <c r="D161" s="31" t="s">
        <v>798</v>
      </c>
      <c r="E161" s="108" t="s">
        <v>799</v>
      </c>
      <c r="F161" s="111" t="s">
        <v>800</v>
      </c>
      <c r="G161" s="107" t="s">
        <v>801</v>
      </c>
      <c r="H161" s="108" t="s">
        <v>802</v>
      </c>
      <c r="I161" s="108" t="s">
        <v>803</v>
      </c>
      <c r="J161" s="107" t="s">
        <v>385</v>
      </c>
      <c r="K161" s="31" t="s">
        <v>272</v>
      </c>
      <c r="L161" s="107" t="s">
        <v>335</v>
      </c>
      <c r="M161" s="107" t="s">
        <v>804</v>
      </c>
      <c r="N161" s="12"/>
      <c r="O161" s="36">
        <v>42474</v>
      </c>
      <c r="P161" s="17" t="s">
        <v>251</v>
      </c>
      <c r="Q161" s="17" t="s">
        <v>805</v>
      </c>
      <c r="R161" s="17" t="s">
        <v>253</v>
      </c>
      <c r="S161" s="108" t="s">
        <v>806</v>
      </c>
      <c r="T161" s="108" t="s">
        <v>551</v>
      </c>
      <c r="U161" s="110" t="s">
        <v>807</v>
      </c>
      <c r="V161" s="107" t="s">
        <v>808</v>
      </c>
      <c r="W161" s="108"/>
      <c r="X161" s="108"/>
    </row>
    <row r="162" spans="1:24" s="26" customFormat="1" hidden="1">
      <c r="A162" s="33"/>
      <c r="B162" s="108"/>
      <c r="C162" s="108"/>
      <c r="D162" s="31" t="str">
        <f>D161</f>
        <v>LBE安全大师</v>
      </c>
      <c r="E162" s="108"/>
      <c r="F162" s="111"/>
      <c r="G162" s="108"/>
      <c r="H162" s="108"/>
      <c r="I162" s="108"/>
      <c r="J162" s="108"/>
      <c r="K162" s="31" t="str">
        <f t="shared" ref="K162:K164" si="34">K161</f>
        <v>运营中</v>
      </c>
      <c r="L162" s="108"/>
      <c r="M162" s="108"/>
      <c r="N162" s="17"/>
      <c r="O162" s="36">
        <v>41913</v>
      </c>
      <c r="P162" s="17" t="s">
        <v>257</v>
      </c>
      <c r="Q162" s="12" t="s">
        <v>258</v>
      </c>
      <c r="R162" s="12" t="s">
        <v>809</v>
      </c>
      <c r="S162" s="108"/>
      <c r="T162" s="108"/>
      <c r="U162" s="111"/>
      <c r="V162" s="108"/>
      <c r="W162" s="108"/>
      <c r="X162" s="108"/>
    </row>
    <row r="163" spans="1:24" s="26" customFormat="1" hidden="1">
      <c r="A163" s="33"/>
      <c r="B163" s="108"/>
      <c r="C163" s="108"/>
      <c r="D163" s="31" t="str">
        <f>D162</f>
        <v>LBE安全大师</v>
      </c>
      <c r="E163" s="108"/>
      <c r="F163" s="111"/>
      <c r="G163" s="108"/>
      <c r="H163" s="108"/>
      <c r="I163" s="108"/>
      <c r="J163" s="108"/>
      <c r="K163" s="31" t="str">
        <f t="shared" si="34"/>
        <v>运营中</v>
      </c>
      <c r="L163" s="108"/>
      <c r="M163" s="108"/>
      <c r="N163" s="17"/>
      <c r="O163" s="36">
        <v>41609</v>
      </c>
      <c r="P163" s="17" t="s">
        <v>262</v>
      </c>
      <c r="Q163" s="12" t="s">
        <v>258</v>
      </c>
      <c r="R163" s="12" t="s">
        <v>810</v>
      </c>
      <c r="S163" s="108"/>
      <c r="T163" s="108"/>
      <c r="U163" s="111"/>
      <c r="V163" s="108"/>
      <c r="W163" s="108"/>
      <c r="X163" s="108"/>
    </row>
    <row r="164" spans="1:24" s="26" customFormat="1" hidden="1">
      <c r="A164" s="33"/>
      <c r="B164" s="108"/>
      <c r="C164" s="108"/>
      <c r="D164" s="31" t="str">
        <f>D163</f>
        <v>LBE安全大师</v>
      </c>
      <c r="E164" s="108"/>
      <c r="F164" s="111"/>
      <c r="G164" s="108"/>
      <c r="H164" s="108"/>
      <c r="I164" s="108"/>
      <c r="J164" s="108"/>
      <c r="K164" s="31" t="str">
        <f t="shared" si="34"/>
        <v>运营中</v>
      </c>
      <c r="L164" s="108"/>
      <c r="M164" s="108"/>
      <c r="N164" s="17"/>
      <c r="O164" s="36">
        <v>40695</v>
      </c>
      <c r="P164" s="12" t="s">
        <v>326</v>
      </c>
      <c r="Q164" s="17" t="s">
        <v>360</v>
      </c>
      <c r="R164" s="17" t="s">
        <v>253</v>
      </c>
      <c r="S164" s="108"/>
      <c r="T164" s="108"/>
      <c r="U164" s="111"/>
      <c r="V164" s="108"/>
      <c r="W164" s="108"/>
      <c r="X164" s="108"/>
    </row>
    <row r="165" spans="1:24" s="26" customFormat="1" hidden="1">
      <c r="A165" s="33"/>
      <c r="B165" s="108"/>
      <c r="C165" s="108" t="s">
        <v>811</v>
      </c>
      <c r="D165" s="31" t="s">
        <v>812</v>
      </c>
      <c r="E165" s="107" t="s">
        <v>813</v>
      </c>
      <c r="F165" s="110" t="s">
        <v>814</v>
      </c>
      <c r="G165" s="107" t="s">
        <v>815</v>
      </c>
      <c r="H165" s="108" t="s">
        <v>816</v>
      </c>
      <c r="I165" s="108" t="s">
        <v>616</v>
      </c>
      <c r="J165" s="107" t="s">
        <v>428</v>
      </c>
      <c r="K165" s="31" t="s">
        <v>272</v>
      </c>
      <c r="L165" s="107" t="s">
        <v>386</v>
      </c>
      <c r="M165" s="107" t="s">
        <v>817</v>
      </c>
      <c r="N165" s="12">
        <v>1</v>
      </c>
      <c r="O165" s="36">
        <v>44284</v>
      </c>
      <c r="P165" s="17" t="s">
        <v>283</v>
      </c>
      <c r="Q165" s="17" t="s">
        <v>818</v>
      </c>
      <c r="R165" s="17" t="s">
        <v>253</v>
      </c>
      <c r="S165" s="108" t="s">
        <v>819</v>
      </c>
      <c r="T165" s="108" t="s">
        <v>820</v>
      </c>
      <c r="U165" s="110" t="s">
        <v>821</v>
      </c>
      <c r="V165" s="107" t="s">
        <v>822</v>
      </c>
      <c r="W165" s="108"/>
      <c r="X165" s="108"/>
    </row>
    <row r="166" spans="1:24" s="26" customFormat="1" hidden="1">
      <c r="A166" s="33"/>
      <c r="B166" s="108"/>
      <c r="C166" s="108"/>
      <c r="D166" s="31" t="str">
        <f t="shared" ref="D166:D175" si="35">D165</f>
        <v>哔哩哔哩bilibili</v>
      </c>
      <c r="E166" s="108"/>
      <c r="F166" s="111"/>
      <c r="G166" s="108"/>
      <c r="H166" s="108"/>
      <c r="I166" s="108"/>
      <c r="J166" s="108"/>
      <c r="K166" s="31" t="str">
        <f t="shared" ref="K166:K175" si="36">K165</f>
        <v>运营中</v>
      </c>
      <c r="L166" s="108"/>
      <c r="M166" s="108"/>
      <c r="N166" s="12">
        <v>1</v>
      </c>
      <c r="O166" s="36">
        <v>43930</v>
      </c>
      <c r="P166" s="17" t="s">
        <v>687</v>
      </c>
      <c r="Q166" s="17" t="s">
        <v>301</v>
      </c>
      <c r="R166" s="12" t="s">
        <v>823</v>
      </c>
      <c r="S166" s="108"/>
      <c r="T166" s="108"/>
      <c r="U166" s="111"/>
      <c r="V166" s="108"/>
      <c r="W166" s="108"/>
      <c r="X166" s="108"/>
    </row>
    <row r="167" spans="1:24" s="26" customFormat="1" hidden="1">
      <c r="A167" s="33"/>
      <c r="B167" s="108"/>
      <c r="C167" s="108"/>
      <c r="D167" s="31" t="str">
        <f t="shared" si="35"/>
        <v>哔哩哔哩bilibili</v>
      </c>
      <c r="E167" s="108"/>
      <c r="F167" s="111"/>
      <c r="G167" s="108"/>
      <c r="H167" s="108"/>
      <c r="I167" s="108"/>
      <c r="J167" s="108"/>
      <c r="K167" s="31" t="str">
        <f t="shared" si="36"/>
        <v>运营中</v>
      </c>
      <c r="L167" s="108"/>
      <c r="M167" s="108"/>
      <c r="N167" s="12">
        <v>1</v>
      </c>
      <c r="O167" s="36">
        <v>43874</v>
      </c>
      <c r="P167" s="17" t="s">
        <v>687</v>
      </c>
      <c r="Q167" s="12" t="s">
        <v>252</v>
      </c>
      <c r="R167" s="12" t="s">
        <v>566</v>
      </c>
      <c r="S167" s="108"/>
      <c r="T167" s="108"/>
      <c r="U167" s="111"/>
      <c r="V167" s="108"/>
      <c r="W167" s="108"/>
      <c r="X167" s="108"/>
    </row>
    <row r="168" spans="1:24" s="26" customFormat="1" hidden="1">
      <c r="A168" s="33"/>
      <c r="B168" s="108"/>
      <c r="C168" s="108"/>
      <c r="D168" s="31" t="str">
        <f t="shared" si="35"/>
        <v>哔哩哔哩bilibili</v>
      </c>
      <c r="E168" s="108"/>
      <c r="F168" s="111"/>
      <c r="G168" s="108"/>
      <c r="H168" s="108"/>
      <c r="I168" s="108"/>
      <c r="J168" s="108"/>
      <c r="K168" s="31" t="str">
        <f t="shared" si="36"/>
        <v>运营中</v>
      </c>
      <c r="L168" s="108"/>
      <c r="M168" s="108"/>
      <c r="N168" s="12">
        <v>1</v>
      </c>
      <c r="O168" s="36">
        <v>43510</v>
      </c>
      <c r="P168" s="17" t="s">
        <v>687</v>
      </c>
      <c r="Q168" s="12" t="s">
        <v>258</v>
      </c>
      <c r="R168" s="12" t="s">
        <v>240</v>
      </c>
      <c r="S168" s="108"/>
      <c r="T168" s="108"/>
      <c r="U168" s="111"/>
      <c r="V168" s="108"/>
      <c r="W168" s="108"/>
      <c r="X168" s="108"/>
    </row>
    <row r="169" spans="1:24" s="26" customFormat="1" hidden="1">
      <c r="A169" s="33"/>
      <c r="B169" s="108"/>
      <c r="C169" s="108"/>
      <c r="D169" s="31" t="str">
        <f t="shared" si="35"/>
        <v>哔哩哔哩bilibili</v>
      </c>
      <c r="E169" s="108"/>
      <c r="F169" s="111"/>
      <c r="G169" s="108"/>
      <c r="H169" s="108"/>
      <c r="I169" s="108"/>
      <c r="J169" s="108"/>
      <c r="K169" s="31" t="str">
        <f t="shared" si="36"/>
        <v>运营中</v>
      </c>
      <c r="L169" s="108"/>
      <c r="M169" s="108"/>
      <c r="N169" s="12">
        <v>1</v>
      </c>
      <c r="O169" s="36">
        <v>43376</v>
      </c>
      <c r="P169" s="17" t="s">
        <v>687</v>
      </c>
      <c r="Q169" s="17" t="s">
        <v>824</v>
      </c>
      <c r="R169" s="12" t="s">
        <v>566</v>
      </c>
      <c r="S169" s="108"/>
      <c r="T169" s="108"/>
      <c r="U169" s="111"/>
      <c r="V169" s="108"/>
      <c r="W169" s="108"/>
      <c r="X169" s="108"/>
    </row>
    <row r="170" spans="1:24" s="26" customFormat="1" hidden="1">
      <c r="A170" s="33"/>
      <c r="B170" s="108"/>
      <c r="C170" s="108"/>
      <c r="D170" s="31" t="str">
        <f t="shared" si="35"/>
        <v>哔哩哔哩bilibili</v>
      </c>
      <c r="E170" s="108"/>
      <c r="F170" s="111"/>
      <c r="G170" s="108"/>
      <c r="H170" s="108"/>
      <c r="I170" s="108"/>
      <c r="J170" s="108"/>
      <c r="K170" s="31" t="str">
        <f t="shared" si="36"/>
        <v>运营中</v>
      </c>
      <c r="L170" s="108"/>
      <c r="M170" s="108"/>
      <c r="N170" s="12">
        <v>1</v>
      </c>
      <c r="O170" s="36">
        <v>43187</v>
      </c>
      <c r="P170" s="17" t="s">
        <v>283</v>
      </c>
      <c r="Q170" s="17" t="s">
        <v>825</v>
      </c>
      <c r="R170" s="17" t="s">
        <v>253</v>
      </c>
      <c r="S170" s="108"/>
      <c r="T170" s="108"/>
      <c r="U170" s="111"/>
      <c r="V170" s="108"/>
      <c r="W170" s="108"/>
      <c r="X170" s="108"/>
    </row>
    <row r="171" spans="1:24" s="26" customFormat="1" hidden="1">
      <c r="A171" s="33"/>
      <c r="B171" s="108"/>
      <c r="C171" s="108"/>
      <c r="D171" s="31" t="str">
        <f t="shared" si="35"/>
        <v>哔哩哔哩bilibili</v>
      </c>
      <c r="E171" s="108"/>
      <c r="F171" s="111"/>
      <c r="G171" s="108"/>
      <c r="H171" s="108"/>
      <c r="I171" s="108"/>
      <c r="J171" s="108"/>
      <c r="K171" s="31" t="str">
        <f t="shared" si="36"/>
        <v>运营中</v>
      </c>
      <c r="L171" s="108"/>
      <c r="M171" s="108"/>
      <c r="N171" s="12">
        <v>1</v>
      </c>
      <c r="O171" s="36">
        <v>42887</v>
      </c>
      <c r="P171" s="17" t="s">
        <v>310</v>
      </c>
      <c r="Q171" s="12" t="s">
        <v>258</v>
      </c>
      <c r="R171" s="12" t="s">
        <v>826</v>
      </c>
      <c r="S171" s="108"/>
      <c r="T171" s="108"/>
      <c r="U171" s="111"/>
      <c r="V171" s="108"/>
      <c r="W171" s="108"/>
      <c r="X171" s="108"/>
    </row>
    <row r="172" spans="1:24" s="26" customFormat="1" hidden="1">
      <c r="A172" s="33"/>
      <c r="B172" s="108"/>
      <c r="C172" s="108"/>
      <c r="D172" s="31" t="str">
        <f t="shared" si="35"/>
        <v>哔哩哔哩bilibili</v>
      </c>
      <c r="E172" s="108"/>
      <c r="F172" s="111"/>
      <c r="G172" s="108"/>
      <c r="H172" s="108"/>
      <c r="I172" s="108"/>
      <c r="J172" s="108"/>
      <c r="K172" s="31" t="str">
        <f t="shared" si="36"/>
        <v>运营中</v>
      </c>
      <c r="L172" s="108"/>
      <c r="M172" s="108"/>
      <c r="N172" s="12">
        <v>1</v>
      </c>
      <c r="O172" s="36">
        <v>42318</v>
      </c>
      <c r="P172" s="17" t="s">
        <v>317</v>
      </c>
      <c r="Q172" s="12" t="s">
        <v>409</v>
      </c>
      <c r="R172" s="12" t="s">
        <v>827</v>
      </c>
      <c r="S172" s="108"/>
      <c r="T172" s="108"/>
      <c r="U172" s="111"/>
      <c r="V172" s="108"/>
      <c r="W172" s="108"/>
      <c r="X172" s="108"/>
    </row>
    <row r="173" spans="1:24" s="26" customFormat="1" hidden="1">
      <c r="A173" s="33"/>
      <c r="B173" s="108"/>
      <c r="C173" s="108"/>
      <c r="D173" s="31" t="str">
        <f t="shared" si="35"/>
        <v>哔哩哔哩bilibili</v>
      </c>
      <c r="E173" s="108"/>
      <c r="F173" s="111"/>
      <c r="G173" s="108"/>
      <c r="H173" s="108"/>
      <c r="I173" s="108"/>
      <c r="J173" s="108"/>
      <c r="K173" s="31" t="str">
        <f t="shared" si="36"/>
        <v>运营中</v>
      </c>
      <c r="L173" s="108"/>
      <c r="M173" s="108"/>
      <c r="N173" s="12">
        <v>1</v>
      </c>
      <c r="O173" s="36">
        <v>42243</v>
      </c>
      <c r="P173" s="17" t="s">
        <v>251</v>
      </c>
      <c r="Q173" s="17" t="s">
        <v>828</v>
      </c>
      <c r="R173" s="12" t="s">
        <v>829</v>
      </c>
      <c r="S173" s="108"/>
      <c r="T173" s="108"/>
      <c r="U173" s="111"/>
      <c r="V173" s="108"/>
      <c r="W173" s="108"/>
      <c r="X173" s="108"/>
    </row>
    <row r="174" spans="1:24" s="26" customFormat="1" hidden="1">
      <c r="A174" s="33"/>
      <c r="B174" s="108"/>
      <c r="C174" s="108"/>
      <c r="D174" s="31" t="str">
        <f t="shared" si="35"/>
        <v>哔哩哔哩bilibili</v>
      </c>
      <c r="E174" s="108"/>
      <c r="F174" s="111"/>
      <c r="G174" s="108"/>
      <c r="H174" s="108"/>
      <c r="I174" s="108"/>
      <c r="J174" s="108"/>
      <c r="K174" s="31" t="str">
        <f t="shared" si="36"/>
        <v>运营中</v>
      </c>
      <c r="L174" s="108"/>
      <c r="M174" s="108"/>
      <c r="N174" s="12">
        <v>1</v>
      </c>
      <c r="O174" s="36">
        <v>41926</v>
      </c>
      <c r="P174" s="17" t="s">
        <v>257</v>
      </c>
      <c r="Q174" s="12" t="s">
        <v>258</v>
      </c>
      <c r="R174" s="17" t="s">
        <v>830</v>
      </c>
      <c r="S174" s="108"/>
      <c r="T174" s="108"/>
      <c r="U174" s="111"/>
      <c r="V174" s="108"/>
      <c r="W174" s="108"/>
      <c r="X174" s="108"/>
    </row>
    <row r="175" spans="1:24" s="26" customFormat="1" hidden="1">
      <c r="A175" s="33"/>
      <c r="B175" s="108"/>
      <c r="C175" s="108"/>
      <c r="D175" s="31" t="str">
        <f t="shared" si="35"/>
        <v>哔哩哔哩bilibili</v>
      </c>
      <c r="E175" s="108"/>
      <c r="F175" s="111"/>
      <c r="G175" s="108"/>
      <c r="H175" s="108"/>
      <c r="I175" s="108"/>
      <c r="J175" s="108"/>
      <c r="K175" s="31" t="str">
        <f t="shared" si="36"/>
        <v>运营中</v>
      </c>
      <c r="L175" s="108"/>
      <c r="M175" s="108"/>
      <c r="N175" s="12">
        <v>1</v>
      </c>
      <c r="O175" s="36">
        <v>41564</v>
      </c>
      <c r="P175" s="17" t="s">
        <v>262</v>
      </c>
      <c r="Q175" s="12" t="s">
        <v>261</v>
      </c>
      <c r="R175" s="17" t="s">
        <v>831</v>
      </c>
      <c r="S175" s="108"/>
      <c r="T175" s="108"/>
      <c r="U175" s="111"/>
      <c r="V175" s="108"/>
      <c r="W175" s="108"/>
      <c r="X175" s="108"/>
    </row>
    <row r="176" spans="1:24" s="26" customFormat="1" hidden="1">
      <c r="A176" s="33"/>
      <c r="B176" s="108"/>
      <c r="C176" s="108" t="s">
        <v>832</v>
      </c>
      <c r="D176" s="31" t="s">
        <v>833</v>
      </c>
      <c r="E176" s="107" t="s">
        <v>833</v>
      </c>
      <c r="F176" s="110" t="s">
        <v>834</v>
      </c>
      <c r="G176" s="107" t="s">
        <v>835</v>
      </c>
      <c r="H176" s="108" t="s">
        <v>836</v>
      </c>
      <c r="I176" s="108" t="s">
        <v>837</v>
      </c>
      <c r="J176" s="107" t="s">
        <v>271</v>
      </c>
      <c r="K176" s="31" t="s">
        <v>272</v>
      </c>
      <c r="L176" s="107" t="s">
        <v>249</v>
      </c>
      <c r="M176" s="107" t="s">
        <v>429</v>
      </c>
      <c r="N176" s="12"/>
      <c r="O176" s="36">
        <v>42374</v>
      </c>
      <c r="P176" s="17" t="s">
        <v>317</v>
      </c>
      <c r="Q176" s="17" t="s">
        <v>838</v>
      </c>
      <c r="R176" s="17" t="s">
        <v>839</v>
      </c>
      <c r="S176" s="108" t="s">
        <v>840</v>
      </c>
      <c r="T176" s="108" t="s">
        <v>841</v>
      </c>
      <c r="U176" s="110" t="s">
        <v>842</v>
      </c>
      <c r="V176" s="107" t="s">
        <v>843</v>
      </c>
      <c r="W176" s="108" t="s">
        <v>844</v>
      </c>
      <c r="X176" s="108" t="s">
        <v>845</v>
      </c>
    </row>
    <row r="177" spans="1:24" s="26" customFormat="1" hidden="1">
      <c r="A177" s="33"/>
      <c r="B177" s="108"/>
      <c r="C177" s="108"/>
      <c r="D177" s="31" t="str">
        <f>D176</f>
        <v>穷游网</v>
      </c>
      <c r="E177" s="108"/>
      <c r="F177" s="111"/>
      <c r="G177" s="108"/>
      <c r="H177" s="108"/>
      <c r="I177" s="108"/>
      <c r="J177" s="108"/>
      <c r="K177" s="31" t="str">
        <f t="shared" ref="K177:K179" si="37">K176</f>
        <v>运营中</v>
      </c>
      <c r="L177" s="108"/>
      <c r="M177" s="108"/>
      <c r="N177" s="17"/>
      <c r="O177" s="36">
        <v>41766</v>
      </c>
      <c r="P177" s="17" t="s">
        <v>251</v>
      </c>
      <c r="Q177" s="12" t="s">
        <v>258</v>
      </c>
      <c r="R177" s="12" t="s">
        <v>846</v>
      </c>
      <c r="S177" s="108"/>
      <c r="T177" s="108"/>
      <c r="U177" s="111"/>
      <c r="V177" s="108"/>
      <c r="W177" s="108"/>
      <c r="X177" s="108"/>
    </row>
    <row r="178" spans="1:24" s="26" customFormat="1" hidden="1">
      <c r="A178" s="33"/>
      <c r="B178" s="108"/>
      <c r="C178" s="108"/>
      <c r="D178" s="31" t="str">
        <f>D177</f>
        <v>穷游网</v>
      </c>
      <c r="E178" s="108"/>
      <c r="F178" s="111"/>
      <c r="G178" s="108"/>
      <c r="H178" s="108"/>
      <c r="I178" s="108"/>
      <c r="J178" s="108"/>
      <c r="K178" s="31" t="str">
        <f t="shared" si="37"/>
        <v>运营中</v>
      </c>
      <c r="L178" s="108"/>
      <c r="M178" s="108"/>
      <c r="N178" s="17"/>
      <c r="O178" s="36">
        <v>41467</v>
      </c>
      <c r="P178" s="17" t="s">
        <v>257</v>
      </c>
      <c r="Q178" s="12" t="s">
        <v>258</v>
      </c>
      <c r="R178" s="12" t="s">
        <v>846</v>
      </c>
      <c r="S178" s="108"/>
      <c r="T178" s="108"/>
      <c r="U178" s="111"/>
      <c r="V178" s="108"/>
      <c r="W178" s="108"/>
      <c r="X178" s="108"/>
    </row>
    <row r="179" spans="1:24" s="26" customFormat="1" hidden="1">
      <c r="A179" s="33"/>
      <c r="B179" s="108"/>
      <c r="C179" s="108"/>
      <c r="D179" s="31" t="str">
        <f>D178</f>
        <v>穷游网</v>
      </c>
      <c r="E179" s="108"/>
      <c r="F179" s="111"/>
      <c r="G179" s="108"/>
      <c r="H179" s="108"/>
      <c r="I179" s="108"/>
      <c r="J179" s="108"/>
      <c r="K179" s="31" t="str">
        <f t="shared" si="37"/>
        <v>运营中</v>
      </c>
      <c r="L179" s="108"/>
      <c r="M179" s="108"/>
      <c r="N179" s="17"/>
      <c r="O179" s="36">
        <v>40544</v>
      </c>
      <c r="P179" s="17" t="s">
        <v>262</v>
      </c>
      <c r="Q179" s="12" t="s">
        <v>261</v>
      </c>
      <c r="R179" s="12" t="s">
        <v>847</v>
      </c>
      <c r="S179" s="108"/>
      <c r="T179" s="108"/>
      <c r="U179" s="111"/>
      <c r="V179" s="108"/>
      <c r="W179" s="108"/>
      <c r="X179" s="108"/>
    </row>
    <row r="180" spans="1:24" s="26" customFormat="1" hidden="1">
      <c r="A180" s="33"/>
      <c r="B180" s="108"/>
      <c r="C180" s="108" t="s">
        <v>848</v>
      </c>
      <c r="D180" s="31" t="s">
        <v>849</v>
      </c>
      <c r="E180" s="107" t="s">
        <v>849</v>
      </c>
      <c r="F180" s="110" t="s">
        <v>850</v>
      </c>
      <c r="G180" s="107" t="s">
        <v>851</v>
      </c>
      <c r="H180" s="108" t="s">
        <v>852</v>
      </c>
      <c r="I180" s="108" t="s">
        <v>427</v>
      </c>
      <c r="J180" s="107" t="s">
        <v>428</v>
      </c>
      <c r="K180" s="31" t="s">
        <v>272</v>
      </c>
      <c r="L180" s="107" t="s">
        <v>672</v>
      </c>
      <c r="M180" s="107" t="s">
        <v>853</v>
      </c>
      <c r="N180" s="12">
        <v>1</v>
      </c>
      <c r="O180" s="36">
        <v>44214</v>
      </c>
      <c r="P180" s="12" t="s">
        <v>471</v>
      </c>
      <c r="Q180" s="12" t="s">
        <v>252</v>
      </c>
      <c r="R180" s="12" t="s">
        <v>240</v>
      </c>
      <c r="S180" s="108" t="s">
        <v>854</v>
      </c>
      <c r="T180" s="107" t="s">
        <v>255</v>
      </c>
      <c r="U180" s="110" t="s">
        <v>855</v>
      </c>
      <c r="V180" s="108"/>
      <c r="W180" s="108"/>
      <c r="X180" s="108"/>
    </row>
    <row r="181" spans="1:24" s="26" customFormat="1" hidden="1">
      <c r="A181" s="33"/>
      <c r="B181" s="108"/>
      <c r="C181" s="108"/>
      <c r="D181" s="31" t="str">
        <f t="shared" ref="D181:D186" si="38">D180</f>
        <v>美味不用等</v>
      </c>
      <c r="E181" s="108"/>
      <c r="F181" s="111"/>
      <c r="G181" s="108"/>
      <c r="H181" s="108"/>
      <c r="I181" s="108"/>
      <c r="J181" s="108"/>
      <c r="K181" s="31" t="str">
        <f t="shared" ref="K181:K186" si="39">K180</f>
        <v>运营中</v>
      </c>
      <c r="L181" s="108"/>
      <c r="M181" s="108"/>
      <c r="N181" s="12">
        <v>1</v>
      </c>
      <c r="O181" s="36">
        <v>43231</v>
      </c>
      <c r="P181" s="17" t="s">
        <v>317</v>
      </c>
      <c r="Q181" s="17" t="s">
        <v>856</v>
      </c>
      <c r="R181" s="12" t="s">
        <v>857</v>
      </c>
      <c r="S181" s="108"/>
      <c r="T181" s="108"/>
      <c r="U181" s="111"/>
      <c r="V181" s="108"/>
      <c r="W181" s="108"/>
      <c r="X181" s="108"/>
    </row>
    <row r="182" spans="1:24" s="26" customFormat="1" hidden="1">
      <c r="A182" s="33"/>
      <c r="B182" s="108"/>
      <c r="C182" s="108"/>
      <c r="D182" s="31" t="str">
        <f t="shared" si="38"/>
        <v>美味不用等</v>
      </c>
      <c r="E182" s="108"/>
      <c r="F182" s="111"/>
      <c r="G182" s="108"/>
      <c r="H182" s="108"/>
      <c r="I182" s="108"/>
      <c r="J182" s="108"/>
      <c r="K182" s="31" t="str">
        <f t="shared" si="39"/>
        <v>运营中</v>
      </c>
      <c r="L182" s="108"/>
      <c r="M182" s="108"/>
      <c r="N182" s="12">
        <v>1</v>
      </c>
      <c r="O182" s="36">
        <v>42734</v>
      </c>
      <c r="P182" s="17" t="s">
        <v>523</v>
      </c>
      <c r="Q182" s="12" t="s">
        <v>409</v>
      </c>
      <c r="R182" s="12" t="s">
        <v>858</v>
      </c>
      <c r="S182" s="108"/>
      <c r="T182" s="108"/>
      <c r="U182" s="111"/>
      <c r="V182" s="108"/>
      <c r="W182" s="108"/>
      <c r="X182" s="108"/>
    </row>
    <row r="183" spans="1:24" s="26" customFormat="1" hidden="1">
      <c r="A183" s="33"/>
      <c r="B183" s="108"/>
      <c r="C183" s="108"/>
      <c r="D183" s="31" t="str">
        <f t="shared" si="38"/>
        <v>美味不用等</v>
      </c>
      <c r="E183" s="108"/>
      <c r="F183" s="111"/>
      <c r="G183" s="108"/>
      <c r="H183" s="108"/>
      <c r="I183" s="108"/>
      <c r="J183" s="108"/>
      <c r="K183" s="31" t="str">
        <f t="shared" si="39"/>
        <v>运营中</v>
      </c>
      <c r="L183" s="108"/>
      <c r="M183" s="108"/>
      <c r="N183" s="12">
        <v>1</v>
      </c>
      <c r="O183" s="36">
        <v>42305</v>
      </c>
      <c r="P183" s="17" t="s">
        <v>251</v>
      </c>
      <c r="Q183" s="17" t="s">
        <v>773</v>
      </c>
      <c r="R183" s="12" t="s">
        <v>859</v>
      </c>
      <c r="S183" s="108"/>
      <c r="T183" s="108"/>
      <c r="U183" s="111"/>
      <c r="V183" s="108"/>
      <c r="W183" s="108"/>
      <c r="X183" s="108"/>
    </row>
    <row r="184" spans="1:24" s="26" customFormat="1" hidden="1">
      <c r="A184" s="33"/>
      <c r="B184" s="108"/>
      <c r="C184" s="108"/>
      <c r="D184" s="31" t="str">
        <f t="shared" si="38"/>
        <v>美味不用等</v>
      </c>
      <c r="E184" s="108"/>
      <c r="F184" s="111"/>
      <c r="G184" s="108"/>
      <c r="H184" s="108"/>
      <c r="I184" s="108"/>
      <c r="J184" s="108"/>
      <c r="K184" s="31" t="str">
        <f t="shared" si="39"/>
        <v>运营中</v>
      </c>
      <c r="L184" s="108"/>
      <c r="M184" s="108"/>
      <c r="N184" s="12">
        <v>1</v>
      </c>
      <c r="O184" s="36">
        <v>42019</v>
      </c>
      <c r="P184" s="17" t="s">
        <v>257</v>
      </c>
      <c r="Q184" s="17" t="s">
        <v>458</v>
      </c>
      <c r="R184" s="12" t="s">
        <v>860</v>
      </c>
      <c r="S184" s="108"/>
      <c r="T184" s="108"/>
      <c r="U184" s="111"/>
      <c r="V184" s="108"/>
      <c r="W184" s="108"/>
      <c r="X184" s="108"/>
    </row>
    <row r="185" spans="1:24" s="26" customFormat="1" hidden="1">
      <c r="A185" s="33"/>
      <c r="B185" s="108"/>
      <c r="C185" s="108"/>
      <c r="D185" s="31" t="str">
        <f t="shared" si="38"/>
        <v>美味不用等</v>
      </c>
      <c r="E185" s="108"/>
      <c r="F185" s="111"/>
      <c r="G185" s="108"/>
      <c r="H185" s="108"/>
      <c r="I185" s="108"/>
      <c r="J185" s="108"/>
      <c r="K185" s="31" t="str">
        <f t="shared" si="39"/>
        <v>运营中</v>
      </c>
      <c r="L185" s="108"/>
      <c r="M185" s="108"/>
      <c r="N185" s="12">
        <v>1</v>
      </c>
      <c r="O185" s="36">
        <v>41863</v>
      </c>
      <c r="P185" s="17" t="s">
        <v>262</v>
      </c>
      <c r="Q185" s="12" t="s">
        <v>261</v>
      </c>
      <c r="R185" s="12" t="s">
        <v>861</v>
      </c>
      <c r="S185" s="108"/>
      <c r="T185" s="108"/>
      <c r="U185" s="111"/>
      <c r="V185" s="108"/>
      <c r="W185" s="108"/>
      <c r="X185" s="108"/>
    </row>
    <row r="186" spans="1:24" s="26" customFormat="1" hidden="1">
      <c r="A186" s="33"/>
      <c r="B186" s="108"/>
      <c r="C186" s="108"/>
      <c r="D186" s="31" t="str">
        <f t="shared" si="38"/>
        <v>美味不用等</v>
      </c>
      <c r="E186" s="108"/>
      <c r="F186" s="111"/>
      <c r="G186" s="108"/>
      <c r="H186" s="108"/>
      <c r="I186" s="108"/>
      <c r="J186" s="108"/>
      <c r="K186" s="31" t="str">
        <f t="shared" si="39"/>
        <v>运营中</v>
      </c>
      <c r="L186" s="108"/>
      <c r="M186" s="108"/>
      <c r="N186" s="12">
        <v>1</v>
      </c>
      <c r="O186" s="36">
        <v>41550</v>
      </c>
      <c r="P186" s="12" t="s">
        <v>326</v>
      </c>
      <c r="Q186" s="12" t="s">
        <v>327</v>
      </c>
      <c r="R186" s="12" t="s">
        <v>862</v>
      </c>
      <c r="S186" s="108"/>
      <c r="T186" s="108"/>
      <c r="U186" s="111"/>
      <c r="V186" s="108"/>
      <c r="W186" s="108"/>
      <c r="X186" s="108"/>
    </row>
    <row r="187" spans="1:24" s="26" customFormat="1" hidden="1">
      <c r="A187" s="33"/>
      <c r="B187" s="108"/>
      <c r="C187" s="108" t="s">
        <v>863</v>
      </c>
      <c r="D187" s="31" t="s">
        <v>864</v>
      </c>
      <c r="E187" s="107" t="s">
        <v>864</v>
      </c>
      <c r="F187" s="110" t="s">
        <v>865</v>
      </c>
      <c r="G187" s="107" t="s">
        <v>866</v>
      </c>
      <c r="H187" s="108" t="s">
        <v>867</v>
      </c>
      <c r="I187" s="108" t="s">
        <v>868</v>
      </c>
      <c r="J187" s="107" t="s">
        <v>271</v>
      </c>
      <c r="K187" s="31" t="s">
        <v>272</v>
      </c>
      <c r="L187" s="107" t="s">
        <v>335</v>
      </c>
      <c r="M187" s="107" t="s">
        <v>869</v>
      </c>
      <c r="N187" s="12">
        <v>1</v>
      </c>
      <c r="O187" s="36">
        <v>42556</v>
      </c>
      <c r="P187" s="12" t="s">
        <v>471</v>
      </c>
      <c r="Q187" s="17" t="s">
        <v>792</v>
      </c>
      <c r="R187" s="12" t="s">
        <v>240</v>
      </c>
      <c r="S187" s="108" t="s">
        <v>870</v>
      </c>
      <c r="T187" s="108" t="s">
        <v>449</v>
      </c>
      <c r="U187" s="110" t="s">
        <v>871</v>
      </c>
      <c r="V187" s="107" t="s">
        <v>872</v>
      </c>
      <c r="W187" s="108"/>
      <c r="X187" s="108"/>
    </row>
    <row r="188" spans="1:24" s="26" customFormat="1" hidden="1">
      <c r="A188" s="33"/>
      <c r="B188" s="108"/>
      <c r="C188" s="108"/>
      <c r="D188" s="31" t="str">
        <f>D187</f>
        <v>豌豆荚</v>
      </c>
      <c r="E188" s="108"/>
      <c r="F188" s="111"/>
      <c r="G188" s="108"/>
      <c r="H188" s="108"/>
      <c r="I188" s="108"/>
      <c r="J188" s="108"/>
      <c r="K188" s="31" t="str">
        <f t="shared" ref="K188:K191" si="40">K187</f>
        <v>运营中</v>
      </c>
      <c r="L188" s="108"/>
      <c r="M188" s="108"/>
      <c r="N188" s="12">
        <v>1</v>
      </c>
      <c r="O188" s="36">
        <v>41711</v>
      </c>
      <c r="P188" s="17" t="s">
        <v>565</v>
      </c>
      <c r="Q188" s="12" t="s">
        <v>258</v>
      </c>
      <c r="R188" s="12" t="s">
        <v>873</v>
      </c>
      <c r="S188" s="108"/>
      <c r="T188" s="108"/>
      <c r="U188" s="111"/>
      <c r="V188" s="108"/>
      <c r="W188" s="108"/>
      <c r="X188" s="108"/>
    </row>
    <row r="189" spans="1:24" s="26" customFormat="1" hidden="1">
      <c r="A189" s="33"/>
      <c r="B189" s="108"/>
      <c r="C189" s="108"/>
      <c r="D189" s="31" t="str">
        <f>D188</f>
        <v>豌豆荚</v>
      </c>
      <c r="E189" s="108"/>
      <c r="F189" s="111"/>
      <c r="G189" s="108"/>
      <c r="H189" s="108"/>
      <c r="I189" s="108"/>
      <c r="J189" s="108"/>
      <c r="K189" s="31" t="str">
        <f t="shared" si="40"/>
        <v>运营中</v>
      </c>
      <c r="L189" s="108"/>
      <c r="M189" s="108"/>
      <c r="N189" s="12">
        <v>1</v>
      </c>
      <c r="O189" s="36">
        <v>41640</v>
      </c>
      <c r="P189" s="17" t="s">
        <v>257</v>
      </c>
      <c r="Q189" s="17" t="s">
        <v>297</v>
      </c>
      <c r="R189" s="12" t="s">
        <v>874</v>
      </c>
      <c r="S189" s="108"/>
      <c r="T189" s="108"/>
      <c r="U189" s="111"/>
      <c r="V189" s="108"/>
      <c r="W189" s="108"/>
      <c r="X189" s="108"/>
    </row>
    <row r="190" spans="1:24" s="26" customFormat="1" hidden="1">
      <c r="A190" s="33"/>
      <c r="B190" s="108"/>
      <c r="C190" s="108"/>
      <c r="D190" s="31" t="str">
        <f>D189</f>
        <v>豌豆荚</v>
      </c>
      <c r="E190" s="108"/>
      <c r="F190" s="111"/>
      <c r="G190" s="108"/>
      <c r="H190" s="108"/>
      <c r="I190" s="108"/>
      <c r="J190" s="108"/>
      <c r="K190" s="31" t="str">
        <f t="shared" si="40"/>
        <v>运营中</v>
      </c>
      <c r="L190" s="108"/>
      <c r="M190" s="108"/>
      <c r="N190" s="12">
        <v>1</v>
      </c>
      <c r="O190" s="36">
        <v>40556</v>
      </c>
      <c r="P190" s="17" t="s">
        <v>262</v>
      </c>
      <c r="Q190" s="17" t="s">
        <v>337</v>
      </c>
      <c r="R190" s="17" t="s">
        <v>776</v>
      </c>
      <c r="S190" s="108"/>
      <c r="T190" s="108"/>
      <c r="U190" s="111"/>
      <c r="V190" s="108"/>
      <c r="W190" s="108"/>
      <c r="X190" s="108"/>
    </row>
    <row r="191" spans="1:24" s="26" customFormat="1" hidden="1">
      <c r="A191" s="33"/>
      <c r="B191" s="108"/>
      <c r="C191" s="108"/>
      <c r="D191" s="31" t="str">
        <f>D190</f>
        <v>豌豆荚</v>
      </c>
      <c r="E191" s="108"/>
      <c r="F191" s="111"/>
      <c r="G191" s="108"/>
      <c r="H191" s="108"/>
      <c r="I191" s="108"/>
      <c r="J191" s="108"/>
      <c r="K191" s="31" t="str">
        <f t="shared" si="40"/>
        <v>运营中</v>
      </c>
      <c r="L191" s="108"/>
      <c r="M191" s="108"/>
      <c r="N191" s="12">
        <v>1</v>
      </c>
      <c r="O191" s="36">
        <v>40148</v>
      </c>
      <c r="P191" s="12" t="s">
        <v>326</v>
      </c>
      <c r="Q191" s="12" t="s">
        <v>261</v>
      </c>
      <c r="R191" s="12" t="s">
        <v>524</v>
      </c>
      <c r="S191" s="108"/>
      <c r="T191" s="108"/>
      <c r="U191" s="111"/>
      <c r="V191" s="108"/>
      <c r="W191" s="108"/>
      <c r="X191" s="108"/>
    </row>
    <row r="192" spans="1:24" s="26" customFormat="1" hidden="1">
      <c r="A192" s="33"/>
      <c r="B192" s="108"/>
      <c r="C192" s="108" t="s">
        <v>875</v>
      </c>
      <c r="D192" s="31" t="s">
        <v>876</v>
      </c>
      <c r="E192" s="107" t="s">
        <v>877</v>
      </c>
      <c r="F192" s="110" t="s">
        <v>878</v>
      </c>
      <c r="G192" s="107" t="s">
        <v>879</v>
      </c>
      <c r="H192" s="108" t="s">
        <v>880</v>
      </c>
      <c r="I192" s="108" t="s">
        <v>444</v>
      </c>
      <c r="J192" s="107" t="s">
        <v>385</v>
      </c>
      <c r="K192" s="31" t="s">
        <v>272</v>
      </c>
      <c r="L192" s="107" t="s">
        <v>713</v>
      </c>
      <c r="M192" s="107" t="s">
        <v>881</v>
      </c>
      <c r="N192" s="12">
        <v>1</v>
      </c>
      <c r="O192" s="36">
        <v>41984</v>
      </c>
      <c r="P192" s="17" t="s">
        <v>283</v>
      </c>
      <c r="Q192" s="12" t="s">
        <v>299</v>
      </c>
      <c r="R192" s="17" t="s">
        <v>253</v>
      </c>
      <c r="S192" s="108" t="s">
        <v>882</v>
      </c>
      <c r="T192" s="108" t="s">
        <v>731</v>
      </c>
      <c r="U192" s="110" t="s">
        <v>883</v>
      </c>
      <c r="V192" s="107" t="s">
        <v>884</v>
      </c>
      <c r="W192" s="108"/>
      <c r="X192" s="108"/>
    </row>
    <row r="193" spans="1:24" s="26" customFormat="1" hidden="1">
      <c r="A193" s="33"/>
      <c r="B193" s="108"/>
      <c r="C193" s="108"/>
      <c r="D193" s="31" t="str">
        <f t="shared" ref="D193:D198" si="41">D192</f>
        <v>挚文集团-陌陌</v>
      </c>
      <c r="E193" s="108"/>
      <c r="F193" s="111"/>
      <c r="G193" s="108"/>
      <c r="H193" s="108"/>
      <c r="I193" s="108"/>
      <c r="J193" s="108"/>
      <c r="K193" s="31" t="str">
        <f t="shared" ref="K193:K198" si="42">K192</f>
        <v>运营中</v>
      </c>
      <c r="L193" s="108"/>
      <c r="M193" s="108"/>
      <c r="N193" s="12">
        <v>1</v>
      </c>
      <c r="O193" s="36">
        <v>41972</v>
      </c>
      <c r="P193" s="12" t="s">
        <v>654</v>
      </c>
      <c r="Q193" s="17" t="s">
        <v>885</v>
      </c>
      <c r="R193" s="12" t="s">
        <v>886</v>
      </c>
      <c r="S193" s="108"/>
      <c r="T193" s="108"/>
      <c r="U193" s="111"/>
      <c r="V193" s="108"/>
      <c r="W193" s="108"/>
      <c r="X193" s="108"/>
    </row>
    <row r="194" spans="1:24" s="26" customFormat="1" hidden="1">
      <c r="A194" s="33"/>
      <c r="B194" s="108"/>
      <c r="C194" s="108"/>
      <c r="D194" s="31" t="str">
        <f t="shared" si="41"/>
        <v>挚文集团-陌陌</v>
      </c>
      <c r="E194" s="108"/>
      <c r="F194" s="111"/>
      <c r="G194" s="108"/>
      <c r="H194" s="108"/>
      <c r="I194" s="108"/>
      <c r="J194" s="108"/>
      <c r="K194" s="31" t="str">
        <f t="shared" si="42"/>
        <v>运营中</v>
      </c>
      <c r="L194" s="108"/>
      <c r="M194" s="108"/>
      <c r="N194" s="12">
        <v>1</v>
      </c>
      <c r="O194" s="36">
        <v>41730</v>
      </c>
      <c r="P194" s="17" t="s">
        <v>317</v>
      </c>
      <c r="Q194" s="17" t="s">
        <v>887</v>
      </c>
      <c r="R194" s="12" t="s">
        <v>888</v>
      </c>
      <c r="S194" s="108"/>
      <c r="T194" s="108"/>
      <c r="U194" s="111"/>
      <c r="V194" s="108"/>
      <c r="W194" s="108"/>
      <c r="X194" s="108"/>
    </row>
    <row r="195" spans="1:24" s="26" customFormat="1" hidden="1">
      <c r="A195" s="33"/>
      <c r="B195" s="108"/>
      <c r="C195" s="108"/>
      <c r="D195" s="31" t="str">
        <f t="shared" si="41"/>
        <v>挚文集团-陌陌</v>
      </c>
      <c r="E195" s="108"/>
      <c r="F195" s="111"/>
      <c r="G195" s="108"/>
      <c r="H195" s="108"/>
      <c r="I195" s="108"/>
      <c r="J195" s="108"/>
      <c r="K195" s="31" t="str">
        <f t="shared" si="42"/>
        <v>运营中</v>
      </c>
      <c r="L195" s="108"/>
      <c r="M195" s="108"/>
      <c r="N195" s="12">
        <v>1</v>
      </c>
      <c r="O195" s="36">
        <v>41559</v>
      </c>
      <c r="P195" s="17" t="s">
        <v>251</v>
      </c>
      <c r="Q195" s="17" t="s">
        <v>337</v>
      </c>
      <c r="R195" s="12" t="s">
        <v>240</v>
      </c>
      <c r="S195" s="108"/>
      <c r="T195" s="108"/>
      <c r="U195" s="111"/>
      <c r="V195" s="108"/>
      <c r="W195" s="108"/>
      <c r="X195" s="108"/>
    </row>
    <row r="196" spans="1:24" s="26" customFormat="1" hidden="1">
      <c r="A196" s="33"/>
      <c r="B196" s="108"/>
      <c r="C196" s="108"/>
      <c r="D196" s="31" t="str">
        <f t="shared" si="41"/>
        <v>挚文集团-陌陌</v>
      </c>
      <c r="E196" s="108"/>
      <c r="F196" s="111"/>
      <c r="G196" s="108"/>
      <c r="H196" s="108"/>
      <c r="I196" s="108"/>
      <c r="J196" s="108"/>
      <c r="K196" s="31" t="str">
        <f t="shared" si="42"/>
        <v>运营中</v>
      </c>
      <c r="L196" s="108"/>
      <c r="M196" s="108"/>
      <c r="N196" s="12">
        <v>1</v>
      </c>
      <c r="O196" s="36">
        <v>41146</v>
      </c>
      <c r="P196" s="17" t="s">
        <v>257</v>
      </c>
      <c r="Q196" s="17" t="s">
        <v>676</v>
      </c>
      <c r="R196" s="12" t="s">
        <v>889</v>
      </c>
      <c r="S196" s="108"/>
      <c r="T196" s="108"/>
      <c r="U196" s="111"/>
      <c r="V196" s="108"/>
      <c r="W196" s="108"/>
      <c r="X196" s="108"/>
    </row>
    <row r="197" spans="1:24" s="26" customFormat="1" hidden="1">
      <c r="A197" s="33"/>
      <c r="B197" s="108"/>
      <c r="C197" s="108"/>
      <c r="D197" s="31" t="str">
        <f t="shared" si="41"/>
        <v>挚文集团-陌陌</v>
      </c>
      <c r="E197" s="108"/>
      <c r="F197" s="111"/>
      <c r="G197" s="108"/>
      <c r="H197" s="108"/>
      <c r="I197" s="108"/>
      <c r="J197" s="108"/>
      <c r="K197" s="31" t="str">
        <f t="shared" si="42"/>
        <v>运营中</v>
      </c>
      <c r="L197" s="108"/>
      <c r="M197" s="108"/>
      <c r="N197" s="12">
        <v>1</v>
      </c>
      <c r="O197" s="36">
        <v>40878</v>
      </c>
      <c r="P197" s="17" t="s">
        <v>262</v>
      </c>
      <c r="Q197" s="17" t="s">
        <v>890</v>
      </c>
      <c r="R197" s="12" t="s">
        <v>462</v>
      </c>
      <c r="S197" s="108"/>
      <c r="T197" s="108"/>
      <c r="U197" s="111"/>
      <c r="V197" s="108"/>
      <c r="W197" s="108"/>
      <c r="X197" s="108"/>
    </row>
    <row r="198" spans="1:24" s="26" customFormat="1" hidden="1">
      <c r="A198" s="33"/>
      <c r="B198" s="108"/>
      <c r="C198" s="108"/>
      <c r="D198" s="31" t="str">
        <f t="shared" si="41"/>
        <v>挚文集团-陌陌</v>
      </c>
      <c r="E198" s="108"/>
      <c r="F198" s="111"/>
      <c r="G198" s="108"/>
      <c r="H198" s="108"/>
      <c r="I198" s="108"/>
      <c r="J198" s="108"/>
      <c r="K198" s="31" t="str">
        <f t="shared" si="42"/>
        <v>运营中</v>
      </c>
      <c r="L198" s="108"/>
      <c r="M198" s="108"/>
      <c r="N198" s="12">
        <v>1</v>
      </c>
      <c r="O198" s="36">
        <v>40756</v>
      </c>
      <c r="P198" s="12" t="s">
        <v>326</v>
      </c>
      <c r="Q198" s="12" t="s">
        <v>327</v>
      </c>
      <c r="R198" s="12" t="s">
        <v>891</v>
      </c>
      <c r="S198" s="108"/>
      <c r="T198" s="108"/>
      <c r="U198" s="111"/>
      <c r="V198" s="108"/>
      <c r="W198" s="108"/>
      <c r="X198" s="108"/>
    </row>
    <row r="199" spans="1:24" s="26" customFormat="1" hidden="1">
      <c r="A199" s="33"/>
      <c r="B199" s="108"/>
      <c r="C199" s="108" t="s">
        <v>329</v>
      </c>
      <c r="D199" s="31" t="s">
        <v>892</v>
      </c>
      <c r="E199" s="107" t="s">
        <v>892</v>
      </c>
      <c r="F199" s="110" t="s">
        <v>893</v>
      </c>
      <c r="G199" s="107" t="s">
        <v>894</v>
      </c>
      <c r="H199" s="108" t="s">
        <v>895</v>
      </c>
      <c r="I199" s="108" t="s">
        <v>896</v>
      </c>
      <c r="J199" s="107" t="s">
        <v>385</v>
      </c>
      <c r="K199" s="31" t="s">
        <v>272</v>
      </c>
      <c r="L199" s="107" t="s">
        <v>407</v>
      </c>
      <c r="M199" s="107" t="s">
        <v>408</v>
      </c>
      <c r="N199" s="12">
        <v>1</v>
      </c>
      <c r="O199" s="36">
        <v>41365</v>
      </c>
      <c r="P199" s="12" t="s">
        <v>471</v>
      </c>
      <c r="Q199" s="17" t="s">
        <v>897</v>
      </c>
      <c r="R199" s="12" t="s">
        <v>240</v>
      </c>
      <c r="S199" s="108" t="s">
        <v>898</v>
      </c>
      <c r="T199" s="108" t="s">
        <v>899</v>
      </c>
      <c r="U199" s="110" t="s">
        <v>900</v>
      </c>
      <c r="V199" s="107" t="s">
        <v>901</v>
      </c>
      <c r="W199" s="108" t="s">
        <v>902</v>
      </c>
      <c r="X199" s="108" t="s">
        <v>903</v>
      </c>
    </row>
    <row r="200" spans="1:24" s="26" customFormat="1" hidden="1">
      <c r="A200" s="33"/>
      <c r="B200" s="108"/>
      <c r="C200" s="108"/>
      <c r="D200" s="31" t="str">
        <f>D199</f>
        <v>友盟</v>
      </c>
      <c r="E200" s="108"/>
      <c r="F200" s="111"/>
      <c r="G200" s="108"/>
      <c r="H200" s="108"/>
      <c r="I200" s="108"/>
      <c r="J200" s="108"/>
      <c r="K200" s="31" t="str">
        <f t="shared" ref="K200:K201" si="43">K199</f>
        <v>运营中</v>
      </c>
      <c r="L200" s="108"/>
      <c r="M200" s="108"/>
      <c r="N200" s="12">
        <v>1</v>
      </c>
      <c r="O200" s="36">
        <v>40725</v>
      </c>
      <c r="P200" s="17" t="s">
        <v>262</v>
      </c>
      <c r="Q200" s="17" t="s">
        <v>337</v>
      </c>
      <c r="R200" s="12" t="s">
        <v>462</v>
      </c>
      <c r="S200" s="108"/>
      <c r="T200" s="108"/>
      <c r="U200" s="111"/>
      <c r="V200" s="108"/>
      <c r="W200" s="108"/>
      <c r="X200" s="108"/>
    </row>
    <row r="201" spans="1:24" s="26" customFormat="1" hidden="1">
      <c r="A201" s="33"/>
      <c r="B201" s="108"/>
      <c r="C201" s="108"/>
      <c r="D201" s="31" t="str">
        <f>D200</f>
        <v>友盟</v>
      </c>
      <c r="E201" s="108"/>
      <c r="F201" s="111"/>
      <c r="G201" s="108"/>
      <c r="H201" s="108"/>
      <c r="I201" s="108"/>
      <c r="J201" s="108"/>
      <c r="K201" s="31" t="str">
        <f t="shared" si="43"/>
        <v>运营中</v>
      </c>
      <c r="L201" s="108"/>
      <c r="M201" s="108"/>
      <c r="N201" s="12">
        <v>1</v>
      </c>
      <c r="O201" s="36">
        <v>40299</v>
      </c>
      <c r="P201" s="12" t="s">
        <v>326</v>
      </c>
      <c r="Q201" s="12" t="s">
        <v>327</v>
      </c>
      <c r="R201" s="12" t="s">
        <v>524</v>
      </c>
      <c r="S201" s="108"/>
      <c r="T201" s="108"/>
      <c r="U201" s="111"/>
      <c r="V201" s="108"/>
      <c r="W201" s="108"/>
      <c r="X201" s="108"/>
    </row>
    <row r="202" spans="1:24" s="26" customFormat="1" hidden="1">
      <c r="A202" s="33"/>
      <c r="B202" s="108"/>
      <c r="C202" s="108" t="s">
        <v>904</v>
      </c>
      <c r="D202" s="31" t="s">
        <v>905</v>
      </c>
      <c r="E202" s="107" t="s">
        <v>905</v>
      </c>
      <c r="F202" s="110" t="s">
        <v>906</v>
      </c>
      <c r="G202" s="107" t="s">
        <v>907</v>
      </c>
      <c r="H202" s="108" t="s">
        <v>908</v>
      </c>
      <c r="I202" s="108" t="s">
        <v>546</v>
      </c>
      <c r="J202" s="107" t="s">
        <v>385</v>
      </c>
      <c r="K202" s="31" t="s">
        <v>272</v>
      </c>
      <c r="L202" s="107" t="s">
        <v>672</v>
      </c>
      <c r="M202" s="107" t="s">
        <v>909</v>
      </c>
      <c r="N202" s="12">
        <v>1</v>
      </c>
      <c r="O202" s="36">
        <v>43848</v>
      </c>
      <c r="P202" s="12" t="s">
        <v>471</v>
      </c>
      <c r="Q202" s="17" t="s">
        <v>910</v>
      </c>
      <c r="R202" s="12" t="s">
        <v>240</v>
      </c>
      <c r="S202" s="108" t="s">
        <v>911</v>
      </c>
      <c r="T202" s="108" t="s">
        <v>912</v>
      </c>
      <c r="U202" s="110" t="s">
        <v>913</v>
      </c>
      <c r="V202" s="107" t="s">
        <v>914</v>
      </c>
      <c r="W202" s="108" t="s">
        <v>915</v>
      </c>
      <c r="X202" s="108" t="s">
        <v>916</v>
      </c>
    </row>
    <row r="203" spans="1:24" s="26" customFormat="1" hidden="1">
      <c r="A203" s="33"/>
      <c r="B203" s="108"/>
      <c r="C203" s="108"/>
      <c r="D203" s="31" t="str">
        <f t="shared" ref="D203:D209" si="44">D202</f>
        <v>客如云</v>
      </c>
      <c r="E203" s="108"/>
      <c r="F203" s="111"/>
      <c r="G203" s="108"/>
      <c r="H203" s="108"/>
      <c r="I203" s="108"/>
      <c r="J203" s="108"/>
      <c r="K203" s="31" t="str">
        <f t="shared" ref="K203:K209" si="45">K202</f>
        <v>运营中</v>
      </c>
      <c r="L203" s="108"/>
      <c r="M203" s="108"/>
      <c r="N203" s="12">
        <v>1</v>
      </c>
      <c r="O203" s="36">
        <v>43199</v>
      </c>
      <c r="P203" s="12" t="s">
        <v>275</v>
      </c>
      <c r="Q203" s="12" t="s">
        <v>252</v>
      </c>
      <c r="R203" s="17" t="s">
        <v>253</v>
      </c>
      <c r="S203" s="108"/>
      <c r="T203" s="108"/>
      <c r="U203" s="111"/>
      <c r="V203" s="108"/>
      <c r="W203" s="108"/>
      <c r="X203" s="108"/>
    </row>
    <row r="204" spans="1:24" s="26" customFormat="1" hidden="1">
      <c r="A204" s="33"/>
      <c r="B204" s="108"/>
      <c r="C204" s="108"/>
      <c r="D204" s="31" t="str">
        <f t="shared" si="44"/>
        <v>客如云</v>
      </c>
      <c r="E204" s="108"/>
      <c r="F204" s="111"/>
      <c r="G204" s="108"/>
      <c r="H204" s="108"/>
      <c r="I204" s="108"/>
      <c r="J204" s="108"/>
      <c r="K204" s="31" t="str">
        <f t="shared" si="45"/>
        <v>运营中</v>
      </c>
      <c r="L204" s="108"/>
      <c r="M204" s="108"/>
      <c r="N204" s="12">
        <v>1</v>
      </c>
      <c r="O204" s="36">
        <v>42725</v>
      </c>
      <c r="P204" s="12" t="s">
        <v>359</v>
      </c>
      <c r="Q204" s="17" t="s">
        <v>701</v>
      </c>
      <c r="R204" s="12" t="s">
        <v>917</v>
      </c>
      <c r="S204" s="108"/>
      <c r="T204" s="108"/>
      <c r="U204" s="111"/>
      <c r="V204" s="108"/>
      <c r="W204" s="108"/>
      <c r="X204" s="108"/>
    </row>
    <row r="205" spans="1:24" s="26" customFormat="1" hidden="1">
      <c r="A205" s="33"/>
      <c r="B205" s="108"/>
      <c r="C205" s="108"/>
      <c r="D205" s="31" t="str">
        <f t="shared" si="44"/>
        <v>客如云</v>
      </c>
      <c r="E205" s="108"/>
      <c r="F205" s="111"/>
      <c r="G205" s="108"/>
      <c r="H205" s="108"/>
      <c r="I205" s="108"/>
      <c r="J205" s="108"/>
      <c r="K205" s="31" t="str">
        <f t="shared" si="45"/>
        <v>运营中</v>
      </c>
      <c r="L205" s="108"/>
      <c r="M205" s="108"/>
      <c r="N205" s="12">
        <v>1</v>
      </c>
      <c r="O205" s="36">
        <v>42587</v>
      </c>
      <c r="P205" s="12" t="s">
        <v>359</v>
      </c>
      <c r="Q205" s="17" t="s">
        <v>918</v>
      </c>
      <c r="R205" s="12" t="s">
        <v>919</v>
      </c>
      <c r="S205" s="108"/>
      <c r="T205" s="108"/>
      <c r="U205" s="111"/>
      <c r="V205" s="108"/>
      <c r="W205" s="108"/>
      <c r="X205" s="108"/>
    </row>
    <row r="206" spans="1:24" s="26" customFormat="1" hidden="1">
      <c r="A206" s="33"/>
      <c r="B206" s="108"/>
      <c r="C206" s="108"/>
      <c r="D206" s="31" t="str">
        <f t="shared" si="44"/>
        <v>客如云</v>
      </c>
      <c r="E206" s="108"/>
      <c r="F206" s="111"/>
      <c r="G206" s="108"/>
      <c r="H206" s="108"/>
      <c r="I206" s="108"/>
      <c r="J206" s="108"/>
      <c r="K206" s="31" t="str">
        <f t="shared" si="45"/>
        <v>运营中</v>
      </c>
      <c r="L206" s="108"/>
      <c r="M206" s="108"/>
      <c r="N206" s="12">
        <v>1</v>
      </c>
      <c r="O206" s="36">
        <v>42368</v>
      </c>
      <c r="P206" s="12" t="s">
        <v>362</v>
      </c>
      <c r="Q206" s="12" t="s">
        <v>252</v>
      </c>
      <c r="R206" s="17" t="s">
        <v>253</v>
      </c>
      <c r="S206" s="108"/>
      <c r="T206" s="108"/>
      <c r="U206" s="111"/>
      <c r="V206" s="108"/>
      <c r="W206" s="108"/>
      <c r="X206" s="108"/>
    </row>
    <row r="207" spans="1:24" s="26" customFormat="1" hidden="1">
      <c r="A207" s="33"/>
      <c r="B207" s="108"/>
      <c r="C207" s="108"/>
      <c r="D207" s="31" t="str">
        <f t="shared" si="44"/>
        <v>客如云</v>
      </c>
      <c r="E207" s="108"/>
      <c r="F207" s="111"/>
      <c r="G207" s="108"/>
      <c r="H207" s="108"/>
      <c r="I207" s="108"/>
      <c r="J207" s="108"/>
      <c r="K207" s="31" t="str">
        <f t="shared" si="45"/>
        <v>运营中</v>
      </c>
      <c r="L207" s="108"/>
      <c r="M207" s="108"/>
      <c r="N207" s="12">
        <v>1</v>
      </c>
      <c r="O207" s="36">
        <v>42118</v>
      </c>
      <c r="P207" s="17" t="s">
        <v>257</v>
      </c>
      <c r="Q207" s="17" t="s">
        <v>920</v>
      </c>
      <c r="R207" s="12" t="s">
        <v>921</v>
      </c>
      <c r="S207" s="108"/>
      <c r="T207" s="108"/>
      <c r="U207" s="111"/>
      <c r="V207" s="108"/>
      <c r="W207" s="108"/>
      <c r="X207" s="108"/>
    </row>
    <row r="208" spans="1:24" s="26" customFormat="1" hidden="1">
      <c r="A208" s="33"/>
      <c r="B208" s="108"/>
      <c r="C208" s="108"/>
      <c r="D208" s="31" t="str">
        <f t="shared" si="44"/>
        <v>客如云</v>
      </c>
      <c r="E208" s="108"/>
      <c r="F208" s="111"/>
      <c r="G208" s="108"/>
      <c r="H208" s="108"/>
      <c r="I208" s="108"/>
      <c r="J208" s="108"/>
      <c r="K208" s="31" t="str">
        <f t="shared" si="45"/>
        <v>运营中</v>
      </c>
      <c r="L208" s="108"/>
      <c r="M208" s="108"/>
      <c r="N208" s="12">
        <v>1</v>
      </c>
      <c r="O208" s="36">
        <v>41743</v>
      </c>
      <c r="P208" s="17" t="s">
        <v>262</v>
      </c>
      <c r="Q208" s="17" t="s">
        <v>922</v>
      </c>
      <c r="R208" s="12" t="s">
        <v>923</v>
      </c>
      <c r="S208" s="108"/>
      <c r="T208" s="108"/>
      <c r="U208" s="111"/>
      <c r="V208" s="108"/>
      <c r="W208" s="108"/>
      <c r="X208" s="108"/>
    </row>
    <row r="209" spans="1:24" s="26" customFormat="1" hidden="1">
      <c r="A209" s="33"/>
      <c r="B209" s="108"/>
      <c r="C209" s="108"/>
      <c r="D209" s="31" t="str">
        <f t="shared" si="44"/>
        <v>客如云</v>
      </c>
      <c r="E209" s="108"/>
      <c r="F209" s="111"/>
      <c r="G209" s="108"/>
      <c r="H209" s="108"/>
      <c r="I209" s="108"/>
      <c r="J209" s="108"/>
      <c r="K209" s="31" t="str">
        <f t="shared" si="45"/>
        <v>运营中</v>
      </c>
      <c r="L209" s="108"/>
      <c r="M209" s="108"/>
      <c r="N209" s="12">
        <v>1</v>
      </c>
      <c r="O209" s="36">
        <v>41275</v>
      </c>
      <c r="P209" s="12" t="s">
        <v>326</v>
      </c>
      <c r="Q209" s="12" t="s">
        <v>327</v>
      </c>
      <c r="R209" s="17" t="s">
        <v>253</v>
      </c>
      <c r="S209" s="108"/>
      <c r="T209" s="108"/>
      <c r="U209" s="111"/>
      <c r="V209" s="108"/>
      <c r="W209" s="108"/>
      <c r="X209" s="108"/>
    </row>
    <row r="210" spans="1:24" s="26" customFormat="1" hidden="1">
      <c r="A210" s="33"/>
      <c r="B210" s="108"/>
      <c r="C210" s="108" t="s">
        <v>924</v>
      </c>
      <c r="D210" s="31" t="s">
        <v>925</v>
      </c>
      <c r="E210" s="107" t="s">
        <v>925</v>
      </c>
      <c r="F210" s="110" t="s">
        <v>926</v>
      </c>
      <c r="G210" s="107" t="s">
        <v>927</v>
      </c>
      <c r="H210" s="108" t="s">
        <v>928</v>
      </c>
      <c r="I210" s="108" t="s">
        <v>427</v>
      </c>
      <c r="J210" s="107" t="s">
        <v>406</v>
      </c>
      <c r="K210" s="31" t="s">
        <v>272</v>
      </c>
      <c r="L210" s="107" t="s">
        <v>386</v>
      </c>
      <c r="M210" s="107" t="s">
        <v>929</v>
      </c>
      <c r="N210" s="12">
        <v>1</v>
      </c>
      <c r="O210" s="36">
        <v>42881</v>
      </c>
      <c r="P210" s="12" t="s">
        <v>471</v>
      </c>
      <c r="Q210" s="12" t="s">
        <v>252</v>
      </c>
      <c r="R210" s="12" t="s">
        <v>930</v>
      </c>
      <c r="S210" s="108" t="s">
        <v>931</v>
      </c>
      <c r="T210" s="107" t="s">
        <v>255</v>
      </c>
      <c r="U210" s="110" t="s">
        <v>932</v>
      </c>
      <c r="V210" s="107" t="s">
        <v>933</v>
      </c>
      <c r="W210" s="108" t="s">
        <v>934</v>
      </c>
      <c r="X210" s="108" t="s">
        <v>935</v>
      </c>
    </row>
    <row r="211" spans="1:24" s="26" customFormat="1" hidden="1">
      <c r="A211" s="33"/>
      <c r="B211" s="108"/>
      <c r="C211" s="108"/>
      <c r="D211" s="31" t="str">
        <f>D210</f>
        <v>趣拍云</v>
      </c>
      <c r="E211" s="108"/>
      <c r="F211" s="111"/>
      <c r="G211" s="108"/>
      <c r="H211" s="108"/>
      <c r="I211" s="108"/>
      <c r="J211" s="108"/>
      <c r="K211" s="31" t="str">
        <f>K210</f>
        <v>运营中</v>
      </c>
      <c r="L211" s="108"/>
      <c r="M211" s="108"/>
      <c r="N211" s="12">
        <v>1</v>
      </c>
      <c r="O211" s="36">
        <v>41836</v>
      </c>
      <c r="P211" s="17" t="s">
        <v>262</v>
      </c>
      <c r="Q211" s="12" t="s">
        <v>341</v>
      </c>
      <c r="R211" s="12" t="s">
        <v>586</v>
      </c>
      <c r="S211" s="108"/>
      <c r="T211" s="108"/>
      <c r="U211" s="111"/>
      <c r="V211" s="108"/>
      <c r="W211" s="108"/>
      <c r="X211" s="108"/>
    </row>
    <row r="212" spans="1:24" s="26" customFormat="1" hidden="1">
      <c r="A212" s="33"/>
      <c r="B212" s="108"/>
      <c r="C212" s="108" t="s">
        <v>936</v>
      </c>
      <c r="D212" s="31" t="s">
        <v>937</v>
      </c>
      <c r="E212" s="107" t="s">
        <v>938</v>
      </c>
      <c r="F212" s="110" t="s">
        <v>939</v>
      </c>
      <c r="G212" s="107" t="s">
        <v>940</v>
      </c>
      <c r="H212" s="108" t="s">
        <v>941</v>
      </c>
      <c r="I212" s="108" t="s">
        <v>942</v>
      </c>
      <c r="J212" s="107" t="s">
        <v>943</v>
      </c>
      <c r="K212" s="31" t="s">
        <v>272</v>
      </c>
      <c r="L212" s="107" t="s">
        <v>944</v>
      </c>
      <c r="M212" s="107" t="s">
        <v>945</v>
      </c>
      <c r="N212" s="12">
        <v>1</v>
      </c>
      <c r="O212" s="36">
        <v>44994</v>
      </c>
      <c r="P212" s="17" t="s">
        <v>283</v>
      </c>
      <c r="Q212" s="17" t="s">
        <v>946</v>
      </c>
      <c r="R212" s="17" t="s">
        <v>253</v>
      </c>
      <c r="S212" s="108" t="s">
        <v>947</v>
      </c>
      <c r="T212" s="108" t="s">
        <v>948</v>
      </c>
      <c r="U212" s="110" t="s">
        <v>949</v>
      </c>
      <c r="V212" s="107" t="s">
        <v>950</v>
      </c>
      <c r="W212" s="108" t="s">
        <v>951</v>
      </c>
      <c r="X212" s="108" t="s">
        <v>952</v>
      </c>
    </row>
    <row r="213" spans="1:24" s="26" customFormat="1" hidden="1">
      <c r="A213" s="33"/>
      <c r="B213" s="108"/>
      <c r="C213" s="108"/>
      <c r="D213" s="31" t="str">
        <f t="shared" ref="D213:D219" si="46">D212</f>
        <v>小i机器人</v>
      </c>
      <c r="E213" s="108"/>
      <c r="F213" s="111"/>
      <c r="G213" s="108"/>
      <c r="H213" s="108"/>
      <c r="I213" s="108"/>
      <c r="J213" s="108"/>
      <c r="K213" s="31" t="str">
        <f t="shared" ref="K213:K219" si="47">K212</f>
        <v>运营中</v>
      </c>
      <c r="L213" s="108"/>
      <c r="M213" s="108"/>
      <c r="N213" s="12">
        <v>1</v>
      </c>
      <c r="O213" s="36">
        <v>43215</v>
      </c>
      <c r="P213" s="12" t="s">
        <v>275</v>
      </c>
      <c r="Q213" s="12" t="s">
        <v>252</v>
      </c>
      <c r="R213" s="17" t="s">
        <v>253</v>
      </c>
      <c r="S213" s="108"/>
      <c r="T213" s="108"/>
      <c r="U213" s="111"/>
      <c r="V213" s="108"/>
      <c r="W213" s="108"/>
      <c r="X213" s="108"/>
    </row>
    <row r="214" spans="1:24" s="26" customFormat="1" hidden="1">
      <c r="A214" s="33"/>
      <c r="B214" s="108"/>
      <c r="C214" s="108"/>
      <c r="D214" s="31" t="str">
        <f t="shared" si="46"/>
        <v>小i机器人</v>
      </c>
      <c r="E214" s="108"/>
      <c r="F214" s="111"/>
      <c r="G214" s="108"/>
      <c r="H214" s="108"/>
      <c r="I214" s="108"/>
      <c r="J214" s="108"/>
      <c r="K214" s="31" t="str">
        <f t="shared" si="47"/>
        <v>运营中</v>
      </c>
      <c r="L214" s="108"/>
      <c r="M214" s="108"/>
      <c r="N214" s="12">
        <v>1</v>
      </c>
      <c r="O214" s="36">
        <v>42355</v>
      </c>
      <c r="P214" s="12" t="s">
        <v>362</v>
      </c>
      <c r="Q214" s="12" t="s">
        <v>252</v>
      </c>
      <c r="R214" s="17" t="s">
        <v>253</v>
      </c>
      <c r="S214" s="108"/>
      <c r="T214" s="108"/>
      <c r="U214" s="111"/>
      <c r="V214" s="108"/>
      <c r="W214" s="108"/>
      <c r="X214" s="108"/>
    </row>
    <row r="215" spans="1:24" s="26" customFormat="1" hidden="1">
      <c r="A215" s="33"/>
      <c r="B215" s="108"/>
      <c r="C215" s="108"/>
      <c r="D215" s="31" t="str">
        <f t="shared" si="46"/>
        <v>小i机器人</v>
      </c>
      <c r="E215" s="108"/>
      <c r="F215" s="111"/>
      <c r="G215" s="108"/>
      <c r="H215" s="108"/>
      <c r="I215" s="108"/>
      <c r="J215" s="108"/>
      <c r="K215" s="31" t="str">
        <f t="shared" si="47"/>
        <v>运营中</v>
      </c>
      <c r="L215" s="108"/>
      <c r="M215" s="108"/>
      <c r="N215" s="12">
        <v>1</v>
      </c>
      <c r="O215" s="36">
        <v>42235</v>
      </c>
      <c r="P215" s="17" t="s">
        <v>310</v>
      </c>
      <c r="Q215" s="12" t="s">
        <v>409</v>
      </c>
      <c r="R215" s="12" t="s">
        <v>953</v>
      </c>
      <c r="S215" s="108"/>
      <c r="T215" s="108"/>
      <c r="U215" s="111"/>
      <c r="V215" s="108"/>
      <c r="W215" s="108"/>
      <c r="X215" s="108"/>
    </row>
    <row r="216" spans="1:24" s="26" customFormat="1" hidden="1">
      <c r="A216" s="33"/>
      <c r="B216" s="108"/>
      <c r="C216" s="108"/>
      <c r="D216" s="31" t="str">
        <f t="shared" si="46"/>
        <v>小i机器人</v>
      </c>
      <c r="E216" s="108"/>
      <c r="F216" s="111"/>
      <c r="G216" s="108"/>
      <c r="H216" s="108"/>
      <c r="I216" s="108"/>
      <c r="J216" s="108"/>
      <c r="K216" s="31" t="str">
        <f t="shared" si="47"/>
        <v>运营中</v>
      </c>
      <c r="L216" s="108"/>
      <c r="M216" s="108"/>
      <c r="N216" s="12">
        <v>1</v>
      </c>
      <c r="O216" s="36">
        <v>41953</v>
      </c>
      <c r="P216" s="17" t="s">
        <v>317</v>
      </c>
      <c r="Q216" s="17" t="s">
        <v>954</v>
      </c>
      <c r="R216" s="12" t="s">
        <v>955</v>
      </c>
      <c r="S216" s="108"/>
      <c r="T216" s="108"/>
      <c r="U216" s="111"/>
      <c r="V216" s="108"/>
      <c r="W216" s="108"/>
      <c r="X216" s="108"/>
    </row>
    <row r="217" spans="1:24" s="26" customFormat="1" hidden="1">
      <c r="A217" s="33"/>
      <c r="B217" s="108"/>
      <c r="C217" s="108"/>
      <c r="D217" s="31" t="str">
        <f t="shared" si="46"/>
        <v>小i机器人</v>
      </c>
      <c r="E217" s="108"/>
      <c r="F217" s="111"/>
      <c r="G217" s="108"/>
      <c r="H217" s="108"/>
      <c r="I217" s="108"/>
      <c r="J217" s="108"/>
      <c r="K217" s="31" t="str">
        <f t="shared" si="47"/>
        <v>运营中</v>
      </c>
      <c r="L217" s="108"/>
      <c r="M217" s="108"/>
      <c r="N217" s="12">
        <v>1</v>
      </c>
      <c r="O217" s="36">
        <v>41486</v>
      </c>
      <c r="P217" s="17" t="s">
        <v>251</v>
      </c>
      <c r="Q217" s="12" t="s">
        <v>258</v>
      </c>
      <c r="R217" s="12" t="s">
        <v>956</v>
      </c>
      <c r="S217" s="108"/>
      <c r="T217" s="108"/>
      <c r="U217" s="111"/>
      <c r="V217" s="108"/>
      <c r="W217" s="108"/>
      <c r="X217" s="108"/>
    </row>
    <row r="218" spans="1:24" s="26" customFormat="1" hidden="1">
      <c r="A218" s="33"/>
      <c r="B218" s="108"/>
      <c r="C218" s="108"/>
      <c r="D218" s="31" t="str">
        <f t="shared" si="46"/>
        <v>小i机器人</v>
      </c>
      <c r="E218" s="108"/>
      <c r="F218" s="111"/>
      <c r="G218" s="108"/>
      <c r="H218" s="108"/>
      <c r="I218" s="108"/>
      <c r="J218" s="108"/>
      <c r="K218" s="31" t="str">
        <f t="shared" si="47"/>
        <v>运营中</v>
      </c>
      <c r="L218" s="108"/>
      <c r="M218" s="108"/>
      <c r="N218" s="12">
        <v>1</v>
      </c>
      <c r="O218" s="36">
        <v>39142</v>
      </c>
      <c r="P218" s="17" t="s">
        <v>257</v>
      </c>
      <c r="Q218" s="12" t="s">
        <v>258</v>
      </c>
      <c r="R218" s="17" t="s">
        <v>957</v>
      </c>
      <c r="S218" s="108"/>
      <c r="T218" s="108"/>
      <c r="U218" s="111"/>
      <c r="V218" s="108"/>
      <c r="W218" s="108"/>
      <c r="X218" s="108"/>
    </row>
    <row r="219" spans="1:24" s="26" customFormat="1" hidden="1">
      <c r="A219" s="33"/>
      <c r="B219" s="108"/>
      <c r="C219" s="108"/>
      <c r="D219" s="31" t="str">
        <f t="shared" si="46"/>
        <v>小i机器人</v>
      </c>
      <c r="E219" s="108"/>
      <c r="F219" s="111"/>
      <c r="G219" s="108"/>
      <c r="H219" s="108"/>
      <c r="I219" s="108"/>
      <c r="J219" s="108"/>
      <c r="K219" s="31" t="str">
        <f t="shared" si="47"/>
        <v>运营中</v>
      </c>
      <c r="L219" s="108"/>
      <c r="M219" s="108"/>
      <c r="N219" s="12">
        <v>1</v>
      </c>
      <c r="O219" s="36">
        <v>38687</v>
      </c>
      <c r="P219" s="17" t="s">
        <v>262</v>
      </c>
      <c r="Q219" s="12" t="s">
        <v>261</v>
      </c>
      <c r="R219" s="17" t="s">
        <v>831</v>
      </c>
      <c r="S219" s="108"/>
      <c r="T219" s="108"/>
      <c r="U219" s="111"/>
      <c r="V219" s="108"/>
      <c r="W219" s="108"/>
      <c r="X219" s="108"/>
    </row>
    <row r="220" spans="1:24" s="26" customFormat="1" ht="36" hidden="1">
      <c r="A220" s="33"/>
      <c r="B220" s="108"/>
      <c r="C220" s="17" t="s">
        <v>958</v>
      </c>
      <c r="D220" s="38" t="s">
        <v>959</v>
      </c>
      <c r="E220" s="12" t="s">
        <v>960</v>
      </c>
      <c r="F220" s="32" t="s">
        <v>961</v>
      </c>
      <c r="G220" s="12" t="s">
        <v>962</v>
      </c>
      <c r="H220" s="17" t="s">
        <v>963</v>
      </c>
      <c r="I220" s="17" t="s">
        <v>964</v>
      </c>
      <c r="J220" s="12" t="s">
        <v>271</v>
      </c>
      <c r="K220" s="38" t="s">
        <v>272</v>
      </c>
      <c r="L220" s="12" t="s">
        <v>386</v>
      </c>
      <c r="M220" s="12" t="s">
        <v>817</v>
      </c>
      <c r="N220" s="12"/>
      <c r="O220" s="36">
        <v>41899</v>
      </c>
      <c r="P220" s="17" t="s">
        <v>262</v>
      </c>
      <c r="Q220" s="12" t="s">
        <v>258</v>
      </c>
      <c r="R220" s="12" t="s">
        <v>240</v>
      </c>
      <c r="S220" s="17" t="s">
        <v>965</v>
      </c>
      <c r="T220" s="17" t="s">
        <v>551</v>
      </c>
      <c r="U220" s="32" t="s">
        <v>966</v>
      </c>
      <c r="V220" s="17"/>
      <c r="W220" s="17"/>
      <c r="X220" s="17"/>
    </row>
    <row r="221" spans="1:24" s="26" customFormat="1" hidden="1">
      <c r="A221" s="33"/>
      <c r="B221" s="108"/>
      <c r="C221" s="108" t="s">
        <v>967</v>
      </c>
      <c r="D221" s="31" t="s">
        <v>968</v>
      </c>
      <c r="E221" s="107" t="s">
        <v>968</v>
      </c>
      <c r="F221" s="110" t="s">
        <v>969</v>
      </c>
      <c r="G221" s="107" t="s">
        <v>970</v>
      </c>
      <c r="H221" s="108" t="s">
        <v>971</v>
      </c>
      <c r="I221" s="108" t="s">
        <v>972</v>
      </c>
      <c r="J221" s="107" t="s">
        <v>973</v>
      </c>
      <c r="K221" s="31" t="s">
        <v>272</v>
      </c>
      <c r="L221" s="107" t="s">
        <v>672</v>
      </c>
      <c r="M221" s="107" t="s">
        <v>909</v>
      </c>
      <c r="N221" s="12">
        <v>1</v>
      </c>
      <c r="O221" s="36">
        <v>43385</v>
      </c>
      <c r="P221" s="12" t="s">
        <v>313</v>
      </c>
      <c r="Q221" s="12" t="s">
        <v>252</v>
      </c>
      <c r="R221" s="12" t="s">
        <v>974</v>
      </c>
      <c r="S221" s="108" t="s">
        <v>975</v>
      </c>
      <c r="T221" s="107" t="s">
        <v>255</v>
      </c>
      <c r="U221" s="110" t="s">
        <v>976</v>
      </c>
      <c r="V221" s="107" t="s">
        <v>977</v>
      </c>
      <c r="W221" s="108" t="s">
        <v>978</v>
      </c>
      <c r="X221" s="108" t="s">
        <v>979</v>
      </c>
    </row>
    <row r="222" spans="1:24" s="26" customFormat="1" hidden="1">
      <c r="A222" s="33"/>
      <c r="B222" s="108"/>
      <c r="C222" s="108"/>
      <c r="D222" s="31" t="str">
        <f t="shared" ref="D222:D231" si="48">D221</f>
        <v>饿了么</v>
      </c>
      <c r="E222" s="108"/>
      <c r="F222" s="111"/>
      <c r="G222" s="108"/>
      <c r="H222" s="108"/>
      <c r="I222" s="108"/>
      <c r="J222" s="108"/>
      <c r="K222" s="31" t="str">
        <f t="shared" ref="K222:K231" si="49">K221</f>
        <v>运营中</v>
      </c>
      <c r="L222" s="108"/>
      <c r="M222" s="108"/>
      <c r="N222" s="12">
        <v>1</v>
      </c>
      <c r="O222" s="36">
        <v>43192</v>
      </c>
      <c r="P222" s="12" t="s">
        <v>471</v>
      </c>
      <c r="Q222" s="17" t="s">
        <v>980</v>
      </c>
      <c r="R222" s="12" t="s">
        <v>586</v>
      </c>
      <c r="S222" s="108"/>
      <c r="T222" s="108"/>
      <c r="U222" s="111"/>
      <c r="V222" s="108"/>
      <c r="W222" s="108"/>
      <c r="X222" s="108"/>
    </row>
    <row r="223" spans="1:24" s="26" customFormat="1" hidden="1">
      <c r="A223" s="33"/>
      <c r="B223" s="108"/>
      <c r="C223" s="108"/>
      <c r="D223" s="31" t="str">
        <f t="shared" si="48"/>
        <v>饿了么</v>
      </c>
      <c r="E223" s="108"/>
      <c r="F223" s="111"/>
      <c r="G223" s="108"/>
      <c r="H223" s="108"/>
      <c r="I223" s="108"/>
      <c r="J223" s="108"/>
      <c r="K223" s="31" t="str">
        <f t="shared" si="49"/>
        <v>运营中</v>
      </c>
      <c r="L223" s="108"/>
      <c r="M223" s="108"/>
      <c r="N223" s="12">
        <v>1</v>
      </c>
      <c r="O223" s="36">
        <v>42888</v>
      </c>
      <c r="P223" s="12" t="s">
        <v>285</v>
      </c>
      <c r="Q223" s="17" t="s">
        <v>306</v>
      </c>
      <c r="R223" s="12" t="s">
        <v>240</v>
      </c>
      <c r="S223" s="108"/>
      <c r="T223" s="108"/>
      <c r="U223" s="111"/>
      <c r="V223" s="108"/>
      <c r="W223" s="108"/>
      <c r="X223" s="108"/>
    </row>
    <row r="224" spans="1:24" s="26" customFormat="1" hidden="1">
      <c r="A224" s="33"/>
      <c r="B224" s="108"/>
      <c r="C224" s="108"/>
      <c r="D224" s="31" t="str">
        <f t="shared" si="48"/>
        <v>饿了么</v>
      </c>
      <c r="E224" s="108"/>
      <c r="F224" s="111"/>
      <c r="G224" s="108"/>
      <c r="H224" s="108"/>
      <c r="I224" s="108"/>
      <c r="J224" s="108"/>
      <c r="K224" s="31" t="str">
        <f t="shared" si="49"/>
        <v>运营中</v>
      </c>
      <c r="L224" s="108"/>
      <c r="M224" s="108"/>
      <c r="N224" s="12">
        <v>1</v>
      </c>
      <c r="O224" s="36">
        <v>42473</v>
      </c>
      <c r="P224" s="17" t="s">
        <v>303</v>
      </c>
      <c r="Q224" s="17" t="s">
        <v>981</v>
      </c>
      <c r="R224" s="12" t="s">
        <v>586</v>
      </c>
      <c r="S224" s="108"/>
      <c r="T224" s="108"/>
      <c r="U224" s="111"/>
      <c r="V224" s="108"/>
      <c r="W224" s="108"/>
      <c r="X224" s="108"/>
    </row>
    <row r="225" spans="1:24" s="26" customFormat="1" hidden="1">
      <c r="A225" s="33"/>
      <c r="B225" s="108"/>
      <c r="C225" s="108"/>
      <c r="D225" s="31" t="str">
        <f t="shared" si="48"/>
        <v>饿了么</v>
      </c>
      <c r="E225" s="108"/>
      <c r="F225" s="111"/>
      <c r="G225" s="108"/>
      <c r="H225" s="108"/>
      <c r="I225" s="108"/>
      <c r="J225" s="108"/>
      <c r="K225" s="31" t="str">
        <f t="shared" si="49"/>
        <v>运营中</v>
      </c>
      <c r="L225" s="108"/>
      <c r="M225" s="108"/>
      <c r="N225" s="12">
        <v>1</v>
      </c>
      <c r="O225" s="36">
        <v>42321</v>
      </c>
      <c r="P225" s="12" t="s">
        <v>285</v>
      </c>
      <c r="Q225" s="12" t="s">
        <v>276</v>
      </c>
      <c r="R225" s="12" t="s">
        <v>266</v>
      </c>
      <c r="S225" s="108"/>
      <c r="T225" s="108"/>
      <c r="U225" s="111"/>
      <c r="V225" s="108"/>
      <c r="W225" s="108"/>
      <c r="X225" s="108"/>
    </row>
    <row r="226" spans="1:24" s="26" customFormat="1" hidden="1">
      <c r="A226" s="33"/>
      <c r="B226" s="108"/>
      <c r="C226" s="108"/>
      <c r="D226" s="31" t="str">
        <f t="shared" si="48"/>
        <v>饿了么</v>
      </c>
      <c r="E226" s="108"/>
      <c r="F226" s="111"/>
      <c r="G226" s="108"/>
      <c r="H226" s="108"/>
      <c r="I226" s="108"/>
      <c r="J226" s="108"/>
      <c r="K226" s="31" t="str">
        <f t="shared" si="49"/>
        <v>运营中</v>
      </c>
      <c r="L226" s="108"/>
      <c r="M226" s="108"/>
      <c r="N226" s="12">
        <v>1</v>
      </c>
      <c r="O226" s="36">
        <v>42243</v>
      </c>
      <c r="P226" s="17" t="s">
        <v>303</v>
      </c>
      <c r="Q226" s="17" t="s">
        <v>982</v>
      </c>
      <c r="R226" s="12" t="s">
        <v>983</v>
      </c>
      <c r="S226" s="108"/>
      <c r="T226" s="108"/>
      <c r="U226" s="111"/>
      <c r="V226" s="108"/>
      <c r="W226" s="108"/>
      <c r="X226" s="108"/>
    </row>
    <row r="227" spans="1:24" s="26" customFormat="1" hidden="1">
      <c r="A227" s="33"/>
      <c r="B227" s="108"/>
      <c r="C227" s="108"/>
      <c r="D227" s="31" t="str">
        <f t="shared" si="48"/>
        <v>饿了么</v>
      </c>
      <c r="E227" s="108"/>
      <c r="F227" s="111"/>
      <c r="G227" s="108"/>
      <c r="H227" s="108"/>
      <c r="I227" s="108"/>
      <c r="J227" s="108"/>
      <c r="K227" s="31" t="str">
        <f t="shared" si="49"/>
        <v>运营中</v>
      </c>
      <c r="L227" s="108"/>
      <c r="M227" s="108"/>
      <c r="N227" s="12">
        <v>1</v>
      </c>
      <c r="O227" s="36">
        <v>42027</v>
      </c>
      <c r="P227" s="17" t="s">
        <v>310</v>
      </c>
      <c r="Q227" s="17" t="s">
        <v>984</v>
      </c>
      <c r="R227" s="12" t="s">
        <v>985</v>
      </c>
      <c r="S227" s="108"/>
      <c r="T227" s="108"/>
      <c r="U227" s="111"/>
      <c r="V227" s="108"/>
      <c r="W227" s="108"/>
      <c r="X227" s="108"/>
    </row>
    <row r="228" spans="1:24" s="26" customFormat="1" hidden="1">
      <c r="A228" s="33"/>
      <c r="B228" s="108"/>
      <c r="C228" s="108"/>
      <c r="D228" s="31" t="str">
        <f t="shared" si="48"/>
        <v>饿了么</v>
      </c>
      <c r="E228" s="108"/>
      <c r="F228" s="111"/>
      <c r="G228" s="108"/>
      <c r="H228" s="108"/>
      <c r="I228" s="108"/>
      <c r="J228" s="108"/>
      <c r="K228" s="31" t="str">
        <f t="shared" si="49"/>
        <v>运营中</v>
      </c>
      <c r="L228" s="108"/>
      <c r="M228" s="108"/>
      <c r="N228" s="12">
        <v>1</v>
      </c>
      <c r="O228" s="36">
        <v>41760</v>
      </c>
      <c r="P228" s="17" t="s">
        <v>317</v>
      </c>
      <c r="Q228" s="17" t="s">
        <v>897</v>
      </c>
      <c r="R228" s="12" t="s">
        <v>986</v>
      </c>
      <c r="S228" s="108"/>
      <c r="T228" s="108"/>
      <c r="U228" s="111"/>
      <c r="V228" s="108"/>
      <c r="W228" s="108"/>
      <c r="X228" s="108"/>
    </row>
    <row r="229" spans="1:24" s="26" customFormat="1" hidden="1">
      <c r="A229" s="33"/>
      <c r="B229" s="108"/>
      <c r="C229" s="108"/>
      <c r="D229" s="31" t="str">
        <f t="shared" si="48"/>
        <v>饿了么</v>
      </c>
      <c r="E229" s="108"/>
      <c r="F229" s="111"/>
      <c r="G229" s="108"/>
      <c r="H229" s="108"/>
      <c r="I229" s="108"/>
      <c r="J229" s="108"/>
      <c r="K229" s="31" t="str">
        <f t="shared" si="49"/>
        <v>运营中</v>
      </c>
      <c r="L229" s="108"/>
      <c r="M229" s="108"/>
      <c r="N229" s="12">
        <v>1</v>
      </c>
      <c r="O229" s="36">
        <v>41579</v>
      </c>
      <c r="P229" s="17" t="s">
        <v>251</v>
      </c>
      <c r="Q229" s="17" t="s">
        <v>987</v>
      </c>
      <c r="R229" s="12" t="s">
        <v>988</v>
      </c>
      <c r="S229" s="108"/>
      <c r="T229" s="108"/>
      <c r="U229" s="111"/>
      <c r="V229" s="108"/>
      <c r="W229" s="108"/>
      <c r="X229" s="108"/>
    </row>
    <row r="230" spans="1:24" s="26" customFormat="1" hidden="1">
      <c r="A230" s="33"/>
      <c r="B230" s="108"/>
      <c r="C230" s="108"/>
      <c r="D230" s="31" t="str">
        <f t="shared" si="48"/>
        <v>饿了么</v>
      </c>
      <c r="E230" s="108"/>
      <c r="F230" s="111"/>
      <c r="G230" s="108"/>
      <c r="H230" s="108"/>
      <c r="I230" s="108"/>
      <c r="J230" s="108"/>
      <c r="K230" s="31" t="str">
        <f t="shared" si="49"/>
        <v>运营中</v>
      </c>
      <c r="L230" s="108"/>
      <c r="M230" s="108"/>
      <c r="N230" s="12">
        <v>1</v>
      </c>
      <c r="O230" s="36">
        <v>41275</v>
      </c>
      <c r="P230" s="17" t="s">
        <v>257</v>
      </c>
      <c r="Q230" s="12" t="s">
        <v>261</v>
      </c>
      <c r="R230" s="12" t="s">
        <v>989</v>
      </c>
      <c r="S230" s="108"/>
      <c r="T230" s="108"/>
      <c r="U230" s="111"/>
      <c r="V230" s="108"/>
      <c r="W230" s="108"/>
      <c r="X230" s="108"/>
    </row>
    <row r="231" spans="1:24" s="26" customFormat="1" hidden="1">
      <c r="A231" s="33"/>
      <c r="B231" s="108"/>
      <c r="C231" s="108"/>
      <c r="D231" s="31" t="str">
        <f t="shared" si="48"/>
        <v>饿了么</v>
      </c>
      <c r="E231" s="108"/>
      <c r="F231" s="111"/>
      <c r="G231" s="108"/>
      <c r="H231" s="108"/>
      <c r="I231" s="108"/>
      <c r="J231" s="108"/>
      <c r="K231" s="31" t="str">
        <f t="shared" si="49"/>
        <v>运营中</v>
      </c>
      <c r="L231" s="108"/>
      <c r="M231" s="108"/>
      <c r="N231" s="12">
        <v>1</v>
      </c>
      <c r="O231" s="36">
        <v>40603</v>
      </c>
      <c r="P231" s="17" t="s">
        <v>262</v>
      </c>
      <c r="Q231" s="12" t="s">
        <v>261</v>
      </c>
      <c r="R231" s="12" t="s">
        <v>325</v>
      </c>
      <c r="S231" s="108"/>
      <c r="T231" s="108"/>
      <c r="U231" s="111"/>
      <c r="V231" s="108"/>
      <c r="W231" s="108"/>
      <c r="X231" s="108"/>
    </row>
    <row r="232" spans="1:24" s="26" customFormat="1" hidden="1">
      <c r="A232" s="33"/>
      <c r="B232" s="108"/>
      <c r="C232" s="108" t="s">
        <v>990</v>
      </c>
      <c r="D232" s="31" t="s">
        <v>991</v>
      </c>
      <c r="E232" s="108" t="s">
        <v>992</v>
      </c>
      <c r="F232" s="110" t="s">
        <v>993</v>
      </c>
      <c r="G232" s="107" t="s">
        <v>994</v>
      </c>
      <c r="H232" s="108" t="s">
        <v>995</v>
      </c>
      <c r="I232" s="108" t="s">
        <v>444</v>
      </c>
      <c r="J232" s="107" t="s">
        <v>547</v>
      </c>
      <c r="K232" s="31" t="s">
        <v>272</v>
      </c>
      <c r="L232" s="107" t="s">
        <v>996</v>
      </c>
      <c r="M232" s="107" t="s">
        <v>997</v>
      </c>
      <c r="N232" s="12">
        <v>1</v>
      </c>
      <c r="O232" s="36">
        <v>43004</v>
      </c>
      <c r="P232" s="12" t="s">
        <v>471</v>
      </c>
      <c r="Q232" s="12" t="s">
        <v>252</v>
      </c>
      <c r="R232" s="12" t="s">
        <v>240</v>
      </c>
      <c r="S232" s="108" t="s">
        <v>998</v>
      </c>
      <c r="T232" s="107" t="s">
        <v>255</v>
      </c>
      <c r="U232" s="110" t="s">
        <v>999</v>
      </c>
      <c r="V232" s="107" t="s">
        <v>1000</v>
      </c>
      <c r="W232" s="108"/>
      <c r="X232" s="108" t="s">
        <v>1001</v>
      </c>
    </row>
    <row r="233" spans="1:24" s="26" customFormat="1" hidden="1">
      <c r="A233" s="33"/>
      <c r="B233" s="108"/>
      <c r="C233" s="108"/>
      <c r="D233" s="31" t="str">
        <f>D232</f>
        <v>EJOY广州简悦科技</v>
      </c>
      <c r="E233" s="108"/>
      <c r="F233" s="111"/>
      <c r="G233" s="108"/>
      <c r="H233" s="108"/>
      <c r="I233" s="108"/>
      <c r="J233" s="108"/>
      <c r="K233" s="31" t="str">
        <f t="shared" ref="K233:K234" si="50">K232</f>
        <v>运营中</v>
      </c>
      <c r="L233" s="108"/>
      <c r="M233" s="108"/>
      <c r="N233" s="12">
        <v>1</v>
      </c>
      <c r="O233" s="36">
        <v>42409</v>
      </c>
      <c r="P233" s="17" t="s">
        <v>257</v>
      </c>
      <c r="Q233" s="12" t="s">
        <v>341</v>
      </c>
      <c r="R233" s="17" t="s">
        <v>1002</v>
      </c>
      <c r="S233" s="108"/>
      <c r="T233" s="108"/>
      <c r="U233" s="111"/>
      <c r="V233" s="108"/>
      <c r="W233" s="108"/>
      <c r="X233" s="108"/>
    </row>
    <row r="234" spans="1:24" s="26" customFormat="1" hidden="1">
      <c r="A234" s="33"/>
      <c r="B234" s="108"/>
      <c r="C234" s="108"/>
      <c r="D234" s="31" t="str">
        <f>D233</f>
        <v>EJOY广州简悦科技</v>
      </c>
      <c r="E234" s="108"/>
      <c r="F234" s="111"/>
      <c r="G234" s="108"/>
      <c r="H234" s="108"/>
      <c r="I234" s="108"/>
      <c r="J234" s="108"/>
      <c r="K234" s="31" t="str">
        <f t="shared" si="50"/>
        <v>运营中</v>
      </c>
      <c r="L234" s="108"/>
      <c r="M234" s="108"/>
      <c r="N234" s="12">
        <v>1</v>
      </c>
      <c r="O234" s="36">
        <v>41487</v>
      </c>
      <c r="P234" s="17" t="s">
        <v>262</v>
      </c>
      <c r="Q234" s="12" t="s">
        <v>252</v>
      </c>
      <c r="R234" s="17" t="s">
        <v>831</v>
      </c>
      <c r="S234" s="108"/>
      <c r="T234" s="108"/>
      <c r="U234" s="111"/>
      <c r="V234" s="108"/>
      <c r="W234" s="108"/>
      <c r="X234" s="108"/>
    </row>
    <row r="235" spans="1:24" s="26" customFormat="1" ht="36" hidden="1">
      <c r="A235" s="33"/>
      <c r="B235" s="108"/>
      <c r="C235" s="17" t="s">
        <v>1003</v>
      </c>
      <c r="D235" s="38" t="s">
        <v>1004</v>
      </c>
      <c r="E235" s="12" t="s">
        <v>1004</v>
      </c>
      <c r="F235" s="32" t="s">
        <v>1005</v>
      </c>
      <c r="G235" s="12" t="s">
        <v>1006</v>
      </c>
      <c r="H235" s="17" t="s">
        <v>1007</v>
      </c>
      <c r="I235" s="17" t="s">
        <v>384</v>
      </c>
      <c r="J235" s="12" t="s">
        <v>271</v>
      </c>
      <c r="K235" s="12" t="s">
        <v>248</v>
      </c>
      <c r="L235" s="12" t="s">
        <v>1008</v>
      </c>
      <c r="M235" s="12" t="s">
        <v>1009</v>
      </c>
      <c r="N235" s="12">
        <v>1</v>
      </c>
      <c r="O235" s="36">
        <v>41306</v>
      </c>
      <c r="P235" s="12" t="s">
        <v>471</v>
      </c>
      <c r="Q235" s="12" t="s">
        <v>252</v>
      </c>
      <c r="R235" s="12" t="s">
        <v>240</v>
      </c>
      <c r="S235" s="17" t="s">
        <v>253</v>
      </c>
      <c r="T235" s="12" t="s">
        <v>255</v>
      </c>
      <c r="U235" s="32" t="s">
        <v>1010</v>
      </c>
      <c r="V235" s="17"/>
      <c r="W235" s="17"/>
      <c r="X235" s="17"/>
    </row>
    <row r="236" spans="1:24" s="26" customFormat="1" hidden="1">
      <c r="A236" s="33"/>
      <c r="B236" s="108"/>
      <c r="C236" s="108" t="s">
        <v>1011</v>
      </c>
      <c r="D236" s="31" t="s">
        <v>1012</v>
      </c>
      <c r="E236" s="107" t="s">
        <v>1012</v>
      </c>
      <c r="F236" s="110" t="s">
        <v>1013</v>
      </c>
      <c r="G236" s="107" t="s">
        <v>1014</v>
      </c>
      <c r="H236" s="108" t="s">
        <v>1015</v>
      </c>
      <c r="I236" s="108" t="s">
        <v>1016</v>
      </c>
      <c r="J236" s="107" t="s">
        <v>385</v>
      </c>
      <c r="K236" s="31" t="s">
        <v>272</v>
      </c>
      <c r="L236" s="107" t="s">
        <v>672</v>
      </c>
      <c r="M236" s="107" t="s">
        <v>673</v>
      </c>
      <c r="N236" s="12">
        <v>1</v>
      </c>
      <c r="O236" s="36">
        <v>44306</v>
      </c>
      <c r="P236" s="17" t="s">
        <v>687</v>
      </c>
      <c r="Q236" s="17" t="s">
        <v>1017</v>
      </c>
      <c r="R236" s="12" t="s">
        <v>566</v>
      </c>
      <c r="S236" s="108" t="s">
        <v>1018</v>
      </c>
      <c r="T236" s="108" t="s">
        <v>1019</v>
      </c>
      <c r="U236" s="110" t="s">
        <v>1020</v>
      </c>
      <c r="V236" s="107" t="s">
        <v>1021</v>
      </c>
      <c r="W236" s="108" t="s">
        <v>1022</v>
      </c>
      <c r="X236" s="108"/>
    </row>
    <row r="237" spans="1:24" s="26" customFormat="1" hidden="1">
      <c r="A237" s="33"/>
      <c r="B237" s="108"/>
      <c r="C237" s="108"/>
      <c r="D237" s="31" t="str">
        <f t="shared" ref="D237:D246" si="51">D236</f>
        <v>美团</v>
      </c>
      <c r="E237" s="108"/>
      <c r="F237" s="111"/>
      <c r="G237" s="108"/>
      <c r="H237" s="108"/>
      <c r="I237" s="108"/>
      <c r="J237" s="108"/>
      <c r="K237" s="31" t="str">
        <f t="shared" ref="K237:K246" si="52">K236</f>
        <v>运营中</v>
      </c>
      <c r="L237" s="108"/>
      <c r="M237" s="108"/>
      <c r="N237" s="12">
        <v>1</v>
      </c>
      <c r="O237" s="36">
        <v>43363</v>
      </c>
      <c r="P237" s="17" t="s">
        <v>283</v>
      </c>
      <c r="Q237" s="17" t="s">
        <v>1023</v>
      </c>
      <c r="R237" s="17" t="s">
        <v>253</v>
      </c>
      <c r="S237" s="108"/>
      <c r="T237" s="108"/>
      <c r="U237" s="111"/>
      <c r="V237" s="108"/>
      <c r="W237" s="108"/>
      <c r="X237" s="108"/>
    </row>
    <row r="238" spans="1:24" s="26" customFormat="1" hidden="1">
      <c r="A238" s="33"/>
      <c r="B238" s="108"/>
      <c r="C238" s="108"/>
      <c r="D238" s="31" t="str">
        <f t="shared" si="51"/>
        <v>美团</v>
      </c>
      <c r="E238" s="108"/>
      <c r="F238" s="111"/>
      <c r="G238" s="108"/>
      <c r="H238" s="108"/>
      <c r="I238" s="108"/>
      <c r="J238" s="108"/>
      <c r="K238" s="31" t="str">
        <f t="shared" si="52"/>
        <v>运营中</v>
      </c>
      <c r="L238" s="108"/>
      <c r="M238" s="108"/>
      <c r="N238" s="12">
        <v>1</v>
      </c>
      <c r="O238" s="36">
        <v>43344</v>
      </c>
      <c r="P238" s="12" t="s">
        <v>654</v>
      </c>
      <c r="Q238" s="17" t="s">
        <v>1024</v>
      </c>
      <c r="R238" s="12" t="s">
        <v>1025</v>
      </c>
      <c r="S238" s="108"/>
      <c r="T238" s="108"/>
      <c r="U238" s="111"/>
      <c r="V238" s="108"/>
      <c r="W238" s="108"/>
      <c r="X238" s="108"/>
    </row>
    <row r="239" spans="1:24" s="26" customFormat="1" hidden="1">
      <c r="A239" s="33"/>
      <c r="B239" s="108"/>
      <c r="C239" s="108"/>
      <c r="D239" s="31" t="str">
        <f t="shared" si="51"/>
        <v>美团</v>
      </c>
      <c r="E239" s="108"/>
      <c r="F239" s="111"/>
      <c r="G239" s="108"/>
      <c r="H239" s="108"/>
      <c r="I239" s="108"/>
      <c r="J239" s="108"/>
      <c r="K239" s="31" t="str">
        <f t="shared" si="52"/>
        <v>运营中</v>
      </c>
      <c r="L239" s="108"/>
      <c r="M239" s="108"/>
      <c r="N239" s="12">
        <v>1</v>
      </c>
      <c r="O239" s="36">
        <v>43027</v>
      </c>
      <c r="P239" s="17" t="s">
        <v>303</v>
      </c>
      <c r="Q239" s="17" t="s">
        <v>292</v>
      </c>
      <c r="R239" s="12" t="s">
        <v>1026</v>
      </c>
      <c r="S239" s="108"/>
      <c r="T239" s="108"/>
      <c r="U239" s="111"/>
      <c r="V239" s="108"/>
      <c r="W239" s="108"/>
      <c r="X239" s="108"/>
    </row>
    <row r="240" spans="1:24" s="26" customFormat="1" hidden="1">
      <c r="A240" s="33"/>
      <c r="B240" s="108"/>
      <c r="C240" s="108"/>
      <c r="D240" s="31" t="str">
        <f t="shared" si="51"/>
        <v>美团</v>
      </c>
      <c r="E240" s="108"/>
      <c r="F240" s="111"/>
      <c r="G240" s="108"/>
      <c r="H240" s="108"/>
      <c r="I240" s="108"/>
      <c r="J240" s="108"/>
      <c r="K240" s="31" t="str">
        <f t="shared" si="52"/>
        <v>运营中</v>
      </c>
      <c r="L240" s="108"/>
      <c r="M240" s="108"/>
      <c r="N240" s="12">
        <v>1</v>
      </c>
      <c r="O240" s="36">
        <v>42569</v>
      </c>
      <c r="P240" s="12" t="s">
        <v>285</v>
      </c>
      <c r="Q240" s="12" t="s">
        <v>299</v>
      </c>
      <c r="R240" s="12" t="s">
        <v>1027</v>
      </c>
      <c r="S240" s="108"/>
      <c r="T240" s="108"/>
      <c r="U240" s="111"/>
      <c r="V240" s="108"/>
      <c r="W240" s="108"/>
      <c r="X240" s="108"/>
    </row>
    <row r="241" spans="1:25" s="26" customFormat="1" hidden="1">
      <c r="A241" s="33"/>
      <c r="B241" s="108"/>
      <c r="C241" s="108"/>
      <c r="D241" s="31" t="str">
        <f t="shared" si="51"/>
        <v>美团</v>
      </c>
      <c r="E241" s="108"/>
      <c r="F241" s="111"/>
      <c r="G241" s="108"/>
      <c r="H241" s="108"/>
      <c r="I241" s="108"/>
      <c r="J241" s="108"/>
      <c r="K241" s="31" t="str">
        <f t="shared" si="52"/>
        <v>运营中</v>
      </c>
      <c r="L241" s="108"/>
      <c r="M241" s="108"/>
      <c r="N241" s="12">
        <v>1</v>
      </c>
      <c r="O241" s="36">
        <v>42388</v>
      </c>
      <c r="P241" s="17" t="s">
        <v>310</v>
      </c>
      <c r="Q241" s="17" t="s">
        <v>1028</v>
      </c>
      <c r="R241" s="12" t="s">
        <v>1029</v>
      </c>
      <c r="S241" s="108"/>
      <c r="T241" s="108"/>
      <c r="U241" s="111"/>
      <c r="V241" s="108"/>
      <c r="W241" s="108"/>
      <c r="X241" s="108"/>
    </row>
    <row r="242" spans="1:25" s="26" customFormat="1" hidden="1">
      <c r="A242" s="33"/>
      <c r="B242" s="108"/>
      <c r="C242" s="108"/>
      <c r="D242" s="31" t="str">
        <f t="shared" si="51"/>
        <v>美团</v>
      </c>
      <c r="E242" s="108"/>
      <c r="F242" s="111"/>
      <c r="G242" s="108"/>
      <c r="H242" s="108"/>
      <c r="I242" s="108"/>
      <c r="J242" s="108"/>
      <c r="K242" s="31" t="str">
        <f t="shared" si="52"/>
        <v>运营中</v>
      </c>
      <c r="L242" s="108"/>
      <c r="M242" s="108"/>
      <c r="N242" s="12">
        <v>1</v>
      </c>
      <c r="O242" s="36">
        <v>42285</v>
      </c>
      <c r="P242" s="12" t="s">
        <v>313</v>
      </c>
      <c r="Q242" s="12" t="s">
        <v>252</v>
      </c>
      <c r="R242" s="12" t="s">
        <v>986</v>
      </c>
      <c r="S242" s="108"/>
      <c r="T242" s="108"/>
      <c r="U242" s="111"/>
      <c r="V242" s="108"/>
      <c r="W242" s="108"/>
      <c r="X242" s="108"/>
    </row>
    <row r="243" spans="1:25" s="26" customFormat="1" hidden="1">
      <c r="A243" s="33"/>
      <c r="B243" s="108"/>
      <c r="C243" s="108"/>
      <c r="D243" s="31" t="str">
        <f t="shared" si="51"/>
        <v>美团</v>
      </c>
      <c r="E243" s="108"/>
      <c r="F243" s="111"/>
      <c r="G243" s="108"/>
      <c r="H243" s="108"/>
      <c r="I243" s="108"/>
      <c r="J243" s="108"/>
      <c r="K243" s="31" t="str">
        <f t="shared" si="52"/>
        <v>运营中</v>
      </c>
      <c r="L243" s="108"/>
      <c r="M243" s="108"/>
      <c r="N243" s="12">
        <v>1</v>
      </c>
      <c r="O243" s="36">
        <v>41995</v>
      </c>
      <c r="P243" s="17" t="s">
        <v>317</v>
      </c>
      <c r="Q243" s="17" t="s">
        <v>318</v>
      </c>
      <c r="R243" s="12" t="s">
        <v>1030</v>
      </c>
      <c r="S243" s="108"/>
      <c r="T243" s="108"/>
      <c r="U243" s="111"/>
      <c r="V243" s="108"/>
      <c r="W243" s="108"/>
      <c r="X243" s="108"/>
    </row>
    <row r="244" spans="1:25" s="26" customFormat="1" hidden="1">
      <c r="A244" s="33"/>
      <c r="B244" s="108"/>
      <c r="C244" s="108"/>
      <c r="D244" s="31" t="str">
        <f t="shared" si="51"/>
        <v>美团</v>
      </c>
      <c r="E244" s="108"/>
      <c r="F244" s="111"/>
      <c r="G244" s="108"/>
      <c r="H244" s="108"/>
      <c r="I244" s="108"/>
      <c r="J244" s="108"/>
      <c r="K244" s="31" t="str">
        <f t="shared" si="52"/>
        <v>运营中</v>
      </c>
      <c r="L244" s="108"/>
      <c r="M244" s="108"/>
      <c r="N244" s="12">
        <v>1</v>
      </c>
      <c r="O244" s="36">
        <v>41760</v>
      </c>
      <c r="P244" s="17" t="s">
        <v>251</v>
      </c>
      <c r="Q244" s="17" t="s">
        <v>699</v>
      </c>
      <c r="R244" s="12" t="s">
        <v>1031</v>
      </c>
      <c r="S244" s="108"/>
      <c r="T244" s="108"/>
      <c r="U244" s="111"/>
      <c r="V244" s="108"/>
      <c r="W244" s="108"/>
      <c r="X244" s="108"/>
    </row>
    <row r="245" spans="1:25" s="26" customFormat="1" hidden="1">
      <c r="A245" s="33"/>
      <c r="B245" s="108"/>
      <c r="C245" s="108"/>
      <c r="D245" s="31" t="str">
        <f t="shared" si="51"/>
        <v>美团</v>
      </c>
      <c r="E245" s="108"/>
      <c r="F245" s="111"/>
      <c r="G245" s="108"/>
      <c r="H245" s="108"/>
      <c r="I245" s="108"/>
      <c r="J245" s="108"/>
      <c r="K245" s="31" t="str">
        <f t="shared" si="52"/>
        <v>运营中</v>
      </c>
      <c r="L245" s="108"/>
      <c r="M245" s="108"/>
      <c r="N245" s="12">
        <v>1</v>
      </c>
      <c r="O245" s="36">
        <v>40725</v>
      </c>
      <c r="P245" s="17" t="s">
        <v>257</v>
      </c>
      <c r="Q245" s="17" t="s">
        <v>1032</v>
      </c>
      <c r="R245" s="12" t="s">
        <v>1033</v>
      </c>
      <c r="S245" s="108"/>
      <c r="T245" s="108"/>
      <c r="U245" s="111"/>
      <c r="V245" s="108"/>
      <c r="W245" s="108"/>
      <c r="X245" s="108"/>
    </row>
    <row r="246" spans="1:25" s="26" customFormat="1" hidden="1">
      <c r="A246" s="33"/>
      <c r="B246" s="108"/>
      <c r="C246" s="108"/>
      <c r="D246" s="31" t="str">
        <f t="shared" si="51"/>
        <v>美团</v>
      </c>
      <c r="E246" s="108"/>
      <c r="F246" s="111"/>
      <c r="G246" s="108"/>
      <c r="H246" s="108"/>
      <c r="I246" s="108"/>
      <c r="J246" s="108"/>
      <c r="K246" s="31" t="str">
        <f t="shared" si="52"/>
        <v>运营中</v>
      </c>
      <c r="L246" s="108"/>
      <c r="M246" s="108"/>
      <c r="N246" s="12">
        <v>1</v>
      </c>
      <c r="O246" s="36">
        <v>40451</v>
      </c>
      <c r="P246" s="17" t="s">
        <v>262</v>
      </c>
      <c r="Q246" s="17" t="s">
        <v>567</v>
      </c>
      <c r="R246" s="12" t="s">
        <v>421</v>
      </c>
      <c r="S246" s="108"/>
      <c r="T246" s="108"/>
      <c r="U246" s="111"/>
      <c r="V246" s="108"/>
      <c r="W246" s="108"/>
      <c r="X246" s="108"/>
    </row>
    <row r="247" spans="1:25" s="26" customFormat="1" ht="77.5" customHeight="1">
      <c r="A247" s="11"/>
      <c r="B247" s="108"/>
      <c r="C247" s="108" t="s">
        <v>1034</v>
      </c>
      <c r="D247" s="31" t="s">
        <v>1035</v>
      </c>
      <c r="E247" s="109" t="s">
        <v>1036</v>
      </c>
      <c r="F247" s="112" t="s">
        <v>1037</v>
      </c>
      <c r="G247" s="107" t="s">
        <v>1038</v>
      </c>
      <c r="H247" s="108" t="s">
        <v>1039</v>
      </c>
      <c r="I247" s="109" t="s">
        <v>1040</v>
      </c>
      <c r="J247" s="109" t="s">
        <v>1041</v>
      </c>
      <c r="K247" s="20" t="s">
        <v>1042</v>
      </c>
      <c r="L247" s="109" t="s">
        <v>1043</v>
      </c>
      <c r="M247" s="109" t="s">
        <v>1044</v>
      </c>
      <c r="N247" s="13"/>
      <c r="O247" s="24">
        <v>44508</v>
      </c>
      <c r="P247" s="13" t="s">
        <v>1045</v>
      </c>
      <c r="Q247" s="13" t="s">
        <v>1046</v>
      </c>
      <c r="R247" s="13" t="s">
        <v>1047</v>
      </c>
      <c r="S247" s="109" t="s">
        <v>1048</v>
      </c>
      <c r="T247" s="109" t="s">
        <v>1049</v>
      </c>
      <c r="U247" s="112" t="s">
        <v>1050</v>
      </c>
      <c r="V247" s="107" t="s">
        <v>1051</v>
      </c>
      <c r="W247" s="108" t="s">
        <v>1052</v>
      </c>
      <c r="X247" s="108" t="s">
        <v>1053</v>
      </c>
      <c r="Y247" s="11"/>
    </row>
    <row r="248" spans="1:25" s="26" customFormat="1" hidden="1">
      <c r="A248" s="33"/>
      <c r="B248" s="108"/>
      <c r="C248" s="108"/>
      <c r="D248" s="31" t="str">
        <f>D247</f>
        <v>小红书</v>
      </c>
      <c r="E248" s="108"/>
      <c r="F248" s="111"/>
      <c r="G248" s="108"/>
      <c r="H248" s="108"/>
      <c r="I248" s="108"/>
      <c r="J248" s="108"/>
      <c r="K248" s="31" t="str">
        <f t="shared" ref="K248:K252" si="53">K247</f>
        <v>运营中</v>
      </c>
      <c r="L248" s="108"/>
      <c r="M248" s="108"/>
      <c r="N248" s="17"/>
      <c r="O248" s="36">
        <v>43252</v>
      </c>
      <c r="P248" s="17" t="s">
        <v>317</v>
      </c>
      <c r="Q248" s="17" t="s">
        <v>699</v>
      </c>
      <c r="R248" s="12" t="s">
        <v>1054</v>
      </c>
      <c r="S248" s="108"/>
      <c r="T248" s="108"/>
      <c r="U248" s="111"/>
      <c r="V248" s="108"/>
      <c r="W248" s="108"/>
      <c r="X248" s="108"/>
    </row>
    <row r="249" spans="1:25" s="26" customFormat="1" hidden="1">
      <c r="A249" s="33"/>
      <c r="B249" s="108"/>
      <c r="C249" s="108"/>
      <c r="D249" s="31" t="str">
        <f>D248</f>
        <v>小红书</v>
      </c>
      <c r="E249" s="108"/>
      <c r="F249" s="111"/>
      <c r="G249" s="108"/>
      <c r="H249" s="108"/>
      <c r="I249" s="108"/>
      <c r="J249" s="108"/>
      <c r="K249" s="31" t="str">
        <f t="shared" si="53"/>
        <v>运营中</v>
      </c>
      <c r="L249" s="108"/>
      <c r="M249" s="108"/>
      <c r="N249" s="17"/>
      <c r="O249" s="36">
        <v>42460</v>
      </c>
      <c r="P249" s="17" t="s">
        <v>251</v>
      </c>
      <c r="Q249" s="17" t="s">
        <v>320</v>
      </c>
      <c r="R249" s="12" t="s">
        <v>1055</v>
      </c>
      <c r="S249" s="108"/>
      <c r="T249" s="108"/>
      <c r="U249" s="111"/>
      <c r="V249" s="108"/>
      <c r="W249" s="108"/>
      <c r="X249" s="108"/>
    </row>
    <row r="250" spans="1:25" s="26" customFormat="1" hidden="1">
      <c r="A250" s="33"/>
      <c r="B250" s="108"/>
      <c r="C250" s="108"/>
      <c r="D250" s="31" t="str">
        <f>D249</f>
        <v>小红书</v>
      </c>
      <c r="E250" s="108"/>
      <c r="F250" s="111"/>
      <c r="G250" s="108"/>
      <c r="H250" s="108"/>
      <c r="I250" s="108"/>
      <c r="J250" s="108"/>
      <c r="K250" s="31" t="str">
        <f t="shared" si="53"/>
        <v>运营中</v>
      </c>
      <c r="L250" s="108"/>
      <c r="M250" s="108"/>
      <c r="N250" s="17"/>
      <c r="O250" s="36">
        <v>42163</v>
      </c>
      <c r="P250" s="17" t="s">
        <v>257</v>
      </c>
      <c r="Q250" s="12" t="s">
        <v>258</v>
      </c>
      <c r="R250" s="12" t="s">
        <v>1056</v>
      </c>
      <c r="S250" s="108"/>
      <c r="T250" s="108"/>
      <c r="U250" s="111"/>
      <c r="V250" s="108"/>
      <c r="W250" s="108"/>
      <c r="X250" s="108"/>
    </row>
    <row r="251" spans="1:25" s="26" customFormat="1" hidden="1">
      <c r="A251" s="33"/>
      <c r="B251" s="108"/>
      <c r="C251" s="108"/>
      <c r="D251" s="31" t="str">
        <f>D250</f>
        <v>小红书</v>
      </c>
      <c r="E251" s="108"/>
      <c r="F251" s="111"/>
      <c r="G251" s="108"/>
      <c r="H251" s="108"/>
      <c r="I251" s="108"/>
      <c r="J251" s="108"/>
      <c r="K251" s="31" t="str">
        <f t="shared" si="53"/>
        <v>运营中</v>
      </c>
      <c r="L251" s="108"/>
      <c r="M251" s="108"/>
      <c r="N251" s="17"/>
      <c r="O251" s="36">
        <v>41819</v>
      </c>
      <c r="P251" s="17" t="s">
        <v>262</v>
      </c>
      <c r="Q251" s="12" t="s">
        <v>261</v>
      </c>
      <c r="R251" s="12" t="s">
        <v>1057</v>
      </c>
      <c r="S251" s="108"/>
      <c r="T251" s="108"/>
      <c r="U251" s="111"/>
      <c r="V251" s="108"/>
      <c r="W251" s="108"/>
      <c r="X251" s="108"/>
    </row>
    <row r="252" spans="1:25" s="26" customFormat="1" hidden="1">
      <c r="A252" s="33"/>
      <c r="B252" s="108"/>
      <c r="C252" s="108"/>
      <c r="D252" s="31" t="str">
        <f>D251</f>
        <v>小红书</v>
      </c>
      <c r="E252" s="108"/>
      <c r="F252" s="111"/>
      <c r="G252" s="108"/>
      <c r="H252" s="108"/>
      <c r="I252" s="108"/>
      <c r="J252" s="108"/>
      <c r="K252" s="31" t="str">
        <f t="shared" si="53"/>
        <v>运营中</v>
      </c>
      <c r="L252" s="108"/>
      <c r="M252" s="108"/>
      <c r="N252" s="17"/>
      <c r="O252" s="36">
        <v>41548</v>
      </c>
      <c r="P252" s="12" t="s">
        <v>326</v>
      </c>
      <c r="Q252" s="12" t="s">
        <v>327</v>
      </c>
      <c r="R252" s="12" t="s">
        <v>490</v>
      </c>
      <c r="S252" s="108"/>
      <c r="T252" s="108"/>
      <c r="U252" s="111"/>
      <c r="V252" s="108"/>
      <c r="W252" s="108"/>
      <c r="X252" s="108"/>
    </row>
    <row r="253" spans="1:25" s="26" customFormat="1" hidden="1">
      <c r="A253" s="33"/>
      <c r="B253" s="108"/>
      <c r="C253" s="108" t="s">
        <v>1058</v>
      </c>
      <c r="D253" s="31" t="s">
        <v>1059</v>
      </c>
      <c r="E253" s="107" t="s">
        <v>1059</v>
      </c>
      <c r="F253" s="110" t="s">
        <v>1060</v>
      </c>
      <c r="G253" s="107" t="s">
        <v>1061</v>
      </c>
      <c r="H253" s="108" t="s">
        <v>1062</v>
      </c>
      <c r="I253" s="108" t="s">
        <v>334</v>
      </c>
      <c r="J253" s="107" t="s">
        <v>271</v>
      </c>
      <c r="K253" s="31" t="s">
        <v>272</v>
      </c>
      <c r="L253" s="107" t="s">
        <v>672</v>
      </c>
      <c r="M253" s="107" t="s">
        <v>853</v>
      </c>
      <c r="N253" s="12"/>
      <c r="O253" s="36">
        <v>43234</v>
      </c>
      <c r="P253" s="17" t="s">
        <v>565</v>
      </c>
      <c r="Q253" s="17" t="s">
        <v>1063</v>
      </c>
      <c r="R253" s="12" t="s">
        <v>1064</v>
      </c>
      <c r="S253" s="108" t="s">
        <v>353</v>
      </c>
      <c r="T253" s="108" t="s">
        <v>1065</v>
      </c>
      <c r="U253" s="111"/>
      <c r="V253" s="108"/>
      <c r="W253" s="108" t="s">
        <v>1066</v>
      </c>
      <c r="X253" s="108" t="s">
        <v>1067</v>
      </c>
    </row>
    <row r="254" spans="1:25" s="26" customFormat="1" hidden="1">
      <c r="A254" s="33"/>
      <c r="B254" s="108"/>
      <c r="C254" s="108"/>
      <c r="D254" s="31" t="str">
        <f>D253</f>
        <v>云纵</v>
      </c>
      <c r="E254" s="108"/>
      <c r="F254" s="111"/>
      <c r="G254" s="108"/>
      <c r="H254" s="108"/>
      <c r="I254" s="108"/>
      <c r="J254" s="108"/>
      <c r="K254" s="31" t="str">
        <f t="shared" ref="K254:K256" si="54">K253</f>
        <v>运营中</v>
      </c>
      <c r="L254" s="108"/>
      <c r="M254" s="108"/>
      <c r="N254" s="17"/>
      <c r="O254" s="36">
        <v>42527</v>
      </c>
      <c r="P254" s="12" t="s">
        <v>285</v>
      </c>
      <c r="Q254" s="12" t="s">
        <v>252</v>
      </c>
      <c r="R254" s="12" t="s">
        <v>1068</v>
      </c>
      <c r="S254" s="108"/>
      <c r="T254" s="108"/>
      <c r="U254" s="111"/>
      <c r="V254" s="108"/>
      <c r="W254" s="108"/>
      <c r="X254" s="108"/>
    </row>
    <row r="255" spans="1:25" s="26" customFormat="1" hidden="1">
      <c r="A255" s="33"/>
      <c r="B255" s="108"/>
      <c r="C255" s="108"/>
      <c r="D255" s="31" t="str">
        <f>D254</f>
        <v>云纵</v>
      </c>
      <c r="E255" s="108"/>
      <c r="F255" s="111"/>
      <c r="G255" s="108"/>
      <c r="H255" s="108"/>
      <c r="I255" s="108"/>
      <c r="J255" s="108"/>
      <c r="K255" s="31" t="str">
        <f t="shared" si="54"/>
        <v>运营中</v>
      </c>
      <c r="L255" s="108"/>
      <c r="M255" s="108"/>
      <c r="N255" s="17"/>
      <c r="O255" s="36">
        <v>42331</v>
      </c>
      <c r="P255" s="17" t="s">
        <v>257</v>
      </c>
      <c r="Q255" s="12" t="s">
        <v>341</v>
      </c>
      <c r="R255" s="12" t="s">
        <v>1069</v>
      </c>
      <c r="S255" s="108"/>
      <c r="T255" s="108"/>
      <c r="U255" s="111"/>
      <c r="V255" s="108"/>
      <c r="W255" s="108"/>
      <c r="X255" s="108"/>
    </row>
    <row r="256" spans="1:25" s="26" customFormat="1" hidden="1">
      <c r="A256" s="33"/>
      <c r="B256" s="108"/>
      <c r="C256" s="108"/>
      <c r="D256" s="31" t="str">
        <f>D255</f>
        <v>云纵</v>
      </c>
      <c r="E256" s="108"/>
      <c r="F256" s="111"/>
      <c r="G256" s="108"/>
      <c r="H256" s="108"/>
      <c r="I256" s="108"/>
      <c r="J256" s="108"/>
      <c r="K256" s="31" t="str">
        <f t="shared" si="54"/>
        <v>运营中</v>
      </c>
      <c r="L256" s="108"/>
      <c r="M256" s="108"/>
      <c r="N256" s="17"/>
      <c r="O256" s="36">
        <v>41671</v>
      </c>
      <c r="P256" s="17" t="s">
        <v>262</v>
      </c>
      <c r="Q256" s="12" t="s">
        <v>327</v>
      </c>
      <c r="R256" s="12" t="s">
        <v>1070</v>
      </c>
      <c r="S256" s="108"/>
      <c r="T256" s="108"/>
      <c r="U256" s="111"/>
      <c r="V256" s="108"/>
      <c r="W256" s="108"/>
      <c r="X256" s="108"/>
    </row>
    <row r="257" spans="1:24" s="26" customFormat="1" hidden="1">
      <c r="A257" s="33"/>
      <c r="B257" s="108"/>
      <c r="C257" s="108" t="s">
        <v>1071</v>
      </c>
      <c r="D257" s="31" t="s">
        <v>1072</v>
      </c>
      <c r="E257" s="107" t="s">
        <v>1072</v>
      </c>
      <c r="F257" s="110" t="s">
        <v>1073</v>
      </c>
      <c r="G257" s="107" t="s">
        <v>1074</v>
      </c>
      <c r="H257" s="108" t="s">
        <v>1075</v>
      </c>
      <c r="I257" s="108" t="s">
        <v>334</v>
      </c>
      <c r="J257" s="107" t="s">
        <v>385</v>
      </c>
      <c r="K257" s="31" t="s">
        <v>272</v>
      </c>
      <c r="L257" s="107" t="s">
        <v>386</v>
      </c>
      <c r="M257" s="107" t="s">
        <v>387</v>
      </c>
      <c r="N257" s="12"/>
      <c r="O257" s="36">
        <v>41852</v>
      </c>
      <c r="P257" s="17" t="s">
        <v>257</v>
      </c>
      <c r="Q257" s="17" t="s">
        <v>637</v>
      </c>
      <c r="R257" s="12" t="s">
        <v>1076</v>
      </c>
      <c r="S257" s="108" t="s">
        <v>1077</v>
      </c>
      <c r="T257" s="108" t="s">
        <v>1078</v>
      </c>
      <c r="U257" s="110" t="s">
        <v>1079</v>
      </c>
      <c r="V257" s="107" t="s">
        <v>1080</v>
      </c>
      <c r="W257" s="108" t="s">
        <v>1081</v>
      </c>
      <c r="X257" s="108" t="s">
        <v>1082</v>
      </c>
    </row>
    <row r="258" spans="1:24" s="26" customFormat="1" hidden="1">
      <c r="A258" s="33"/>
      <c r="B258" s="108"/>
      <c r="C258" s="108"/>
      <c r="D258" s="31" t="str">
        <f>D257</f>
        <v>芭乐</v>
      </c>
      <c r="E258" s="108"/>
      <c r="F258" s="111"/>
      <c r="G258" s="108"/>
      <c r="H258" s="108"/>
      <c r="I258" s="108"/>
      <c r="J258" s="108"/>
      <c r="K258" s="31" t="str">
        <f t="shared" ref="K258:K259" si="55">K257</f>
        <v>运营中</v>
      </c>
      <c r="L258" s="108"/>
      <c r="M258" s="108"/>
      <c r="N258" s="17"/>
      <c r="O258" s="36">
        <v>41183</v>
      </c>
      <c r="P258" s="17" t="s">
        <v>262</v>
      </c>
      <c r="Q258" s="12" t="s">
        <v>341</v>
      </c>
      <c r="R258" s="17" t="s">
        <v>1083</v>
      </c>
      <c r="S258" s="108"/>
      <c r="T258" s="108"/>
      <c r="U258" s="111"/>
      <c r="V258" s="108"/>
      <c r="W258" s="108"/>
      <c r="X258" s="108"/>
    </row>
    <row r="259" spans="1:24" s="26" customFormat="1" hidden="1">
      <c r="A259" s="33"/>
      <c r="B259" s="108"/>
      <c r="C259" s="108"/>
      <c r="D259" s="31" t="str">
        <f>D258</f>
        <v>芭乐</v>
      </c>
      <c r="E259" s="108"/>
      <c r="F259" s="111"/>
      <c r="G259" s="108"/>
      <c r="H259" s="108"/>
      <c r="I259" s="108"/>
      <c r="J259" s="108"/>
      <c r="K259" s="31" t="str">
        <f t="shared" si="55"/>
        <v>运营中</v>
      </c>
      <c r="L259" s="108"/>
      <c r="M259" s="108"/>
      <c r="N259" s="17"/>
      <c r="O259" s="36">
        <v>40787</v>
      </c>
      <c r="P259" s="12" t="s">
        <v>326</v>
      </c>
      <c r="Q259" s="12" t="s">
        <v>252</v>
      </c>
      <c r="R259" s="12" t="s">
        <v>862</v>
      </c>
      <c r="S259" s="108"/>
      <c r="T259" s="108"/>
      <c r="U259" s="111"/>
      <c r="V259" s="108"/>
      <c r="W259" s="108"/>
      <c r="X259" s="108"/>
    </row>
    <row r="260" spans="1:24" s="26" customFormat="1" hidden="1">
      <c r="A260" s="33"/>
      <c r="B260" s="108"/>
      <c r="C260" s="108" t="s">
        <v>1084</v>
      </c>
      <c r="D260" s="31" t="s">
        <v>1085</v>
      </c>
      <c r="E260" s="107" t="s">
        <v>1085</v>
      </c>
      <c r="F260" s="110" t="s">
        <v>1086</v>
      </c>
      <c r="G260" s="107" t="s">
        <v>1087</v>
      </c>
      <c r="H260" s="108" t="s">
        <v>1088</v>
      </c>
      <c r="I260" s="108" t="s">
        <v>1089</v>
      </c>
      <c r="J260" s="107" t="s">
        <v>406</v>
      </c>
      <c r="K260" s="31" t="s">
        <v>272</v>
      </c>
      <c r="L260" s="107" t="s">
        <v>350</v>
      </c>
      <c r="M260" s="107" t="s">
        <v>1090</v>
      </c>
      <c r="N260" s="12"/>
      <c r="O260" s="36">
        <v>44389</v>
      </c>
      <c r="P260" s="12" t="s">
        <v>285</v>
      </c>
      <c r="Q260" s="12" t="s">
        <v>252</v>
      </c>
      <c r="R260" s="12" t="s">
        <v>1091</v>
      </c>
      <c r="S260" s="108" t="s">
        <v>1092</v>
      </c>
      <c r="T260" s="107" t="s">
        <v>255</v>
      </c>
      <c r="U260" s="110" t="s">
        <v>1093</v>
      </c>
      <c r="V260" s="108"/>
      <c r="W260" s="108"/>
      <c r="X260" s="108"/>
    </row>
    <row r="261" spans="1:24" s="26" customFormat="1" hidden="1">
      <c r="A261" s="33"/>
      <c r="B261" s="108"/>
      <c r="C261" s="108"/>
      <c r="D261" s="31" t="str">
        <f>D260</f>
        <v>启博</v>
      </c>
      <c r="E261" s="108"/>
      <c r="F261" s="111"/>
      <c r="G261" s="108"/>
      <c r="H261" s="108"/>
      <c r="I261" s="108"/>
      <c r="J261" s="108"/>
      <c r="K261" s="31" t="str">
        <f t="shared" ref="K261:K262" si="56">K260</f>
        <v>运营中</v>
      </c>
      <c r="L261" s="108"/>
      <c r="M261" s="108"/>
      <c r="N261" s="17"/>
      <c r="O261" s="36">
        <v>42881</v>
      </c>
      <c r="P261" s="17" t="s">
        <v>257</v>
      </c>
      <c r="Q261" s="12" t="s">
        <v>252</v>
      </c>
      <c r="R261" s="12" t="s">
        <v>1094</v>
      </c>
      <c r="S261" s="108"/>
      <c r="T261" s="108"/>
      <c r="U261" s="111"/>
      <c r="V261" s="108"/>
      <c r="W261" s="108"/>
      <c r="X261" s="108"/>
    </row>
    <row r="262" spans="1:24" s="26" customFormat="1" hidden="1">
      <c r="A262" s="33"/>
      <c r="B262" s="108"/>
      <c r="C262" s="108"/>
      <c r="D262" s="31" t="str">
        <f>D261</f>
        <v>启博</v>
      </c>
      <c r="E262" s="108"/>
      <c r="F262" s="111"/>
      <c r="G262" s="108"/>
      <c r="H262" s="108"/>
      <c r="I262" s="108"/>
      <c r="J262" s="108"/>
      <c r="K262" s="31" t="str">
        <f t="shared" si="56"/>
        <v>运营中</v>
      </c>
      <c r="L262" s="108"/>
      <c r="M262" s="108"/>
      <c r="N262" s="17"/>
      <c r="O262" s="36">
        <v>41275</v>
      </c>
      <c r="P262" s="17" t="s">
        <v>262</v>
      </c>
      <c r="Q262" s="12" t="s">
        <v>341</v>
      </c>
      <c r="R262" s="12" t="s">
        <v>240</v>
      </c>
      <c r="S262" s="108"/>
      <c r="T262" s="108"/>
      <c r="U262" s="111"/>
      <c r="V262" s="108"/>
      <c r="W262" s="108"/>
      <c r="X262" s="108"/>
    </row>
    <row r="263" spans="1:24" s="26" customFormat="1" hidden="1">
      <c r="A263" s="33"/>
      <c r="B263" s="108"/>
      <c r="C263" s="108" t="s">
        <v>1095</v>
      </c>
      <c r="D263" s="31" t="s">
        <v>1096</v>
      </c>
      <c r="E263" s="107" t="s">
        <v>1096</v>
      </c>
      <c r="F263" s="110" t="s">
        <v>1097</v>
      </c>
      <c r="G263" s="107" t="s">
        <v>1098</v>
      </c>
      <c r="H263" s="108" t="s">
        <v>1099</v>
      </c>
      <c r="I263" s="108" t="s">
        <v>1100</v>
      </c>
      <c r="J263" s="107" t="s">
        <v>349</v>
      </c>
      <c r="K263" s="31" t="s">
        <v>272</v>
      </c>
      <c r="L263" s="107" t="s">
        <v>1101</v>
      </c>
      <c r="M263" s="107" t="s">
        <v>1102</v>
      </c>
      <c r="N263" s="12">
        <v>1</v>
      </c>
      <c r="O263" s="36">
        <v>43784</v>
      </c>
      <c r="P263" s="17" t="s">
        <v>687</v>
      </c>
      <c r="Q263" s="17" t="s">
        <v>1103</v>
      </c>
      <c r="R263" s="12" t="s">
        <v>1104</v>
      </c>
      <c r="S263" s="108" t="s">
        <v>1105</v>
      </c>
      <c r="T263" s="108" t="s">
        <v>1106</v>
      </c>
      <c r="U263" s="110" t="s">
        <v>1107</v>
      </c>
      <c r="V263" s="107" t="s">
        <v>1108</v>
      </c>
      <c r="W263" s="108" t="s">
        <v>1109</v>
      </c>
      <c r="X263" s="108"/>
    </row>
    <row r="264" spans="1:24" s="26" customFormat="1" hidden="1">
      <c r="A264" s="33"/>
      <c r="B264" s="108"/>
      <c r="C264" s="108"/>
      <c r="D264" s="31" t="str">
        <f t="shared" ref="D264:D270" si="57">D263</f>
        <v>美年健康</v>
      </c>
      <c r="E264" s="108"/>
      <c r="F264" s="111"/>
      <c r="G264" s="108"/>
      <c r="H264" s="108"/>
      <c r="I264" s="108"/>
      <c r="J264" s="108"/>
      <c r="K264" s="31" t="str">
        <f t="shared" ref="K264:K270" si="58">K263</f>
        <v>运营中</v>
      </c>
      <c r="L264" s="108"/>
      <c r="M264" s="108"/>
      <c r="N264" s="12">
        <v>1</v>
      </c>
      <c r="O264" s="36">
        <v>43493</v>
      </c>
      <c r="P264" s="17" t="s">
        <v>687</v>
      </c>
      <c r="Q264" s="12" t="s">
        <v>252</v>
      </c>
      <c r="R264" s="12" t="s">
        <v>1110</v>
      </c>
      <c r="S264" s="108"/>
      <c r="T264" s="108"/>
      <c r="U264" s="111"/>
      <c r="V264" s="108"/>
      <c r="W264" s="108"/>
      <c r="X264" s="108"/>
    </row>
    <row r="265" spans="1:24" s="26" customFormat="1" hidden="1">
      <c r="A265" s="33"/>
      <c r="B265" s="108"/>
      <c r="C265" s="108"/>
      <c r="D265" s="31" t="str">
        <f t="shared" si="57"/>
        <v>美年健康</v>
      </c>
      <c r="E265" s="108"/>
      <c r="F265" s="111"/>
      <c r="G265" s="108"/>
      <c r="H265" s="108"/>
      <c r="I265" s="108"/>
      <c r="J265" s="108"/>
      <c r="K265" s="31" t="str">
        <f t="shared" si="58"/>
        <v>运营中</v>
      </c>
      <c r="L265" s="108"/>
      <c r="M265" s="108"/>
      <c r="N265" s="12">
        <v>1</v>
      </c>
      <c r="O265" s="36">
        <v>42244</v>
      </c>
      <c r="P265" s="17" t="s">
        <v>283</v>
      </c>
      <c r="Q265" s="17" t="s">
        <v>1111</v>
      </c>
      <c r="R265" s="17" t="s">
        <v>253</v>
      </c>
      <c r="S265" s="108"/>
      <c r="T265" s="108"/>
      <c r="U265" s="111"/>
      <c r="V265" s="108"/>
      <c r="W265" s="108"/>
      <c r="X265" s="108"/>
    </row>
    <row r="266" spans="1:24" s="26" customFormat="1" hidden="1">
      <c r="A266" s="33"/>
      <c r="B266" s="108"/>
      <c r="C266" s="108"/>
      <c r="D266" s="31" t="str">
        <f t="shared" si="57"/>
        <v>美年健康</v>
      </c>
      <c r="E266" s="108"/>
      <c r="F266" s="111"/>
      <c r="G266" s="108"/>
      <c r="H266" s="108"/>
      <c r="I266" s="108"/>
      <c r="J266" s="108"/>
      <c r="K266" s="31" t="str">
        <f t="shared" si="58"/>
        <v>运营中</v>
      </c>
      <c r="L266" s="108"/>
      <c r="M266" s="108"/>
      <c r="N266" s="12">
        <v>1</v>
      </c>
      <c r="O266" s="36">
        <v>42208</v>
      </c>
      <c r="P266" s="12" t="s">
        <v>471</v>
      </c>
      <c r="Q266" s="17" t="s">
        <v>1112</v>
      </c>
      <c r="R266" s="12" t="s">
        <v>1113</v>
      </c>
      <c r="S266" s="108"/>
      <c r="T266" s="108"/>
      <c r="U266" s="111"/>
      <c r="V266" s="108"/>
      <c r="W266" s="108"/>
      <c r="X266" s="108"/>
    </row>
    <row r="267" spans="1:24" s="26" customFormat="1" hidden="1">
      <c r="A267" s="33"/>
      <c r="B267" s="108"/>
      <c r="C267" s="108"/>
      <c r="D267" s="31" t="str">
        <f t="shared" si="57"/>
        <v>美年健康</v>
      </c>
      <c r="E267" s="108"/>
      <c r="F267" s="111"/>
      <c r="G267" s="108"/>
      <c r="H267" s="108"/>
      <c r="I267" s="108"/>
      <c r="J267" s="108"/>
      <c r="K267" s="31" t="str">
        <f t="shared" si="58"/>
        <v>运营中</v>
      </c>
      <c r="L267" s="108"/>
      <c r="M267" s="108"/>
      <c r="N267" s="12">
        <v>1</v>
      </c>
      <c r="O267" s="36">
        <v>41912</v>
      </c>
      <c r="P267" s="17" t="s">
        <v>251</v>
      </c>
      <c r="Q267" s="12" t="s">
        <v>341</v>
      </c>
      <c r="R267" s="12" t="s">
        <v>1114</v>
      </c>
      <c r="S267" s="108"/>
      <c r="T267" s="108"/>
      <c r="U267" s="111"/>
      <c r="V267" s="108"/>
      <c r="W267" s="108"/>
      <c r="X267" s="108"/>
    </row>
    <row r="268" spans="1:24" s="26" customFormat="1" hidden="1">
      <c r="A268" s="33"/>
      <c r="B268" s="108"/>
      <c r="C268" s="108"/>
      <c r="D268" s="31" t="str">
        <f t="shared" si="57"/>
        <v>美年健康</v>
      </c>
      <c r="E268" s="108"/>
      <c r="F268" s="111"/>
      <c r="G268" s="108"/>
      <c r="H268" s="108"/>
      <c r="I268" s="108"/>
      <c r="J268" s="108"/>
      <c r="K268" s="31" t="str">
        <f t="shared" si="58"/>
        <v>运营中</v>
      </c>
      <c r="L268" s="108"/>
      <c r="M268" s="108"/>
      <c r="N268" s="12">
        <v>1</v>
      </c>
      <c r="O268" s="36">
        <v>41518</v>
      </c>
      <c r="P268" s="17" t="s">
        <v>257</v>
      </c>
      <c r="Q268" s="17" t="s">
        <v>1115</v>
      </c>
      <c r="R268" s="12" t="s">
        <v>1116</v>
      </c>
      <c r="S268" s="108"/>
      <c r="T268" s="108"/>
      <c r="U268" s="111"/>
      <c r="V268" s="108"/>
      <c r="W268" s="108"/>
      <c r="X268" s="108"/>
    </row>
    <row r="269" spans="1:24" s="26" customFormat="1" hidden="1">
      <c r="A269" s="33"/>
      <c r="B269" s="108"/>
      <c r="C269" s="108"/>
      <c r="D269" s="31" t="str">
        <f t="shared" si="57"/>
        <v>美年健康</v>
      </c>
      <c r="E269" s="108"/>
      <c r="F269" s="111"/>
      <c r="G269" s="108"/>
      <c r="H269" s="108"/>
      <c r="I269" s="108"/>
      <c r="J269" s="108"/>
      <c r="K269" s="31" t="str">
        <f t="shared" si="58"/>
        <v>运营中</v>
      </c>
      <c r="L269" s="108"/>
      <c r="M269" s="108"/>
      <c r="N269" s="12">
        <v>1</v>
      </c>
      <c r="O269" s="36">
        <v>41122</v>
      </c>
      <c r="P269" s="17" t="s">
        <v>262</v>
      </c>
      <c r="Q269" s="12" t="s">
        <v>409</v>
      </c>
      <c r="R269" s="12" t="s">
        <v>1117</v>
      </c>
      <c r="S269" s="108"/>
      <c r="T269" s="108"/>
      <c r="U269" s="111"/>
      <c r="V269" s="108"/>
      <c r="W269" s="108"/>
      <c r="X269" s="108"/>
    </row>
    <row r="270" spans="1:24" s="26" customFormat="1" hidden="1">
      <c r="A270" s="33"/>
      <c r="B270" s="108"/>
      <c r="C270" s="108"/>
      <c r="D270" s="31" t="str">
        <f t="shared" si="57"/>
        <v>美年健康</v>
      </c>
      <c r="E270" s="108"/>
      <c r="F270" s="111"/>
      <c r="G270" s="108"/>
      <c r="H270" s="108"/>
      <c r="I270" s="108"/>
      <c r="J270" s="108"/>
      <c r="K270" s="31" t="str">
        <f t="shared" si="58"/>
        <v>运营中</v>
      </c>
      <c r="L270" s="108"/>
      <c r="M270" s="108"/>
      <c r="N270" s="12">
        <v>1</v>
      </c>
      <c r="O270" s="36">
        <v>38360</v>
      </c>
      <c r="P270" s="12" t="s">
        <v>326</v>
      </c>
      <c r="Q270" s="12" t="s">
        <v>252</v>
      </c>
      <c r="R270" s="12" t="s">
        <v>1118</v>
      </c>
      <c r="S270" s="108"/>
      <c r="T270" s="108"/>
      <c r="U270" s="111"/>
      <c r="V270" s="108"/>
      <c r="W270" s="108"/>
      <c r="X270" s="108"/>
    </row>
    <row r="271" spans="1:24" s="26" customFormat="1" hidden="1">
      <c r="A271" s="33"/>
      <c r="B271" s="108"/>
      <c r="C271" s="108" t="s">
        <v>1119</v>
      </c>
      <c r="D271" s="31" t="s">
        <v>1120</v>
      </c>
      <c r="E271" s="108" t="s">
        <v>1121</v>
      </c>
      <c r="F271" s="111" t="s">
        <v>1122</v>
      </c>
      <c r="G271" s="107" t="s">
        <v>1123</v>
      </c>
      <c r="H271" s="108" t="s">
        <v>1124</v>
      </c>
      <c r="I271" s="108" t="s">
        <v>1125</v>
      </c>
      <c r="J271" s="107" t="s">
        <v>1126</v>
      </c>
      <c r="K271" s="31" t="s">
        <v>272</v>
      </c>
      <c r="L271" s="107" t="s">
        <v>350</v>
      </c>
      <c r="M271" s="107" t="s">
        <v>1127</v>
      </c>
      <c r="N271" s="12"/>
      <c r="O271" s="36">
        <v>42383</v>
      </c>
      <c r="P271" s="17" t="s">
        <v>262</v>
      </c>
      <c r="Q271" s="12" t="s">
        <v>252</v>
      </c>
      <c r="R271" s="12" t="s">
        <v>1128</v>
      </c>
      <c r="S271" s="108" t="s">
        <v>1129</v>
      </c>
      <c r="T271" s="107" t="s">
        <v>255</v>
      </c>
      <c r="U271" s="110" t="s">
        <v>1130</v>
      </c>
      <c r="V271" s="107" t="s">
        <v>1131</v>
      </c>
      <c r="W271" s="108" t="s">
        <v>1132</v>
      </c>
      <c r="X271" s="108" t="s">
        <v>1133</v>
      </c>
    </row>
    <row r="272" spans="1:24" s="26" customFormat="1" hidden="1">
      <c r="A272" s="33"/>
      <c r="B272" s="108"/>
      <c r="C272" s="108"/>
      <c r="D272" s="31" t="str">
        <f>D271</f>
        <v>7881游戏交易</v>
      </c>
      <c r="E272" s="108"/>
      <c r="F272" s="111"/>
      <c r="G272" s="108"/>
      <c r="H272" s="108"/>
      <c r="I272" s="108"/>
      <c r="J272" s="108"/>
      <c r="K272" s="31" t="str">
        <f>K271</f>
        <v>运营中</v>
      </c>
      <c r="L272" s="108"/>
      <c r="M272" s="108"/>
      <c r="N272" s="17"/>
      <c r="O272" s="36">
        <v>39873</v>
      </c>
      <c r="P272" s="12" t="s">
        <v>326</v>
      </c>
      <c r="Q272" s="12" t="s">
        <v>341</v>
      </c>
      <c r="R272" s="12" t="s">
        <v>240</v>
      </c>
      <c r="S272" s="108"/>
      <c r="T272" s="108"/>
      <c r="U272" s="111"/>
      <c r="V272" s="108"/>
      <c r="W272" s="108"/>
      <c r="X272" s="108"/>
    </row>
    <row r="273" spans="1:24" s="26" customFormat="1" hidden="1">
      <c r="A273" s="33"/>
      <c r="B273" s="108"/>
      <c r="C273" s="108" t="s">
        <v>1134</v>
      </c>
      <c r="D273" s="31" t="s">
        <v>1135</v>
      </c>
      <c r="E273" s="107" t="s">
        <v>1135</v>
      </c>
      <c r="F273" s="110" t="s">
        <v>1136</v>
      </c>
      <c r="G273" s="107" t="s">
        <v>1137</v>
      </c>
      <c r="H273" s="108" t="s">
        <v>1138</v>
      </c>
      <c r="I273" s="108" t="s">
        <v>1139</v>
      </c>
      <c r="J273" s="107" t="s">
        <v>247</v>
      </c>
      <c r="K273" s="31" t="s">
        <v>272</v>
      </c>
      <c r="L273" s="107" t="s">
        <v>386</v>
      </c>
      <c r="M273" s="107" t="s">
        <v>1140</v>
      </c>
      <c r="N273" s="12">
        <v>1</v>
      </c>
      <c r="O273" s="36">
        <v>41609</v>
      </c>
      <c r="P273" s="12" t="s">
        <v>471</v>
      </c>
      <c r="Q273" s="12" t="s">
        <v>252</v>
      </c>
      <c r="R273" s="12" t="s">
        <v>240</v>
      </c>
      <c r="S273" s="108" t="s">
        <v>1141</v>
      </c>
      <c r="T273" s="107" t="s">
        <v>255</v>
      </c>
      <c r="U273" s="110" t="s">
        <v>1142</v>
      </c>
      <c r="V273" s="108"/>
      <c r="W273" s="108"/>
      <c r="X273" s="108"/>
    </row>
    <row r="274" spans="1:24" s="26" customFormat="1" hidden="1">
      <c r="A274" s="33"/>
      <c r="B274" s="108"/>
      <c r="C274" s="108"/>
      <c r="D274" s="31" t="str">
        <f>D273</f>
        <v>天天动听</v>
      </c>
      <c r="E274" s="108"/>
      <c r="F274" s="111"/>
      <c r="G274" s="108"/>
      <c r="H274" s="108"/>
      <c r="I274" s="108"/>
      <c r="J274" s="108"/>
      <c r="K274" s="31" t="str">
        <f t="shared" ref="K274:K276" si="59">K273</f>
        <v>运营中</v>
      </c>
      <c r="L274" s="108"/>
      <c r="M274" s="108"/>
      <c r="N274" s="12">
        <v>1</v>
      </c>
      <c r="O274" s="36">
        <v>41183</v>
      </c>
      <c r="P274" s="17" t="s">
        <v>257</v>
      </c>
      <c r="Q274" s="12" t="s">
        <v>252</v>
      </c>
      <c r="R274" s="12" t="s">
        <v>240</v>
      </c>
      <c r="S274" s="108"/>
      <c r="T274" s="108"/>
      <c r="U274" s="111"/>
      <c r="V274" s="108"/>
      <c r="W274" s="108"/>
      <c r="X274" s="108"/>
    </row>
    <row r="275" spans="1:24" s="26" customFormat="1" hidden="1">
      <c r="A275" s="33"/>
      <c r="B275" s="108"/>
      <c r="C275" s="108"/>
      <c r="D275" s="31" t="str">
        <f>D274</f>
        <v>天天动听</v>
      </c>
      <c r="E275" s="108"/>
      <c r="F275" s="111"/>
      <c r="G275" s="108"/>
      <c r="H275" s="108"/>
      <c r="I275" s="108"/>
      <c r="J275" s="108"/>
      <c r="K275" s="31" t="str">
        <f t="shared" si="59"/>
        <v>运营中</v>
      </c>
      <c r="L275" s="108"/>
      <c r="M275" s="108"/>
      <c r="N275" s="12">
        <v>1</v>
      </c>
      <c r="O275" s="36">
        <v>40909</v>
      </c>
      <c r="P275" s="17" t="s">
        <v>262</v>
      </c>
      <c r="Q275" s="12" t="s">
        <v>261</v>
      </c>
      <c r="R275" s="12" t="s">
        <v>1143</v>
      </c>
      <c r="S275" s="108"/>
      <c r="T275" s="108"/>
      <c r="U275" s="111"/>
      <c r="V275" s="108"/>
      <c r="W275" s="108"/>
      <c r="X275" s="108"/>
    </row>
    <row r="276" spans="1:24" s="26" customFormat="1" hidden="1">
      <c r="A276" s="33"/>
      <c r="B276" s="108"/>
      <c r="C276" s="108"/>
      <c r="D276" s="31" t="str">
        <f>D275</f>
        <v>天天动听</v>
      </c>
      <c r="E276" s="108"/>
      <c r="F276" s="111"/>
      <c r="G276" s="108"/>
      <c r="H276" s="108"/>
      <c r="I276" s="108"/>
      <c r="J276" s="108"/>
      <c r="K276" s="31" t="str">
        <f t="shared" si="59"/>
        <v>运营中</v>
      </c>
      <c r="L276" s="108"/>
      <c r="M276" s="108"/>
      <c r="N276" s="12">
        <v>1</v>
      </c>
      <c r="O276" s="36">
        <v>39600</v>
      </c>
      <c r="P276" s="12" t="s">
        <v>326</v>
      </c>
      <c r="Q276" s="12" t="s">
        <v>327</v>
      </c>
      <c r="R276" s="17" t="s">
        <v>1144</v>
      </c>
      <c r="S276" s="108"/>
      <c r="T276" s="108"/>
      <c r="U276" s="111"/>
      <c r="V276" s="108"/>
      <c r="W276" s="108"/>
      <c r="X276" s="108"/>
    </row>
    <row r="277" spans="1:24" s="26" customFormat="1" hidden="1">
      <c r="A277" s="33"/>
      <c r="B277" s="108"/>
      <c r="C277" s="108" t="s">
        <v>1145</v>
      </c>
      <c r="D277" s="31" t="s">
        <v>1146</v>
      </c>
      <c r="E277" s="107" t="s">
        <v>1147</v>
      </c>
      <c r="F277" s="110" t="s">
        <v>1148</v>
      </c>
      <c r="G277" s="107" t="s">
        <v>1149</v>
      </c>
      <c r="H277" s="108"/>
      <c r="I277" s="108" t="s">
        <v>1150</v>
      </c>
      <c r="J277" s="107" t="s">
        <v>349</v>
      </c>
      <c r="K277" s="31" t="s">
        <v>272</v>
      </c>
      <c r="L277" s="107" t="s">
        <v>1008</v>
      </c>
      <c r="M277" s="107" t="s">
        <v>1009</v>
      </c>
      <c r="N277" s="12">
        <v>1</v>
      </c>
      <c r="O277" s="36">
        <v>42016</v>
      </c>
      <c r="P277" s="12" t="s">
        <v>471</v>
      </c>
      <c r="Q277" s="12" t="s">
        <v>252</v>
      </c>
      <c r="R277" s="12" t="s">
        <v>240</v>
      </c>
      <c r="S277" s="108" t="s">
        <v>1151</v>
      </c>
      <c r="T277" s="107" t="s">
        <v>255</v>
      </c>
      <c r="U277" s="110" t="s">
        <v>1152</v>
      </c>
      <c r="V277" s="108"/>
      <c r="W277" s="108"/>
      <c r="X277" s="108"/>
    </row>
    <row r="278" spans="1:24" s="26" customFormat="1" hidden="1">
      <c r="A278" s="33"/>
      <c r="B278" s="108"/>
      <c r="C278" s="108"/>
      <c r="D278" s="31" t="str">
        <f>D277</f>
        <v>易传媒AdChina</v>
      </c>
      <c r="E278" s="108"/>
      <c r="F278" s="111"/>
      <c r="G278" s="108"/>
      <c r="H278" s="108"/>
      <c r="I278" s="108"/>
      <c r="J278" s="108"/>
      <c r="K278" s="31" t="str">
        <f t="shared" ref="K278:K280" si="60">K277</f>
        <v>运营中</v>
      </c>
      <c r="L278" s="108"/>
      <c r="M278" s="108"/>
      <c r="N278" s="12">
        <v>1</v>
      </c>
      <c r="O278" s="36">
        <v>40452</v>
      </c>
      <c r="P278" s="17" t="s">
        <v>251</v>
      </c>
      <c r="Q278" s="17" t="s">
        <v>676</v>
      </c>
      <c r="R278" s="12" t="s">
        <v>325</v>
      </c>
      <c r="S278" s="108"/>
      <c r="T278" s="108"/>
      <c r="U278" s="111"/>
      <c r="V278" s="108"/>
      <c r="W278" s="108"/>
      <c r="X278" s="108"/>
    </row>
    <row r="279" spans="1:24" s="26" customFormat="1" hidden="1">
      <c r="A279" s="33"/>
      <c r="B279" s="108"/>
      <c r="C279" s="108"/>
      <c r="D279" s="31" t="str">
        <f>D278</f>
        <v>易传媒AdChina</v>
      </c>
      <c r="E279" s="108"/>
      <c r="F279" s="111"/>
      <c r="G279" s="108"/>
      <c r="H279" s="108"/>
      <c r="I279" s="108"/>
      <c r="J279" s="108"/>
      <c r="K279" s="31" t="str">
        <f t="shared" si="60"/>
        <v>运营中</v>
      </c>
      <c r="L279" s="108"/>
      <c r="M279" s="108"/>
      <c r="N279" s="12">
        <v>1</v>
      </c>
      <c r="O279" s="36">
        <v>39995</v>
      </c>
      <c r="P279" s="17" t="s">
        <v>257</v>
      </c>
      <c r="Q279" s="17" t="s">
        <v>805</v>
      </c>
      <c r="R279" s="12" t="s">
        <v>325</v>
      </c>
      <c r="S279" s="108"/>
      <c r="T279" s="108"/>
      <c r="U279" s="111"/>
      <c r="V279" s="108"/>
      <c r="W279" s="108"/>
      <c r="X279" s="108"/>
    </row>
    <row r="280" spans="1:24" s="26" customFormat="1" hidden="1">
      <c r="A280" s="33"/>
      <c r="B280" s="108"/>
      <c r="C280" s="108"/>
      <c r="D280" s="31" t="str">
        <f>D279</f>
        <v>易传媒AdChina</v>
      </c>
      <c r="E280" s="108"/>
      <c r="F280" s="111"/>
      <c r="G280" s="108"/>
      <c r="H280" s="108"/>
      <c r="I280" s="108"/>
      <c r="J280" s="108"/>
      <c r="K280" s="31" t="str">
        <f t="shared" si="60"/>
        <v>运营中</v>
      </c>
      <c r="L280" s="108"/>
      <c r="M280" s="108"/>
      <c r="N280" s="12">
        <v>1</v>
      </c>
      <c r="O280" s="36">
        <v>39600</v>
      </c>
      <c r="P280" s="17" t="s">
        <v>262</v>
      </c>
      <c r="Q280" s="17" t="s">
        <v>337</v>
      </c>
      <c r="R280" s="12" t="s">
        <v>325</v>
      </c>
      <c r="S280" s="108"/>
      <c r="T280" s="108"/>
      <c r="U280" s="111"/>
      <c r="V280" s="108"/>
      <c r="W280" s="108"/>
      <c r="X280" s="108"/>
    </row>
    <row r="281" spans="1:24" s="26" customFormat="1" hidden="1">
      <c r="A281" s="33"/>
      <c r="B281" s="108"/>
      <c r="C281" s="108" t="s">
        <v>1153</v>
      </c>
      <c r="D281" s="31" t="s">
        <v>1154</v>
      </c>
      <c r="E281" s="107" t="s">
        <v>1154</v>
      </c>
      <c r="F281" s="110" t="s">
        <v>1155</v>
      </c>
      <c r="G281" s="107" t="s">
        <v>1156</v>
      </c>
      <c r="H281" s="108" t="s">
        <v>1157</v>
      </c>
      <c r="I281" s="108" t="s">
        <v>1158</v>
      </c>
      <c r="J281" s="107" t="s">
        <v>428</v>
      </c>
      <c r="K281" s="31" t="s">
        <v>272</v>
      </c>
      <c r="L281" s="107" t="s">
        <v>512</v>
      </c>
      <c r="M281" s="107" t="s">
        <v>513</v>
      </c>
      <c r="N281" s="12"/>
      <c r="O281" s="36">
        <v>42826</v>
      </c>
      <c r="P281" s="17" t="s">
        <v>317</v>
      </c>
      <c r="Q281" s="12" t="s">
        <v>409</v>
      </c>
      <c r="R281" s="12" t="s">
        <v>968</v>
      </c>
      <c r="S281" s="108" t="s">
        <v>1159</v>
      </c>
      <c r="T281" s="108" t="s">
        <v>412</v>
      </c>
      <c r="U281" s="110" t="s">
        <v>1160</v>
      </c>
      <c r="V281" s="107" t="s">
        <v>1161</v>
      </c>
      <c r="W281" s="108" t="s">
        <v>1162</v>
      </c>
      <c r="X281" s="108" t="s">
        <v>1163</v>
      </c>
    </row>
    <row r="282" spans="1:24" s="26" customFormat="1" hidden="1">
      <c r="A282" s="33"/>
      <c r="B282" s="108"/>
      <c r="C282" s="108"/>
      <c r="D282" s="31" t="str">
        <f>D281</f>
        <v>生活半径</v>
      </c>
      <c r="E282" s="108"/>
      <c r="F282" s="111"/>
      <c r="G282" s="108"/>
      <c r="H282" s="108"/>
      <c r="I282" s="108"/>
      <c r="J282" s="108"/>
      <c r="K282" s="31" t="str">
        <f t="shared" ref="K282:K285" si="61">K281</f>
        <v>运营中</v>
      </c>
      <c r="L282" s="108"/>
      <c r="M282" s="108"/>
      <c r="N282" s="17"/>
      <c r="O282" s="36">
        <v>42244</v>
      </c>
      <c r="P282" s="17" t="s">
        <v>251</v>
      </c>
      <c r="Q282" s="17" t="s">
        <v>1115</v>
      </c>
      <c r="R282" s="12" t="s">
        <v>240</v>
      </c>
      <c r="S282" s="108"/>
      <c r="T282" s="108"/>
      <c r="U282" s="111"/>
      <c r="V282" s="108"/>
      <c r="W282" s="108"/>
      <c r="X282" s="108"/>
    </row>
    <row r="283" spans="1:24" s="26" customFormat="1" hidden="1">
      <c r="A283" s="33"/>
      <c r="B283" s="108"/>
      <c r="C283" s="108"/>
      <c r="D283" s="31" t="str">
        <f>D282</f>
        <v>生活半径</v>
      </c>
      <c r="E283" s="108"/>
      <c r="F283" s="111"/>
      <c r="G283" s="108"/>
      <c r="H283" s="108"/>
      <c r="I283" s="108"/>
      <c r="J283" s="108"/>
      <c r="K283" s="31" t="str">
        <f t="shared" si="61"/>
        <v>运营中</v>
      </c>
      <c r="L283" s="108"/>
      <c r="M283" s="108"/>
      <c r="N283" s="17"/>
      <c r="O283" s="36">
        <v>41977</v>
      </c>
      <c r="P283" s="17" t="s">
        <v>257</v>
      </c>
      <c r="Q283" s="17" t="s">
        <v>1164</v>
      </c>
      <c r="R283" s="12" t="s">
        <v>1165</v>
      </c>
      <c r="S283" s="108"/>
      <c r="T283" s="108"/>
      <c r="U283" s="111"/>
      <c r="V283" s="108"/>
      <c r="W283" s="108"/>
      <c r="X283" s="108"/>
    </row>
    <row r="284" spans="1:24" s="26" customFormat="1" hidden="1">
      <c r="A284" s="33"/>
      <c r="B284" s="108"/>
      <c r="C284" s="108"/>
      <c r="D284" s="31" t="str">
        <f>D283</f>
        <v>生活半径</v>
      </c>
      <c r="E284" s="108"/>
      <c r="F284" s="111"/>
      <c r="G284" s="108"/>
      <c r="H284" s="108"/>
      <c r="I284" s="108"/>
      <c r="J284" s="108"/>
      <c r="K284" s="31" t="str">
        <f t="shared" si="61"/>
        <v>运营中</v>
      </c>
      <c r="L284" s="108"/>
      <c r="M284" s="108"/>
      <c r="N284" s="17"/>
      <c r="O284" s="36">
        <v>41271</v>
      </c>
      <c r="P284" s="17" t="s">
        <v>262</v>
      </c>
      <c r="Q284" s="12" t="s">
        <v>276</v>
      </c>
      <c r="R284" s="17" t="s">
        <v>253</v>
      </c>
      <c r="S284" s="108"/>
      <c r="T284" s="108"/>
      <c r="U284" s="111"/>
      <c r="V284" s="108"/>
      <c r="W284" s="108"/>
      <c r="X284" s="108"/>
    </row>
    <row r="285" spans="1:24" s="26" customFormat="1" hidden="1">
      <c r="A285" s="33"/>
      <c r="B285" s="108"/>
      <c r="C285" s="108"/>
      <c r="D285" s="31" t="str">
        <f>D284</f>
        <v>生活半径</v>
      </c>
      <c r="E285" s="108"/>
      <c r="F285" s="111"/>
      <c r="G285" s="108"/>
      <c r="H285" s="108"/>
      <c r="I285" s="108"/>
      <c r="J285" s="108"/>
      <c r="K285" s="31" t="str">
        <f t="shared" si="61"/>
        <v>运营中</v>
      </c>
      <c r="L285" s="108"/>
      <c r="M285" s="108"/>
      <c r="N285" s="17"/>
      <c r="O285" s="36">
        <v>40909</v>
      </c>
      <c r="P285" s="12" t="s">
        <v>326</v>
      </c>
      <c r="Q285" s="12" t="s">
        <v>327</v>
      </c>
      <c r="R285" s="12" t="s">
        <v>528</v>
      </c>
      <c r="S285" s="108"/>
      <c r="T285" s="108"/>
      <c r="U285" s="111"/>
      <c r="V285" s="108"/>
      <c r="W285" s="108"/>
      <c r="X285" s="108"/>
    </row>
    <row r="286" spans="1:24" s="26" customFormat="1" ht="36" hidden="1">
      <c r="A286" s="33"/>
      <c r="B286" s="108"/>
      <c r="C286" s="17" t="s">
        <v>1166</v>
      </c>
      <c r="D286" s="38" t="s">
        <v>1167</v>
      </c>
      <c r="E286" s="12" t="s">
        <v>1167</v>
      </c>
      <c r="F286" s="32" t="s">
        <v>1168</v>
      </c>
      <c r="G286" s="12" t="s">
        <v>1169</v>
      </c>
      <c r="H286" s="17"/>
      <c r="I286" s="17" t="s">
        <v>616</v>
      </c>
      <c r="J286" s="12" t="s">
        <v>1126</v>
      </c>
      <c r="K286" s="38" t="s">
        <v>272</v>
      </c>
      <c r="L286" s="12" t="s">
        <v>407</v>
      </c>
      <c r="M286" s="12" t="s">
        <v>1170</v>
      </c>
      <c r="N286" s="12">
        <v>1</v>
      </c>
      <c r="O286" s="36">
        <v>42166</v>
      </c>
      <c r="P286" s="12" t="s">
        <v>471</v>
      </c>
      <c r="Q286" s="12" t="s">
        <v>252</v>
      </c>
      <c r="R286" s="12" t="s">
        <v>240</v>
      </c>
      <c r="S286" s="17" t="s">
        <v>253</v>
      </c>
      <c r="T286" s="12" t="s">
        <v>255</v>
      </c>
      <c r="U286" s="32" t="s">
        <v>1171</v>
      </c>
      <c r="V286" s="17"/>
      <c r="W286" s="17"/>
      <c r="X286" s="17"/>
    </row>
    <row r="287" spans="1:24" s="26" customFormat="1" hidden="1">
      <c r="A287" s="33"/>
      <c r="B287" s="108"/>
      <c r="C287" s="108" t="s">
        <v>1172</v>
      </c>
      <c r="D287" s="31" t="s">
        <v>1173</v>
      </c>
      <c r="E287" s="107" t="s">
        <v>1173</v>
      </c>
      <c r="F287" s="110" t="s">
        <v>1174</v>
      </c>
      <c r="G287" s="107" t="s">
        <v>1175</v>
      </c>
      <c r="H287" s="108" t="s">
        <v>1176</v>
      </c>
      <c r="I287" s="108" t="s">
        <v>1040</v>
      </c>
      <c r="J287" s="107" t="s">
        <v>406</v>
      </c>
      <c r="K287" s="31" t="s">
        <v>272</v>
      </c>
      <c r="L287" s="107" t="s">
        <v>350</v>
      </c>
      <c r="M287" s="107" t="s">
        <v>1090</v>
      </c>
      <c r="N287" s="12">
        <v>1</v>
      </c>
      <c r="O287" s="36">
        <v>43950</v>
      </c>
      <c r="P287" s="17" t="s">
        <v>283</v>
      </c>
      <c r="Q287" s="17" t="s">
        <v>1177</v>
      </c>
      <c r="R287" s="17" t="s">
        <v>253</v>
      </c>
      <c r="S287" s="108" t="s">
        <v>1178</v>
      </c>
      <c r="T287" s="108" t="s">
        <v>1179</v>
      </c>
      <c r="U287" s="110" t="s">
        <v>1180</v>
      </c>
      <c r="V287" s="107" t="s">
        <v>1181</v>
      </c>
      <c r="W287" s="108" t="s">
        <v>1182</v>
      </c>
      <c r="X287" s="108" t="s">
        <v>1183</v>
      </c>
    </row>
    <row r="288" spans="1:24" s="26" customFormat="1" hidden="1">
      <c r="A288" s="33"/>
      <c r="B288" s="108"/>
      <c r="C288" s="108"/>
      <c r="D288" s="31" t="str">
        <f>D287</f>
        <v>光云科技</v>
      </c>
      <c r="E288" s="108"/>
      <c r="F288" s="111"/>
      <c r="G288" s="108"/>
      <c r="H288" s="108"/>
      <c r="I288" s="108"/>
      <c r="J288" s="108"/>
      <c r="K288" s="31" t="str">
        <f t="shared" ref="K288:K290" si="62">K287</f>
        <v>运营中</v>
      </c>
      <c r="L288" s="108"/>
      <c r="M288" s="108"/>
      <c r="N288" s="12">
        <v>1</v>
      </c>
      <c r="O288" s="36">
        <v>42948</v>
      </c>
      <c r="P288" s="12" t="s">
        <v>285</v>
      </c>
      <c r="Q288" s="12" t="s">
        <v>252</v>
      </c>
      <c r="R288" s="12" t="s">
        <v>1184</v>
      </c>
      <c r="S288" s="108"/>
      <c r="T288" s="108"/>
      <c r="U288" s="111"/>
      <c r="V288" s="108"/>
      <c r="W288" s="108"/>
      <c r="X288" s="108"/>
    </row>
    <row r="289" spans="1:24" s="26" customFormat="1" hidden="1">
      <c r="A289" s="33"/>
      <c r="B289" s="108"/>
      <c r="C289" s="108"/>
      <c r="D289" s="31" t="str">
        <f>D288</f>
        <v>光云科技</v>
      </c>
      <c r="E289" s="108"/>
      <c r="F289" s="111"/>
      <c r="G289" s="108"/>
      <c r="H289" s="108"/>
      <c r="I289" s="108"/>
      <c r="J289" s="108"/>
      <c r="K289" s="31" t="str">
        <f t="shared" si="62"/>
        <v>运营中</v>
      </c>
      <c r="L289" s="108"/>
      <c r="M289" s="108"/>
      <c r="N289" s="12">
        <v>1</v>
      </c>
      <c r="O289" s="36">
        <v>42856</v>
      </c>
      <c r="P289" s="17" t="s">
        <v>262</v>
      </c>
      <c r="Q289" s="12" t="s">
        <v>398</v>
      </c>
      <c r="R289" s="12" t="s">
        <v>1185</v>
      </c>
      <c r="S289" s="108"/>
      <c r="T289" s="108"/>
      <c r="U289" s="111"/>
      <c r="V289" s="108"/>
      <c r="W289" s="108"/>
      <c r="X289" s="108"/>
    </row>
    <row r="290" spans="1:24" s="26" customFormat="1" hidden="1">
      <c r="A290" s="33"/>
      <c r="B290" s="108"/>
      <c r="C290" s="108"/>
      <c r="D290" s="31" t="str">
        <f>D289</f>
        <v>光云科技</v>
      </c>
      <c r="E290" s="108"/>
      <c r="F290" s="111"/>
      <c r="G290" s="108"/>
      <c r="H290" s="108"/>
      <c r="I290" s="108"/>
      <c r="J290" s="108"/>
      <c r="K290" s="31" t="str">
        <f t="shared" si="62"/>
        <v>运营中</v>
      </c>
      <c r="L290" s="108"/>
      <c r="M290" s="108"/>
      <c r="N290" s="12">
        <v>1</v>
      </c>
      <c r="O290" s="36">
        <v>42248</v>
      </c>
      <c r="P290" s="12" t="s">
        <v>326</v>
      </c>
      <c r="Q290" s="12" t="s">
        <v>252</v>
      </c>
      <c r="R290" s="12" t="s">
        <v>1186</v>
      </c>
      <c r="S290" s="108"/>
      <c r="T290" s="108"/>
      <c r="U290" s="111"/>
      <c r="V290" s="108"/>
      <c r="W290" s="108"/>
      <c r="X290" s="108"/>
    </row>
    <row r="291" spans="1:24" s="26" customFormat="1" hidden="1">
      <c r="A291" s="33"/>
      <c r="B291" s="108"/>
      <c r="C291" s="108" t="s">
        <v>1187</v>
      </c>
      <c r="D291" s="31" t="s">
        <v>1188</v>
      </c>
      <c r="E291" s="107" t="s">
        <v>1188</v>
      </c>
      <c r="F291" s="110" t="s">
        <v>1189</v>
      </c>
      <c r="G291" s="107" t="s">
        <v>1190</v>
      </c>
      <c r="H291" s="108" t="s">
        <v>1191</v>
      </c>
      <c r="I291" s="108" t="s">
        <v>483</v>
      </c>
      <c r="J291" s="107" t="s">
        <v>1192</v>
      </c>
      <c r="K291" s="31" t="s">
        <v>272</v>
      </c>
      <c r="L291" s="107" t="s">
        <v>944</v>
      </c>
      <c r="M291" s="107" t="s">
        <v>1193</v>
      </c>
      <c r="N291" s="12"/>
      <c r="O291" s="36">
        <v>44635</v>
      </c>
      <c r="P291" s="17" t="s">
        <v>763</v>
      </c>
      <c r="Q291" s="17" t="s">
        <v>1194</v>
      </c>
      <c r="R291" s="17" t="s">
        <v>1195</v>
      </c>
      <c r="S291" s="108" t="s">
        <v>1196</v>
      </c>
      <c r="T291" s="108" t="s">
        <v>766</v>
      </c>
      <c r="U291" s="110" t="s">
        <v>1197</v>
      </c>
      <c r="V291" s="107" t="s">
        <v>1198</v>
      </c>
      <c r="W291" s="108" t="s">
        <v>1199</v>
      </c>
      <c r="X291" s="108" t="s">
        <v>1200</v>
      </c>
    </row>
    <row r="292" spans="1:24" s="26" customFormat="1" hidden="1">
      <c r="A292" s="33"/>
      <c r="B292" s="108"/>
      <c r="C292" s="108"/>
      <c r="D292" s="31" t="str">
        <f t="shared" ref="D292:D298" si="63">D291</f>
        <v>坚果投影</v>
      </c>
      <c r="E292" s="108"/>
      <c r="F292" s="111"/>
      <c r="G292" s="108"/>
      <c r="H292" s="108"/>
      <c r="I292" s="108"/>
      <c r="J292" s="108"/>
      <c r="K292" s="31" t="str">
        <f t="shared" ref="K292:K298" si="64">K291</f>
        <v>运营中</v>
      </c>
      <c r="L292" s="108"/>
      <c r="M292" s="108"/>
      <c r="N292" s="17"/>
      <c r="O292" s="36">
        <v>44149</v>
      </c>
      <c r="P292" s="17" t="s">
        <v>310</v>
      </c>
      <c r="Q292" s="12" t="s">
        <v>409</v>
      </c>
      <c r="R292" s="12" t="s">
        <v>1201</v>
      </c>
      <c r="S292" s="108"/>
      <c r="T292" s="108"/>
      <c r="U292" s="111"/>
      <c r="V292" s="108"/>
      <c r="W292" s="108"/>
      <c r="X292" s="108"/>
    </row>
    <row r="293" spans="1:24" s="26" customFormat="1" hidden="1">
      <c r="A293" s="33"/>
      <c r="B293" s="108"/>
      <c r="C293" s="108"/>
      <c r="D293" s="31" t="str">
        <f t="shared" si="63"/>
        <v>坚果投影</v>
      </c>
      <c r="E293" s="108"/>
      <c r="F293" s="111"/>
      <c r="G293" s="108"/>
      <c r="H293" s="108"/>
      <c r="I293" s="108"/>
      <c r="J293" s="108"/>
      <c r="K293" s="31" t="str">
        <f t="shared" si="64"/>
        <v>运营中</v>
      </c>
      <c r="L293" s="108"/>
      <c r="M293" s="108"/>
      <c r="N293" s="17"/>
      <c r="O293" s="36">
        <v>43392</v>
      </c>
      <c r="P293" s="17" t="s">
        <v>317</v>
      </c>
      <c r="Q293" s="17" t="s">
        <v>1202</v>
      </c>
      <c r="R293" s="12" t="s">
        <v>1203</v>
      </c>
      <c r="S293" s="108"/>
      <c r="T293" s="108"/>
      <c r="U293" s="111"/>
      <c r="V293" s="108"/>
      <c r="W293" s="108"/>
      <c r="X293" s="108"/>
    </row>
    <row r="294" spans="1:24" s="26" customFormat="1" hidden="1">
      <c r="A294" s="33"/>
      <c r="B294" s="108"/>
      <c r="C294" s="108"/>
      <c r="D294" s="31" t="str">
        <f t="shared" si="63"/>
        <v>坚果投影</v>
      </c>
      <c r="E294" s="108"/>
      <c r="F294" s="111"/>
      <c r="G294" s="108"/>
      <c r="H294" s="108"/>
      <c r="I294" s="108"/>
      <c r="J294" s="108"/>
      <c r="K294" s="31" t="str">
        <f t="shared" si="64"/>
        <v>运营中</v>
      </c>
      <c r="L294" s="108"/>
      <c r="M294" s="108"/>
      <c r="N294" s="17"/>
      <c r="O294" s="36">
        <v>42445</v>
      </c>
      <c r="P294" s="17" t="s">
        <v>251</v>
      </c>
      <c r="Q294" s="17" t="s">
        <v>1202</v>
      </c>
      <c r="R294" s="12" t="s">
        <v>1204</v>
      </c>
      <c r="S294" s="108"/>
      <c r="T294" s="108"/>
      <c r="U294" s="111"/>
      <c r="V294" s="108"/>
      <c r="W294" s="108"/>
      <c r="X294" s="108"/>
    </row>
    <row r="295" spans="1:24" s="26" customFormat="1" hidden="1">
      <c r="A295" s="33"/>
      <c r="B295" s="108"/>
      <c r="C295" s="108"/>
      <c r="D295" s="31" t="str">
        <f t="shared" si="63"/>
        <v>坚果投影</v>
      </c>
      <c r="E295" s="108"/>
      <c r="F295" s="111"/>
      <c r="G295" s="108"/>
      <c r="H295" s="108"/>
      <c r="I295" s="108"/>
      <c r="J295" s="108"/>
      <c r="K295" s="31" t="str">
        <f t="shared" si="64"/>
        <v>运营中</v>
      </c>
      <c r="L295" s="108"/>
      <c r="M295" s="108"/>
      <c r="N295" s="17"/>
      <c r="O295" s="36">
        <v>42158</v>
      </c>
      <c r="P295" s="17" t="s">
        <v>257</v>
      </c>
      <c r="Q295" s="17" t="s">
        <v>578</v>
      </c>
      <c r="R295" s="12" t="s">
        <v>1205</v>
      </c>
      <c r="S295" s="108"/>
      <c r="T295" s="108"/>
      <c r="U295" s="111"/>
      <c r="V295" s="108"/>
      <c r="W295" s="108"/>
      <c r="X295" s="108"/>
    </row>
    <row r="296" spans="1:24" s="26" customFormat="1" hidden="1">
      <c r="A296" s="33"/>
      <c r="B296" s="108"/>
      <c r="C296" s="108"/>
      <c r="D296" s="31" t="str">
        <f t="shared" si="63"/>
        <v>坚果投影</v>
      </c>
      <c r="E296" s="108"/>
      <c r="F296" s="111"/>
      <c r="G296" s="108"/>
      <c r="H296" s="108"/>
      <c r="I296" s="108"/>
      <c r="J296" s="108"/>
      <c r="K296" s="31" t="str">
        <f t="shared" si="64"/>
        <v>运营中</v>
      </c>
      <c r="L296" s="108"/>
      <c r="M296" s="108"/>
      <c r="N296" s="17"/>
      <c r="O296" s="36">
        <v>41996</v>
      </c>
      <c r="P296" s="17" t="s">
        <v>262</v>
      </c>
      <c r="Q296" s="17" t="s">
        <v>1206</v>
      </c>
      <c r="R296" s="17" t="s">
        <v>1207</v>
      </c>
      <c r="S296" s="108"/>
      <c r="T296" s="108"/>
      <c r="U296" s="111"/>
      <c r="V296" s="108"/>
      <c r="W296" s="108"/>
      <c r="X296" s="108"/>
    </row>
    <row r="297" spans="1:24" s="26" customFormat="1" hidden="1">
      <c r="A297" s="33"/>
      <c r="B297" s="108"/>
      <c r="C297" s="108"/>
      <c r="D297" s="31" t="str">
        <f t="shared" si="63"/>
        <v>坚果投影</v>
      </c>
      <c r="E297" s="108"/>
      <c r="F297" s="111"/>
      <c r="G297" s="108"/>
      <c r="H297" s="108"/>
      <c r="I297" s="108"/>
      <c r="J297" s="108"/>
      <c r="K297" s="31" t="str">
        <f t="shared" si="64"/>
        <v>运营中</v>
      </c>
      <c r="L297" s="108"/>
      <c r="M297" s="108"/>
      <c r="N297" s="17"/>
      <c r="O297" s="36">
        <v>41783</v>
      </c>
      <c r="P297" s="17" t="s">
        <v>721</v>
      </c>
      <c r="Q297" s="12" t="s">
        <v>327</v>
      </c>
      <c r="R297" s="12" t="s">
        <v>1208</v>
      </c>
      <c r="S297" s="108"/>
      <c r="T297" s="108"/>
      <c r="U297" s="111"/>
      <c r="V297" s="108"/>
      <c r="W297" s="108"/>
      <c r="X297" s="108"/>
    </row>
    <row r="298" spans="1:24" s="26" customFormat="1" hidden="1">
      <c r="A298" s="33"/>
      <c r="B298" s="108"/>
      <c r="C298" s="108"/>
      <c r="D298" s="31" t="str">
        <f t="shared" si="63"/>
        <v>坚果投影</v>
      </c>
      <c r="E298" s="108"/>
      <c r="F298" s="111"/>
      <c r="G298" s="108"/>
      <c r="H298" s="108"/>
      <c r="I298" s="108"/>
      <c r="J298" s="108"/>
      <c r="K298" s="31" t="str">
        <f t="shared" si="64"/>
        <v>运营中</v>
      </c>
      <c r="L298" s="108"/>
      <c r="M298" s="108"/>
      <c r="N298" s="17"/>
      <c r="O298" s="36">
        <v>41509</v>
      </c>
      <c r="P298" s="12" t="s">
        <v>326</v>
      </c>
      <c r="Q298" s="12" t="s">
        <v>341</v>
      </c>
      <c r="R298" s="12" t="s">
        <v>1208</v>
      </c>
      <c r="S298" s="108"/>
      <c r="T298" s="108"/>
      <c r="U298" s="111"/>
      <c r="V298" s="108"/>
      <c r="W298" s="108"/>
      <c r="X298" s="108"/>
    </row>
    <row r="299" spans="1:24" s="26" customFormat="1" hidden="1">
      <c r="A299" s="33"/>
      <c r="B299" s="108"/>
      <c r="C299" s="108" t="s">
        <v>1209</v>
      </c>
      <c r="D299" s="31" t="s">
        <v>1210</v>
      </c>
      <c r="E299" s="107" t="s">
        <v>1210</v>
      </c>
      <c r="F299" s="110" t="s">
        <v>1211</v>
      </c>
      <c r="G299" s="107" t="s">
        <v>1212</v>
      </c>
      <c r="H299" s="108" t="s">
        <v>1213</v>
      </c>
      <c r="I299" s="108" t="s">
        <v>1214</v>
      </c>
      <c r="J299" s="107" t="s">
        <v>1215</v>
      </c>
      <c r="K299" s="31" t="s">
        <v>272</v>
      </c>
      <c r="L299" s="107" t="s">
        <v>996</v>
      </c>
      <c r="M299" s="107" t="s">
        <v>997</v>
      </c>
      <c r="N299" s="12">
        <v>1</v>
      </c>
      <c r="O299" s="36">
        <v>44287</v>
      </c>
      <c r="P299" s="17" t="s">
        <v>687</v>
      </c>
      <c r="Q299" s="17" t="s">
        <v>1216</v>
      </c>
      <c r="R299" s="12" t="s">
        <v>1217</v>
      </c>
      <c r="S299" s="108" t="s">
        <v>1218</v>
      </c>
      <c r="T299" s="108" t="s">
        <v>1219</v>
      </c>
      <c r="U299" s="110" t="s">
        <v>1220</v>
      </c>
      <c r="V299" s="107" t="s">
        <v>1221</v>
      </c>
      <c r="W299" s="108" t="s">
        <v>1222</v>
      </c>
      <c r="X299" s="108" t="s">
        <v>1223</v>
      </c>
    </row>
    <row r="300" spans="1:24" s="26" customFormat="1" hidden="1">
      <c r="A300" s="33"/>
      <c r="B300" s="108"/>
      <c r="C300" s="108"/>
      <c r="D300" s="31" t="str">
        <f t="shared" ref="D300:D306" si="65">D299</f>
        <v>心动游戏</v>
      </c>
      <c r="E300" s="108"/>
      <c r="F300" s="111"/>
      <c r="G300" s="108"/>
      <c r="H300" s="108"/>
      <c r="I300" s="108"/>
      <c r="J300" s="108"/>
      <c r="K300" s="31" t="str">
        <f t="shared" ref="K300:K306" si="66">K299</f>
        <v>运营中</v>
      </c>
      <c r="L300" s="108"/>
      <c r="M300" s="108"/>
      <c r="N300" s="12">
        <v>1</v>
      </c>
      <c r="O300" s="36">
        <v>43811</v>
      </c>
      <c r="P300" s="17" t="s">
        <v>283</v>
      </c>
      <c r="Q300" s="17" t="s">
        <v>1224</v>
      </c>
      <c r="R300" s="17" t="s">
        <v>253</v>
      </c>
      <c r="S300" s="108"/>
      <c r="T300" s="108"/>
      <c r="U300" s="111"/>
      <c r="V300" s="108"/>
      <c r="W300" s="108"/>
      <c r="X300" s="108"/>
    </row>
    <row r="301" spans="1:24" s="26" customFormat="1" hidden="1">
      <c r="A301" s="33"/>
      <c r="B301" s="108"/>
      <c r="C301" s="108"/>
      <c r="D301" s="31" t="str">
        <f t="shared" si="65"/>
        <v>心动游戏</v>
      </c>
      <c r="E301" s="108"/>
      <c r="F301" s="111"/>
      <c r="G301" s="108"/>
      <c r="H301" s="108"/>
      <c r="I301" s="108"/>
      <c r="J301" s="108"/>
      <c r="K301" s="31" t="str">
        <f t="shared" si="66"/>
        <v>运营中</v>
      </c>
      <c r="L301" s="108"/>
      <c r="M301" s="108"/>
      <c r="N301" s="12">
        <v>1</v>
      </c>
      <c r="O301" s="36">
        <v>43798</v>
      </c>
      <c r="P301" s="12" t="s">
        <v>654</v>
      </c>
      <c r="Q301" s="17" t="s">
        <v>1225</v>
      </c>
      <c r="R301" s="12" t="s">
        <v>1226</v>
      </c>
      <c r="S301" s="108"/>
      <c r="T301" s="108"/>
      <c r="U301" s="111"/>
      <c r="V301" s="108"/>
      <c r="W301" s="108"/>
      <c r="X301" s="108"/>
    </row>
    <row r="302" spans="1:24" s="26" customFormat="1" hidden="1">
      <c r="A302" s="33"/>
      <c r="B302" s="108"/>
      <c r="C302" s="108"/>
      <c r="D302" s="31" t="str">
        <f t="shared" si="65"/>
        <v>心动游戏</v>
      </c>
      <c r="E302" s="108"/>
      <c r="F302" s="111"/>
      <c r="G302" s="108"/>
      <c r="H302" s="108"/>
      <c r="I302" s="108"/>
      <c r="J302" s="108"/>
      <c r="K302" s="31" t="str">
        <f t="shared" si="66"/>
        <v>运营中</v>
      </c>
      <c r="L302" s="108"/>
      <c r="M302" s="108"/>
      <c r="N302" s="12">
        <v>1</v>
      </c>
      <c r="O302" s="36">
        <v>43459</v>
      </c>
      <c r="P302" s="12" t="s">
        <v>275</v>
      </c>
      <c r="Q302" s="12" t="s">
        <v>252</v>
      </c>
      <c r="R302" s="17" t="s">
        <v>253</v>
      </c>
      <c r="S302" s="108"/>
      <c r="T302" s="108"/>
      <c r="U302" s="111"/>
      <c r="V302" s="108"/>
      <c r="W302" s="108"/>
      <c r="X302" s="108"/>
    </row>
    <row r="303" spans="1:24" s="26" customFormat="1" hidden="1">
      <c r="A303" s="33"/>
      <c r="B303" s="108"/>
      <c r="C303" s="108"/>
      <c r="D303" s="31" t="str">
        <f t="shared" si="65"/>
        <v>心动游戏</v>
      </c>
      <c r="E303" s="108"/>
      <c r="F303" s="111"/>
      <c r="G303" s="108"/>
      <c r="H303" s="108"/>
      <c r="I303" s="108"/>
      <c r="J303" s="108"/>
      <c r="K303" s="31" t="str">
        <f t="shared" si="66"/>
        <v>运营中</v>
      </c>
      <c r="L303" s="108"/>
      <c r="M303" s="108"/>
      <c r="N303" s="12">
        <v>1</v>
      </c>
      <c r="O303" s="36">
        <v>42772</v>
      </c>
      <c r="P303" s="12" t="s">
        <v>359</v>
      </c>
      <c r="Q303" s="17" t="s">
        <v>578</v>
      </c>
      <c r="R303" s="12" t="s">
        <v>1227</v>
      </c>
      <c r="S303" s="108"/>
      <c r="T303" s="108"/>
      <c r="U303" s="111"/>
      <c r="V303" s="108"/>
      <c r="W303" s="108"/>
      <c r="X303" s="108"/>
    </row>
    <row r="304" spans="1:24" s="26" customFormat="1" hidden="1">
      <c r="A304" s="33"/>
      <c r="B304" s="108"/>
      <c r="C304" s="108"/>
      <c r="D304" s="31" t="str">
        <f t="shared" si="65"/>
        <v>心动游戏</v>
      </c>
      <c r="E304" s="108"/>
      <c r="F304" s="111"/>
      <c r="G304" s="108"/>
      <c r="H304" s="108"/>
      <c r="I304" s="108"/>
      <c r="J304" s="108"/>
      <c r="K304" s="31" t="str">
        <f t="shared" si="66"/>
        <v>运营中</v>
      </c>
      <c r="L304" s="108"/>
      <c r="M304" s="108"/>
      <c r="N304" s="12">
        <v>1</v>
      </c>
      <c r="O304" s="36">
        <v>42312</v>
      </c>
      <c r="P304" s="12" t="s">
        <v>362</v>
      </c>
      <c r="Q304" s="12" t="s">
        <v>252</v>
      </c>
      <c r="R304" s="17" t="s">
        <v>253</v>
      </c>
      <c r="S304" s="108"/>
      <c r="T304" s="108"/>
      <c r="U304" s="111"/>
      <c r="V304" s="108"/>
      <c r="W304" s="108"/>
      <c r="X304" s="108"/>
    </row>
    <row r="305" spans="1:24" s="26" customFormat="1" hidden="1">
      <c r="A305" s="33"/>
      <c r="B305" s="108"/>
      <c r="C305" s="108"/>
      <c r="D305" s="31" t="str">
        <f t="shared" si="65"/>
        <v>心动游戏</v>
      </c>
      <c r="E305" s="108"/>
      <c r="F305" s="111"/>
      <c r="G305" s="108"/>
      <c r="H305" s="108"/>
      <c r="I305" s="108"/>
      <c r="J305" s="108"/>
      <c r="K305" s="31" t="str">
        <f t="shared" si="66"/>
        <v>运营中</v>
      </c>
      <c r="L305" s="108"/>
      <c r="M305" s="108"/>
      <c r="N305" s="12">
        <v>1</v>
      </c>
      <c r="O305" s="36">
        <v>42248</v>
      </c>
      <c r="P305" s="17" t="s">
        <v>262</v>
      </c>
      <c r="Q305" s="17" t="s">
        <v>1063</v>
      </c>
      <c r="R305" s="12" t="s">
        <v>1228</v>
      </c>
      <c r="S305" s="108"/>
      <c r="T305" s="108"/>
      <c r="U305" s="111"/>
      <c r="V305" s="108"/>
      <c r="W305" s="108"/>
      <c r="X305" s="108"/>
    </row>
    <row r="306" spans="1:24" s="26" customFormat="1" hidden="1">
      <c r="A306" s="33"/>
      <c r="B306" s="108"/>
      <c r="C306" s="108"/>
      <c r="D306" s="31" t="str">
        <f t="shared" si="65"/>
        <v>心动游戏</v>
      </c>
      <c r="E306" s="108"/>
      <c r="F306" s="111"/>
      <c r="G306" s="108"/>
      <c r="H306" s="108"/>
      <c r="I306" s="108"/>
      <c r="J306" s="108"/>
      <c r="K306" s="31" t="str">
        <f t="shared" si="66"/>
        <v>运营中</v>
      </c>
      <c r="L306" s="108"/>
      <c r="M306" s="108"/>
      <c r="N306" s="12">
        <v>1</v>
      </c>
      <c r="O306" s="36">
        <v>41997</v>
      </c>
      <c r="P306" s="12" t="s">
        <v>326</v>
      </c>
      <c r="Q306" s="12" t="s">
        <v>252</v>
      </c>
      <c r="R306" s="12" t="s">
        <v>1229</v>
      </c>
      <c r="S306" s="108"/>
      <c r="T306" s="108"/>
      <c r="U306" s="111"/>
      <c r="V306" s="108"/>
      <c r="W306" s="108"/>
      <c r="X306" s="108"/>
    </row>
    <row r="307" spans="1:24" s="26" customFormat="1" hidden="1">
      <c r="A307" s="33"/>
      <c r="B307" s="108"/>
      <c r="C307" s="108" t="s">
        <v>1230</v>
      </c>
      <c r="D307" s="31" t="s">
        <v>1231</v>
      </c>
      <c r="E307" s="108" t="s">
        <v>1232</v>
      </c>
      <c r="F307" s="111" t="s">
        <v>1233</v>
      </c>
      <c r="G307" s="107" t="s">
        <v>1234</v>
      </c>
      <c r="H307" s="108" t="s">
        <v>1235</v>
      </c>
      <c r="I307" s="108" t="s">
        <v>1236</v>
      </c>
      <c r="J307" s="107" t="s">
        <v>1237</v>
      </c>
      <c r="K307" s="31" t="s">
        <v>272</v>
      </c>
      <c r="L307" s="107" t="s">
        <v>350</v>
      </c>
      <c r="M307" s="107" t="s">
        <v>1238</v>
      </c>
      <c r="N307" s="12"/>
      <c r="O307" s="36">
        <v>43391</v>
      </c>
      <c r="P307" s="17" t="s">
        <v>251</v>
      </c>
      <c r="Q307" s="17" t="s">
        <v>1239</v>
      </c>
      <c r="R307" s="12" t="s">
        <v>240</v>
      </c>
      <c r="S307" s="108" t="s">
        <v>1240</v>
      </c>
      <c r="T307" s="108" t="s">
        <v>1241</v>
      </c>
      <c r="U307" s="110" t="s">
        <v>1242</v>
      </c>
      <c r="V307" s="107" t="s">
        <v>1243</v>
      </c>
      <c r="W307" s="108"/>
      <c r="X307" s="108"/>
    </row>
    <row r="308" spans="1:24" s="26" customFormat="1" hidden="1">
      <c r="A308" s="33"/>
      <c r="B308" s="108"/>
      <c r="C308" s="108"/>
      <c r="D308" s="31" t="str">
        <f>D307</f>
        <v>1919酒类直供</v>
      </c>
      <c r="E308" s="108"/>
      <c r="F308" s="111"/>
      <c r="G308" s="108"/>
      <c r="H308" s="108"/>
      <c r="I308" s="108"/>
      <c r="J308" s="108"/>
      <c r="K308" s="31" t="str">
        <f t="shared" ref="K308:K312" si="67">K307</f>
        <v>运营中</v>
      </c>
      <c r="L308" s="108"/>
      <c r="M308" s="108"/>
      <c r="N308" s="17"/>
      <c r="O308" s="36">
        <v>42944</v>
      </c>
      <c r="P308" s="12" t="s">
        <v>359</v>
      </c>
      <c r="Q308" s="17" t="s">
        <v>701</v>
      </c>
      <c r="R308" s="12" t="s">
        <v>1244</v>
      </c>
      <c r="S308" s="108"/>
      <c r="T308" s="108"/>
      <c r="U308" s="111"/>
      <c r="V308" s="108"/>
      <c r="W308" s="108"/>
      <c r="X308" s="108"/>
    </row>
    <row r="309" spans="1:24" s="26" customFormat="1" hidden="1">
      <c r="A309" s="33"/>
      <c r="B309" s="108"/>
      <c r="C309" s="108"/>
      <c r="D309" s="31" t="str">
        <f>D308</f>
        <v>1919酒类直供</v>
      </c>
      <c r="E309" s="108"/>
      <c r="F309" s="111"/>
      <c r="G309" s="108"/>
      <c r="H309" s="108"/>
      <c r="I309" s="108"/>
      <c r="J309" s="108"/>
      <c r="K309" s="31" t="str">
        <f t="shared" si="67"/>
        <v>运营中</v>
      </c>
      <c r="L309" s="108"/>
      <c r="M309" s="108"/>
      <c r="N309" s="17"/>
      <c r="O309" s="36">
        <v>42515</v>
      </c>
      <c r="P309" s="17" t="s">
        <v>565</v>
      </c>
      <c r="Q309" s="17" t="s">
        <v>1245</v>
      </c>
      <c r="R309" s="12" t="s">
        <v>1246</v>
      </c>
      <c r="S309" s="108"/>
      <c r="T309" s="108"/>
      <c r="U309" s="111"/>
      <c r="V309" s="108"/>
      <c r="W309" s="108"/>
      <c r="X309" s="108"/>
    </row>
    <row r="310" spans="1:24" s="26" customFormat="1" hidden="1">
      <c r="A310" s="33"/>
      <c r="B310" s="108"/>
      <c r="C310" s="108"/>
      <c r="D310" s="31" t="str">
        <f>D309</f>
        <v>1919酒类直供</v>
      </c>
      <c r="E310" s="108"/>
      <c r="F310" s="111"/>
      <c r="G310" s="108"/>
      <c r="H310" s="108"/>
      <c r="I310" s="108"/>
      <c r="J310" s="108"/>
      <c r="K310" s="31" t="str">
        <f t="shared" si="67"/>
        <v>运营中</v>
      </c>
      <c r="L310" s="108"/>
      <c r="M310" s="108"/>
      <c r="N310" s="17"/>
      <c r="O310" s="36">
        <v>42359</v>
      </c>
      <c r="P310" s="17" t="s">
        <v>257</v>
      </c>
      <c r="Q310" s="12" t="s">
        <v>341</v>
      </c>
      <c r="R310" s="17" t="s">
        <v>253</v>
      </c>
      <c r="S310" s="108"/>
      <c r="T310" s="108"/>
      <c r="U310" s="111"/>
      <c r="V310" s="108"/>
      <c r="W310" s="108"/>
      <c r="X310" s="108"/>
    </row>
    <row r="311" spans="1:24" s="26" customFormat="1" hidden="1">
      <c r="A311" s="33"/>
      <c r="B311" s="108"/>
      <c r="C311" s="108"/>
      <c r="D311" s="31" t="str">
        <f>D310</f>
        <v>1919酒类直供</v>
      </c>
      <c r="E311" s="108"/>
      <c r="F311" s="111"/>
      <c r="G311" s="108"/>
      <c r="H311" s="108"/>
      <c r="I311" s="108"/>
      <c r="J311" s="108"/>
      <c r="K311" s="31" t="str">
        <f t="shared" si="67"/>
        <v>运营中</v>
      </c>
      <c r="L311" s="108"/>
      <c r="M311" s="108"/>
      <c r="N311" s="17"/>
      <c r="O311" s="36">
        <v>41864</v>
      </c>
      <c r="P311" s="12" t="s">
        <v>362</v>
      </c>
      <c r="Q311" s="12" t="s">
        <v>252</v>
      </c>
      <c r="R311" s="17" t="s">
        <v>253</v>
      </c>
      <c r="S311" s="108"/>
      <c r="T311" s="108"/>
      <c r="U311" s="111"/>
      <c r="V311" s="108"/>
      <c r="W311" s="108"/>
      <c r="X311" s="108"/>
    </row>
    <row r="312" spans="1:24" s="26" customFormat="1" hidden="1">
      <c r="A312" s="33"/>
      <c r="B312" s="108"/>
      <c r="C312" s="108"/>
      <c r="D312" s="31" t="str">
        <f>D311</f>
        <v>1919酒类直供</v>
      </c>
      <c r="E312" s="108"/>
      <c r="F312" s="111"/>
      <c r="G312" s="108"/>
      <c r="H312" s="108"/>
      <c r="I312" s="108"/>
      <c r="J312" s="108"/>
      <c r="K312" s="31" t="str">
        <f t="shared" si="67"/>
        <v>运营中</v>
      </c>
      <c r="L312" s="108"/>
      <c r="M312" s="108"/>
      <c r="N312" s="17"/>
      <c r="O312" s="36">
        <v>41664</v>
      </c>
      <c r="P312" s="17" t="s">
        <v>262</v>
      </c>
      <c r="Q312" s="12" t="s">
        <v>341</v>
      </c>
      <c r="R312" s="17" t="s">
        <v>253</v>
      </c>
      <c r="S312" s="108"/>
      <c r="T312" s="108"/>
      <c r="U312" s="111"/>
      <c r="V312" s="108"/>
      <c r="W312" s="108"/>
      <c r="X312" s="108"/>
    </row>
    <row r="313" spans="1:24" s="26" customFormat="1" hidden="1">
      <c r="A313" s="33"/>
      <c r="B313" s="108"/>
      <c r="C313" s="108" t="s">
        <v>1247</v>
      </c>
      <c r="D313" s="31" t="s">
        <v>1248</v>
      </c>
      <c r="E313" s="107" t="s">
        <v>1248</v>
      </c>
      <c r="F313" s="110" t="s">
        <v>1249</v>
      </c>
      <c r="G313" s="107" t="s">
        <v>1250</v>
      </c>
      <c r="H313" s="108" t="s">
        <v>1251</v>
      </c>
      <c r="I313" s="108" t="s">
        <v>1252</v>
      </c>
      <c r="J313" s="107" t="s">
        <v>1126</v>
      </c>
      <c r="K313" s="31" t="s">
        <v>272</v>
      </c>
      <c r="L313" s="107" t="s">
        <v>1253</v>
      </c>
      <c r="M313" s="107" t="s">
        <v>1254</v>
      </c>
      <c r="N313" s="12">
        <v>1</v>
      </c>
      <c r="O313" s="36">
        <v>44610</v>
      </c>
      <c r="P313" s="17" t="s">
        <v>283</v>
      </c>
      <c r="Q313" s="17" t="s">
        <v>1255</v>
      </c>
      <c r="R313" s="17" t="s">
        <v>253</v>
      </c>
      <c r="S313" s="108" t="s">
        <v>1256</v>
      </c>
      <c r="T313" s="108" t="s">
        <v>1257</v>
      </c>
      <c r="U313" s="110" t="s">
        <v>1258</v>
      </c>
      <c r="V313" s="107" t="s">
        <v>1259</v>
      </c>
      <c r="W313" s="108" t="s">
        <v>1260</v>
      </c>
      <c r="X313" s="108" t="s">
        <v>1261</v>
      </c>
    </row>
    <row r="314" spans="1:24" s="26" customFormat="1" hidden="1">
      <c r="A314" s="33"/>
      <c r="B314" s="108"/>
      <c r="C314" s="108"/>
      <c r="D314" s="31" t="str">
        <f t="shared" ref="D314:D321" si="68">D313</f>
        <v>汇通达</v>
      </c>
      <c r="E314" s="108"/>
      <c r="F314" s="111"/>
      <c r="G314" s="108"/>
      <c r="H314" s="108"/>
      <c r="I314" s="108"/>
      <c r="J314" s="108"/>
      <c r="K314" s="31" t="str">
        <f t="shared" ref="K314:K321" si="69">K313</f>
        <v>运营中</v>
      </c>
      <c r="L314" s="108"/>
      <c r="M314" s="108"/>
      <c r="N314" s="12">
        <v>1</v>
      </c>
      <c r="O314" s="36">
        <v>44592</v>
      </c>
      <c r="P314" s="12" t="s">
        <v>654</v>
      </c>
      <c r="Q314" s="17" t="s">
        <v>522</v>
      </c>
      <c r="R314" s="12" t="s">
        <v>1262</v>
      </c>
      <c r="S314" s="108"/>
      <c r="T314" s="108"/>
      <c r="U314" s="111"/>
      <c r="V314" s="108"/>
      <c r="W314" s="108"/>
      <c r="X314" s="108"/>
    </row>
    <row r="315" spans="1:24" s="26" customFormat="1" hidden="1">
      <c r="A315" s="33"/>
      <c r="B315" s="108"/>
      <c r="C315" s="108"/>
      <c r="D315" s="31" t="str">
        <f t="shared" si="68"/>
        <v>汇通达</v>
      </c>
      <c r="E315" s="108"/>
      <c r="F315" s="111"/>
      <c r="G315" s="108"/>
      <c r="H315" s="108"/>
      <c r="I315" s="108"/>
      <c r="J315" s="108"/>
      <c r="K315" s="31" t="str">
        <f t="shared" si="69"/>
        <v>运营中</v>
      </c>
      <c r="L315" s="108"/>
      <c r="M315" s="108"/>
      <c r="N315" s="12">
        <v>1</v>
      </c>
      <c r="O315" s="36">
        <v>44335</v>
      </c>
      <c r="P315" s="17" t="s">
        <v>310</v>
      </c>
      <c r="Q315" s="12" t="s">
        <v>409</v>
      </c>
      <c r="R315" s="12" t="s">
        <v>1263</v>
      </c>
      <c r="S315" s="108"/>
      <c r="T315" s="108"/>
      <c r="U315" s="111"/>
      <c r="V315" s="108"/>
      <c r="W315" s="108"/>
      <c r="X315" s="108"/>
    </row>
    <row r="316" spans="1:24" s="26" customFormat="1" hidden="1">
      <c r="A316" s="33"/>
      <c r="B316" s="108"/>
      <c r="C316" s="108"/>
      <c r="D316" s="31" t="str">
        <f t="shared" si="68"/>
        <v>汇通达</v>
      </c>
      <c r="E316" s="108"/>
      <c r="F316" s="111"/>
      <c r="G316" s="108"/>
      <c r="H316" s="108"/>
      <c r="I316" s="108"/>
      <c r="J316" s="108"/>
      <c r="K316" s="31" t="str">
        <f t="shared" si="69"/>
        <v>运营中</v>
      </c>
      <c r="L316" s="108"/>
      <c r="M316" s="108"/>
      <c r="N316" s="12">
        <v>1</v>
      </c>
      <c r="O316" s="36">
        <v>44189</v>
      </c>
      <c r="P316" s="12" t="s">
        <v>285</v>
      </c>
      <c r="Q316" s="12" t="s">
        <v>409</v>
      </c>
      <c r="R316" s="12" t="s">
        <v>1264</v>
      </c>
      <c r="S316" s="108"/>
      <c r="T316" s="108"/>
      <c r="U316" s="111"/>
      <c r="V316" s="108"/>
      <c r="W316" s="108"/>
      <c r="X316" s="108"/>
    </row>
    <row r="317" spans="1:24" s="26" customFormat="1" hidden="1">
      <c r="A317" s="33"/>
      <c r="B317" s="108"/>
      <c r="C317" s="108"/>
      <c r="D317" s="31" t="str">
        <f t="shared" si="68"/>
        <v>汇通达</v>
      </c>
      <c r="E317" s="108"/>
      <c r="F317" s="111"/>
      <c r="G317" s="108"/>
      <c r="H317" s="108"/>
      <c r="I317" s="108"/>
      <c r="J317" s="108"/>
      <c r="K317" s="31" t="str">
        <f t="shared" si="69"/>
        <v>运营中</v>
      </c>
      <c r="L317" s="108"/>
      <c r="M317" s="108"/>
      <c r="N317" s="12">
        <v>1</v>
      </c>
      <c r="O317" s="36">
        <v>43207</v>
      </c>
      <c r="P317" s="12" t="s">
        <v>285</v>
      </c>
      <c r="Q317" s="17" t="s">
        <v>1265</v>
      </c>
      <c r="R317" s="12" t="s">
        <v>240</v>
      </c>
      <c r="S317" s="108"/>
      <c r="T317" s="108"/>
      <c r="U317" s="111"/>
      <c r="V317" s="108"/>
      <c r="W317" s="108"/>
      <c r="X317" s="108"/>
    </row>
    <row r="318" spans="1:24" s="26" customFormat="1" hidden="1">
      <c r="A318" s="33"/>
      <c r="B318" s="108"/>
      <c r="C318" s="108"/>
      <c r="D318" s="31" t="str">
        <f t="shared" si="68"/>
        <v>汇通达</v>
      </c>
      <c r="E318" s="108"/>
      <c r="F318" s="111"/>
      <c r="G318" s="108"/>
      <c r="H318" s="108"/>
      <c r="I318" s="108"/>
      <c r="J318" s="108"/>
      <c r="K318" s="31" t="str">
        <f t="shared" si="69"/>
        <v>运营中</v>
      </c>
      <c r="L318" s="108"/>
      <c r="M318" s="108"/>
      <c r="N318" s="12">
        <v>1</v>
      </c>
      <c r="O318" s="36">
        <v>43091</v>
      </c>
      <c r="P318" s="12" t="s">
        <v>285</v>
      </c>
      <c r="Q318" s="17" t="s">
        <v>773</v>
      </c>
      <c r="R318" s="12" t="s">
        <v>1266</v>
      </c>
      <c r="S318" s="108"/>
      <c r="T318" s="108"/>
      <c r="U318" s="111"/>
      <c r="V318" s="108"/>
      <c r="W318" s="108"/>
      <c r="X318" s="108"/>
    </row>
    <row r="319" spans="1:24" s="26" customFormat="1" hidden="1">
      <c r="A319" s="33"/>
      <c r="B319" s="108"/>
      <c r="C319" s="108"/>
      <c r="D319" s="31" t="str">
        <f t="shared" si="68"/>
        <v>汇通达</v>
      </c>
      <c r="E319" s="108"/>
      <c r="F319" s="111"/>
      <c r="G319" s="108"/>
      <c r="H319" s="108"/>
      <c r="I319" s="108"/>
      <c r="J319" s="108"/>
      <c r="K319" s="31" t="str">
        <f t="shared" si="69"/>
        <v>运营中</v>
      </c>
      <c r="L319" s="108"/>
      <c r="M319" s="108"/>
      <c r="N319" s="12">
        <v>1</v>
      </c>
      <c r="O319" s="36">
        <v>42549</v>
      </c>
      <c r="P319" s="17" t="s">
        <v>257</v>
      </c>
      <c r="Q319" s="17" t="s">
        <v>1115</v>
      </c>
      <c r="R319" s="12" t="s">
        <v>1267</v>
      </c>
      <c r="S319" s="108"/>
      <c r="T319" s="108"/>
      <c r="U319" s="111"/>
      <c r="V319" s="108"/>
      <c r="W319" s="108"/>
      <c r="X319" s="108"/>
    </row>
    <row r="320" spans="1:24" s="26" customFormat="1" hidden="1">
      <c r="A320" s="33"/>
      <c r="B320" s="108"/>
      <c r="C320" s="108"/>
      <c r="D320" s="31" t="str">
        <f t="shared" si="68"/>
        <v>汇通达</v>
      </c>
      <c r="E320" s="108"/>
      <c r="F320" s="111"/>
      <c r="G320" s="108"/>
      <c r="H320" s="108"/>
      <c r="I320" s="108"/>
      <c r="J320" s="108"/>
      <c r="K320" s="31" t="str">
        <f t="shared" si="69"/>
        <v>运营中</v>
      </c>
      <c r="L320" s="108"/>
      <c r="M320" s="108"/>
      <c r="N320" s="12">
        <v>1</v>
      </c>
      <c r="O320" s="36">
        <v>42185</v>
      </c>
      <c r="P320" s="17" t="s">
        <v>262</v>
      </c>
      <c r="Q320" s="17" t="s">
        <v>773</v>
      </c>
      <c r="R320" s="12" t="s">
        <v>1268</v>
      </c>
      <c r="S320" s="108"/>
      <c r="T320" s="108"/>
      <c r="U320" s="111"/>
      <c r="V320" s="108"/>
      <c r="W320" s="108"/>
      <c r="X320" s="108"/>
    </row>
    <row r="321" spans="1:24" s="26" customFormat="1" hidden="1">
      <c r="A321" s="33"/>
      <c r="B321" s="108"/>
      <c r="C321" s="108"/>
      <c r="D321" s="31" t="str">
        <f t="shared" si="68"/>
        <v>汇通达</v>
      </c>
      <c r="E321" s="108"/>
      <c r="F321" s="111"/>
      <c r="G321" s="108"/>
      <c r="H321" s="108"/>
      <c r="I321" s="108"/>
      <c r="J321" s="108"/>
      <c r="K321" s="31" t="str">
        <f t="shared" si="69"/>
        <v>运营中</v>
      </c>
      <c r="L321" s="108"/>
      <c r="M321" s="108"/>
      <c r="N321" s="12">
        <v>1</v>
      </c>
      <c r="O321" s="36">
        <v>40191</v>
      </c>
      <c r="P321" s="17" t="s">
        <v>721</v>
      </c>
      <c r="Q321" s="12" t="s">
        <v>341</v>
      </c>
      <c r="R321" s="12" t="s">
        <v>1269</v>
      </c>
      <c r="S321" s="108"/>
      <c r="T321" s="108"/>
      <c r="U321" s="111"/>
      <c r="V321" s="108"/>
      <c r="W321" s="108"/>
      <c r="X321" s="108"/>
    </row>
    <row r="322" spans="1:24" s="26" customFormat="1" hidden="1">
      <c r="A322" s="33"/>
      <c r="B322" s="108"/>
      <c r="C322" s="108" t="s">
        <v>1270</v>
      </c>
      <c r="D322" s="31" t="s">
        <v>1271</v>
      </c>
      <c r="E322" s="107" t="s">
        <v>1271</v>
      </c>
      <c r="F322" s="110" t="s">
        <v>1272</v>
      </c>
      <c r="G322" s="107" t="s">
        <v>1273</v>
      </c>
      <c r="H322" s="108" t="s">
        <v>1274</v>
      </c>
      <c r="I322" s="108" t="s">
        <v>1275</v>
      </c>
      <c r="J322" s="107" t="s">
        <v>428</v>
      </c>
      <c r="K322" s="31" t="s">
        <v>272</v>
      </c>
      <c r="L322" s="107" t="s">
        <v>713</v>
      </c>
      <c r="M322" s="107" t="s">
        <v>714</v>
      </c>
      <c r="N322" s="12"/>
      <c r="O322" s="36">
        <v>42073</v>
      </c>
      <c r="P322" s="17" t="s">
        <v>317</v>
      </c>
      <c r="Q322" s="12" t="s">
        <v>258</v>
      </c>
      <c r="R322" s="17" t="s">
        <v>1276</v>
      </c>
      <c r="S322" s="108" t="s">
        <v>1277</v>
      </c>
      <c r="T322" s="108" t="s">
        <v>551</v>
      </c>
      <c r="U322" s="110" t="s">
        <v>1278</v>
      </c>
      <c r="V322" s="108"/>
      <c r="W322" s="108" t="s">
        <v>1279</v>
      </c>
      <c r="X322" s="108" t="s">
        <v>1280</v>
      </c>
    </row>
    <row r="323" spans="1:24" s="26" customFormat="1" hidden="1">
      <c r="A323" s="33"/>
      <c r="B323" s="108"/>
      <c r="C323" s="108"/>
      <c r="D323" s="31" t="str">
        <f>D322</f>
        <v>优谈网</v>
      </c>
      <c r="E323" s="108"/>
      <c r="F323" s="111"/>
      <c r="G323" s="108"/>
      <c r="H323" s="108"/>
      <c r="I323" s="108"/>
      <c r="J323" s="108"/>
      <c r="K323" s="31" t="str">
        <f t="shared" ref="K323:K325" si="70">K322</f>
        <v>运营中</v>
      </c>
      <c r="L323" s="108"/>
      <c r="M323" s="108"/>
      <c r="N323" s="17"/>
      <c r="O323" s="36">
        <v>41974</v>
      </c>
      <c r="P323" s="17" t="s">
        <v>257</v>
      </c>
      <c r="Q323" s="12" t="s">
        <v>252</v>
      </c>
      <c r="R323" s="12" t="s">
        <v>240</v>
      </c>
      <c r="S323" s="108"/>
      <c r="T323" s="108"/>
      <c r="U323" s="111"/>
      <c r="V323" s="108"/>
      <c r="W323" s="108"/>
      <c r="X323" s="108"/>
    </row>
    <row r="324" spans="1:24" s="26" customFormat="1" hidden="1">
      <c r="A324" s="33"/>
      <c r="B324" s="108"/>
      <c r="C324" s="108"/>
      <c r="D324" s="31" t="str">
        <f>D323</f>
        <v>优谈网</v>
      </c>
      <c r="E324" s="108"/>
      <c r="F324" s="111"/>
      <c r="G324" s="108"/>
      <c r="H324" s="108"/>
      <c r="I324" s="108"/>
      <c r="J324" s="108"/>
      <c r="K324" s="31" t="str">
        <f t="shared" si="70"/>
        <v>运营中</v>
      </c>
      <c r="L324" s="108"/>
      <c r="M324" s="108"/>
      <c r="N324" s="17"/>
      <c r="O324" s="36">
        <v>41122</v>
      </c>
      <c r="P324" s="17" t="s">
        <v>262</v>
      </c>
      <c r="Q324" s="12" t="s">
        <v>252</v>
      </c>
      <c r="R324" s="17" t="s">
        <v>253</v>
      </c>
      <c r="S324" s="108"/>
      <c r="T324" s="108"/>
      <c r="U324" s="111"/>
      <c r="V324" s="108"/>
      <c r="W324" s="108"/>
      <c r="X324" s="108"/>
    </row>
    <row r="325" spans="1:24" s="26" customFormat="1" hidden="1">
      <c r="A325" s="33"/>
      <c r="B325" s="108"/>
      <c r="C325" s="108"/>
      <c r="D325" s="31" t="str">
        <f>D324</f>
        <v>优谈网</v>
      </c>
      <c r="E325" s="108"/>
      <c r="F325" s="111"/>
      <c r="G325" s="108"/>
      <c r="H325" s="108"/>
      <c r="I325" s="108"/>
      <c r="J325" s="108"/>
      <c r="K325" s="31" t="str">
        <f t="shared" si="70"/>
        <v>运营中</v>
      </c>
      <c r="L325" s="108"/>
      <c r="M325" s="108"/>
      <c r="N325" s="17"/>
      <c r="O325" s="36">
        <v>40210</v>
      </c>
      <c r="P325" s="12" t="s">
        <v>326</v>
      </c>
      <c r="Q325" s="17" t="s">
        <v>360</v>
      </c>
      <c r="R325" s="12" t="s">
        <v>1281</v>
      </c>
      <c r="S325" s="108"/>
      <c r="T325" s="108"/>
      <c r="U325" s="111"/>
      <c r="V325" s="108"/>
      <c r="W325" s="108"/>
      <c r="X325" s="108"/>
    </row>
    <row r="326" spans="1:24" s="26" customFormat="1" hidden="1">
      <c r="A326" s="33"/>
      <c r="B326" s="108"/>
      <c r="C326" s="108" t="s">
        <v>1282</v>
      </c>
      <c r="D326" s="31" t="s">
        <v>1283</v>
      </c>
      <c r="E326" s="107" t="s">
        <v>1283</v>
      </c>
      <c r="F326" s="110" t="s">
        <v>1284</v>
      </c>
      <c r="G326" s="107" t="s">
        <v>1285</v>
      </c>
      <c r="H326" s="108" t="s">
        <v>1286</v>
      </c>
      <c r="I326" s="108" t="s">
        <v>1275</v>
      </c>
      <c r="J326" s="107" t="s">
        <v>372</v>
      </c>
      <c r="K326" s="31" t="s">
        <v>272</v>
      </c>
      <c r="L326" s="107" t="s">
        <v>273</v>
      </c>
      <c r="M326" s="107" t="s">
        <v>274</v>
      </c>
      <c r="N326" s="12"/>
      <c r="O326" s="36">
        <v>43749</v>
      </c>
      <c r="P326" s="17" t="s">
        <v>251</v>
      </c>
      <c r="Q326" s="12" t="s">
        <v>258</v>
      </c>
      <c r="R326" s="12" t="s">
        <v>1287</v>
      </c>
      <c r="S326" s="108" t="s">
        <v>1288</v>
      </c>
      <c r="T326" s="108" t="s">
        <v>551</v>
      </c>
      <c r="U326" s="110" t="s">
        <v>1289</v>
      </c>
      <c r="V326" s="107" t="s">
        <v>1290</v>
      </c>
      <c r="W326" s="108"/>
      <c r="X326" s="108"/>
    </row>
    <row r="327" spans="1:24" s="26" customFormat="1" hidden="1">
      <c r="A327" s="33"/>
      <c r="B327" s="108"/>
      <c r="C327" s="108"/>
      <c r="D327" s="31" t="str">
        <f>D326</f>
        <v>车来了</v>
      </c>
      <c r="E327" s="108"/>
      <c r="F327" s="111"/>
      <c r="G327" s="108"/>
      <c r="H327" s="108"/>
      <c r="I327" s="108"/>
      <c r="J327" s="108"/>
      <c r="K327" s="31" t="str">
        <f t="shared" ref="K327:K330" si="71">K326</f>
        <v>运营中</v>
      </c>
      <c r="L327" s="108"/>
      <c r="M327" s="108"/>
      <c r="N327" s="17"/>
      <c r="O327" s="36">
        <v>42369</v>
      </c>
      <c r="P327" s="17" t="s">
        <v>565</v>
      </c>
      <c r="Q327" s="17" t="s">
        <v>805</v>
      </c>
      <c r="R327" s="12" t="s">
        <v>1291</v>
      </c>
      <c r="S327" s="108"/>
      <c r="T327" s="108"/>
      <c r="U327" s="111"/>
      <c r="V327" s="108"/>
      <c r="W327" s="108"/>
      <c r="X327" s="108"/>
    </row>
    <row r="328" spans="1:24" s="26" customFormat="1" hidden="1">
      <c r="A328" s="33"/>
      <c r="B328" s="108"/>
      <c r="C328" s="108"/>
      <c r="D328" s="31" t="str">
        <f>D327</f>
        <v>车来了</v>
      </c>
      <c r="E328" s="108"/>
      <c r="F328" s="111"/>
      <c r="G328" s="108"/>
      <c r="H328" s="108"/>
      <c r="I328" s="108"/>
      <c r="J328" s="108"/>
      <c r="K328" s="31" t="str">
        <f t="shared" si="71"/>
        <v>运营中</v>
      </c>
      <c r="L328" s="108"/>
      <c r="M328" s="108"/>
      <c r="N328" s="17"/>
      <c r="O328" s="36">
        <v>42158</v>
      </c>
      <c r="P328" s="17" t="s">
        <v>257</v>
      </c>
      <c r="Q328" s="17" t="s">
        <v>322</v>
      </c>
      <c r="R328" s="12" t="s">
        <v>1292</v>
      </c>
      <c r="S328" s="108"/>
      <c r="T328" s="108"/>
      <c r="U328" s="111"/>
      <c r="V328" s="108"/>
      <c r="W328" s="108"/>
      <c r="X328" s="108"/>
    </row>
    <row r="329" spans="1:24" s="26" customFormat="1" hidden="1">
      <c r="A329" s="33"/>
      <c r="B329" s="108"/>
      <c r="C329" s="108"/>
      <c r="D329" s="31" t="str">
        <f>D328</f>
        <v>车来了</v>
      </c>
      <c r="E329" s="108"/>
      <c r="F329" s="111"/>
      <c r="G329" s="108"/>
      <c r="H329" s="108"/>
      <c r="I329" s="108"/>
      <c r="J329" s="108"/>
      <c r="K329" s="31" t="str">
        <f t="shared" si="71"/>
        <v>运营中</v>
      </c>
      <c r="L329" s="108"/>
      <c r="M329" s="108"/>
      <c r="N329" s="17"/>
      <c r="O329" s="36">
        <v>41864</v>
      </c>
      <c r="P329" s="17" t="s">
        <v>262</v>
      </c>
      <c r="Q329" s="17" t="s">
        <v>460</v>
      </c>
      <c r="R329" s="12" t="s">
        <v>1293</v>
      </c>
      <c r="S329" s="108"/>
      <c r="T329" s="108"/>
      <c r="U329" s="111"/>
      <c r="V329" s="108"/>
      <c r="W329" s="108"/>
      <c r="X329" s="108"/>
    </row>
    <row r="330" spans="1:24" s="26" customFormat="1" hidden="1">
      <c r="A330" s="33"/>
      <c r="B330" s="108"/>
      <c r="C330" s="108"/>
      <c r="D330" s="31" t="str">
        <f>D329</f>
        <v>车来了</v>
      </c>
      <c r="E330" s="108"/>
      <c r="F330" s="111"/>
      <c r="G330" s="108"/>
      <c r="H330" s="108"/>
      <c r="I330" s="108"/>
      <c r="J330" s="108"/>
      <c r="K330" s="31" t="str">
        <f t="shared" si="71"/>
        <v>运营中</v>
      </c>
      <c r="L330" s="108"/>
      <c r="M330" s="108"/>
      <c r="N330" s="17"/>
      <c r="O330" s="36">
        <v>41426</v>
      </c>
      <c r="P330" s="12" t="s">
        <v>326</v>
      </c>
      <c r="Q330" s="12" t="s">
        <v>327</v>
      </c>
      <c r="R330" s="12" t="s">
        <v>1294</v>
      </c>
      <c r="S330" s="108"/>
      <c r="T330" s="108"/>
      <c r="U330" s="111"/>
      <c r="V330" s="108"/>
      <c r="W330" s="108"/>
      <c r="X330" s="108"/>
    </row>
    <row r="331" spans="1:24" s="26" customFormat="1" hidden="1">
      <c r="A331" s="33"/>
      <c r="B331" s="108"/>
      <c r="C331" s="108" t="s">
        <v>1295</v>
      </c>
      <c r="D331" s="31" t="s">
        <v>1296</v>
      </c>
      <c r="E331" s="107" t="s">
        <v>1296</v>
      </c>
      <c r="F331" s="110" t="s">
        <v>1297</v>
      </c>
      <c r="G331" s="107" t="s">
        <v>1298</v>
      </c>
      <c r="H331" s="108" t="s">
        <v>1299</v>
      </c>
      <c r="I331" s="108" t="s">
        <v>1016</v>
      </c>
      <c r="J331" s="107" t="s">
        <v>385</v>
      </c>
      <c r="K331" s="31" t="s">
        <v>272</v>
      </c>
      <c r="L331" s="107" t="s">
        <v>335</v>
      </c>
      <c r="M331" s="107" t="s">
        <v>1300</v>
      </c>
      <c r="N331" s="12"/>
      <c r="O331" s="36">
        <v>42513</v>
      </c>
      <c r="P331" s="17" t="s">
        <v>317</v>
      </c>
      <c r="Q331" s="12" t="s">
        <v>409</v>
      </c>
      <c r="R331" s="12" t="s">
        <v>1301</v>
      </c>
      <c r="S331" s="108" t="s">
        <v>1302</v>
      </c>
      <c r="T331" s="108" t="s">
        <v>1303</v>
      </c>
      <c r="U331" s="110" t="s">
        <v>1304</v>
      </c>
      <c r="V331" s="107" t="s">
        <v>1305</v>
      </c>
      <c r="W331" s="108" t="s">
        <v>1306</v>
      </c>
      <c r="X331" s="108"/>
    </row>
    <row r="332" spans="1:24" s="26" customFormat="1" hidden="1">
      <c r="A332" s="33"/>
      <c r="B332" s="108"/>
      <c r="C332" s="108"/>
      <c r="D332" s="31" t="str">
        <f>D331</f>
        <v>墨迹天气</v>
      </c>
      <c r="E332" s="108"/>
      <c r="F332" s="111"/>
      <c r="G332" s="108"/>
      <c r="H332" s="108"/>
      <c r="I332" s="108"/>
      <c r="J332" s="108"/>
      <c r="K332" s="31" t="str">
        <f t="shared" ref="K332:K336" si="72">K331</f>
        <v>运营中</v>
      </c>
      <c r="L332" s="108"/>
      <c r="M332" s="108"/>
      <c r="N332" s="17"/>
      <c r="O332" s="36">
        <v>41579</v>
      </c>
      <c r="P332" s="17" t="s">
        <v>251</v>
      </c>
      <c r="Q332" s="12" t="s">
        <v>341</v>
      </c>
      <c r="R332" s="12" t="s">
        <v>524</v>
      </c>
      <c r="S332" s="108"/>
      <c r="T332" s="108"/>
      <c r="U332" s="111"/>
      <c r="V332" s="108"/>
      <c r="W332" s="108"/>
      <c r="X332" s="108"/>
    </row>
    <row r="333" spans="1:24" s="26" customFormat="1" hidden="1">
      <c r="A333" s="33"/>
      <c r="B333" s="108"/>
      <c r="C333" s="108"/>
      <c r="D333" s="31" t="str">
        <f>D332</f>
        <v>墨迹天气</v>
      </c>
      <c r="E333" s="108"/>
      <c r="F333" s="111"/>
      <c r="G333" s="108"/>
      <c r="H333" s="108"/>
      <c r="I333" s="108"/>
      <c r="J333" s="108"/>
      <c r="K333" s="31" t="str">
        <f t="shared" si="72"/>
        <v>运营中</v>
      </c>
      <c r="L333" s="108"/>
      <c r="M333" s="108"/>
      <c r="N333" s="17"/>
      <c r="O333" s="36">
        <v>41275</v>
      </c>
      <c r="P333" s="17" t="s">
        <v>257</v>
      </c>
      <c r="Q333" s="12" t="s">
        <v>341</v>
      </c>
      <c r="R333" s="12" t="s">
        <v>240</v>
      </c>
      <c r="S333" s="108"/>
      <c r="T333" s="108"/>
      <c r="U333" s="111"/>
      <c r="V333" s="108"/>
      <c r="W333" s="108"/>
      <c r="X333" s="108"/>
    </row>
    <row r="334" spans="1:24" s="26" customFormat="1" hidden="1">
      <c r="A334" s="33"/>
      <c r="B334" s="108"/>
      <c r="C334" s="108"/>
      <c r="D334" s="31" t="str">
        <f>D333</f>
        <v>墨迹天气</v>
      </c>
      <c r="E334" s="108"/>
      <c r="F334" s="111"/>
      <c r="G334" s="108"/>
      <c r="H334" s="108"/>
      <c r="I334" s="108"/>
      <c r="J334" s="108"/>
      <c r="K334" s="31" t="str">
        <f t="shared" si="72"/>
        <v>运营中</v>
      </c>
      <c r="L334" s="108"/>
      <c r="M334" s="108"/>
      <c r="N334" s="17"/>
      <c r="O334" s="36">
        <v>41153</v>
      </c>
      <c r="P334" s="17" t="s">
        <v>260</v>
      </c>
      <c r="Q334" s="12" t="s">
        <v>327</v>
      </c>
      <c r="R334" s="12" t="s">
        <v>1307</v>
      </c>
      <c r="S334" s="108"/>
      <c r="T334" s="108"/>
      <c r="U334" s="111"/>
      <c r="V334" s="108"/>
      <c r="W334" s="108"/>
      <c r="X334" s="108"/>
    </row>
    <row r="335" spans="1:24" s="26" customFormat="1" hidden="1">
      <c r="A335" s="33"/>
      <c r="B335" s="108"/>
      <c r="C335" s="108"/>
      <c r="D335" s="31" t="str">
        <f>D334</f>
        <v>墨迹天气</v>
      </c>
      <c r="E335" s="108"/>
      <c r="F335" s="111"/>
      <c r="G335" s="108"/>
      <c r="H335" s="108"/>
      <c r="I335" s="108"/>
      <c r="J335" s="108"/>
      <c r="K335" s="31" t="str">
        <f t="shared" si="72"/>
        <v>运营中</v>
      </c>
      <c r="L335" s="108"/>
      <c r="M335" s="108"/>
      <c r="N335" s="17"/>
      <c r="O335" s="36">
        <v>40513</v>
      </c>
      <c r="P335" s="17" t="s">
        <v>262</v>
      </c>
      <c r="Q335" s="12" t="s">
        <v>341</v>
      </c>
      <c r="R335" s="12" t="s">
        <v>862</v>
      </c>
      <c r="S335" s="108"/>
      <c r="T335" s="108"/>
      <c r="U335" s="111"/>
      <c r="V335" s="108"/>
      <c r="W335" s="108"/>
      <c r="X335" s="108"/>
    </row>
    <row r="336" spans="1:24" s="26" customFormat="1" hidden="1">
      <c r="A336" s="33"/>
      <c r="B336" s="108"/>
      <c r="C336" s="108"/>
      <c r="D336" s="31" t="str">
        <f>D335</f>
        <v>墨迹天气</v>
      </c>
      <c r="E336" s="108"/>
      <c r="F336" s="111"/>
      <c r="G336" s="108"/>
      <c r="H336" s="108"/>
      <c r="I336" s="108"/>
      <c r="J336" s="108"/>
      <c r="K336" s="31" t="str">
        <f t="shared" si="72"/>
        <v>运营中</v>
      </c>
      <c r="L336" s="108"/>
      <c r="M336" s="108"/>
      <c r="N336" s="17"/>
      <c r="O336" s="36">
        <v>40238</v>
      </c>
      <c r="P336" s="12" t="s">
        <v>326</v>
      </c>
      <c r="Q336" s="17" t="s">
        <v>570</v>
      </c>
      <c r="R336" s="12" t="s">
        <v>1308</v>
      </c>
      <c r="S336" s="108"/>
      <c r="T336" s="108"/>
      <c r="U336" s="111"/>
      <c r="V336" s="108"/>
      <c r="W336" s="108"/>
      <c r="X336" s="108"/>
    </row>
    <row r="337" spans="1:24" s="26" customFormat="1" ht="48" hidden="1">
      <c r="A337" s="33"/>
      <c r="B337" s="108"/>
      <c r="C337" s="17" t="s">
        <v>1309</v>
      </c>
      <c r="D337" s="38" t="s">
        <v>1310</v>
      </c>
      <c r="E337" s="12" t="s">
        <v>1310</v>
      </c>
      <c r="F337" s="32" t="s">
        <v>1311</v>
      </c>
      <c r="G337" s="12" t="s">
        <v>1312</v>
      </c>
      <c r="H337" s="17"/>
      <c r="I337" s="17" t="s">
        <v>1313</v>
      </c>
      <c r="J337" s="12" t="s">
        <v>271</v>
      </c>
      <c r="K337" s="12" t="s">
        <v>248</v>
      </c>
      <c r="L337" s="12" t="s">
        <v>335</v>
      </c>
      <c r="M337" s="12" t="s">
        <v>1300</v>
      </c>
      <c r="N337" s="12">
        <v>1</v>
      </c>
      <c r="O337" s="36">
        <v>40787</v>
      </c>
      <c r="P337" s="12" t="s">
        <v>471</v>
      </c>
      <c r="Q337" s="12" t="s">
        <v>252</v>
      </c>
      <c r="R337" s="12" t="s">
        <v>240</v>
      </c>
      <c r="S337" s="17" t="s">
        <v>253</v>
      </c>
      <c r="T337" s="12" t="s">
        <v>255</v>
      </c>
      <c r="U337" s="32" t="s">
        <v>1314</v>
      </c>
      <c r="V337" s="17"/>
      <c r="W337" s="17"/>
      <c r="X337" s="17"/>
    </row>
    <row r="338" spans="1:24" s="26" customFormat="1" hidden="1">
      <c r="A338" s="33"/>
      <c r="B338" s="108"/>
      <c r="C338" s="108" t="s">
        <v>1315</v>
      </c>
      <c r="D338" s="31" t="s">
        <v>1316</v>
      </c>
      <c r="E338" s="107" t="s">
        <v>1316</v>
      </c>
      <c r="F338" s="110" t="s">
        <v>1317</v>
      </c>
      <c r="G338" s="107" t="s">
        <v>1318</v>
      </c>
      <c r="H338" s="108" t="s">
        <v>1319</v>
      </c>
      <c r="I338" s="108" t="s">
        <v>1320</v>
      </c>
      <c r="J338" s="107" t="s">
        <v>385</v>
      </c>
      <c r="K338" s="35" t="s">
        <v>248</v>
      </c>
      <c r="L338" s="107" t="s">
        <v>249</v>
      </c>
      <c r="M338" s="107" t="s">
        <v>429</v>
      </c>
      <c r="N338" s="12">
        <v>1</v>
      </c>
      <c r="O338" s="36">
        <v>43644</v>
      </c>
      <c r="P338" s="12" t="s">
        <v>275</v>
      </c>
      <c r="Q338" s="12" t="s">
        <v>252</v>
      </c>
      <c r="R338" s="17" t="s">
        <v>253</v>
      </c>
      <c r="S338" s="108" t="s">
        <v>1321</v>
      </c>
      <c r="T338" s="107" t="s">
        <v>255</v>
      </c>
      <c r="U338" s="110" t="s">
        <v>1322</v>
      </c>
      <c r="V338" s="108"/>
      <c r="W338" s="108"/>
      <c r="X338" s="108"/>
    </row>
    <row r="339" spans="1:24" s="26" customFormat="1" hidden="1">
      <c r="A339" s="33"/>
      <c r="B339" s="108"/>
      <c r="C339" s="108"/>
      <c r="D339" s="31" t="str">
        <f>D338</f>
        <v>百程旅行</v>
      </c>
      <c r="E339" s="108"/>
      <c r="F339" s="111"/>
      <c r="G339" s="108"/>
      <c r="H339" s="108"/>
      <c r="I339" s="108"/>
      <c r="J339" s="108"/>
      <c r="K339" s="37" t="str">
        <f t="shared" ref="K339:K343" si="73">K338</f>
        <v>已关闭</v>
      </c>
      <c r="L339" s="108"/>
      <c r="M339" s="108"/>
      <c r="N339" s="12">
        <v>1</v>
      </c>
      <c r="O339" s="36">
        <v>42482</v>
      </c>
      <c r="P339" s="12" t="s">
        <v>362</v>
      </c>
      <c r="Q339" s="12" t="s">
        <v>252</v>
      </c>
      <c r="R339" s="17" t="s">
        <v>253</v>
      </c>
      <c r="S339" s="108"/>
      <c r="T339" s="108"/>
      <c r="U339" s="111"/>
      <c r="V339" s="108"/>
      <c r="W339" s="108"/>
      <c r="X339" s="108"/>
    </row>
    <row r="340" spans="1:24" s="26" customFormat="1" hidden="1">
      <c r="A340" s="33"/>
      <c r="B340" s="108"/>
      <c r="C340" s="108"/>
      <c r="D340" s="31" t="str">
        <f>D339</f>
        <v>百程旅行</v>
      </c>
      <c r="E340" s="108"/>
      <c r="F340" s="111"/>
      <c r="G340" s="108"/>
      <c r="H340" s="108"/>
      <c r="I340" s="108"/>
      <c r="J340" s="108"/>
      <c r="K340" s="37" t="str">
        <f t="shared" si="73"/>
        <v>已关闭</v>
      </c>
      <c r="L340" s="108"/>
      <c r="M340" s="108"/>
      <c r="N340" s="12">
        <v>1</v>
      </c>
      <c r="O340" s="36">
        <v>42233</v>
      </c>
      <c r="P340" s="17" t="s">
        <v>251</v>
      </c>
      <c r="Q340" s="17" t="s">
        <v>578</v>
      </c>
      <c r="R340" s="12" t="s">
        <v>1323</v>
      </c>
      <c r="S340" s="108"/>
      <c r="T340" s="108"/>
      <c r="U340" s="111"/>
      <c r="V340" s="108"/>
      <c r="W340" s="108"/>
      <c r="X340" s="108"/>
    </row>
    <row r="341" spans="1:24" s="26" customFormat="1" hidden="1">
      <c r="A341" s="33"/>
      <c r="B341" s="108"/>
      <c r="C341" s="108"/>
      <c r="D341" s="31" t="str">
        <f>D340</f>
        <v>百程旅行</v>
      </c>
      <c r="E341" s="108"/>
      <c r="F341" s="111"/>
      <c r="G341" s="108"/>
      <c r="H341" s="108"/>
      <c r="I341" s="108"/>
      <c r="J341" s="108"/>
      <c r="K341" s="37" t="str">
        <f t="shared" si="73"/>
        <v>已关闭</v>
      </c>
      <c r="L341" s="108"/>
      <c r="M341" s="108"/>
      <c r="N341" s="12">
        <v>1</v>
      </c>
      <c r="O341" s="36">
        <v>41699</v>
      </c>
      <c r="P341" s="17" t="s">
        <v>257</v>
      </c>
      <c r="Q341" s="17" t="s">
        <v>458</v>
      </c>
      <c r="R341" s="12" t="s">
        <v>1292</v>
      </c>
      <c r="S341" s="108"/>
      <c r="T341" s="108"/>
      <c r="U341" s="111"/>
      <c r="V341" s="108"/>
      <c r="W341" s="108"/>
      <c r="X341" s="108"/>
    </row>
    <row r="342" spans="1:24" s="26" customFormat="1" hidden="1">
      <c r="A342" s="33"/>
      <c r="B342" s="108"/>
      <c r="C342" s="108"/>
      <c r="D342" s="31" t="str">
        <f>D341</f>
        <v>百程旅行</v>
      </c>
      <c r="E342" s="108"/>
      <c r="F342" s="111"/>
      <c r="G342" s="108"/>
      <c r="H342" s="108"/>
      <c r="I342" s="108"/>
      <c r="J342" s="108"/>
      <c r="K342" s="37" t="str">
        <f t="shared" si="73"/>
        <v>已关闭</v>
      </c>
      <c r="L342" s="108"/>
      <c r="M342" s="108"/>
      <c r="N342" s="12">
        <v>1</v>
      </c>
      <c r="O342" s="36">
        <v>40556</v>
      </c>
      <c r="P342" s="17" t="s">
        <v>260</v>
      </c>
      <c r="Q342" s="12" t="s">
        <v>327</v>
      </c>
      <c r="R342" s="12" t="s">
        <v>1324</v>
      </c>
      <c r="S342" s="108"/>
      <c r="T342" s="108"/>
      <c r="U342" s="111"/>
      <c r="V342" s="108"/>
      <c r="W342" s="108"/>
      <c r="X342" s="108"/>
    </row>
    <row r="343" spans="1:24" s="26" customFormat="1" hidden="1">
      <c r="A343" s="33"/>
      <c r="B343" s="108"/>
      <c r="C343" s="108"/>
      <c r="D343" s="31" t="str">
        <f>D342</f>
        <v>百程旅行</v>
      </c>
      <c r="E343" s="108"/>
      <c r="F343" s="111"/>
      <c r="G343" s="108"/>
      <c r="H343" s="108"/>
      <c r="I343" s="108"/>
      <c r="J343" s="108"/>
      <c r="K343" s="37" t="str">
        <f t="shared" si="73"/>
        <v>已关闭</v>
      </c>
      <c r="L343" s="108"/>
      <c r="M343" s="108"/>
      <c r="N343" s="12">
        <v>1</v>
      </c>
      <c r="O343" s="36">
        <v>39508</v>
      </c>
      <c r="P343" s="17" t="s">
        <v>262</v>
      </c>
      <c r="Q343" s="17" t="s">
        <v>337</v>
      </c>
      <c r="R343" s="12" t="s">
        <v>1325</v>
      </c>
      <c r="S343" s="108"/>
      <c r="T343" s="108"/>
      <c r="U343" s="111"/>
      <c r="V343" s="108"/>
      <c r="W343" s="108"/>
      <c r="X343" s="108"/>
    </row>
    <row r="344" spans="1:24" s="26" customFormat="1" hidden="1">
      <c r="A344" s="33"/>
      <c r="B344" s="108"/>
      <c r="C344" s="108" t="s">
        <v>1326</v>
      </c>
      <c r="D344" s="31" t="s">
        <v>1327</v>
      </c>
      <c r="E344" s="107" t="s">
        <v>1327</v>
      </c>
      <c r="F344" s="110" t="s">
        <v>1328</v>
      </c>
      <c r="G344" s="107" t="s">
        <v>1329</v>
      </c>
      <c r="H344" s="108" t="s">
        <v>1330</v>
      </c>
      <c r="I344" s="108" t="s">
        <v>1275</v>
      </c>
      <c r="J344" s="107" t="s">
        <v>406</v>
      </c>
      <c r="K344" s="31" t="s">
        <v>272</v>
      </c>
      <c r="L344" s="107" t="s">
        <v>350</v>
      </c>
      <c r="M344" s="107" t="s">
        <v>1331</v>
      </c>
      <c r="N344" s="12">
        <v>1</v>
      </c>
      <c r="O344" s="36">
        <v>42758</v>
      </c>
      <c r="P344" s="12" t="s">
        <v>471</v>
      </c>
      <c r="Q344" s="12" t="s">
        <v>276</v>
      </c>
      <c r="R344" s="12" t="s">
        <v>240</v>
      </c>
      <c r="S344" s="108" t="s">
        <v>1332</v>
      </c>
      <c r="T344" s="107" t="s">
        <v>255</v>
      </c>
      <c r="U344" s="110" t="s">
        <v>1333</v>
      </c>
      <c r="V344" s="107" t="s">
        <v>1334</v>
      </c>
      <c r="W344" s="108" t="s">
        <v>1335</v>
      </c>
      <c r="X344" s="108" t="s">
        <v>1336</v>
      </c>
    </row>
    <row r="345" spans="1:24" s="26" customFormat="1" hidden="1">
      <c r="A345" s="33"/>
      <c r="B345" s="108"/>
      <c r="C345" s="108"/>
      <c r="D345" s="31" t="str">
        <f>D344</f>
        <v>魅力惠</v>
      </c>
      <c r="E345" s="108"/>
      <c r="F345" s="111"/>
      <c r="G345" s="108"/>
      <c r="H345" s="108"/>
      <c r="I345" s="108"/>
      <c r="J345" s="108"/>
      <c r="K345" s="31" t="str">
        <f t="shared" ref="K345:K347" si="74">K344</f>
        <v>运营中</v>
      </c>
      <c r="L345" s="108"/>
      <c r="M345" s="108"/>
      <c r="N345" s="12">
        <v>1</v>
      </c>
      <c r="O345" s="36">
        <v>42193</v>
      </c>
      <c r="P345" s="17" t="s">
        <v>251</v>
      </c>
      <c r="Q345" s="17" t="s">
        <v>320</v>
      </c>
      <c r="R345" s="12" t="s">
        <v>240</v>
      </c>
      <c r="S345" s="108"/>
      <c r="T345" s="108"/>
      <c r="U345" s="111"/>
      <c r="V345" s="108"/>
      <c r="W345" s="108"/>
      <c r="X345" s="108"/>
    </row>
    <row r="346" spans="1:24" s="26" customFormat="1" hidden="1">
      <c r="A346" s="33"/>
      <c r="B346" s="108"/>
      <c r="C346" s="108"/>
      <c r="D346" s="31" t="str">
        <f>D345</f>
        <v>魅力惠</v>
      </c>
      <c r="E346" s="108"/>
      <c r="F346" s="111"/>
      <c r="G346" s="108"/>
      <c r="H346" s="108"/>
      <c r="I346" s="108"/>
      <c r="J346" s="108"/>
      <c r="K346" s="31" t="str">
        <f t="shared" si="74"/>
        <v>运营中</v>
      </c>
      <c r="L346" s="108"/>
      <c r="M346" s="108"/>
      <c r="N346" s="12">
        <v>1</v>
      </c>
      <c r="O346" s="36">
        <v>40969</v>
      </c>
      <c r="P346" s="17" t="s">
        <v>257</v>
      </c>
      <c r="Q346" s="17" t="s">
        <v>1337</v>
      </c>
      <c r="R346" s="12" t="s">
        <v>1338</v>
      </c>
      <c r="S346" s="108"/>
      <c r="T346" s="108"/>
      <c r="U346" s="111"/>
      <c r="V346" s="108"/>
      <c r="W346" s="108"/>
      <c r="X346" s="108"/>
    </row>
    <row r="347" spans="1:24" s="26" customFormat="1" hidden="1">
      <c r="A347" s="33"/>
      <c r="B347" s="108"/>
      <c r="C347" s="108"/>
      <c r="D347" s="31" t="str">
        <f>D346</f>
        <v>魅力惠</v>
      </c>
      <c r="E347" s="108"/>
      <c r="F347" s="111"/>
      <c r="G347" s="108"/>
      <c r="H347" s="108"/>
      <c r="I347" s="108"/>
      <c r="J347" s="108"/>
      <c r="K347" s="31" t="str">
        <f t="shared" si="74"/>
        <v>运营中</v>
      </c>
      <c r="L347" s="108"/>
      <c r="M347" s="108"/>
      <c r="N347" s="12">
        <v>1</v>
      </c>
      <c r="O347" s="36">
        <v>40544</v>
      </c>
      <c r="P347" s="17" t="s">
        <v>262</v>
      </c>
      <c r="Q347" s="12" t="s">
        <v>258</v>
      </c>
      <c r="R347" s="12" t="s">
        <v>1339</v>
      </c>
      <c r="S347" s="108"/>
      <c r="T347" s="108"/>
      <c r="U347" s="111"/>
      <c r="V347" s="108"/>
      <c r="W347" s="108"/>
      <c r="X347" s="108"/>
    </row>
    <row r="348" spans="1:24" s="26" customFormat="1" hidden="1">
      <c r="A348" s="33"/>
      <c r="B348" s="108"/>
      <c r="C348" s="108" t="s">
        <v>1340</v>
      </c>
      <c r="D348" s="31" t="s">
        <v>1341</v>
      </c>
      <c r="E348" s="107" t="s">
        <v>1341</v>
      </c>
      <c r="F348" s="110" t="s">
        <v>1342</v>
      </c>
      <c r="G348" s="107" t="s">
        <v>1343</v>
      </c>
      <c r="H348" s="108" t="s">
        <v>1344</v>
      </c>
      <c r="I348" s="108" t="s">
        <v>760</v>
      </c>
      <c r="J348" s="107" t="s">
        <v>406</v>
      </c>
      <c r="K348" s="35" t="s">
        <v>248</v>
      </c>
      <c r="L348" s="107" t="s">
        <v>386</v>
      </c>
      <c r="M348" s="107" t="s">
        <v>1140</v>
      </c>
      <c r="N348" s="12">
        <v>1</v>
      </c>
      <c r="O348" s="36">
        <v>41275</v>
      </c>
      <c r="P348" s="12" t="s">
        <v>471</v>
      </c>
      <c r="Q348" s="17" t="s">
        <v>1345</v>
      </c>
      <c r="R348" s="12" t="s">
        <v>240</v>
      </c>
      <c r="S348" s="108" t="s">
        <v>1346</v>
      </c>
      <c r="T348" s="108" t="s">
        <v>1347</v>
      </c>
      <c r="U348" s="110" t="s">
        <v>1348</v>
      </c>
      <c r="V348" s="107" t="s">
        <v>1349</v>
      </c>
      <c r="W348" s="108"/>
      <c r="X348" s="108" t="s">
        <v>1350</v>
      </c>
    </row>
    <row r="349" spans="1:24" s="26" customFormat="1" hidden="1">
      <c r="A349" s="33"/>
      <c r="B349" s="108"/>
      <c r="C349" s="108"/>
      <c r="D349" s="31" t="str">
        <f>D348</f>
        <v>虾米音乐</v>
      </c>
      <c r="E349" s="108"/>
      <c r="F349" s="111"/>
      <c r="G349" s="108"/>
      <c r="H349" s="108"/>
      <c r="I349" s="108"/>
      <c r="J349" s="108"/>
      <c r="K349" s="37" t="str">
        <f t="shared" ref="K349:K351" si="75">K348</f>
        <v>已关闭</v>
      </c>
      <c r="L349" s="108"/>
      <c r="M349" s="108"/>
      <c r="N349" s="12">
        <v>1</v>
      </c>
      <c r="O349" s="36">
        <v>40330</v>
      </c>
      <c r="P349" s="17" t="s">
        <v>565</v>
      </c>
      <c r="Q349" s="12" t="s">
        <v>327</v>
      </c>
      <c r="R349" s="12" t="s">
        <v>862</v>
      </c>
      <c r="S349" s="108"/>
      <c r="T349" s="108"/>
      <c r="U349" s="111"/>
      <c r="V349" s="108"/>
      <c r="W349" s="108"/>
      <c r="X349" s="108"/>
    </row>
    <row r="350" spans="1:24" s="26" customFormat="1" hidden="1">
      <c r="A350" s="33"/>
      <c r="B350" s="108"/>
      <c r="C350" s="108"/>
      <c r="D350" s="31" t="str">
        <f>D349</f>
        <v>虾米音乐</v>
      </c>
      <c r="E350" s="108"/>
      <c r="F350" s="111"/>
      <c r="G350" s="108"/>
      <c r="H350" s="108"/>
      <c r="I350" s="108"/>
      <c r="J350" s="108"/>
      <c r="K350" s="37" t="str">
        <f t="shared" si="75"/>
        <v>已关闭</v>
      </c>
      <c r="L350" s="108"/>
      <c r="M350" s="108"/>
      <c r="N350" s="12">
        <v>1</v>
      </c>
      <c r="O350" s="36">
        <v>40238</v>
      </c>
      <c r="P350" s="17" t="s">
        <v>257</v>
      </c>
      <c r="Q350" s="17" t="s">
        <v>527</v>
      </c>
      <c r="R350" s="12" t="s">
        <v>1351</v>
      </c>
      <c r="S350" s="108"/>
      <c r="T350" s="108"/>
      <c r="U350" s="111"/>
      <c r="V350" s="108"/>
      <c r="W350" s="108"/>
      <c r="X350" s="108"/>
    </row>
    <row r="351" spans="1:24" s="26" customFormat="1" hidden="1">
      <c r="A351" s="33"/>
      <c r="B351" s="108"/>
      <c r="C351" s="108"/>
      <c r="D351" s="31" t="str">
        <f>D350</f>
        <v>虾米音乐</v>
      </c>
      <c r="E351" s="108"/>
      <c r="F351" s="111"/>
      <c r="G351" s="108"/>
      <c r="H351" s="108"/>
      <c r="I351" s="108"/>
      <c r="J351" s="108"/>
      <c r="K351" s="37" t="str">
        <f t="shared" si="75"/>
        <v>已关闭</v>
      </c>
      <c r="L351" s="108"/>
      <c r="M351" s="108"/>
      <c r="N351" s="12">
        <v>1</v>
      </c>
      <c r="O351" s="36">
        <v>39600</v>
      </c>
      <c r="P351" s="17" t="s">
        <v>262</v>
      </c>
      <c r="Q351" s="12" t="s">
        <v>252</v>
      </c>
      <c r="R351" s="12" t="s">
        <v>1351</v>
      </c>
      <c r="S351" s="108"/>
      <c r="T351" s="108"/>
      <c r="U351" s="111"/>
      <c r="V351" s="108"/>
      <c r="W351" s="108"/>
      <c r="X351" s="108"/>
    </row>
    <row r="352" spans="1:24" s="26" customFormat="1" hidden="1">
      <c r="A352" s="33"/>
      <c r="B352" s="108"/>
      <c r="C352" s="108" t="s">
        <v>1352</v>
      </c>
      <c r="D352" s="31" t="s">
        <v>1353</v>
      </c>
      <c r="E352" s="107" t="s">
        <v>1353</v>
      </c>
      <c r="F352" s="110" t="s">
        <v>1354</v>
      </c>
      <c r="G352" s="107" t="s">
        <v>1355</v>
      </c>
      <c r="H352" s="108"/>
      <c r="I352" s="108" t="s">
        <v>1356</v>
      </c>
      <c r="J352" s="107" t="s">
        <v>385</v>
      </c>
      <c r="K352" s="31" t="s">
        <v>272</v>
      </c>
      <c r="L352" s="107" t="s">
        <v>249</v>
      </c>
      <c r="M352" s="107" t="s">
        <v>1357</v>
      </c>
      <c r="N352" s="12">
        <v>1</v>
      </c>
      <c r="O352" s="36">
        <v>44362</v>
      </c>
      <c r="P352" s="12" t="s">
        <v>471</v>
      </c>
      <c r="Q352" s="17" t="s">
        <v>1358</v>
      </c>
      <c r="R352" s="12" t="s">
        <v>1359</v>
      </c>
      <c r="S352" s="108" t="s">
        <v>1360</v>
      </c>
      <c r="T352" s="108" t="s">
        <v>1361</v>
      </c>
      <c r="U352" s="110" t="s">
        <v>1362</v>
      </c>
      <c r="V352" s="107" t="s">
        <v>1363</v>
      </c>
      <c r="W352" s="108" t="s">
        <v>1364</v>
      </c>
      <c r="X352" s="108" t="s">
        <v>1365</v>
      </c>
    </row>
    <row r="353" spans="1:24" s="26" customFormat="1" hidden="1">
      <c r="A353" s="33"/>
      <c r="B353" s="108"/>
      <c r="C353" s="108"/>
      <c r="D353" s="31" t="str">
        <f t="shared" ref="D353:D358" si="76">D352</f>
        <v>众信旅游</v>
      </c>
      <c r="E353" s="108"/>
      <c r="F353" s="111"/>
      <c r="G353" s="108"/>
      <c r="H353" s="108"/>
      <c r="I353" s="108"/>
      <c r="J353" s="108"/>
      <c r="K353" s="31" t="str">
        <f t="shared" ref="K353:K358" si="77">K352</f>
        <v>运营中</v>
      </c>
      <c r="L353" s="108"/>
      <c r="M353" s="108"/>
      <c r="N353" s="12">
        <v>1</v>
      </c>
      <c r="O353" s="36">
        <v>44104</v>
      </c>
      <c r="P353" s="17" t="s">
        <v>687</v>
      </c>
      <c r="Q353" s="17" t="s">
        <v>1366</v>
      </c>
      <c r="R353" s="12" t="s">
        <v>240</v>
      </c>
      <c r="S353" s="108"/>
      <c r="T353" s="108"/>
      <c r="U353" s="111"/>
      <c r="V353" s="108"/>
      <c r="W353" s="108"/>
      <c r="X353" s="108"/>
    </row>
    <row r="354" spans="1:24" s="26" customFormat="1" hidden="1">
      <c r="A354" s="33"/>
      <c r="B354" s="108"/>
      <c r="C354" s="108"/>
      <c r="D354" s="31" t="str">
        <f t="shared" si="76"/>
        <v>众信旅游</v>
      </c>
      <c r="E354" s="108"/>
      <c r="F354" s="111"/>
      <c r="G354" s="108"/>
      <c r="H354" s="108"/>
      <c r="I354" s="108"/>
      <c r="J354" s="108"/>
      <c r="K354" s="31" t="str">
        <f t="shared" si="77"/>
        <v>运营中</v>
      </c>
      <c r="L354" s="108"/>
      <c r="M354" s="108"/>
      <c r="N354" s="12">
        <v>1</v>
      </c>
      <c r="O354" s="36">
        <v>43480</v>
      </c>
      <c r="P354" s="17" t="s">
        <v>687</v>
      </c>
      <c r="Q354" s="17" t="s">
        <v>1367</v>
      </c>
      <c r="R354" s="17" t="s">
        <v>253</v>
      </c>
      <c r="S354" s="108"/>
      <c r="T354" s="108"/>
      <c r="U354" s="111"/>
      <c r="V354" s="108"/>
      <c r="W354" s="108"/>
      <c r="X354" s="108"/>
    </row>
    <row r="355" spans="1:24" s="26" customFormat="1" hidden="1">
      <c r="A355" s="33"/>
      <c r="B355" s="108"/>
      <c r="C355" s="108"/>
      <c r="D355" s="31" t="str">
        <f t="shared" si="76"/>
        <v>众信旅游</v>
      </c>
      <c r="E355" s="108"/>
      <c r="F355" s="111"/>
      <c r="G355" s="108"/>
      <c r="H355" s="108"/>
      <c r="I355" s="108"/>
      <c r="J355" s="108"/>
      <c r="K355" s="31" t="str">
        <f t="shared" si="77"/>
        <v>运营中</v>
      </c>
      <c r="L355" s="108"/>
      <c r="M355" s="108"/>
      <c r="N355" s="12">
        <v>1</v>
      </c>
      <c r="O355" s="36">
        <v>42278</v>
      </c>
      <c r="P355" s="17" t="s">
        <v>687</v>
      </c>
      <c r="Q355" s="12" t="s">
        <v>341</v>
      </c>
      <c r="R355" s="12" t="s">
        <v>1368</v>
      </c>
      <c r="S355" s="108"/>
      <c r="T355" s="108"/>
      <c r="U355" s="111"/>
      <c r="V355" s="108"/>
      <c r="W355" s="108"/>
      <c r="X355" s="108"/>
    </row>
    <row r="356" spans="1:24" s="26" customFormat="1" hidden="1">
      <c r="A356" s="33"/>
      <c r="B356" s="108"/>
      <c r="C356" s="108"/>
      <c r="D356" s="31" t="str">
        <f t="shared" si="76"/>
        <v>众信旅游</v>
      </c>
      <c r="E356" s="108"/>
      <c r="F356" s="111"/>
      <c r="G356" s="108"/>
      <c r="H356" s="108"/>
      <c r="I356" s="108"/>
      <c r="J356" s="108"/>
      <c r="K356" s="31" t="str">
        <f t="shared" si="77"/>
        <v>运营中</v>
      </c>
      <c r="L356" s="108"/>
      <c r="M356" s="108"/>
      <c r="N356" s="12">
        <v>1</v>
      </c>
      <c r="O356" s="36">
        <v>41662</v>
      </c>
      <c r="P356" s="17" t="s">
        <v>283</v>
      </c>
      <c r="Q356" s="12" t="s">
        <v>409</v>
      </c>
      <c r="R356" s="17" t="s">
        <v>253</v>
      </c>
      <c r="S356" s="108"/>
      <c r="T356" s="108"/>
      <c r="U356" s="111"/>
      <c r="V356" s="108"/>
      <c r="W356" s="108"/>
      <c r="X356" s="108"/>
    </row>
    <row r="357" spans="1:24" s="26" customFormat="1" hidden="1">
      <c r="A357" s="33"/>
      <c r="B357" s="108"/>
      <c r="C357" s="108"/>
      <c r="D357" s="31" t="str">
        <f t="shared" si="76"/>
        <v>众信旅游</v>
      </c>
      <c r="E357" s="108"/>
      <c r="F357" s="111"/>
      <c r="G357" s="108"/>
      <c r="H357" s="108"/>
      <c r="I357" s="108"/>
      <c r="J357" s="108"/>
      <c r="K357" s="31" t="str">
        <f t="shared" si="77"/>
        <v>运营中</v>
      </c>
      <c r="L357" s="108"/>
      <c r="M357" s="108"/>
      <c r="N357" s="12">
        <v>1</v>
      </c>
      <c r="O357" s="36">
        <v>40452</v>
      </c>
      <c r="P357" s="17" t="s">
        <v>262</v>
      </c>
      <c r="Q357" s="12" t="s">
        <v>341</v>
      </c>
      <c r="R357" s="12" t="s">
        <v>1369</v>
      </c>
      <c r="S357" s="108"/>
      <c r="T357" s="108"/>
      <c r="U357" s="111"/>
      <c r="V357" s="108"/>
      <c r="W357" s="108"/>
      <c r="X357" s="108"/>
    </row>
    <row r="358" spans="1:24" s="26" customFormat="1" hidden="1">
      <c r="A358" s="33"/>
      <c r="B358" s="108"/>
      <c r="C358" s="108"/>
      <c r="D358" s="31" t="str">
        <f t="shared" si="76"/>
        <v>众信旅游</v>
      </c>
      <c r="E358" s="108"/>
      <c r="F358" s="111"/>
      <c r="G358" s="108"/>
      <c r="H358" s="108"/>
      <c r="I358" s="108"/>
      <c r="J358" s="108"/>
      <c r="K358" s="31" t="str">
        <f t="shared" si="77"/>
        <v>运营中</v>
      </c>
      <c r="L358" s="108"/>
      <c r="M358" s="108"/>
      <c r="N358" s="12">
        <v>1</v>
      </c>
      <c r="O358" s="36">
        <v>39532</v>
      </c>
      <c r="P358" s="12" t="s">
        <v>326</v>
      </c>
      <c r="Q358" s="17" t="s">
        <v>1370</v>
      </c>
      <c r="R358" s="12" t="s">
        <v>1371</v>
      </c>
      <c r="S358" s="108"/>
      <c r="T358" s="108"/>
      <c r="U358" s="111"/>
      <c r="V358" s="108"/>
      <c r="W358" s="108"/>
      <c r="X358" s="108"/>
    </row>
    <row r="359" spans="1:24" s="26" customFormat="1" hidden="1">
      <c r="A359" s="33"/>
      <c r="B359" s="108"/>
      <c r="C359" s="108" t="s">
        <v>1372</v>
      </c>
      <c r="D359" s="31" t="s">
        <v>1373</v>
      </c>
      <c r="E359" s="107" t="s">
        <v>1374</v>
      </c>
      <c r="F359" s="110" t="s">
        <v>1375</v>
      </c>
      <c r="G359" s="107" t="s">
        <v>1376</v>
      </c>
      <c r="H359" s="108" t="s">
        <v>1377</v>
      </c>
      <c r="I359" s="108" t="s">
        <v>1378</v>
      </c>
      <c r="J359" s="107" t="s">
        <v>547</v>
      </c>
      <c r="K359" s="31" t="s">
        <v>272</v>
      </c>
      <c r="L359" s="107" t="s">
        <v>350</v>
      </c>
      <c r="M359" s="107" t="s">
        <v>1379</v>
      </c>
      <c r="N359" s="12"/>
      <c r="O359" s="36">
        <v>42074</v>
      </c>
      <c r="P359" s="12" t="s">
        <v>285</v>
      </c>
      <c r="Q359" s="17" t="s">
        <v>1380</v>
      </c>
      <c r="R359" s="12" t="s">
        <v>1381</v>
      </c>
      <c r="S359" s="108" t="s">
        <v>1382</v>
      </c>
      <c r="T359" s="108" t="s">
        <v>1383</v>
      </c>
      <c r="U359" s="110" t="s">
        <v>1384</v>
      </c>
      <c r="V359" s="107" t="s">
        <v>1385</v>
      </c>
      <c r="W359" s="108"/>
      <c r="X359" s="108"/>
    </row>
    <row r="360" spans="1:24" s="26" customFormat="1" hidden="1">
      <c r="A360" s="33"/>
      <c r="B360" s="108"/>
      <c r="C360" s="108"/>
      <c r="D360" s="31" t="str">
        <f>D359</f>
        <v>茵曼INMAN</v>
      </c>
      <c r="E360" s="108"/>
      <c r="F360" s="111"/>
      <c r="G360" s="108"/>
      <c r="H360" s="108"/>
      <c r="I360" s="108"/>
      <c r="J360" s="108"/>
      <c r="K360" s="31" t="str">
        <f>K359</f>
        <v>运营中</v>
      </c>
      <c r="L360" s="108"/>
      <c r="M360" s="108"/>
      <c r="N360" s="17"/>
      <c r="O360" s="36">
        <v>41671</v>
      </c>
      <c r="P360" s="17" t="s">
        <v>262</v>
      </c>
      <c r="Q360" s="12" t="s">
        <v>258</v>
      </c>
      <c r="R360" s="17" t="s">
        <v>1386</v>
      </c>
      <c r="S360" s="108"/>
      <c r="T360" s="108"/>
      <c r="U360" s="111"/>
      <c r="V360" s="108"/>
      <c r="W360" s="108"/>
      <c r="X360" s="108"/>
    </row>
    <row r="361" spans="1:24" s="26" customFormat="1" hidden="1">
      <c r="A361" s="33"/>
      <c r="B361" s="108"/>
      <c r="C361" s="108" t="s">
        <v>1387</v>
      </c>
      <c r="D361" s="31" t="s">
        <v>1388</v>
      </c>
      <c r="E361" s="107" t="s">
        <v>1388</v>
      </c>
      <c r="F361" s="110" t="s">
        <v>1389</v>
      </c>
      <c r="G361" s="107" t="s">
        <v>1390</v>
      </c>
      <c r="H361" s="108" t="s">
        <v>1391</v>
      </c>
      <c r="I361" s="108" t="s">
        <v>1392</v>
      </c>
      <c r="J361" s="107" t="s">
        <v>385</v>
      </c>
      <c r="K361" s="31" t="s">
        <v>272</v>
      </c>
      <c r="L361" s="107" t="s">
        <v>335</v>
      </c>
      <c r="M361" s="107" t="s">
        <v>1393</v>
      </c>
      <c r="N361" s="12">
        <v>1</v>
      </c>
      <c r="O361" s="36">
        <v>41743</v>
      </c>
      <c r="P361" s="12" t="s">
        <v>471</v>
      </c>
      <c r="Q361" s="17" t="s">
        <v>1394</v>
      </c>
      <c r="R361" s="12" t="s">
        <v>240</v>
      </c>
      <c r="S361" s="108" t="s">
        <v>1395</v>
      </c>
      <c r="T361" s="108" t="s">
        <v>1396</v>
      </c>
      <c r="U361" s="110" t="s">
        <v>1397</v>
      </c>
      <c r="V361" s="107" t="s">
        <v>1398</v>
      </c>
      <c r="W361" s="108"/>
      <c r="X361" s="108"/>
    </row>
    <row r="362" spans="1:24" s="26" customFormat="1" hidden="1">
      <c r="A362" s="33"/>
      <c r="B362" s="108"/>
      <c r="C362" s="108"/>
      <c r="D362" s="31" t="str">
        <f>D361</f>
        <v>高德地图</v>
      </c>
      <c r="E362" s="108"/>
      <c r="F362" s="111"/>
      <c r="G362" s="108"/>
      <c r="H362" s="108"/>
      <c r="I362" s="108"/>
      <c r="J362" s="108"/>
      <c r="K362" s="31" t="str">
        <f t="shared" ref="K362:K364" si="78">K361</f>
        <v>运营中</v>
      </c>
      <c r="L362" s="108"/>
      <c r="M362" s="108"/>
      <c r="N362" s="12">
        <v>1</v>
      </c>
      <c r="O362" s="36">
        <v>41395</v>
      </c>
      <c r="P362" s="17" t="s">
        <v>687</v>
      </c>
      <c r="Q362" s="17" t="s">
        <v>1399</v>
      </c>
      <c r="R362" s="12" t="s">
        <v>240</v>
      </c>
      <c r="S362" s="108"/>
      <c r="T362" s="108"/>
      <c r="U362" s="111"/>
      <c r="V362" s="108"/>
      <c r="W362" s="108"/>
      <c r="X362" s="108"/>
    </row>
    <row r="363" spans="1:24" s="26" customFormat="1" hidden="1">
      <c r="A363" s="33"/>
      <c r="B363" s="108"/>
      <c r="C363" s="108"/>
      <c r="D363" s="31" t="str">
        <f>D362</f>
        <v>高德地图</v>
      </c>
      <c r="E363" s="108"/>
      <c r="F363" s="111"/>
      <c r="G363" s="108"/>
      <c r="H363" s="108"/>
      <c r="I363" s="108"/>
      <c r="J363" s="108"/>
      <c r="K363" s="31" t="str">
        <f t="shared" si="78"/>
        <v>运营中</v>
      </c>
      <c r="L363" s="108"/>
      <c r="M363" s="108"/>
      <c r="N363" s="12">
        <v>1</v>
      </c>
      <c r="O363" s="36">
        <v>40360</v>
      </c>
      <c r="P363" s="17" t="s">
        <v>283</v>
      </c>
      <c r="Q363" s="12" t="s">
        <v>299</v>
      </c>
      <c r="R363" s="17" t="s">
        <v>253</v>
      </c>
      <c r="S363" s="108"/>
      <c r="T363" s="108"/>
      <c r="U363" s="111"/>
      <c r="V363" s="108"/>
      <c r="W363" s="108"/>
      <c r="X363" s="108"/>
    </row>
    <row r="364" spans="1:24" s="26" customFormat="1" hidden="1">
      <c r="A364" s="33"/>
      <c r="B364" s="108"/>
      <c r="C364" s="108"/>
      <c r="D364" s="31" t="str">
        <f>D363</f>
        <v>高德地图</v>
      </c>
      <c r="E364" s="108"/>
      <c r="F364" s="111"/>
      <c r="G364" s="108"/>
      <c r="H364" s="108"/>
      <c r="I364" s="108"/>
      <c r="J364" s="108"/>
      <c r="K364" s="31" t="str">
        <f t="shared" si="78"/>
        <v>运营中</v>
      </c>
      <c r="L364" s="108"/>
      <c r="M364" s="108"/>
      <c r="N364" s="12">
        <v>1</v>
      </c>
      <c r="O364" s="36">
        <v>38991</v>
      </c>
      <c r="P364" s="17" t="s">
        <v>262</v>
      </c>
      <c r="Q364" s="17" t="s">
        <v>676</v>
      </c>
      <c r="R364" s="12" t="s">
        <v>1400</v>
      </c>
      <c r="S364" s="108"/>
      <c r="T364" s="108"/>
      <c r="U364" s="111"/>
      <c r="V364" s="108"/>
      <c r="W364" s="108"/>
      <c r="X364" s="108"/>
    </row>
    <row r="365" spans="1:24" s="26" customFormat="1" hidden="1">
      <c r="A365" s="33"/>
      <c r="B365" s="108"/>
      <c r="C365" s="108" t="s">
        <v>1401</v>
      </c>
      <c r="D365" s="31" t="s">
        <v>1402</v>
      </c>
      <c r="E365" s="107" t="s">
        <v>1402</v>
      </c>
      <c r="F365" s="110" t="s">
        <v>1403</v>
      </c>
      <c r="G365" s="107" t="s">
        <v>1404</v>
      </c>
      <c r="H365" s="108" t="s">
        <v>1405</v>
      </c>
      <c r="I365" s="108" t="s">
        <v>1406</v>
      </c>
      <c r="J365" s="107" t="s">
        <v>1215</v>
      </c>
      <c r="K365" s="31" t="s">
        <v>272</v>
      </c>
      <c r="L365" s="107" t="s">
        <v>350</v>
      </c>
      <c r="M365" s="107" t="s">
        <v>1090</v>
      </c>
      <c r="N365" s="12">
        <v>1</v>
      </c>
      <c r="O365" s="36">
        <v>44103</v>
      </c>
      <c r="P365" s="17" t="s">
        <v>283</v>
      </c>
      <c r="Q365" s="17" t="s">
        <v>1407</v>
      </c>
      <c r="R365" s="17" t="s">
        <v>253</v>
      </c>
      <c r="S365" s="108" t="s">
        <v>1408</v>
      </c>
      <c r="T365" s="108" t="s">
        <v>1409</v>
      </c>
      <c r="U365" s="110" t="s">
        <v>1410</v>
      </c>
      <c r="V365" s="107" t="s">
        <v>1411</v>
      </c>
      <c r="W365" s="108" t="s">
        <v>1412</v>
      </c>
      <c r="X365" s="108" t="s">
        <v>1413</v>
      </c>
    </row>
    <row r="366" spans="1:24" s="26" customFormat="1" hidden="1">
      <c r="A366" s="33"/>
      <c r="B366" s="108"/>
      <c r="C366" s="108"/>
      <c r="D366" s="31" t="str">
        <f>D365</f>
        <v>宝尊电商</v>
      </c>
      <c r="E366" s="108"/>
      <c r="F366" s="111"/>
      <c r="G366" s="108"/>
      <c r="H366" s="108"/>
      <c r="I366" s="108"/>
      <c r="J366" s="108"/>
      <c r="K366" s="31" t="str">
        <f t="shared" ref="K366:K369" si="79">K365</f>
        <v>运营中</v>
      </c>
      <c r="L366" s="108"/>
      <c r="M366" s="108"/>
      <c r="N366" s="12">
        <v>1</v>
      </c>
      <c r="O366" s="36">
        <v>42145</v>
      </c>
      <c r="P366" s="17" t="s">
        <v>283</v>
      </c>
      <c r="Q366" s="12" t="s">
        <v>299</v>
      </c>
      <c r="R366" s="17" t="s">
        <v>253</v>
      </c>
      <c r="S366" s="108"/>
      <c r="T366" s="108"/>
      <c r="U366" s="111"/>
      <c r="V366" s="108"/>
      <c r="W366" s="108"/>
      <c r="X366" s="108"/>
    </row>
    <row r="367" spans="1:24" s="26" customFormat="1" hidden="1">
      <c r="A367" s="33"/>
      <c r="B367" s="108"/>
      <c r="C367" s="108"/>
      <c r="D367" s="31" t="str">
        <f>D366</f>
        <v>宝尊电商</v>
      </c>
      <c r="E367" s="108"/>
      <c r="F367" s="111"/>
      <c r="G367" s="108"/>
      <c r="H367" s="108"/>
      <c r="I367" s="108"/>
      <c r="J367" s="108"/>
      <c r="K367" s="31" t="str">
        <f t="shared" si="79"/>
        <v>运营中</v>
      </c>
      <c r="L367" s="108"/>
      <c r="M367" s="108"/>
      <c r="N367" s="12">
        <v>1</v>
      </c>
      <c r="O367" s="36">
        <v>41275</v>
      </c>
      <c r="P367" s="17" t="s">
        <v>251</v>
      </c>
      <c r="Q367" s="12" t="s">
        <v>258</v>
      </c>
      <c r="R367" s="12" t="s">
        <v>1414</v>
      </c>
      <c r="S367" s="108"/>
      <c r="T367" s="108"/>
      <c r="U367" s="111"/>
      <c r="V367" s="108"/>
      <c r="W367" s="108"/>
      <c r="X367" s="108"/>
    </row>
    <row r="368" spans="1:24" s="26" customFormat="1" hidden="1">
      <c r="A368" s="33"/>
      <c r="B368" s="108"/>
      <c r="C368" s="108"/>
      <c r="D368" s="31" t="str">
        <f>D367</f>
        <v>宝尊电商</v>
      </c>
      <c r="E368" s="108"/>
      <c r="F368" s="111"/>
      <c r="G368" s="108"/>
      <c r="H368" s="108"/>
      <c r="I368" s="108"/>
      <c r="J368" s="108"/>
      <c r="K368" s="31" t="str">
        <f t="shared" si="79"/>
        <v>运营中</v>
      </c>
      <c r="L368" s="108"/>
      <c r="M368" s="108"/>
      <c r="N368" s="12">
        <v>1</v>
      </c>
      <c r="O368" s="36">
        <v>40603</v>
      </c>
      <c r="P368" s="17" t="s">
        <v>257</v>
      </c>
      <c r="Q368" s="12" t="s">
        <v>258</v>
      </c>
      <c r="R368" s="12" t="s">
        <v>1415</v>
      </c>
      <c r="S368" s="108"/>
      <c r="T368" s="108"/>
      <c r="U368" s="111"/>
      <c r="V368" s="108"/>
      <c r="W368" s="108"/>
      <c r="X368" s="108"/>
    </row>
    <row r="369" spans="1:24" s="26" customFormat="1" hidden="1">
      <c r="A369" s="33"/>
      <c r="B369" s="108"/>
      <c r="C369" s="108"/>
      <c r="D369" s="31" t="str">
        <f>D368</f>
        <v>宝尊电商</v>
      </c>
      <c r="E369" s="108"/>
      <c r="F369" s="111"/>
      <c r="G369" s="108"/>
      <c r="H369" s="108"/>
      <c r="I369" s="108"/>
      <c r="J369" s="108"/>
      <c r="K369" s="31" t="str">
        <f t="shared" si="79"/>
        <v>运营中</v>
      </c>
      <c r="L369" s="108"/>
      <c r="M369" s="108"/>
      <c r="N369" s="12">
        <v>1</v>
      </c>
      <c r="O369" s="36">
        <v>40179</v>
      </c>
      <c r="P369" s="17" t="s">
        <v>262</v>
      </c>
      <c r="Q369" s="12" t="s">
        <v>261</v>
      </c>
      <c r="R369" s="12" t="s">
        <v>240</v>
      </c>
      <c r="S369" s="108"/>
      <c r="T369" s="108"/>
      <c r="U369" s="111"/>
      <c r="V369" s="108"/>
      <c r="W369" s="108"/>
      <c r="X369" s="108"/>
    </row>
    <row r="370" spans="1:24" s="26" customFormat="1" hidden="1">
      <c r="A370" s="33"/>
      <c r="B370" s="108"/>
      <c r="C370" s="108" t="s">
        <v>1416</v>
      </c>
      <c r="D370" s="31" t="s">
        <v>1417</v>
      </c>
      <c r="E370" s="107" t="s">
        <v>1418</v>
      </c>
      <c r="F370" s="110" t="s">
        <v>1419</v>
      </c>
      <c r="G370" s="107" t="s">
        <v>1420</v>
      </c>
      <c r="H370" s="108" t="s">
        <v>1421</v>
      </c>
      <c r="I370" s="108" t="s">
        <v>1422</v>
      </c>
      <c r="J370" s="107" t="s">
        <v>973</v>
      </c>
      <c r="K370" s="31" t="s">
        <v>272</v>
      </c>
      <c r="L370" s="107" t="s">
        <v>944</v>
      </c>
      <c r="M370" s="107" t="s">
        <v>1423</v>
      </c>
      <c r="N370" s="12"/>
      <c r="O370" s="36">
        <v>43053</v>
      </c>
      <c r="P370" s="12" t="s">
        <v>285</v>
      </c>
      <c r="Q370" s="12" t="s">
        <v>252</v>
      </c>
      <c r="R370" s="12" t="s">
        <v>1424</v>
      </c>
      <c r="S370" s="108" t="s">
        <v>1425</v>
      </c>
      <c r="T370" s="107" t="s">
        <v>255</v>
      </c>
      <c r="U370" s="110" t="s">
        <v>1426</v>
      </c>
      <c r="V370" s="107" t="s">
        <v>1427</v>
      </c>
      <c r="W370" s="108" t="s">
        <v>1428</v>
      </c>
      <c r="X370" s="108" t="s">
        <v>1429</v>
      </c>
    </row>
    <row r="371" spans="1:24" s="26" customFormat="1" hidden="1">
      <c r="A371" s="33"/>
      <c r="B371" s="108"/>
      <c r="C371" s="108"/>
      <c r="D371" s="31" t="str">
        <f>D370</f>
        <v>上海庆科MXCHIP</v>
      </c>
      <c r="E371" s="108"/>
      <c r="F371" s="111"/>
      <c r="G371" s="108"/>
      <c r="H371" s="108"/>
      <c r="I371" s="108"/>
      <c r="J371" s="108"/>
      <c r="K371" s="31" t="str">
        <f t="shared" ref="K371:K373" si="80">K370</f>
        <v>运营中</v>
      </c>
      <c r="L371" s="108"/>
      <c r="M371" s="108"/>
      <c r="N371" s="17"/>
      <c r="O371" s="36">
        <v>42254</v>
      </c>
      <c r="P371" s="17" t="s">
        <v>257</v>
      </c>
      <c r="Q371" s="12" t="s">
        <v>341</v>
      </c>
      <c r="R371" s="12" t="s">
        <v>1430</v>
      </c>
      <c r="S371" s="108"/>
      <c r="T371" s="108"/>
      <c r="U371" s="111"/>
      <c r="V371" s="108"/>
      <c r="W371" s="108"/>
      <c r="X371" s="108"/>
    </row>
    <row r="372" spans="1:24" s="26" customFormat="1" hidden="1">
      <c r="A372" s="33"/>
      <c r="B372" s="108"/>
      <c r="C372" s="108"/>
      <c r="D372" s="31" t="str">
        <f>D371</f>
        <v>上海庆科MXCHIP</v>
      </c>
      <c r="E372" s="108"/>
      <c r="F372" s="111"/>
      <c r="G372" s="108"/>
      <c r="H372" s="108"/>
      <c r="I372" s="108"/>
      <c r="J372" s="108"/>
      <c r="K372" s="31" t="str">
        <f t="shared" si="80"/>
        <v>运营中</v>
      </c>
      <c r="L372" s="108"/>
      <c r="M372" s="108"/>
      <c r="N372" s="17"/>
      <c r="O372" s="36">
        <v>41837</v>
      </c>
      <c r="P372" s="17" t="s">
        <v>262</v>
      </c>
      <c r="Q372" s="12" t="s">
        <v>341</v>
      </c>
      <c r="R372" s="12" t="s">
        <v>1431</v>
      </c>
      <c r="S372" s="108"/>
      <c r="T372" s="108"/>
      <c r="U372" s="111"/>
      <c r="V372" s="108"/>
      <c r="W372" s="108"/>
      <c r="X372" s="108"/>
    </row>
    <row r="373" spans="1:24" s="26" customFormat="1" hidden="1">
      <c r="A373" s="33"/>
      <c r="B373" s="108"/>
      <c r="C373" s="108"/>
      <c r="D373" s="31" t="str">
        <f>D372</f>
        <v>上海庆科MXCHIP</v>
      </c>
      <c r="E373" s="108"/>
      <c r="F373" s="111"/>
      <c r="G373" s="108"/>
      <c r="H373" s="108"/>
      <c r="I373" s="108"/>
      <c r="J373" s="108"/>
      <c r="K373" s="31" t="str">
        <f t="shared" si="80"/>
        <v>运营中</v>
      </c>
      <c r="L373" s="108"/>
      <c r="M373" s="108"/>
      <c r="N373" s="17"/>
      <c r="O373" s="36">
        <v>41623</v>
      </c>
      <c r="P373" s="12" t="s">
        <v>326</v>
      </c>
      <c r="Q373" s="12" t="s">
        <v>252</v>
      </c>
      <c r="R373" s="12" t="s">
        <v>1432</v>
      </c>
      <c r="S373" s="108"/>
      <c r="T373" s="108"/>
      <c r="U373" s="111"/>
      <c r="V373" s="108"/>
      <c r="W373" s="108"/>
      <c r="X373" s="108"/>
    </row>
    <row r="374" spans="1:24" s="26" customFormat="1" hidden="1">
      <c r="A374" s="33"/>
      <c r="B374" s="108"/>
      <c r="C374" s="17" t="s">
        <v>1433</v>
      </c>
      <c r="D374" s="38" t="s">
        <v>1434</v>
      </c>
      <c r="E374" s="12" t="s">
        <v>1434</v>
      </c>
      <c r="F374" s="32" t="s">
        <v>1435</v>
      </c>
      <c r="G374" s="12" t="s">
        <v>1436</v>
      </c>
      <c r="H374" s="17"/>
      <c r="I374" s="17" t="s">
        <v>1437</v>
      </c>
      <c r="J374" s="12" t="s">
        <v>406</v>
      </c>
      <c r="K374" s="12" t="s">
        <v>248</v>
      </c>
      <c r="L374" s="12" t="s">
        <v>350</v>
      </c>
      <c r="M374" s="12" t="s">
        <v>1090</v>
      </c>
      <c r="N374" s="12"/>
      <c r="O374" s="36">
        <v>40579</v>
      </c>
      <c r="P374" s="17" t="s">
        <v>262</v>
      </c>
      <c r="Q374" s="17" t="s">
        <v>360</v>
      </c>
      <c r="R374" s="12" t="s">
        <v>240</v>
      </c>
      <c r="S374" s="17" t="s">
        <v>1438</v>
      </c>
      <c r="T374" s="17" t="s">
        <v>749</v>
      </c>
      <c r="U374" s="32" t="s">
        <v>1439</v>
      </c>
      <c r="V374" s="12" t="s">
        <v>1440</v>
      </c>
      <c r="W374" s="17"/>
      <c r="X374" s="17"/>
    </row>
    <row r="375" spans="1:24" s="26" customFormat="1" hidden="1">
      <c r="A375" s="33"/>
      <c r="B375" s="108"/>
      <c r="C375" s="108" t="s">
        <v>1441</v>
      </c>
      <c r="D375" s="31" t="s">
        <v>1442</v>
      </c>
      <c r="E375" s="107" t="s">
        <v>1442</v>
      </c>
      <c r="F375" s="110" t="s">
        <v>1443</v>
      </c>
      <c r="G375" s="107" t="s">
        <v>1444</v>
      </c>
      <c r="H375" s="108" t="s">
        <v>1445</v>
      </c>
      <c r="I375" s="108" t="s">
        <v>1446</v>
      </c>
      <c r="J375" s="107" t="s">
        <v>385</v>
      </c>
      <c r="K375" s="31" t="s">
        <v>272</v>
      </c>
      <c r="L375" s="107" t="s">
        <v>1101</v>
      </c>
      <c r="M375" s="107" t="s">
        <v>1447</v>
      </c>
      <c r="N375" s="12">
        <v>1</v>
      </c>
      <c r="O375" s="36">
        <v>43535</v>
      </c>
      <c r="P375" s="12" t="s">
        <v>471</v>
      </c>
      <c r="Q375" s="12" t="s">
        <v>252</v>
      </c>
      <c r="R375" s="12" t="s">
        <v>1448</v>
      </c>
      <c r="S375" s="108" t="s">
        <v>1449</v>
      </c>
      <c r="T375" s="107" t="s">
        <v>255</v>
      </c>
      <c r="U375" s="110" t="s">
        <v>1450</v>
      </c>
      <c r="V375" s="108"/>
      <c r="W375" s="108" t="s">
        <v>1451</v>
      </c>
      <c r="X375" s="108"/>
    </row>
    <row r="376" spans="1:24" s="26" customFormat="1" hidden="1">
      <c r="A376" s="33"/>
      <c r="B376" s="108"/>
      <c r="C376" s="108"/>
      <c r="D376" s="31" t="str">
        <f t="shared" ref="D376:D382" si="81">D375</f>
        <v>爱康国宾</v>
      </c>
      <c r="E376" s="108"/>
      <c r="F376" s="111"/>
      <c r="G376" s="108"/>
      <c r="H376" s="108"/>
      <c r="I376" s="108"/>
      <c r="J376" s="108"/>
      <c r="K376" s="31" t="str">
        <f t="shared" ref="K376:K382" si="82">K375</f>
        <v>运营中</v>
      </c>
      <c r="L376" s="108"/>
      <c r="M376" s="108"/>
      <c r="N376" s="12">
        <v>1</v>
      </c>
      <c r="O376" s="36">
        <v>43484</v>
      </c>
      <c r="P376" s="12" t="s">
        <v>275</v>
      </c>
      <c r="Q376" s="17" t="s">
        <v>1024</v>
      </c>
      <c r="R376" s="12" t="s">
        <v>1452</v>
      </c>
      <c r="S376" s="108"/>
      <c r="T376" s="108"/>
      <c r="U376" s="111"/>
      <c r="V376" s="108"/>
      <c r="W376" s="108"/>
      <c r="X376" s="108"/>
    </row>
    <row r="377" spans="1:24" s="26" customFormat="1" hidden="1">
      <c r="A377" s="33"/>
      <c r="B377" s="108"/>
      <c r="C377" s="108"/>
      <c r="D377" s="31" t="str">
        <f t="shared" si="81"/>
        <v>爱康国宾</v>
      </c>
      <c r="E377" s="108"/>
      <c r="F377" s="111"/>
      <c r="G377" s="108"/>
      <c r="H377" s="108"/>
      <c r="I377" s="108"/>
      <c r="J377" s="108"/>
      <c r="K377" s="31" t="str">
        <f t="shared" si="82"/>
        <v>运营中</v>
      </c>
      <c r="L377" s="108"/>
      <c r="M377" s="108"/>
      <c r="N377" s="12">
        <v>1</v>
      </c>
      <c r="O377" s="36">
        <v>41738</v>
      </c>
      <c r="P377" s="17" t="s">
        <v>283</v>
      </c>
      <c r="Q377" s="12" t="s">
        <v>299</v>
      </c>
      <c r="R377" s="17" t="s">
        <v>253</v>
      </c>
      <c r="S377" s="108"/>
      <c r="T377" s="108"/>
      <c r="U377" s="111"/>
      <c r="V377" s="108"/>
      <c r="W377" s="108"/>
      <c r="X377" s="108"/>
    </row>
    <row r="378" spans="1:24" s="26" customFormat="1" hidden="1">
      <c r="A378" s="33"/>
      <c r="B378" s="108"/>
      <c r="C378" s="108"/>
      <c r="D378" s="31" t="str">
        <f t="shared" si="81"/>
        <v>爱康国宾</v>
      </c>
      <c r="E378" s="108"/>
      <c r="F378" s="111"/>
      <c r="G378" s="108"/>
      <c r="H378" s="108"/>
      <c r="I378" s="108"/>
      <c r="J378" s="108"/>
      <c r="K378" s="31" t="str">
        <f t="shared" si="82"/>
        <v>运营中</v>
      </c>
      <c r="L378" s="108"/>
      <c r="M378" s="108"/>
      <c r="N378" s="12">
        <v>1</v>
      </c>
      <c r="O378" s="36">
        <v>41699</v>
      </c>
      <c r="P378" s="17" t="s">
        <v>303</v>
      </c>
      <c r="Q378" s="17" t="s">
        <v>676</v>
      </c>
      <c r="R378" s="12" t="s">
        <v>1453</v>
      </c>
      <c r="S378" s="108"/>
      <c r="T378" s="108"/>
      <c r="U378" s="111"/>
      <c r="V378" s="108"/>
      <c r="W378" s="108"/>
      <c r="X378" s="108"/>
    </row>
    <row r="379" spans="1:24" s="26" customFormat="1" hidden="1">
      <c r="A379" s="33"/>
      <c r="B379" s="108"/>
      <c r="C379" s="108"/>
      <c r="D379" s="31" t="str">
        <f t="shared" si="81"/>
        <v>爱康国宾</v>
      </c>
      <c r="E379" s="108"/>
      <c r="F379" s="111"/>
      <c r="G379" s="108"/>
      <c r="H379" s="108"/>
      <c r="I379" s="108"/>
      <c r="J379" s="108"/>
      <c r="K379" s="31" t="str">
        <f t="shared" si="82"/>
        <v>运营中</v>
      </c>
      <c r="L379" s="108"/>
      <c r="M379" s="108"/>
      <c r="N379" s="12">
        <v>1</v>
      </c>
      <c r="O379" s="36">
        <v>41379</v>
      </c>
      <c r="P379" s="17" t="s">
        <v>317</v>
      </c>
      <c r="Q379" s="12" t="s">
        <v>276</v>
      </c>
      <c r="R379" s="12" t="s">
        <v>1454</v>
      </c>
      <c r="S379" s="108"/>
      <c r="T379" s="108"/>
      <c r="U379" s="111"/>
      <c r="V379" s="108"/>
      <c r="W379" s="108"/>
      <c r="X379" s="108"/>
    </row>
    <row r="380" spans="1:24" s="26" customFormat="1" hidden="1">
      <c r="A380" s="33"/>
      <c r="B380" s="108"/>
      <c r="C380" s="108"/>
      <c r="D380" s="31" t="str">
        <f t="shared" si="81"/>
        <v>爱康国宾</v>
      </c>
      <c r="E380" s="108"/>
      <c r="F380" s="111"/>
      <c r="G380" s="108"/>
      <c r="H380" s="108"/>
      <c r="I380" s="108"/>
      <c r="J380" s="108"/>
      <c r="K380" s="31" t="str">
        <f t="shared" si="82"/>
        <v>运营中</v>
      </c>
      <c r="L380" s="108"/>
      <c r="M380" s="108"/>
      <c r="N380" s="12">
        <v>1</v>
      </c>
      <c r="O380" s="36">
        <v>39429</v>
      </c>
      <c r="P380" s="17" t="s">
        <v>251</v>
      </c>
      <c r="Q380" s="12" t="s">
        <v>258</v>
      </c>
      <c r="R380" s="12" t="s">
        <v>1455</v>
      </c>
      <c r="S380" s="108"/>
      <c r="T380" s="108"/>
      <c r="U380" s="111"/>
      <c r="V380" s="108"/>
      <c r="W380" s="108"/>
      <c r="X380" s="108"/>
    </row>
    <row r="381" spans="1:24" s="26" customFormat="1" hidden="1">
      <c r="A381" s="33"/>
      <c r="B381" s="108"/>
      <c r="C381" s="108"/>
      <c r="D381" s="31" t="str">
        <f t="shared" si="81"/>
        <v>爱康国宾</v>
      </c>
      <c r="E381" s="108"/>
      <c r="F381" s="111"/>
      <c r="G381" s="108"/>
      <c r="H381" s="108"/>
      <c r="I381" s="108"/>
      <c r="J381" s="108"/>
      <c r="K381" s="31" t="str">
        <f t="shared" si="82"/>
        <v>运营中</v>
      </c>
      <c r="L381" s="108"/>
      <c r="M381" s="108"/>
      <c r="N381" s="12">
        <v>1</v>
      </c>
      <c r="O381" s="36">
        <v>38718</v>
      </c>
      <c r="P381" s="17" t="s">
        <v>257</v>
      </c>
      <c r="Q381" s="12" t="s">
        <v>261</v>
      </c>
      <c r="R381" s="12" t="s">
        <v>1456</v>
      </c>
      <c r="S381" s="108"/>
      <c r="T381" s="108"/>
      <c r="U381" s="111"/>
      <c r="V381" s="108"/>
      <c r="W381" s="108"/>
      <c r="X381" s="108"/>
    </row>
    <row r="382" spans="1:24" s="26" customFormat="1" hidden="1">
      <c r="A382" s="33"/>
      <c r="B382" s="108"/>
      <c r="C382" s="108"/>
      <c r="D382" s="31" t="str">
        <f t="shared" si="81"/>
        <v>爱康国宾</v>
      </c>
      <c r="E382" s="108"/>
      <c r="F382" s="111"/>
      <c r="G382" s="108"/>
      <c r="H382" s="108"/>
      <c r="I382" s="108"/>
      <c r="J382" s="108"/>
      <c r="K382" s="31" t="str">
        <f t="shared" si="82"/>
        <v>运营中</v>
      </c>
      <c r="L382" s="108"/>
      <c r="M382" s="108"/>
      <c r="N382" s="12">
        <v>1</v>
      </c>
      <c r="O382" s="36">
        <v>38353</v>
      </c>
      <c r="P382" s="17" t="s">
        <v>262</v>
      </c>
      <c r="Q382" s="12" t="s">
        <v>261</v>
      </c>
      <c r="R382" s="12" t="s">
        <v>1456</v>
      </c>
      <c r="S382" s="108"/>
      <c r="T382" s="108"/>
      <c r="U382" s="111"/>
      <c r="V382" s="108"/>
      <c r="W382" s="108"/>
      <c r="X382" s="108"/>
    </row>
    <row r="383" spans="1:24" s="26" customFormat="1" ht="72" hidden="1">
      <c r="A383" s="33"/>
      <c r="B383" s="108"/>
      <c r="C383" s="17" t="s">
        <v>1457</v>
      </c>
      <c r="D383" s="38" t="s">
        <v>1458</v>
      </c>
      <c r="E383" s="12" t="s">
        <v>1458</v>
      </c>
      <c r="F383" s="32" t="s">
        <v>1459</v>
      </c>
      <c r="G383" s="12" t="s">
        <v>1460</v>
      </c>
      <c r="H383" s="17" t="s">
        <v>1461</v>
      </c>
      <c r="I383" s="17" t="s">
        <v>1462</v>
      </c>
      <c r="J383" s="12" t="s">
        <v>406</v>
      </c>
      <c r="K383" s="38" t="s">
        <v>272</v>
      </c>
      <c r="L383" s="12" t="s">
        <v>350</v>
      </c>
      <c r="M383" s="12" t="s">
        <v>617</v>
      </c>
      <c r="N383" s="12"/>
      <c r="O383" s="36">
        <v>41906</v>
      </c>
      <c r="P383" s="17" t="s">
        <v>262</v>
      </c>
      <c r="Q383" s="12" t="s">
        <v>341</v>
      </c>
      <c r="R383" s="12" t="s">
        <v>1463</v>
      </c>
      <c r="S383" s="17" t="s">
        <v>931</v>
      </c>
      <c r="T383" s="17" t="s">
        <v>432</v>
      </c>
      <c r="U383" s="34"/>
      <c r="V383" s="12" t="s">
        <v>1464</v>
      </c>
      <c r="W383" s="17"/>
      <c r="X383" s="17" t="s">
        <v>1465</v>
      </c>
    </row>
    <row r="384" spans="1:24" s="26" customFormat="1" ht="36" hidden="1">
      <c r="A384" s="33"/>
      <c r="B384" s="108"/>
      <c r="C384" s="17" t="s">
        <v>1466</v>
      </c>
      <c r="D384" s="38" t="s">
        <v>1467</v>
      </c>
      <c r="E384" s="12" t="s">
        <v>1467</v>
      </c>
      <c r="F384" s="32" t="s">
        <v>1468</v>
      </c>
      <c r="G384" s="12" t="s">
        <v>1469</v>
      </c>
      <c r="H384" s="17" t="s">
        <v>1470</v>
      </c>
      <c r="I384" s="17" t="s">
        <v>1471</v>
      </c>
      <c r="J384" s="12" t="s">
        <v>1472</v>
      </c>
      <c r="K384" s="38" t="s">
        <v>272</v>
      </c>
      <c r="L384" s="12" t="s">
        <v>350</v>
      </c>
      <c r="M384" s="12" t="s">
        <v>1090</v>
      </c>
      <c r="N384" s="12"/>
      <c r="O384" s="36">
        <v>41023</v>
      </c>
      <c r="P384" s="17" t="s">
        <v>262</v>
      </c>
      <c r="Q384" s="12" t="s">
        <v>341</v>
      </c>
      <c r="R384" s="12" t="s">
        <v>240</v>
      </c>
      <c r="S384" s="17" t="s">
        <v>931</v>
      </c>
      <c r="T384" s="17" t="s">
        <v>432</v>
      </c>
      <c r="U384" s="32" t="s">
        <v>1473</v>
      </c>
      <c r="V384" s="12" t="s">
        <v>1474</v>
      </c>
      <c r="W384" s="17" t="s">
        <v>1475</v>
      </c>
      <c r="X384" s="17" t="s">
        <v>1476</v>
      </c>
    </row>
    <row r="385" spans="1:24" s="26" customFormat="1" ht="72" hidden="1">
      <c r="A385" s="33"/>
      <c r="B385" s="108"/>
      <c r="C385" s="17" t="s">
        <v>1477</v>
      </c>
      <c r="D385" s="38" t="s">
        <v>1478</v>
      </c>
      <c r="E385" s="12" t="s">
        <v>1478</v>
      </c>
      <c r="F385" s="32" t="s">
        <v>1479</v>
      </c>
      <c r="G385" s="12" t="s">
        <v>1480</v>
      </c>
      <c r="H385" s="17" t="s">
        <v>1481</v>
      </c>
      <c r="I385" s="17" t="s">
        <v>1482</v>
      </c>
      <c r="J385" s="12" t="s">
        <v>1126</v>
      </c>
      <c r="K385" s="38" t="s">
        <v>272</v>
      </c>
      <c r="L385" s="12" t="s">
        <v>512</v>
      </c>
      <c r="M385" s="12" t="s">
        <v>1483</v>
      </c>
      <c r="N385" s="12"/>
      <c r="O385" s="36">
        <v>41418</v>
      </c>
      <c r="P385" s="17" t="s">
        <v>262</v>
      </c>
      <c r="Q385" s="12" t="s">
        <v>409</v>
      </c>
      <c r="R385" s="12" t="s">
        <v>240</v>
      </c>
      <c r="S385" s="17" t="s">
        <v>1484</v>
      </c>
      <c r="T385" s="17" t="s">
        <v>412</v>
      </c>
      <c r="U385" s="34"/>
      <c r="V385" s="12" t="s">
        <v>1485</v>
      </c>
      <c r="W385" s="17" t="s">
        <v>1486</v>
      </c>
      <c r="X385" s="17" t="s">
        <v>1487</v>
      </c>
    </row>
    <row r="386" spans="1:24" s="26" customFormat="1" ht="36" hidden="1">
      <c r="A386" s="33"/>
      <c r="B386" s="108"/>
      <c r="C386" s="17" t="s">
        <v>1488</v>
      </c>
      <c r="D386" s="38" t="s">
        <v>1489</v>
      </c>
      <c r="E386" s="12" t="s">
        <v>1489</v>
      </c>
      <c r="F386" s="32" t="s">
        <v>1490</v>
      </c>
      <c r="G386" s="12" t="s">
        <v>1491</v>
      </c>
      <c r="H386" s="17" t="s">
        <v>1492</v>
      </c>
      <c r="I386" s="17" t="s">
        <v>1493</v>
      </c>
      <c r="J386" s="12" t="s">
        <v>497</v>
      </c>
      <c r="K386" s="38" t="s">
        <v>272</v>
      </c>
      <c r="L386" s="12" t="s">
        <v>386</v>
      </c>
      <c r="M386" s="12" t="s">
        <v>645</v>
      </c>
      <c r="N386" s="12"/>
      <c r="O386" s="36">
        <v>41754</v>
      </c>
      <c r="P386" s="17" t="s">
        <v>262</v>
      </c>
      <c r="Q386" s="17" t="s">
        <v>360</v>
      </c>
      <c r="R386" s="12" t="s">
        <v>240</v>
      </c>
      <c r="S386" s="17" t="s">
        <v>1438</v>
      </c>
      <c r="T386" s="17" t="s">
        <v>749</v>
      </c>
      <c r="U386" s="34"/>
      <c r="V386" s="12" t="s">
        <v>1494</v>
      </c>
      <c r="W386" s="17" t="s">
        <v>1495</v>
      </c>
      <c r="X386" s="17" t="s">
        <v>1496</v>
      </c>
    </row>
    <row r="387" spans="1:24" s="26" customFormat="1" hidden="1">
      <c r="A387" s="33"/>
      <c r="B387" s="108"/>
      <c r="C387" s="108" t="s">
        <v>1497</v>
      </c>
      <c r="D387" s="31" t="s">
        <v>1498</v>
      </c>
      <c r="E387" s="107" t="s">
        <v>1498</v>
      </c>
      <c r="F387" s="110" t="s">
        <v>1499</v>
      </c>
      <c r="G387" s="107" t="s">
        <v>1500</v>
      </c>
      <c r="H387" s="108" t="s">
        <v>1501</v>
      </c>
      <c r="I387" s="108" t="s">
        <v>1100</v>
      </c>
      <c r="J387" s="107" t="s">
        <v>1502</v>
      </c>
      <c r="K387" s="31" t="s">
        <v>272</v>
      </c>
      <c r="L387" s="107" t="s">
        <v>1101</v>
      </c>
      <c r="M387" s="107" t="s">
        <v>1503</v>
      </c>
      <c r="N387" s="12">
        <v>1</v>
      </c>
      <c r="O387" s="36">
        <v>43608</v>
      </c>
      <c r="P387" s="17" t="s">
        <v>687</v>
      </c>
      <c r="Q387" s="17" t="s">
        <v>1504</v>
      </c>
      <c r="R387" s="12" t="s">
        <v>586</v>
      </c>
      <c r="S387" s="108" t="s">
        <v>1505</v>
      </c>
      <c r="T387" s="108" t="s">
        <v>1506</v>
      </c>
      <c r="U387" s="110" t="s">
        <v>1507</v>
      </c>
      <c r="V387" s="108"/>
      <c r="W387" s="108"/>
      <c r="X387" s="108"/>
    </row>
    <row r="388" spans="1:24" s="26" customFormat="1" hidden="1">
      <c r="A388" s="33"/>
      <c r="B388" s="108"/>
      <c r="C388" s="108"/>
      <c r="D388" s="31" t="str">
        <f>D387</f>
        <v>阿里健康</v>
      </c>
      <c r="E388" s="108"/>
      <c r="F388" s="111"/>
      <c r="G388" s="108"/>
      <c r="H388" s="108"/>
      <c r="I388" s="108"/>
      <c r="J388" s="108"/>
      <c r="K388" s="31" t="str">
        <f t="shared" ref="K388:K389" si="83">K387</f>
        <v>运营中</v>
      </c>
      <c r="L388" s="108"/>
      <c r="M388" s="108"/>
      <c r="N388" s="12">
        <v>1</v>
      </c>
      <c r="O388" s="36">
        <v>41933</v>
      </c>
      <c r="P388" s="17" t="s">
        <v>283</v>
      </c>
      <c r="Q388" s="12" t="s">
        <v>252</v>
      </c>
      <c r="R388" s="17" t="s">
        <v>253</v>
      </c>
      <c r="S388" s="108"/>
      <c r="T388" s="108"/>
      <c r="U388" s="111"/>
      <c r="V388" s="108"/>
      <c r="W388" s="108"/>
      <c r="X388" s="108"/>
    </row>
    <row r="389" spans="1:24" s="26" customFormat="1" hidden="1">
      <c r="A389" s="33"/>
      <c r="B389" s="108"/>
      <c r="C389" s="108"/>
      <c r="D389" s="31" t="str">
        <f>D388</f>
        <v>阿里健康</v>
      </c>
      <c r="E389" s="108"/>
      <c r="F389" s="111"/>
      <c r="G389" s="108"/>
      <c r="H389" s="108"/>
      <c r="I389" s="108"/>
      <c r="J389" s="108"/>
      <c r="K389" s="31" t="str">
        <f t="shared" si="83"/>
        <v>运营中</v>
      </c>
      <c r="L389" s="108"/>
      <c r="M389" s="108"/>
      <c r="N389" s="12">
        <v>1</v>
      </c>
      <c r="O389" s="36">
        <v>41640</v>
      </c>
      <c r="P389" s="12" t="s">
        <v>285</v>
      </c>
      <c r="Q389" s="17" t="s">
        <v>1508</v>
      </c>
      <c r="R389" s="12" t="s">
        <v>455</v>
      </c>
      <c r="S389" s="108"/>
      <c r="T389" s="108"/>
      <c r="U389" s="111"/>
      <c r="V389" s="108"/>
      <c r="W389" s="108"/>
      <c r="X389" s="108"/>
    </row>
    <row r="390" spans="1:24" s="26" customFormat="1" ht="36" hidden="1">
      <c r="A390" s="33"/>
      <c r="B390" s="108"/>
      <c r="C390" s="17" t="s">
        <v>1509</v>
      </c>
      <c r="D390" s="38" t="s">
        <v>1510</v>
      </c>
      <c r="E390" s="12" t="s">
        <v>1511</v>
      </c>
      <c r="F390" s="32" t="s">
        <v>1512</v>
      </c>
      <c r="G390" s="12" t="s">
        <v>1513</v>
      </c>
      <c r="H390" s="17" t="s">
        <v>1514</v>
      </c>
      <c r="I390" s="17" t="s">
        <v>727</v>
      </c>
      <c r="J390" s="12" t="s">
        <v>630</v>
      </c>
      <c r="K390" s="38" t="s">
        <v>272</v>
      </c>
      <c r="L390" s="12" t="s">
        <v>407</v>
      </c>
      <c r="M390" s="12" t="s">
        <v>408</v>
      </c>
      <c r="N390" s="12">
        <v>1</v>
      </c>
      <c r="O390" s="36">
        <v>42313</v>
      </c>
      <c r="P390" s="12" t="s">
        <v>471</v>
      </c>
      <c r="Q390" s="12" t="s">
        <v>252</v>
      </c>
      <c r="R390" s="12" t="s">
        <v>240</v>
      </c>
      <c r="S390" s="17" t="s">
        <v>253</v>
      </c>
      <c r="T390" s="12" t="s">
        <v>255</v>
      </c>
      <c r="U390" s="32" t="s">
        <v>1515</v>
      </c>
      <c r="V390" s="12" t="s">
        <v>1516</v>
      </c>
      <c r="W390" s="17" t="s">
        <v>1517</v>
      </c>
      <c r="X390" s="17" t="s">
        <v>1518</v>
      </c>
    </row>
    <row r="391" spans="1:24" s="26" customFormat="1" hidden="1">
      <c r="A391" s="33"/>
      <c r="B391" s="108"/>
      <c r="C391" s="108" t="s">
        <v>1519</v>
      </c>
      <c r="D391" s="31" t="s">
        <v>1520</v>
      </c>
      <c r="E391" s="108" t="s">
        <v>1521</v>
      </c>
      <c r="F391" s="111" t="s">
        <v>1522</v>
      </c>
      <c r="G391" s="107" t="s">
        <v>1523</v>
      </c>
      <c r="H391" s="108" t="s">
        <v>1524</v>
      </c>
      <c r="I391" s="108" t="s">
        <v>1493</v>
      </c>
      <c r="J391" s="107" t="s">
        <v>385</v>
      </c>
      <c r="K391" s="31" t="s">
        <v>272</v>
      </c>
      <c r="L391" s="107" t="s">
        <v>407</v>
      </c>
      <c r="M391" s="107" t="s">
        <v>408</v>
      </c>
      <c r="N391" s="12">
        <v>1</v>
      </c>
      <c r="O391" s="36">
        <v>40667</v>
      </c>
      <c r="P391" s="12" t="s">
        <v>471</v>
      </c>
      <c r="Q391" s="17" t="s">
        <v>322</v>
      </c>
      <c r="R391" s="12" t="s">
        <v>240</v>
      </c>
      <c r="S391" s="108" t="s">
        <v>1525</v>
      </c>
      <c r="T391" s="108" t="s">
        <v>1526</v>
      </c>
      <c r="U391" s="111"/>
      <c r="V391" s="107" t="s">
        <v>1527</v>
      </c>
      <c r="W391" s="108" t="s">
        <v>1528</v>
      </c>
      <c r="X391" s="108" t="s">
        <v>1529</v>
      </c>
    </row>
    <row r="392" spans="1:24" s="26" customFormat="1" hidden="1">
      <c r="A392" s="33"/>
      <c r="B392" s="108"/>
      <c r="C392" s="108"/>
      <c r="D392" s="31" t="str">
        <f>D391</f>
        <v>CNZZ数据</v>
      </c>
      <c r="E392" s="108"/>
      <c r="F392" s="111"/>
      <c r="G392" s="108"/>
      <c r="H392" s="108"/>
      <c r="I392" s="108"/>
      <c r="J392" s="108"/>
      <c r="K392" s="31" t="str">
        <f>K391</f>
        <v>运营中</v>
      </c>
      <c r="L392" s="108"/>
      <c r="M392" s="108"/>
      <c r="N392" s="12">
        <v>1</v>
      </c>
      <c r="O392" s="36">
        <v>37616</v>
      </c>
      <c r="P392" s="17" t="s">
        <v>262</v>
      </c>
      <c r="Q392" s="12" t="s">
        <v>261</v>
      </c>
      <c r="R392" s="17" t="s">
        <v>831</v>
      </c>
      <c r="S392" s="108"/>
      <c r="T392" s="108"/>
      <c r="U392" s="111"/>
      <c r="V392" s="108"/>
      <c r="W392" s="108"/>
      <c r="X392" s="108"/>
    </row>
    <row r="393" spans="1:24" s="26" customFormat="1" ht="36" hidden="1">
      <c r="A393" s="33"/>
      <c r="B393" s="108"/>
      <c r="C393" s="17" t="s">
        <v>1530</v>
      </c>
      <c r="D393" s="38" t="s">
        <v>1531</v>
      </c>
      <c r="E393" s="12" t="s">
        <v>1531</v>
      </c>
      <c r="F393" s="32" t="s">
        <v>1532</v>
      </c>
      <c r="G393" s="12" t="s">
        <v>1533</v>
      </c>
      <c r="H393" s="17" t="s">
        <v>1534</v>
      </c>
      <c r="I393" s="17" t="s">
        <v>972</v>
      </c>
      <c r="J393" s="12" t="s">
        <v>630</v>
      </c>
      <c r="K393" s="38" t="s">
        <v>272</v>
      </c>
      <c r="L393" s="12" t="s">
        <v>386</v>
      </c>
      <c r="M393" s="12" t="s">
        <v>1535</v>
      </c>
      <c r="N393" s="12"/>
      <c r="O393" s="36">
        <v>42178</v>
      </c>
      <c r="P393" s="17" t="s">
        <v>262</v>
      </c>
      <c r="Q393" s="12" t="s">
        <v>341</v>
      </c>
      <c r="R393" s="12" t="s">
        <v>240</v>
      </c>
      <c r="S393" s="17" t="s">
        <v>931</v>
      </c>
      <c r="T393" s="17" t="s">
        <v>432</v>
      </c>
      <c r="U393" s="32" t="s">
        <v>1536</v>
      </c>
      <c r="V393" s="17"/>
      <c r="W393" s="17"/>
      <c r="X393" s="17" t="s">
        <v>1537</v>
      </c>
    </row>
    <row r="394" spans="1:24" s="26" customFormat="1" hidden="1">
      <c r="A394" s="33"/>
      <c r="B394" s="108"/>
      <c r="C394" s="108" t="s">
        <v>1538</v>
      </c>
      <c r="D394" s="31" t="s">
        <v>1539</v>
      </c>
      <c r="E394" s="107" t="s">
        <v>1539</v>
      </c>
      <c r="F394" s="110" t="s">
        <v>1540</v>
      </c>
      <c r="G394" s="107" t="s">
        <v>1541</v>
      </c>
      <c r="H394" s="108" t="s">
        <v>1542</v>
      </c>
      <c r="I394" s="108" t="s">
        <v>1543</v>
      </c>
      <c r="J394" s="107" t="s">
        <v>406</v>
      </c>
      <c r="K394" s="31" t="s">
        <v>272</v>
      </c>
      <c r="L394" s="107" t="s">
        <v>407</v>
      </c>
      <c r="M394" s="107" t="s">
        <v>1170</v>
      </c>
      <c r="N394" s="12">
        <v>1</v>
      </c>
      <c r="O394" s="36">
        <v>44489</v>
      </c>
      <c r="P394" s="17" t="s">
        <v>687</v>
      </c>
      <c r="Q394" s="17" t="s">
        <v>1544</v>
      </c>
      <c r="R394" s="17" t="s">
        <v>1545</v>
      </c>
      <c r="S394" s="108" t="s">
        <v>1546</v>
      </c>
      <c r="T394" s="108" t="s">
        <v>1547</v>
      </c>
      <c r="U394" s="110" t="s">
        <v>1548</v>
      </c>
      <c r="V394" s="107" t="s">
        <v>1549</v>
      </c>
      <c r="W394" s="108" t="s">
        <v>1550</v>
      </c>
      <c r="X394" s="108" t="s">
        <v>1551</v>
      </c>
    </row>
    <row r="395" spans="1:24" s="26" customFormat="1" hidden="1">
      <c r="A395" s="33"/>
      <c r="B395" s="108"/>
      <c r="C395" s="108"/>
      <c r="D395" s="31" t="str">
        <f t="shared" ref="D395:D402" si="84">D394</f>
        <v>安恒信息</v>
      </c>
      <c r="E395" s="108"/>
      <c r="F395" s="111"/>
      <c r="G395" s="108"/>
      <c r="H395" s="108"/>
      <c r="I395" s="108"/>
      <c r="J395" s="108"/>
      <c r="K395" s="31" t="str">
        <f t="shared" ref="K395:K402" si="85">K394</f>
        <v>运营中</v>
      </c>
      <c r="L395" s="108"/>
      <c r="M395" s="108"/>
      <c r="N395" s="12">
        <v>1</v>
      </c>
      <c r="O395" s="36">
        <v>43774</v>
      </c>
      <c r="P395" s="17" t="s">
        <v>283</v>
      </c>
      <c r="Q395" s="17" t="s">
        <v>1552</v>
      </c>
      <c r="R395" s="17" t="s">
        <v>253</v>
      </c>
      <c r="S395" s="108"/>
      <c r="T395" s="108"/>
      <c r="U395" s="111"/>
      <c r="V395" s="108"/>
      <c r="W395" s="108"/>
      <c r="X395" s="108"/>
    </row>
    <row r="396" spans="1:24" s="26" customFormat="1" hidden="1">
      <c r="A396" s="33"/>
      <c r="B396" s="108"/>
      <c r="C396" s="108"/>
      <c r="D396" s="31" t="str">
        <f t="shared" si="84"/>
        <v>安恒信息</v>
      </c>
      <c r="E396" s="108"/>
      <c r="F396" s="111"/>
      <c r="G396" s="108"/>
      <c r="H396" s="108"/>
      <c r="I396" s="108"/>
      <c r="J396" s="108"/>
      <c r="K396" s="31" t="str">
        <f t="shared" si="85"/>
        <v>运营中</v>
      </c>
      <c r="L396" s="108"/>
      <c r="M396" s="108"/>
      <c r="N396" s="12">
        <v>1</v>
      </c>
      <c r="O396" s="36">
        <v>43271</v>
      </c>
      <c r="P396" s="12" t="s">
        <v>285</v>
      </c>
      <c r="Q396" s="12" t="s">
        <v>341</v>
      </c>
      <c r="R396" s="12" t="s">
        <v>1553</v>
      </c>
      <c r="S396" s="108"/>
      <c r="T396" s="108"/>
      <c r="U396" s="111"/>
      <c r="V396" s="108"/>
      <c r="W396" s="108"/>
      <c r="X396" s="108"/>
    </row>
    <row r="397" spans="1:24" s="26" customFormat="1" hidden="1">
      <c r="A397" s="33"/>
      <c r="B397" s="108"/>
      <c r="C397" s="108"/>
      <c r="D397" s="31" t="str">
        <f t="shared" si="84"/>
        <v>安恒信息</v>
      </c>
      <c r="E397" s="108"/>
      <c r="F397" s="111"/>
      <c r="G397" s="108"/>
      <c r="H397" s="108"/>
      <c r="I397" s="108"/>
      <c r="J397" s="108"/>
      <c r="K397" s="31" t="str">
        <f t="shared" si="85"/>
        <v>运营中</v>
      </c>
      <c r="L397" s="108"/>
      <c r="M397" s="108"/>
      <c r="N397" s="12">
        <v>1</v>
      </c>
      <c r="O397" s="36">
        <v>43007</v>
      </c>
      <c r="P397" s="12" t="s">
        <v>285</v>
      </c>
      <c r="Q397" s="12" t="s">
        <v>341</v>
      </c>
      <c r="R397" s="12" t="s">
        <v>1554</v>
      </c>
      <c r="S397" s="108"/>
      <c r="T397" s="108"/>
      <c r="U397" s="111"/>
      <c r="V397" s="108"/>
      <c r="W397" s="108"/>
      <c r="X397" s="108"/>
    </row>
    <row r="398" spans="1:24" s="26" customFormat="1" hidden="1">
      <c r="A398" s="33"/>
      <c r="B398" s="108"/>
      <c r="C398" s="108"/>
      <c r="D398" s="31" t="str">
        <f t="shared" si="84"/>
        <v>安恒信息</v>
      </c>
      <c r="E398" s="108"/>
      <c r="F398" s="111"/>
      <c r="G398" s="108"/>
      <c r="H398" s="108"/>
      <c r="I398" s="108"/>
      <c r="J398" s="108"/>
      <c r="K398" s="31" t="str">
        <f t="shared" si="85"/>
        <v>运营中</v>
      </c>
      <c r="L398" s="108"/>
      <c r="M398" s="108"/>
      <c r="N398" s="12">
        <v>1</v>
      </c>
      <c r="O398" s="36">
        <v>42328</v>
      </c>
      <c r="P398" s="17" t="s">
        <v>317</v>
      </c>
      <c r="Q398" s="12" t="s">
        <v>409</v>
      </c>
      <c r="R398" s="12" t="s">
        <v>240</v>
      </c>
      <c r="S398" s="108"/>
      <c r="T398" s="108"/>
      <c r="U398" s="111"/>
      <c r="V398" s="108"/>
      <c r="W398" s="108"/>
      <c r="X398" s="108"/>
    </row>
    <row r="399" spans="1:24" s="26" customFormat="1" hidden="1">
      <c r="A399" s="33"/>
      <c r="B399" s="108"/>
      <c r="C399" s="108"/>
      <c r="D399" s="31" t="str">
        <f t="shared" si="84"/>
        <v>安恒信息</v>
      </c>
      <c r="E399" s="108"/>
      <c r="F399" s="111"/>
      <c r="G399" s="108"/>
      <c r="H399" s="108"/>
      <c r="I399" s="108"/>
      <c r="J399" s="108"/>
      <c r="K399" s="31" t="str">
        <f t="shared" si="85"/>
        <v>运营中</v>
      </c>
      <c r="L399" s="108"/>
      <c r="M399" s="108"/>
      <c r="N399" s="12">
        <v>1</v>
      </c>
      <c r="O399" s="36">
        <v>41542</v>
      </c>
      <c r="P399" s="17" t="s">
        <v>251</v>
      </c>
      <c r="Q399" s="12" t="s">
        <v>341</v>
      </c>
      <c r="R399" s="17" t="s">
        <v>253</v>
      </c>
      <c r="S399" s="108"/>
      <c r="T399" s="108"/>
      <c r="U399" s="111"/>
      <c r="V399" s="108"/>
      <c r="W399" s="108"/>
      <c r="X399" s="108"/>
    </row>
    <row r="400" spans="1:24" s="26" customFormat="1" hidden="1">
      <c r="A400" s="33"/>
      <c r="B400" s="108"/>
      <c r="C400" s="108"/>
      <c r="D400" s="31" t="str">
        <f t="shared" si="84"/>
        <v>安恒信息</v>
      </c>
      <c r="E400" s="108"/>
      <c r="F400" s="111"/>
      <c r="G400" s="108"/>
      <c r="H400" s="108"/>
      <c r="I400" s="108"/>
      <c r="J400" s="108"/>
      <c r="K400" s="31" t="str">
        <f t="shared" si="85"/>
        <v>运营中</v>
      </c>
      <c r="L400" s="108"/>
      <c r="M400" s="108"/>
      <c r="N400" s="12">
        <v>1</v>
      </c>
      <c r="O400" s="36">
        <v>41009</v>
      </c>
      <c r="P400" s="17" t="s">
        <v>565</v>
      </c>
      <c r="Q400" s="17" t="s">
        <v>1555</v>
      </c>
      <c r="R400" s="12" t="s">
        <v>1556</v>
      </c>
      <c r="S400" s="108"/>
      <c r="T400" s="108"/>
      <c r="U400" s="111"/>
      <c r="V400" s="108"/>
      <c r="W400" s="108"/>
      <c r="X400" s="108"/>
    </row>
    <row r="401" spans="1:24" s="26" customFormat="1" hidden="1">
      <c r="A401" s="33"/>
      <c r="B401" s="108"/>
      <c r="C401" s="108"/>
      <c r="D401" s="31" t="str">
        <f t="shared" si="84"/>
        <v>安恒信息</v>
      </c>
      <c r="E401" s="108"/>
      <c r="F401" s="111"/>
      <c r="G401" s="108"/>
      <c r="H401" s="108"/>
      <c r="I401" s="108"/>
      <c r="J401" s="108"/>
      <c r="K401" s="31" t="str">
        <f t="shared" si="85"/>
        <v>运营中</v>
      </c>
      <c r="L401" s="108"/>
      <c r="M401" s="108"/>
      <c r="N401" s="12">
        <v>1</v>
      </c>
      <c r="O401" s="36">
        <v>40185</v>
      </c>
      <c r="P401" s="17" t="s">
        <v>257</v>
      </c>
      <c r="Q401" s="12" t="s">
        <v>341</v>
      </c>
      <c r="R401" s="12" t="s">
        <v>1557</v>
      </c>
      <c r="S401" s="108"/>
      <c r="T401" s="108"/>
      <c r="U401" s="111"/>
      <c r="V401" s="108"/>
      <c r="W401" s="108"/>
      <c r="X401" s="108"/>
    </row>
    <row r="402" spans="1:24" s="26" customFormat="1" hidden="1">
      <c r="A402" s="33"/>
      <c r="B402" s="108"/>
      <c r="C402" s="108"/>
      <c r="D402" s="31" t="str">
        <f t="shared" si="84"/>
        <v>安恒信息</v>
      </c>
      <c r="E402" s="108"/>
      <c r="F402" s="111"/>
      <c r="G402" s="108"/>
      <c r="H402" s="108"/>
      <c r="I402" s="108"/>
      <c r="J402" s="108"/>
      <c r="K402" s="31" t="str">
        <f t="shared" si="85"/>
        <v>运营中</v>
      </c>
      <c r="L402" s="108"/>
      <c r="M402" s="108"/>
      <c r="N402" s="12">
        <v>1</v>
      </c>
      <c r="O402" s="36">
        <v>39995</v>
      </c>
      <c r="P402" s="17" t="s">
        <v>262</v>
      </c>
      <c r="Q402" s="12" t="s">
        <v>341</v>
      </c>
      <c r="R402" s="12" t="s">
        <v>1558</v>
      </c>
      <c r="S402" s="108"/>
      <c r="T402" s="108"/>
      <c r="U402" s="111"/>
      <c r="V402" s="108"/>
      <c r="W402" s="108"/>
      <c r="X402" s="108"/>
    </row>
    <row r="403" spans="1:24" s="26" customFormat="1" hidden="1">
      <c r="A403" s="33"/>
      <c r="B403" s="108"/>
      <c r="C403" s="108" t="s">
        <v>1559</v>
      </c>
      <c r="D403" s="31" t="s">
        <v>1560</v>
      </c>
      <c r="E403" s="108" t="s">
        <v>1560</v>
      </c>
      <c r="F403" s="111" t="s">
        <v>1561</v>
      </c>
      <c r="G403" s="108"/>
      <c r="H403" s="108" t="s">
        <v>1562</v>
      </c>
      <c r="I403" s="108" t="s">
        <v>1563</v>
      </c>
      <c r="J403" s="107" t="s">
        <v>1564</v>
      </c>
      <c r="K403" s="31" t="s">
        <v>272</v>
      </c>
      <c r="L403" s="107" t="s">
        <v>273</v>
      </c>
      <c r="M403" s="107" t="s">
        <v>274</v>
      </c>
      <c r="N403" s="12">
        <v>1</v>
      </c>
      <c r="O403" s="36">
        <v>43554</v>
      </c>
      <c r="P403" s="17" t="s">
        <v>283</v>
      </c>
      <c r="Q403" s="17" t="s">
        <v>1565</v>
      </c>
      <c r="R403" s="17" t="s">
        <v>253</v>
      </c>
      <c r="S403" s="108" t="s">
        <v>1566</v>
      </c>
      <c r="T403" s="108" t="s">
        <v>1567</v>
      </c>
      <c r="U403" s="111" t="s">
        <v>1568</v>
      </c>
      <c r="V403" s="108"/>
      <c r="W403" s="108"/>
      <c r="X403" s="108"/>
    </row>
    <row r="404" spans="1:24" s="26" customFormat="1" hidden="1">
      <c r="A404" s="33"/>
      <c r="B404" s="108"/>
      <c r="C404" s="108"/>
      <c r="D404" s="31" t="str">
        <f t="shared" ref="D404:D417" si="86">D403</f>
        <v>Lyft</v>
      </c>
      <c r="E404" s="108"/>
      <c r="F404" s="111"/>
      <c r="G404" s="108"/>
      <c r="H404" s="108"/>
      <c r="I404" s="108"/>
      <c r="J404" s="108"/>
      <c r="K404" s="31" t="str">
        <f t="shared" ref="K404:K417" si="87">K403</f>
        <v>运营中</v>
      </c>
      <c r="L404" s="108"/>
      <c r="M404" s="108"/>
      <c r="N404" s="12">
        <v>1</v>
      </c>
      <c r="O404" s="36">
        <v>43279</v>
      </c>
      <c r="P404" s="12" t="s">
        <v>285</v>
      </c>
      <c r="Q404" s="17" t="s">
        <v>286</v>
      </c>
      <c r="R404" s="17" t="s">
        <v>1569</v>
      </c>
      <c r="S404" s="108"/>
      <c r="T404" s="108"/>
      <c r="U404" s="111"/>
      <c r="V404" s="108"/>
      <c r="W404" s="108"/>
      <c r="X404" s="108"/>
    </row>
    <row r="405" spans="1:24" s="26" customFormat="1" hidden="1">
      <c r="A405" s="33"/>
      <c r="B405" s="108"/>
      <c r="C405" s="108"/>
      <c r="D405" s="31" t="str">
        <f t="shared" si="86"/>
        <v>Lyft</v>
      </c>
      <c r="E405" s="108"/>
      <c r="F405" s="111"/>
      <c r="G405" s="108"/>
      <c r="H405" s="108"/>
      <c r="I405" s="108"/>
      <c r="J405" s="108"/>
      <c r="K405" s="31" t="str">
        <f t="shared" si="87"/>
        <v>运营中</v>
      </c>
      <c r="L405" s="108"/>
      <c r="M405" s="108"/>
      <c r="N405" s="12">
        <v>1</v>
      </c>
      <c r="O405" s="36">
        <v>43174</v>
      </c>
      <c r="P405" s="12" t="s">
        <v>285</v>
      </c>
      <c r="Q405" s="12" t="s">
        <v>276</v>
      </c>
      <c r="R405" s="17" t="s">
        <v>1570</v>
      </c>
      <c r="S405" s="108"/>
      <c r="T405" s="108"/>
      <c r="U405" s="111"/>
      <c r="V405" s="108"/>
      <c r="W405" s="108"/>
      <c r="X405" s="108"/>
    </row>
    <row r="406" spans="1:24" s="26" customFormat="1" hidden="1">
      <c r="A406" s="33"/>
      <c r="B406" s="108"/>
      <c r="C406" s="108"/>
      <c r="D406" s="31" t="str">
        <f t="shared" si="86"/>
        <v>Lyft</v>
      </c>
      <c r="E406" s="108"/>
      <c r="F406" s="111"/>
      <c r="G406" s="108"/>
      <c r="H406" s="108"/>
      <c r="I406" s="108"/>
      <c r="J406" s="108"/>
      <c r="K406" s="31" t="str">
        <f t="shared" si="87"/>
        <v>运营中</v>
      </c>
      <c r="L406" s="108"/>
      <c r="M406" s="108"/>
      <c r="N406" s="12">
        <v>1</v>
      </c>
      <c r="O406" s="36">
        <v>43074</v>
      </c>
      <c r="P406" s="12" t="s">
        <v>285</v>
      </c>
      <c r="Q406" s="17" t="s">
        <v>288</v>
      </c>
      <c r="R406" s="17" t="s">
        <v>1571</v>
      </c>
      <c r="S406" s="108"/>
      <c r="T406" s="108"/>
      <c r="U406" s="111"/>
      <c r="V406" s="108"/>
      <c r="W406" s="108"/>
      <c r="X406" s="108"/>
    </row>
    <row r="407" spans="1:24" s="26" customFormat="1" hidden="1">
      <c r="A407" s="33"/>
      <c r="B407" s="108"/>
      <c r="C407" s="108"/>
      <c r="D407" s="31" t="str">
        <f t="shared" si="86"/>
        <v>Lyft</v>
      </c>
      <c r="E407" s="108"/>
      <c r="F407" s="111"/>
      <c r="G407" s="108"/>
      <c r="H407" s="108"/>
      <c r="I407" s="108"/>
      <c r="J407" s="108"/>
      <c r="K407" s="31" t="str">
        <f t="shared" si="87"/>
        <v>运营中</v>
      </c>
      <c r="L407" s="108"/>
      <c r="M407" s="108"/>
      <c r="N407" s="12">
        <v>1</v>
      </c>
      <c r="O407" s="36">
        <v>43028</v>
      </c>
      <c r="P407" s="12" t="s">
        <v>285</v>
      </c>
      <c r="Q407" s="17" t="s">
        <v>306</v>
      </c>
      <c r="R407" s="17" t="s">
        <v>1571</v>
      </c>
      <c r="S407" s="108"/>
      <c r="T407" s="108"/>
      <c r="U407" s="111"/>
      <c r="V407" s="108"/>
      <c r="W407" s="108"/>
      <c r="X407" s="108"/>
    </row>
    <row r="408" spans="1:24" s="26" customFormat="1" hidden="1">
      <c r="A408" s="33"/>
      <c r="B408" s="108"/>
      <c r="C408" s="108"/>
      <c r="D408" s="31" t="str">
        <f t="shared" si="86"/>
        <v>Lyft</v>
      </c>
      <c r="E408" s="108"/>
      <c r="F408" s="111"/>
      <c r="G408" s="108"/>
      <c r="H408" s="108"/>
      <c r="I408" s="108"/>
      <c r="J408" s="108"/>
      <c r="K408" s="31" t="str">
        <f t="shared" si="87"/>
        <v>运营中</v>
      </c>
      <c r="L408" s="108"/>
      <c r="M408" s="108"/>
      <c r="N408" s="12">
        <v>1</v>
      </c>
      <c r="O408" s="36">
        <v>42899</v>
      </c>
      <c r="P408" s="12" t="s">
        <v>285</v>
      </c>
      <c r="Q408" s="17" t="s">
        <v>458</v>
      </c>
      <c r="R408" s="12" t="s">
        <v>1572</v>
      </c>
      <c r="S408" s="108"/>
      <c r="T408" s="108"/>
      <c r="U408" s="111"/>
      <c r="V408" s="108"/>
      <c r="W408" s="108"/>
      <c r="X408" s="108"/>
    </row>
    <row r="409" spans="1:24" s="26" customFormat="1" hidden="1">
      <c r="A409" s="33"/>
      <c r="B409" s="108"/>
      <c r="C409" s="108"/>
      <c r="D409" s="31" t="str">
        <f t="shared" si="86"/>
        <v>Lyft</v>
      </c>
      <c r="E409" s="108"/>
      <c r="F409" s="111"/>
      <c r="G409" s="108"/>
      <c r="H409" s="108"/>
      <c r="I409" s="108"/>
      <c r="J409" s="108"/>
      <c r="K409" s="31" t="str">
        <f t="shared" si="87"/>
        <v>运营中</v>
      </c>
      <c r="L409" s="108"/>
      <c r="M409" s="108"/>
      <c r="N409" s="12">
        <v>1</v>
      </c>
      <c r="O409" s="36">
        <v>42837</v>
      </c>
      <c r="P409" s="17" t="s">
        <v>303</v>
      </c>
      <c r="Q409" s="17" t="s">
        <v>286</v>
      </c>
      <c r="R409" s="17" t="s">
        <v>1573</v>
      </c>
      <c r="S409" s="108"/>
      <c r="T409" s="108"/>
      <c r="U409" s="111"/>
      <c r="V409" s="108"/>
      <c r="W409" s="108"/>
      <c r="X409" s="108"/>
    </row>
    <row r="410" spans="1:24" s="26" customFormat="1" hidden="1">
      <c r="A410" s="33"/>
      <c r="B410" s="108"/>
      <c r="C410" s="108"/>
      <c r="D410" s="31" t="str">
        <f t="shared" si="86"/>
        <v>Lyft</v>
      </c>
      <c r="E410" s="108"/>
      <c r="F410" s="111"/>
      <c r="G410" s="108"/>
      <c r="H410" s="108"/>
      <c r="I410" s="108"/>
      <c r="J410" s="108"/>
      <c r="K410" s="31" t="str">
        <f t="shared" si="87"/>
        <v>运营中</v>
      </c>
      <c r="L410" s="108"/>
      <c r="M410" s="108"/>
      <c r="N410" s="12">
        <v>1</v>
      </c>
      <c r="O410" s="36">
        <v>42377</v>
      </c>
      <c r="P410" s="17" t="s">
        <v>303</v>
      </c>
      <c r="Q410" s="17" t="s">
        <v>306</v>
      </c>
      <c r="R410" s="12" t="s">
        <v>1574</v>
      </c>
      <c r="S410" s="108"/>
      <c r="T410" s="108"/>
      <c r="U410" s="111"/>
      <c r="V410" s="108"/>
      <c r="W410" s="108"/>
      <c r="X410" s="108"/>
    </row>
    <row r="411" spans="1:24" s="26" customFormat="1" hidden="1">
      <c r="A411" s="33"/>
      <c r="B411" s="108"/>
      <c r="C411" s="108"/>
      <c r="D411" s="31" t="str">
        <f t="shared" si="86"/>
        <v>Lyft</v>
      </c>
      <c r="E411" s="108"/>
      <c r="F411" s="111"/>
      <c r="G411" s="108"/>
      <c r="H411" s="108"/>
      <c r="I411" s="108"/>
      <c r="J411" s="108"/>
      <c r="K411" s="31" t="str">
        <f t="shared" si="87"/>
        <v>运营中</v>
      </c>
      <c r="L411" s="108"/>
      <c r="M411" s="108"/>
      <c r="N411" s="12">
        <v>1</v>
      </c>
      <c r="O411" s="36">
        <v>42141</v>
      </c>
      <c r="P411" s="17" t="s">
        <v>310</v>
      </c>
      <c r="Q411" s="17" t="s">
        <v>522</v>
      </c>
      <c r="R411" s="12" t="s">
        <v>1575</v>
      </c>
      <c r="S411" s="108"/>
      <c r="T411" s="108"/>
      <c r="U411" s="111"/>
      <c r="V411" s="108"/>
      <c r="W411" s="108"/>
      <c r="X411" s="108"/>
    </row>
    <row r="412" spans="1:24" s="26" customFormat="1" hidden="1">
      <c r="A412" s="33"/>
      <c r="B412" s="108"/>
      <c r="C412" s="108"/>
      <c r="D412" s="31" t="str">
        <f t="shared" si="86"/>
        <v>Lyft</v>
      </c>
      <c r="E412" s="108"/>
      <c r="F412" s="111"/>
      <c r="G412" s="108"/>
      <c r="H412" s="108"/>
      <c r="I412" s="108"/>
      <c r="J412" s="108"/>
      <c r="K412" s="31" t="str">
        <f t="shared" si="87"/>
        <v>运营中</v>
      </c>
      <c r="L412" s="108"/>
      <c r="M412" s="108"/>
      <c r="N412" s="12">
        <v>1</v>
      </c>
      <c r="O412" s="36">
        <v>42075</v>
      </c>
      <c r="P412" s="17" t="s">
        <v>310</v>
      </c>
      <c r="Q412" s="17" t="s">
        <v>984</v>
      </c>
      <c r="R412" s="17" t="s">
        <v>1576</v>
      </c>
      <c r="S412" s="108"/>
      <c r="T412" s="108"/>
      <c r="U412" s="111"/>
      <c r="V412" s="108"/>
      <c r="W412" s="108"/>
      <c r="X412" s="108"/>
    </row>
    <row r="413" spans="1:24" s="26" customFormat="1" hidden="1">
      <c r="A413" s="33"/>
      <c r="B413" s="108"/>
      <c r="C413" s="108"/>
      <c r="D413" s="31" t="str">
        <f t="shared" si="86"/>
        <v>Lyft</v>
      </c>
      <c r="E413" s="108"/>
      <c r="F413" s="111"/>
      <c r="G413" s="108"/>
      <c r="H413" s="108"/>
      <c r="I413" s="108"/>
      <c r="J413" s="108"/>
      <c r="K413" s="31" t="str">
        <f t="shared" si="87"/>
        <v>运营中</v>
      </c>
      <c r="L413" s="108"/>
      <c r="M413" s="108"/>
      <c r="N413" s="12">
        <v>1</v>
      </c>
      <c r="O413" s="36">
        <v>41732</v>
      </c>
      <c r="P413" s="17" t="s">
        <v>317</v>
      </c>
      <c r="Q413" s="17" t="s">
        <v>655</v>
      </c>
      <c r="R413" s="12" t="s">
        <v>1577</v>
      </c>
      <c r="S413" s="108"/>
      <c r="T413" s="108"/>
      <c r="U413" s="111"/>
      <c r="V413" s="108"/>
      <c r="W413" s="108"/>
      <c r="X413" s="108"/>
    </row>
    <row r="414" spans="1:24" s="26" customFormat="1" hidden="1">
      <c r="A414" s="33"/>
      <c r="B414" s="108"/>
      <c r="C414" s="108"/>
      <c r="D414" s="31" t="str">
        <f t="shared" si="86"/>
        <v>Lyft</v>
      </c>
      <c r="E414" s="108"/>
      <c r="F414" s="111"/>
      <c r="G414" s="108"/>
      <c r="H414" s="108"/>
      <c r="I414" s="108"/>
      <c r="J414" s="108"/>
      <c r="K414" s="31" t="str">
        <f t="shared" si="87"/>
        <v>运营中</v>
      </c>
      <c r="L414" s="108"/>
      <c r="M414" s="108"/>
      <c r="N414" s="12">
        <v>1</v>
      </c>
      <c r="O414" s="36">
        <v>41402</v>
      </c>
      <c r="P414" s="17" t="s">
        <v>251</v>
      </c>
      <c r="Q414" s="17" t="s">
        <v>885</v>
      </c>
      <c r="R414" s="17" t="s">
        <v>1578</v>
      </c>
      <c r="S414" s="108"/>
      <c r="T414" s="108"/>
      <c r="U414" s="111"/>
      <c r="V414" s="108"/>
      <c r="W414" s="108"/>
      <c r="X414" s="108"/>
    </row>
    <row r="415" spans="1:24" s="26" customFormat="1" hidden="1">
      <c r="A415" s="33"/>
      <c r="B415" s="108"/>
      <c r="C415" s="108"/>
      <c r="D415" s="31" t="str">
        <f t="shared" si="86"/>
        <v>Lyft</v>
      </c>
      <c r="E415" s="108"/>
      <c r="F415" s="111"/>
      <c r="G415" s="108"/>
      <c r="H415" s="108"/>
      <c r="I415" s="108"/>
      <c r="J415" s="108"/>
      <c r="K415" s="31" t="str">
        <f t="shared" si="87"/>
        <v>运营中</v>
      </c>
      <c r="L415" s="108"/>
      <c r="M415" s="108"/>
      <c r="N415" s="12">
        <v>1</v>
      </c>
      <c r="O415" s="36">
        <v>41303</v>
      </c>
      <c r="P415" s="17" t="s">
        <v>257</v>
      </c>
      <c r="Q415" s="17" t="s">
        <v>322</v>
      </c>
      <c r="R415" s="17" t="s">
        <v>1579</v>
      </c>
      <c r="S415" s="108"/>
      <c r="T415" s="108"/>
      <c r="U415" s="111"/>
      <c r="V415" s="108"/>
      <c r="W415" s="108"/>
      <c r="X415" s="108"/>
    </row>
    <row r="416" spans="1:24" s="26" customFormat="1" hidden="1">
      <c r="A416" s="33"/>
      <c r="B416" s="108"/>
      <c r="C416" s="108"/>
      <c r="D416" s="31" t="str">
        <f t="shared" si="86"/>
        <v>Lyft</v>
      </c>
      <c r="E416" s="108"/>
      <c r="F416" s="111"/>
      <c r="G416" s="108"/>
      <c r="H416" s="108"/>
      <c r="I416" s="108"/>
      <c r="J416" s="108"/>
      <c r="K416" s="31" t="str">
        <f t="shared" si="87"/>
        <v>运营中</v>
      </c>
      <c r="L416" s="108"/>
      <c r="M416" s="108"/>
      <c r="N416" s="12">
        <v>1</v>
      </c>
      <c r="O416" s="36">
        <v>40816</v>
      </c>
      <c r="P416" s="17" t="s">
        <v>262</v>
      </c>
      <c r="Q416" s="17" t="s">
        <v>1580</v>
      </c>
      <c r="R416" s="17" t="s">
        <v>1581</v>
      </c>
      <c r="S416" s="108"/>
      <c r="T416" s="108"/>
      <c r="U416" s="111"/>
      <c r="V416" s="108"/>
      <c r="W416" s="108"/>
      <c r="X416" s="108"/>
    </row>
    <row r="417" spans="1:24" s="26" customFormat="1" hidden="1">
      <c r="A417" s="33"/>
      <c r="B417" s="108"/>
      <c r="C417" s="108"/>
      <c r="D417" s="31" t="str">
        <f t="shared" si="86"/>
        <v>Lyft</v>
      </c>
      <c r="E417" s="108"/>
      <c r="F417" s="111"/>
      <c r="G417" s="108"/>
      <c r="H417" s="108"/>
      <c r="I417" s="108"/>
      <c r="J417" s="108"/>
      <c r="K417" s="31" t="str">
        <f t="shared" si="87"/>
        <v>运营中</v>
      </c>
      <c r="L417" s="108"/>
      <c r="M417" s="108"/>
      <c r="N417" s="12">
        <v>1</v>
      </c>
      <c r="O417" s="36">
        <v>39630</v>
      </c>
      <c r="P417" s="12" t="s">
        <v>437</v>
      </c>
      <c r="Q417" s="17" t="s">
        <v>1582</v>
      </c>
      <c r="R417" s="17" t="s">
        <v>1583</v>
      </c>
      <c r="S417" s="108"/>
      <c r="T417" s="108"/>
      <c r="U417" s="111"/>
      <c r="V417" s="108"/>
      <c r="W417" s="108"/>
      <c r="X417" s="108"/>
    </row>
    <row r="418" spans="1:24" s="26" customFormat="1" hidden="1">
      <c r="A418" s="33"/>
      <c r="B418" s="108"/>
      <c r="C418" s="108" t="s">
        <v>1584</v>
      </c>
      <c r="D418" s="31" t="s">
        <v>1585</v>
      </c>
      <c r="E418" s="108" t="s">
        <v>1585</v>
      </c>
      <c r="F418" s="111" t="s">
        <v>1586</v>
      </c>
      <c r="G418" s="108"/>
      <c r="H418" s="108" t="s">
        <v>1587</v>
      </c>
      <c r="I418" s="108" t="s">
        <v>1588</v>
      </c>
      <c r="J418" s="107" t="s">
        <v>1564</v>
      </c>
      <c r="K418" s="31" t="s">
        <v>272</v>
      </c>
      <c r="L418" s="107" t="s">
        <v>713</v>
      </c>
      <c r="M418" s="107" t="s">
        <v>1589</v>
      </c>
      <c r="N418" s="12"/>
      <c r="O418" s="36">
        <v>41717</v>
      </c>
      <c r="P418" s="17" t="s">
        <v>317</v>
      </c>
      <c r="Q418" s="17" t="s">
        <v>1590</v>
      </c>
      <c r="R418" s="12" t="s">
        <v>1591</v>
      </c>
      <c r="S418" s="108" t="s">
        <v>1592</v>
      </c>
      <c r="T418" s="108" t="s">
        <v>1593</v>
      </c>
      <c r="U418" s="111" t="s">
        <v>1594</v>
      </c>
      <c r="V418" s="108"/>
      <c r="W418" s="108"/>
      <c r="X418" s="108"/>
    </row>
    <row r="419" spans="1:24" s="26" customFormat="1" hidden="1">
      <c r="A419" s="33"/>
      <c r="B419" s="108"/>
      <c r="C419" s="108"/>
      <c r="D419" s="31" t="str">
        <f>D418</f>
        <v>Tango</v>
      </c>
      <c r="E419" s="108"/>
      <c r="F419" s="111"/>
      <c r="G419" s="108"/>
      <c r="H419" s="108"/>
      <c r="I419" s="108"/>
      <c r="J419" s="108"/>
      <c r="K419" s="31" t="str">
        <f t="shared" ref="K419:K421" si="88">K418</f>
        <v>运营中</v>
      </c>
      <c r="L419" s="108"/>
      <c r="M419" s="108"/>
      <c r="N419" s="17"/>
      <c r="O419" s="36">
        <v>41019</v>
      </c>
      <c r="P419" s="17" t="s">
        <v>251</v>
      </c>
      <c r="Q419" s="17" t="s">
        <v>676</v>
      </c>
      <c r="R419" s="12" t="s">
        <v>1595</v>
      </c>
      <c r="S419" s="108"/>
      <c r="T419" s="108"/>
      <c r="U419" s="111"/>
      <c r="V419" s="108"/>
      <c r="W419" s="108"/>
      <c r="X419" s="108"/>
    </row>
    <row r="420" spans="1:24" s="26" customFormat="1" hidden="1">
      <c r="A420" s="33"/>
      <c r="B420" s="108"/>
      <c r="C420" s="108"/>
      <c r="D420" s="31" t="str">
        <f>D419</f>
        <v>Tango</v>
      </c>
      <c r="E420" s="108"/>
      <c r="F420" s="111"/>
      <c r="G420" s="108"/>
      <c r="H420" s="108"/>
      <c r="I420" s="108"/>
      <c r="J420" s="108"/>
      <c r="K420" s="31" t="str">
        <f t="shared" si="88"/>
        <v>运营中</v>
      </c>
      <c r="L420" s="108"/>
      <c r="M420" s="108"/>
      <c r="N420" s="17"/>
      <c r="O420" s="36">
        <v>40745</v>
      </c>
      <c r="P420" s="17" t="s">
        <v>257</v>
      </c>
      <c r="Q420" s="17" t="s">
        <v>1596</v>
      </c>
      <c r="R420" s="17" t="s">
        <v>1597</v>
      </c>
      <c r="S420" s="108"/>
      <c r="T420" s="108"/>
      <c r="U420" s="111"/>
      <c r="V420" s="108"/>
      <c r="W420" s="108"/>
      <c r="X420" s="108"/>
    </row>
    <row r="421" spans="1:24" s="26" customFormat="1" hidden="1">
      <c r="A421" s="33"/>
      <c r="B421" s="108"/>
      <c r="C421" s="108"/>
      <c r="D421" s="31" t="str">
        <f>D420</f>
        <v>Tango</v>
      </c>
      <c r="E421" s="108"/>
      <c r="F421" s="111"/>
      <c r="G421" s="108"/>
      <c r="H421" s="108"/>
      <c r="I421" s="108"/>
      <c r="J421" s="108"/>
      <c r="K421" s="31" t="str">
        <f t="shared" si="88"/>
        <v>运营中</v>
      </c>
      <c r="L421" s="108"/>
      <c r="M421" s="108"/>
      <c r="N421" s="17"/>
      <c r="O421" s="36">
        <v>40330</v>
      </c>
      <c r="P421" s="17" t="s">
        <v>262</v>
      </c>
      <c r="Q421" s="17" t="s">
        <v>1598</v>
      </c>
      <c r="R421" s="17" t="s">
        <v>1599</v>
      </c>
      <c r="S421" s="108"/>
      <c r="T421" s="108"/>
      <c r="U421" s="111"/>
      <c r="V421" s="108"/>
      <c r="W421" s="108"/>
      <c r="X421" s="108"/>
    </row>
    <row r="422" spans="1:24" s="26" customFormat="1" ht="36" hidden="1">
      <c r="A422" s="33"/>
      <c r="B422" s="108"/>
      <c r="C422" s="17" t="s">
        <v>1600</v>
      </c>
      <c r="D422" s="38" t="s">
        <v>1601</v>
      </c>
      <c r="E422" s="17" t="s">
        <v>1602</v>
      </c>
      <c r="F422" s="34" t="s">
        <v>1603</v>
      </c>
      <c r="G422" s="12" t="s">
        <v>1604</v>
      </c>
      <c r="H422" s="17" t="s">
        <v>1605</v>
      </c>
      <c r="I422" s="17" t="s">
        <v>1606</v>
      </c>
      <c r="J422" s="12" t="s">
        <v>271</v>
      </c>
      <c r="K422" s="12" t="s">
        <v>248</v>
      </c>
      <c r="L422" s="12" t="s">
        <v>996</v>
      </c>
      <c r="M422" s="12" t="s">
        <v>1607</v>
      </c>
      <c r="N422" s="12"/>
      <c r="O422" s="36">
        <v>41985</v>
      </c>
      <c r="P422" s="17" t="s">
        <v>262</v>
      </c>
      <c r="Q422" s="12" t="s">
        <v>327</v>
      </c>
      <c r="R422" s="12" t="s">
        <v>240</v>
      </c>
      <c r="S422" s="17" t="s">
        <v>1608</v>
      </c>
      <c r="T422" s="17" t="s">
        <v>1609</v>
      </c>
      <c r="U422" s="32" t="s">
        <v>1610</v>
      </c>
      <c r="V422" s="17"/>
      <c r="W422" s="17"/>
      <c r="X422" s="17"/>
    </row>
    <row r="423" spans="1:24" s="26" customFormat="1" hidden="1">
      <c r="A423" s="33"/>
      <c r="B423" s="108"/>
      <c r="C423" s="108" t="s">
        <v>1611</v>
      </c>
      <c r="D423" s="31" t="s">
        <v>1612</v>
      </c>
      <c r="E423" s="108" t="s">
        <v>1613</v>
      </c>
      <c r="F423" s="111" t="s">
        <v>1614</v>
      </c>
      <c r="G423" s="107" t="s">
        <v>1615</v>
      </c>
      <c r="H423" s="108" t="s">
        <v>1616</v>
      </c>
      <c r="I423" s="108" t="s">
        <v>1617</v>
      </c>
      <c r="J423" s="107" t="s">
        <v>547</v>
      </c>
      <c r="K423" s="31" t="s">
        <v>272</v>
      </c>
      <c r="L423" s="107" t="s">
        <v>335</v>
      </c>
      <c r="M423" s="107" t="s">
        <v>1618</v>
      </c>
      <c r="N423" s="12">
        <v>1</v>
      </c>
      <c r="O423" s="36">
        <v>41791</v>
      </c>
      <c r="P423" s="12" t="s">
        <v>471</v>
      </c>
      <c r="Q423" s="12" t="s">
        <v>276</v>
      </c>
      <c r="R423" s="12" t="s">
        <v>240</v>
      </c>
      <c r="S423" s="108" t="s">
        <v>1619</v>
      </c>
      <c r="T423" s="107" t="s">
        <v>255</v>
      </c>
      <c r="U423" s="110" t="s">
        <v>1620</v>
      </c>
      <c r="V423" s="108"/>
      <c r="W423" s="108"/>
      <c r="X423" s="108"/>
    </row>
    <row r="424" spans="1:24" s="26" customFormat="1" hidden="1">
      <c r="A424" s="33"/>
      <c r="B424" s="108"/>
      <c r="C424" s="108"/>
      <c r="D424" s="31" t="str">
        <f t="shared" ref="D424:D430" si="89">D423</f>
        <v>UC优视科技</v>
      </c>
      <c r="E424" s="108"/>
      <c r="F424" s="111"/>
      <c r="G424" s="108"/>
      <c r="H424" s="108"/>
      <c r="I424" s="108"/>
      <c r="J424" s="108"/>
      <c r="K424" s="31" t="str">
        <f t="shared" ref="K424:K430" si="90">K423</f>
        <v>运营中</v>
      </c>
      <c r="L424" s="108"/>
      <c r="M424" s="108"/>
      <c r="N424" s="12">
        <v>1</v>
      </c>
      <c r="O424" s="36">
        <v>41609</v>
      </c>
      <c r="P424" s="17" t="s">
        <v>303</v>
      </c>
      <c r="Q424" s="17" t="s">
        <v>604</v>
      </c>
      <c r="R424" s="12" t="s">
        <v>240</v>
      </c>
      <c r="S424" s="108"/>
      <c r="T424" s="108"/>
      <c r="U424" s="111"/>
      <c r="V424" s="108"/>
      <c r="W424" s="108"/>
      <c r="X424" s="108"/>
    </row>
    <row r="425" spans="1:24" s="26" customFormat="1" hidden="1">
      <c r="A425" s="33"/>
      <c r="B425" s="108"/>
      <c r="C425" s="108"/>
      <c r="D425" s="31" t="str">
        <f t="shared" si="89"/>
        <v>UC优视科技</v>
      </c>
      <c r="E425" s="108"/>
      <c r="F425" s="111"/>
      <c r="G425" s="108"/>
      <c r="H425" s="108"/>
      <c r="I425" s="108"/>
      <c r="J425" s="108"/>
      <c r="K425" s="31" t="str">
        <f t="shared" si="90"/>
        <v>运营中</v>
      </c>
      <c r="L425" s="108"/>
      <c r="M425" s="108"/>
      <c r="N425" s="12">
        <v>1</v>
      </c>
      <c r="O425" s="36">
        <v>41395</v>
      </c>
      <c r="P425" s="17" t="s">
        <v>310</v>
      </c>
      <c r="Q425" s="17" t="s">
        <v>1621</v>
      </c>
      <c r="R425" s="12" t="s">
        <v>240</v>
      </c>
      <c r="S425" s="108"/>
      <c r="T425" s="108"/>
      <c r="U425" s="111"/>
      <c r="V425" s="108"/>
      <c r="W425" s="108"/>
      <c r="X425" s="108"/>
    </row>
    <row r="426" spans="1:24" s="26" customFormat="1" hidden="1">
      <c r="A426" s="33"/>
      <c r="B426" s="108"/>
      <c r="C426" s="108"/>
      <c r="D426" s="31" t="str">
        <f t="shared" si="89"/>
        <v>UC优视科技</v>
      </c>
      <c r="E426" s="108"/>
      <c r="F426" s="111"/>
      <c r="G426" s="108"/>
      <c r="H426" s="108"/>
      <c r="I426" s="108"/>
      <c r="J426" s="108"/>
      <c r="K426" s="31" t="str">
        <f t="shared" si="90"/>
        <v>运营中</v>
      </c>
      <c r="L426" s="108"/>
      <c r="M426" s="108"/>
      <c r="N426" s="12">
        <v>1</v>
      </c>
      <c r="O426" s="36">
        <v>40544</v>
      </c>
      <c r="P426" s="17" t="s">
        <v>317</v>
      </c>
      <c r="Q426" s="12" t="s">
        <v>258</v>
      </c>
      <c r="R426" s="17" t="s">
        <v>1622</v>
      </c>
      <c r="S426" s="108"/>
      <c r="T426" s="108"/>
      <c r="U426" s="111"/>
      <c r="V426" s="108"/>
      <c r="W426" s="108"/>
      <c r="X426" s="108"/>
    </row>
    <row r="427" spans="1:24" s="26" customFormat="1" hidden="1">
      <c r="A427" s="33"/>
      <c r="B427" s="108"/>
      <c r="C427" s="108"/>
      <c r="D427" s="31" t="str">
        <f t="shared" si="89"/>
        <v>UC优视科技</v>
      </c>
      <c r="E427" s="108"/>
      <c r="F427" s="111"/>
      <c r="G427" s="108"/>
      <c r="H427" s="108"/>
      <c r="I427" s="108"/>
      <c r="J427" s="108"/>
      <c r="K427" s="31" t="str">
        <f t="shared" si="90"/>
        <v>运营中</v>
      </c>
      <c r="L427" s="108"/>
      <c r="M427" s="108"/>
      <c r="N427" s="12">
        <v>1</v>
      </c>
      <c r="O427" s="36">
        <v>40238</v>
      </c>
      <c r="P427" s="17" t="s">
        <v>251</v>
      </c>
      <c r="Q427" s="12" t="s">
        <v>258</v>
      </c>
      <c r="R427" s="12" t="s">
        <v>1623</v>
      </c>
      <c r="S427" s="108"/>
      <c r="T427" s="108"/>
      <c r="U427" s="111"/>
      <c r="V427" s="108"/>
      <c r="W427" s="108"/>
      <c r="X427" s="108"/>
    </row>
    <row r="428" spans="1:24" s="26" customFormat="1" hidden="1">
      <c r="A428" s="33"/>
      <c r="B428" s="108"/>
      <c r="C428" s="108"/>
      <c r="D428" s="31" t="str">
        <f t="shared" si="89"/>
        <v>UC优视科技</v>
      </c>
      <c r="E428" s="108"/>
      <c r="F428" s="111"/>
      <c r="G428" s="108"/>
      <c r="H428" s="108"/>
      <c r="I428" s="108"/>
      <c r="J428" s="108"/>
      <c r="K428" s="31" t="str">
        <f t="shared" si="90"/>
        <v>运营中</v>
      </c>
      <c r="L428" s="108"/>
      <c r="M428" s="108"/>
      <c r="N428" s="12">
        <v>1</v>
      </c>
      <c r="O428" s="36">
        <v>39965</v>
      </c>
      <c r="P428" s="17" t="s">
        <v>257</v>
      </c>
      <c r="Q428" s="12" t="s">
        <v>258</v>
      </c>
      <c r="R428" s="12" t="s">
        <v>1624</v>
      </c>
      <c r="S428" s="108"/>
      <c r="T428" s="108"/>
      <c r="U428" s="111"/>
      <c r="V428" s="108"/>
      <c r="W428" s="108"/>
      <c r="X428" s="108"/>
    </row>
    <row r="429" spans="1:24" s="26" customFormat="1" hidden="1">
      <c r="A429" s="33"/>
      <c r="B429" s="108"/>
      <c r="C429" s="108"/>
      <c r="D429" s="31" t="str">
        <f t="shared" si="89"/>
        <v>UC优视科技</v>
      </c>
      <c r="E429" s="108"/>
      <c r="F429" s="111"/>
      <c r="G429" s="108"/>
      <c r="H429" s="108"/>
      <c r="I429" s="108"/>
      <c r="J429" s="108"/>
      <c r="K429" s="31" t="str">
        <f t="shared" si="90"/>
        <v>运营中</v>
      </c>
      <c r="L429" s="108"/>
      <c r="M429" s="108"/>
      <c r="N429" s="12">
        <v>1</v>
      </c>
      <c r="O429" s="36">
        <v>39142</v>
      </c>
      <c r="P429" s="17" t="s">
        <v>262</v>
      </c>
      <c r="Q429" s="12" t="s">
        <v>261</v>
      </c>
      <c r="R429" s="12" t="s">
        <v>1625</v>
      </c>
      <c r="S429" s="108"/>
      <c r="T429" s="108"/>
      <c r="U429" s="111"/>
      <c r="V429" s="108"/>
      <c r="W429" s="108"/>
      <c r="X429" s="108"/>
    </row>
    <row r="430" spans="1:24" s="26" customFormat="1" hidden="1">
      <c r="A430" s="33"/>
      <c r="B430" s="108"/>
      <c r="C430" s="108"/>
      <c r="D430" s="31" t="str">
        <f t="shared" si="89"/>
        <v>UC优视科技</v>
      </c>
      <c r="E430" s="108"/>
      <c r="F430" s="111"/>
      <c r="G430" s="108"/>
      <c r="H430" s="108"/>
      <c r="I430" s="108"/>
      <c r="J430" s="108"/>
      <c r="K430" s="31" t="str">
        <f t="shared" si="90"/>
        <v>运营中</v>
      </c>
      <c r="L430" s="108"/>
      <c r="M430" s="108"/>
      <c r="N430" s="12">
        <v>1</v>
      </c>
      <c r="O430" s="36">
        <v>39052</v>
      </c>
      <c r="P430" s="12" t="s">
        <v>326</v>
      </c>
      <c r="Q430" s="12" t="s">
        <v>327</v>
      </c>
      <c r="R430" s="12" t="s">
        <v>1626</v>
      </c>
      <c r="S430" s="108"/>
      <c r="T430" s="108"/>
      <c r="U430" s="111"/>
      <c r="V430" s="108"/>
      <c r="W430" s="108"/>
      <c r="X430" s="108"/>
    </row>
    <row r="431" spans="1:24" s="26" customFormat="1" hidden="1">
      <c r="A431" s="33"/>
      <c r="B431" s="108"/>
      <c r="C431" s="108" t="s">
        <v>1627</v>
      </c>
      <c r="D431" s="31" t="s">
        <v>1628</v>
      </c>
      <c r="E431" s="107" t="s">
        <v>1628</v>
      </c>
      <c r="F431" s="110" t="s">
        <v>1629</v>
      </c>
      <c r="G431" s="107" t="s">
        <v>1630</v>
      </c>
      <c r="H431" s="108" t="s">
        <v>1631</v>
      </c>
      <c r="I431" s="108" t="s">
        <v>1632</v>
      </c>
      <c r="J431" s="107" t="s">
        <v>385</v>
      </c>
      <c r="K431" s="31" t="s">
        <v>272</v>
      </c>
      <c r="L431" s="107" t="s">
        <v>386</v>
      </c>
      <c r="M431" s="107" t="s">
        <v>929</v>
      </c>
      <c r="N431" s="12">
        <v>1</v>
      </c>
      <c r="O431" s="36">
        <v>42314</v>
      </c>
      <c r="P431" s="12" t="s">
        <v>471</v>
      </c>
      <c r="Q431" s="17" t="s">
        <v>1633</v>
      </c>
      <c r="R431" s="12" t="s">
        <v>240</v>
      </c>
      <c r="S431" s="108" t="s">
        <v>1634</v>
      </c>
      <c r="T431" s="108" t="s">
        <v>1635</v>
      </c>
      <c r="U431" s="110" t="s">
        <v>1636</v>
      </c>
      <c r="V431" s="107" t="s">
        <v>1637</v>
      </c>
      <c r="W431" s="108" t="s">
        <v>1638</v>
      </c>
      <c r="X431" s="108" t="s">
        <v>1639</v>
      </c>
    </row>
    <row r="432" spans="1:24" s="26" customFormat="1" hidden="1">
      <c r="A432" s="33"/>
      <c r="B432" s="108"/>
      <c r="C432" s="108"/>
      <c r="D432" s="31" t="str">
        <f t="shared" ref="D432:D440" si="91">D431</f>
        <v>优酷</v>
      </c>
      <c r="E432" s="108"/>
      <c r="F432" s="111"/>
      <c r="G432" s="108"/>
      <c r="H432" s="108"/>
      <c r="I432" s="108"/>
      <c r="J432" s="108"/>
      <c r="K432" s="31" t="str">
        <f t="shared" ref="K432:K440" si="92">K431</f>
        <v>运营中</v>
      </c>
      <c r="L432" s="108"/>
      <c r="M432" s="108"/>
      <c r="N432" s="12">
        <v>1</v>
      </c>
      <c r="O432" s="36">
        <v>41955</v>
      </c>
      <c r="P432" s="17" t="s">
        <v>687</v>
      </c>
      <c r="Q432" s="17" t="s">
        <v>337</v>
      </c>
      <c r="R432" s="12" t="s">
        <v>809</v>
      </c>
      <c r="S432" s="108"/>
      <c r="T432" s="108"/>
      <c r="U432" s="111"/>
      <c r="V432" s="108"/>
      <c r="W432" s="108"/>
      <c r="X432" s="108"/>
    </row>
    <row r="433" spans="1:24" s="26" customFormat="1" hidden="1">
      <c r="A433" s="33"/>
      <c r="B433" s="108"/>
      <c r="C433" s="108"/>
      <c r="D433" s="31" t="str">
        <f t="shared" si="91"/>
        <v>优酷</v>
      </c>
      <c r="E433" s="108"/>
      <c r="F433" s="111"/>
      <c r="G433" s="108"/>
      <c r="H433" s="108"/>
      <c r="I433" s="108"/>
      <c r="J433" s="108"/>
      <c r="K433" s="31" t="str">
        <f t="shared" si="92"/>
        <v>运营中</v>
      </c>
      <c r="L433" s="108"/>
      <c r="M433" s="108"/>
      <c r="N433" s="12">
        <v>1</v>
      </c>
      <c r="O433" s="36">
        <v>41730</v>
      </c>
      <c r="P433" s="17" t="s">
        <v>687</v>
      </c>
      <c r="Q433" s="17" t="s">
        <v>1640</v>
      </c>
      <c r="R433" s="12" t="s">
        <v>455</v>
      </c>
      <c r="S433" s="108"/>
      <c r="T433" s="108"/>
      <c r="U433" s="111"/>
      <c r="V433" s="108"/>
      <c r="W433" s="108"/>
      <c r="X433" s="108"/>
    </row>
    <row r="434" spans="1:24" s="26" customFormat="1" hidden="1">
      <c r="A434" s="33"/>
      <c r="B434" s="108"/>
      <c r="C434" s="108"/>
      <c r="D434" s="31" t="str">
        <f t="shared" si="91"/>
        <v>优酷</v>
      </c>
      <c r="E434" s="108"/>
      <c r="F434" s="111"/>
      <c r="G434" s="108"/>
      <c r="H434" s="108"/>
      <c r="I434" s="108"/>
      <c r="J434" s="108"/>
      <c r="K434" s="31" t="str">
        <f t="shared" si="92"/>
        <v>运营中</v>
      </c>
      <c r="L434" s="108"/>
      <c r="M434" s="108"/>
      <c r="N434" s="12">
        <v>1</v>
      </c>
      <c r="O434" s="36">
        <v>40979</v>
      </c>
      <c r="P434" s="12" t="s">
        <v>313</v>
      </c>
      <c r="Q434" s="12" t="s">
        <v>252</v>
      </c>
      <c r="R434" s="12" t="s">
        <v>1641</v>
      </c>
      <c r="S434" s="108"/>
      <c r="T434" s="108"/>
      <c r="U434" s="111"/>
      <c r="V434" s="108"/>
      <c r="W434" s="108"/>
      <c r="X434" s="108"/>
    </row>
    <row r="435" spans="1:24" s="26" customFormat="1" hidden="1">
      <c r="A435" s="33"/>
      <c r="B435" s="108"/>
      <c r="C435" s="108"/>
      <c r="D435" s="31" t="str">
        <f t="shared" si="91"/>
        <v>优酷</v>
      </c>
      <c r="E435" s="108"/>
      <c r="F435" s="111"/>
      <c r="G435" s="108"/>
      <c r="H435" s="108"/>
      <c r="I435" s="108"/>
      <c r="J435" s="108"/>
      <c r="K435" s="31" t="str">
        <f t="shared" si="92"/>
        <v>运营中</v>
      </c>
      <c r="L435" s="108"/>
      <c r="M435" s="108"/>
      <c r="N435" s="12">
        <v>1</v>
      </c>
      <c r="O435" s="36">
        <v>40521</v>
      </c>
      <c r="P435" s="17" t="s">
        <v>283</v>
      </c>
      <c r="Q435" s="12" t="s">
        <v>299</v>
      </c>
      <c r="R435" s="17" t="s">
        <v>253</v>
      </c>
      <c r="S435" s="108"/>
      <c r="T435" s="108"/>
      <c r="U435" s="111"/>
      <c r="V435" s="108"/>
      <c r="W435" s="108"/>
      <c r="X435" s="108"/>
    </row>
    <row r="436" spans="1:24" s="26" customFormat="1" hidden="1">
      <c r="A436" s="33"/>
      <c r="B436" s="108"/>
      <c r="C436" s="108"/>
      <c r="D436" s="31" t="str">
        <f t="shared" si="91"/>
        <v>优酷</v>
      </c>
      <c r="E436" s="108"/>
      <c r="F436" s="111"/>
      <c r="G436" s="108"/>
      <c r="H436" s="108"/>
      <c r="I436" s="108"/>
      <c r="J436" s="108"/>
      <c r="K436" s="31" t="str">
        <f t="shared" si="92"/>
        <v>运营中</v>
      </c>
      <c r="L436" s="108"/>
      <c r="M436" s="108"/>
      <c r="N436" s="12">
        <v>1</v>
      </c>
      <c r="O436" s="36">
        <v>40422</v>
      </c>
      <c r="P436" s="17" t="s">
        <v>310</v>
      </c>
      <c r="Q436" s="17" t="s">
        <v>1032</v>
      </c>
      <c r="R436" s="12" t="s">
        <v>1642</v>
      </c>
      <c r="S436" s="108"/>
      <c r="T436" s="108"/>
      <c r="U436" s="111"/>
      <c r="V436" s="108"/>
      <c r="W436" s="108"/>
      <c r="X436" s="108"/>
    </row>
    <row r="437" spans="1:24" s="26" customFormat="1" hidden="1">
      <c r="A437" s="33"/>
      <c r="B437" s="108"/>
      <c r="C437" s="108"/>
      <c r="D437" s="31" t="str">
        <f t="shared" si="91"/>
        <v>优酷</v>
      </c>
      <c r="E437" s="108"/>
      <c r="F437" s="111"/>
      <c r="G437" s="108"/>
      <c r="H437" s="108"/>
      <c r="I437" s="108"/>
      <c r="J437" s="108"/>
      <c r="K437" s="31" t="str">
        <f t="shared" si="92"/>
        <v>运营中</v>
      </c>
      <c r="L437" s="108"/>
      <c r="M437" s="108"/>
      <c r="N437" s="12">
        <v>1</v>
      </c>
      <c r="O437" s="36">
        <v>39630</v>
      </c>
      <c r="P437" s="17" t="s">
        <v>317</v>
      </c>
      <c r="Q437" s="17" t="s">
        <v>676</v>
      </c>
      <c r="R437" s="12" t="s">
        <v>1643</v>
      </c>
      <c r="S437" s="108"/>
      <c r="T437" s="108"/>
      <c r="U437" s="111"/>
      <c r="V437" s="108"/>
      <c r="W437" s="108"/>
      <c r="X437" s="108"/>
    </row>
    <row r="438" spans="1:24" s="26" customFormat="1" hidden="1">
      <c r="A438" s="33"/>
      <c r="B438" s="108"/>
      <c r="C438" s="108"/>
      <c r="D438" s="31" t="str">
        <f t="shared" si="91"/>
        <v>优酷</v>
      </c>
      <c r="E438" s="108"/>
      <c r="F438" s="111"/>
      <c r="G438" s="108"/>
      <c r="H438" s="108"/>
      <c r="I438" s="108"/>
      <c r="J438" s="108"/>
      <c r="K438" s="31" t="str">
        <f t="shared" si="92"/>
        <v>运营中</v>
      </c>
      <c r="L438" s="108"/>
      <c r="M438" s="108"/>
      <c r="N438" s="12">
        <v>1</v>
      </c>
      <c r="O438" s="36">
        <v>39387</v>
      </c>
      <c r="P438" s="17" t="s">
        <v>251</v>
      </c>
      <c r="Q438" s="17" t="s">
        <v>987</v>
      </c>
      <c r="R438" s="12" t="s">
        <v>1644</v>
      </c>
      <c r="S438" s="108"/>
      <c r="T438" s="108"/>
      <c r="U438" s="111"/>
      <c r="V438" s="108"/>
      <c r="W438" s="108"/>
      <c r="X438" s="108"/>
    </row>
    <row r="439" spans="1:24" s="26" customFormat="1" hidden="1">
      <c r="A439" s="33"/>
      <c r="B439" s="108"/>
      <c r="C439" s="108"/>
      <c r="D439" s="31" t="str">
        <f t="shared" si="91"/>
        <v>优酷</v>
      </c>
      <c r="E439" s="108"/>
      <c r="F439" s="111"/>
      <c r="G439" s="108"/>
      <c r="H439" s="108"/>
      <c r="I439" s="108"/>
      <c r="J439" s="108"/>
      <c r="K439" s="31" t="str">
        <f t="shared" si="92"/>
        <v>运营中</v>
      </c>
      <c r="L439" s="108"/>
      <c r="M439" s="108"/>
      <c r="N439" s="12">
        <v>1</v>
      </c>
      <c r="O439" s="36">
        <v>39052</v>
      </c>
      <c r="P439" s="17" t="s">
        <v>257</v>
      </c>
      <c r="Q439" s="17" t="s">
        <v>567</v>
      </c>
      <c r="R439" s="12" t="s">
        <v>1645</v>
      </c>
      <c r="S439" s="108"/>
      <c r="T439" s="108"/>
      <c r="U439" s="111"/>
      <c r="V439" s="108"/>
      <c r="W439" s="108"/>
      <c r="X439" s="108"/>
    </row>
    <row r="440" spans="1:24" s="26" customFormat="1" hidden="1">
      <c r="A440" s="33"/>
      <c r="B440" s="108"/>
      <c r="C440" s="108"/>
      <c r="D440" s="31" t="str">
        <f t="shared" si="91"/>
        <v>优酷</v>
      </c>
      <c r="E440" s="108"/>
      <c r="F440" s="111"/>
      <c r="G440" s="108"/>
      <c r="H440" s="108"/>
      <c r="I440" s="108"/>
      <c r="J440" s="108"/>
      <c r="K440" s="31" t="str">
        <f t="shared" si="92"/>
        <v>运营中</v>
      </c>
      <c r="L440" s="108"/>
      <c r="M440" s="108"/>
      <c r="N440" s="12">
        <v>1</v>
      </c>
      <c r="O440" s="36">
        <v>38657</v>
      </c>
      <c r="P440" s="17" t="s">
        <v>262</v>
      </c>
      <c r="Q440" s="17" t="s">
        <v>324</v>
      </c>
      <c r="R440" s="17" t="s">
        <v>253</v>
      </c>
      <c r="S440" s="108"/>
      <c r="T440" s="108"/>
      <c r="U440" s="111"/>
      <c r="V440" s="108"/>
      <c r="W440" s="108"/>
      <c r="X440" s="108"/>
    </row>
    <row r="441" spans="1:24" s="26" customFormat="1" hidden="1">
      <c r="A441" s="33"/>
      <c r="B441" s="108"/>
      <c r="C441" s="108" t="s">
        <v>1646</v>
      </c>
      <c r="D441" s="31" t="s">
        <v>1647</v>
      </c>
      <c r="E441" s="108" t="s">
        <v>1647</v>
      </c>
      <c r="F441" s="111" t="s">
        <v>1648</v>
      </c>
      <c r="G441" s="108"/>
      <c r="H441" s="108" t="s">
        <v>1649</v>
      </c>
      <c r="I441" s="108" t="s">
        <v>1563</v>
      </c>
      <c r="J441" s="107" t="s">
        <v>1650</v>
      </c>
      <c r="K441" s="31" t="s">
        <v>272</v>
      </c>
      <c r="L441" s="107" t="s">
        <v>350</v>
      </c>
      <c r="M441" s="107" t="s">
        <v>1331</v>
      </c>
      <c r="N441" s="12">
        <v>1</v>
      </c>
      <c r="O441" s="36">
        <v>44141</v>
      </c>
      <c r="P441" s="17" t="s">
        <v>687</v>
      </c>
      <c r="Q441" s="17" t="s">
        <v>1651</v>
      </c>
      <c r="R441" s="12" t="s">
        <v>1652</v>
      </c>
      <c r="S441" s="108" t="s">
        <v>1653</v>
      </c>
      <c r="T441" s="108" t="s">
        <v>1654</v>
      </c>
      <c r="U441" s="111" t="s">
        <v>1655</v>
      </c>
      <c r="V441" s="108"/>
      <c r="W441" s="108"/>
      <c r="X441" s="108"/>
    </row>
    <row r="442" spans="1:24" s="26" customFormat="1" hidden="1">
      <c r="A442" s="33"/>
      <c r="B442" s="108"/>
      <c r="C442" s="108"/>
      <c r="D442" s="31" t="str">
        <f t="shared" ref="D442:D451" si="93">D441</f>
        <v>Farfetch</v>
      </c>
      <c r="E442" s="108"/>
      <c r="F442" s="111"/>
      <c r="G442" s="108"/>
      <c r="H442" s="108"/>
      <c r="I442" s="108"/>
      <c r="J442" s="108"/>
      <c r="K442" s="31" t="str">
        <f t="shared" ref="K442:K451" si="94">K441</f>
        <v>运营中</v>
      </c>
      <c r="L442" s="108"/>
      <c r="M442" s="108"/>
      <c r="N442" s="12">
        <v>1</v>
      </c>
      <c r="O442" s="36">
        <v>43861</v>
      </c>
      <c r="P442" s="17" t="s">
        <v>687</v>
      </c>
      <c r="Q442" s="17" t="s">
        <v>655</v>
      </c>
      <c r="R442" s="12" t="s">
        <v>1656</v>
      </c>
      <c r="S442" s="108"/>
      <c r="T442" s="108"/>
      <c r="U442" s="111"/>
      <c r="V442" s="108"/>
      <c r="W442" s="108"/>
      <c r="X442" s="108"/>
    </row>
    <row r="443" spans="1:24" s="26" customFormat="1" hidden="1">
      <c r="A443" s="33"/>
      <c r="B443" s="108"/>
      <c r="C443" s="108"/>
      <c r="D443" s="31" t="str">
        <f t="shared" si="93"/>
        <v>Farfetch</v>
      </c>
      <c r="E443" s="108"/>
      <c r="F443" s="111"/>
      <c r="G443" s="108"/>
      <c r="H443" s="108"/>
      <c r="I443" s="108"/>
      <c r="J443" s="108"/>
      <c r="K443" s="31" t="str">
        <f t="shared" si="94"/>
        <v>运营中</v>
      </c>
      <c r="L443" s="108"/>
      <c r="M443" s="108"/>
      <c r="N443" s="12">
        <v>1</v>
      </c>
      <c r="O443" s="36">
        <v>43364</v>
      </c>
      <c r="P443" s="17" t="s">
        <v>283</v>
      </c>
      <c r="Q443" s="17" t="s">
        <v>1657</v>
      </c>
      <c r="R443" s="17" t="s">
        <v>253</v>
      </c>
      <c r="S443" s="108"/>
      <c r="T443" s="108"/>
      <c r="U443" s="111"/>
      <c r="V443" s="108"/>
      <c r="W443" s="108"/>
      <c r="X443" s="108"/>
    </row>
    <row r="444" spans="1:24" s="26" customFormat="1" hidden="1">
      <c r="A444" s="33"/>
      <c r="B444" s="108"/>
      <c r="C444" s="108"/>
      <c r="D444" s="31" t="str">
        <f t="shared" si="93"/>
        <v>Farfetch</v>
      </c>
      <c r="E444" s="108"/>
      <c r="F444" s="111"/>
      <c r="G444" s="108"/>
      <c r="H444" s="108"/>
      <c r="I444" s="108"/>
      <c r="J444" s="108"/>
      <c r="K444" s="31" t="str">
        <f t="shared" si="94"/>
        <v>运营中</v>
      </c>
      <c r="L444" s="108"/>
      <c r="M444" s="108"/>
      <c r="N444" s="12">
        <v>1</v>
      </c>
      <c r="O444" s="36">
        <v>43150</v>
      </c>
      <c r="P444" s="12" t="s">
        <v>285</v>
      </c>
      <c r="Q444" s="12" t="s">
        <v>1658</v>
      </c>
      <c r="R444" s="17" t="s">
        <v>1659</v>
      </c>
      <c r="S444" s="108"/>
      <c r="T444" s="108"/>
      <c r="U444" s="111"/>
      <c r="V444" s="108"/>
      <c r="W444" s="108"/>
      <c r="X444" s="108"/>
    </row>
    <row r="445" spans="1:24" s="26" customFormat="1" hidden="1">
      <c r="A445" s="33"/>
      <c r="B445" s="108"/>
      <c r="C445" s="108"/>
      <c r="D445" s="31" t="str">
        <f t="shared" si="93"/>
        <v>Farfetch</v>
      </c>
      <c r="E445" s="108"/>
      <c r="F445" s="111"/>
      <c r="G445" s="108"/>
      <c r="H445" s="108"/>
      <c r="I445" s="108"/>
      <c r="J445" s="108"/>
      <c r="K445" s="31" t="str">
        <f t="shared" si="94"/>
        <v>运营中</v>
      </c>
      <c r="L445" s="108"/>
      <c r="M445" s="108"/>
      <c r="N445" s="12">
        <v>1</v>
      </c>
      <c r="O445" s="36">
        <v>42908</v>
      </c>
      <c r="P445" s="12" t="s">
        <v>471</v>
      </c>
      <c r="Q445" s="17" t="s">
        <v>1660</v>
      </c>
      <c r="R445" s="12" t="s">
        <v>1661</v>
      </c>
      <c r="S445" s="108"/>
      <c r="T445" s="108"/>
      <c r="U445" s="111"/>
      <c r="V445" s="108"/>
      <c r="W445" s="108"/>
      <c r="X445" s="108"/>
    </row>
    <row r="446" spans="1:24" s="26" customFormat="1" hidden="1">
      <c r="A446" s="33"/>
      <c r="B446" s="108"/>
      <c r="C446" s="108"/>
      <c r="D446" s="31" t="str">
        <f t="shared" si="93"/>
        <v>Farfetch</v>
      </c>
      <c r="E446" s="108"/>
      <c r="F446" s="111"/>
      <c r="G446" s="108"/>
      <c r="H446" s="108"/>
      <c r="I446" s="108"/>
      <c r="J446" s="108"/>
      <c r="K446" s="31" t="str">
        <f t="shared" si="94"/>
        <v>运营中</v>
      </c>
      <c r="L446" s="108"/>
      <c r="M446" s="108"/>
      <c r="N446" s="12">
        <v>1</v>
      </c>
      <c r="O446" s="36">
        <v>42495</v>
      </c>
      <c r="P446" s="17" t="s">
        <v>303</v>
      </c>
      <c r="Q446" s="17" t="s">
        <v>1662</v>
      </c>
      <c r="R446" s="17" t="s">
        <v>1663</v>
      </c>
      <c r="S446" s="108"/>
      <c r="T446" s="108"/>
      <c r="U446" s="111"/>
      <c r="V446" s="108"/>
      <c r="W446" s="108"/>
      <c r="X446" s="108"/>
    </row>
    <row r="447" spans="1:24" s="26" customFormat="1" hidden="1">
      <c r="A447" s="33"/>
      <c r="B447" s="108"/>
      <c r="C447" s="108"/>
      <c r="D447" s="31" t="str">
        <f t="shared" si="93"/>
        <v>Farfetch</v>
      </c>
      <c r="E447" s="108"/>
      <c r="F447" s="111"/>
      <c r="G447" s="108"/>
      <c r="H447" s="108"/>
      <c r="I447" s="108"/>
      <c r="J447" s="108"/>
      <c r="K447" s="31" t="str">
        <f t="shared" si="94"/>
        <v>运营中</v>
      </c>
      <c r="L447" s="108"/>
      <c r="M447" s="108"/>
      <c r="N447" s="12">
        <v>1</v>
      </c>
      <c r="O447" s="36">
        <v>42068</v>
      </c>
      <c r="P447" s="17" t="s">
        <v>310</v>
      </c>
      <c r="Q447" s="17" t="s">
        <v>1664</v>
      </c>
      <c r="R447" s="17" t="s">
        <v>1665</v>
      </c>
      <c r="S447" s="108"/>
      <c r="T447" s="108"/>
      <c r="U447" s="111"/>
      <c r="V447" s="108"/>
      <c r="W447" s="108"/>
      <c r="X447" s="108"/>
    </row>
    <row r="448" spans="1:24" s="26" customFormat="1" hidden="1">
      <c r="A448" s="33"/>
      <c r="B448" s="108"/>
      <c r="C448" s="108"/>
      <c r="D448" s="31" t="str">
        <f t="shared" si="93"/>
        <v>Farfetch</v>
      </c>
      <c r="E448" s="108"/>
      <c r="F448" s="111"/>
      <c r="G448" s="108"/>
      <c r="H448" s="108"/>
      <c r="I448" s="108"/>
      <c r="J448" s="108"/>
      <c r="K448" s="31" t="str">
        <f t="shared" si="94"/>
        <v>运营中</v>
      </c>
      <c r="L448" s="108"/>
      <c r="M448" s="108"/>
      <c r="N448" s="12">
        <v>1</v>
      </c>
      <c r="O448" s="36">
        <v>41787</v>
      </c>
      <c r="P448" s="17" t="s">
        <v>317</v>
      </c>
      <c r="Q448" s="17" t="s">
        <v>1666</v>
      </c>
      <c r="R448" s="17" t="s">
        <v>1667</v>
      </c>
      <c r="S448" s="108"/>
      <c r="T448" s="108"/>
      <c r="U448" s="111"/>
      <c r="V448" s="108"/>
      <c r="W448" s="108"/>
      <c r="X448" s="108"/>
    </row>
    <row r="449" spans="1:24" s="26" customFormat="1" hidden="1">
      <c r="A449" s="33"/>
      <c r="B449" s="108"/>
      <c r="C449" s="108"/>
      <c r="D449" s="31" t="str">
        <f t="shared" si="93"/>
        <v>Farfetch</v>
      </c>
      <c r="E449" s="108"/>
      <c r="F449" s="111"/>
      <c r="G449" s="108"/>
      <c r="H449" s="108"/>
      <c r="I449" s="108"/>
      <c r="J449" s="108"/>
      <c r="K449" s="31" t="str">
        <f t="shared" si="94"/>
        <v>运营中</v>
      </c>
      <c r="L449" s="108"/>
      <c r="M449" s="108"/>
      <c r="N449" s="12">
        <v>1</v>
      </c>
      <c r="O449" s="36">
        <v>41339</v>
      </c>
      <c r="P449" s="17" t="s">
        <v>251</v>
      </c>
      <c r="Q449" s="17" t="s">
        <v>458</v>
      </c>
      <c r="R449" s="17" t="s">
        <v>1668</v>
      </c>
      <c r="S449" s="108"/>
      <c r="T449" s="108"/>
      <c r="U449" s="111"/>
      <c r="V449" s="108"/>
      <c r="W449" s="108"/>
      <c r="X449" s="108"/>
    </row>
    <row r="450" spans="1:24" s="26" customFormat="1" hidden="1">
      <c r="A450" s="33"/>
      <c r="B450" s="108"/>
      <c r="C450" s="108"/>
      <c r="D450" s="31" t="str">
        <f t="shared" si="93"/>
        <v>Farfetch</v>
      </c>
      <c r="E450" s="108"/>
      <c r="F450" s="111"/>
      <c r="G450" s="108"/>
      <c r="H450" s="108"/>
      <c r="I450" s="108"/>
      <c r="J450" s="108"/>
      <c r="K450" s="31" t="str">
        <f t="shared" si="94"/>
        <v>运营中</v>
      </c>
      <c r="L450" s="108"/>
      <c r="M450" s="108"/>
      <c r="N450" s="12">
        <v>1</v>
      </c>
      <c r="O450" s="36">
        <v>40939</v>
      </c>
      <c r="P450" s="17" t="s">
        <v>257</v>
      </c>
      <c r="Q450" s="17" t="s">
        <v>1669</v>
      </c>
      <c r="R450" s="17" t="s">
        <v>1670</v>
      </c>
      <c r="S450" s="108"/>
      <c r="T450" s="108"/>
      <c r="U450" s="111"/>
      <c r="V450" s="108"/>
      <c r="W450" s="108"/>
      <c r="X450" s="108"/>
    </row>
    <row r="451" spans="1:24" s="26" customFormat="1" hidden="1">
      <c r="A451" s="33"/>
      <c r="B451" s="108"/>
      <c r="C451" s="108"/>
      <c r="D451" s="31" t="str">
        <f t="shared" si="93"/>
        <v>Farfetch</v>
      </c>
      <c r="E451" s="108"/>
      <c r="F451" s="111"/>
      <c r="G451" s="108"/>
      <c r="H451" s="108"/>
      <c r="I451" s="108"/>
      <c r="J451" s="108"/>
      <c r="K451" s="31" t="str">
        <f t="shared" si="94"/>
        <v>运营中</v>
      </c>
      <c r="L451" s="108"/>
      <c r="M451" s="108"/>
      <c r="N451" s="12">
        <v>1</v>
      </c>
      <c r="O451" s="36">
        <v>40375</v>
      </c>
      <c r="P451" s="17" t="s">
        <v>262</v>
      </c>
      <c r="Q451" s="17" t="s">
        <v>922</v>
      </c>
      <c r="R451" s="12" t="s">
        <v>1671</v>
      </c>
      <c r="S451" s="108"/>
      <c r="T451" s="108"/>
      <c r="U451" s="111"/>
      <c r="V451" s="108"/>
      <c r="W451" s="108"/>
      <c r="X451" s="108"/>
    </row>
    <row r="452" spans="1:24" s="26" customFormat="1" ht="36" hidden="1">
      <c r="A452" s="33"/>
      <c r="B452" s="108"/>
      <c r="C452" s="17" t="s">
        <v>1672</v>
      </c>
      <c r="D452" s="38" t="s">
        <v>1673</v>
      </c>
      <c r="E452" s="12" t="s">
        <v>1673</v>
      </c>
      <c r="F452" s="32" t="s">
        <v>1674</v>
      </c>
      <c r="G452" s="12" t="s">
        <v>1675</v>
      </c>
      <c r="H452" s="17" t="s">
        <v>1676</v>
      </c>
      <c r="I452" s="17" t="s">
        <v>576</v>
      </c>
      <c r="J452" s="12" t="s">
        <v>1126</v>
      </c>
      <c r="K452" s="38" t="s">
        <v>272</v>
      </c>
      <c r="L452" s="12" t="s">
        <v>249</v>
      </c>
      <c r="M452" s="12" t="s">
        <v>1677</v>
      </c>
      <c r="N452" s="12">
        <v>1</v>
      </c>
      <c r="O452" s="36">
        <v>41760</v>
      </c>
      <c r="P452" s="12" t="s">
        <v>471</v>
      </c>
      <c r="Q452" s="12" t="s">
        <v>252</v>
      </c>
      <c r="R452" s="12" t="s">
        <v>240</v>
      </c>
      <c r="S452" s="17" t="s">
        <v>253</v>
      </c>
      <c r="T452" s="12" t="s">
        <v>255</v>
      </c>
      <c r="U452" s="34"/>
      <c r="V452" s="17"/>
      <c r="W452" s="17"/>
      <c r="X452" s="17"/>
    </row>
    <row r="453" spans="1:24" s="26" customFormat="1" hidden="1">
      <c r="A453" s="33"/>
      <c r="B453" s="108"/>
      <c r="C453" s="108" t="s">
        <v>1672</v>
      </c>
      <c r="D453" s="31" t="s">
        <v>1678</v>
      </c>
      <c r="E453" s="108" t="s">
        <v>1679</v>
      </c>
      <c r="F453" s="111" t="s">
        <v>1680</v>
      </c>
      <c r="G453" s="107" t="s">
        <v>1681</v>
      </c>
      <c r="H453" s="108" t="s">
        <v>1682</v>
      </c>
      <c r="I453" s="108" t="s">
        <v>1100</v>
      </c>
      <c r="J453" s="107" t="s">
        <v>349</v>
      </c>
      <c r="K453" s="35" t="s">
        <v>248</v>
      </c>
      <c r="L453" s="107" t="s">
        <v>249</v>
      </c>
      <c r="M453" s="107" t="s">
        <v>1677</v>
      </c>
      <c r="N453" s="12">
        <v>1</v>
      </c>
      <c r="O453" s="36">
        <v>41760</v>
      </c>
      <c r="P453" s="12" t="s">
        <v>471</v>
      </c>
      <c r="Q453" s="12" t="s">
        <v>252</v>
      </c>
      <c r="R453" s="12" t="s">
        <v>240</v>
      </c>
      <c r="S453" s="108" t="s">
        <v>1683</v>
      </c>
      <c r="T453" s="107" t="s">
        <v>255</v>
      </c>
      <c r="U453" s="111"/>
      <c r="V453" s="108"/>
      <c r="W453" s="108"/>
      <c r="X453" s="108"/>
    </row>
    <row r="454" spans="1:24" s="26" customFormat="1" hidden="1">
      <c r="A454" s="33"/>
      <c r="B454" s="108"/>
      <c r="C454" s="108"/>
      <c r="D454" s="31" t="str">
        <f>D453</f>
        <v>ASLAN阿斯兰</v>
      </c>
      <c r="E454" s="108"/>
      <c r="F454" s="111"/>
      <c r="G454" s="108"/>
      <c r="H454" s="108"/>
      <c r="I454" s="108"/>
      <c r="J454" s="108"/>
      <c r="K454" s="37" t="str">
        <f>K453</f>
        <v>已关闭</v>
      </c>
      <c r="L454" s="108"/>
      <c r="M454" s="108"/>
      <c r="N454" s="12">
        <v>1</v>
      </c>
      <c r="O454" s="36">
        <v>41000</v>
      </c>
      <c r="P454" s="17" t="s">
        <v>262</v>
      </c>
      <c r="Q454" s="17" t="s">
        <v>1684</v>
      </c>
      <c r="R454" s="17" t="s">
        <v>253</v>
      </c>
      <c r="S454" s="108"/>
      <c r="T454" s="108"/>
      <c r="U454" s="111"/>
      <c r="V454" s="108"/>
      <c r="W454" s="108"/>
      <c r="X454" s="108"/>
    </row>
    <row r="455" spans="1:24" s="26" customFormat="1" hidden="1">
      <c r="A455" s="33"/>
      <c r="B455" s="108"/>
      <c r="C455" s="108" t="s">
        <v>1685</v>
      </c>
      <c r="D455" s="31" t="s">
        <v>1686</v>
      </c>
      <c r="E455" s="107" t="s">
        <v>1686</v>
      </c>
      <c r="F455" s="110" t="s">
        <v>1687</v>
      </c>
      <c r="G455" s="107" t="s">
        <v>1688</v>
      </c>
      <c r="H455" s="108" t="s">
        <v>1689</v>
      </c>
      <c r="I455" s="108" t="s">
        <v>1690</v>
      </c>
      <c r="J455" s="107" t="s">
        <v>271</v>
      </c>
      <c r="K455" s="35" t="s">
        <v>248</v>
      </c>
      <c r="L455" s="107" t="s">
        <v>350</v>
      </c>
      <c r="M455" s="107" t="s">
        <v>1691</v>
      </c>
      <c r="N455" s="12"/>
      <c r="O455" s="36">
        <v>42221</v>
      </c>
      <c r="P455" s="17" t="s">
        <v>257</v>
      </c>
      <c r="Q455" s="17" t="s">
        <v>910</v>
      </c>
      <c r="R455" s="12" t="s">
        <v>1692</v>
      </c>
      <c r="S455" s="108" t="s">
        <v>1693</v>
      </c>
      <c r="T455" s="108" t="s">
        <v>1694</v>
      </c>
      <c r="U455" s="110" t="s">
        <v>1695</v>
      </c>
      <c r="V455" s="107" t="s">
        <v>1696</v>
      </c>
      <c r="W455" s="108" t="s">
        <v>1697</v>
      </c>
      <c r="X455" s="108" t="s">
        <v>1698</v>
      </c>
    </row>
    <row r="456" spans="1:24" s="26" customFormat="1" hidden="1">
      <c r="A456" s="33"/>
      <c r="B456" s="108"/>
      <c r="C456" s="108"/>
      <c r="D456" s="31" t="str">
        <f>D455</f>
        <v>金银岛</v>
      </c>
      <c r="E456" s="108"/>
      <c r="F456" s="111"/>
      <c r="G456" s="108"/>
      <c r="H456" s="108"/>
      <c r="I456" s="108"/>
      <c r="J456" s="108"/>
      <c r="K456" s="37" t="str">
        <f>K455</f>
        <v>已关闭</v>
      </c>
      <c r="L456" s="108"/>
      <c r="M456" s="108"/>
      <c r="N456" s="17"/>
      <c r="O456" s="36">
        <v>39965</v>
      </c>
      <c r="P456" s="17" t="s">
        <v>262</v>
      </c>
      <c r="Q456" s="17" t="s">
        <v>637</v>
      </c>
      <c r="R456" s="12" t="s">
        <v>1699</v>
      </c>
      <c r="S456" s="108"/>
      <c r="T456" s="108"/>
      <c r="U456" s="111"/>
      <c r="V456" s="108"/>
      <c r="W456" s="108"/>
      <c r="X456" s="108"/>
    </row>
    <row r="457" spans="1:24" s="26" customFormat="1" hidden="1">
      <c r="A457" s="33"/>
      <c r="B457" s="108"/>
      <c r="C457" s="108" t="s">
        <v>1700</v>
      </c>
      <c r="D457" s="31" t="s">
        <v>1701</v>
      </c>
      <c r="E457" s="107" t="s">
        <v>1701</v>
      </c>
      <c r="F457" s="110" t="s">
        <v>1702</v>
      </c>
      <c r="G457" s="107" t="s">
        <v>1703</v>
      </c>
      <c r="H457" s="108"/>
      <c r="I457" s="108" t="s">
        <v>593</v>
      </c>
      <c r="J457" s="107" t="s">
        <v>385</v>
      </c>
      <c r="K457" s="35" t="s">
        <v>248</v>
      </c>
      <c r="L457" s="107" t="s">
        <v>350</v>
      </c>
      <c r="M457" s="107" t="s">
        <v>1704</v>
      </c>
      <c r="N457" s="12"/>
      <c r="O457" s="36">
        <v>41935</v>
      </c>
      <c r="P457" s="17" t="s">
        <v>262</v>
      </c>
      <c r="Q457" s="17" t="s">
        <v>360</v>
      </c>
      <c r="R457" s="12" t="s">
        <v>240</v>
      </c>
      <c r="S457" s="108" t="s">
        <v>1705</v>
      </c>
      <c r="T457" s="108" t="s">
        <v>749</v>
      </c>
      <c r="U457" s="110" t="s">
        <v>1706</v>
      </c>
      <c r="V457" s="107" t="s">
        <v>1707</v>
      </c>
      <c r="W457" s="108" t="s">
        <v>1708</v>
      </c>
      <c r="X457" s="108" t="s">
        <v>1709</v>
      </c>
    </row>
    <row r="458" spans="1:24" s="26" customFormat="1" hidden="1">
      <c r="A458" s="33"/>
      <c r="B458" s="108"/>
      <c r="C458" s="108"/>
      <c r="D458" s="31" t="str">
        <f>D457</f>
        <v>妈妈值得买</v>
      </c>
      <c r="E458" s="108"/>
      <c r="F458" s="111"/>
      <c r="G458" s="108"/>
      <c r="H458" s="108"/>
      <c r="I458" s="108"/>
      <c r="J458" s="108"/>
      <c r="K458" s="37" t="str">
        <f>K457</f>
        <v>已关闭</v>
      </c>
      <c r="L458" s="108"/>
      <c r="M458" s="108"/>
      <c r="N458" s="17"/>
      <c r="O458" s="36">
        <v>41760</v>
      </c>
      <c r="P458" s="12" t="s">
        <v>326</v>
      </c>
      <c r="Q458" s="12" t="s">
        <v>327</v>
      </c>
      <c r="R458" s="12" t="s">
        <v>399</v>
      </c>
      <c r="S458" s="108"/>
      <c r="T458" s="108"/>
      <c r="U458" s="111"/>
      <c r="V458" s="108"/>
      <c r="W458" s="108"/>
      <c r="X458" s="108"/>
    </row>
    <row r="459" spans="1:24" s="26" customFormat="1" hidden="1">
      <c r="A459" s="33"/>
      <c r="B459" s="108"/>
      <c r="C459" s="108" t="s">
        <v>1710</v>
      </c>
      <c r="D459" s="31" t="s">
        <v>1711</v>
      </c>
      <c r="E459" s="107" t="s">
        <v>1711</v>
      </c>
      <c r="F459" s="110" t="s">
        <v>1712</v>
      </c>
      <c r="G459" s="107" t="s">
        <v>1713</v>
      </c>
      <c r="H459" s="108" t="s">
        <v>1714</v>
      </c>
      <c r="I459" s="108" t="s">
        <v>1715</v>
      </c>
      <c r="J459" s="107" t="s">
        <v>1215</v>
      </c>
      <c r="K459" s="31" t="s">
        <v>272</v>
      </c>
      <c r="L459" s="107" t="s">
        <v>386</v>
      </c>
      <c r="M459" s="107" t="s">
        <v>645</v>
      </c>
      <c r="N459" s="12"/>
      <c r="O459" s="36">
        <v>42159</v>
      </c>
      <c r="P459" s="12" t="s">
        <v>285</v>
      </c>
      <c r="Q459" s="17" t="s">
        <v>1716</v>
      </c>
      <c r="R459" s="12" t="s">
        <v>240</v>
      </c>
      <c r="S459" s="108" t="s">
        <v>1717</v>
      </c>
      <c r="T459" s="108" t="s">
        <v>1718</v>
      </c>
      <c r="U459" s="111"/>
      <c r="V459" s="108"/>
      <c r="W459" s="108"/>
      <c r="X459" s="108" t="s">
        <v>1719</v>
      </c>
    </row>
    <row r="460" spans="1:24" s="26" customFormat="1" hidden="1">
      <c r="A460" s="33"/>
      <c r="B460" s="108"/>
      <c r="C460" s="108"/>
      <c r="D460" s="31" t="str">
        <f>D459</f>
        <v>第一财经</v>
      </c>
      <c r="E460" s="108"/>
      <c r="F460" s="111"/>
      <c r="G460" s="108"/>
      <c r="H460" s="108"/>
      <c r="I460" s="108"/>
      <c r="J460" s="108"/>
      <c r="K460" s="31" t="str">
        <f>K459</f>
        <v>运营中</v>
      </c>
      <c r="L460" s="108"/>
      <c r="M460" s="108"/>
      <c r="N460" s="17"/>
      <c r="O460" s="36">
        <v>40539</v>
      </c>
      <c r="P460" s="12" t="s">
        <v>285</v>
      </c>
      <c r="Q460" s="12" t="s">
        <v>409</v>
      </c>
      <c r="R460" s="12" t="s">
        <v>1720</v>
      </c>
      <c r="S460" s="108"/>
      <c r="T460" s="108"/>
      <c r="U460" s="111"/>
      <c r="V460" s="108"/>
      <c r="W460" s="108"/>
      <c r="X460" s="108"/>
    </row>
    <row r="461" spans="1:24" s="26" customFormat="1" hidden="1">
      <c r="A461" s="33"/>
      <c r="B461" s="108"/>
      <c r="C461" s="108" t="s">
        <v>1721</v>
      </c>
      <c r="D461" s="31" t="s">
        <v>1722</v>
      </c>
      <c r="E461" s="108" t="s">
        <v>1722</v>
      </c>
      <c r="F461" s="111" t="s">
        <v>1723</v>
      </c>
      <c r="G461" s="108"/>
      <c r="H461" s="108" t="s">
        <v>1724</v>
      </c>
      <c r="I461" s="108" t="s">
        <v>616</v>
      </c>
      <c r="J461" s="107" t="s">
        <v>1725</v>
      </c>
      <c r="K461" s="31" t="s">
        <v>272</v>
      </c>
      <c r="L461" s="107" t="s">
        <v>350</v>
      </c>
      <c r="M461" s="107" t="s">
        <v>617</v>
      </c>
      <c r="N461" s="12"/>
      <c r="O461" s="36">
        <v>43672</v>
      </c>
      <c r="P461" s="12" t="s">
        <v>285</v>
      </c>
      <c r="Q461" s="12" t="s">
        <v>276</v>
      </c>
      <c r="R461" s="17" t="s">
        <v>1726</v>
      </c>
      <c r="S461" s="108" t="s">
        <v>1727</v>
      </c>
      <c r="T461" s="108" t="s">
        <v>1728</v>
      </c>
      <c r="U461" s="111" t="s">
        <v>1729</v>
      </c>
      <c r="V461" s="108"/>
      <c r="W461" s="108"/>
      <c r="X461" s="108"/>
    </row>
    <row r="462" spans="1:24" s="26" customFormat="1" hidden="1">
      <c r="A462" s="33"/>
      <c r="B462" s="108"/>
      <c r="C462" s="108"/>
      <c r="D462" s="31" t="str">
        <f t="shared" ref="D462:D471" si="95">D461</f>
        <v>Snapdeal</v>
      </c>
      <c r="E462" s="108"/>
      <c r="F462" s="111"/>
      <c r="G462" s="108"/>
      <c r="H462" s="108"/>
      <c r="I462" s="108"/>
      <c r="J462" s="108"/>
      <c r="K462" s="31" t="str">
        <f t="shared" ref="K462:K471" si="96">K461</f>
        <v>运营中</v>
      </c>
      <c r="L462" s="108"/>
      <c r="M462" s="108"/>
      <c r="N462" s="17"/>
      <c r="O462" s="36">
        <v>42891</v>
      </c>
      <c r="P462" s="12" t="s">
        <v>285</v>
      </c>
      <c r="Q462" s="17" t="s">
        <v>1730</v>
      </c>
      <c r="R462" s="17" t="s">
        <v>1731</v>
      </c>
      <c r="S462" s="108"/>
      <c r="T462" s="108"/>
      <c r="U462" s="111"/>
      <c r="V462" s="108"/>
      <c r="W462" s="108"/>
      <c r="X462" s="108"/>
    </row>
    <row r="463" spans="1:24" s="26" customFormat="1" hidden="1">
      <c r="A463" s="33"/>
      <c r="B463" s="108"/>
      <c r="C463" s="108"/>
      <c r="D463" s="31" t="str">
        <f t="shared" si="95"/>
        <v>Snapdeal</v>
      </c>
      <c r="E463" s="108"/>
      <c r="F463" s="111"/>
      <c r="G463" s="108"/>
      <c r="H463" s="108"/>
      <c r="I463" s="108"/>
      <c r="J463" s="108"/>
      <c r="K463" s="31" t="str">
        <f t="shared" si="96"/>
        <v>运营中</v>
      </c>
      <c r="L463" s="108"/>
      <c r="M463" s="108"/>
      <c r="N463" s="17"/>
      <c r="O463" s="36">
        <v>42612</v>
      </c>
      <c r="P463" s="17" t="s">
        <v>303</v>
      </c>
      <c r="Q463" s="17" t="s">
        <v>1732</v>
      </c>
      <c r="R463" s="17" t="s">
        <v>253</v>
      </c>
      <c r="S463" s="108"/>
      <c r="T463" s="108"/>
      <c r="U463" s="111"/>
      <c r="V463" s="108"/>
      <c r="W463" s="108"/>
      <c r="X463" s="108"/>
    </row>
    <row r="464" spans="1:24" s="26" customFormat="1" hidden="1">
      <c r="A464" s="33"/>
      <c r="B464" s="108"/>
      <c r="C464" s="108"/>
      <c r="D464" s="31" t="str">
        <f t="shared" si="95"/>
        <v>Snapdeal</v>
      </c>
      <c r="E464" s="108"/>
      <c r="F464" s="111"/>
      <c r="G464" s="108"/>
      <c r="H464" s="108"/>
      <c r="I464" s="108"/>
      <c r="J464" s="108"/>
      <c r="K464" s="31" t="str">
        <f t="shared" si="96"/>
        <v>运营中</v>
      </c>
      <c r="L464" s="108"/>
      <c r="M464" s="108"/>
      <c r="N464" s="17"/>
      <c r="O464" s="36">
        <v>42416</v>
      </c>
      <c r="P464" s="17" t="s">
        <v>303</v>
      </c>
      <c r="Q464" s="17" t="s">
        <v>792</v>
      </c>
      <c r="R464" s="12" t="s">
        <v>1733</v>
      </c>
      <c r="S464" s="108"/>
      <c r="T464" s="108"/>
      <c r="U464" s="111"/>
      <c r="V464" s="108"/>
      <c r="W464" s="108"/>
      <c r="X464" s="108"/>
    </row>
    <row r="465" spans="1:25" s="26" customFormat="1" hidden="1">
      <c r="A465" s="33"/>
      <c r="B465" s="108"/>
      <c r="C465" s="108"/>
      <c r="D465" s="31" t="str">
        <f t="shared" si="95"/>
        <v>Snapdeal</v>
      </c>
      <c r="E465" s="108"/>
      <c r="F465" s="111"/>
      <c r="G465" s="108"/>
      <c r="H465" s="108"/>
      <c r="I465" s="108"/>
      <c r="J465" s="108"/>
      <c r="K465" s="31" t="str">
        <f t="shared" si="96"/>
        <v>运营中</v>
      </c>
      <c r="L465" s="108"/>
      <c r="M465" s="108"/>
      <c r="N465" s="17"/>
      <c r="O465" s="36">
        <v>42235</v>
      </c>
      <c r="P465" s="12" t="s">
        <v>285</v>
      </c>
      <c r="Q465" s="17" t="s">
        <v>288</v>
      </c>
      <c r="R465" s="12" t="s">
        <v>1734</v>
      </c>
      <c r="S465" s="108"/>
      <c r="T465" s="108"/>
      <c r="U465" s="111"/>
      <c r="V465" s="108"/>
      <c r="W465" s="108"/>
      <c r="X465" s="108"/>
    </row>
    <row r="466" spans="1:25" s="26" customFormat="1" hidden="1">
      <c r="A466" s="33"/>
      <c r="B466" s="108"/>
      <c r="C466" s="108"/>
      <c r="D466" s="31" t="str">
        <f t="shared" si="95"/>
        <v>Snapdeal</v>
      </c>
      <c r="E466" s="108"/>
      <c r="F466" s="111"/>
      <c r="G466" s="108"/>
      <c r="H466" s="108"/>
      <c r="I466" s="108"/>
      <c r="J466" s="108"/>
      <c r="K466" s="31" t="str">
        <f t="shared" si="96"/>
        <v>运营中</v>
      </c>
      <c r="L466" s="108"/>
      <c r="M466" s="108"/>
      <c r="N466" s="17"/>
      <c r="O466" s="36">
        <v>41940</v>
      </c>
      <c r="P466" s="17" t="s">
        <v>303</v>
      </c>
      <c r="Q466" s="17" t="s">
        <v>1735</v>
      </c>
      <c r="R466" s="17" t="s">
        <v>1736</v>
      </c>
      <c r="S466" s="108"/>
      <c r="T466" s="108"/>
      <c r="U466" s="111"/>
      <c r="V466" s="108"/>
      <c r="W466" s="108"/>
      <c r="X466" s="108"/>
    </row>
    <row r="467" spans="1:25" s="26" customFormat="1" hidden="1">
      <c r="A467" s="33"/>
      <c r="B467" s="108"/>
      <c r="C467" s="108"/>
      <c r="D467" s="31" t="str">
        <f t="shared" si="95"/>
        <v>Snapdeal</v>
      </c>
      <c r="E467" s="108"/>
      <c r="F467" s="111"/>
      <c r="G467" s="108"/>
      <c r="H467" s="108"/>
      <c r="I467" s="108"/>
      <c r="J467" s="108"/>
      <c r="K467" s="31" t="str">
        <f t="shared" si="96"/>
        <v>运营中</v>
      </c>
      <c r="L467" s="108"/>
      <c r="M467" s="108"/>
      <c r="N467" s="17"/>
      <c r="O467" s="36">
        <v>41780</v>
      </c>
      <c r="P467" s="17" t="s">
        <v>303</v>
      </c>
      <c r="Q467" s="17" t="s">
        <v>320</v>
      </c>
      <c r="R467" s="12" t="s">
        <v>1737</v>
      </c>
      <c r="S467" s="108"/>
      <c r="T467" s="108"/>
      <c r="U467" s="111"/>
      <c r="V467" s="108"/>
      <c r="W467" s="108"/>
      <c r="X467" s="108"/>
    </row>
    <row r="468" spans="1:25" s="26" customFormat="1" hidden="1">
      <c r="A468" s="33"/>
      <c r="B468" s="108"/>
      <c r="C468" s="108"/>
      <c r="D468" s="31" t="str">
        <f t="shared" si="95"/>
        <v>Snapdeal</v>
      </c>
      <c r="E468" s="108"/>
      <c r="F468" s="111"/>
      <c r="G468" s="108"/>
      <c r="H468" s="108"/>
      <c r="I468" s="108"/>
      <c r="J468" s="108"/>
      <c r="K468" s="31" t="str">
        <f t="shared" si="96"/>
        <v>运营中</v>
      </c>
      <c r="L468" s="108"/>
      <c r="M468" s="108"/>
      <c r="N468" s="17"/>
      <c r="O468" s="36">
        <v>41696</v>
      </c>
      <c r="P468" s="17" t="s">
        <v>310</v>
      </c>
      <c r="Q468" s="17" t="s">
        <v>1738</v>
      </c>
      <c r="R468" s="12" t="s">
        <v>1739</v>
      </c>
      <c r="S468" s="108"/>
      <c r="T468" s="108"/>
      <c r="U468" s="111"/>
      <c r="V468" s="108"/>
      <c r="W468" s="108"/>
      <c r="X468" s="108"/>
    </row>
    <row r="469" spans="1:25" s="26" customFormat="1" hidden="1">
      <c r="A469" s="33"/>
      <c r="B469" s="108"/>
      <c r="C469" s="108"/>
      <c r="D469" s="31" t="str">
        <f t="shared" si="95"/>
        <v>Snapdeal</v>
      </c>
      <c r="E469" s="108"/>
      <c r="F469" s="111"/>
      <c r="G469" s="108"/>
      <c r="H469" s="108"/>
      <c r="I469" s="108"/>
      <c r="J469" s="108"/>
      <c r="K469" s="31" t="str">
        <f t="shared" si="96"/>
        <v>运营中</v>
      </c>
      <c r="L469" s="108"/>
      <c r="M469" s="108"/>
      <c r="N469" s="17"/>
      <c r="O469" s="36">
        <v>41365</v>
      </c>
      <c r="P469" s="17" t="s">
        <v>251</v>
      </c>
      <c r="Q469" s="17" t="s">
        <v>1032</v>
      </c>
      <c r="R469" s="12" t="s">
        <v>1740</v>
      </c>
      <c r="S469" s="108"/>
      <c r="T469" s="108"/>
      <c r="U469" s="111"/>
      <c r="V469" s="108"/>
      <c r="W469" s="108"/>
      <c r="X469" s="108"/>
    </row>
    <row r="470" spans="1:25" s="26" customFormat="1" hidden="1">
      <c r="A470" s="33"/>
      <c r="B470" s="108"/>
      <c r="C470" s="108"/>
      <c r="D470" s="31" t="str">
        <f t="shared" si="95"/>
        <v>Snapdeal</v>
      </c>
      <c r="E470" s="108"/>
      <c r="F470" s="111"/>
      <c r="G470" s="108"/>
      <c r="H470" s="108"/>
      <c r="I470" s="108"/>
      <c r="J470" s="108"/>
      <c r="K470" s="31" t="str">
        <f t="shared" si="96"/>
        <v>运营中</v>
      </c>
      <c r="L470" s="108"/>
      <c r="M470" s="108"/>
      <c r="N470" s="17"/>
      <c r="O470" s="36">
        <v>40814</v>
      </c>
      <c r="P470" s="17" t="s">
        <v>257</v>
      </c>
      <c r="Q470" s="17" t="s">
        <v>676</v>
      </c>
      <c r="R470" s="17" t="s">
        <v>1741</v>
      </c>
      <c r="S470" s="108"/>
      <c r="T470" s="108"/>
      <c r="U470" s="111"/>
      <c r="V470" s="108"/>
      <c r="W470" s="108"/>
      <c r="X470" s="108"/>
    </row>
    <row r="471" spans="1:25" s="26" customFormat="1" hidden="1">
      <c r="A471" s="33"/>
      <c r="B471" s="108"/>
      <c r="C471" s="108"/>
      <c r="D471" s="31" t="str">
        <f t="shared" si="95"/>
        <v>Snapdeal</v>
      </c>
      <c r="E471" s="108"/>
      <c r="F471" s="111"/>
      <c r="G471" s="108"/>
      <c r="H471" s="108"/>
      <c r="I471" s="108"/>
      <c r="J471" s="108"/>
      <c r="K471" s="31" t="str">
        <f t="shared" si="96"/>
        <v>运营中</v>
      </c>
      <c r="L471" s="108"/>
      <c r="M471" s="108"/>
      <c r="N471" s="17"/>
      <c r="O471" s="36">
        <v>40571</v>
      </c>
      <c r="P471" s="17" t="s">
        <v>262</v>
      </c>
      <c r="Q471" s="17" t="s">
        <v>567</v>
      </c>
      <c r="R471" s="17" t="s">
        <v>1742</v>
      </c>
      <c r="S471" s="108"/>
      <c r="T471" s="108"/>
      <c r="U471" s="111"/>
      <c r="V471" s="108"/>
      <c r="W471" s="108"/>
      <c r="X471" s="108"/>
    </row>
    <row r="472" spans="1:25" s="26" customFormat="1" ht="104.5" customHeight="1">
      <c r="A472" s="11"/>
      <c r="B472" s="108"/>
      <c r="C472" s="108" t="s">
        <v>1743</v>
      </c>
      <c r="D472" s="31" t="s">
        <v>1744</v>
      </c>
      <c r="E472" s="109" t="s">
        <v>1745</v>
      </c>
      <c r="F472" s="112" t="s">
        <v>1746</v>
      </c>
      <c r="G472" s="107" t="s">
        <v>1747</v>
      </c>
      <c r="H472" s="108" t="s">
        <v>1748</v>
      </c>
      <c r="I472" s="109" t="s">
        <v>1462</v>
      </c>
      <c r="J472" s="109" t="s">
        <v>385</v>
      </c>
      <c r="K472" s="20" t="s">
        <v>1042</v>
      </c>
      <c r="L472" s="109" t="s">
        <v>1043</v>
      </c>
      <c r="M472" s="109" t="s">
        <v>1749</v>
      </c>
      <c r="N472" s="13"/>
      <c r="O472" s="24">
        <v>44068</v>
      </c>
      <c r="P472" s="13" t="s">
        <v>1045</v>
      </c>
      <c r="Q472" s="13" t="s">
        <v>1750</v>
      </c>
      <c r="R472" s="13" t="s">
        <v>1751</v>
      </c>
      <c r="S472" s="109" t="s">
        <v>1752</v>
      </c>
      <c r="T472" s="109" t="s">
        <v>1753</v>
      </c>
      <c r="U472" s="112" t="s">
        <v>1754</v>
      </c>
      <c r="V472" s="107" t="s">
        <v>1755</v>
      </c>
      <c r="W472" s="108" t="s">
        <v>1756</v>
      </c>
      <c r="X472" s="108" t="s">
        <v>1757</v>
      </c>
      <c r="Y472" s="11"/>
    </row>
    <row r="473" spans="1:25" s="26" customFormat="1" hidden="1">
      <c r="A473" s="33"/>
      <c r="B473" s="108"/>
      <c r="C473" s="108"/>
      <c r="D473" s="31" t="str">
        <f>D472</f>
        <v>河狸家</v>
      </c>
      <c r="E473" s="108"/>
      <c r="F473" s="111"/>
      <c r="G473" s="108"/>
      <c r="H473" s="108"/>
      <c r="I473" s="108"/>
      <c r="J473" s="108"/>
      <c r="K473" s="31" t="str">
        <f t="shared" ref="K473:K477" si="97">K472</f>
        <v>运营中</v>
      </c>
      <c r="L473" s="108"/>
      <c r="M473" s="108"/>
      <c r="N473" s="17"/>
      <c r="O473" s="36">
        <v>42866</v>
      </c>
      <c r="P473" s="17" t="s">
        <v>317</v>
      </c>
      <c r="Q473" s="17" t="s">
        <v>1115</v>
      </c>
      <c r="R473" s="17" t="s">
        <v>1758</v>
      </c>
      <c r="S473" s="108"/>
      <c r="T473" s="108"/>
      <c r="U473" s="111"/>
      <c r="V473" s="108"/>
      <c r="W473" s="108"/>
      <c r="X473" s="108"/>
    </row>
    <row r="474" spans="1:25" s="26" customFormat="1" hidden="1">
      <c r="A474" s="33"/>
      <c r="B474" s="108"/>
      <c r="C474" s="108"/>
      <c r="D474" s="31" t="str">
        <f>D473</f>
        <v>河狸家</v>
      </c>
      <c r="E474" s="108"/>
      <c r="F474" s="111"/>
      <c r="G474" s="108"/>
      <c r="H474" s="108"/>
      <c r="I474" s="108"/>
      <c r="J474" s="108"/>
      <c r="K474" s="31" t="str">
        <f t="shared" si="97"/>
        <v>运营中</v>
      </c>
      <c r="L474" s="108"/>
      <c r="M474" s="108"/>
      <c r="N474" s="17"/>
      <c r="O474" s="36">
        <v>42053</v>
      </c>
      <c r="P474" s="17" t="s">
        <v>251</v>
      </c>
      <c r="Q474" s="17" t="s">
        <v>1032</v>
      </c>
      <c r="R474" s="17" t="s">
        <v>1759</v>
      </c>
      <c r="S474" s="108"/>
      <c r="T474" s="108"/>
      <c r="U474" s="111"/>
      <c r="V474" s="108"/>
      <c r="W474" s="108"/>
      <c r="X474" s="108"/>
    </row>
    <row r="475" spans="1:25" s="26" customFormat="1" hidden="1">
      <c r="A475" s="33"/>
      <c r="B475" s="108"/>
      <c r="C475" s="108"/>
      <c r="D475" s="31" t="str">
        <f>D474</f>
        <v>河狸家</v>
      </c>
      <c r="E475" s="108"/>
      <c r="F475" s="111"/>
      <c r="G475" s="108"/>
      <c r="H475" s="108"/>
      <c r="I475" s="108"/>
      <c r="J475" s="108"/>
      <c r="K475" s="31" t="str">
        <f t="shared" si="97"/>
        <v>运营中</v>
      </c>
      <c r="L475" s="108"/>
      <c r="M475" s="108"/>
      <c r="N475" s="17"/>
      <c r="O475" s="36">
        <v>41935</v>
      </c>
      <c r="P475" s="17" t="s">
        <v>257</v>
      </c>
      <c r="Q475" s="12" t="s">
        <v>258</v>
      </c>
      <c r="R475" s="17" t="s">
        <v>1760</v>
      </c>
      <c r="S475" s="108"/>
      <c r="T475" s="108"/>
      <c r="U475" s="111"/>
      <c r="V475" s="108"/>
      <c r="W475" s="108"/>
      <c r="X475" s="108"/>
    </row>
    <row r="476" spans="1:25" s="26" customFormat="1" hidden="1">
      <c r="A476" s="33"/>
      <c r="B476" s="108"/>
      <c r="C476" s="108"/>
      <c r="D476" s="31" t="str">
        <f>D475</f>
        <v>河狸家</v>
      </c>
      <c r="E476" s="108"/>
      <c r="F476" s="111"/>
      <c r="G476" s="108"/>
      <c r="H476" s="108"/>
      <c r="I476" s="108"/>
      <c r="J476" s="108"/>
      <c r="K476" s="31" t="str">
        <f t="shared" si="97"/>
        <v>运营中</v>
      </c>
      <c r="L476" s="108"/>
      <c r="M476" s="108"/>
      <c r="N476" s="17"/>
      <c r="O476" s="36">
        <v>41834</v>
      </c>
      <c r="P476" s="17" t="s">
        <v>262</v>
      </c>
      <c r="Q476" s="17" t="s">
        <v>639</v>
      </c>
      <c r="R476" s="17" t="s">
        <v>831</v>
      </c>
      <c r="S476" s="108"/>
      <c r="T476" s="108"/>
      <c r="U476" s="111"/>
      <c r="V476" s="108"/>
      <c r="W476" s="108"/>
      <c r="X476" s="108"/>
    </row>
    <row r="477" spans="1:25" s="26" customFormat="1" hidden="1">
      <c r="A477" s="33"/>
      <c r="B477" s="108"/>
      <c r="C477" s="108"/>
      <c r="D477" s="31" t="str">
        <f>D476</f>
        <v>河狸家</v>
      </c>
      <c r="E477" s="108"/>
      <c r="F477" s="111"/>
      <c r="G477" s="108"/>
      <c r="H477" s="108"/>
      <c r="I477" s="108"/>
      <c r="J477" s="108"/>
      <c r="K477" s="31" t="str">
        <f t="shared" si="97"/>
        <v>运营中</v>
      </c>
      <c r="L477" s="108"/>
      <c r="M477" s="108"/>
      <c r="N477" s="17"/>
      <c r="O477" s="36">
        <v>41730</v>
      </c>
      <c r="P477" s="12" t="s">
        <v>326</v>
      </c>
      <c r="Q477" s="12" t="s">
        <v>327</v>
      </c>
      <c r="R477" s="17" t="s">
        <v>831</v>
      </c>
      <c r="S477" s="108"/>
      <c r="T477" s="108"/>
      <c r="U477" s="111"/>
      <c r="V477" s="108"/>
      <c r="W477" s="108"/>
      <c r="X477" s="108"/>
    </row>
    <row r="478" spans="1:25" s="26" customFormat="1" hidden="1">
      <c r="A478" s="33"/>
      <c r="B478" s="108"/>
      <c r="C478" s="108" t="s">
        <v>1761</v>
      </c>
      <c r="D478" s="31" t="s">
        <v>1762</v>
      </c>
      <c r="E478" s="107" t="s">
        <v>1762</v>
      </c>
      <c r="F478" s="110" t="s">
        <v>1763</v>
      </c>
      <c r="G478" s="107" t="s">
        <v>1764</v>
      </c>
      <c r="H478" s="108" t="s">
        <v>1765</v>
      </c>
      <c r="I478" s="108" t="s">
        <v>1766</v>
      </c>
      <c r="J478" s="107" t="s">
        <v>406</v>
      </c>
      <c r="K478" s="31" t="s">
        <v>272</v>
      </c>
      <c r="L478" s="107" t="s">
        <v>386</v>
      </c>
      <c r="M478" s="107" t="s">
        <v>1767</v>
      </c>
      <c r="N478" s="12">
        <v>1</v>
      </c>
      <c r="O478" s="36">
        <v>41738</v>
      </c>
      <c r="P478" s="17" t="s">
        <v>687</v>
      </c>
      <c r="Q478" s="17" t="s">
        <v>1768</v>
      </c>
      <c r="R478" s="12" t="s">
        <v>1769</v>
      </c>
      <c r="S478" s="108" t="s">
        <v>1770</v>
      </c>
      <c r="T478" s="108" t="s">
        <v>1771</v>
      </c>
      <c r="U478" s="110" t="s">
        <v>1772</v>
      </c>
      <c r="V478" s="108"/>
      <c r="W478" s="108"/>
      <c r="X478" s="108"/>
    </row>
    <row r="479" spans="1:25" s="26" customFormat="1" hidden="1">
      <c r="A479" s="33"/>
      <c r="B479" s="108"/>
      <c r="C479" s="108"/>
      <c r="D479" s="31" t="str">
        <f>D478</f>
        <v>华数传媒</v>
      </c>
      <c r="E479" s="108"/>
      <c r="F479" s="111"/>
      <c r="G479" s="108"/>
      <c r="H479" s="108"/>
      <c r="I479" s="108"/>
      <c r="J479" s="108"/>
      <c r="K479" s="31" t="str">
        <f>K478</f>
        <v>运营中</v>
      </c>
      <c r="L479" s="108"/>
      <c r="M479" s="108"/>
      <c r="N479" s="12">
        <v>1</v>
      </c>
      <c r="O479" s="36">
        <v>36775</v>
      </c>
      <c r="P479" s="17" t="s">
        <v>283</v>
      </c>
      <c r="Q479" s="17" t="s">
        <v>1773</v>
      </c>
      <c r="R479" s="17" t="s">
        <v>253</v>
      </c>
      <c r="S479" s="108"/>
      <c r="T479" s="108"/>
      <c r="U479" s="111"/>
      <c r="V479" s="108"/>
      <c r="W479" s="108"/>
      <c r="X479" s="108"/>
    </row>
    <row r="480" spans="1:25" s="26" customFormat="1" hidden="1">
      <c r="A480" s="33"/>
      <c r="B480" s="108"/>
      <c r="C480" s="108" t="s">
        <v>1774</v>
      </c>
      <c r="D480" s="31" t="s">
        <v>1775</v>
      </c>
      <c r="E480" s="108" t="s">
        <v>1776</v>
      </c>
      <c r="F480" s="111" t="s">
        <v>1777</v>
      </c>
      <c r="G480" s="108"/>
      <c r="H480" s="108" t="s">
        <v>1778</v>
      </c>
      <c r="I480" s="108" t="s">
        <v>1779</v>
      </c>
      <c r="J480" s="107" t="s">
        <v>1780</v>
      </c>
      <c r="K480" s="31" t="s">
        <v>272</v>
      </c>
      <c r="L480" s="107" t="s">
        <v>512</v>
      </c>
      <c r="M480" s="107" t="s">
        <v>1781</v>
      </c>
      <c r="N480" s="12"/>
      <c r="O480" s="36">
        <v>42193</v>
      </c>
      <c r="P480" s="12" t="s">
        <v>285</v>
      </c>
      <c r="Q480" s="17" t="s">
        <v>1782</v>
      </c>
      <c r="R480" s="12" t="s">
        <v>240</v>
      </c>
      <c r="S480" s="108" t="s">
        <v>1783</v>
      </c>
      <c r="T480" s="108" t="s">
        <v>1784</v>
      </c>
      <c r="U480" s="111"/>
      <c r="V480" s="108"/>
      <c r="W480" s="108"/>
      <c r="X480" s="108"/>
    </row>
    <row r="481" spans="1:25" s="26" customFormat="1" hidden="1">
      <c r="A481" s="33"/>
      <c r="B481" s="108"/>
      <c r="C481" s="108"/>
      <c r="D481" s="31" t="str">
        <f>D480</f>
        <v>SingPost新加坡邮政</v>
      </c>
      <c r="E481" s="108"/>
      <c r="F481" s="111"/>
      <c r="G481" s="108"/>
      <c r="H481" s="108"/>
      <c r="I481" s="108"/>
      <c r="J481" s="108"/>
      <c r="K481" s="31" t="str">
        <f>K480</f>
        <v>运营中</v>
      </c>
      <c r="L481" s="108"/>
      <c r="M481" s="108"/>
      <c r="N481" s="17"/>
      <c r="O481" s="36">
        <v>41760</v>
      </c>
      <c r="P481" s="12" t="s">
        <v>285</v>
      </c>
      <c r="Q481" s="17" t="s">
        <v>1785</v>
      </c>
      <c r="R481" s="12" t="s">
        <v>240</v>
      </c>
      <c r="S481" s="108"/>
      <c r="T481" s="108"/>
      <c r="U481" s="111"/>
      <c r="V481" s="108"/>
      <c r="W481" s="108"/>
      <c r="X481" s="108"/>
    </row>
    <row r="482" spans="1:25" s="26" customFormat="1" ht="48" hidden="1">
      <c r="A482" s="33"/>
      <c r="B482" s="108"/>
      <c r="C482" s="17" t="s">
        <v>1786</v>
      </c>
      <c r="D482" s="38" t="s">
        <v>1787</v>
      </c>
      <c r="E482" s="12" t="s">
        <v>1787</v>
      </c>
      <c r="F482" s="32" t="s">
        <v>1788</v>
      </c>
      <c r="G482" s="12" t="s">
        <v>1789</v>
      </c>
      <c r="H482" s="17"/>
      <c r="I482" s="17" t="s">
        <v>1790</v>
      </c>
      <c r="J482" s="12" t="s">
        <v>406</v>
      </c>
      <c r="K482" s="38" t="s">
        <v>272</v>
      </c>
      <c r="L482" s="12" t="s">
        <v>350</v>
      </c>
      <c r="M482" s="12" t="s">
        <v>1238</v>
      </c>
      <c r="N482" s="12"/>
      <c r="O482" s="36">
        <v>41699</v>
      </c>
      <c r="P482" s="12" t="s">
        <v>285</v>
      </c>
      <c r="Q482" s="17" t="s">
        <v>1791</v>
      </c>
      <c r="R482" s="12" t="s">
        <v>240</v>
      </c>
      <c r="S482" s="17" t="s">
        <v>1792</v>
      </c>
      <c r="T482" s="17" t="s">
        <v>1793</v>
      </c>
      <c r="U482" s="34"/>
      <c r="V482" s="17"/>
      <c r="W482" s="17"/>
      <c r="X482" s="17"/>
    </row>
    <row r="483" spans="1:25" s="26" customFormat="1" ht="60" hidden="1">
      <c r="A483" s="33"/>
      <c r="B483" s="108"/>
      <c r="C483" s="17" t="s">
        <v>1611</v>
      </c>
      <c r="D483" s="38" t="s">
        <v>1794</v>
      </c>
      <c r="E483" s="12" t="s">
        <v>1794</v>
      </c>
      <c r="F483" s="32" t="s">
        <v>1795</v>
      </c>
      <c r="G483" s="12" t="s">
        <v>1796</v>
      </c>
      <c r="H483" s="17" t="s">
        <v>1797</v>
      </c>
      <c r="I483" s="17" t="s">
        <v>1632</v>
      </c>
      <c r="J483" s="12" t="s">
        <v>547</v>
      </c>
      <c r="K483" s="38" t="s">
        <v>272</v>
      </c>
      <c r="L483" s="12" t="s">
        <v>1798</v>
      </c>
      <c r="M483" s="12" t="s">
        <v>1799</v>
      </c>
      <c r="N483" s="12"/>
      <c r="O483" s="36">
        <v>41791</v>
      </c>
      <c r="P483" s="17" t="s">
        <v>262</v>
      </c>
      <c r="Q483" s="17" t="s">
        <v>1716</v>
      </c>
      <c r="R483" s="12" t="s">
        <v>240</v>
      </c>
      <c r="S483" s="17" t="s">
        <v>1800</v>
      </c>
      <c r="T483" s="17" t="s">
        <v>1801</v>
      </c>
      <c r="U483" s="34"/>
      <c r="V483" s="12" t="s">
        <v>1802</v>
      </c>
      <c r="W483" s="17"/>
      <c r="X483" s="17"/>
    </row>
    <row r="484" spans="1:25" s="26" customFormat="1" hidden="1">
      <c r="A484" s="33"/>
      <c r="B484" s="108"/>
      <c r="C484" s="108" t="s">
        <v>1803</v>
      </c>
      <c r="D484" s="31" t="s">
        <v>1804</v>
      </c>
      <c r="E484" s="107" t="s">
        <v>1804</v>
      </c>
      <c r="F484" s="110" t="s">
        <v>1805</v>
      </c>
      <c r="G484" s="107" t="s">
        <v>1806</v>
      </c>
      <c r="H484" s="108" t="s">
        <v>1807</v>
      </c>
      <c r="I484" s="108" t="s">
        <v>1808</v>
      </c>
      <c r="J484" s="107" t="s">
        <v>1809</v>
      </c>
      <c r="K484" s="31" t="s">
        <v>272</v>
      </c>
      <c r="L484" s="107" t="s">
        <v>386</v>
      </c>
      <c r="M484" s="107" t="s">
        <v>387</v>
      </c>
      <c r="N484" s="12">
        <v>1</v>
      </c>
      <c r="O484" s="36">
        <v>43446</v>
      </c>
      <c r="P484" s="17" t="s">
        <v>687</v>
      </c>
      <c r="Q484" s="17" t="s">
        <v>1810</v>
      </c>
      <c r="R484" s="12" t="s">
        <v>240</v>
      </c>
      <c r="S484" s="108" t="s">
        <v>1811</v>
      </c>
      <c r="T484" s="108" t="s">
        <v>1812</v>
      </c>
      <c r="U484" s="110" t="s">
        <v>1813</v>
      </c>
      <c r="V484" s="107" t="s">
        <v>1814</v>
      </c>
      <c r="W484" s="108" t="s">
        <v>1815</v>
      </c>
      <c r="X484" s="108" t="s">
        <v>1816</v>
      </c>
    </row>
    <row r="485" spans="1:25" s="26" customFormat="1" hidden="1">
      <c r="A485" s="33"/>
      <c r="B485" s="108"/>
      <c r="C485" s="108"/>
      <c r="D485" s="31" t="str">
        <f>D484</f>
        <v>阿里影业</v>
      </c>
      <c r="E485" s="108"/>
      <c r="F485" s="111"/>
      <c r="G485" s="108"/>
      <c r="H485" s="108"/>
      <c r="I485" s="108"/>
      <c r="J485" s="108"/>
      <c r="K485" s="31" t="str">
        <f t="shared" ref="K485:K486" si="98">K484</f>
        <v>运营中</v>
      </c>
      <c r="L485" s="108"/>
      <c r="M485" s="108"/>
      <c r="N485" s="12">
        <v>1</v>
      </c>
      <c r="O485" s="36">
        <v>41699</v>
      </c>
      <c r="P485" s="12" t="s">
        <v>471</v>
      </c>
      <c r="Q485" s="17" t="s">
        <v>1358</v>
      </c>
      <c r="R485" s="12" t="s">
        <v>240</v>
      </c>
      <c r="S485" s="108"/>
      <c r="T485" s="108"/>
      <c r="U485" s="111"/>
      <c r="V485" s="108"/>
      <c r="W485" s="108"/>
      <c r="X485" s="108"/>
    </row>
    <row r="486" spans="1:25" s="26" customFormat="1" hidden="1">
      <c r="A486" s="33"/>
      <c r="B486" s="108"/>
      <c r="C486" s="108"/>
      <c r="D486" s="31" t="str">
        <f>D485</f>
        <v>阿里影业</v>
      </c>
      <c r="E486" s="108"/>
      <c r="F486" s="111"/>
      <c r="G486" s="108"/>
      <c r="H486" s="108"/>
      <c r="I486" s="108"/>
      <c r="J486" s="108"/>
      <c r="K486" s="31" t="str">
        <f t="shared" si="98"/>
        <v>运营中</v>
      </c>
      <c r="L486" s="108"/>
      <c r="M486" s="108"/>
      <c r="N486" s="12">
        <v>1</v>
      </c>
      <c r="O486" s="36">
        <v>34466</v>
      </c>
      <c r="P486" s="17" t="s">
        <v>283</v>
      </c>
      <c r="Q486" s="17" t="s">
        <v>1817</v>
      </c>
      <c r="R486" s="17" t="s">
        <v>253</v>
      </c>
      <c r="S486" s="108"/>
      <c r="T486" s="108"/>
      <c r="U486" s="111"/>
      <c r="V486" s="108"/>
      <c r="W486" s="108"/>
      <c r="X486" s="108"/>
    </row>
    <row r="487" spans="1:25" s="26" customFormat="1" ht="77.5" customHeight="1">
      <c r="A487" s="11"/>
      <c r="B487" s="108"/>
      <c r="C487" s="108" t="s">
        <v>1818</v>
      </c>
      <c r="D487" s="31" t="s">
        <v>1819</v>
      </c>
      <c r="E487" s="109" t="s">
        <v>1820</v>
      </c>
      <c r="F487" s="112" t="s">
        <v>1821</v>
      </c>
      <c r="G487" s="107" t="s">
        <v>1822</v>
      </c>
      <c r="H487" s="108" t="s">
        <v>1823</v>
      </c>
      <c r="I487" s="109" t="s">
        <v>1824</v>
      </c>
      <c r="J487" s="109" t="s">
        <v>1192</v>
      </c>
      <c r="K487" s="20" t="s">
        <v>1042</v>
      </c>
      <c r="L487" s="109" t="s">
        <v>1825</v>
      </c>
      <c r="M487" s="109" t="s">
        <v>1826</v>
      </c>
      <c r="N487" s="13"/>
      <c r="O487" s="24">
        <v>44069</v>
      </c>
      <c r="P487" s="13" t="s">
        <v>1827</v>
      </c>
      <c r="Q487" s="13" t="s">
        <v>1750</v>
      </c>
      <c r="R487" s="13" t="s">
        <v>1751</v>
      </c>
      <c r="S487" s="109" t="s">
        <v>1828</v>
      </c>
      <c r="T487" s="109" t="s">
        <v>1829</v>
      </c>
      <c r="U487" s="112" t="s">
        <v>1830</v>
      </c>
      <c r="V487" s="107" t="s">
        <v>1831</v>
      </c>
      <c r="W487" s="108" t="s">
        <v>1832</v>
      </c>
      <c r="X487" s="108" t="s">
        <v>1833</v>
      </c>
      <c r="Y487" s="11"/>
    </row>
    <row r="488" spans="1:25" s="26" customFormat="1" hidden="1">
      <c r="A488" s="33"/>
      <c r="B488" s="108"/>
      <c r="C488" s="108"/>
      <c r="D488" s="31" t="str">
        <f t="shared" ref="D488:D493" si="99">D487</f>
        <v>小满科技</v>
      </c>
      <c r="E488" s="108"/>
      <c r="F488" s="111"/>
      <c r="G488" s="108"/>
      <c r="H488" s="108"/>
      <c r="I488" s="108"/>
      <c r="J488" s="108"/>
      <c r="K488" s="31" t="str">
        <f t="shared" ref="K488:K493" si="100">K487</f>
        <v>运营中</v>
      </c>
      <c r="L488" s="108"/>
      <c r="M488" s="108"/>
      <c r="N488" s="17"/>
      <c r="O488" s="36">
        <v>43103</v>
      </c>
      <c r="P488" s="17" t="s">
        <v>251</v>
      </c>
      <c r="Q488" s="17" t="s">
        <v>1834</v>
      </c>
      <c r="R488" s="12" t="s">
        <v>1835</v>
      </c>
      <c r="S488" s="108"/>
      <c r="T488" s="108"/>
      <c r="U488" s="111"/>
      <c r="V488" s="108"/>
      <c r="W488" s="108"/>
      <c r="X488" s="108"/>
    </row>
    <row r="489" spans="1:25" s="26" customFormat="1" hidden="1">
      <c r="A489" s="33"/>
      <c r="B489" s="108"/>
      <c r="C489" s="108"/>
      <c r="D489" s="31" t="str">
        <f t="shared" si="99"/>
        <v>小满科技</v>
      </c>
      <c r="E489" s="108"/>
      <c r="F489" s="111"/>
      <c r="G489" s="108"/>
      <c r="H489" s="108"/>
      <c r="I489" s="108"/>
      <c r="J489" s="108"/>
      <c r="K489" s="31" t="str">
        <f t="shared" si="100"/>
        <v>运营中</v>
      </c>
      <c r="L489" s="108"/>
      <c r="M489" s="108"/>
      <c r="N489" s="17"/>
      <c r="O489" s="36">
        <v>42597</v>
      </c>
      <c r="P489" s="17" t="s">
        <v>257</v>
      </c>
      <c r="Q489" s="17" t="s">
        <v>1836</v>
      </c>
      <c r="R489" s="12" t="s">
        <v>665</v>
      </c>
      <c r="S489" s="108"/>
      <c r="T489" s="108"/>
      <c r="U489" s="111"/>
      <c r="V489" s="108"/>
      <c r="W489" s="108"/>
      <c r="X489" s="108"/>
    </row>
    <row r="490" spans="1:25" s="26" customFormat="1" hidden="1">
      <c r="A490" s="33"/>
      <c r="B490" s="108"/>
      <c r="C490" s="108"/>
      <c r="D490" s="31" t="str">
        <f t="shared" si="99"/>
        <v>小满科技</v>
      </c>
      <c r="E490" s="108"/>
      <c r="F490" s="111"/>
      <c r="G490" s="108"/>
      <c r="H490" s="108"/>
      <c r="I490" s="108"/>
      <c r="J490" s="108"/>
      <c r="K490" s="31" t="str">
        <f t="shared" si="100"/>
        <v>运营中</v>
      </c>
      <c r="L490" s="108"/>
      <c r="M490" s="108"/>
      <c r="N490" s="17"/>
      <c r="O490" s="36">
        <v>42451</v>
      </c>
      <c r="P490" s="17" t="s">
        <v>260</v>
      </c>
      <c r="Q490" s="12" t="s">
        <v>341</v>
      </c>
      <c r="R490" s="12" t="s">
        <v>1699</v>
      </c>
      <c r="S490" s="108"/>
      <c r="T490" s="108"/>
      <c r="U490" s="111"/>
      <c r="V490" s="108"/>
      <c r="W490" s="108"/>
      <c r="X490" s="108"/>
    </row>
    <row r="491" spans="1:25" s="26" customFormat="1" hidden="1">
      <c r="A491" s="33"/>
      <c r="B491" s="108"/>
      <c r="C491" s="108"/>
      <c r="D491" s="31" t="str">
        <f t="shared" si="99"/>
        <v>小满科技</v>
      </c>
      <c r="E491" s="108"/>
      <c r="F491" s="111"/>
      <c r="G491" s="108"/>
      <c r="H491" s="108"/>
      <c r="I491" s="108"/>
      <c r="J491" s="108"/>
      <c r="K491" s="31" t="str">
        <f t="shared" si="100"/>
        <v>运营中</v>
      </c>
      <c r="L491" s="108"/>
      <c r="M491" s="108"/>
      <c r="N491" s="17"/>
      <c r="O491" s="36">
        <v>42194</v>
      </c>
      <c r="P491" s="17" t="s">
        <v>262</v>
      </c>
      <c r="Q491" s="12" t="s">
        <v>341</v>
      </c>
      <c r="R491" s="12" t="s">
        <v>1837</v>
      </c>
      <c r="S491" s="108"/>
      <c r="T491" s="108"/>
      <c r="U491" s="111"/>
      <c r="V491" s="108"/>
      <c r="W491" s="108"/>
      <c r="X491" s="108"/>
    </row>
    <row r="492" spans="1:25" s="26" customFormat="1" hidden="1">
      <c r="A492" s="33"/>
      <c r="B492" s="108"/>
      <c r="C492" s="108"/>
      <c r="D492" s="31" t="str">
        <f t="shared" si="99"/>
        <v>小满科技</v>
      </c>
      <c r="E492" s="108"/>
      <c r="F492" s="111"/>
      <c r="G492" s="108"/>
      <c r="H492" s="108"/>
      <c r="I492" s="108"/>
      <c r="J492" s="108"/>
      <c r="K492" s="31" t="str">
        <f t="shared" si="100"/>
        <v>运营中</v>
      </c>
      <c r="L492" s="108"/>
      <c r="M492" s="108"/>
      <c r="N492" s="17"/>
      <c r="O492" s="36">
        <v>41791</v>
      </c>
      <c r="P492" s="12" t="s">
        <v>285</v>
      </c>
      <c r="Q492" s="12" t="s">
        <v>341</v>
      </c>
      <c r="R492" s="12" t="s">
        <v>1838</v>
      </c>
      <c r="S492" s="108"/>
      <c r="T492" s="108"/>
      <c r="U492" s="111"/>
      <c r="V492" s="108"/>
      <c r="W492" s="108"/>
      <c r="X492" s="108"/>
    </row>
    <row r="493" spans="1:25" s="26" customFormat="1" hidden="1">
      <c r="A493" s="33"/>
      <c r="B493" s="108"/>
      <c r="C493" s="108"/>
      <c r="D493" s="31" t="str">
        <f t="shared" si="99"/>
        <v>小满科技</v>
      </c>
      <c r="E493" s="108"/>
      <c r="F493" s="111"/>
      <c r="G493" s="108"/>
      <c r="H493" s="108"/>
      <c r="I493" s="108"/>
      <c r="J493" s="108"/>
      <c r="K493" s="31" t="str">
        <f t="shared" si="100"/>
        <v>运营中</v>
      </c>
      <c r="L493" s="108"/>
      <c r="M493" s="108"/>
      <c r="N493" s="17"/>
      <c r="O493" s="36">
        <v>41435</v>
      </c>
      <c r="P493" s="12" t="s">
        <v>326</v>
      </c>
      <c r="Q493" s="12" t="s">
        <v>327</v>
      </c>
      <c r="R493" s="12" t="s">
        <v>1839</v>
      </c>
      <c r="S493" s="108"/>
      <c r="T493" s="108"/>
      <c r="U493" s="111"/>
      <c r="V493" s="108"/>
      <c r="W493" s="108"/>
      <c r="X493" s="108"/>
    </row>
    <row r="494" spans="1:25" s="26" customFormat="1" hidden="1">
      <c r="A494" s="33"/>
      <c r="B494" s="108"/>
      <c r="C494" s="108" t="s">
        <v>1840</v>
      </c>
      <c r="D494" s="31" t="s">
        <v>1841</v>
      </c>
      <c r="E494" s="107" t="s">
        <v>1841</v>
      </c>
      <c r="F494" s="110" t="s">
        <v>1842</v>
      </c>
      <c r="G494" s="107" t="s">
        <v>1843</v>
      </c>
      <c r="H494" s="108" t="s">
        <v>1844</v>
      </c>
      <c r="I494" s="108" t="s">
        <v>1845</v>
      </c>
      <c r="J494" s="107" t="s">
        <v>547</v>
      </c>
      <c r="K494" s="31" t="s">
        <v>272</v>
      </c>
      <c r="L494" s="107" t="s">
        <v>386</v>
      </c>
      <c r="M494" s="107" t="s">
        <v>645</v>
      </c>
      <c r="N494" s="12"/>
      <c r="O494" s="36">
        <v>42430</v>
      </c>
      <c r="P494" s="12" t="s">
        <v>285</v>
      </c>
      <c r="Q494" s="12" t="s">
        <v>252</v>
      </c>
      <c r="R494" s="12" t="s">
        <v>1846</v>
      </c>
      <c r="S494" s="108" t="s">
        <v>1847</v>
      </c>
      <c r="T494" s="107" t="s">
        <v>255</v>
      </c>
      <c r="U494" s="110" t="s">
        <v>1848</v>
      </c>
      <c r="V494" s="107" t="s">
        <v>1849</v>
      </c>
      <c r="W494" s="108" t="s">
        <v>1850</v>
      </c>
      <c r="X494" s="108" t="s">
        <v>1851</v>
      </c>
    </row>
    <row r="495" spans="1:25" s="26" customFormat="1" hidden="1">
      <c r="A495" s="33"/>
      <c r="B495" s="108"/>
      <c r="C495" s="108"/>
      <c r="D495" s="31" t="str">
        <f>D494</f>
        <v>二十一世纪传媒</v>
      </c>
      <c r="E495" s="108"/>
      <c r="F495" s="111"/>
      <c r="G495" s="108"/>
      <c r="H495" s="108"/>
      <c r="I495" s="108"/>
      <c r="J495" s="108"/>
      <c r="K495" s="31" t="str">
        <f t="shared" ref="K495:K496" si="101">K494</f>
        <v>运营中</v>
      </c>
      <c r="L495" s="108"/>
      <c r="M495" s="108"/>
      <c r="N495" s="17"/>
      <c r="O495" s="36">
        <v>41791</v>
      </c>
      <c r="P495" s="17" t="s">
        <v>262</v>
      </c>
      <c r="Q495" s="17" t="s">
        <v>773</v>
      </c>
      <c r="R495" s="12" t="s">
        <v>240</v>
      </c>
      <c r="S495" s="108"/>
      <c r="T495" s="108"/>
      <c r="U495" s="111"/>
      <c r="V495" s="108"/>
      <c r="W495" s="108"/>
      <c r="X495" s="108"/>
    </row>
    <row r="496" spans="1:25" s="26" customFormat="1" hidden="1">
      <c r="A496" s="33"/>
      <c r="B496" s="108"/>
      <c r="C496" s="108"/>
      <c r="D496" s="31" t="str">
        <f>D495</f>
        <v>二十一世纪传媒</v>
      </c>
      <c r="E496" s="108"/>
      <c r="F496" s="111"/>
      <c r="G496" s="108"/>
      <c r="H496" s="108"/>
      <c r="I496" s="108"/>
      <c r="J496" s="108"/>
      <c r="K496" s="31" t="str">
        <f t="shared" si="101"/>
        <v>运营中</v>
      </c>
      <c r="L496" s="108"/>
      <c r="M496" s="108"/>
      <c r="N496" s="17"/>
      <c r="O496" s="36">
        <v>37070</v>
      </c>
      <c r="P496" s="12" t="s">
        <v>326</v>
      </c>
      <c r="Q496" s="12" t="s">
        <v>252</v>
      </c>
      <c r="R496" s="12" t="s">
        <v>1846</v>
      </c>
      <c r="S496" s="108"/>
      <c r="T496" s="108"/>
      <c r="U496" s="111"/>
      <c r="V496" s="108"/>
      <c r="W496" s="108"/>
      <c r="X496" s="108"/>
    </row>
    <row r="497" spans="1:24" s="26" customFormat="1" ht="48" hidden="1">
      <c r="A497" s="33"/>
      <c r="B497" s="108"/>
      <c r="C497" s="17" t="s">
        <v>1852</v>
      </c>
      <c r="D497" s="38" t="s">
        <v>1853</v>
      </c>
      <c r="E497" s="12" t="s">
        <v>1853</v>
      </c>
      <c r="F497" s="32" t="s">
        <v>1854</v>
      </c>
      <c r="G497" s="12" t="s">
        <v>1855</v>
      </c>
      <c r="H497" s="17" t="s">
        <v>1856</v>
      </c>
      <c r="I497" s="17" t="s">
        <v>1857</v>
      </c>
      <c r="J497" s="12" t="s">
        <v>1858</v>
      </c>
      <c r="K497" s="38" t="s">
        <v>272</v>
      </c>
      <c r="L497" s="12" t="s">
        <v>1859</v>
      </c>
      <c r="M497" s="12" t="s">
        <v>1860</v>
      </c>
      <c r="N497" s="12">
        <v>1</v>
      </c>
      <c r="O497" s="36">
        <v>41548</v>
      </c>
      <c r="P497" s="12" t="s">
        <v>471</v>
      </c>
      <c r="Q497" s="17" t="s">
        <v>1861</v>
      </c>
      <c r="R497" s="12" t="s">
        <v>240</v>
      </c>
      <c r="S497" s="17" t="s">
        <v>1862</v>
      </c>
      <c r="T497" s="17" t="s">
        <v>1863</v>
      </c>
      <c r="U497" s="32" t="s">
        <v>1864</v>
      </c>
      <c r="V497" s="12" t="s">
        <v>1865</v>
      </c>
      <c r="W497" s="17"/>
      <c r="X497" s="17"/>
    </row>
    <row r="498" spans="1:24" s="26" customFormat="1" hidden="1">
      <c r="A498" s="33"/>
      <c r="B498" s="108"/>
      <c r="C498" s="108" t="s">
        <v>1866</v>
      </c>
      <c r="D498" s="31" t="s">
        <v>1867</v>
      </c>
      <c r="E498" s="108" t="s">
        <v>1867</v>
      </c>
      <c r="F498" s="111" t="s">
        <v>1868</v>
      </c>
      <c r="G498" s="108"/>
      <c r="H498" s="108" t="s">
        <v>1869</v>
      </c>
      <c r="I498" s="108" t="s">
        <v>1870</v>
      </c>
      <c r="J498" s="107" t="s">
        <v>1564</v>
      </c>
      <c r="K498" s="31" t="s">
        <v>272</v>
      </c>
      <c r="L498" s="107" t="s">
        <v>350</v>
      </c>
      <c r="M498" s="107" t="s">
        <v>1331</v>
      </c>
      <c r="N498" s="12"/>
      <c r="O498" s="36">
        <v>43555</v>
      </c>
      <c r="P498" s="17" t="s">
        <v>317</v>
      </c>
      <c r="Q498" s="17" t="s">
        <v>1871</v>
      </c>
      <c r="R498" s="17" t="s">
        <v>1872</v>
      </c>
      <c r="S498" s="108" t="s">
        <v>1873</v>
      </c>
      <c r="T498" s="108" t="s">
        <v>1874</v>
      </c>
      <c r="U498" s="111" t="s">
        <v>1875</v>
      </c>
      <c r="V498" s="108"/>
      <c r="W498" s="108"/>
      <c r="X498" s="108"/>
    </row>
    <row r="499" spans="1:24" s="26" customFormat="1" hidden="1">
      <c r="A499" s="33"/>
      <c r="B499" s="108"/>
      <c r="C499" s="108"/>
      <c r="D499" s="31" t="str">
        <f>D498</f>
        <v>1stdibs</v>
      </c>
      <c r="E499" s="108"/>
      <c r="F499" s="111"/>
      <c r="G499" s="108"/>
      <c r="H499" s="108"/>
      <c r="I499" s="108"/>
      <c r="J499" s="108"/>
      <c r="K499" s="31" t="str">
        <f t="shared" ref="K499:K501" si="102">K498</f>
        <v>运营中</v>
      </c>
      <c r="L499" s="108"/>
      <c r="M499" s="108"/>
      <c r="N499" s="17"/>
      <c r="O499" s="36">
        <v>41663</v>
      </c>
      <c r="P499" s="17" t="s">
        <v>251</v>
      </c>
      <c r="Q499" s="17" t="s">
        <v>322</v>
      </c>
      <c r="R499" s="12" t="s">
        <v>240</v>
      </c>
      <c r="S499" s="108"/>
      <c r="T499" s="108"/>
      <c r="U499" s="111"/>
      <c r="V499" s="108"/>
      <c r="W499" s="108"/>
      <c r="X499" s="108"/>
    </row>
    <row r="500" spans="1:24" s="26" customFormat="1" hidden="1">
      <c r="A500" s="33"/>
      <c r="B500" s="108"/>
      <c r="C500" s="108"/>
      <c r="D500" s="31" t="str">
        <f>D499</f>
        <v>1stdibs</v>
      </c>
      <c r="E500" s="108"/>
      <c r="F500" s="111"/>
      <c r="G500" s="108"/>
      <c r="H500" s="108"/>
      <c r="I500" s="108"/>
      <c r="J500" s="108"/>
      <c r="K500" s="31" t="str">
        <f t="shared" si="102"/>
        <v>运营中</v>
      </c>
      <c r="L500" s="108"/>
      <c r="M500" s="108"/>
      <c r="N500" s="17"/>
      <c r="O500" s="36">
        <v>41246</v>
      </c>
      <c r="P500" s="17" t="s">
        <v>257</v>
      </c>
      <c r="Q500" s="17" t="s">
        <v>1596</v>
      </c>
      <c r="R500" s="17" t="s">
        <v>1876</v>
      </c>
      <c r="S500" s="108"/>
      <c r="T500" s="108"/>
      <c r="U500" s="111"/>
      <c r="V500" s="108"/>
      <c r="W500" s="108"/>
      <c r="X500" s="108"/>
    </row>
    <row r="501" spans="1:24" s="26" customFormat="1" hidden="1">
      <c r="A501" s="33"/>
      <c r="B501" s="108"/>
      <c r="C501" s="108"/>
      <c r="D501" s="31" t="str">
        <f>D500</f>
        <v>1stdibs</v>
      </c>
      <c r="E501" s="108"/>
      <c r="F501" s="111"/>
      <c r="G501" s="108"/>
      <c r="H501" s="108"/>
      <c r="I501" s="108"/>
      <c r="J501" s="108"/>
      <c r="K501" s="31" t="str">
        <f t="shared" si="102"/>
        <v>运营中</v>
      </c>
      <c r="L501" s="108"/>
      <c r="M501" s="108"/>
      <c r="N501" s="17"/>
      <c r="O501" s="36">
        <v>40850</v>
      </c>
      <c r="P501" s="17" t="s">
        <v>262</v>
      </c>
      <c r="Q501" s="17" t="s">
        <v>885</v>
      </c>
      <c r="R501" s="17" t="s">
        <v>1877</v>
      </c>
      <c r="S501" s="108"/>
      <c r="T501" s="108"/>
      <c r="U501" s="111"/>
      <c r="V501" s="108"/>
      <c r="W501" s="108"/>
      <c r="X501" s="108"/>
    </row>
    <row r="502" spans="1:24" s="26" customFormat="1" hidden="1">
      <c r="A502" s="33"/>
      <c r="B502" s="108"/>
      <c r="C502" s="108" t="s">
        <v>1878</v>
      </c>
      <c r="D502" s="31" t="s">
        <v>1879</v>
      </c>
      <c r="E502" s="107" t="s">
        <v>1879</v>
      </c>
      <c r="F502" s="110" t="s">
        <v>1880</v>
      </c>
      <c r="G502" s="107" t="s">
        <v>1881</v>
      </c>
      <c r="H502" s="108" t="s">
        <v>1882</v>
      </c>
      <c r="I502" s="108" t="s">
        <v>496</v>
      </c>
      <c r="J502" s="107" t="s">
        <v>1472</v>
      </c>
      <c r="K502" s="31" t="s">
        <v>272</v>
      </c>
      <c r="L502" s="107" t="s">
        <v>996</v>
      </c>
      <c r="M502" s="107" t="s">
        <v>997</v>
      </c>
      <c r="N502" s="12">
        <v>1</v>
      </c>
      <c r="O502" s="36">
        <v>44546</v>
      </c>
      <c r="P502" s="17" t="s">
        <v>283</v>
      </c>
      <c r="Q502" s="17" t="s">
        <v>1883</v>
      </c>
      <c r="R502" s="17" t="s">
        <v>253</v>
      </c>
      <c r="S502" s="108" t="s">
        <v>1884</v>
      </c>
      <c r="T502" s="108" t="s">
        <v>1885</v>
      </c>
      <c r="U502" s="110" t="s">
        <v>1886</v>
      </c>
      <c r="V502" s="107" t="s">
        <v>1887</v>
      </c>
      <c r="W502" s="108" t="s">
        <v>1888</v>
      </c>
      <c r="X502" s="108" t="s">
        <v>1889</v>
      </c>
    </row>
    <row r="503" spans="1:24" s="26" customFormat="1" hidden="1">
      <c r="A503" s="33"/>
      <c r="B503" s="108"/>
      <c r="C503" s="108"/>
      <c r="D503" s="31" t="str">
        <f t="shared" ref="D503:D508" si="103">D502</f>
        <v>青瓷游戏</v>
      </c>
      <c r="E503" s="108"/>
      <c r="F503" s="111"/>
      <c r="G503" s="108"/>
      <c r="H503" s="108"/>
      <c r="I503" s="108"/>
      <c r="J503" s="108"/>
      <c r="K503" s="31" t="str">
        <f t="shared" ref="K503:K508" si="104">K502</f>
        <v>运营中</v>
      </c>
      <c r="L503" s="108"/>
      <c r="M503" s="108"/>
      <c r="N503" s="12">
        <v>1</v>
      </c>
      <c r="O503" s="36">
        <v>44536</v>
      </c>
      <c r="P503" s="12" t="s">
        <v>654</v>
      </c>
      <c r="Q503" s="17" t="s">
        <v>1890</v>
      </c>
      <c r="R503" s="12" t="s">
        <v>1891</v>
      </c>
      <c r="S503" s="108"/>
      <c r="T503" s="108"/>
      <c r="U503" s="111"/>
      <c r="V503" s="108"/>
      <c r="W503" s="108"/>
      <c r="X503" s="108"/>
    </row>
    <row r="504" spans="1:24" s="26" customFormat="1" hidden="1">
      <c r="A504" s="33"/>
      <c r="B504" s="108"/>
      <c r="C504" s="108"/>
      <c r="D504" s="31" t="str">
        <f t="shared" si="103"/>
        <v>青瓷游戏</v>
      </c>
      <c r="E504" s="108"/>
      <c r="F504" s="111"/>
      <c r="G504" s="108"/>
      <c r="H504" s="108"/>
      <c r="I504" s="108"/>
      <c r="J504" s="108"/>
      <c r="K504" s="31" t="str">
        <f t="shared" si="104"/>
        <v>运营中</v>
      </c>
      <c r="L504" s="108"/>
      <c r="M504" s="108"/>
      <c r="N504" s="12">
        <v>1</v>
      </c>
      <c r="O504" s="36">
        <v>44342</v>
      </c>
      <c r="P504" s="17" t="s">
        <v>257</v>
      </c>
      <c r="Q504" s="17" t="s">
        <v>1892</v>
      </c>
      <c r="R504" s="12" t="s">
        <v>1893</v>
      </c>
      <c r="S504" s="108"/>
      <c r="T504" s="108"/>
      <c r="U504" s="111"/>
      <c r="V504" s="108"/>
      <c r="W504" s="108"/>
      <c r="X504" s="108"/>
    </row>
    <row r="505" spans="1:24" s="26" customFormat="1" hidden="1">
      <c r="A505" s="33"/>
      <c r="B505" s="108"/>
      <c r="C505" s="108"/>
      <c r="D505" s="31" t="str">
        <f t="shared" si="103"/>
        <v>青瓷游戏</v>
      </c>
      <c r="E505" s="108"/>
      <c r="F505" s="111"/>
      <c r="G505" s="108"/>
      <c r="H505" s="108"/>
      <c r="I505" s="108"/>
      <c r="J505" s="108"/>
      <c r="K505" s="31" t="str">
        <f t="shared" si="104"/>
        <v>运营中</v>
      </c>
      <c r="L505" s="108"/>
      <c r="M505" s="108"/>
      <c r="N505" s="12">
        <v>1</v>
      </c>
      <c r="O505" s="36">
        <v>44309</v>
      </c>
      <c r="P505" s="12" t="s">
        <v>285</v>
      </c>
      <c r="Q505" s="17" t="s">
        <v>1894</v>
      </c>
      <c r="R505" s="12" t="s">
        <v>1895</v>
      </c>
      <c r="S505" s="108"/>
      <c r="T505" s="108"/>
      <c r="U505" s="111"/>
      <c r="V505" s="108"/>
      <c r="W505" s="108"/>
      <c r="X505" s="108"/>
    </row>
    <row r="506" spans="1:24" s="26" customFormat="1" hidden="1">
      <c r="A506" s="33"/>
      <c r="B506" s="108"/>
      <c r="C506" s="108"/>
      <c r="D506" s="31" t="str">
        <f t="shared" si="103"/>
        <v>青瓷游戏</v>
      </c>
      <c r="E506" s="108"/>
      <c r="F506" s="111"/>
      <c r="G506" s="108"/>
      <c r="H506" s="108"/>
      <c r="I506" s="108"/>
      <c r="J506" s="108"/>
      <c r="K506" s="31" t="str">
        <f t="shared" si="104"/>
        <v>运营中</v>
      </c>
      <c r="L506" s="108"/>
      <c r="M506" s="108"/>
      <c r="N506" s="12">
        <v>1</v>
      </c>
      <c r="O506" s="36">
        <v>43658</v>
      </c>
      <c r="P506" s="12" t="s">
        <v>285</v>
      </c>
      <c r="Q506" s="17" t="s">
        <v>1896</v>
      </c>
      <c r="R506" s="12" t="s">
        <v>1897</v>
      </c>
      <c r="S506" s="108"/>
      <c r="T506" s="108"/>
      <c r="U506" s="111"/>
      <c r="V506" s="108"/>
      <c r="W506" s="108"/>
      <c r="X506" s="108"/>
    </row>
    <row r="507" spans="1:24" s="26" customFormat="1" hidden="1">
      <c r="A507" s="33"/>
      <c r="B507" s="108"/>
      <c r="C507" s="108"/>
      <c r="D507" s="31" t="str">
        <f t="shared" si="103"/>
        <v>青瓷游戏</v>
      </c>
      <c r="E507" s="108"/>
      <c r="F507" s="111"/>
      <c r="G507" s="108"/>
      <c r="H507" s="108"/>
      <c r="I507" s="108"/>
      <c r="J507" s="108"/>
      <c r="K507" s="31" t="str">
        <f t="shared" si="104"/>
        <v>运营中</v>
      </c>
      <c r="L507" s="108"/>
      <c r="M507" s="108"/>
      <c r="N507" s="12">
        <v>1</v>
      </c>
      <c r="O507" s="36">
        <v>42158</v>
      </c>
      <c r="P507" s="17" t="s">
        <v>262</v>
      </c>
      <c r="Q507" s="12" t="s">
        <v>341</v>
      </c>
      <c r="R507" s="12" t="s">
        <v>1898</v>
      </c>
      <c r="S507" s="108"/>
      <c r="T507" s="108"/>
      <c r="U507" s="111"/>
      <c r="V507" s="108"/>
      <c r="W507" s="108"/>
      <c r="X507" s="108"/>
    </row>
    <row r="508" spans="1:24" s="26" customFormat="1" hidden="1">
      <c r="A508" s="33"/>
      <c r="B508" s="108"/>
      <c r="C508" s="108"/>
      <c r="D508" s="31" t="str">
        <f t="shared" si="103"/>
        <v>青瓷游戏</v>
      </c>
      <c r="E508" s="108"/>
      <c r="F508" s="111"/>
      <c r="G508" s="108"/>
      <c r="H508" s="108"/>
      <c r="I508" s="108"/>
      <c r="J508" s="108"/>
      <c r="K508" s="31" t="str">
        <f t="shared" si="104"/>
        <v>运营中</v>
      </c>
      <c r="L508" s="108"/>
      <c r="M508" s="108"/>
      <c r="N508" s="12">
        <v>1</v>
      </c>
      <c r="O508" s="36">
        <v>41674</v>
      </c>
      <c r="P508" s="12" t="s">
        <v>326</v>
      </c>
      <c r="Q508" s="12" t="s">
        <v>327</v>
      </c>
      <c r="R508" s="12" t="s">
        <v>1899</v>
      </c>
      <c r="S508" s="108"/>
      <c r="T508" s="108"/>
      <c r="U508" s="111"/>
      <c r="V508" s="108"/>
      <c r="W508" s="108"/>
      <c r="X508" s="108"/>
    </row>
    <row r="509" spans="1:24" s="26" customFormat="1" hidden="1">
      <c r="A509" s="33"/>
      <c r="B509" s="108"/>
      <c r="C509" s="108" t="s">
        <v>1900</v>
      </c>
      <c r="D509" s="31" t="s">
        <v>1901</v>
      </c>
      <c r="E509" s="107" t="s">
        <v>1901</v>
      </c>
      <c r="F509" s="110" t="s">
        <v>1902</v>
      </c>
      <c r="G509" s="107" t="s">
        <v>1903</v>
      </c>
      <c r="H509" s="108" t="s">
        <v>1904</v>
      </c>
      <c r="I509" s="108" t="s">
        <v>1905</v>
      </c>
      <c r="J509" s="107" t="s">
        <v>1906</v>
      </c>
      <c r="K509" s="31" t="s">
        <v>272</v>
      </c>
      <c r="L509" s="107" t="s">
        <v>350</v>
      </c>
      <c r="M509" s="108" t="s">
        <v>1907</v>
      </c>
      <c r="N509" s="12">
        <v>1</v>
      </c>
      <c r="O509" s="36">
        <v>44725</v>
      </c>
      <c r="P509" s="12" t="s">
        <v>471</v>
      </c>
      <c r="Q509" s="12" t="s">
        <v>252</v>
      </c>
      <c r="R509" s="12" t="s">
        <v>1908</v>
      </c>
      <c r="S509" s="108" t="s">
        <v>1909</v>
      </c>
      <c r="T509" s="107" t="s">
        <v>255</v>
      </c>
      <c r="U509" s="110" t="s">
        <v>1910</v>
      </c>
      <c r="V509" s="107" t="s">
        <v>1911</v>
      </c>
      <c r="W509" s="108" t="s">
        <v>1912</v>
      </c>
      <c r="X509" s="108" t="s">
        <v>1913</v>
      </c>
    </row>
    <row r="510" spans="1:24" s="26" customFormat="1" hidden="1">
      <c r="A510" s="33"/>
      <c r="B510" s="108"/>
      <c r="C510" s="108"/>
      <c r="D510" s="31" t="str">
        <f>D509</f>
        <v>魅族</v>
      </c>
      <c r="E510" s="108"/>
      <c r="F510" s="111"/>
      <c r="G510" s="108"/>
      <c r="H510" s="108"/>
      <c r="I510" s="108"/>
      <c r="J510" s="108"/>
      <c r="K510" s="31" t="str">
        <f t="shared" ref="K510:K512" si="105">K509</f>
        <v>运营中</v>
      </c>
      <c r="L510" s="108"/>
      <c r="M510" s="108"/>
      <c r="N510" s="12">
        <v>1</v>
      </c>
      <c r="O510" s="36">
        <v>43587</v>
      </c>
      <c r="P510" s="12" t="s">
        <v>285</v>
      </c>
      <c r="Q510" s="12" t="s">
        <v>409</v>
      </c>
      <c r="R510" s="12" t="s">
        <v>1914</v>
      </c>
      <c r="S510" s="108"/>
      <c r="T510" s="108"/>
      <c r="U510" s="111"/>
      <c r="V510" s="108"/>
      <c r="W510" s="108"/>
      <c r="X510" s="108"/>
    </row>
    <row r="511" spans="1:24" s="26" customFormat="1" hidden="1">
      <c r="A511" s="33"/>
      <c r="B511" s="108"/>
      <c r="C511" s="108"/>
      <c r="D511" s="31" t="str">
        <f>D510</f>
        <v>魅族</v>
      </c>
      <c r="E511" s="108"/>
      <c r="F511" s="111"/>
      <c r="G511" s="108"/>
      <c r="H511" s="108"/>
      <c r="I511" s="108"/>
      <c r="J511" s="108"/>
      <c r="K511" s="31" t="str">
        <f t="shared" si="105"/>
        <v>运营中</v>
      </c>
      <c r="L511" s="108"/>
      <c r="M511" s="108"/>
      <c r="N511" s="12">
        <v>1</v>
      </c>
      <c r="O511" s="36">
        <v>42664</v>
      </c>
      <c r="P511" s="17" t="s">
        <v>257</v>
      </c>
      <c r="Q511" s="17" t="s">
        <v>578</v>
      </c>
      <c r="R511" s="12" t="s">
        <v>1915</v>
      </c>
      <c r="S511" s="108"/>
      <c r="T511" s="108"/>
      <c r="U511" s="111"/>
      <c r="V511" s="108"/>
      <c r="W511" s="108"/>
      <c r="X511" s="108"/>
    </row>
    <row r="512" spans="1:24" s="26" customFormat="1" hidden="1">
      <c r="A512" s="33"/>
      <c r="B512" s="108"/>
      <c r="C512" s="108"/>
      <c r="D512" s="31" t="str">
        <f>D511</f>
        <v>魅族</v>
      </c>
      <c r="E512" s="108"/>
      <c r="F512" s="111"/>
      <c r="G512" s="108"/>
      <c r="H512" s="108"/>
      <c r="I512" s="108"/>
      <c r="J512" s="108"/>
      <c r="K512" s="31" t="str">
        <f t="shared" si="105"/>
        <v>运营中</v>
      </c>
      <c r="L512" s="108"/>
      <c r="M512" s="108"/>
      <c r="N512" s="12">
        <v>1</v>
      </c>
      <c r="O512" s="36">
        <v>42044</v>
      </c>
      <c r="P512" s="17" t="s">
        <v>262</v>
      </c>
      <c r="Q512" s="17" t="s">
        <v>1651</v>
      </c>
      <c r="R512" s="12" t="s">
        <v>1916</v>
      </c>
      <c r="S512" s="108"/>
      <c r="T512" s="108"/>
      <c r="U512" s="111"/>
      <c r="V512" s="108"/>
      <c r="W512" s="108"/>
      <c r="X512" s="108"/>
    </row>
    <row r="513" spans="1:24" s="26" customFormat="1" ht="72" hidden="1">
      <c r="A513" s="33"/>
      <c r="B513" s="108"/>
      <c r="C513" s="17" t="s">
        <v>1917</v>
      </c>
      <c r="D513" s="38" t="s">
        <v>1918</v>
      </c>
      <c r="E513" s="12" t="s">
        <v>1918</v>
      </c>
      <c r="F513" s="32" t="s">
        <v>1919</v>
      </c>
      <c r="G513" s="12" t="s">
        <v>1920</v>
      </c>
      <c r="H513" s="17" t="s">
        <v>1921</v>
      </c>
      <c r="I513" s="17" t="s">
        <v>1922</v>
      </c>
      <c r="J513" s="12" t="s">
        <v>1192</v>
      </c>
      <c r="K513" s="38" t="s">
        <v>272</v>
      </c>
      <c r="L513" s="12" t="s">
        <v>386</v>
      </c>
      <c r="M513" s="12" t="s">
        <v>645</v>
      </c>
      <c r="N513" s="12"/>
      <c r="O513" s="36">
        <v>42539</v>
      </c>
      <c r="P513" s="12" t="s">
        <v>326</v>
      </c>
      <c r="Q513" s="17" t="s">
        <v>623</v>
      </c>
      <c r="R513" s="12" t="s">
        <v>1923</v>
      </c>
      <c r="S513" s="17" t="s">
        <v>1608</v>
      </c>
      <c r="T513" s="17" t="s">
        <v>1609</v>
      </c>
      <c r="U513" s="32" t="s">
        <v>1924</v>
      </c>
      <c r="V513" s="12" t="s">
        <v>1925</v>
      </c>
      <c r="W513" s="17">
        <v>86182128</v>
      </c>
      <c r="X513" s="17" t="s">
        <v>1926</v>
      </c>
    </row>
    <row r="514" spans="1:24" s="26" customFormat="1" hidden="1">
      <c r="A514" s="33"/>
      <c r="B514" s="108"/>
      <c r="C514" s="108" t="s">
        <v>1927</v>
      </c>
      <c r="D514" s="31" t="s">
        <v>1928</v>
      </c>
      <c r="E514" s="108" t="s">
        <v>1928</v>
      </c>
      <c r="F514" s="111" t="s">
        <v>1929</v>
      </c>
      <c r="G514" s="108"/>
      <c r="H514" s="108" t="s">
        <v>1930</v>
      </c>
      <c r="I514" s="108" t="s">
        <v>427</v>
      </c>
      <c r="J514" s="107" t="s">
        <v>1931</v>
      </c>
      <c r="K514" s="31" t="s">
        <v>272</v>
      </c>
      <c r="L514" s="107" t="s">
        <v>407</v>
      </c>
      <c r="M514" s="107" t="s">
        <v>1932</v>
      </c>
      <c r="N514" s="12"/>
      <c r="O514" s="36">
        <v>43284</v>
      </c>
      <c r="P514" s="17" t="s">
        <v>257</v>
      </c>
      <c r="Q514" s="17" t="s">
        <v>805</v>
      </c>
      <c r="R514" s="12" t="s">
        <v>1933</v>
      </c>
      <c r="S514" s="108" t="s">
        <v>1934</v>
      </c>
      <c r="T514" s="108" t="s">
        <v>551</v>
      </c>
      <c r="U514" s="111" t="s">
        <v>1935</v>
      </c>
      <c r="V514" s="108"/>
      <c r="W514" s="108"/>
      <c r="X514" s="108"/>
    </row>
    <row r="515" spans="1:24" s="26" customFormat="1" hidden="1">
      <c r="A515" s="33"/>
      <c r="B515" s="108"/>
      <c r="C515" s="108"/>
      <c r="D515" s="31" t="str">
        <f>D514</f>
        <v>ThetaRay</v>
      </c>
      <c r="E515" s="108"/>
      <c r="F515" s="111"/>
      <c r="G515" s="108"/>
      <c r="H515" s="108"/>
      <c r="I515" s="108"/>
      <c r="J515" s="108"/>
      <c r="K515" s="31" t="str">
        <f t="shared" ref="K515:K518" si="106">K514</f>
        <v>运营中</v>
      </c>
      <c r="L515" s="108"/>
      <c r="M515" s="108"/>
      <c r="N515" s="17"/>
      <c r="O515" s="36">
        <v>42346</v>
      </c>
      <c r="P515" s="12" t="s">
        <v>285</v>
      </c>
      <c r="Q515" s="17" t="s">
        <v>322</v>
      </c>
      <c r="R515" s="12" t="s">
        <v>1936</v>
      </c>
      <c r="S515" s="108"/>
      <c r="T515" s="108"/>
      <c r="U515" s="111"/>
      <c r="V515" s="108"/>
      <c r="W515" s="108"/>
      <c r="X515" s="108"/>
    </row>
    <row r="516" spans="1:24" s="26" customFormat="1" hidden="1">
      <c r="A516" s="33"/>
      <c r="B516" s="108"/>
      <c r="C516" s="108"/>
      <c r="D516" s="31" t="str">
        <f>D515</f>
        <v>ThetaRay</v>
      </c>
      <c r="E516" s="108"/>
      <c r="F516" s="111"/>
      <c r="G516" s="108"/>
      <c r="H516" s="108"/>
      <c r="I516" s="108"/>
      <c r="J516" s="108"/>
      <c r="K516" s="31" t="str">
        <f t="shared" si="106"/>
        <v>运营中</v>
      </c>
      <c r="L516" s="108"/>
      <c r="M516" s="108"/>
      <c r="N516" s="17"/>
      <c r="O516" s="36">
        <v>41850</v>
      </c>
      <c r="P516" s="17" t="s">
        <v>262</v>
      </c>
      <c r="Q516" s="17" t="s">
        <v>337</v>
      </c>
      <c r="R516" s="17" t="s">
        <v>1937</v>
      </c>
      <c r="S516" s="108"/>
      <c r="T516" s="108"/>
      <c r="U516" s="111"/>
      <c r="V516" s="108"/>
      <c r="W516" s="108"/>
      <c r="X516" s="108"/>
    </row>
    <row r="517" spans="1:24" s="26" customFormat="1" hidden="1">
      <c r="A517" s="33"/>
      <c r="B517" s="108"/>
      <c r="C517" s="108"/>
      <c r="D517" s="31" t="str">
        <f>D516</f>
        <v>ThetaRay</v>
      </c>
      <c r="E517" s="108"/>
      <c r="F517" s="111"/>
      <c r="G517" s="108"/>
      <c r="H517" s="108"/>
      <c r="I517" s="108"/>
      <c r="J517" s="108"/>
      <c r="K517" s="31" t="str">
        <f t="shared" si="106"/>
        <v>运营中</v>
      </c>
      <c r="L517" s="108"/>
      <c r="M517" s="108"/>
      <c r="N517" s="17"/>
      <c r="O517" s="36">
        <v>41487</v>
      </c>
      <c r="P517" s="12" t="s">
        <v>326</v>
      </c>
      <c r="Q517" s="17" t="s">
        <v>1938</v>
      </c>
      <c r="R517" s="12" t="s">
        <v>1939</v>
      </c>
      <c r="S517" s="108"/>
      <c r="T517" s="108"/>
      <c r="U517" s="111"/>
      <c r="V517" s="108"/>
      <c r="W517" s="108"/>
      <c r="X517" s="108"/>
    </row>
    <row r="518" spans="1:24" s="26" customFormat="1" hidden="1">
      <c r="A518" s="33"/>
      <c r="B518" s="108"/>
      <c r="C518" s="108"/>
      <c r="D518" s="31" t="str">
        <f>D517</f>
        <v>ThetaRay</v>
      </c>
      <c r="E518" s="108"/>
      <c r="F518" s="111"/>
      <c r="G518" s="108"/>
      <c r="H518" s="108"/>
      <c r="I518" s="108"/>
      <c r="J518" s="108"/>
      <c r="K518" s="31" t="str">
        <f t="shared" si="106"/>
        <v>运营中</v>
      </c>
      <c r="L518" s="108"/>
      <c r="M518" s="108"/>
      <c r="N518" s="17"/>
      <c r="O518" s="36">
        <v>41275</v>
      </c>
      <c r="P518" s="12" t="s">
        <v>437</v>
      </c>
      <c r="Q518" s="12" t="s">
        <v>276</v>
      </c>
      <c r="R518" s="17" t="s">
        <v>253</v>
      </c>
      <c r="S518" s="108"/>
      <c r="T518" s="108"/>
      <c r="U518" s="111"/>
      <c r="V518" s="108"/>
      <c r="W518" s="108"/>
      <c r="X518" s="108"/>
    </row>
    <row r="519" spans="1:24" s="26" customFormat="1" hidden="1">
      <c r="A519" s="33"/>
      <c r="B519" s="108"/>
      <c r="C519" s="108" t="s">
        <v>1940</v>
      </c>
      <c r="D519" s="31" t="s">
        <v>1941</v>
      </c>
      <c r="E519" s="108" t="s">
        <v>1941</v>
      </c>
      <c r="F519" s="111" t="s">
        <v>1942</v>
      </c>
      <c r="G519" s="108"/>
      <c r="H519" s="108" t="s">
        <v>1943</v>
      </c>
      <c r="I519" s="108" t="s">
        <v>1944</v>
      </c>
      <c r="J519" s="107" t="s">
        <v>1564</v>
      </c>
      <c r="K519" s="35" t="s">
        <v>248</v>
      </c>
      <c r="L519" s="107" t="s">
        <v>350</v>
      </c>
      <c r="M519" s="107" t="s">
        <v>617</v>
      </c>
      <c r="N519" s="12">
        <v>1</v>
      </c>
      <c r="O519" s="36">
        <v>42591</v>
      </c>
      <c r="P519" s="12" t="s">
        <v>471</v>
      </c>
      <c r="Q519" s="17" t="s">
        <v>1028</v>
      </c>
      <c r="R519" s="12" t="s">
        <v>1945</v>
      </c>
      <c r="S519" s="108" t="s">
        <v>1946</v>
      </c>
      <c r="T519" s="108" t="s">
        <v>1947</v>
      </c>
      <c r="U519" s="111"/>
      <c r="V519" s="108"/>
      <c r="W519" s="108"/>
      <c r="X519" s="108"/>
    </row>
    <row r="520" spans="1:24" s="26" customFormat="1" hidden="1">
      <c r="A520" s="33"/>
      <c r="B520" s="108"/>
      <c r="C520" s="108"/>
      <c r="D520" s="31" t="str">
        <f>D519</f>
        <v>Jet.com</v>
      </c>
      <c r="E520" s="108"/>
      <c r="F520" s="111"/>
      <c r="G520" s="108"/>
      <c r="H520" s="108"/>
      <c r="I520" s="108"/>
      <c r="J520" s="108"/>
      <c r="K520" s="37" t="str">
        <f t="shared" ref="K520:K523" si="107">K519</f>
        <v>已关闭</v>
      </c>
      <c r="L520" s="108"/>
      <c r="M520" s="108"/>
      <c r="N520" s="12">
        <v>1</v>
      </c>
      <c r="O520" s="36">
        <v>42314</v>
      </c>
      <c r="P520" s="17" t="s">
        <v>251</v>
      </c>
      <c r="Q520" s="17" t="s">
        <v>288</v>
      </c>
      <c r="R520" s="12" t="s">
        <v>1948</v>
      </c>
      <c r="S520" s="108"/>
      <c r="T520" s="108"/>
      <c r="U520" s="111"/>
      <c r="V520" s="108"/>
      <c r="W520" s="108"/>
      <c r="X520" s="108"/>
    </row>
    <row r="521" spans="1:24" s="26" customFormat="1" hidden="1">
      <c r="A521" s="33"/>
      <c r="B521" s="108"/>
      <c r="C521" s="108"/>
      <c r="D521" s="31" t="str">
        <f>D520</f>
        <v>Jet.com</v>
      </c>
      <c r="E521" s="108"/>
      <c r="F521" s="111"/>
      <c r="G521" s="108"/>
      <c r="H521" s="108"/>
      <c r="I521" s="108"/>
      <c r="J521" s="108"/>
      <c r="K521" s="37" t="str">
        <f t="shared" si="107"/>
        <v>已关闭</v>
      </c>
      <c r="L521" s="108"/>
      <c r="M521" s="108"/>
      <c r="N521" s="12">
        <v>1</v>
      </c>
      <c r="O521" s="36">
        <v>42050</v>
      </c>
      <c r="P521" s="17" t="s">
        <v>257</v>
      </c>
      <c r="Q521" s="17" t="s">
        <v>1949</v>
      </c>
      <c r="R521" s="12" t="s">
        <v>1950</v>
      </c>
      <c r="S521" s="108"/>
      <c r="T521" s="108"/>
      <c r="U521" s="111"/>
      <c r="V521" s="108"/>
      <c r="W521" s="108"/>
      <c r="X521" s="108"/>
    </row>
    <row r="522" spans="1:24" s="26" customFormat="1" hidden="1">
      <c r="A522" s="33"/>
      <c r="B522" s="108"/>
      <c r="C522" s="108"/>
      <c r="D522" s="31" t="str">
        <f>D521</f>
        <v>Jet.com</v>
      </c>
      <c r="E522" s="108"/>
      <c r="F522" s="111"/>
      <c r="G522" s="108"/>
      <c r="H522" s="108"/>
      <c r="I522" s="108"/>
      <c r="J522" s="108"/>
      <c r="K522" s="37" t="str">
        <f t="shared" si="107"/>
        <v>已关闭</v>
      </c>
      <c r="L522" s="108"/>
      <c r="M522" s="108"/>
      <c r="N522" s="12">
        <v>1</v>
      </c>
      <c r="O522" s="36">
        <v>41899</v>
      </c>
      <c r="P522" s="17" t="s">
        <v>260</v>
      </c>
      <c r="Q522" s="17" t="s">
        <v>458</v>
      </c>
      <c r="R522" s="17" t="s">
        <v>1951</v>
      </c>
      <c r="S522" s="108"/>
      <c r="T522" s="108"/>
      <c r="U522" s="111"/>
      <c r="V522" s="108"/>
      <c r="W522" s="108"/>
      <c r="X522" s="108"/>
    </row>
    <row r="523" spans="1:24" s="26" customFormat="1" hidden="1">
      <c r="A523" s="33"/>
      <c r="B523" s="108"/>
      <c r="C523" s="108"/>
      <c r="D523" s="31" t="str">
        <f>D522</f>
        <v>Jet.com</v>
      </c>
      <c r="E523" s="108"/>
      <c r="F523" s="111"/>
      <c r="G523" s="108"/>
      <c r="H523" s="108"/>
      <c r="I523" s="108"/>
      <c r="J523" s="108"/>
      <c r="K523" s="37" t="str">
        <f t="shared" si="107"/>
        <v>已关闭</v>
      </c>
      <c r="L523" s="108"/>
      <c r="M523" s="108"/>
      <c r="N523" s="12">
        <v>1</v>
      </c>
      <c r="O523" s="36">
        <v>41851</v>
      </c>
      <c r="P523" s="17" t="s">
        <v>262</v>
      </c>
      <c r="Q523" s="17" t="s">
        <v>456</v>
      </c>
      <c r="R523" s="17" t="s">
        <v>1952</v>
      </c>
      <c r="S523" s="108"/>
      <c r="T523" s="108"/>
      <c r="U523" s="111"/>
      <c r="V523" s="108"/>
      <c r="W523" s="108"/>
      <c r="X523" s="108"/>
    </row>
    <row r="524" spans="1:24" s="26" customFormat="1" hidden="1">
      <c r="A524" s="33"/>
      <c r="B524" s="108"/>
      <c r="C524" s="108" t="s">
        <v>1953</v>
      </c>
      <c r="D524" s="31" t="s">
        <v>1954</v>
      </c>
      <c r="E524" s="108" t="s">
        <v>1954</v>
      </c>
      <c r="F524" s="111" t="s">
        <v>1955</v>
      </c>
      <c r="G524" s="108"/>
      <c r="H524" s="108" t="s">
        <v>1956</v>
      </c>
      <c r="I524" s="108" t="s">
        <v>1957</v>
      </c>
      <c r="J524" s="107" t="s">
        <v>1564</v>
      </c>
      <c r="K524" s="31" t="s">
        <v>272</v>
      </c>
      <c r="L524" s="107" t="s">
        <v>996</v>
      </c>
      <c r="M524" s="107" t="s">
        <v>997</v>
      </c>
      <c r="N524" s="12">
        <v>1</v>
      </c>
      <c r="O524" s="36">
        <v>42724</v>
      </c>
      <c r="P524" s="12" t="s">
        <v>471</v>
      </c>
      <c r="Q524" s="12" t="s">
        <v>276</v>
      </c>
      <c r="R524" s="12" t="s">
        <v>1958</v>
      </c>
      <c r="S524" s="108" t="s">
        <v>840</v>
      </c>
      <c r="T524" s="107" t="s">
        <v>255</v>
      </c>
      <c r="U524" s="111" t="s">
        <v>1959</v>
      </c>
      <c r="V524" s="108"/>
      <c r="W524" s="108"/>
      <c r="X524" s="108"/>
    </row>
    <row r="525" spans="1:24" s="26" customFormat="1" hidden="1">
      <c r="A525" s="33"/>
      <c r="B525" s="108"/>
      <c r="C525" s="108"/>
      <c r="D525" s="31" t="str">
        <f>D524</f>
        <v>Kabam</v>
      </c>
      <c r="E525" s="108"/>
      <c r="F525" s="111"/>
      <c r="G525" s="108"/>
      <c r="H525" s="108"/>
      <c r="I525" s="108"/>
      <c r="J525" s="108"/>
      <c r="K525" s="31" t="str">
        <f>K524</f>
        <v>运营中</v>
      </c>
      <c r="L525" s="108"/>
      <c r="M525" s="108"/>
      <c r="N525" s="12">
        <v>1</v>
      </c>
      <c r="O525" s="36">
        <v>41852</v>
      </c>
      <c r="P525" s="17" t="s">
        <v>310</v>
      </c>
      <c r="Q525" s="17" t="s">
        <v>297</v>
      </c>
      <c r="R525" s="12" t="s">
        <v>240</v>
      </c>
      <c r="S525" s="108"/>
      <c r="T525" s="108"/>
      <c r="U525" s="111"/>
      <c r="V525" s="108"/>
      <c r="W525" s="108"/>
      <c r="X525" s="108"/>
    </row>
    <row r="526" spans="1:24" s="26" customFormat="1" hidden="1">
      <c r="A526" s="33"/>
      <c r="B526" s="108"/>
      <c r="C526" s="108" t="s">
        <v>1960</v>
      </c>
      <c r="D526" s="31" t="s">
        <v>1961</v>
      </c>
      <c r="E526" s="107" t="s">
        <v>1962</v>
      </c>
      <c r="F526" s="110" t="s">
        <v>1963</v>
      </c>
      <c r="G526" s="107" t="s">
        <v>1964</v>
      </c>
      <c r="H526" s="108" t="s">
        <v>1965</v>
      </c>
      <c r="I526" s="108" t="s">
        <v>1606</v>
      </c>
      <c r="J526" s="107" t="s">
        <v>385</v>
      </c>
      <c r="K526" s="31" t="s">
        <v>272</v>
      </c>
      <c r="L526" s="107" t="s">
        <v>1966</v>
      </c>
      <c r="M526" s="107" t="s">
        <v>1967</v>
      </c>
      <c r="N526" s="12"/>
      <c r="O526" s="36">
        <v>43417</v>
      </c>
      <c r="P526" s="17" t="s">
        <v>251</v>
      </c>
      <c r="Q526" s="17" t="s">
        <v>987</v>
      </c>
      <c r="R526" s="12" t="s">
        <v>240</v>
      </c>
      <c r="S526" s="108" t="s">
        <v>1968</v>
      </c>
      <c r="T526" s="108" t="s">
        <v>1969</v>
      </c>
      <c r="U526" s="110" t="s">
        <v>1970</v>
      </c>
      <c r="V526" s="107" t="s">
        <v>1971</v>
      </c>
      <c r="W526" s="108" t="s">
        <v>1972</v>
      </c>
      <c r="X526" s="108"/>
    </row>
    <row r="527" spans="1:24" s="26" customFormat="1" hidden="1">
      <c r="A527" s="33"/>
      <c r="B527" s="108"/>
      <c r="C527" s="108"/>
      <c r="D527" s="31" t="str">
        <f>D526</f>
        <v>神工007</v>
      </c>
      <c r="E527" s="108"/>
      <c r="F527" s="111"/>
      <c r="G527" s="108"/>
      <c r="H527" s="108"/>
      <c r="I527" s="108"/>
      <c r="J527" s="108"/>
      <c r="K527" s="31" t="str">
        <f t="shared" ref="K527:K530" si="108">K526</f>
        <v>运营中</v>
      </c>
      <c r="L527" s="108"/>
      <c r="M527" s="108"/>
      <c r="N527" s="17"/>
      <c r="O527" s="36">
        <v>42508</v>
      </c>
      <c r="P527" s="17" t="s">
        <v>257</v>
      </c>
      <c r="Q527" s="17" t="s">
        <v>322</v>
      </c>
      <c r="R527" s="12" t="s">
        <v>1973</v>
      </c>
      <c r="S527" s="108"/>
      <c r="T527" s="108"/>
      <c r="U527" s="111"/>
      <c r="V527" s="108"/>
      <c r="W527" s="108"/>
      <c r="X527" s="108"/>
    </row>
    <row r="528" spans="1:24" s="26" customFormat="1" hidden="1">
      <c r="A528" s="33"/>
      <c r="B528" s="108"/>
      <c r="C528" s="108"/>
      <c r="D528" s="31" t="str">
        <f>D527</f>
        <v>神工007</v>
      </c>
      <c r="E528" s="108"/>
      <c r="F528" s="111"/>
      <c r="G528" s="108"/>
      <c r="H528" s="108"/>
      <c r="I528" s="108"/>
      <c r="J528" s="108"/>
      <c r="K528" s="31" t="str">
        <f t="shared" si="108"/>
        <v>运营中</v>
      </c>
      <c r="L528" s="108"/>
      <c r="M528" s="108"/>
      <c r="N528" s="17"/>
      <c r="O528" s="36">
        <v>42338</v>
      </c>
      <c r="P528" s="17" t="s">
        <v>260</v>
      </c>
      <c r="Q528" s="12" t="s">
        <v>276</v>
      </c>
      <c r="R528" s="12" t="s">
        <v>1973</v>
      </c>
      <c r="S528" s="108"/>
      <c r="T528" s="108"/>
      <c r="U528" s="111"/>
      <c r="V528" s="108"/>
      <c r="W528" s="108"/>
      <c r="X528" s="108"/>
    </row>
    <row r="529" spans="1:25" s="26" customFormat="1" hidden="1">
      <c r="A529" s="33"/>
      <c r="B529" s="108"/>
      <c r="C529" s="108"/>
      <c r="D529" s="31" t="str">
        <f>D528</f>
        <v>神工007</v>
      </c>
      <c r="E529" s="108"/>
      <c r="F529" s="111"/>
      <c r="G529" s="108"/>
      <c r="H529" s="108"/>
      <c r="I529" s="108"/>
      <c r="J529" s="108"/>
      <c r="K529" s="31" t="str">
        <f t="shared" si="108"/>
        <v>运营中</v>
      </c>
      <c r="L529" s="108"/>
      <c r="M529" s="108"/>
      <c r="N529" s="17"/>
      <c r="O529" s="36">
        <v>41921</v>
      </c>
      <c r="P529" s="17" t="s">
        <v>262</v>
      </c>
      <c r="Q529" s="17" t="s">
        <v>337</v>
      </c>
      <c r="R529" s="12" t="s">
        <v>1143</v>
      </c>
      <c r="S529" s="108"/>
      <c r="T529" s="108"/>
      <c r="U529" s="111"/>
      <c r="V529" s="108"/>
      <c r="W529" s="108"/>
      <c r="X529" s="108"/>
    </row>
    <row r="530" spans="1:25" s="26" customFormat="1" hidden="1">
      <c r="A530" s="33"/>
      <c r="B530" s="108"/>
      <c r="C530" s="108"/>
      <c r="D530" s="31" t="str">
        <f>D529</f>
        <v>神工007</v>
      </c>
      <c r="E530" s="108"/>
      <c r="F530" s="111"/>
      <c r="G530" s="108"/>
      <c r="H530" s="108"/>
      <c r="I530" s="108"/>
      <c r="J530" s="108"/>
      <c r="K530" s="31" t="str">
        <f t="shared" si="108"/>
        <v>运营中</v>
      </c>
      <c r="L530" s="108"/>
      <c r="M530" s="108"/>
      <c r="N530" s="17"/>
      <c r="O530" s="36">
        <v>41731</v>
      </c>
      <c r="P530" s="12" t="s">
        <v>326</v>
      </c>
      <c r="Q530" s="12" t="s">
        <v>327</v>
      </c>
      <c r="R530" s="12" t="s">
        <v>1974</v>
      </c>
      <c r="S530" s="108"/>
      <c r="T530" s="108"/>
      <c r="U530" s="111"/>
      <c r="V530" s="108"/>
      <c r="W530" s="108"/>
      <c r="X530" s="108"/>
    </row>
    <row r="531" spans="1:25" s="26" customFormat="1" hidden="1">
      <c r="A531" s="33"/>
      <c r="B531" s="108"/>
      <c r="C531" s="108" t="s">
        <v>1975</v>
      </c>
      <c r="D531" s="31" t="s">
        <v>1976</v>
      </c>
      <c r="E531" s="107" t="s">
        <v>1976</v>
      </c>
      <c r="F531" s="110" t="s">
        <v>1977</v>
      </c>
      <c r="G531" s="107" t="s">
        <v>1978</v>
      </c>
      <c r="H531" s="108" t="s">
        <v>1979</v>
      </c>
      <c r="I531" s="108" t="s">
        <v>1690</v>
      </c>
      <c r="J531" s="107" t="s">
        <v>1980</v>
      </c>
      <c r="K531" s="31" t="s">
        <v>272</v>
      </c>
      <c r="L531" s="107" t="s">
        <v>335</v>
      </c>
      <c r="M531" s="107" t="s">
        <v>1393</v>
      </c>
      <c r="N531" s="12">
        <v>1</v>
      </c>
      <c r="O531" s="36">
        <v>40407</v>
      </c>
      <c r="P531" s="12" t="s">
        <v>471</v>
      </c>
      <c r="Q531" s="17" t="s">
        <v>1836</v>
      </c>
      <c r="R531" s="12" t="s">
        <v>240</v>
      </c>
      <c r="S531" s="108" t="s">
        <v>1981</v>
      </c>
      <c r="T531" s="108" t="s">
        <v>1982</v>
      </c>
      <c r="U531" s="111"/>
      <c r="V531" s="107" t="s">
        <v>1983</v>
      </c>
      <c r="W531" s="108" t="s">
        <v>1984</v>
      </c>
      <c r="X531" s="108" t="s">
        <v>1985</v>
      </c>
    </row>
    <row r="532" spans="1:25" s="26" customFormat="1" hidden="1">
      <c r="A532" s="33"/>
      <c r="B532" s="108"/>
      <c r="C532" s="108"/>
      <c r="D532" s="31" t="str">
        <f>D531</f>
        <v>易图通科技</v>
      </c>
      <c r="E532" s="108"/>
      <c r="F532" s="111"/>
      <c r="G532" s="108"/>
      <c r="H532" s="108"/>
      <c r="I532" s="108"/>
      <c r="J532" s="108"/>
      <c r="K532" s="31" t="str">
        <f>K531</f>
        <v>运营中</v>
      </c>
      <c r="L532" s="108"/>
      <c r="M532" s="108"/>
      <c r="N532" s="12">
        <v>1</v>
      </c>
      <c r="O532" s="36">
        <v>38861</v>
      </c>
      <c r="P532" s="17" t="s">
        <v>262</v>
      </c>
      <c r="Q532" s="17" t="s">
        <v>539</v>
      </c>
      <c r="R532" s="17" t="s">
        <v>253</v>
      </c>
      <c r="S532" s="108"/>
      <c r="T532" s="108"/>
      <c r="U532" s="111"/>
      <c r="V532" s="108"/>
      <c r="W532" s="108"/>
      <c r="X532" s="108"/>
    </row>
    <row r="533" spans="1:25" s="26" customFormat="1" ht="77.5" customHeight="1">
      <c r="A533" s="11"/>
      <c r="B533" s="108"/>
      <c r="C533" s="108" t="s">
        <v>1986</v>
      </c>
      <c r="D533" s="31" t="s">
        <v>12</v>
      </c>
      <c r="E533" s="109" t="s">
        <v>12</v>
      </c>
      <c r="F533" s="112" t="s">
        <v>1987</v>
      </c>
      <c r="G533" s="108"/>
      <c r="H533" s="108" t="s">
        <v>1988</v>
      </c>
      <c r="I533" s="109" t="s">
        <v>1989</v>
      </c>
      <c r="J533" s="109" t="s">
        <v>1725</v>
      </c>
      <c r="K533" s="20" t="s">
        <v>1042</v>
      </c>
      <c r="L533" s="109" t="s">
        <v>1043</v>
      </c>
      <c r="M533" s="109" t="s">
        <v>1990</v>
      </c>
      <c r="N533" s="13"/>
      <c r="O533" s="24">
        <v>43931</v>
      </c>
      <c r="P533" s="13" t="s">
        <v>1045</v>
      </c>
      <c r="Q533" s="13" t="s">
        <v>1991</v>
      </c>
      <c r="R533" s="13" t="s">
        <v>1992</v>
      </c>
      <c r="S533" s="109" t="s">
        <v>1993</v>
      </c>
      <c r="T533" s="109" t="s">
        <v>1994</v>
      </c>
      <c r="U533" s="112" t="s">
        <v>1995</v>
      </c>
      <c r="V533" s="108"/>
      <c r="W533" s="108"/>
      <c r="X533" s="108"/>
      <c r="Y533" s="11"/>
    </row>
    <row r="534" spans="1:25" s="26" customFormat="1" hidden="1">
      <c r="A534" s="33"/>
      <c r="B534" s="108"/>
      <c r="C534" s="108"/>
      <c r="D534" s="31" t="str">
        <f t="shared" ref="D534:D544" si="109">D533</f>
        <v>Bigbasket</v>
      </c>
      <c r="E534" s="108"/>
      <c r="F534" s="111"/>
      <c r="G534" s="108"/>
      <c r="H534" s="108"/>
      <c r="I534" s="108"/>
      <c r="J534" s="108"/>
      <c r="K534" s="31" t="str">
        <f t="shared" ref="K534:K544" si="110">K533</f>
        <v>运营中</v>
      </c>
      <c r="L534" s="108"/>
      <c r="M534" s="108"/>
      <c r="N534" s="17"/>
      <c r="O534" s="36">
        <v>43677</v>
      </c>
      <c r="P534" s="12" t="s">
        <v>285</v>
      </c>
      <c r="Q534" s="17" t="s">
        <v>1996</v>
      </c>
      <c r="R534" s="17" t="s">
        <v>1997</v>
      </c>
      <c r="S534" s="108"/>
      <c r="T534" s="108"/>
      <c r="U534" s="111"/>
      <c r="V534" s="108"/>
      <c r="W534" s="108"/>
      <c r="X534" s="108"/>
    </row>
    <row r="535" spans="1:25" s="26" customFormat="1" hidden="1">
      <c r="A535" s="33"/>
      <c r="B535" s="108"/>
      <c r="C535" s="108"/>
      <c r="D535" s="31" t="str">
        <f t="shared" si="109"/>
        <v>Bigbasket</v>
      </c>
      <c r="E535" s="108"/>
      <c r="F535" s="111"/>
      <c r="G535" s="108"/>
      <c r="H535" s="108"/>
      <c r="I535" s="108"/>
      <c r="J535" s="108"/>
      <c r="K535" s="31" t="str">
        <f t="shared" si="110"/>
        <v>运营中</v>
      </c>
      <c r="L535" s="108"/>
      <c r="M535" s="108"/>
      <c r="N535" s="17"/>
      <c r="O535" s="36">
        <v>43556</v>
      </c>
      <c r="P535" s="12" t="s">
        <v>285</v>
      </c>
      <c r="Q535" s="17" t="s">
        <v>522</v>
      </c>
      <c r="R535" s="12" t="s">
        <v>1992</v>
      </c>
      <c r="S535" s="108"/>
      <c r="T535" s="108"/>
      <c r="U535" s="111"/>
      <c r="V535" s="108"/>
      <c r="W535" s="108"/>
      <c r="X535" s="108"/>
    </row>
    <row r="536" spans="1:25" s="26" customFormat="1" hidden="1">
      <c r="A536" s="33"/>
      <c r="B536" s="108"/>
      <c r="C536" s="108"/>
      <c r="D536" s="31" t="str">
        <f t="shared" si="109"/>
        <v>Bigbasket</v>
      </c>
      <c r="E536" s="108"/>
      <c r="F536" s="111"/>
      <c r="G536" s="108"/>
      <c r="H536" s="108"/>
      <c r="I536" s="108"/>
      <c r="J536" s="108"/>
      <c r="K536" s="31" t="str">
        <f t="shared" si="110"/>
        <v>运营中</v>
      </c>
      <c r="L536" s="108"/>
      <c r="M536" s="108"/>
      <c r="N536" s="17"/>
      <c r="O536" s="36">
        <v>43378</v>
      </c>
      <c r="P536" s="12" t="s">
        <v>285</v>
      </c>
      <c r="Q536" s="12" t="s">
        <v>276</v>
      </c>
      <c r="R536" s="17" t="s">
        <v>1998</v>
      </c>
      <c r="S536" s="108"/>
      <c r="T536" s="108"/>
      <c r="U536" s="111"/>
      <c r="V536" s="108"/>
      <c r="W536" s="108"/>
      <c r="X536" s="108"/>
    </row>
    <row r="537" spans="1:25" s="26" customFormat="1" hidden="1">
      <c r="A537" s="33"/>
      <c r="B537" s="108"/>
      <c r="C537" s="108"/>
      <c r="D537" s="31" t="str">
        <f t="shared" si="109"/>
        <v>Bigbasket</v>
      </c>
      <c r="E537" s="108"/>
      <c r="F537" s="111"/>
      <c r="G537" s="108"/>
      <c r="H537" s="108"/>
      <c r="I537" s="108"/>
      <c r="J537" s="108"/>
      <c r="K537" s="31" t="str">
        <f t="shared" si="110"/>
        <v>运营中</v>
      </c>
      <c r="L537" s="108"/>
      <c r="M537" s="108"/>
      <c r="N537" s="17"/>
      <c r="O537" s="36">
        <v>43133</v>
      </c>
      <c r="P537" s="12" t="s">
        <v>285</v>
      </c>
      <c r="Q537" s="17" t="s">
        <v>699</v>
      </c>
      <c r="R537" s="12" t="s">
        <v>1999</v>
      </c>
      <c r="S537" s="108"/>
      <c r="T537" s="108"/>
      <c r="U537" s="111"/>
      <c r="V537" s="108"/>
      <c r="W537" s="108"/>
      <c r="X537" s="108"/>
    </row>
    <row r="538" spans="1:25" s="26" customFormat="1" hidden="1">
      <c r="A538" s="33"/>
      <c r="B538" s="108"/>
      <c r="C538" s="108"/>
      <c r="D538" s="31" t="str">
        <f t="shared" si="109"/>
        <v>Bigbasket</v>
      </c>
      <c r="E538" s="108"/>
      <c r="F538" s="111"/>
      <c r="G538" s="108"/>
      <c r="H538" s="108"/>
      <c r="I538" s="108"/>
      <c r="J538" s="108"/>
      <c r="K538" s="31" t="str">
        <f t="shared" si="110"/>
        <v>运营中</v>
      </c>
      <c r="L538" s="108"/>
      <c r="M538" s="108"/>
      <c r="N538" s="17"/>
      <c r="O538" s="36">
        <v>43042</v>
      </c>
      <c r="P538" s="12" t="s">
        <v>285</v>
      </c>
      <c r="Q538" s="17" t="s">
        <v>2000</v>
      </c>
      <c r="R538" s="17" t="s">
        <v>2001</v>
      </c>
      <c r="S538" s="108"/>
      <c r="T538" s="108"/>
      <c r="U538" s="111"/>
      <c r="V538" s="108"/>
      <c r="W538" s="108"/>
      <c r="X538" s="108"/>
    </row>
    <row r="539" spans="1:25" s="26" customFormat="1" hidden="1">
      <c r="A539" s="33"/>
      <c r="B539" s="108"/>
      <c r="C539" s="108"/>
      <c r="D539" s="31" t="str">
        <f t="shared" si="109"/>
        <v>Bigbasket</v>
      </c>
      <c r="E539" s="108"/>
      <c r="F539" s="111"/>
      <c r="G539" s="108"/>
      <c r="H539" s="108"/>
      <c r="I539" s="108"/>
      <c r="J539" s="108"/>
      <c r="K539" s="31" t="str">
        <f t="shared" si="110"/>
        <v>运营中</v>
      </c>
      <c r="L539" s="108"/>
      <c r="M539" s="108"/>
      <c r="N539" s="17"/>
      <c r="O539" s="36">
        <v>43019</v>
      </c>
      <c r="P539" s="12" t="s">
        <v>285</v>
      </c>
      <c r="Q539" s="12" t="s">
        <v>261</v>
      </c>
      <c r="R539" s="17" t="s">
        <v>1997</v>
      </c>
      <c r="S539" s="108"/>
      <c r="T539" s="108"/>
      <c r="U539" s="111"/>
      <c r="V539" s="108"/>
      <c r="W539" s="108"/>
      <c r="X539" s="108"/>
    </row>
    <row r="540" spans="1:25" s="26" customFormat="1" hidden="1">
      <c r="A540" s="33"/>
      <c r="B540" s="108"/>
      <c r="C540" s="108"/>
      <c r="D540" s="31" t="str">
        <f t="shared" si="109"/>
        <v>Bigbasket</v>
      </c>
      <c r="E540" s="108"/>
      <c r="F540" s="111"/>
      <c r="G540" s="108"/>
      <c r="H540" s="108"/>
      <c r="I540" s="108"/>
      <c r="J540" s="108"/>
      <c r="K540" s="31" t="str">
        <f t="shared" si="110"/>
        <v>运营中</v>
      </c>
      <c r="L540" s="108"/>
      <c r="M540" s="108"/>
      <c r="N540" s="17"/>
      <c r="O540" s="36">
        <v>42986</v>
      </c>
      <c r="P540" s="17" t="s">
        <v>310</v>
      </c>
      <c r="Q540" s="17" t="s">
        <v>1590</v>
      </c>
      <c r="R540" s="12" t="s">
        <v>2002</v>
      </c>
      <c r="S540" s="108"/>
      <c r="T540" s="108"/>
      <c r="U540" s="111"/>
      <c r="V540" s="108"/>
      <c r="W540" s="108"/>
      <c r="X540" s="108"/>
    </row>
    <row r="541" spans="1:25" s="26" customFormat="1" hidden="1">
      <c r="A541" s="33"/>
      <c r="B541" s="108"/>
      <c r="C541" s="108"/>
      <c r="D541" s="31" t="str">
        <f t="shared" si="109"/>
        <v>Bigbasket</v>
      </c>
      <c r="E541" s="108"/>
      <c r="F541" s="111"/>
      <c r="G541" s="108"/>
      <c r="H541" s="108"/>
      <c r="I541" s="108"/>
      <c r="J541" s="108"/>
      <c r="K541" s="31" t="str">
        <f t="shared" si="110"/>
        <v>运营中</v>
      </c>
      <c r="L541" s="108"/>
      <c r="M541" s="108"/>
      <c r="N541" s="17"/>
      <c r="O541" s="36">
        <v>42451</v>
      </c>
      <c r="P541" s="17" t="s">
        <v>317</v>
      </c>
      <c r="Q541" s="17" t="s">
        <v>522</v>
      </c>
      <c r="R541" s="17" t="s">
        <v>2003</v>
      </c>
      <c r="S541" s="108"/>
      <c r="T541" s="108"/>
      <c r="U541" s="111"/>
      <c r="V541" s="108"/>
      <c r="W541" s="108"/>
      <c r="X541" s="108"/>
    </row>
    <row r="542" spans="1:25" s="26" customFormat="1" hidden="1">
      <c r="A542" s="33"/>
      <c r="B542" s="108"/>
      <c r="C542" s="108"/>
      <c r="D542" s="31" t="str">
        <f t="shared" si="109"/>
        <v>Bigbasket</v>
      </c>
      <c r="E542" s="108"/>
      <c r="F542" s="111"/>
      <c r="G542" s="108"/>
      <c r="H542" s="108"/>
      <c r="I542" s="108"/>
      <c r="J542" s="108"/>
      <c r="K542" s="31" t="str">
        <f t="shared" si="110"/>
        <v>运营中</v>
      </c>
      <c r="L542" s="108"/>
      <c r="M542" s="108"/>
      <c r="N542" s="17"/>
      <c r="O542" s="36">
        <v>42229</v>
      </c>
      <c r="P542" s="17" t="s">
        <v>251</v>
      </c>
      <c r="Q542" s="17" t="s">
        <v>1032</v>
      </c>
      <c r="R542" s="17" t="s">
        <v>1741</v>
      </c>
      <c r="S542" s="108"/>
      <c r="T542" s="108"/>
      <c r="U542" s="111"/>
      <c r="V542" s="108"/>
      <c r="W542" s="108"/>
      <c r="X542" s="108"/>
    </row>
    <row r="543" spans="1:25" s="26" customFormat="1" hidden="1">
      <c r="A543" s="33"/>
      <c r="B543" s="108"/>
      <c r="C543" s="108"/>
      <c r="D543" s="31" t="str">
        <f t="shared" si="109"/>
        <v>Bigbasket</v>
      </c>
      <c r="E543" s="108"/>
      <c r="F543" s="111"/>
      <c r="G543" s="108"/>
      <c r="H543" s="108"/>
      <c r="I543" s="108"/>
      <c r="J543" s="108"/>
      <c r="K543" s="31" t="str">
        <f t="shared" si="110"/>
        <v>运营中</v>
      </c>
      <c r="L543" s="108"/>
      <c r="M543" s="108"/>
      <c r="N543" s="17"/>
      <c r="O543" s="36">
        <v>41894</v>
      </c>
      <c r="P543" s="17" t="s">
        <v>257</v>
      </c>
      <c r="Q543" s="17" t="s">
        <v>2004</v>
      </c>
      <c r="R543" s="17" t="s">
        <v>253</v>
      </c>
      <c r="S543" s="108"/>
      <c r="T543" s="108"/>
      <c r="U543" s="111"/>
      <c r="V543" s="108"/>
      <c r="W543" s="108"/>
      <c r="X543" s="108"/>
    </row>
    <row r="544" spans="1:25" s="26" customFormat="1" hidden="1">
      <c r="A544" s="33"/>
      <c r="B544" s="108"/>
      <c r="C544" s="108"/>
      <c r="D544" s="31" t="str">
        <f t="shared" si="109"/>
        <v>Bigbasket</v>
      </c>
      <c r="E544" s="108"/>
      <c r="F544" s="111"/>
      <c r="G544" s="108"/>
      <c r="H544" s="108"/>
      <c r="I544" s="108"/>
      <c r="J544" s="108"/>
      <c r="K544" s="31" t="str">
        <f t="shared" si="110"/>
        <v>运营中</v>
      </c>
      <c r="L544" s="108"/>
      <c r="M544" s="108"/>
      <c r="N544" s="17"/>
      <c r="O544" s="36">
        <v>41744</v>
      </c>
      <c r="P544" s="17" t="s">
        <v>262</v>
      </c>
      <c r="Q544" s="17" t="s">
        <v>324</v>
      </c>
      <c r="R544" s="17" t="s">
        <v>253</v>
      </c>
      <c r="S544" s="108"/>
      <c r="T544" s="108"/>
      <c r="U544" s="111"/>
      <c r="V544" s="108"/>
      <c r="W544" s="108"/>
      <c r="X544" s="108"/>
    </row>
    <row r="545" spans="1:25" s="26" customFormat="1" ht="36" hidden="1">
      <c r="A545" s="33"/>
      <c r="B545" s="108"/>
      <c r="C545" s="17" t="s">
        <v>2005</v>
      </c>
      <c r="D545" s="38" t="s">
        <v>2006</v>
      </c>
      <c r="E545" s="12" t="s">
        <v>2006</v>
      </c>
      <c r="F545" s="32" t="s">
        <v>2007</v>
      </c>
      <c r="G545" s="12" t="s">
        <v>2008</v>
      </c>
      <c r="H545" s="17" t="s">
        <v>2009</v>
      </c>
      <c r="I545" s="17" t="s">
        <v>2010</v>
      </c>
      <c r="J545" s="12" t="s">
        <v>2011</v>
      </c>
      <c r="K545" s="38" t="s">
        <v>272</v>
      </c>
      <c r="L545" s="12" t="s">
        <v>407</v>
      </c>
      <c r="M545" s="12" t="s">
        <v>470</v>
      </c>
      <c r="N545" s="12"/>
      <c r="O545" s="36">
        <v>42188</v>
      </c>
      <c r="P545" s="17" t="s">
        <v>262</v>
      </c>
      <c r="Q545" s="17" t="s">
        <v>639</v>
      </c>
      <c r="R545" s="12" t="s">
        <v>240</v>
      </c>
      <c r="S545" s="17" t="s">
        <v>931</v>
      </c>
      <c r="T545" s="17" t="s">
        <v>2012</v>
      </c>
      <c r="U545" s="34"/>
      <c r="V545" s="12" t="s">
        <v>2013</v>
      </c>
      <c r="W545" s="17" t="s">
        <v>2014</v>
      </c>
      <c r="X545" s="17" t="s">
        <v>2015</v>
      </c>
    </row>
    <row r="546" spans="1:25" s="26" customFormat="1" hidden="1">
      <c r="A546" s="33"/>
      <c r="B546" s="108"/>
      <c r="C546" s="108" t="s">
        <v>2016</v>
      </c>
      <c r="D546" s="31" t="s">
        <v>2017</v>
      </c>
      <c r="E546" s="107" t="s">
        <v>2018</v>
      </c>
      <c r="F546" s="110" t="s">
        <v>2019</v>
      </c>
      <c r="G546" s="107" t="s">
        <v>2020</v>
      </c>
      <c r="H546" s="108" t="s">
        <v>2021</v>
      </c>
      <c r="I546" s="108" t="s">
        <v>2022</v>
      </c>
      <c r="J546" s="107" t="s">
        <v>428</v>
      </c>
      <c r="K546" s="31" t="s">
        <v>272</v>
      </c>
      <c r="L546" s="107" t="s">
        <v>407</v>
      </c>
      <c r="M546" s="107" t="s">
        <v>445</v>
      </c>
      <c r="N546" s="12"/>
      <c r="O546" s="36">
        <v>44572</v>
      </c>
      <c r="P546" s="17" t="s">
        <v>317</v>
      </c>
      <c r="Q546" s="17" t="s">
        <v>578</v>
      </c>
      <c r="R546" s="12" t="s">
        <v>2023</v>
      </c>
      <c r="S546" s="108" t="s">
        <v>2024</v>
      </c>
      <c r="T546" s="108" t="s">
        <v>581</v>
      </c>
      <c r="U546" s="110" t="s">
        <v>2025</v>
      </c>
      <c r="V546" s="107" t="s">
        <v>2026</v>
      </c>
      <c r="W546" s="108" t="s">
        <v>2027</v>
      </c>
      <c r="X546" s="108" t="s">
        <v>2028</v>
      </c>
    </row>
    <row r="547" spans="1:25" s="26" customFormat="1" ht="77.5" customHeight="1">
      <c r="A547" s="11"/>
      <c r="B547" s="108"/>
      <c r="C547" s="108"/>
      <c r="D547" s="31" t="str">
        <f>D546</f>
        <v>驻云CloudCare</v>
      </c>
      <c r="E547" s="109"/>
      <c r="F547" s="112"/>
      <c r="G547" s="108"/>
      <c r="H547" s="108"/>
      <c r="I547" s="109"/>
      <c r="J547" s="109"/>
      <c r="K547" s="20" t="str">
        <f t="shared" ref="K547:K551" si="111">K546</f>
        <v>运营中</v>
      </c>
      <c r="L547" s="109"/>
      <c r="M547" s="109"/>
      <c r="N547" s="13"/>
      <c r="O547" s="24">
        <v>44148</v>
      </c>
      <c r="P547" s="13" t="s">
        <v>2029</v>
      </c>
      <c r="Q547" s="13" t="s">
        <v>2030</v>
      </c>
      <c r="R547" s="13" t="s">
        <v>2031</v>
      </c>
      <c r="S547" s="109"/>
      <c r="T547" s="109"/>
      <c r="U547" s="112"/>
      <c r="V547" s="108"/>
      <c r="W547" s="108"/>
      <c r="X547" s="108"/>
      <c r="Y547" s="11"/>
    </row>
    <row r="548" spans="1:25" s="26" customFormat="1" hidden="1">
      <c r="A548" s="33"/>
      <c r="B548" s="108"/>
      <c r="C548" s="108"/>
      <c r="D548" s="31" t="str">
        <f>D547</f>
        <v>驻云CloudCare</v>
      </c>
      <c r="E548" s="108"/>
      <c r="F548" s="111"/>
      <c r="G548" s="108"/>
      <c r="H548" s="108"/>
      <c r="I548" s="108"/>
      <c r="J548" s="108"/>
      <c r="K548" s="31" t="str">
        <f t="shared" si="111"/>
        <v>运营中</v>
      </c>
      <c r="L548" s="108"/>
      <c r="M548" s="108"/>
      <c r="N548" s="17"/>
      <c r="O548" s="36">
        <v>42894</v>
      </c>
      <c r="P548" s="17" t="s">
        <v>251</v>
      </c>
      <c r="Q548" s="12" t="s">
        <v>341</v>
      </c>
      <c r="R548" s="12" t="s">
        <v>2032</v>
      </c>
      <c r="S548" s="108"/>
      <c r="T548" s="108"/>
      <c r="U548" s="111"/>
      <c r="V548" s="108"/>
      <c r="W548" s="108"/>
      <c r="X548" s="108"/>
    </row>
    <row r="549" spans="1:25" s="26" customFormat="1" hidden="1">
      <c r="A549" s="33"/>
      <c r="B549" s="108"/>
      <c r="C549" s="108"/>
      <c r="D549" s="31" t="str">
        <f>D548</f>
        <v>驻云CloudCare</v>
      </c>
      <c r="E549" s="108"/>
      <c r="F549" s="111"/>
      <c r="G549" s="108"/>
      <c r="H549" s="108"/>
      <c r="I549" s="108"/>
      <c r="J549" s="108"/>
      <c r="K549" s="31" t="str">
        <f t="shared" si="111"/>
        <v>运营中</v>
      </c>
      <c r="L549" s="108"/>
      <c r="M549" s="108"/>
      <c r="N549" s="17"/>
      <c r="O549" s="36">
        <v>42390</v>
      </c>
      <c r="P549" s="17" t="s">
        <v>257</v>
      </c>
      <c r="Q549" s="17" t="s">
        <v>1164</v>
      </c>
      <c r="R549" s="12" t="s">
        <v>240</v>
      </c>
      <c r="S549" s="108"/>
      <c r="T549" s="108"/>
      <c r="U549" s="111"/>
      <c r="V549" s="108"/>
      <c r="W549" s="108"/>
      <c r="X549" s="108"/>
    </row>
    <row r="550" spans="1:25" s="26" customFormat="1" hidden="1">
      <c r="A550" s="33"/>
      <c r="B550" s="108"/>
      <c r="C550" s="108"/>
      <c r="D550" s="31" t="str">
        <f>D549</f>
        <v>驻云CloudCare</v>
      </c>
      <c r="E550" s="108"/>
      <c r="F550" s="111"/>
      <c r="G550" s="108"/>
      <c r="H550" s="108"/>
      <c r="I550" s="108"/>
      <c r="J550" s="108"/>
      <c r="K550" s="31" t="str">
        <f t="shared" si="111"/>
        <v>运营中</v>
      </c>
      <c r="L550" s="108"/>
      <c r="M550" s="108"/>
      <c r="N550" s="17"/>
      <c r="O550" s="36">
        <v>41988</v>
      </c>
      <c r="P550" s="17" t="s">
        <v>262</v>
      </c>
      <c r="Q550" s="12" t="s">
        <v>261</v>
      </c>
      <c r="R550" s="12" t="s">
        <v>421</v>
      </c>
      <c r="S550" s="108"/>
      <c r="T550" s="108"/>
      <c r="U550" s="111"/>
      <c r="V550" s="108"/>
      <c r="W550" s="108"/>
      <c r="X550" s="108"/>
    </row>
    <row r="551" spans="1:25" s="26" customFormat="1" hidden="1">
      <c r="A551" s="33"/>
      <c r="B551" s="108"/>
      <c r="C551" s="108"/>
      <c r="D551" s="31" t="str">
        <f>D550</f>
        <v>驻云CloudCare</v>
      </c>
      <c r="E551" s="108"/>
      <c r="F551" s="111"/>
      <c r="G551" s="108"/>
      <c r="H551" s="108"/>
      <c r="I551" s="108"/>
      <c r="J551" s="108"/>
      <c r="K551" s="31" t="str">
        <f t="shared" si="111"/>
        <v>运营中</v>
      </c>
      <c r="L551" s="108"/>
      <c r="M551" s="108"/>
      <c r="N551" s="17"/>
      <c r="O551" s="36">
        <v>41886</v>
      </c>
      <c r="P551" s="12" t="s">
        <v>326</v>
      </c>
      <c r="Q551" s="12" t="s">
        <v>327</v>
      </c>
      <c r="R551" s="12" t="s">
        <v>528</v>
      </c>
      <c r="S551" s="108"/>
      <c r="T551" s="108"/>
      <c r="U551" s="111"/>
      <c r="V551" s="108"/>
      <c r="W551" s="108"/>
      <c r="X551" s="108"/>
    </row>
    <row r="552" spans="1:25" s="26" customFormat="1" hidden="1">
      <c r="A552" s="33"/>
      <c r="B552" s="108"/>
      <c r="C552" s="108" t="s">
        <v>2033</v>
      </c>
      <c r="D552" s="31" t="s">
        <v>2034</v>
      </c>
      <c r="E552" s="107" t="s">
        <v>2034</v>
      </c>
      <c r="F552" s="110" t="s">
        <v>2035</v>
      </c>
      <c r="G552" s="107" t="s">
        <v>2036</v>
      </c>
      <c r="H552" s="108" t="s">
        <v>2037</v>
      </c>
      <c r="I552" s="108" t="s">
        <v>2038</v>
      </c>
      <c r="J552" s="107" t="s">
        <v>271</v>
      </c>
      <c r="K552" s="31" t="s">
        <v>272</v>
      </c>
      <c r="L552" s="107" t="s">
        <v>249</v>
      </c>
      <c r="M552" s="107" t="s">
        <v>2039</v>
      </c>
      <c r="N552" s="12">
        <v>1</v>
      </c>
      <c r="O552" s="36">
        <v>43139</v>
      </c>
      <c r="P552" s="17" t="s">
        <v>687</v>
      </c>
      <c r="Q552" s="17" t="s">
        <v>2040</v>
      </c>
      <c r="R552" s="12" t="s">
        <v>240</v>
      </c>
      <c r="S552" s="108" t="s">
        <v>2041</v>
      </c>
      <c r="T552" s="108" t="s">
        <v>2042</v>
      </c>
      <c r="U552" s="110" t="s">
        <v>2043</v>
      </c>
      <c r="V552" s="107" t="s">
        <v>2044</v>
      </c>
      <c r="W552" s="108" t="s">
        <v>2045</v>
      </c>
      <c r="X552" s="108"/>
    </row>
    <row r="553" spans="1:25" s="26" customFormat="1" hidden="1">
      <c r="A553" s="33"/>
      <c r="B553" s="108"/>
      <c r="C553" s="108"/>
      <c r="D553" s="31" t="str">
        <f>D552</f>
        <v>石基信息</v>
      </c>
      <c r="E553" s="108"/>
      <c r="F553" s="111"/>
      <c r="G553" s="108"/>
      <c r="H553" s="108"/>
      <c r="I553" s="108"/>
      <c r="J553" s="108"/>
      <c r="K553" s="31" t="str">
        <f t="shared" ref="K553:K554" si="112">K552</f>
        <v>运营中</v>
      </c>
      <c r="L553" s="108"/>
      <c r="M553" s="108"/>
      <c r="N553" s="12">
        <v>1</v>
      </c>
      <c r="O553" s="36">
        <v>41910</v>
      </c>
      <c r="P553" s="17" t="s">
        <v>687</v>
      </c>
      <c r="Q553" s="17" t="s">
        <v>2046</v>
      </c>
      <c r="R553" s="12" t="s">
        <v>240</v>
      </c>
      <c r="S553" s="108"/>
      <c r="T553" s="108"/>
      <c r="U553" s="111"/>
      <c r="V553" s="108"/>
      <c r="W553" s="108"/>
      <c r="X553" s="108"/>
    </row>
    <row r="554" spans="1:25" s="26" customFormat="1" hidden="1">
      <c r="A554" s="33"/>
      <c r="B554" s="108"/>
      <c r="C554" s="108"/>
      <c r="D554" s="31" t="str">
        <f>D553</f>
        <v>石基信息</v>
      </c>
      <c r="E554" s="108"/>
      <c r="F554" s="111"/>
      <c r="G554" s="108"/>
      <c r="H554" s="108"/>
      <c r="I554" s="108"/>
      <c r="J554" s="108"/>
      <c r="K554" s="31" t="str">
        <f t="shared" si="112"/>
        <v>运营中</v>
      </c>
      <c r="L554" s="108"/>
      <c r="M554" s="108"/>
      <c r="N554" s="12">
        <v>1</v>
      </c>
      <c r="O554" s="36">
        <v>39307</v>
      </c>
      <c r="P554" s="17" t="s">
        <v>283</v>
      </c>
      <c r="Q554" s="17" t="s">
        <v>2047</v>
      </c>
      <c r="R554" s="17" t="s">
        <v>253</v>
      </c>
      <c r="S554" s="108"/>
      <c r="T554" s="108"/>
      <c r="U554" s="111"/>
      <c r="V554" s="108"/>
      <c r="W554" s="108"/>
      <c r="X554" s="108"/>
    </row>
    <row r="555" spans="1:25" s="26" customFormat="1" hidden="1">
      <c r="A555" s="33"/>
      <c r="B555" s="108"/>
      <c r="C555" s="108" t="s">
        <v>2048</v>
      </c>
      <c r="D555" s="31" t="s">
        <v>2049</v>
      </c>
      <c r="E555" s="107" t="s">
        <v>2049</v>
      </c>
      <c r="F555" s="110" t="s">
        <v>2050</v>
      </c>
      <c r="G555" s="107" t="s">
        <v>2051</v>
      </c>
      <c r="H555" s="108" t="s">
        <v>2052</v>
      </c>
      <c r="I555" s="108" t="s">
        <v>745</v>
      </c>
      <c r="J555" s="107" t="s">
        <v>385</v>
      </c>
      <c r="K555" s="31" t="s">
        <v>272</v>
      </c>
      <c r="L555" s="107" t="s">
        <v>713</v>
      </c>
      <c r="M555" s="107" t="s">
        <v>881</v>
      </c>
      <c r="N555" s="12">
        <v>1</v>
      </c>
      <c r="O555" s="36">
        <v>43154</v>
      </c>
      <c r="P555" s="12" t="s">
        <v>471</v>
      </c>
      <c r="Q555" s="17" t="s">
        <v>2053</v>
      </c>
      <c r="R555" s="12" t="s">
        <v>2054</v>
      </c>
      <c r="S555" s="108" t="s">
        <v>2055</v>
      </c>
      <c r="T555" s="108" t="s">
        <v>2056</v>
      </c>
      <c r="U555" s="110" t="s">
        <v>2057</v>
      </c>
      <c r="V555" s="107" t="s">
        <v>2058</v>
      </c>
      <c r="W555" s="108" t="s">
        <v>2059</v>
      </c>
      <c r="X555" s="108"/>
    </row>
    <row r="556" spans="1:25" s="26" customFormat="1" hidden="1">
      <c r="A556" s="33"/>
      <c r="B556" s="108"/>
      <c r="C556" s="108"/>
      <c r="D556" s="31" t="str">
        <f>D555</f>
        <v>探探</v>
      </c>
      <c r="E556" s="108"/>
      <c r="F556" s="111"/>
      <c r="G556" s="108"/>
      <c r="H556" s="108"/>
      <c r="I556" s="108"/>
      <c r="J556" s="108"/>
      <c r="K556" s="31" t="str">
        <f t="shared" ref="K556:K559" si="113">K555</f>
        <v>运营中</v>
      </c>
      <c r="L556" s="108"/>
      <c r="M556" s="108"/>
      <c r="N556" s="12">
        <v>1</v>
      </c>
      <c r="O556" s="36">
        <v>42894</v>
      </c>
      <c r="P556" s="17" t="s">
        <v>317</v>
      </c>
      <c r="Q556" s="17" t="s">
        <v>1890</v>
      </c>
      <c r="R556" s="12" t="s">
        <v>2060</v>
      </c>
      <c r="S556" s="108"/>
      <c r="T556" s="108"/>
      <c r="U556" s="111"/>
      <c r="V556" s="108"/>
      <c r="W556" s="108"/>
      <c r="X556" s="108"/>
    </row>
    <row r="557" spans="1:25" s="26" customFormat="1" hidden="1">
      <c r="A557" s="33"/>
      <c r="B557" s="108"/>
      <c r="C557" s="108"/>
      <c r="D557" s="31" t="str">
        <f>D556</f>
        <v>探探</v>
      </c>
      <c r="E557" s="108"/>
      <c r="F557" s="111"/>
      <c r="G557" s="108"/>
      <c r="H557" s="108"/>
      <c r="I557" s="108"/>
      <c r="J557" s="108"/>
      <c r="K557" s="31" t="str">
        <f t="shared" si="113"/>
        <v>运营中</v>
      </c>
      <c r="L557" s="108"/>
      <c r="M557" s="108"/>
      <c r="N557" s="12">
        <v>1</v>
      </c>
      <c r="O557" s="36">
        <v>42507</v>
      </c>
      <c r="P557" s="17" t="s">
        <v>251</v>
      </c>
      <c r="Q557" s="17" t="s">
        <v>2061</v>
      </c>
      <c r="R557" s="17" t="s">
        <v>2062</v>
      </c>
      <c r="S557" s="108"/>
      <c r="T557" s="108"/>
      <c r="U557" s="111"/>
      <c r="V557" s="108"/>
      <c r="W557" s="108"/>
      <c r="X557" s="108"/>
    </row>
    <row r="558" spans="1:25" s="26" customFormat="1" hidden="1">
      <c r="A558" s="33"/>
      <c r="B558" s="108"/>
      <c r="C558" s="108"/>
      <c r="D558" s="31" t="str">
        <f>D557</f>
        <v>探探</v>
      </c>
      <c r="E558" s="108"/>
      <c r="F558" s="111"/>
      <c r="G558" s="108"/>
      <c r="H558" s="108"/>
      <c r="I558" s="108"/>
      <c r="J558" s="108"/>
      <c r="K558" s="31" t="str">
        <f t="shared" si="113"/>
        <v>运营中</v>
      </c>
      <c r="L558" s="108"/>
      <c r="M558" s="108"/>
      <c r="N558" s="12">
        <v>1</v>
      </c>
      <c r="O558" s="36">
        <v>42216</v>
      </c>
      <c r="P558" s="17" t="s">
        <v>257</v>
      </c>
      <c r="Q558" s="17" t="s">
        <v>2063</v>
      </c>
      <c r="R558" s="17" t="s">
        <v>2064</v>
      </c>
      <c r="S558" s="108"/>
      <c r="T558" s="108"/>
      <c r="U558" s="111"/>
      <c r="V558" s="108"/>
      <c r="W558" s="108"/>
      <c r="X558" s="108"/>
    </row>
    <row r="559" spans="1:25" s="26" customFormat="1" hidden="1">
      <c r="A559" s="33"/>
      <c r="B559" s="108"/>
      <c r="C559" s="108"/>
      <c r="D559" s="31" t="str">
        <f>D558</f>
        <v>探探</v>
      </c>
      <c r="E559" s="108"/>
      <c r="F559" s="111"/>
      <c r="G559" s="108"/>
      <c r="H559" s="108"/>
      <c r="I559" s="108"/>
      <c r="J559" s="108"/>
      <c r="K559" s="31" t="str">
        <f t="shared" si="113"/>
        <v>运营中</v>
      </c>
      <c r="L559" s="108"/>
      <c r="M559" s="108"/>
      <c r="N559" s="12">
        <v>1</v>
      </c>
      <c r="O559" s="36">
        <v>42019</v>
      </c>
      <c r="P559" s="17" t="s">
        <v>262</v>
      </c>
      <c r="Q559" s="17" t="s">
        <v>460</v>
      </c>
      <c r="R559" s="17" t="s">
        <v>2065</v>
      </c>
      <c r="S559" s="108"/>
      <c r="T559" s="108"/>
      <c r="U559" s="111"/>
      <c r="V559" s="108"/>
      <c r="W559" s="108"/>
      <c r="X559" s="108"/>
    </row>
    <row r="560" spans="1:25" s="26" customFormat="1" hidden="1">
      <c r="A560" s="33"/>
      <c r="B560" s="108"/>
      <c r="C560" s="108" t="s">
        <v>2066</v>
      </c>
      <c r="D560" s="31" t="s">
        <v>2067</v>
      </c>
      <c r="E560" s="108" t="s">
        <v>2067</v>
      </c>
      <c r="F560" s="111" t="s">
        <v>2068</v>
      </c>
      <c r="G560" s="108"/>
      <c r="H560" s="108" t="s">
        <v>2069</v>
      </c>
      <c r="I560" s="108" t="s">
        <v>2070</v>
      </c>
      <c r="J560" s="107" t="s">
        <v>1564</v>
      </c>
      <c r="K560" s="31" t="s">
        <v>272</v>
      </c>
      <c r="L560" s="107" t="s">
        <v>944</v>
      </c>
      <c r="M560" s="107" t="s">
        <v>2071</v>
      </c>
      <c r="N560" s="12"/>
      <c r="O560" s="36">
        <v>41922</v>
      </c>
      <c r="P560" s="17" t="s">
        <v>317</v>
      </c>
      <c r="Q560" s="17" t="s">
        <v>1032</v>
      </c>
      <c r="R560" s="12" t="s">
        <v>240</v>
      </c>
      <c r="S560" s="108" t="s">
        <v>2072</v>
      </c>
      <c r="T560" s="108" t="s">
        <v>2073</v>
      </c>
      <c r="U560" s="111" t="s">
        <v>2074</v>
      </c>
      <c r="V560" s="108"/>
      <c r="W560" s="108"/>
      <c r="X560" s="108"/>
    </row>
    <row r="561" spans="1:24" s="26" customFormat="1" hidden="1">
      <c r="A561" s="33"/>
      <c r="B561" s="108"/>
      <c r="C561" s="108"/>
      <c r="D561" s="31" t="str">
        <f>D560</f>
        <v>Peel</v>
      </c>
      <c r="E561" s="108"/>
      <c r="F561" s="111"/>
      <c r="G561" s="108"/>
      <c r="H561" s="108"/>
      <c r="I561" s="108"/>
      <c r="J561" s="108"/>
      <c r="K561" s="31" t="str">
        <f t="shared" ref="K561:K562" si="114">K560</f>
        <v>运营中</v>
      </c>
      <c r="L561" s="108"/>
      <c r="M561" s="108"/>
      <c r="N561" s="17"/>
      <c r="O561" s="36">
        <v>41393</v>
      </c>
      <c r="P561" s="17" t="s">
        <v>251</v>
      </c>
      <c r="Q561" s="17" t="s">
        <v>458</v>
      </c>
      <c r="R561" s="12" t="s">
        <v>240</v>
      </c>
      <c r="S561" s="108"/>
      <c r="T561" s="108"/>
      <c r="U561" s="111"/>
      <c r="V561" s="108"/>
      <c r="W561" s="108"/>
      <c r="X561" s="108"/>
    </row>
    <row r="562" spans="1:24" s="26" customFormat="1" hidden="1">
      <c r="A562" s="33"/>
      <c r="B562" s="108"/>
      <c r="C562" s="108"/>
      <c r="D562" s="31" t="str">
        <f>D561</f>
        <v>Peel</v>
      </c>
      <c r="E562" s="108"/>
      <c r="F562" s="111"/>
      <c r="G562" s="108"/>
      <c r="H562" s="108"/>
      <c r="I562" s="108"/>
      <c r="J562" s="108"/>
      <c r="K562" s="31" t="str">
        <f t="shared" si="114"/>
        <v>运营中</v>
      </c>
      <c r="L562" s="108"/>
      <c r="M562" s="108"/>
      <c r="N562" s="17"/>
      <c r="O562" s="36">
        <v>40685</v>
      </c>
      <c r="P562" s="17" t="s">
        <v>257</v>
      </c>
      <c r="Q562" s="17" t="s">
        <v>2075</v>
      </c>
      <c r="R562" s="17" t="s">
        <v>2076</v>
      </c>
      <c r="S562" s="108"/>
      <c r="T562" s="108"/>
      <c r="U562" s="111"/>
      <c r="V562" s="108"/>
      <c r="W562" s="108"/>
      <c r="X562" s="108"/>
    </row>
    <row r="563" spans="1:24" s="26" customFormat="1" hidden="1">
      <c r="A563" s="33"/>
      <c r="B563" s="108"/>
      <c r="C563" s="108" t="s">
        <v>2077</v>
      </c>
      <c r="D563" s="31" t="s">
        <v>2078</v>
      </c>
      <c r="E563" s="108" t="s">
        <v>2079</v>
      </c>
      <c r="F563" s="110" t="s">
        <v>2080</v>
      </c>
      <c r="G563" s="107" t="s">
        <v>2081</v>
      </c>
      <c r="H563" s="108" t="s">
        <v>2082</v>
      </c>
      <c r="I563" s="108" t="s">
        <v>2083</v>
      </c>
      <c r="J563" s="107" t="s">
        <v>349</v>
      </c>
      <c r="K563" s="31" t="s">
        <v>272</v>
      </c>
      <c r="L563" s="107" t="s">
        <v>350</v>
      </c>
      <c r="M563" s="107" t="s">
        <v>1090</v>
      </c>
      <c r="N563" s="12"/>
      <c r="O563" s="36">
        <v>44256</v>
      </c>
      <c r="P563" s="17" t="s">
        <v>310</v>
      </c>
      <c r="Q563" s="12" t="s">
        <v>409</v>
      </c>
      <c r="R563" s="17" t="s">
        <v>253</v>
      </c>
      <c r="S563" s="108" t="s">
        <v>2084</v>
      </c>
      <c r="T563" s="108" t="s">
        <v>412</v>
      </c>
      <c r="U563" s="110" t="s">
        <v>2085</v>
      </c>
      <c r="V563" s="107" t="s">
        <v>2086</v>
      </c>
      <c r="W563" s="108" t="s">
        <v>2087</v>
      </c>
      <c r="X563" s="108" t="s">
        <v>2088</v>
      </c>
    </row>
    <row r="564" spans="1:24" s="26" customFormat="1" hidden="1">
      <c r="A564" s="33"/>
      <c r="B564" s="108"/>
      <c r="C564" s="108"/>
      <c r="D564" s="31" t="str">
        <f>D563</f>
        <v>Shopex商派网络</v>
      </c>
      <c r="E564" s="108"/>
      <c r="F564" s="111"/>
      <c r="G564" s="108"/>
      <c r="H564" s="108"/>
      <c r="I564" s="108"/>
      <c r="J564" s="108"/>
      <c r="K564" s="31" t="str">
        <f t="shared" ref="K564:K567" si="115">K563</f>
        <v>运营中</v>
      </c>
      <c r="L564" s="108"/>
      <c r="M564" s="108"/>
      <c r="N564" s="17"/>
      <c r="O564" s="36">
        <v>42943</v>
      </c>
      <c r="P564" s="17" t="s">
        <v>317</v>
      </c>
      <c r="Q564" s="17" t="s">
        <v>2089</v>
      </c>
      <c r="R564" s="12" t="s">
        <v>2090</v>
      </c>
      <c r="S564" s="108"/>
      <c r="T564" s="108"/>
      <c r="U564" s="111"/>
      <c r="V564" s="108"/>
      <c r="W564" s="108"/>
      <c r="X564" s="108"/>
    </row>
    <row r="565" spans="1:24" s="26" customFormat="1" hidden="1">
      <c r="A565" s="33"/>
      <c r="B565" s="108"/>
      <c r="C565" s="108"/>
      <c r="D565" s="31" t="str">
        <f>D564</f>
        <v>Shopex商派网络</v>
      </c>
      <c r="E565" s="108"/>
      <c r="F565" s="111"/>
      <c r="G565" s="108"/>
      <c r="H565" s="108"/>
      <c r="I565" s="108"/>
      <c r="J565" s="108"/>
      <c r="K565" s="31" t="str">
        <f t="shared" si="115"/>
        <v>运营中</v>
      </c>
      <c r="L565" s="108"/>
      <c r="M565" s="108"/>
      <c r="N565" s="17"/>
      <c r="O565" s="36">
        <v>40909</v>
      </c>
      <c r="P565" s="17" t="s">
        <v>251</v>
      </c>
      <c r="Q565" s="12" t="s">
        <v>341</v>
      </c>
      <c r="R565" s="12" t="s">
        <v>240</v>
      </c>
      <c r="S565" s="108"/>
      <c r="T565" s="108"/>
      <c r="U565" s="111"/>
      <c r="V565" s="108"/>
      <c r="W565" s="108"/>
      <c r="X565" s="108"/>
    </row>
    <row r="566" spans="1:24" s="26" customFormat="1" hidden="1">
      <c r="A566" s="33"/>
      <c r="B566" s="108"/>
      <c r="C566" s="108"/>
      <c r="D566" s="31" t="str">
        <f>D565</f>
        <v>Shopex商派网络</v>
      </c>
      <c r="E566" s="108"/>
      <c r="F566" s="111"/>
      <c r="G566" s="108"/>
      <c r="H566" s="108"/>
      <c r="I566" s="108"/>
      <c r="J566" s="108"/>
      <c r="K566" s="31" t="str">
        <f t="shared" si="115"/>
        <v>运营中</v>
      </c>
      <c r="L566" s="108"/>
      <c r="M566" s="108"/>
      <c r="N566" s="17"/>
      <c r="O566" s="36">
        <v>40712</v>
      </c>
      <c r="P566" s="17" t="s">
        <v>257</v>
      </c>
      <c r="Q566" s="12" t="s">
        <v>258</v>
      </c>
      <c r="R566" s="12" t="s">
        <v>2091</v>
      </c>
      <c r="S566" s="108"/>
      <c r="T566" s="108"/>
      <c r="U566" s="111"/>
      <c r="V566" s="108"/>
      <c r="W566" s="108"/>
      <c r="X566" s="108"/>
    </row>
    <row r="567" spans="1:24" s="26" customFormat="1" hidden="1">
      <c r="A567" s="33"/>
      <c r="B567" s="108"/>
      <c r="C567" s="108"/>
      <c r="D567" s="31" t="str">
        <f>D566</f>
        <v>Shopex商派网络</v>
      </c>
      <c r="E567" s="108"/>
      <c r="F567" s="111"/>
      <c r="G567" s="108"/>
      <c r="H567" s="108"/>
      <c r="I567" s="108"/>
      <c r="J567" s="108"/>
      <c r="K567" s="31" t="str">
        <f t="shared" si="115"/>
        <v>运营中</v>
      </c>
      <c r="L567" s="108"/>
      <c r="M567" s="108"/>
      <c r="N567" s="17"/>
      <c r="O567" s="36">
        <v>40179</v>
      </c>
      <c r="P567" s="17" t="s">
        <v>262</v>
      </c>
      <c r="Q567" s="12" t="s">
        <v>261</v>
      </c>
      <c r="R567" s="12" t="s">
        <v>343</v>
      </c>
      <c r="S567" s="108"/>
      <c r="T567" s="108"/>
      <c r="U567" s="111"/>
      <c r="V567" s="108"/>
      <c r="W567" s="108"/>
      <c r="X567" s="108"/>
    </row>
    <row r="568" spans="1:24" s="26" customFormat="1" hidden="1">
      <c r="A568" s="33"/>
      <c r="B568" s="108"/>
      <c r="C568" s="108" t="s">
        <v>2092</v>
      </c>
      <c r="D568" s="31" t="s">
        <v>2093</v>
      </c>
      <c r="E568" s="107" t="s">
        <v>2093</v>
      </c>
      <c r="F568" s="110" t="s">
        <v>2094</v>
      </c>
      <c r="G568" s="107" t="s">
        <v>2095</v>
      </c>
      <c r="H568" s="108" t="s">
        <v>2096</v>
      </c>
      <c r="I568" s="108" t="s">
        <v>1944</v>
      </c>
      <c r="J568" s="107" t="s">
        <v>271</v>
      </c>
      <c r="K568" s="31" t="s">
        <v>272</v>
      </c>
      <c r="L568" s="107" t="s">
        <v>273</v>
      </c>
      <c r="M568" s="107" t="s">
        <v>274</v>
      </c>
      <c r="N568" s="12"/>
      <c r="O568" s="36">
        <v>42256</v>
      </c>
      <c r="P568" s="17" t="s">
        <v>721</v>
      </c>
      <c r="Q568" s="17" t="s">
        <v>360</v>
      </c>
      <c r="R568" s="12" t="s">
        <v>374</v>
      </c>
      <c r="S568" s="108" t="s">
        <v>2097</v>
      </c>
      <c r="T568" s="108" t="s">
        <v>749</v>
      </c>
      <c r="U568" s="110" t="s">
        <v>2098</v>
      </c>
      <c r="V568" s="107" t="s">
        <v>2099</v>
      </c>
      <c r="W568" s="108" t="s">
        <v>2100</v>
      </c>
      <c r="X568" s="108" t="s">
        <v>2101</v>
      </c>
    </row>
    <row r="569" spans="1:24" s="26" customFormat="1" hidden="1">
      <c r="A569" s="33"/>
      <c r="B569" s="108"/>
      <c r="C569" s="108"/>
      <c r="D569" s="31" t="str">
        <f>D568</f>
        <v>接我科技</v>
      </c>
      <c r="E569" s="108"/>
      <c r="F569" s="111"/>
      <c r="G569" s="108"/>
      <c r="H569" s="108"/>
      <c r="I569" s="108"/>
      <c r="J569" s="108"/>
      <c r="K569" s="31" t="str">
        <f>K568</f>
        <v>运营中</v>
      </c>
      <c r="L569" s="108"/>
      <c r="M569" s="108"/>
      <c r="N569" s="17"/>
      <c r="O569" s="36">
        <v>41864</v>
      </c>
      <c r="P569" s="12" t="s">
        <v>326</v>
      </c>
      <c r="Q569" s="12" t="s">
        <v>261</v>
      </c>
      <c r="R569" s="12" t="s">
        <v>2102</v>
      </c>
      <c r="S569" s="108"/>
      <c r="T569" s="108"/>
      <c r="U569" s="111"/>
      <c r="V569" s="108"/>
      <c r="W569" s="108"/>
      <c r="X569" s="108"/>
    </row>
    <row r="570" spans="1:24" s="26" customFormat="1" hidden="1">
      <c r="A570" s="33"/>
      <c r="B570" s="108"/>
      <c r="C570" s="108" t="s">
        <v>1940</v>
      </c>
      <c r="D570" s="31" t="s">
        <v>2103</v>
      </c>
      <c r="E570" s="107" t="s">
        <v>2103</v>
      </c>
      <c r="F570" s="110" t="s">
        <v>2104</v>
      </c>
      <c r="G570" s="107" t="s">
        <v>2105</v>
      </c>
      <c r="H570" s="108" t="s">
        <v>2106</v>
      </c>
      <c r="I570" s="108" t="s">
        <v>745</v>
      </c>
      <c r="J570" s="107" t="s">
        <v>406</v>
      </c>
      <c r="K570" s="31" t="s">
        <v>272</v>
      </c>
      <c r="L570" s="107" t="s">
        <v>350</v>
      </c>
      <c r="M570" s="107" t="s">
        <v>2107</v>
      </c>
      <c r="N570" s="12"/>
      <c r="O570" s="36">
        <v>42591</v>
      </c>
      <c r="P570" s="17" t="s">
        <v>251</v>
      </c>
      <c r="Q570" s="17" t="s">
        <v>2108</v>
      </c>
      <c r="R570" s="12" t="s">
        <v>240</v>
      </c>
      <c r="S570" s="108" t="s">
        <v>2109</v>
      </c>
      <c r="T570" s="108" t="s">
        <v>2110</v>
      </c>
      <c r="U570" s="110" t="s">
        <v>2111</v>
      </c>
      <c r="V570" s="107" t="s">
        <v>2112</v>
      </c>
      <c r="W570" s="108" t="s">
        <v>2113</v>
      </c>
      <c r="X570" s="108" t="s">
        <v>2114</v>
      </c>
    </row>
    <row r="571" spans="1:24" s="26" customFormat="1" hidden="1">
      <c r="A571" s="33"/>
      <c r="B571" s="108"/>
      <c r="C571" s="108"/>
      <c r="D571" s="31" t="str">
        <f>D570</f>
        <v>鲜趣生活</v>
      </c>
      <c r="E571" s="108"/>
      <c r="F571" s="111"/>
      <c r="G571" s="108"/>
      <c r="H571" s="108"/>
      <c r="I571" s="108"/>
      <c r="J571" s="108"/>
      <c r="K571" s="31" t="str">
        <f t="shared" ref="K571:K572" si="116">K570</f>
        <v>运营中</v>
      </c>
      <c r="L571" s="108"/>
      <c r="M571" s="108"/>
      <c r="N571" s="17"/>
      <c r="O571" s="36">
        <v>42236</v>
      </c>
      <c r="P571" s="17" t="s">
        <v>257</v>
      </c>
      <c r="Q571" s="12" t="s">
        <v>258</v>
      </c>
      <c r="R571" s="12" t="s">
        <v>2115</v>
      </c>
      <c r="S571" s="108"/>
      <c r="T571" s="108"/>
      <c r="U571" s="111"/>
      <c r="V571" s="108"/>
      <c r="W571" s="108"/>
      <c r="X571" s="108"/>
    </row>
    <row r="572" spans="1:24" s="26" customFormat="1" hidden="1">
      <c r="A572" s="33"/>
      <c r="B572" s="108"/>
      <c r="C572" s="108"/>
      <c r="D572" s="31" t="str">
        <f>D571</f>
        <v>鲜趣生活</v>
      </c>
      <c r="E572" s="108"/>
      <c r="F572" s="111"/>
      <c r="G572" s="108"/>
      <c r="H572" s="108"/>
      <c r="I572" s="108"/>
      <c r="J572" s="108"/>
      <c r="K572" s="31" t="str">
        <f t="shared" si="116"/>
        <v>运营中</v>
      </c>
      <c r="L572" s="108"/>
      <c r="M572" s="108"/>
      <c r="N572" s="17"/>
      <c r="O572" s="36">
        <v>42034</v>
      </c>
      <c r="P572" s="17" t="s">
        <v>262</v>
      </c>
      <c r="Q572" s="12" t="s">
        <v>261</v>
      </c>
      <c r="R572" s="12" t="s">
        <v>2116</v>
      </c>
      <c r="S572" s="108"/>
      <c r="T572" s="108"/>
      <c r="U572" s="111"/>
      <c r="V572" s="108"/>
      <c r="W572" s="108"/>
      <c r="X572" s="108"/>
    </row>
    <row r="573" spans="1:24" s="26" customFormat="1" hidden="1">
      <c r="A573" s="33"/>
      <c r="B573" s="108"/>
      <c r="C573" s="108" t="s">
        <v>2117</v>
      </c>
      <c r="D573" s="31" t="s">
        <v>2118</v>
      </c>
      <c r="E573" s="108" t="s">
        <v>2118</v>
      </c>
      <c r="F573" s="111" t="s">
        <v>2119</v>
      </c>
      <c r="G573" s="108"/>
      <c r="H573" s="108" t="s">
        <v>2120</v>
      </c>
      <c r="I573" s="108" t="s">
        <v>483</v>
      </c>
      <c r="J573" s="107" t="s">
        <v>1564</v>
      </c>
      <c r="K573" s="31" t="s">
        <v>272</v>
      </c>
      <c r="L573" s="107" t="s">
        <v>944</v>
      </c>
      <c r="M573" s="107" t="s">
        <v>2121</v>
      </c>
      <c r="N573" s="12"/>
      <c r="O573" s="36">
        <v>44923</v>
      </c>
      <c r="P573" s="12" t="s">
        <v>285</v>
      </c>
      <c r="Q573" s="17" t="s">
        <v>2122</v>
      </c>
      <c r="R573" s="17" t="s">
        <v>2123</v>
      </c>
      <c r="S573" s="108" t="s">
        <v>2124</v>
      </c>
      <c r="T573" s="108" t="s">
        <v>598</v>
      </c>
      <c r="U573" s="111" t="s">
        <v>2125</v>
      </c>
      <c r="V573" s="108"/>
      <c r="W573" s="108"/>
      <c r="X573" s="108"/>
    </row>
    <row r="574" spans="1:24" s="26" customFormat="1" hidden="1">
      <c r="A574" s="33"/>
      <c r="B574" s="108"/>
      <c r="C574" s="108"/>
      <c r="D574" s="31" t="str">
        <f t="shared" ref="D574:D585" si="117">D573</f>
        <v>Magic Leap</v>
      </c>
      <c r="E574" s="108"/>
      <c r="F574" s="111"/>
      <c r="G574" s="108"/>
      <c r="H574" s="108"/>
      <c r="I574" s="108"/>
      <c r="J574" s="108"/>
      <c r="K574" s="31" t="str">
        <f t="shared" ref="K574:K585" si="118">K573</f>
        <v>运营中</v>
      </c>
      <c r="L574" s="108"/>
      <c r="M574" s="108"/>
      <c r="N574" s="17"/>
      <c r="O574" s="36">
        <v>44481</v>
      </c>
      <c r="P574" s="12" t="s">
        <v>285</v>
      </c>
      <c r="Q574" s="17" t="s">
        <v>288</v>
      </c>
      <c r="R574" s="17" t="s">
        <v>253</v>
      </c>
      <c r="S574" s="108"/>
      <c r="T574" s="108"/>
      <c r="U574" s="111"/>
      <c r="V574" s="108"/>
      <c r="W574" s="108"/>
      <c r="X574" s="108"/>
    </row>
    <row r="575" spans="1:24" s="26" customFormat="1" hidden="1">
      <c r="A575" s="33"/>
      <c r="B575" s="108"/>
      <c r="C575" s="108"/>
      <c r="D575" s="31" t="str">
        <f t="shared" si="117"/>
        <v>Magic Leap</v>
      </c>
      <c r="E575" s="108"/>
      <c r="F575" s="111"/>
      <c r="G575" s="108"/>
      <c r="H575" s="108"/>
      <c r="I575" s="108"/>
      <c r="J575" s="108"/>
      <c r="K575" s="31" t="str">
        <f t="shared" si="118"/>
        <v>运营中</v>
      </c>
      <c r="L575" s="108"/>
      <c r="M575" s="108"/>
      <c r="N575" s="17"/>
      <c r="O575" s="36">
        <v>43973</v>
      </c>
      <c r="P575" s="12" t="s">
        <v>285</v>
      </c>
      <c r="Q575" s="17" t="s">
        <v>984</v>
      </c>
      <c r="R575" s="17" t="s">
        <v>253</v>
      </c>
      <c r="S575" s="108"/>
      <c r="T575" s="108"/>
      <c r="U575" s="111"/>
      <c r="V575" s="108"/>
      <c r="W575" s="108"/>
      <c r="X575" s="108"/>
    </row>
    <row r="576" spans="1:24" s="26" customFormat="1" hidden="1">
      <c r="A576" s="33"/>
      <c r="B576" s="108"/>
      <c r="C576" s="108"/>
      <c r="D576" s="31" t="str">
        <f t="shared" si="117"/>
        <v>Magic Leap</v>
      </c>
      <c r="E576" s="108"/>
      <c r="F576" s="111"/>
      <c r="G576" s="108"/>
      <c r="H576" s="108"/>
      <c r="I576" s="108"/>
      <c r="J576" s="108"/>
      <c r="K576" s="31" t="str">
        <f t="shared" si="118"/>
        <v>运营中</v>
      </c>
      <c r="L576" s="108"/>
      <c r="M576" s="108"/>
      <c r="N576" s="17"/>
      <c r="O576" s="36">
        <v>43787</v>
      </c>
      <c r="P576" s="17" t="s">
        <v>310</v>
      </c>
      <c r="Q576" s="17" t="s">
        <v>288</v>
      </c>
      <c r="R576" s="17" t="s">
        <v>253</v>
      </c>
      <c r="S576" s="108"/>
      <c r="T576" s="108"/>
      <c r="U576" s="111"/>
      <c r="V576" s="108"/>
      <c r="W576" s="108"/>
      <c r="X576" s="108"/>
    </row>
    <row r="577" spans="1:24" s="26" customFormat="1" hidden="1">
      <c r="A577" s="33"/>
      <c r="B577" s="108"/>
      <c r="C577" s="108"/>
      <c r="D577" s="31" t="str">
        <f t="shared" si="117"/>
        <v>Magic Leap</v>
      </c>
      <c r="E577" s="108"/>
      <c r="F577" s="111"/>
      <c r="G577" s="108"/>
      <c r="H577" s="108"/>
      <c r="I577" s="108"/>
      <c r="J577" s="108"/>
      <c r="K577" s="31" t="str">
        <f t="shared" si="118"/>
        <v>运营中</v>
      </c>
      <c r="L577" s="108"/>
      <c r="M577" s="108"/>
      <c r="N577" s="17"/>
      <c r="O577" s="36">
        <v>43581</v>
      </c>
      <c r="P577" s="12" t="s">
        <v>285</v>
      </c>
      <c r="Q577" s="17" t="s">
        <v>1590</v>
      </c>
      <c r="R577" s="17" t="s">
        <v>2126</v>
      </c>
      <c r="S577" s="108"/>
      <c r="T577" s="108"/>
      <c r="U577" s="111"/>
      <c r="V577" s="108"/>
      <c r="W577" s="108"/>
      <c r="X577" s="108"/>
    </row>
    <row r="578" spans="1:24" s="26" customFormat="1" hidden="1">
      <c r="A578" s="33"/>
      <c r="B578" s="108"/>
      <c r="C578" s="108"/>
      <c r="D578" s="31" t="str">
        <f t="shared" si="117"/>
        <v>Magic Leap</v>
      </c>
      <c r="E578" s="108"/>
      <c r="F578" s="111"/>
      <c r="G578" s="108"/>
      <c r="H578" s="108"/>
      <c r="I578" s="108"/>
      <c r="J578" s="108"/>
      <c r="K578" s="31" t="str">
        <f t="shared" si="118"/>
        <v>运营中</v>
      </c>
      <c r="L578" s="108"/>
      <c r="M578" s="108"/>
      <c r="N578" s="17"/>
      <c r="O578" s="36">
        <v>43167</v>
      </c>
      <c r="P578" s="12" t="s">
        <v>285</v>
      </c>
      <c r="Q578" s="17" t="s">
        <v>2127</v>
      </c>
      <c r="R578" s="17" t="s">
        <v>2128</v>
      </c>
      <c r="S578" s="108"/>
      <c r="T578" s="108"/>
      <c r="U578" s="111"/>
      <c r="V578" s="108"/>
      <c r="W578" s="108"/>
      <c r="X578" s="108"/>
    </row>
    <row r="579" spans="1:24" s="26" customFormat="1" hidden="1">
      <c r="A579" s="33"/>
      <c r="B579" s="108"/>
      <c r="C579" s="108"/>
      <c r="D579" s="31" t="str">
        <f t="shared" si="117"/>
        <v>Magic Leap</v>
      </c>
      <c r="E579" s="108"/>
      <c r="F579" s="111"/>
      <c r="G579" s="108"/>
      <c r="H579" s="108"/>
      <c r="I579" s="108"/>
      <c r="J579" s="108"/>
      <c r="K579" s="31" t="str">
        <f t="shared" si="118"/>
        <v>运营中</v>
      </c>
      <c r="L579" s="108"/>
      <c r="M579" s="108"/>
      <c r="N579" s="17"/>
      <c r="O579" s="36">
        <v>43144</v>
      </c>
      <c r="P579" s="12" t="s">
        <v>285</v>
      </c>
      <c r="Q579" s="12" t="s">
        <v>276</v>
      </c>
      <c r="R579" s="17" t="s">
        <v>2129</v>
      </c>
      <c r="S579" s="108"/>
      <c r="T579" s="108"/>
      <c r="U579" s="111"/>
      <c r="V579" s="108"/>
      <c r="W579" s="108"/>
      <c r="X579" s="108"/>
    </row>
    <row r="580" spans="1:24" s="26" customFormat="1" hidden="1">
      <c r="A580" s="33"/>
      <c r="B580" s="108"/>
      <c r="C580" s="108"/>
      <c r="D580" s="31" t="str">
        <f t="shared" si="117"/>
        <v>Magic Leap</v>
      </c>
      <c r="E580" s="108"/>
      <c r="F580" s="111"/>
      <c r="G580" s="108"/>
      <c r="H580" s="108"/>
      <c r="I580" s="108"/>
      <c r="J580" s="108"/>
      <c r="K580" s="31" t="str">
        <f t="shared" si="118"/>
        <v>运营中</v>
      </c>
      <c r="L580" s="108"/>
      <c r="M580" s="108"/>
      <c r="N580" s="17"/>
      <c r="O580" s="36">
        <v>42992</v>
      </c>
      <c r="P580" s="17" t="s">
        <v>317</v>
      </c>
      <c r="Q580" s="17" t="s">
        <v>2130</v>
      </c>
      <c r="R580" s="12" t="s">
        <v>2131</v>
      </c>
      <c r="S580" s="108"/>
      <c r="T580" s="108"/>
      <c r="U580" s="111"/>
      <c r="V580" s="108"/>
      <c r="W580" s="108"/>
      <c r="X580" s="108"/>
    </row>
    <row r="581" spans="1:24" s="26" customFormat="1" hidden="1">
      <c r="A581" s="33"/>
      <c r="B581" s="108"/>
      <c r="C581" s="108"/>
      <c r="D581" s="31" t="str">
        <f t="shared" si="117"/>
        <v>Magic Leap</v>
      </c>
      <c r="E581" s="108"/>
      <c r="F581" s="111"/>
      <c r="G581" s="108"/>
      <c r="H581" s="108"/>
      <c r="I581" s="108"/>
      <c r="J581" s="108"/>
      <c r="K581" s="31" t="str">
        <f t="shared" si="118"/>
        <v>运营中</v>
      </c>
      <c r="L581" s="108"/>
      <c r="M581" s="108"/>
      <c r="N581" s="17"/>
      <c r="O581" s="36">
        <v>42598</v>
      </c>
      <c r="P581" s="17" t="s">
        <v>523</v>
      </c>
      <c r="Q581" s="12" t="s">
        <v>258</v>
      </c>
      <c r="R581" s="12" t="s">
        <v>2132</v>
      </c>
      <c r="S581" s="108"/>
      <c r="T581" s="108"/>
      <c r="U581" s="111"/>
      <c r="V581" s="108"/>
      <c r="W581" s="108"/>
      <c r="X581" s="108"/>
    </row>
    <row r="582" spans="1:24" s="26" customFormat="1" hidden="1">
      <c r="A582" s="33"/>
      <c r="B582" s="108"/>
      <c r="C582" s="108"/>
      <c r="D582" s="31" t="str">
        <f t="shared" si="117"/>
        <v>Magic Leap</v>
      </c>
      <c r="E582" s="108"/>
      <c r="F582" s="111"/>
      <c r="G582" s="108"/>
      <c r="H582" s="108"/>
      <c r="I582" s="108"/>
      <c r="J582" s="108"/>
      <c r="K582" s="31" t="str">
        <f t="shared" si="118"/>
        <v>运营中</v>
      </c>
      <c r="L582" s="108"/>
      <c r="M582" s="108"/>
      <c r="N582" s="17"/>
      <c r="O582" s="36">
        <v>42402</v>
      </c>
      <c r="P582" s="17" t="s">
        <v>251</v>
      </c>
      <c r="Q582" s="17" t="s">
        <v>2133</v>
      </c>
      <c r="R582" s="12" t="s">
        <v>2134</v>
      </c>
      <c r="S582" s="108"/>
      <c r="T582" s="108"/>
      <c r="U582" s="111"/>
      <c r="V582" s="108"/>
      <c r="W582" s="108"/>
      <c r="X582" s="108"/>
    </row>
    <row r="583" spans="1:24" s="26" customFormat="1" hidden="1">
      <c r="A583" s="33"/>
      <c r="B583" s="108"/>
      <c r="C583" s="108"/>
      <c r="D583" s="31" t="str">
        <f t="shared" si="117"/>
        <v>Magic Leap</v>
      </c>
      <c r="E583" s="108"/>
      <c r="F583" s="111"/>
      <c r="G583" s="108"/>
      <c r="H583" s="108"/>
      <c r="I583" s="108"/>
      <c r="J583" s="108"/>
      <c r="K583" s="31" t="str">
        <f t="shared" si="118"/>
        <v>运营中</v>
      </c>
      <c r="L583" s="108"/>
      <c r="M583" s="108"/>
      <c r="N583" s="17"/>
      <c r="O583" s="36">
        <v>42339</v>
      </c>
      <c r="P583" s="17" t="s">
        <v>565</v>
      </c>
      <c r="Q583" s="17" t="s">
        <v>2135</v>
      </c>
      <c r="R583" s="12" t="s">
        <v>2136</v>
      </c>
      <c r="S583" s="108"/>
      <c r="T583" s="108"/>
      <c r="U583" s="111"/>
      <c r="V583" s="108"/>
      <c r="W583" s="108"/>
      <c r="X583" s="108"/>
    </row>
    <row r="584" spans="1:24" s="26" customFormat="1" hidden="1">
      <c r="A584" s="33"/>
      <c r="B584" s="108"/>
      <c r="C584" s="108"/>
      <c r="D584" s="31" t="str">
        <f t="shared" si="117"/>
        <v>Magic Leap</v>
      </c>
      <c r="E584" s="108"/>
      <c r="F584" s="111"/>
      <c r="G584" s="108"/>
      <c r="H584" s="108"/>
      <c r="I584" s="108"/>
      <c r="J584" s="108"/>
      <c r="K584" s="31" t="str">
        <f t="shared" si="118"/>
        <v>运营中</v>
      </c>
      <c r="L584" s="108"/>
      <c r="M584" s="108"/>
      <c r="N584" s="17"/>
      <c r="O584" s="36">
        <v>41934</v>
      </c>
      <c r="P584" s="17" t="s">
        <v>257</v>
      </c>
      <c r="Q584" s="17" t="s">
        <v>2137</v>
      </c>
      <c r="R584" s="12" t="s">
        <v>2138</v>
      </c>
      <c r="S584" s="108"/>
      <c r="T584" s="108"/>
      <c r="U584" s="111"/>
      <c r="V584" s="108"/>
      <c r="W584" s="108"/>
      <c r="X584" s="108"/>
    </row>
    <row r="585" spans="1:24" s="26" customFormat="1" hidden="1">
      <c r="A585" s="33"/>
      <c r="B585" s="108"/>
      <c r="C585" s="108"/>
      <c r="D585" s="31" t="str">
        <f t="shared" si="117"/>
        <v>Magic Leap</v>
      </c>
      <c r="E585" s="108"/>
      <c r="F585" s="111"/>
      <c r="G585" s="108"/>
      <c r="H585" s="108"/>
      <c r="I585" s="108"/>
      <c r="J585" s="108"/>
      <c r="K585" s="31" t="str">
        <f t="shared" si="118"/>
        <v>运营中</v>
      </c>
      <c r="L585" s="108"/>
      <c r="M585" s="108"/>
      <c r="N585" s="17"/>
      <c r="O585" s="36">
        <v>41671</v>
      </c>
      <c r="P585" s="17" t="s">
        <v>262</v>
      </c>
      <c r="Q585" s="17" t="s">
        <v>1032</v>
      </c>
      <c r="R585" s="17" t="s">
        <v>253</v>
      </c>
      <c r="S585" s="108"/>
      <c r="T585" s="108"/>
      <c r="U585" s="111"/>
      <c r="V585" s="108"/>
      <c r="W585" s="108"/>
      <c r="X585" s="108"/>
    </row>
    <row r="586" spans="1:24" s="26" customFormat="1" hidden="1">
      <c r="A586" s="33"/>
      <c r="B586" s="108"/>
      <c r="C586" s="108" t="s">
        <v>2139</v>
      </c>
      <c r="D586" s="31" t="s">
        <v>2140</v>
      </c>
      <c r="E586" s="107" t="s">
        <v>2140</v>
      </c>
      <c r="F586" s="110" t="s">
        <v>2141</v>
      </c>
      <c r="G586" s="107" t="s">
        <v>2142</v>
      </c>
      <c r="H586" s="108" t="s">
        <v>2143</v>
      </c>
      <c r="I586" s="108" t="s">
        <v>2144</v>
      </c>
      <c r="J586" s="107" t="s">
        <v>271</v>
      </c>
      <c r="K586" s="31" t="s">
        <v>272</v>
      </c>
      <c r="L586" s="107" t="s">
        <v>386</v>
      </c>
      <c r="M586" s="107" t="s">
        <v>645</v>
      </c>
      <c r="N586" s="12"/>
      <c r="O586" s="36">
        <v>42454</v>
      </c>
      <c r="P586" s="17" t="s">
        <v>251</v>
      </c>
      <c r="Q586" s="12" t="s">
        <v>252</v>
      </c>
      <c r="R586" s="12" t="s">
        <v>715</v>
      </c>
      <c r="S586" s="108" t="s">
        <v>998</v>
      </c>
      <c r="T586" s="107" t="s">
        <v>255</v>
      </c>
      <c r="U586" s="110" t="s">
        <v>2145</v>
      </c>
      <c r="V586" s="107" t="s">
        <v>2146</v>
      </c>
      <c r="W586" s="108" t="s">
        <v>2147</v>
      </c>
      <c r="X586" s="108" t="s">
        <v>2148</v>
      </c>
    </row>
    <row r="587" spans="1:24" s="26" customFormat="1" hidden="1">
      <c r="A587" s="33"/>
      <c r="B587" s="108"/>
      <c r="C587" s="108"/>
      <c r="D587" s="31" t="str">
        <f>D586</f>
        <v>正和岛</v>
      </c>
      <c r="E587" s="108"/>
      <c r="F587" s="111"/>
      <c r="G587" s="108"/>
      <c r="H587" s="108"/>
      <c r="I587" s="108"/>
      <c r="J587" s="108"/>
      <c r="K587" s="31" t="str">
        <f t="shared" ref="K587:K589" si="119">K586</f>
        <v>运营中</v>
      </c>
      <c r="L587" s="108"/>
      <c r="M587" s="108"/>
      <c r="N587" s="17"/>
      <c r="O587" s="36">
        <v>41670</v>
      </c>
      <c r="P587" s="17" t="s">
        <v>257</v>
      </c>
      <c r="Q587" s="12" t="s">
        <v>341</v>
      </c>
      <c r="R587" s="12" t="s">
        <v>2149</v>
      </c>
      <c r="S587" s="108"/>
      <c r="T587" s="108"/>
      <c r="U587" s="111"/>
      <c r="V587" s="108"/>
      <c r="W587" s="108"/>
      <c r="X587" s="108"/>
    </row>
    <row r="588" spans="1:24" s="26" customFormat="1" hidden="1">
      <c r="A588" s="33"/>
      <c r="B588" s="108"/>
      <c r="C588" s="108"/>
      <c r="D588" s="31" t="str">
        <f>D587</f>
        <v>正和岛</v>
      </c>
      <c r="E588" s="108"/>
      <c r="F588" s="111"/>
      <c r="G588" s="108"/>
      <c r="H588" s="108"/>
      <c r="I588" s="108"/>
      <c r="J588" s="108"/>
      <c r="K588" s="31" t="str">
        <f t="shared" si="119"/>
        <v>运营中</v>
      </c>
      <c r="L588" s="108"/>
      <c r="M588" s="108"/>
      <c r="N588" s="17"/>
      <c r="O588" s="36">
        <v>41106</v>
      </c>
      <c r="P588" s="17" t="s">
        <v>260</v>
      </c>
      <c r="Q588" s="12" t="s">
        <v>252</v>
      </c>
      <c r="R588" s="12" t="s">
        <v>2150</v>
      </c>
      <c r="S588" s="108"/>
      <c r="T588" s="108"/>
      <c r="U588" s="111"/>
      <c r="V588" s="108"/>
      <c r="W588" s="108"/>
      <c r="X588" s="108"/>
    </row>
    <row r="589" spans="1:24" s="26" customFormat="1" hidden="1">
      <c r="A589" s="33"/>
      <c r="B589" s="108"/>
      <c r="C589" s="108"/>
      <c r="D589" s="31" t="str">
        <f>D588</f>
        <v>正和岛</v>
      </c>
      <c r="E589" s="108"/>
      <c r="F589" s="111"/>
      <c r="G589" s="108"/>
      <c r="H589" s="108"/>
      <c r="I589" s="108"/>
      <c r="J589" s="108"/>
      <c r="K589" s="31" t="str">
        <f t="shared" si="119"/>
        <v>运营中</v>
      </c>
      <c r="L589" s="108"/>
      <c r="M589" s="108"/>
      <c r="N589" s="17"/>
      <c r="O589" s="36">
        <v>40574</v>
      </c>
      <c r="P589" s="17" t="s">
        <v>262</v>
      </c>
      <c r="Q589" s="12" t="s">
        <v>341</v>
      </c>
      <c r="R589" s="12" t="s">
        <v>2151</v>
      </c>
      <c r="S589" s="108"/>
      <c r="T589" s="108"/>
      <c r="U589" s="111"/>
      <c r="V589" s="108"/>
      <c r="W589" s="108"/>
      <c r="X589" s="108"/>
    </row>
    <row r="590" spans="1:24" s="26" customFormat="1" hidden="1">
      <c r="A590" s="33"/>
      <c r="B590" s="108"/>
      <c r="C590" s="108" t="s">
        <v>2152</v>
      </c>
      <c r="D590" s="31" t="s">
        <v>2153</v>
      </c>
      <c r="E590" s="108" t="s">
        <v>2153</v>
      </c>
      <c r="F590" s="111" t="s">
        <v>2154</v>
      </c>
      <c r="G590" s="108"/>
      <c r="H590" s="108" t="s">
        <v>2155</v>
      </c>
      <c r="I590" s="108" t="s">
        <v>2070</v>
      </c>
      <c r="J590" s="107" t="s">
        <v>2156</v>
      </c>
      <c r="K590" s="31" t="s">
        <v>272</v>
      </c>
      <c r="L590" s="107" t="s">
        <v>350</v>
      </c>
      <c r="M590" s="107" t="s">
        <v>617</v>
      </c>
      <c r="N590" s="12">
        <v>1</v>
      </c>
      <c r="O590" s="36">
        <v>44333</v>
      </c>
      <c r="P590" s="12" t="s">
        <v>313</v>
      </c>
      <c r="Q590" s="12" t="s">
        <v>252</v>
      </c>
      <c r="R590" s="17" t="s">
        <v>2157</v>
      </c>
      <c r="S590" s="108" t="s">
        <v>2158</v>
      </c>
      <c r="T590" s="107" t="s">
        <v>255</v>
      </c>
      <c r="U590" s="111" t="s">
        <v>2159</v>
      </c>
      <c r="V590" s="108"/>
      <c r="W590" s="108"/>
      <c r="X590" s="108"/>
    </row>
    <row r="591" spans="1:24" s="26" customFormat="1" hidden="1">
      <c r="A591" s="33"/>
      <c r="B591" s="108"/>
      <c r="C591" s="108"/>
      <c r="D591" s="31" t="str">
        <f t="shared" ref="D591:D599" si="120">D590</f>
        <v>Tokopedia</v>
      </c>
      <c r="E591" s="108"/>
      <c r="F591" s="111"/>
      <c r="G591" s="108"/>
      <c r="H591" s="108"/>
      <c r="I591" s="108"/>
      <c r="J591" s="108"/>
      <c r="K591" s="31" t="str">
        <f t="shared" ref="K591:K599" si="121">K590</f>
        <v>运营中</v>
      </c>
      <c r="L591" s="108"/>
      <c r="M591" s="108"/>
      <c r="N591" s="12">
        <v>1</v>
      </c>
      <c r="O591" s="36">
        <v>44006</v>
      </c>
      <c r="P591" s="12" t="s">
        <v>285</v>
      </c>
      <c r="Q591" s="17" t="s">
        <v>288</v>
      </c>
      <c r="R591" s="12" t="s">
        <v>2160</v>
      </c>
      <c r="S591" s="108"/>
      <c r="T591" s="108"/>
      <c r="U591" s="111"/>
      <c r="V591" s="108"/>
      <c r="W591" s="108"/>
      <c r="X591" s="108"/>
    </row>
    <row r="592" spans="1:24" s="26" customFormat="1" hidden="1">
      <c r="A592" s="33"/>
      <c r="B592" s="108"/>
      <c r="C592" s="108"/>
      <c r="D592" s="31" t="str">
        <f t="shared" si="120"/>
        <v>Tokopedia</v>
      </c>
      <c r="E592" s="108"/>
      <c r="F592" s="111"/>
      <c r="G592" s="108"/>
      <c r="H592" s="108"/>
      <c r="I592" s="108"/>
      <c r="J592" s="108"/>
      <c r="K592" s="31" t="str">
        <f t="shared" si="121"/>
        <v>运营中</v>
      </c>
      <c r="L592" s="108"/>
      <c r="M592" s="108"/>
      <c r="N592" s="12">
        <v>1</v>
      </c>
      <c r="O592" s="36">
        <v>43446</v>
      </c>
      <c r="P592" s="12" t="s">
        <v>285</v>
      </c>
      <c r="Q592" s="17" t="s">
        <v>2161</v>
      </c>
      <c r="R592" s="12" t="s">
        <v>2162</v>
      </c>
      <c r="S592" s="108"/>
      <c r="T592" s="108"/>
      <c r="U592" s="111"/>
      <c r="V592" s="108"/>
      <c r="W592" s="108"/>
      <c r="X592" s="108"/>
    </row>
    <row r="593" spans="1:24" s="26" customFormat="1" hidden="1">
      <c r="A593" s="33"/>
      <c r="B593" s="108"/>
      <c r="C593" s="108"/>
      <c r="D593" s="31" t="str">
        <f t="shared" si="120"/>
        <v>Tokopedia</v>
      </c>
      <c r="E593" s="108"/>
      <c r="F593" s="111"/>
      <c r="G593" s="108"/>
      <c r="H593" s="108"/>
      <c r="I593" s="108"/>
      <c r="J593" s="108"/>
      <c r="K593" s="31" t="str">
        <f t="shared" si="121"/>
        <v>运营中</v>
      </c>
      <c r="L593" s="108"/>
      <c r="M593" s="108"/>
      <c r="N593" s="12">
        <v>1</v>
      </c>
      <c r="O593" s="36">
        <v>42964</v>
      </c>
      <c r="P593" s="17" t="s">
        <v>303</v>
      </c>
      <c r="Q593" s="17" t="s">
        <v>2161</v>
      </c>
      <c r="R593" s="12" t="s">
        <v>240</v>
      </c>
      <c r="S593" s="108"/>
      <c r="T593" s="108"/>
      <c r="U593" s="111"/>
      <c r="V593" s="108"/>
      <c r="W593" s="108"/>
      <c r="X593" s="108"/>
    </row>
    <row r="594" spans="1:24" s="26" customFormat="1" hidden="1">
      <c r="A594" s="33"/>
      <c r="B594" s="108"/>
      <c r="C594" s="108"/>
      <c r="D594" s="31" t="str">
        <f t="shared" si="120"/>
        <v>Tokopedia</v>
      </c>
      <c r="E594" s="108"/>
      <c r="F594" s="111"/>
      <c r="G594" s="108"/>
      <c r="H594" s="108"/>
      <c r="I594" s="108"/>
      <c r="J594" s="108"/>
      <c r="K594" s="31" t="str">
        <f t="shared" si="121"/>
        <v>运营中</v>
      </c>
      <c r="L594" s="108"/>
      <c r="M594" s="108"/>
      <c r="N594" s="12">
        <v>1</v>
      </c>
      <c r="O594" s="36">
        <v>41935</v>
      </c>
      <c r="P594" s="17" t="s">
        <v>310</v>
      </c>
      <c r="Q594" s="17" t="s">
        <v>320</v>
      </c>
      <c r="R594" s="17" t="s">
        <v>2163</v>
      </c>
      <c r="S594" s="108"/>
      <c r="T594" s="108"/>
      <c r="U594" s="111"/>
      <c r="V594" s="108"/>
      <c r="W594" s="108"/>
      <c r="X594" s="108"/>
    </row>
    <row r="595" spans="1:24" s="26" customFormat="1" hidden="1">
      <c r="A595" s="33"/>
      <c r="B595" s="108"/>
      <c r="C595" s="108"/>
      <c r="D595" s="31" t="str">
        <f t="shared" si="120"/>
        <v>Tokopedia</v>
      </c>
      <c r="E595" s="108"/>
      <c r="F595" s="111"/>
      <c r="G595" s="108"/>
      <c r="H595" s="108"/>
      <c r="I595" s="108"/>
      <c r="J595" s="108"/>
      <c r="K595" s="31" t="str">
        <f t="shared" si="121"/>
        <v>运营中</v>
      </c>
      <c r="L595" s="108"/>
      <c r="M595" s="108"/>
      <c r="N595" s="12">
        <v>1</v>
      </c>
      <c r="O595" s="36">
        <v>41426</v>
      </c>
      <c r="P595" s="17" t="s">
        <v>317</v>
      </c>
      <c r="Q595" s="12" t="s">
        <v>276</v>
      </c>
      <c r="R595" s="17" t="s">
        <v>2164</v>
      </c>
      <c r="S595" s="108"/>
      <c r="T595" s="108"/>
      <c r="U595" s="111"/>
      <c r="V595" s="108"/>
      <c r="W595" s="108"/>
      <c r="X595" s="108"/>
    </row>
    <row r="596" spans="1:24" s="26" customFormat="1" hidden="1">
      <c r="A596" s="33"/>
      <c r="B596" s="108"/>
      <c r="C596" s="108"/>
      <c r="D596" s="31" t="str">
        <f t="shared" si="120"/>
        <v>Tokopedia</v>
      </c>
      <c r="E596" s="108"/>
      <c r="F596" s="111"/>
      <c r="G596" s="108"/>
      <c r="H596" s="108"/>
      <c r="I596" s="108"/>
      <c r="J596" s="108"/>
      <c r="K596" s="31" t="str">
        <f t="shared" si="121"/>
        <v>运营中</v>
      </c>
      <c r="L596" s="108"/>
      <c r="M596" s="108"/>
      <c r="N596" s="12">
        <v>1</v>
      </c>
      <c r="O596" s="36">
        <v>41380</v>
      </c>
      <c r="P596" s="17" t="s">
        <v>251</v>
      </c>
      <c r="Q596" s="12" t="s">
        <v>276</v>
      </c>
      <c r="R596" s="17" t="s">
        <v>2165</v>
      </c>
      <c r="S596" s="108"/>
      <c r="T596" s="108"/>
      <c r="U596" s="111"/>
      <c r="V596" s="108"/>
      <c r="W596" s="108"/>
      <c r="X596" s="108"/>
    </row>
    <row r="597" spans="1:24" s="26" customFormat="1" hidden="1">
      <c r="A597" s="33"/>
      <c r="B597" s="108"/>
      <c r="C597" s="108"/>
      <c r="D597" s="31" t="str">
        <f t="shared" si="120"/>
        <v>Tokopedia</v>
      </c>
      <c r="E597" s="108"/>
      <c r="F597" s="111"/>
      <c r="G597" s="108"/>
      <c r="H597" s="108"/>
      <c r="I597" s="108"/>
      <c r="J597" s="108"/>
      <c r="K597" s="31" t="str">
        <f t="shared" si="121"/>
        <v>运营中</v>
      </c>
      <c r="L597" s="108"/>
      <c r="M597" s="108"/>
      <c r="N597" s="12">
        <v>1</v>
      </c>
      <c r="O597" s="36">
        <v>40663</v>
      </c>
      <c r="P597" s="17" t="s">
        <v>257</v>
      </c>
      <c r="Q597" s="17" t="s">
        <v>2166</v>
      </c>
      <c r="R597" s="17" t="s">
        <v>2167</v>
      </c>
      <c r="S597" s="108"/>
      <c r="T597" s="108"/>
      <c r="U597" s="111"/>
      <c r="V597" s="108"/>
      <c r="W597" s="108"/>
      <c r="X597" s="108"/>
    </row>
    <row r="598" spans="1:24" s="26" customFormat="1" hidden="1">
      <c r="A598" s="33"/>
      <c r="B598" s="108"/>
      <c r="C598" s="108"/>
      <c r="D598" s="31" t="str">
        <f t="shared" si="120"/>
        <v>Tokopedia</v>
      </c>
      <c r="E598" s="108"/>
      <c r="F598" s="111"/>
      <c r="G598" s="108"/>
      <c r="H598" s="108"/>
      <c r="I598" s="108"/>
      <c r="J598" s="108"/>
      <c r="K598" s="31" t="str">
        <f t="shared" si="121"/>
        <v>运营中</v>
      </c>
      <c r="L598" s="108"/>
      <c r="M598" s="108"/>
      <c r="N598" s="12">
        <v>1</v>
      </c>
      <c r="O598" s="36">
        <v>40240</v>
      </c>
      <c r="P598" s="17" t="s">
        <v>262</v>
      </c>
      <c r="Q598" s="12" t="s">
        <v>276</v>
      </c>
      <c r="R598" s="17" t="s">
        <v>2168</v>
      </c>
      <c r="S598" s="108"/>
      <c r="T598" s="108"/>
      <c r="U598" s="111"/>
      <c r="V598" s="108"/>
      <c r="W598" s="108"/>
      <c r="X598" s="108"/>
    </row>
    <row r="599" spans="1:24" s="26" customFormat="1" hidden="1">
      <c r="A599" s="33"/>
      <c r="B599" s="108"/>
      <c r="C599" s="108"/>
      <c r="D599" s="31" t="str">
        <f t="shared" si="120"/>
        <v>Tokopedia</v>
      </c>
      <c r="E599" s="108"/>
      <c r="F599" s="111"/>
      <c r="G599" s="108"/>
      <c r="H599" s="108"/>
      <c r="I599" s="108"/>
      <c r="J599" s="108"/>
      <c r="K599" s="31" t="str">
        <f t="shared" si="121"/>
        <v>运营中</v>
      </c>
      <c r="L599" s="108"/>
      <c r="M599" s="108"/>
      <c r="N599" s="12">
        <v>1</v>
      </c>
      <c r="O599" s="36">
        <v>39872</v>
      </c>
      <c r="P599" s="12" t="s">
        <v>437</v>
      </c>
      <c r="Q599" s="12" t="s">
        <v>276</v>
      </c>
      <c r="R599" s="17" t="s">
        <v>2169</v>
      </c>
      <c r="S599" s="108"/>
      <c r="T599" s="108"/>
      <c r="U599" s="111"/>
      <c r="V599" s="108"/>
      <c r="W599" s="108"/>
      <c r="X599" s="108"/>
    </row>
    <row r="600" spans="1:24" s="26" customFormat="1" hidden="1">
      <c r="A600" s="33"/>
      <c r="B600" s="108"/>
      <c r="C600" s="108" t="s">
        <v>2170</v>
      </c>
      <c r="D600" s="31" t="s">
        <v>2171</v>
      </c>
      <c r="E600" s="107" t="s">
        <v>2172</v>
      </c>
      <c r="F600" s="110" t="s">
        <v>2173</v>
      </c>
      <c r="G600" s="107" t="s">
        <v>2174</v>
      </c>
      <c r="H600" s="108" t="s">
        <v>2175</v>
      </c>
      <c r="I600" s="108" t="s">
        <v>2176</v>
      </c>
      <c r="J600" s="107" t="s">
        <v>271</v>
      </c>
      <c r="K600" s="31" t="s">
        <v>272</v>
      </c>
      <c r="L600" s="107" t="s">
        <v>407</v>
      </c>
      <c r="M600" s="107" t="s">
        <v>762</v>
      </c>
      <c r="N600" s="12">
        <v>1</v>
      </c>
      <c r="O600" s="36">
        <v>44560</v>
      </c>
      <c r="P600" s="17" t="s">
        <v>283</v>
      </c>
      <c r="Q600" s="17" t="s">
        <v>2177</v>
      </c>
      <c r="R600" s="17" t="s">
        <v>253</v>
      </c>
      <c r="S600" s="108" t="s">
        <v>2178</v>
      </c>
      <c r="T600" s="108" t="s">
        <v>2179</v>
      </c>
      <c r="U600" s="110" t="s">
        <v>2180</v>
      </c>
      <c r="V600" s="107" t="s">
        <v>2181</v>
      </c>
      <c r="W600" s="108" t="s">
        <v>2182</v>
      </c>
      <c r="X600" s="108" t="s">
        <v>2183</v>
      </c>
    </row>
    <row r="601" spans="1:24" s="26" customFormat="1" hidden="1">
      <c r="A601" s="33"/>
      <c r="B601" s="108"/>
      <c r="C601" s="108"/>
      <c r="D601" s="31" t="str">
        <f t="shared" ref="D601:D611" si="122">D600</f>
        <v>商汤科技SenseTime</v>
      </c>
      <c r="E601" s="108"/>
      <c r="F601" s="111"/>
      <c r="G601" s="108"/>
      <c r="H601" s="108"/>
      <c r="I601" s="108"/>
      <c r="J601" s="108"/>
      <c r="K601" s="31" t="str">
        <f t="shared" ref="K601:K611" si="123">K600</f>
        <v>运营中</v>
      </c>
      <c r="L601" s="108"/>
      <c r="M601" s="108"/>
      <c r="N601" s="12">
        <v>1</v>
      </c>
      <c r="O601" s="36">
        <v>44550</v>
      </c>
      <c r="P601" s="12" t="s">
        <v>654</v>
      </c>
      <c r="Q601" s="17" t="s">
        <v>2184</v>
      </c>
      <c r="R601" s="12" t="s">
        <v>2185</v>
      </c>
      <c r="S601" s="108"/>
      <c r="T601" s="108"/>
      <c r="U601" s="111"/>
      <c r="V601" s="108"/>
      <c r="W601" s="108"/>
      <c r="X601" s="108"/>
    </row>
    <row r="602" spans="1:24" s="26" customFormat="1" hidden="1">
      <c r="A602" s="33"/>
      <c r="B602" s="108"/>
      <c r="C602" s="108"/>
      <c r="D602" s="31" t="str">
        <f t="shared" si="122"/>
        <v>商汤科技SenseTime</v>
      </c>
      <c r="E602" s="108"/>
      <c r="F602" s="111"/>
      <c r="G602" s="108"/>
      <c r="H602" s="108"/>
      <c r="I602" s="108"/>
      <c r="J602" s="108"/>
      <c r="K602" s="31" t="str">
        <f t="shared" si="123"/>
        <v>运营中</v>
      </c>
      <c r="L602" s="108"/>
      <c r="M602" s="108"/>
      <c r="N602" s="12">
        <v>1</v>
      </c>
      <c r="O602" s="36">
        <v>44223</v>
      </c>
      <c r="P602" s="17" t="s">
        <v>763</v>
      </c>
      <c r="Q602" s="12" t="s">
        <v>276</v>
      </c>
      <c r="R602" s="17" t="s">
        <v>253</v>
      </c>
      <c r="S602" s="108"/>
      <c r="T602" s="108"/>
      <c r="U602" s="111"/>
      <c r="V602" s="108"/>
      <c r="W602" s="108"/>
      <c r="X602" s="108"/>
    </row>
    <row r="603" spans="1:24" s="26" customFormat="1" hidden="1">
      <c r="A603" s="33"/>
      <c r="B603" s="108"/>
      <c r="C603" s="108"/>
      <c r="D603" s="31" t="str">
        <f t="shared" si="122"/>
        <v>商汤科技SenseTime</v>
      </c>
      <c r="E603" s="108"/>
      <c r="F603" s="111"/>
      <c r="G603" s="108"/>
      <c r="H603" s="108"/>
      <c r="I603" s="108"/>
      <c r="J603" s="108"/>
      <c r="K603" s="31" t="str">
        <f t="shared" si="123"/>
        <v>运营中</v>
      </c>
      <c r="L603" s="108"/>
      <c r="M603" s="108"/>
      <c r="N603" s="12">
        <v>1</v>
      </c>
      <c r="O603" s="36">
        <v>43353</v>
      </c>
      <c r="P603" s="17" t="s">
        <v>317</v>
      </c>
      <c r="Q603" s="17" t="s">
        <v>306</v>
      </c>
      <c r="R603" s="12" t="s">
        <v>2186</v>
      </c>
      <c r="S603" s="108"/>
      <c r="T603" s="108"/>
      <c r="U603" s="111"/>
      <c r="V603" s="108"/>
      <c r="W603" s="108"/>
      <c r="X603" s="108"/>
    </row>
    <row r="604" spans="1:24" s="26" customFormat="1" hidden="1">
      <c r="A604" s="33"/>
      <c r="B604" s="108"/>
      <c r="C604" s="108"/>
      <c r="D604" s="31" t="str">
        <f t="shared" si="122"/>
        <v>商汤科技SenseTime</v>
      </c>
      <c r="E604" s="108"/>
      <c r="F604" s="111"/>
      <c r="G604" s="108"/>
      <c r="H604" s="108"/>
      <c r="I604" s="108"/>
      <c r="J604" s="108"/>
      <c r="K604" s="31" t="str">
        <f t="shared" si="123"/>
        <v>运营中</v>
      </c>
      <c r="L604" s="108"/>
      <c r="M604" s="108"/>
      <c r="N604" s="12">
        <v>1</v>
      </c>
      <c r="O604" s="36">
        <v>43251</v>
      </c>
      <c r="P604" s="17" t="s">
        <v>523</v>
      </c>
      <c r="Q604" s="17" t="s">
        <v>2187</v>
      </c>
      <c r="R604" s="12" t="s">
        <v>2188</v>
      </c>
      <c r="S604" s="108"/>
      <c r="T604" s="108"/>
      <c r="U604" s="111"/>
      <c r="V604" s="108"/>
      <c r="W604" s="108"/>
      <c r="X604" s="108"/>
    </row>
    <row r="605" spans="1:24" s="26" customFormat="1" hidden="1">
      <c r="A605" s="33"/>
      <c r="B605" s="108"/>
      <c r="C605" s="108"/>
      <c r="D605" s="31" t="str">
        <f t="shared" si="122"/>
        <v>商汤科技SenseTime</v>
      </c>
      <c r="E605" s="108"/>
      <c r="F605" s="111"/>
      <c r="G605" s="108"/>
      <c r="H605" s="108"/>
      <c r="I605" s="108"/>
      <c r="J605" s="108"/>
      <c r="K605" s="31" t="str">
        <f t="shared" si="123"/>
        <v>运营中</v>
      </c>
      <c r="L605" s="108"/>
      <c r="M605" s="108"/>
      <c r="N605" s="12">
        <v>1</v>
      </c>
      <c r="O605" s="36">
        <v>43199</v>
      </c>
      <c r="P605" s="17" t="s">
        <v>251</v>
      </c>
      <c r="Q605" s="17" t="s">
        <v>286</v>
      </c>
      <c r="R605" s="12" t="s">
        <v>2189</v>
      </c>
      <c r="S605" s="108"/>
      <c r="T605" s="108"/>
      <c r="U605" s="111"/>
      <c r="V605" s="108"/>
      <c r="W605" s="108"/>
      <c r="X605" s="108"/>
    </row>
    <row r="606" spans="1:24" s="26" customFormat="1" hidden="1">
      <c r="A606" s="33"/>
      <c r="B606" s="108"/>
      <c r="C606" s="108"/>
      <c r="D606" s="31" t="str">
        <f t="shared" si="122"/>
        <v>商汤科技SenseTime</v>
      </c>
      <c r="E606" s="108"/>
      <c r="F606" s="111"/>
      <c r="G606" s="108"/>
      <c r="H606" s="108"/>
      <c r="I606" s="108"/>
      <c r="J606" s="108"/>
      <c r="K606" s="31" t="str">
        <f t="shared" si="123"/>
        <v>运营中</v>
      </c>
      <c r="L606" s="108"/>
      <c r="M606" s="108"/>
      <c r="N606" s="12">
        <v>1</v>
      </c>
      <c r="O606" s="36">
        <v>43095</v>
      </c>
      <c r="P606" s="12" t="s">
        <v>285</v>
      </c>
      <c r="Q606" s="12" t="s">
        <v>258</v>
      </c>
      <c r="R606" s="12" t="s">
        <v>434</v>
      </c>
      <c r="S606" s="108"/>
      <c r="T606" s="108"/>
      <c r="U606" s="111"/>
      <c r="V606" s="108"/>
      <c r="W606" s="108"/>
      <c r="X606" s="108"/>
    </row>
    <row r="607" spans="1:24" s="26" customFormat="1" hidden="1">
      <c r="A607" s="33"/>
      <c r="B607" s="108"/>
      <c r="C607" s="108"/>
      <c r="D607" s="31" t="str">
        <f t="shared" si="122"/>
        <v>商汤科技SenseTime</v>
      </c>
      <c r="E607" s="108"/>
      <c r="F607" s="111"/>
      <c r="G607" s="108"/>
      <c r="H607" s="108"/>
      <c r="I607" s="108"/>
      <c r="J607" s="108"/>
      <c r="K607" s="31" t="str">
        <f t="shared" si="123"/>
        <v>运营中</v>
      </c>
      <c r="L607" s="108"/>
      <c r="M607" s="108"/>
      <c r="N607" s="12">
        <v>1</v>
      </c>
      <c r="O607" s="36">
        <v>43067</v>
      </c>
      <c r="P607" s="12" t="s">
        <v>285</v>
      </c>
      <c r="Q607" s="17" t="s">
        <v>2190</v>
      </c>
      <c r="R607" s="12" t="s">
        <v>240</v>
      </c>
      <c r="S607" s="108"/>
      <c r="T607" s="108"/>
      <c r="U607" s="111"/>
      <c r="V607" s="108"/>
      <c r="W607" s="108"/>
      <c r="X607" s="108"/>
    </row>
    <row r="608" spans="1:24" s="26" customFormat="1" hidden="1">
      <c r="A608" s="33"/>
      <c r="B608" s="108"/>
      <c r="C608" s="108"/>
      <c r="D608" s="31" t="str">
        <f t="shared" si="122"/>
        <v>商汤科技SenseTime</v>
      </c>
      <c r="E608" s="108"/>
      <c r="F608" s="111"/>
      <c r="G608" s="108"/>
      <c r="H608" s="108"/>
      <c r="I608" s="108"/>
      <c r="J608" s="108"/>
      <c r="K608" s="31" t="str">
        <f t="shared" si="123"/>
        <v>运营中</v>
      </c>
      <c r="L608" s="108"/>
      <c r="M608" s="108"/>
      <c r="N608" s="12">
        <v>1</v>
      </c>
      <c r="O608" s="36">
        <v>43054</v>
      </c>
      <c r="P608" s="12" t="s">
        <v>285</v>
      </c>
      <c r="Q608" s="12" t="s">
        <v>258</v>
      </c>
      <c r="R608" s="12" t="s">
        <v>2191</v>
      </c>
      <c r="S608" s="108"/>
      <c r="T608" s="108"/>
      <c r="U608" s="111"/>
      <c r="V608" s="108"/>
      <c r="W608" s="108"/>
      <c r="X608" s="108"/>
    </row>
    <row r="609" spans="1:24" s="26" customFormat="1" hidden="1">
      <c r="A609" s="33"/>
      <c r="B609" s="108"/>
      <c r="C609" s="108"/>
      <c r="D609" s="31" t="str">
        <f t="shared" si="122"/>
        <v>商汤科技SenseTime</v>
      </c>
      <c r="E609" s="108"/>
      <c r="F609" s="111"/>
      <c r="G609" s="108"/>
      <c r="H609" s="108"/>
      <c r="I609" s="108"/>
      <c r="J609" s="108"/>
      <c r="K609" s="31" t="str">
        <f t="shared" si="123"/>
        <v>运营中</v>
      </c>
      <c r="L609" s="108"/>
      <c r="M609" s="108"/>
      <c r="N609" s="12">
        <v>1</v>
      </c>
      <c r="O609" s="36">
        <v>42927</v>
      </c>
      <c r="P609" s="17" t="s">
        <v>257</v>
      </c>
      <c r="Q609" s="17" t="s">
        <v>2192</v>
      </c>
      <c r="R609" s="12" t="s">
        <v>2193</v>
      </c>
      <c r="S609" s="108"/>
      <c r="T609" s="108"/>
      <c r="U609" s="111"/>
      <c r="V609" s="108"/>
      <c r="W609" s="108"/>
      <c r="X609" s="108"/>
    </row>
    <row r="610" spans="1:24" s="26" customFormat="1" hidden="1">
      <c r="A610" s="33"/>
      <c r="B610" s="108"/>
      <c r="C610" s="108"/>
      <c r="D610" s="31" t="str">
        <f t="shared" si="122"/>
        <v>商汤科技SenseTime</v>
      </c>
      <c r="E610" s="108"/>
      <c r="F610" s="111"/>
      <c r="G610" s="108"/>
      <c r="H610" s="108"/>
      <c r="I610" s="108"/>
      <c r="J610" s="108"/>
      <c r="K610" s="31" t="str">
        <f t="shared" si="123"/>
        <v>运营中</v>
      </c>
      <c r="L610" s="108"/>
      <c r="M610" s="108"/>
      <c r="N610" s="12">
        <v>1</v>
      </c>
      <c r="O610" s="36">
        <v>42311</v>
      </c>
      <c r="P610" s="17" t="s">
        <v>260</v>
      </c>
      <c r="Q610" s="12" t="s">
        <v>258</v>
      </c>
      <c r="R610" s="17" t="s">
        <v>2194</v>
      </c>
      <c r="S610" s="108"/>
      <c r="T610" s="108"/>
      <c r="U610" s="111"/>
      <c r="V610" s="108"/>
      <c r="W610" s="108"/>
      <c r="X610" s="108"/>
    </row>
    <row r="611" spans="1:24" s="26" customFormat="1" hidden="1">
      <c r="A611" s="33"/>
      <c r="B611" s="108"/>
      <c r="C611" s="108"/>
      <c r="D611" s="31" t="str">
        <f t="shared" si="122"/>
        <v>商汤科技SenseTime</v>
      </c>
      <c r="E611" s="108"/>
      <c r="F611" s="111"/>
      <c r="G611" s="108"/>
      <c r="H611" s="108"/>
      <c r="I611" s="108"/>
      <c r="J611" s="108"/>
      <c r="K611" s="31" t="str">
        <f t="shared" si="123"/>
        <v>运营中</v>
      </c>
      <c r="L611" s="108"/>
      <c r="M611" s="108"/>
      <c r="N611" s="12">
        <v>1</v>
      </c>
      <c r="O611" s="36">
        <v>41858</v>
      </c>
      <c r="P611" s="17" t="s">
        <v>262</v>
      </c>
      <c r="Q611" s="12" t="s">
        <v>258</v>
      </c>
      <c r="R611" s="17" t="s">
        <v>831</v>
      </c>
      <c r="S611" s="108"/>
      <c r="T611" s="108"/>
      <c r="U611" s="111"/>
      <c r="V611" s="108"/>
      <c r="W611" s="108"/>
      <c r="X611" s="108"/>
    </row>
    <row r="612" spans="1:24" s="26" customFormat="1" hidden="1">
      <c r="A612" s="33"/>
      <c r="B612" s="108"/>
      <c r="C612" s="108" t="s">
        <v>2195</v>
      </c>
      <c r="D612" s="31" t="s">
        <v>2196</v>
      </c>
      <c r="E612" s="107" t="s">
        <v>2196</v>
      </c>
      <c r="F612" s="110" t="s">
        <v>2197</v>
      </c>
      <c r="G612" s="107" t="s">
        <v>2198</v>
      </c>
      <c r="H612" s="108" t="s">
        <v>2199</v>
      </c>
      <c r="I612" s="108" t="s">
        <v>1857</v>
      </c>
      <c r="J612" s="107" t="s">
        <v>2200</v>
      </c>
      <c r="K612" s="31" t="s">
        <v>272</v>
      </c>
      <c r="L612" s="107" t="s">
        <v>386</v>
      </c>
      <c r="M612" s="107" t="s">
        <v>387</v>
      </c>
      <c r="N612" s="12">
        <v>1</v>
      </c>
      <c r="O612" s="36">
        <v>44016</v>
      </c>
      <c r="P612" s="17" t="s">
        <v>687</v>
      </c>
      <c r="Q612" s="17" t="s">
        <v>2201</v>
      </c>
      <c r="R612" s="12" t="s">
        <v>2202</v>
      </c>
      <c r="S612" s="108" t="s">
        <v>2203</v>
      </c>
      <c r="T612" s="108" t="s">
        <v>2204</v>
      </c>
      <c r="U612" s="111"/>
      <c r="V612" s="107" t="s">
        <v>2205</v>
      </c>
      <c r="W612" s="108" t="s">
        <v>2206</v>
      </c>
      <c r="X612" s="108" t="s">
        <v>2207</v>
      </c>
    </row>
    <row r="613" spans="1:24" s="26" customFormat="1" hidden="1">
      <c r="A613" s="33"/>
      <c r="B613" s="108"/>
      <c r="C613" s="108"/>
      <c r="D613" s="31" t="str">
        <f>D612</f>
        <v>华谊兄弟</v>
      </c>
      <c r="E613" s="108"/>
      <c r="F613" s="111"/>
      <c r="G613" s="108"/>
      <c r="H613" s="108"/>
      <c r="I613" s="108"/>
      <c r="J613" s="108"/>
      <c r="K613" s="31" t="str">
        <f t="shared" ref="K613:K616" si="124">K612</f>
        <v>运营中</v>
      </c>
      <c r="L613" s="108"/>
      <c r="M613" s="108"/>
      <c r="N613" s="12">
        <v>1</v>
      </c>
      <c r="O613" s="36">
        <v>43950</v>
      </c>
      <c r="P613" s="17" t="s">
        <v>687</v>
      </c>
      <c r="Q613" s="17" t="s">
        <v>2201</v>
      </c>
      <c r="R613" s="12" t="s">
        <v>2208</v>
      </c>
      <c r="S613" s="108"/>
      <c r="T613" s="108"/>
      <c r="U613" s="111"/>
      <c r="V613" s="108"/>
      <c r="W613" s="108"/>
      <c r="X613" s="108"/>
    </row>
    <row r="614" spans="1:24" s="26" customFormat="1" hidden="1">
      <c r="A614" s="33"/>
      <c r="B614" s="108"/>
      <c r="C614" s="108"/>
      <c r="D614" s="31" t="str">
        <f>D613</f>
        <v>华谊兄弟</v>
      </c>
      <c r="E614" s="108"/>
      <c r="F614" s="111"/>
      <c r="G614" s="108"/>
      <c r="H614" s="108"/>
      <c r="I614" s="108"/>
      <c r="J614" s="108"/>
      <c r="K614" s="31" t="str">
        <f t="shared" si="124"/>
        <v>运营中</v>
      </c>
      <c r="L614" s="108"/>
      <c r="M614" s="108"/>
      <c r="N614" s="12">
        <v>1</v>
      </c>
      <c r="O614" s="36">
        <v>42235</v>
      </c>
      <c r="P614" s="17" t="s">
        <v>687</v>
      </c>
      <c r="Q614" s="17" t="s">
        <v>2209</v>
      </c>
      <c r="R614" s="12" t="s">
        <v>2210</v>
      </c>
      <c r="S614" s="108"/>
      <c r="T614" s="108"/>
      <c r="U614" s="111"/>
      <c r="V614" s="108"/>
      <c r="W614" s="108"/>
      <c r="X614" s="108"/>
    </row>
    <row r="615" spans="1:24" s="26" customFormat="1" hidden="1">
      <c r="A615" s="33"/>
      <c r="B615" s="108"/>
      <c r="C615" s="108"/>
      <c r="D615" s="31" t="str">
        <f>D614</f>
        <v>华谊兄弟</v>
      </c>
      <c r="E615" s="108"/>
      <c r="F615" s="111"/>
      <c r="G615" s="108"/>
      <c r="H615" s="108"/>
      <c r="I615" s="108"/>
      <c r="J615" s="108"/>
      <c r="K615" s="31" t="str">
        <f t="shared" si="124"/>
        <v>运营中</v>
      </c>
      <c r="L615" s="108"/>
      <c r="M615" s="108"/>
      <c r="N615" s="12">
        <v>1</v>
      </c>
      <c r="O615" s="36">
        <v>40116</v>
      </c>
      <c r="P615" s="17" t="s">
        <v>283</v>
      </c>
      <c r="Q615" s="17" t="s">
        <v>1716</v>
      </c>
      <c r="R615" s="17" t="s">
        <v>253</v>
      </c>
      <c r="S615" s="108"/>
      <c r="T615" s="108"/>
      <c r="U615" s="111"/>
      <c r="V615" s="108"/>
      <c r="W615" s="108"/>
      <c r="X615" s="108"/>
    </row>
    <row r="616" spans="1:24" s="26" customFormat="1" hidden="1">
      <c r="A616" s="33"/>
      <c r="B616" s="108"/>
      <c r="C616" s="108"/>
      <c r="D616" s="31" t="str">
        <f>D615</f>
        <v>华谊兄弟</v>
      </c>
      <c r="E616" s="108"/>
      <c r="F616" s="111"/>
      <c r="G616" s="108"/>
      <c r="H616" s="108"/>
      <c r="I616" s="108"/>
      <c r="J616" s="108"/>
      <c r="K616" s="31" t="str">
        <f t="shared" si="124"/>
        <v>运营中</v>
      </c>
      <c r="L616" s="108"/>
      <c r="M616" s="108"/>
      <c r="N616" s="12">
        <v>1</v>
      </c>
      <c r="O616" s="36">
        <v>39326</v>
      </c>
      <c r="P616" s="12" t="s">
        <v>326</v>
      </c>
      <c r="Q616" s="12" t="s">
        <v>252</v>
      </c>
      <c r="R616" s="12" t="s">
        <v>2211</v>
      </c>
      <c r="S616" s="108"/>
      <c r="T616" s="108"/>
      <c r="U616" s="111"/>
      <c r="V616" s="108"/>
      <c r="W616" s="108"/>
      <c r="X616" s="108"/>
    </row>
    <row r="617" spans="1:24" s="26" customFormat="1" hidden="1">
      <c r="A617" s="33"/>
      <c r="B617" s="108"/>
      <c r="C617" s="108" t="s">
        <v>2212</v>
      </c>
      <c r="D617" s="31" t="s">
        <v>2213</v>
      </c>
      <c r="E617" s="108" t="s">
        <v>2213</v>
      </c>
      <c r="F617" s="111" t="s">
        <v>2214</v>
      </c>
      <c r="G617" s="108"/>
      <c r="H617" s="108" t="s">
        <v>2215</v>
      </c>
      <c r="I617" s="108" t="s">
        <v>2216</v>
      </c>
      <c r="J617" s="107" t="s">
        <v>1725</v>
      </c>
      <c r="K617" s="31" t="s">
        <v>272</v>
      </c>
      <c r="L617" s="107" t="s">
        <v>672</v>
      </c>
      <c r="M617" s="107" t="s">
        <v>909</v>
      </c>
      <c r="N617" s="12"/>
      <c r="O617" s="36">
        <v>44391</v>
      </c>
      <c r="P617" s="12" t="s">
        <v>654</v>
      </c>
      <c r="Q617" s="17" t="s">
        <v>2217</v>
      </c>
      <c r="R617" s="17" t="s">
        <v>2218</v>
      </c>
      <c r="S617" s="108" t="s">
        <v>2219</v>
      </c>
      <c r="T617" s="108" t="s">
        <v>2220</v>
      </c>
      <c r="U617" s="111" t="s">
        <v>2221</v>
      </c>
      <c r="V617" s="108"/>
      <c r="W617" s="108"/>
      <c r="X617" s="108"/>
    </row>
    <row r="618" spans="1:24" s="26" customFormat="1" hidden="1">
      <c r="A618" s="33"/>
      <c r="B618" s="108"/>
      <c r="C618" s="108"/>
      <c r="D618" s="31" t="str">
        <f t="shared" ref="D618:D636" si="125">D617</f>
        <v>Zomato</v>
      </c>
      <c r="E618" s="108"/>
      <c r="F618" s="111"/>
      <c r="G618" s="108"/>
      <c r="H618" s="108"/>
      <c r="I618" s="108"/>
      <c r="J618" s="108"/>
      <c r="K618" s="31" t="str">
        <f t="shared" ref="K618:K636" si="126">K617</f>
        <v>运营中</v>
      </c>
      <c r="L618" s="108"/>
      <c r="M618" s="108"/>
      <c r="N618" s="17"/>
      <c r="O618" s="36">
        <v>44252</v>
      </c>
      <c r="P618" s="12" t="s">
        <v>285</v>
      </c>
      <c r="Q618" s="17" t="s">
        <v>655</v>
      </c>
      <c r="R618" s="17" t="s">
        <v>2222</v>
      </c>
      <c r="S618" s="108"/>
      <c r="T618" s="108"/>
      <c r="U618" s="111"/>
      <c r="V618" s="108"/>
      <c r="W618" s="108"/>
      <c r="X618" s="108"/>
    </row>
    <row r="619" spans="1:24" s="26" customFormat="1" hidden="1">
      <c r="A619" s="33"/>
      <c r="B619" s="108"/>
      <c r="C619" s="108"/>
      <c r="D619" s="31" t="str">
        <f t="shared" si="125"/>
        <v>Zomato</v>
      </c>
      <c r="E619" s="108"/>
      <c r="F619" s="111"/>
      <c r="G619" s="108"/>
      <c r="H619" s="108"/>
      <c r="I619" s="108"/>
      <c r="J619" s="108"/>
      <c r="K619" s="31" t="str">
        <f t="shared" si="126"/>
        <v>运营中</v>
      </c>
      <c r="L619" s="108"/>
      <c r="M619" s="108"/>
      <c r="N619" s="17"/>
      <c r="O619" s="36">
        <v>44142</v>
      </c>
      <c r="P619" s="12" t="s">
        <v>285</v>
      </c>
      <c r="Q619" s="17" t="s">
        <v>2223</v>
      </c>
      <c r="R619" s="17" t="s">
        <v>2224</v>
      </c>
      <c r="S619" s="108"/>
      <c r="T619" s="108"/>
      <c r="U619" s="111"/>
      <c r="V619" s="108"/>
      <c r="W619" s="108"/>
      <c r="X619" s="108"/>
    </row>
    <row r="620" spans="1:24" s="26" customFormat="1" hidden="1">
      <c r="A620" s="33"/>
      <c r="B620" s="108"/>
      <c r="C620" s="108"/>
      <c r="D620" s="31" t="str">
        <f t="shared" si="125"/>
        <v>Zomato</v>
      </c>
      <c r="E620" s="108"/>
      <c r="F620" s="111"/>
      <c r="G620" s="108"/>
      <c r="H620" s="108"/>
      <c r="I620" s="108"/>
      <c r="J620" s="108"/>
      <c r="K620" s="31" t="str">
        <f t="shared" si="126"/>
        <v>运营中</v>
      </c>
      <c r="L620" s="108"/>
      <c r="M620" s="108"/>
      <c r="N620" s="17"/>
      <c r="O620" s="36">
        <v>44088</v>
      </c>
      <c r="P620" s="12" t="s">
        <v>285</v>
      </c>
      <c r="Q620" s="17" t="s">
        <v>454</v>
      </c>
      <c r="R620" s="12" t="s">
        <v>2225</v>
      </c>
      <c r="S620" s="108"/>
      <c r="T620" s="108"/>
      <c r="U620" s="111"/>
      <c r="V620" s="108"/>
      <c r="W620" s="108"/>
      <c r="X620" s="108"/>
    </row>
    <row r="621" spans="1:24" s="26" customFormat="1" hidden="1">
      <c r="A621" s="33"/>
      <c r="B621" s="108"/>
      <c r="C621" s="108"/>
      <c r="D621" s="31" t="str">
        <f t="shared" si="125"/>
        <v>Zomato</v>
      </c>
      <c r="E621" s="108"/>
      <c r="F621" s="111"/>
      <c r="G621" s="108"/>
      <c r="H621" s="108"/>
      <c r="I621" s="108"/>
      <c r="J621" s="108"/>
      <c r="K621" s="31" t="str">
        <f t="shared" si="126"/>
        <v>运营中</v>
      </c>
      <c r="L621" s="108"/>
      <c r="M621" s="108"/>
      <c r="N621" s="17"/>
      <c r="O621" s="36">
        <v>44085</v>
      </c>
      <c r="P621" s="12" t="s">
        <v>285</v>
      </c>
      <c r="Q621" s="17" t="s">
        <v>2226</v>
      </c>
      <c r="R621" s="17" t="s">
        <v>2227</v>
      </c>
      <c r="S621" s="108"/>
      <c r="T621" s="108"/>
      <c r="U621" s="111"/>
      <c r="V621" s="108"/>
      <c r="W621" s="108"/>
      <c r="X621" s="108"/>
    </row>
    <row r="622" spans="1:24" s="26" customFormat="1" hidden="1">
      <c r="A622" s="33"/>
      <c r="B622" s="108"/>
      <c r="C622" s="108"/>
      <c r="D622" s="31" t="str">
        <f t="shared" si="125"/>
        <v>Zomato</v>
      </c>
      <c r="E622" s="108"/>
      <c r="F622" s="111"/>
      <c r="G622" s="108"/>
      <c r="H622" s="108"/>
      <c r="I622" s="108"/>
      <c r="J622" s="108"/>
      <c r="K622" s="31" t="str">
        <f t="shared" si="126"/>
        <v>运营中</v>
      </c>
      <c r="L622" s="108"/>
      <c r="M622" s="108"/>
      <c r="N622" s="17"/>
      <c r="O622" s="36">
        <v>43929</v>
      </c>
      <c r="P622" s="12" t="s">
        <v>285</v>
      </c>
      <c r="Q622" s="17" t="s">
        <v>460</v>
      </c>
      <c r="R622" s="17" t="s">
        <v>2228</v>
      </c>
      <c r="S622" s="108"/>
      <c r="T622" s="108"/>
      <c r="U622" s="111"/>
      <c r="V622" s="108"/>
      <c r="W622" s="108"/>
      <c r="X622" s="108"/>
    </row>
    <row r="623" spans="1:24" s="26" customFormat="1" hidden="1">
      <c r="A623" s="33"/>
      <c r="B623" s="108"/>
      <c r="C623" s="108"/>
      <c r="D623" s="31" t="str">
        <f t="shared" si="125"/>
        <v>Zomato</v>
      </c>
      <c r="E623" s="108"/>
      <c r="F623" s="111"/>
      <c r="G623" s="108"/>
      <c r="H623" s="108"/>
      <c r="I623" s="108"/>
      <c r="J623" s="108"/>
      <c r="K623" s="31" t="str">
        <f t="shared" si="126"/>
        <v>运营中</v>
      </c>
      <c r="L623" s="108"/>
      <c r="M623" s="108"/>
      <c r="N623" s="17"/>
      <c r="O623" s="36">
        <v>43840</v>
      </c>
      <c r="P623" s="12" t="s">
        <v>285</v>
      </c>
      <c r="Q623" s="17" t="s">
        <v>522</v>
      </c>
      <c r="R623" s="12" t="s">
        <v>2229</v>
      </c>
      <c r="S623" s="108"/>
      <c r="T623" s="108"/>
      <c r="U623" s="111"/>
      <c r="V623" s="108"/>
      <c r="W623" s="108"/>
      <c r="X623" s="108"/>
    </row>
    <row r="624" spans="1:24" s="26" customFormat="1" hidden="1">
      <c r="A624" s="33"/>
      <c r="B624" s="108"/>
      <c r="C624" s="108"/>
      <c r="D624" s="31" t="str">
        <f t="shared" si="125"/>
        <v>Zomato</v>
      </c>
      <c r="E624" s="108"/>
      <c r="F624" s="111"/>
      <c r="G624" s="108"/>
      <c r="H624" s="108"/>
      <c r="I624" s="108"/>
      <c r="J624" s="108"/>
      <c r="K624" s="31" t="str">
        <f t="shared" si="126"/>
        <v>运营中</v>
      </c>
      <c r="L624" s="108"/>
      <c r="M624" s="108"/>
      <c r="N624" s="17"/>
      <c r="O624" s="36">
        <v>43743</v>
      </c>
      <c r="P624" s="12" t="s">
        <v>285</v>
      </c>
      <c r="Q624" s="17" t="s">
        <v>286</v>
      </c>
      <c r="R624" s="12" t="s">
        <v>2230</v>
      </c>
      <c r="S624" s="108"/>
      <c r="T624" s="108"/>
      <c r="U624" s="111"/>
      <c r="V624" s="108"/>
      <c r="W624" s="108"/>
      <c r="X624" s="108"/>
    </row>
    <row r="625" spans="1:24" s="26" customFormat="1" hidden="1">
      <c r="A625" s="33"/>
      <c r="B625" s="108"/>
      <c r="C625" s="108"/>
      <c r="D625" s="31" t="str">
        <f t="shared" si="125"/>
        <v>Zomato</v>
      </c>
      <c r="E625" s="108"/>
      <c r="F625" s="111"/>
      <c r="G625" s="108"/>
      <c r="H625" s="108"/>
      <c r="I625" s="108"/>
      <c r="J625" s="108"/>
      <c r="K625" s="31" t="str">
        <f t="shared" si="126"/>
        <v>运营中</v>
      </c>
      <c r="L625" s="108"/>
      <c r="M625" s="108"/>
      <c r="N625" s="17"/>
      <c r="O625" s="36">
        <v>43525</v>
      </c>
      <c r="P625" s="12" t="s">
        <v>285</v>
      </c>
      <c r="Q625" s="17" t="s">
        <v>2231</v>
      </c>
      <c r="R625" s="17" t="s">
        <v>2232</v>
      </c>
      <c r="S625" s="108"/>
      <c r="T625" s="108"/>
      <c r="U625" s="111"/>
      <c r="V625" s="108"/>
      <c r="W625" s="108"/>
      <c r="X625" s="108"/>
    </row>
    <row r="626" spans="1:24" s="26" customFormat="1" hidden="1">
      <c r="A626" s="33"/>
      <c r="B626" s="108"/>
      <c r="C626" s="108"/>
      <c r="D626" s="31" t="str">
        <f t="shared" si="125"/>
        <v>Zomato</v>
      </c>
      <c r="E626" s="108"/>
      <c r="F626" s="111"/>
      <c r="G626" s="108"/>
      <c r="H626" s="108"/>
      <c r="I626" s="108"/>
      <c r="J626" s="108"/>
      <c r="K626" s="31" t="str">
        <f t="shared" si="126"/>
        <v>运营中</v>
      </c>
      <c r="L626" s="108"/>
      <c r="M626" s="108"/>
      <c r="N626" s="17"/>
      <c r="O626" s="36">
        <v>43505</v>
      </c>
      <c r="P626" s="12" t="s">
        <v>285</v>
      </c>
      <c r="Q626" s="17" t="s">
        <v>676</v>
      </c>
      <c r="R626" s="17" t="s">
        <v>2233</v>
      </c>
      <c r="S626" s="108"/>
      <c r="T626" s="108"/>
      <c r="U626" s="111"/>
      <c r="V626" s="108"/>
      <c r="W626" s="108"/>
      <c r="X626" s="108"/>
    </row>
    <row r="627" spans="1:24" s="26" customFormat="1" hidden="1">
      <c r="A627" s="33"/>
      <c r="B627" s="108"/>
      <c r="C627" s="108"/>
      <c r="D627" s="31" t="str">
        <f t="shared" si="125"/>
        <v>Zomato</v>
      </c>
      <c r="E627" s="108"/>
      <c r="F627" s="111"/>
      <c r="G627" s="108"/>
      <c r="H627" s="108"/>
      <c r="I627" s="108"/>
      <c r="J627" s="108"/>
      <c r="K627" s="31" t="str">
        <f t="shared" si="126"/>
        <v>运营中</v>
      </c>
      <c r="L627" s="108"/>
      <c r="M627" s="108"/>
      <c r="N627" s="17"/>
      <c r="O627" s="36">
        <v>43388</v>
      </c>
      <c r="P627" s="12" t="s">
        <v>285</v>
      </c>
      <c r="Q627" s="17" t="s">
        <v>2234</v>
      </c>
      <c r="R627" s="12" t="s">
        <v>2229</v>
      </c>
      <c r="S627" s="108"/>
      <c r="T627" s="108"/>
      <c r="U627" s="111"/>
      <c r="V627" s="108"/>
      <c r="W627" s="108"/>
      <c r="X627" s="108"/>
    </row>
    <row r="628" spans="1:24" s="26" customFormat="1" hidden="1">
      <c r="A628" s="33"/>
      <c r="B628" s="108"/>
      <c r="C628" s="108"/>
      <c r="D628" s="31" t="str">
        <f t="shared" si="125"/>
        <v>Zomato</v>
      </c>
      <c r="E628" s="108"/>
      <c r="F628" s="111"/>
      <c r="G628" s="108"/>
      <c r="H628" s="108"/>
      <c r="I628" s="108"/>
      <c r="J628" s="108"/>
      <c r="K628" s="31" t="str">
        <f t="shared" si="126"/>
        <v>运营中</v>
      </c>
      <c r="L628" s="108"/>
      <c r="M628" s="108"/>
      <c r="N628" s="17"/>
      <c r="O628" s="36">
        <v>43318</v>
      </c>
      <c r="P628" s="17" t="s">
        <v>2235</v>
      </c>
      <c r="Q628" s="17" t="s">
        <v>288</v>
      </c>
      <c r="R628" s="12" t="s">
        <v>2236</v>
      </c>
      <c r="S628" s="108"/>
      <c r="T628" s="108"/>
      <c r="U628" s="111"/>
      <c r="V628" s="108"/>
      <c r="W628" s="108"/>
      <c r="X628" s="108"/>
    </row>
    <row r="629" spans="1:24" s="26" customFormat="1" hidden="1">
      <c r="A629" s="33"/>
      <c r="B629" s="108"/>
      <c r="C629" s="108"/>
      <c r="D629" s="31" t="str">
        <f t="shared" si="125"/>
        <v>Zomato</v>
      </c>
      <c r="E629" s="108"/>
      <c r="F629" s="111"/>
      <c r="G629" s="108"/>
      <c r="H629" s="108"/>
      <c r="I629" s="108"/>
      <c r="J629" s="108"/>
      <c r="K629" s="31" t="str">
        <f t="shared" si="126"/>
        <v>运营中</v>
      </c>
      <c r="L629" s="108"/>
      <c r="M629" s="108"/>
      <c r="N629" s="17"/>
      <c r="O629" s="36">
        <v>43133</v>
      </c>
      <c r="P629" s="17" t="s">
        <v>2237</v>
      </c>
      <c r="Q629" s="17" t="s">
        <v>792</v>
      </c>
      <c r="R629" s="12" t="s">
        <v>586</v>
      </c>
      <c r="S629" s="108"/>
      <c r="T629" s="108"/>
      <c r="U629" s="111"/>
      <c r="V629" s="108"/>
      <c r="W629" s="108"/>
      <c r="X629" s="108"/>
    </row>
    <row r="630" spans="1:24" s="26" customFormat="1" hidden="1">
      <c r="A630" s="33"/>
      <c r="B630" s="108"/>
      <c r="C630" s="108"/>
      <c r="D630" s="31" t="str">
        <f t="shared" si="125"/>
        <v>Zomato</v>
      </c>
      <c r="E630" s="108"/>
      <c r="F630" s="111"/>
      <c r="G630" s="108"/>
      <c r="H630" s="108"/>
      <c r="I630" s="108"/>
      <c r="J630" s="108"/>
      <c r="K630" s="31" t="str">
        <f t="shared" si="126"/>
        <v>运营中</v>
      </c>
      <c r="L630" s="108"/>
      <c r="M630" s="108"/>
      <c r="N630" s="17"/>
      <c r="O630" s="36">
        <v>42857</v>
      </c>
      <c r="P630" s="17" t="s">
        <v>303</v>
      </c>
      <c r="Q630" s="17" t="s">
        <v>458</v>
      </c>
      <c r="R630" s="12" t="s">
        <v>2238</v>
      </c>
      <c r="S630" s="108"/>
      <c r="T630" s="108"/>
      <c r="U630" s="111"/>
      <c r="V630" s="108"/>
      <c r="W630" s="108"/>
      <c r="X630" s="108"/>
    </row>
    <row r="631" spans="1:24" s="26" customFormat="1" hidden="1">
      <c r="A631" s="33"/>
      <c r="B631" s="108"/>
      <c r="C631" s="108"/>
      <c r="D631" s="31" t="str">
        <f t="shared" si="125"/>
        <v>Zomato</v>
      </c>
      <c r="E631" s="108"/>
      <c r="F631" s="111"/>
      <c r="G631" s="108"/>
      <c r="H631" s="108"/>
      <c r="I631" s="108"/>
      <c r="J631" s="108"/>
      <c r="K631" s="31" t="str">
        <f t="shared" si="126"/>
        <v>运营中</v>
      </c>
      <c r="L631" s="108"/>
      <c r="M631" s="108"/>
      <c r="N631" s="17"/>
      <c r="O631" s="36">
        <v>42255</v>
      </c>
      <c r="P631" s="17" t="s">
        <v>2239</v>
      </c>
      <c r="Q631" s="17" t="s">
        <v>885</v>
      </c>
      <c r="R631" s="12" t="s">
        <v>2240</v>
      </c>
      <c r="S631" s="108"/>
      <c r="T631" s="108"/>
      <c r="U631" s="111"/>
      <c r="V631" s="108"/>
      <c r="W631" s="108"/>
      <c r="X631" s="108"/>
    </row>
    <row r="632" spans="1:24" s="26" customFormat="1" hidden="1">
      <c r="A632" s="33"/>
      <c r="B632" s="108"/>
      <c r="C632" s="108"/>
      <c r="D632" s="31" t="str">
        <f t="shared" si="125"/>
        <v>Zomato</v>
      </c>
      <c r="E632" s="108"/>
      <c r="F632" s="111"/>
      <c r="G632" s="108"/>
      <c r="H632" s="108"/>
      <c r="I632" s="108"/>
      <c r="J632" s="108"/>
      <c r="K632" s="31" t="str">
        <f t="shared" si="126"/>
        <v>运营中</v>
      </c>
      <c r="L632" s="108"/>
      <c r="M632" s="108"/>
      <c r="N632" s="17"/>
      <c r="O632" s="36">
        <v>41962</v>
      </c>
      <c r="P632" s="17" t="s">
        <v>310</v>
      </c>
      <c r="Q632" s="17" t="s">
        <v>885</v>
      </c>
      <c r="R632" s="17" t="s">
        <v>2241</v>
      </c>
      <c r="S632" s="108"/>
      <c r="T632" s="108"/>
      <c r="U632" s="111"/>
      <c r="V632" s="108"/>
      <c r="W632" s="108"/>
      <c r="X632" s="108"/>
    </row>
    <row r="633" spans="1:24" s="26" customFormat="1" hidden="1">
      <c r="A633" s="33"/>
      <c r="B633" s="108"/>
      <c r="C633" s="108"/>
      <c r="D633" s="31" t="str">
        <f t="shared" si="125"/>
        <v>Zomato</v>
      </c>
      <c r="E633" s="108"/>
      <c r="F633" s="111"/>
      <c r="G633" s="108"/>
      <c r="H633" s="108"/>
      <c r="I633" s="108"/>
      <c r="J633" s="108"/>
      <c r="K633" s="31" t="str">
        <f t="shared" si="126"/>
        <v>运营中</v>
      </c>
      <c r="L633" s="108"/>
      <c r="M633" s="108"/>
      <c r="N633" s="17"/>
      <c r="O633" s="36">
        <v>41599</v>
      </c>
      <c r="P633" s="17" t="s">
        <v>317</v>
      </c>
      <c r="Q633" s="17" t="s">
        <v>2242</v>
      </c>
      <c r="R633" s="17" t="s">
        <v>2243</v>
      </c>
      <c r="S633" s="108"/>
      <c r="T633" s="108"/>
      <c r="U633" s="111"/>
      <c r="V633" s="108"/>
      <c r="W633" s="108"/>
      <c r="X633" s="108"/>
    </row>
    <row r="634" spans="1:24" s="26" customFormat="1" hidden="1">
      <c r="A634" s="33"/>
      <c r="B634" s="108"/>
      <c r="C634" s="108"/>
      <c r="D634" s="31" t="str">
        <f t="shared" si="125"/>
        <v>Zomato</v>
      </c>
      <c r="E634" s="108"/>
      <c r="F634" s="111"/>
      <c r="G634" s="108"/>
      <c r="H634" s="108"/>
      <c r="I634" s="108"/>
      <c r="J634" s="108"/>
      <c r="K634" s="31" t="str">
        <f t="shared" si="126"/>
        <v>运营中</v>
      </c>
      <c r="L634" s="108"/>
      <c r="M634" s="108"/>
      <c r="N634" s="17"/>
      <c r="O634" s="36">
        <v>41333</v>
      </c>
      <c r="P634" s="17" t="s">
        <v>251</v>
      </c>
      <c r="Q634" s="17" t="s">
        <v>337</v>
      </c>
      <c r="R634" s="17" t="s">
        <v>2244</v>
      </c>
      <c r="S634" s="108"/>
      <c r="T634" s="108"/>
      <c r="U634" s="111"/>
      <c r="V634" s="108"/>
      <c r="W634" s="108"/>
      <c r="X634" s="108"/>
    </row>
    <row r="635" spans="1:24" s="26" customFormat="1" hidden="1">
      <c r="A635" s="33"/>
      <c r="B635" s="108"/>
      <c r="C635" s="108"/>
      <c r="D635" s="31" t="str">
        <f t="shared" si="125"/>
        <v>Zomato</v>
      </c>
      <c r="E635" s="108"/>
      <c r="F635" s="111"/>
      <c r="G635" s="108"/>
      <c r="H635" s="108"/>
      <c r="I635" s="108"/>
      <c r="J635" s="108"/>
      <c r="K635" s="31" t="str">
        <f t="shared" si="126"/>
        <v>运营中</v>
      </c>
      <c r="L635" s="108"/>
      <c r="M635" s="108"/>
      <c r="N635" s="17"/>
      <c r="O635" s="36">
        <v>41180</v>
      </c>
      <c r="P635" s="17" t="s">
        <v>257</v>
      </c>
      <c r="Q635" s="17" t="s">
        <v>2245</v>
      </c>
      <c r="R635" s="17" t="s">
        <v>2244</v>
      </c>
      <c r="S635" s="108"/>
      <c r="T635" s="108"/>
      <c r="U635" s="111"/>
      <c r="V635" s="108"/>
      <c r="W635" s="108"/>
      <c r="X635" s="108"/>
    </row>
    <row r="636" spans="1:24" s="26" customFormat="1" hidden="1">
      <c r="A636" s="33"/>
      <c r="B636" s="108"/>
      <c r="C636" s="108"/>
      <c r="D636" s="31" t="str">
        <f t="shared" si="125"/>
        <v>Zomato</v>
      </c>
      <c r="E636" s="108"/>
      <c r="F636" s="111"/>
      <c r="G636" s="108"/>
      <c r="H636" s="108"/>
      <c r="I636" s="108"/>
      <c r="J636" s="108"/>
      <c r="K636" s="31" t="str">
        <f t="shared" si="126"/>
        <v>运营中</v>
      </c>
      <c r="L636" s="108"/>
      <c r="M636" s="108"/>
      <c r="N636" s="17"/>
      <c r="O636" s="36">
        <v>40814</v>
      </c>
      <c r="P636" s="17" t="s">
        <v>262</v>
      </c>
      <c r="Q636" s="17" t="s">
        <v>1938</v>
      </c>
      <c r="R636" s="17" t="s">
        <v>2244</v>
      </c>
      <c r="S636" s="108"/>
      <c r="T636" s="108"/>
      <c r="U636" s="111"/>
      <c r="V636" s="108"/>
      <c r="W636" s="108"/>
      <c r="X636" s="108"/>
    </row>
    <row r="637" spans="1:24" s="26" customFormat="1" hidden="1">
      <c r="A637" s="33"/>
      <c r="B637" s="108"/>
      <c r="C637" s="108" t="s">
        <v>2246</v>
      </c>
      <c r="D637" s="31" t="s">
        <v>2247</v>
      </c>
      <c r="E637" s="108" t="s">
        <v>2247</v>
      </c>
      <c r="F637" s="111" t="s">
        <v>2248</v>
      </c>
      <c r="G637" s="108"/>
      <c r="H637" s="108" t="s">
        <v>2249</v>
      </c>
      <c r="I637" s="108" t="s">
        <v>496</v>
      </c>
      <c r="J637" s="107" t="s">
        <v>1780</v>
      </c>
      <c r="K637" s="31" t="s">
        <v>272</v>
      </c>
      <c r="L637" s="107" t="s">
        <v>350</v>
      </c>
      <c r="M637" s="107" t="s">
        <v>617</v>
      </c>
      <c r="N637" s="12">
        <v>1</v>
      </c>
      <c r="O637" s="36">
        <v>45126</v>
      </c>
      <c r="P637" s="12" t="s">
        <v>285</v>
      </c>
      <c r="Q637" s="17" t="s">
        <v>2250</v>
      </c>
      <c r="R637" s="12" t="s">
        <v>240</v>
      </c>
      <c r="S637" s="108" t="s">
        <v>2251</v>
      </c>
      <c r="T637" s="108" t="s">
        <v>2252</v>
      </c>
      <c r="U637" s="110" t="s">
        <v>2253</v>
      </c>
      <c r="V637" s="108"/>
      <c r="W637" s="108"/>
      <c r="X637" s="108"/>
    </row>
    <row r="638" spans="1:24" s="26" customFormat="1" hidden="1">
      <c r="A638" s="33"/>
      <c r="B638" s="108"/>
      <c r="C638" s="108"/>
      <c r="D638" s="31" t="str">
        <f>D637</f>
        <v>Lazada</v>
      </c>
      <c r="E638" s="108"/>
      <c r="F638" s="111"/>
      <c r="G638" s="108"/>
      <c r="H638" s="108"/>
      <c r="I638" s="108"/>
      <c r="J638" s="108"/>
      <c r="K638" s="31" t="str">
        <f t="shared" ref="K638:K642" si="127">K637</f>
        <v>运营中</v>
      </c>
      <c r="L638" s="108"/>
      <c r="M638" s="108"/>
      <c r="N638" s="12">
        <v>1</v>
      </c>
      <c r="O638" s="36">
        <v>44903</v>
      </c>
      <c r="P638" s="12" t="s">
        <v>285</v>
      </c>
      <c r="Q638" s="17" t="s">
        <v>2254</v>
      </c>
      <c r="R638" s="12" t="s">
        <v>240</v>
      </c>
      <c r="S638" s="108"/>
      <c r="T638" s="108"/>
      <c r="U638" s="111"/>
      <c r="V638" s="108"/>
      <c r="W638" s="108"/>
      <c r="X638" s="108"/>
    </row>
    <row r="639" spans="1:24" s="26" customFormat="1" hidden="1">
      <c r="A639" s="33"/>
      <c r="B639" s="108"/>
      <c r="C639" s="108"/>
      <c r="D639" s="31" t="str">
        <f>D638</f>
        <v>Lazada</v>
      </c>
      <c r="E639" s="108"/>
      <c r="F639" s="111"/>
      <c r="G639" s="108"/>
      <c r="H639" s="108"/>
      <c r="I639" s="108"/>
      <c r="J639" s="108"/>
      <c r="K639" s="31" t="str">
        <f t="shared" si="127"/>
        <v>运营中</v>
      </c>
      <c r="L639" s="108"/>
      <c r="M639" s="108"/>
      <c r="N639" s="12">
        <v>1</v>
      </c>
      <c r="O639" s="36">
        <v>43178</v>
      </c>
      <c r="P639" s="12" t="s">
        <v>285</v>
      </c>
      <c r="Q639" s="17" t="s">
        <v>308</v>
      </c>
      <c r="R639" s="12" t="s">
        <v>240</v>
      </c>
      <c r="S639" s="108"/>
      <c r="T639" s="108"/>
      <c r="U639" s="111"/>
      <c r="V639" s="108"/>
      <c r="W639" s="108"/>
      <c r="X639" s="108"/>
    </row>
    <row r="640" spans="1:24" s="26" customFormat="1" hidden="1">
      <c r="A640" s="33"/>
      <c r="B640" s="108"/>
      <c r="C640" s="108"/>
      <c r="D640" s="31" t="str">
        <f>D639</f>
        <v>Lazada</v>
      </c>
      <c r="E640" s="108"/>
      <c r="F640" s="111"/>
      <c r="G640" s="108"/>
      <c r="H640" s="108"/>
      <c r="I640" s="108"/>
      <c r="J640" s="108"/>
      <c r="K640" s="31" t="str">
        <f t="shared" si="127"/>
        <v>运营中</v>
      </c>
      <c r="L640" s="108"/>
      <c r="M640" s="108"/>
      <c r="N640" s="12">
        <v>1</v>
      </c>
      <c r="O640" s="36">
        <v>42916</v>
      </c>
      <c r="P640" s="12" t="s">
        <v>285</v>
      </c>
      <c r="Q640" s="17" t="s">
        <v>306</v>
      </c>
      <c r="R640" s="12" t="s">
        <v>240</v>
      </c>
      <c r="S640" s="108"/>
      <c r="T640" s="108"/>
      <c r="U640" s="111"/>
      <c r="V640" s="108"/>
      <c r="W640" s="108"/>
      <c r="X640" s="108"/>
    </row>
    <row r="641" spans="1:24" s="26" customFormat="1" hidden="1">
      <c r="A641" s="33"/>
      <c r="B641" s="108"/>
      <c r="C641" s="108"/>
      <c r="D641" s="31" t="str">
        <f>D640</f>
        <v>Lazada</v>
      </c>
      <c r="E641" s="108"/>
      <c r="F641" s="111"/>
      <c r="G641" s="108"/>
      <c r="H641" s="108"/>
      <c r="I641" s="108"/>
      <c r="J641" s="108"/>
      <c r="K641" s="31" t="str">
        <f t="shared" si="127"/>
        <v>运营中</v>
      </c>
      <c r="L641" s="108"/>
      <c r="M641" s="108"/>
      <c r="N641" s="12">
        <v>1</v>
      </c>
      <c r="O641" s="36">
        <v>42472</v>
      </c>
      <c r="P641" s="12" t="s">
        <v>471</v>
      </c>
      <c r="Q641" s="17" t="s">
        <v>306</v>
      </c>
      <c r="R641" s="12" t="s">
        <v>240</v>
      </c>
      <c r="S641" s="108"/>
      <c r="T641" s="108"/>
      <c r="U641" s="111"/>
      <c r="V641" s="108"/>
      <c r="W641" s="108"/>
      <c r="X641" s="108"/>
    </row>
    <row r="642" spans="1:24" s="26" customFormat="1" hidden="1">
      <c r="A642" s="33"/>
      <c r="B642" s="108"/>
      <c r="C642" s="108"/>
      <c r="D642" s="31" t="str">
        <f>D641</f>
        <v>Lazada</v>
      </c>
      <c r="E642" s="108"/>
      <c r="F642" s="111"/>
      <c r="G642" s="108"/>
      <c r="H642" s="108"/>
      <c r="I642" s="108"/>
      <c r="J642" s="108"/>
      <c r="K642" s="31" t="str">
        <f t="shared" si="127"/>
        <v>运营中</v>
      </c>
      <c r="L642" s="108"/>
      <c r="M642" s="108"/>
      <c r="N642" s="12">
        <v>1</v>
      </c>
      <c r="O642" s="36">
        <v>41976</v>
      </c>
      <c r="P642" s="17" t="s">
        <v>303</v>
      </c>
      <c r="Q642" s="17" t="s">
        <v>2255</v>
      </c>
      <c r="R642" s="12" t="s">
        <v>2256</v>
      </c>
      <c r="S642" s="108"/>
      <c r="T642" s="108"/>
      <c r="U642" s="111"/>
      <c r="V642" s="108"/>
      <c r="W642" s="108"/>
      <c r="X642" s="108"/>
    </row>
    <row r="643" spans="1:24" s="26" customFormat="1" ht="161" hidden="1">
      <c r="A643" s="33"/>
      <c r="B643" s="108"/>
      <c r="C643" s="17" t="s">
        <v>2257</v>
      </c>
      <c r="D643" s="38" t="s">
        <v>2258</v>
      </c>
      <c r="E643" s="17" t="s">
        <v>2258</v>
      </c>
      <c r="F643" s="34" t="s">
        <v>2259</v>
      </c>
      <c r="G643" s="17"/>
      <c r="H643" s="17" t="s">
        <v>2260</v>
      </c>
      <c r="I643" s="17" t="s">
        <v>712</v>
      </c>
      <c r="J643" s="12" t="s">
        <v>2261</v>
      </c>
      <c r="K643" s="38" t="s">
        <v>272</v>
      </c>
      <c r="L643" s="12" t="s">
        <v>996</v>
      </c>
      <c r="M643" s="12" t="s">
        <v>997</v>
      </c>
      <c r="N643" s="12"/>
      <c r="O643" s="36">
        <v>41988</v>
      </c>
      <c r="P643" s="17" t="s">
        <v>251</v>
      </c>
      <c r="Q643" s="12" t="s">
        <v>276</v>
      </c>
      <c r="R643" s="12" t="s">
        <v>810</v>
      </c>
      <c r="S643" s="17" t="s">
        <v>2262</v>
      </c>
      <c r="T643" s="12" t="s">
        <v>255</v>
      </c>
      <c r="U643" s="34" t="s">
        <v>2263</v>
      </c>
      <c r="V643" s="17"/>
      <c r="W643" s="17"/>
      <c r="X643" s="17"/>
    </row>
    <row r="644" spans="1:24" s="26" customFormat="1" ht="48" hidden="1">
      <c r="A644" s="33"/>
      <c r="B644" s="108"/>
      <c r="C644" s="17" t="s">
        <v>2264</v>
      </c>
      <c r="D644" s="38" t="s">
        <v>2265</v>
      </c>
      <c r="E644" s="17" t="s">
        <v>2266</v>
      </c>
      <c r="F644" s="34" t="s">
        <v>2267</v>
      </c>
      <c r="G644" s="12" t="s">
        <v>2268</v>
      </c>
      <c r="H644" s="17" t="s">
        <v>2269</v>
      </c>
      <c r="I644" s="17" t="s">
        <v>371</v>
      </c>
      <c r="J644" s="12" t="s">
        <v>385</v>
      </c>
      <c r="K644" s="38" t="s">
        <v>272</v>
      </c>
      <c r="L644" s="12" t="s">
        <v>1798</v>
      </c>
      <c r="M644" s="12" t="s">
        <v>2270</v>
      </c>
      <c r="N644" s="12"/>
      <c r="O644" s="36">
        <v>42486</v>
      </c>
      <c r="P644" s="17" t="s">
        <v>262</v>
      </c>
      <c r="Q644" s="17" t="s">
        <v>2271</v>
      </c>
      <c r="R644" s="12" t="s">
        <v>2272</v>
      </c>
      <c r="S644" s="17" t="s">
        <v>2273</v>
      </c>
      <c r="T644" s="17" t="s">
        <v>2274</v>
      </c>
      <c r="U644" s="32" t="s">
        <v>2275</v>
      </c>
      <c r="V644" s="12" t="s">
        <v>2276</v>
      </c>
      <c r="W644" s="17" t="s">
        <v>2277</v>
      </c>
      <c r="X644" s="17" t="s">
        <v>2278</v>
      </c>
    </row>
    <row r="645" spans="1:24" s="26" customFormat="1" hidden="1">
      <c r="A645" s="33"/>
      <c r="B645" s="108"/>
      <c r="C645" s="108" t="s">
        <v>2279</v>
      </c>
      <c r="D645" s="31" t="s">
        <v>2280</v>
      </c>
      <c r="E645" s="108" t="s">
        <v>2280</v>
      </c>
      <c r="F645" s="111" t="s">
        <v>2281</v>
      </c>
      <c r="G645" s="108"/>
      <c r="H645" s="108" t="s">
        <v>2282</v>
      </c>
      <c r="I645" s="108" t="s">
        <v>334</v>
      </c>
      <c r="J645" s="107" t="s">
        <v>1564</v>
      </c>
      <c r="K645" s="31" t="s">
        <v>272</v>
      </c>
      <c r="L645" s="107" t="s">
        <v>713</v>
      </c>
      <c r="M645" s="107" t="s">
        <v>881</v>
      </c>
      <c r="N645" s="12">
        <v>1</v>
      </c>
      <c r="O645" s="36">
        <v>43320</v>
      </c>
      <c r="P645" s="17" t="s">
        <v>687</v>
      </c>
      <c r="Q645" s="17" t="s">
        <v>655</v>
      </c>
      <c r="R645" s="12" t="s">
        <v>2283</v>
      </c>
      <c r="S645" s="108" t="s">
        <v>2284</v>
      </c>
      <c r="T645" s="108" t="s">
        <v>2285</v>
      </c>
      <c r="U645" s="111" t="s">
        <v>2286</v>
      </c>
      <c r="V645" s="108"/>
      <c r="W645" s="108"/>
      <c r="X645" s="108"/>
    </row>
    <row r="646" spans="1:24" s="26" customFormat="1" hidden="1">
      <c r="A646" s="33"/>
      <c r="B646" s="108"/>
      <c r="C646" s="108"/>
      <c r="D646" s="31" t="str">
        <f t="shared" ref="D646:D654" si="128">D645</f>
        <v>Snapchat</v>
      </c>
      <c r="E646" s="108"/>
      <c r="F646" s="111"/>
      <c r="G646" s="108"/>
      <c r="H646" s="108"/>
      <c r="I646" s="108"/>
      <c r="J646" s="108"/>
      <c r="K646" s="31" t="str">
        <f t="shared" ref="K646:K654" si="129">K645</f>
        <v>运营中</v>
      </c>
      <c r="L646" s="108"/>
      <c r="M646" s="108"/>
      <c r="N646" s="12">
        <v>1</v>
      </c>
      <c r="O646" s="36">
        <v>43047</v>
      </c>
      <c r="P646" s="17" t="s">
        <v>687</v>
      </c>
      <c r="Q646" s="12" t="s">
        <v>299</v>
      </c>
      <c r="R646" s="12" t="s">
        <v>566</v>
      </c>
      <c r="S646" s="108"/>
      <c r="T646" s="108"/>
      <c r="U646" s="111"/>
      <c r="V646" s="108"/>
      <c r="W646" s="108"/>
      <c r="X646" s="108"/>
    </row>
    <row r="647" spans="1:24" s="26" customFormat="1" hidden="1">
      <c r="A647" s="33"/>
      <c r="B647" s="108"/>
      <c r="C647" s="108"/>
      <c r="D647" s="31" t="str">
        <f t="shared" si="128"/>
        <v>Snapchat</v>
      </c>
      <c r="E647" s="108"/>
      <c r="F647" s="111"/>
      <c r="G647" s="108"/>
      <c r="H647" s="108"/>
      <c r="I647" s="108"/>
      <c r="J647" s="108"/>
      <c r="K647" s="31" t="str">
        <f t="shared" si="129"/>
        <v>运营中</v>
      </c>
      <c r="L647" s="108"/>
      <c r="M647" s="108"/>
      <c r="N647" s="12">
        <v>1</v>
      </c>
      <c r="O647" s="36">
        <v>42797</v>
      </c>
      <c r="P647" s="17" t="s">
        <v>283</v>
      </c>
      <c r="Q647" s="17" t="s">
        <v>2287</v>
      </c>
      <c r="R647" s="17" t="s">
        <v>253</v>
      </c>
      <c r="S647" s="108"/>
      <c r="T647" s="108"/>
      <c r="U647" s="111"/>
      <c r="V647" s="108"/>
      <c r="W647" s="108"/>
      <c r="X647" s="108"/>
    </row>
    <row r="648" spans="1:24" s="26" customFormat="1" hidden="1">
      <c r="A648" s="33"/>
      <c r="B648" s="108"/>
      <c r="C648" s="108"/>
      <c r="D648" s="31" t="str">
        <f t="shared" si="128"/>
        <v>Snapchat</v>
      </c>
      <c r="E648" s="108"/>
      <c r="F648" s="111"/>
      <c r="G648" s="108"/>
      <c r="H648" s="108"/>
      <c r="I648" s="108"/>
      <c r="J648" s="108"/>
      <c r="K648" s="31" t="str">
        <f t="shared" si="129"/>
        <v>运营中</v>
      </c>
      <c r="L648" s="108"/>
      <c r="M648" s="108"/>
      <c r="N648" s="12">
        <v>1</v>
      </c>
      <c r="O648" s="36">
        <v>42517</v>
      </c>
      <c r="P648" s="17" t="s">
        <v>303</v>
      </c>
      <c r="Q648" s="17" t="s">
        <v>2288</v>
      </c>
      <c r="R648" s="17" t="s">
        <v>1571</v>
      </c>
      <c r="S648" s="108"/>
      <c r="T648" s="108"/>
      <c r="U648" s="111"/>
      <c r="V648" s="108"/>
      <c r="W648" s="108"/>
      <c r="X648" s="108"/>
    </row>
    <row r="649" spans="1:24" s="26" customFormat="1" hidden="1">
      <c r="A649" s="33"/>
      <c r="B649" s="108"/>
      <c r="C649" s="108"/>
      <c r="D649" s="31" t="str">
        <f t="shared" si="128"/>
        <v>Snapchat</v>
      </c>
      <c r="E649" s="108"/>
      <c r="F649" s="111"/>
      <c r="G649" s="108"/>
      <c r="H649" s="108"/>
      <c r="I649" s="108"/>
      <c r="J649" s="108"/>
      <c r="K649" s="31" t="str">
        <f t="shared" si="129"/>
        <v>运营中</v>
      </c>
      <c r="L649" s="108"/>
      <c r="M649" s="108"/>
      <c r="N649" s="12">
        <v>1</v>
      </c>
      <c r="O649" s="36">
        <v>42153</v>
      </c>
      <c r="P649" s="17" t="s">
        <v>303</v>
      </c>
      <c r="Q649" s="17" t="s">
        <v>2289</v>
      </c>
      <c r="R649" s="17" t="s">
        <v>1571</v>
      </c>
      <c r="S649" s="108"/>
      <c r="T649" s="108"/>
      <c r="U649" s="111"/>
      <c r="V649" s="108"/>
      <c r="W649" s="108"/>
      <c r="X649" s="108"/>
    </row>
    <row r="650" spans="1:24" s="26" customFormat="1" hidden="1">
      <c r="A650" s="33"/>
      <c r="B650" s="108"/>
      <c r="C650" s="108"/>
      <c r="D650" s="31" t="str">
        <f t="shared" si="128"/>
        <v>Snapchat</v>
      </c>
      <c r="E650" s="108"/>
      <c r="F650" s="111"/>
      <c r="G650" s="108"/>
      <c r="H650" s="108"/>
      <c r="I650" s="108"/>
      <c r="J650" s="108"/>
      <c r="K650" s="31" t="str">
        <f t="shared" si="129"/>
        <v>运营中</v>
      </c>
      <c r="L650" s="108"/>
      <c r="M650" s="108"/>
      <c r="N650" s="12">
        <v>1</v>
      </c>
      <c r="O650" s="36">
        <v>42076</v>
      </c>
      <c r="P650" s="17" t="s">
        <v>310</v>
      </c>
      <c r="Q650" s="17" t="s">
        <v>792</v>
      </c>
      <c r="R650" s="12" t="s">
        <v>240</v>
      </c>
      <c r="S650" s="108"/>
      <c r="T650" s="108"/>
      <c r="U650" s="111"/>
      <c r="V650" s="108"/>
      <c r="W650" s="108"/>
      <c r="X650" s="108"/>
    </row>
    <row r="651" spans="1:24" s="26" customFormat="1" hidden="1">
      <c r="A651" s="33"/>
      <c r="B651" s="108"/>
      <c r="C651" s="108"/>
      <c r="D651" s="31" t="str">
        <f t="shared" si="128"/>
        <v>Snapchat</v>
      </c>
      <c r="E651" s="108"/>
      <c r="F651" s="111"/>
      <c r="G651" s="108"/>
      <c r="H651" s="108"/>
      <c r="I651" s="108"/>
      <c r="J651" s="108"/>
      <c r="K651" s="31" t="str">
        <f t="shared" si="129"/>
        <v>运营中</v>
      </c>
      <c r="L651" s="108"/>
      <c r="M651" s="108"/>
      <c r="N651" s="12">
        <v>1</v>
      </c>
      <c r="O651" s="36">
        <v>42004</v>
      </c>
      <c r="P651" s="17" t="s">
        <v>317</v>
      </c>
      <c r="Q651" s="17" t="s">
        <v>2040</v>
      </c>
      <c r="R651" s="17" t="s">
        <v>2290</v>
      </c>
      <c r="S651" s="108"/>
      <c r="T651" s="108"/>
      <c r="U651" s="111"/>
      <c r="V651" s="108"/>
      <c r="W651" s="108"/>
      <c r="X651" s="108"/>
    </row>
    <row r="652" spans="1:24" s="26" customFormat="1" hidden="1">
      <c r="A652" s="33"/>
      <c r="B652" s="108"/>
      <c r="C652" s="108"/>
      <c r="D652" s="31" t="str">
        <f t="shared" si="128"/>
        <v>Snapchat</v>
      </c>
      <c r="E652" s="108"/>
      <c r="F652" s="111"/>
      <c r="G652" s="108"/>
      <c r="H652" s="108"/>
      <c r="I652" s="108"/>
      <c r="J652" s="108"/>
      <c r="K652" s="31" t="str">
        <f t="shared" si="129"/>
        <v>运营中</v>
      </c>
      <c r="L652" s="108"/>
      <c r="M652" s="108"/>
      <c r="N652" s="12">
        <v>1</v>
      </c>
      <c r="O652" s="36">
        <v>41619</v>
      </c>
      <c r="P652" s="17" t="s">
        <v>251</v>
      </c>
      <c r="Q652" s="17" t="s">
        <v>1032</v>
      </c>
      <c r="R652" s="17" t="s">
        <v>2291</v>
      </c>
      <c r="S652" s="108"/>
      <c r="T652" s="108"/>
      <c r="U652" s="111"/>
      <c r="V652" s="108"/>
      <c r="W652" s="108"/>
      <c r="X652" s="108"/>
    </row>
    <row r="653" spans="1:24" s="26" customFormat="1" hidden="1">
      <c r="A653" s="33"/>
      <c r="B653" s="108"/>
      <c r="C653" s="108"/>
      <c r="D653" s="31" t="str">
        <f t="shared" si="128"/>
        <v>Snapchat</v>
      </c>
      <c r="E653" s="108"/>
      <c r="F653" s="111"/>
      <c r="G653" s="108"/>
      <c r="H653" s="108"/>
      <c r="I653" s="108"/>
      <c r="J653" s="108"/>
      <c r="K653" s="31" t="str">
        <f t="shared" si="129"/>
        <v>运营中</v>
      </c>
      <c r="L653" s="108"/>
      <c r="M653" s="108"/>
      <c r="N653" s="12">
        <v>1</v>
      </c>
      <c r="O653" s="36">
        <v>41447</v>
      </c>
      <c r="P653" s="17" t="s">
        <v>257</v>
      </c>
      <c r="Q653" s="17" t="s">
        <v>897</v>
      </c>
      <c r="R653" s="12" t="s">
        <v>2292</v>
      </c>
      <c r="S653" s="108"/>
      <c r="T653" s="108"/>
      <c r="U653" s="111"/>
      <c r="V653" s="108"/>
      <c r="W653" s="108"/>
      <c r="X653" s="108"/>
    </row>
    <row r="654" spans="1:24" s="26" customFormat="1" hidden="1">
      <c r="A654" s="33"/>
      <c r="B654" s="108"/>
      <c r="C654" s="108"/>
      <c r="D654" s="31" t="str">
        <f t="shared" si="128"/>
        <v>Snapchat</v>
      </c>
      <c r="E654" s="108"/>
      <c r="F654" s="111"/>
      <c r="G654" s="108"/>
      <c r="H654" s="108"/>
      <c r="I654" s="108"/>
      <c r="J654" s="108"/>
      <c r="K654" s="31" t="str">
        <f t="shared" si="129"/>
        <v>运营中</v>
      </c>
      <c r="L654" s="108"/>
      <c r="M654" s="108"/>
      <c r="N654" s="12">
        <v>1</v>
      </c>
      <c r="O654" s="36">
        <v>41255</v>
      </c>
      <c r="P654" s="17" t="s">
        <v>262</v>
      </c>
      <c r="Q654" s="17" t="s">
        <v>2293</v>
      </c>
      <c r="R654" s="17" t="s">
        <v>2294</v>
      </c>
      <c r="S654" s="108"/>
      <c r="T654" s="108"/>
      <c r="U654" s="111"/>
      <c r="V654" s="108"/>
      <c r="W654" s="108"/>
      <c r="X654" s="108"/>
    </row>
    <row r="655" spans="1:24" s="26" customFormat="1" hidden="1">
      <c r="A655" s="33"/>
      <c r="B655" s="108"/>
      <c r="C655" s="108" t="s">
        <v>2295</v>
      </c>
      <c r="D655" s="31" t="s">
        <v>2296</v>
      </c>
      <c r="E655" s="107" t="s">
        <v>2296</v>
      </c>
      <c r="F655" s="110" t="s">
        <v>2297</v>
      </c>
      <c r="G655" s="107" t="s">
        <v>2298</v>
      </c>
      <c r="H655" s="108" t="s">
        <v>2299</v>
      </c>
      <c r="I655" s="108" t="s">
        <v>1563</v>
      </c>
      <c r="J655" s="107" t="s">
        <v>2300</v>
      </c>
      <c r="K655" s="31" t="s">
        <v>272</v>
      </c>
      <c r="L655" s="107" t="s">
        <v>273</v>
      </c>
      <c r="M655" s="107" t="s">
        <v>274</v>
      </c>
      <c r="N655" s="12">
        <v>1</v>
      </c>
      <c r="O655" s="36">
        <v>42640</v>
      </c>
      <c r="P655" s="12" t="s">
        <v>471</v>
      </c>
      <c r="Q655" s="17" t="s">
        <v>2301</v>
      </c>
      <c r="R655" s="12" t="s">
        <v>2302</v>
      </c>
      <c r="S655" s="108" t="s">
        <v>2303</v>
      </c>
      <c r="T655" s="108" t="s">
        <v>2304</v>
      </c>
      <c r="U655" s="110" t="s">
        <v>2305</v>
      </c>
      <c r="V655" s="108"/>
      <c r="W655" s="108"/>
      <c r="X655" s="108"/>
    </row>
    <row r="656" spans="1:24" s="26" customFormat="1" hidden="1">
      <c r="A656" s="33"/>
      <c r="B656" s="108"/>
      <c r="C656" s="108"/>
      <c r="D656" s="31" t="str">
        <f>D655</f>
        <v>九五智驾网</v>
      </c>
      <c r="E656" s="108"/>
      <c r="F656" s="111"/>
      <c r="G656" s="108"/>
      <c r="H656" s="108"/>
      <c r="I656" s="108"/>
      <c r="J656" s="108"/>
      <c r="K656" s="31" t="str">
        <f t="shared" ref="K656:K657" si="130">K655</f>
        <v>运营中</v>
      </c>
      <c r="L656" s="108"/>
      <c r="M656" s="108"/>
      <c r="N656" s="12">
        <v>1</v>
      </c>
      <c r="O656" s="36">
        <v>42230</v>
      </c>
      <c r="P656" s="17" t="s">
        <v>257</v>
      </c>
      <c r="Q656" s="12" t="s">
        <v>252</v>
      </c>
      <c r="R656" s="12" t="s">
        <v>2306</v>
      </c>
      <c r="S656" s="108"/>
      <c r="T656" s="108"/>
      <c r="U656" s="111"/>
      <c r="V656" s="108"/>
      <c r="W656" s="108"/>
      <c r="X656" s="108"/>
    </row>
    <row r="657" spans="1:24" s="26" customFormat="1" hidden="1">
      <c r="A657" s="33"/>
      <c r="B657" s="108"/>
      <c r="C657" s="108"/>
      <c r="D657" s="31" t="str">
        <f>D656</f>
        <v>九五智驾网</v>
      </c>
      <c r="E657" s="108"/>
      <c r="F657" s="111"/>
      <c r="G657" s="108"/>
      <c r="H657" s="108"/>
      <c r="I657" s="108"/>
      <c r="J657" s="108"/>
      <c r="K657" s="31" t="str">
        <f t="shared" si="130"/>
        <v>运营中</v>
      </c>
      <c r="L657" s="108"/>
      <c r="M657" s="108"/>
      <c r="N657" s="12">
        <v>1</v>
      </c>
      <c r="O657" s="36">
        <v>41429</v>
      </c>
      <c r="P657" s="17" t="s">
        <v>262</v>
      </c>
      <c r="Q657" s="12" t="s">
        <v>252</v>
      </c>
      <c r="R657" s="12" t="s">
        <v>2307</v>
      </c>
      <c r="S657" s="108"/>
      <c r="T657" s="108"/>
      <c r="U657" s="111"/>
      <c r="V657" s="108"/>
      <c r="W657" s="108"/>
      <c r="X657" s="108"/>
    </row>
    <row r="658" spans="1:24" s="26" customFormat="1" ht="36" hidden="1">
      <c r="A658" s="33"/>
      <c r="B658" s="108"/>
      <c r="C658" s="17" t="s">
        <v>2308</v>
      </c>
      <c r="D658" s="38" t="s">
        <v>2309</v>
      </c>
      <c r="E658" s="12" t="s">
        <v>2309</v>
      </c>
      <c r="F658" s="32" t="s">
        <v>2310</v>
      </c>
      <c r="G658" s="12" t="s">
        <v>2311</v>
      </c>
      <c r="H658" s="17" t="s">
        <v>2312</v>
      </c>
      <c r="I658" s="17" t="s">
        <v>2313</v>
      </c>
      <c r="J658" s="12" t="s">
        <v>406</v>
      </c>
      <c r="K658" s="38" t="s">
        <v>272</v>
      </c>
      <c r="L658" s="12" t="s">
        <v>350</v>
      </c>
      <c r="M658" s="12" t="s">
        <v>2314</v>
      </c>
      <c r="N658" s="12">
        <v>1</v>
      </c>
      <c r="O658" s="36">
        <v>43714</v>
      </c>
      <c r="P658" s="12" t="s">
        <v>471</v>
      </c>
      <c r="Q658" s="17" t="s">
        <v>308</v>
      </c>
      <c r="R658" s="12" t="s">
        <v>240</v>
      </c>
      <c r="S658" s="17" t="s">
        <v>2315</v>
      </c>
      <c r="T658" s="17" t="s">
        <v>2316</v>
      </c>
      <c r="U658" s="32" t="s">
        <v>2317</v>
      </c>
      <c r="V658" s="12" t="s">
        <v>2318</v>
      </c>
      <c r="W658" s="17">
        <v>95163111</v>
      </c>
      <c r="X658" s="17" t="s">
        <v>2319</v>
      </c>
    </row>
    <row r="659" spans="1:24" s="26" customFormat="1" hidden="1">
      <c r="A659" s="33"/>
      <c r="B659" s="108"/>
      <c r="C659" s="108" t="s">
        <v>2320</v>
      </c>
      <c r="D659" s="31" t="s">
        <v>2321</v>
      </c>
      <c r="E659" s="107" t="s">
        <v>2321</v>
      </c>
      <c r="F659" s="110" t="s">
        <v>2322</v>
      </c>
      <c r="G659" s="107" t="s">
        <v>2323</v>
      </c>
      <c r="H659" s="108"/>
      <c r="I659" s="108" t="s">
        <v>2324</v>
      </c>
      <c r="J659" s="107" t="s">
        <v>2325</v>
      </c>
      <c r="K659" s="31" t="s">
        <v>272</v>
      </c>
      <c r="L659" s="107" t="s">
        <v>386</v>
      </c>
      <c r="M659" s="107" t="s">
        <v>1767</v>
      </c>
      <c r="N659" s="12">
        <v>1</v>
      </c>
      <c r="O659" s="36">
        <v>44152</v>
      </c>
      <c r="P659" s="17" t="s">
        <v>687</v>
      </c>
      <c r="Q659" s="17" t="s">
        <v>2326</v>
      </c>
      <c r="R659" s="12" t="s">
        <v>240</v>
      </c>
      <c r="S659" s="108" t="s">
        <v>2327</v>
      </c>
      <c r="T659" s="108" t="s">
        <v>2328</v>
      </c>
      <c r="U659" s="110" t="s">
        <v>2329</v>
      </c>
      <c r="V659" s="108"/>
      <c r="W659" s="108"/>
      <c r="X659" s="108"/>
    </row>
    <row r="660" spans="1:24" s="26" customFormat="1" hidden="1">
      <c r="A660" s="33"/>
      <c r="B660" s="108"/>
      <c r="C660" s="108"/>
      <c r="D660" s="31" t="str">
        <f>D659</f>
        <v>芒果超媒</v>
      </c>
      <c r="E660" s="108"/>
      <c r="F660" s="111"/>
      <c r="G660" s="108"/>
      <c r="H660" s="108"/>
      <c r="I660" s="108"/>
      <c r="J660" s="108"/>
      <c r="K660" s="31" t="str">
        <f t="shared" ref="K660:K664" si="131">K659</f>
        <v>运营中</v>
      </c>
      <c r="L660" s="108"/>
      <c r="M660" s="108"/>
      <c r="N660" s="12">
        <v>1</v>
      </c>
      <c r="O660" s="36">
        <v>43613</v>
      </c>
      <c r="P660" s="17" t="s">
        <v>687</v>
      </c>
      <c r="Q660" s="17" t="s">
        <v>2330</v>
      </c>
      <c r="R660" s="12" t="s">
        <v>2331</v>
      </c>
      <c r="S660" s="108"/>
      <c r="T660" s="108"/>
      <c r="U660" s="111"/>
      <c r="V660" s="108"/>
      <c r="W660" s="108"/>
      <c r="X660" s="108"/>
    </row>
    <row r="661" spans="1:24" s="26" customFormat="1" hidden="1">
      <c r="A661" s="33"/>
      <c r="B661" s="108"/>
      <c r="C661" s="108"/>
      <c r="D661" s="31" t="str">
        <f>D660</f>
        <v>芒果超媒</v>
      </c>
      <c r="E661" s="108"/>
      <c r="F661" s="111"/>
      <c r="G661" s="108"/>
      <c r="H661" s="108"/>
      <c r="I661" s="108"/>
      <c r="J661" s="108"/>
      <c r="K661" s="31" t="str">
        <f t="shared" si="131"/>
        <v>运营中</v>
      </c>
      <c r="L661" s="108"/>
      <c r="M661" s="108"/>
      <c r="N661" s="12">
        <v>1</v>
      </c>
      <c r="O661" s="36">
        <v>42025</v>
      </c>
      <c r="P661" s="17" t="s">
        <v>283</v>
      </c>
      <c r="Q661" s="17" t="s">
        <v>2332</v>
      </c>
      <c r="R661" s="17" t="s">
        <v>253</v>
      </c>
      <c r="S661" s="108"/>
      <c r="T661" s="108"/>
      <c r="U661" s="111"/>
      <c r="V661" s="108"/>
      <c r="W661" s="108"/>
      <c r="X661" s="108"/>
    </row>
    <row r="662" spans="1:24" s="26" customFormat="1" hidden="1">
      <c r="A662" s="33"/>
      <c r="B662" s="108"/>
      <c r="C662" s="108"/>
      <c r="D662" s="31" t="str">
        <f>D661</f>
        <v>芒果超媒</v>
      </c>
      <c r="E662" s="108"/>
      <c r="F662" s="111"/>
      <c r="G662" s="108"/>
      <c r="H662" s="108"/>
      <c r="I662" s="108"/>
      <c r="J662" s="108"/>
      <c r="K662" s="31" t="str">
        <f t="shared" si="131"/>
        <v>运营中</v>
      </c>
      <c r="L662" s="108"/>
      <c r="M662" s="108"/>
      <c r="N662" s="12">
        <v>1</v>
      </c>
      <c r="O662" s="36">
        <v>41819</v>
      </c>
      <c r="P662" s="17" t="s">
        <v>251</v>
      </c>
      <c r="Q662" s="17" t="s">
        <v>1896</v>
      </c>
      <c r="R662" s="12" t="s">
        <v>2333</v>
      </c>
      <c r="S662" s="108"/>
      <c r="T662" s="108"/>
      <c r="U662" s="111"/>
      <c r="V662" s="108"/>
      <c r="W662" s="108"/>
      <c r="X662" s="108"/>
    </row>
    <row r="663" spans="1:24" s="26" customFormat="1" hidden="1">
      <c r="A663" s="33"/>
      <c r="B663" s="108"/>
      <c r="C663" s="108"/>
      <c r="D663" s="31" t="str">
        <f>D662</f>
        <v>芒果超媒</v>
      </c>
      <c r="E663" s="108"/>
      <c r="F663" s="111"/>
      <c r="G663" s="108"/>
      <c r="H663" s="108"/>
      <c r="I663" s="108"/>
      <c r="J663" s="108"/>
      <c r="K663" s="31" t="str">
        <f t="shared" si="131"/>
        <v>运营中</v>
      </c>
      <c r="L663" s="108"/>
      <c r="M663" s="108"/>
      <c r="N663" s="12">
        <v>1</v>
      </c>
      <c r="O663" s="36">
        <v>40602</v>
      </c>
      <c r="P663" s="17" t="s">
        <v>257</v>
      </c>
      <c r="Q663" s="17" t="s">
        <v>2334</v>
      </c>
      <c r="R663" s="12" t="s">
        <v>2335</v>
      </c>
      <c r="S663" s="108"/>
      <c r="T663" s="108"/>
      <c r="U663" s="111"/>
      <c r="V663" s="108"/>
      <c r="W663" s="108"/>
      <c r="X663" s="108"/>
    </row>
    <row r="664" spans="1:24" s="26" customFormat="1" hidden="1">
      <c r="A664" s="33"/>
      <c r="B664" s="108"/>
      <c r="C664" s="108"/>
      <c r="D664" s="31" t="str">
        <f>D663</f>
        <v>芒果超媒</v>
      </c>
      <c r="E664" s="108"/>
      <c r="F664" s="111"/>
      <c r="G664" s="108"/>
      <c r="H664" s="108"/>
      <c r="I664" s="108"/>
      <c r="J664" s="108"/>
      <c r="K664" s="31" t="str">
        <f t="shared" si="131"/>
        <v>运营中</v>
      </c>
      <c r="L664" s="108"/>
      <c r="M664" s="108"/>
      <c r="N664" s="12">
        <v>1</v>
      </c>
      <c r="O664" s="36">
        <v>40269</v>
      </c>
      <c r="P664" s="17" t="s">
        <v>262</v>
      </c>
      <c r="Q664" s="17" t="s">
        <v>2336</v>
      </c>
      <c r="R664" s="12" t="s">
        <v>2337</v>
      </c>
      <c r="S664" s="108"/>
      <c r="T664" s="108"/>
      <c r="U664" s="111"/>
      <c r="V664" s="108"/>
      <c r="W664" s="108"/>
      <c r="X664" s="108"/>
    </row>
    <row r="665" spans="1:24" s="26" customFormat="1" hidden="1">
      <c r="A665" s="33"/>
      <c r="B665" s="108"/>
      <c r="C665" s="108" t="s">
        <v>2338</v>
      </c>
      <c r="D665" s="31" t="s">
        <v>2339</v>
      </c>
      <c r="E665" s="107" t="s">
        <v>2339</v>
      </c>
      <c r="F665" s="110" t="s">
        <v>2340</v>
      </c>
      <c r="G665" s="107" t="s">
        <v>2341</v>
      </c>
      <c r="H665" s="108" t="s">
        <v>2342</v>
      </c>
      <c r="I665" s="108" t="s">
        <v>2343</v>
      </c>
      <c r="J665" s="107" t="s">
        <v>1192</v>
      </c>
      <c r="K665" s="31" t="s">
        <v>272</v>
      </c>
      <c r="L665" s="107" t="s">
        <v>350</v>
      </c>
      <c r="M665" s="107" t="s">
        <v>2314</v>
      </c>
      <c r="N665" s="12">
        <v>1</v>
      </c>
      <c r="O665" s="36">
        <v>41711</v>
      </c>
      <c r="P665" s="12" t="s">
        <v>471</v>
      </c>
      <c r="Q665" s="12" t="s">
        <v>252</v>
      </c>
      <c r="R665" s="12" t="s">
        <v>240</v>
      </c>
      <c r="S665" s="108" t="s">
        <v>253</v>
      </c>
      <c r="T665" s="107" t="s">
        <v>255</v>
      </c>
      <c r="U665" s="111"/>
      <c r="V665" s="108"/>
      <c r="W665" s="108"/>
      <c r="X665" s="108"/>
    </row>
    <row r="666" spans="1:24" s="26" customFormat="1" hidden="1">
      <c r="A666" s="33"/>
      <c r="B666" s="108"/>
      <c r="C666" s="108"/>
      <c r="D666" s="31" t="str">
        <f>D665</f>
        <v>一达通</v>
      </c>
      <c r="E666" s="108"/>
      <c r="F666" s="111"/>
      <c r="G666" s="108"/>
      <c r="H666" s="108"/>
      <c r="I666" s="108"/>
      <c r="J666" s="108"/>
      <c r="K666" s="31" t="str">
        <f>K665</f>
        <v>运营中</v>
      </c>
      <c r="L666" s="108"/>
      <c r="M666" s="108"/>
      <c r="N666" s="12">
        <v>1</v>
      </c>
      <c r="O666" s="36">
        <v>40483</v>
      </c>
      <c r="P666" s="12" t="s">
        <v>471</v>
      </c>
      <c r="Q666" s="12" t="s">
        <v>252</v>
      </c>
      <c r="R666" s="12" t="s">
        <v>240</v>
      </c>
      <c r="S666" s="108"/>
      <c r="T666" s="108"/>
      <c r="U666" s="111"/>
      <c r="V666" s="108"/>
      <c r="W666" s="108"/>
      <c r="X666" s="108"/>
    </row>
    <row r="667" spans="1:24" s="26" customFormat="1" hidden="1">
      <c r="A667" s="33"/>
      <c r="B667" s="108"/>
      <c r="C667" s="108" t="s">
        <v>2344</v>
      </c>
      <c r="D667" s="31" t="s">
        <v>2345</v>
      </c>
      <c r="E667" s="108" t="s">
        <v>2345</v>
      </c>
      <c r="F667" s="111" t="s">
        <v>2346</v>
      </c>
      <c r="G667" s="108"/>
      <c r="H667" s="108" t="s">
        <v>2347</v>
      </c>
      <c r="I667" s="108" t="s">
        <v>246</v>
      </c>
      <c r="J667" s="107" t="s">
        <v>1931</v>
      </c>
      <c r="K667" s="31" t="s">
        <v>272</v>
      </c>
      <c r="L667" s="107" t="s">
        <v>335</v>
      </c>
      <c r="M667" s="107" t="s">
        <v>2348</v>
      </c>
      <c r="N667" s="12"/>
      <c r="O667" s="36">
        <v>42024</v>
      </c>
      <c r="P667" s="17" t="s">
        <v>257</v>
      </c>
      <c r="Q667" s="17" t="s">
        <v>460</v>
      </c>
      <c r="R667" s="12" t="s">
        <v>240</v>
      </c>
      <c r="S667" s="108" t="s">
        <v>2349</v>
      </c>
      <c r="T667" s="108" t="s">
        <v>2350</v>
      </c>
      <c r="U667" s="111" t="s">
        <v>2351</v>
      </c>
      <c r="V667" s="108"/>
      <c r="W667" s="108"/>
      <c r="X667" s="108"/>
    </row>
    <row r="668" spans="1:24" s="26" customFormat="1" hidden="1">
      <c r="A668" s="33"/>
      <c r="B668" s="108"/>
      <c r="C668" s="108"/>
      <c r="D668" s="31" t="str">
        <f>D667</f>
        <v>Visualead</v>
      </c>
      <c r="E668" s="108"/>
      <c r="F668" s="111"/>
      <c r="G668" s="108"/>
      <c r="H668" s="108"/>
      <c r="I668" s="108"/>
      <c r="J668" s="108"/>
      <c r="K668" s="31" t="str">
        <f t="shared" ref="K668:K669" si="132">K667</f>
        <v>运营中</v>
      </c>
      <c r="L668" s="108"/>
      <c r="M668" s="108"/>
      <c r="N668" s="17"/>
      <c r="O668" s="36">
        <v>41501</v>
      </c>
      <c r="P668" s="17" t="s">
        <v>262</v>
      </c>
      <c r="Q668" s="17" t="s">
        <v>2271</v>
      </c>
      <c r="R668" s="17" t="s">
        <v>253</v>
      </c>
      <c r="S668" s="108"/>
      <c r="T668" s="108"/>
      <c r="U668" s="111"/>
      <c r="V668" s="108"/>
      <c r="W668" s="108"/>
      <c r="X668" s="108"/>
    </row>
    <row r="669" spans="1:24" s="26" customFormat="1" hidden="1">
      <c r="A669" s="33"/>
      <c r="B669" s="108"/>
      <c r="C669" s="108"/>
      <c r="D669" s="31" t="str">
        <f>D668</f>
        <v>Visualead</v>
      </c>
      <c r="E669" s="108"/>
      <c r="F669" s="111"/>
      <c r="G669" s="108"/>
      <c r="H669" s="108"/>
      <c r="I669" s="108"/>
      <c r="J669" s="108"/>
      <c r="K669" s="31" t="str">
        <f t="shared" si="132"/>
        <v>运营中</v>
      </c>
      <c r="L669" s="108"/>
      <c r="M669" s="108"/>
      <c r="N669" s="17"/>
      <c r="O669" s="36">
        <v>41000</v>
      </c>
      <c r="P669" s="12" t="s">
        <v>437</v>
      </c>
      <c r="Q669" s="17" t="s">
        <v>2352</v>
      </c>
      <c r="R669" s="17" t="s">
        <v>253</v>
      </c>
      <c r="S669" s="108"/>
      <c r="T669" s="108"/>
      <c r="U669" s="111"/>
      <c r="V669" s="108"/>
      <c r="W669" s="108"/>
      <c r="X669" s="108"/>
    </row>
    <row r="670" spans="1:24" s="26" customFormat="1" hidden="1">
      <c r="A670" s="33"/>
      <c r="B670" s="108"/>
      <c r="C670" s="108" t="s">
        <v>2353</v>
      </c>
      <c r="D670" s="31" t="s">
        <v>2354</v>
      </c>
      <c r="E670" s="107" t="s">
        <v>2355</v>
      </c>
      <c r="F670" s="111" t="s">
        <v>2356</v>
      </c>
      <c r="G670" s="107" t="s">
        <v>2357</v>
      </c>
      <c r="H670" s="108" t="s">
        <v>2358</v>
      </c>
      <c r="I670" s="108" t="s">
        <v>2359</v>
      </c>
      <c r="J670" s="107" t="s">
        <v>1041</v>
      </c>
      <c r="K670" s="31" t="s">
        <v>272</v>
      </c>
      <c r="L670" s="107" t="s">
        <v>407</v>
      </c>
      <c r="M670" s="107" t="s">
        <v>762</v>
      </c>
      <c r="N670" s="12"/>
      <c r="O670" s="36">
        <v>43354</v>
      </c>
      <c r="P670" s="17" t="s">
        <v>523</v>
      </c>
      <c r="Q670" s="17" t="s">
        <v>2360</v>
      </c>
      <c r="R670" s="12" t="s">
        <v>2361</v>
      </c>
      <c r="S670" s="108" t="s">
        <v>2362</v>
      </c>
      <c r="T670" s="108" t="s">
        <v>2363</v>
      </c>
      <c r="U670" s="110" t="s">
        <v>2364</v>
      </c>
      <c r="V670" s="107" t="s">
        <v>2365</v>
      </c>
      <c r="W670" s="108" t="s">
        <v>2366</v>
      </c>
      <c r="X670" s="108" t="s">
        <v>2367</v>
      </c>
    </row>
    <row r="671" spans="1:24" s="26" customFormat="1" hidden="1">
      <c r="A671" s="33"/>
      <c r="B671" s="108"/>
      <c r="C671" s="108"/>
      <c r="D671" s="31" t="str">
        <f t="shared" ref="D671:D677" si="133">D670</f>
        <v>极链科技Video++</v>
      </c>
      <c r="E671" s="108"/>
      <c r="F671" s="111"/>
      <c r="G671" s="108"/>
      <c r="H671" s="108"/>
      <c r="I671" s="108"/>
      <c r="J671" s="108"/>
      <c r="K671" s="31" t="str">
        <f t="shared" ref="K671:K677" si="134">K670</f>
        <v>运营中</v>
      </c>
      <c r="L671" s="108"/>
      <c r="M671" s="108"/>
      <c r="N671" s="17"/>
      <c r="O671" s="36">
        <v>43221</v>
      </c>
      <c r="P671" s="12" t="s">
        <v>285</v>
      </c>
      <c r="Q671" s="17" t="s">
        <v>2368</v>
      </c>
      <c r="R671" s="12" t="s">
        <v>2369</v>
      </c>
      <c r="S671" s="108"/>
      <c r="T671" s="108"/>
      <c r="U671" s="111"/>
      <c r="V671" s="108"/>
      <c r="W671" s="108"/>
      <c r="X671" s="108"/>
    </row>
    <row r="672" spans="1:24" s="26" customFormat="1" hidden="1">
      <c r="A672" s="33"/>
      <c r="B672" s="108"/>
      <c r="C672" s="108"/>
      <c r="D672" s="31" t="str">
        <f t="shared" si="133"/>
        <v>极链科技Video++</v>
      </c>
      <c r="E672" s="108"/>
      <c r="F672" s="111"/>
      <c r="G672" s="108"/>
      <c r="H672" s="108"/>
      <c r="I672" s="108"/>
      <c r="J672" s="108"/>
      <c r="K672" s="31" t="str">
        <f t="shared" si="134"/>
        <v>运营中</v>
      </c>
      <c r="L672" s="108"/>
      <c r="M672" s="108"/>
      <c r="N672" s="17"/>
      <c r="O672" s="36">
        <v>43206</v>
      </c>
      <c r="P672" s="17" t="s">
        <v>251</v>
      </c>
      <c r="Q672" s="17" t="s">
        <v>2370</v>
      </c>
      <c r="R672" s="12" t="s">
        <v>2371</v>
      </c>
      <c r="S672" s="108"/>
      <c r="T672" s="108"/>
      <c r="U672" s="111"/>
      <c r="V672" s="108"/>
      <c r="W672" s="108"/>
      <c r="X672" s="108"/>
    </row>
    <row r="673" spans="1:24" s="26" customFormat="1" hidden="1">
      <c r="A673" s="33"/>
      <c r="B673" s="108"/>
      <c r="C673" s="108"/>
      <c r="D673" s="31" t="str">
        <f t="shared" si="133"/>
        <v>极链科技Video++</v>
      </c>
      <c r="E673" s="108"/>
      <c r="F673" s="111"/>
      <c r="G673" s="108"/>
      <c r="H673" s="108"/>
      <c r="I673" s="108"/>
      <c r="J673" s="108"/>
      <c r="K673" s="31" t="str">
        <f t="shared" si="134"/>
        <v>运营中</v>
      </c>
      <c r="L673" s="108"/>
      <c r="M673" s="108"/>
      <c r="N673" s="17"/>
      <c r="O673" s="36">
        <v>43074</v>
      </c>
      <c r="P673" s="17" t="s">
        <v>565</v>
      </c>
      <c r="Q673" s="12" t="s">
        <v>409</v>
      </c>
      <c r="R673" s="12" t="s">
        <v>2372</v>
      </c>
      <c r="S673" s="108"/>
      <c r="T673" s="108"/>
      <c r="U673" s="111"/>
      <c r="V673" s="108"/>
      <c r="W673" s="108"/>
      <c r="X673" s="108"/>
    </row>
    <row r="674" spans="1:24" s="26" customFormat="1" hidden="1">
      <c r="A674" s="33"/>
      <c r="B674" s="108"/>
      <c r="C674" s="108"/>
      <c r="D674" s="31" t="str">
        <f t="shared" si="133"/>
        <v>极链科技Video++</v>
      </c>
      <c r="E674" s="108"/>
      <c r="F674" s="111"/>
      <c r="G674" s="108"/>
      <c r="H674" s="108"/>
      <c r="I674" s="108"/>
      <c r="J674" s="108"/>
      <c r="K674" s="31" t="str">
        <f t="shared" si="134"/>
        <v>运营中</v>
      </c>
      <c r="L674" s="108"/>
      <c r="M674" s="108"/>
      <c r="N674" s="17"/>
      <c r="O674" s="36">
        <v>42894</v>
      </c>
      <c r="P674" s="17" t="s">
        <v>257</v>
      </c>
      <c r="Q674" s="17" t="s">
        <v>2373</v>
      </c>
      <c r="R674" s="12" t="s">
        <v>455</v>
      </c>
      <c r="S674" s="108"/>
      <c r="T674" s="108"/>
      <c r="U674" s="111"/>
      <c r="V674" s="108"/>
      <c r="W674" s="108"/>
      <c r="X674" s="108"/>
    </row>
    <row r="675" spans="1:24" s="26" customFormat="1" hidden="1">
      <c r="A675" s="33"/>
      <c r="B675" s="108"/>
      <c r="C675" s="108"/>
      <c r="D675" s="31" t="str">
        <f t="shared" si="133"/>
        <v>极链科技Video++</v>
      </c>
      <c r="E675" s="108"/>
      <c r="F675" s="111"/>
      <c r="G675" s="108"/>
      <c r="H675" s="108"/>
      <c r="I675" s="108"/>
      <c r="J675" s="108"/>
      <c r="K675" s="31" t="str">
        <f t="shared" si="134"/>
        <v>运营中</v>
      </c>
      <c r="L675" s="108"/>
      <c r="M675" s="108"/>
      <c r="N675" s="17"/>
      <c r="O675" s="36">
        <v>42214</v>
      </c>
      <c r="P675" s="17" t="s">
        <v>262</v>
      </c>
      <c r="Q675" s="12" t="s">
        <v>341</v>
      </c>
      <c r="R675" s="17" t="s">
        <v>253</v>
      </c>
      <c r="S675" s="108"/>
      <c r="T675" s="108"/>
      <c r="U675" s="111"/>
      <c r="V675" s="108"/>
      <c r="W675" s="108"/>
      <c r="X675" s="108"/>
    </row>
    <row r="676" spans="1:24" s="26" customFormat="1" hidden="1">
      <c r="A676" s="33"/>
      <c r="B676" s="108"/>
      <c r="C676" s="108"/>
      <c r="D676" s="31" t="str">
        <f t="shared" si="133"/>
        <v>极链科技Video++</v>
      </c>
      <c r="E676" s="108"/>
      <c r="F676" s="111"/>
      <c r="G676" s="108"/>
      <c r="H676" s="108"/>
      <c r="I676" s="108"/>
      <c r="J676" s="108"/>
      <c r="K676" s="31" t="str">
        <f t="shared" si="134"/>
        <v>运营中</v>
      </c>
      <c r="L676" s="108"/>
      <c r="M676" s="108"/>
      <c r="N676" s="17"/>
      <c r="O676" s="36">
        <v>42034</v>
      </c>
      <c r="P676" s="12" t="s">
        <v>326</v>
      </c>
      <c r="Q676" s="17" t="s">
        <v>2374</v>
      </c>
      <c r="R676" s="12" t="s">
        <v>2375</v>
      </c>
      <c r="S676" s="108"/>
      <c r="T676" s="108"/>
      <c r="U676" s="111"/>
      <c r="V676" s="108"/>
      <c r="W676" s="108"/>
      <c r="X676" s="108"/>
    </row>
    <row r="677" spans="1:24" s="26" customFormat="1" hidden="1">
      <c r="A677" s="33"/>
      <c r="B677" s="108"/>
      <c r="C677" s="108"/>
      <c r="D677" s="31" t="str">
        <f t="shared" si="133"/>
        <v>极链科技Video++</v>
      </c>
      <c r="E677" s="108"/>
      <c r="F677" s="111"/>
      <c r="G677" s="108"/>
      <c r="H677" s="108"/>
      <c r="I677" s="108"/>
      <c r="J677" s="108"/>
      <c r="K677" s="31" t="str">
        <f t="shared" si="134"/>
        <v>运营中</v>
      </c>
      <c r="L677" s="108"/>
      <c r="M677" s="108"/>
      <c r="N677" s="17"/>
      <c r="O677" s="36">
        <v>42004</v>
      </c>
      <c r="P677" s="12" t="s">
        <v>437</v>
      </c>
      <c r="Q677" s="12" t="s">
        <v>327</v>
      </c>
      <c r="R677" s="17" t="s">
        <v>253</v>
      </c>
      <c r="S677" s="108"/>
      <c r="T677" s="108"/>
      <c r="U677" s="111"/>
      <c r="V677" s="108"/>
      <c r="W677" s="108"/>
      <c r="X677" s="108"/>
    </row>
    <row r="678" spans="1:24" s="26" customFormat="1" hidden="1">
      <c r="A678" s="33"/>
      <c r="B678" s="108"/>
      <c r="C678" s="108" t="s">
        <v>2376</v>
      </c>
      <c r="D678" s="31" t="s">
        <v>2377</v>
      </c>
      <c r="E678" s="107" t="s">
        <v>2377</v>
      </c>
      <c r="F678" s="110" t="s">
        <v>2378</v>
      </c>
      <c r="G678" s="107" t="s">
        <v>2379</v>
      </c>
      <c r="H678" s="108" t="s">
        <v>2380</v>
      </c>
      <c r="I678" s="108" t="s">
        <v>2381</v>
      </c>
      <c r="J678" s="107" t="s">
        <v>406</v>
      </c>
      <c r="K678" s="31" t="s">
        <v>272</v>
      </c>
      <c r="L678" s="107" t="s">
        <v>407</v>
      </c>
      <c r="M678" s="107" t="s">
        <v>408</v>
      </c>
      <c r="N678" s="12"/>
      <c r="O678" s="36">
        <v>44334</v>
      </c>
      <c r="P678" s="17" t="s">
        <v>251</v>
      </c>
      <c r="Q678" s="12" t="s">
        <v>409</v>
      </c>
      <c r="R678" s="12" t="s">
        <v>2382</v>
      </c>
      <c r="S678" s="108" t="s">
        <v>2383</v>
      </c>
      <c r="T678" s="108" t="s">
        <v>2384</v>
      </c>
      <c r="U678" s="110" t="s">
        <v>2385</v>
      </c>
      <c r="V678" s="107" t="s">
        <v>2386</v>
      </c>
      <c r="W678" s="108" t="s">
        <v>2387</v>
      </c>
      <c r="X678" s="108"/>
    </row>
    <row r="679" spans="1:24" s="26" customFormat="1" hidden="1">
      <c r="A679" s="33"/>
      <c r="B679" s="108"/>
      <c r="C679" s="108"/>
      <c r="D679" s="31" t="str">
        <f>D678</f>
        <v>数梦工场</v>
      </c>
      <c r="E679" s="108"/>
      <c r="F679" s="111"/>
      <c r="G679" s="108"/>
      <c r="H679" s="108"/>
      <c r="I679" s="108"/>
      <c r="J679" s="108"/>
      <c r="K679" s="31" t="str">
        <f t="shared" ref="K679:K681" si="135">K678</f>
        <v>运营中</v>
      </c>
      <c r="L679" s="108"/>
      <c r="M679" s="108"/>
      <c r="N679" s="17"/>
      <c r="O679" s="36">
        <v>43734</v>
      </c>
      <c r="P679" s="17" t="s">
        <v>257</v>
      </c>
      <c r="Q679" s="17" t="s">
        <v>1202</v>
      </c>
      <c r="R679" s="12" t="s">
        <v>2388</v>
      </c>
      <c r="S679" s="108"/>
      <c r="T679" s="108"/>
      <c r="U679" s="111"/>
      <c r="V679" s="108"/>
      <c r="W679" s="108"/>
      <c r="X679" s="108"/>
    </row>
    <row r="680" spans="1:24" s="26" customFormat="1" hidden="1">
      <c r="A680" s="33"/>
      <c r="B680" s="108"/>
      <c r="C680" s="108"/>
      <c r="D680" s="31" t="str">
        <f>D679</f>
        <v>数梦工场</v>
      </c>
      <c r="E680" s="108"/>
      <c r="F680" s="111"/>
      <c r="G680" s="108"/>
      <c r="H680" s="108"/>
      <c r="I680" s="108"/>
      <c r="J680" s="108"/>
      <c r="K680" s="31" t="str">
        <f t="shared" si="135"/>
        <v>运营中</v>
      </c>
      <c r="L680" s="108"/>
      <c r="M680" s="108"/>
      <c r="N680" s="17"/>
      <c r="O680" s="36">
        <v>42894</v>
      </c>
      <c r="P680" s="17" t="s">
        <v>262</v>
      </c>
      <c r="Q680" s="17" t="s">
        <v>2389</v>
      </c>
      <c r="R680" s="12" t="s">
        <v>2390</v>
      </c>
      <c r="S680" s="108"/>
      <c r="T680" s="108"/>
      <c r="U680" s="111"/>
      <c r="V680" s="108"/>
      <c r="W680" s="108"/>
      <c r="X680" s="108"/>
    </row>
    <row r="681" spans="1:24" s="26" customFormat="1" hidden="1">
      <c r="A681" s="33"/>
      <c r="B681" s="108"/>
      <c r="C681" s="108"/>
      <c r="D681" s="31" t="str">
        <f>D680</f>
        <v>数梦工场</v>
      </c>
      <c r="E681" s="108"/>
      <c r="F681" s="111"/>
      <c r="G681" s="108"/>
      <c r="H681" s="108"/>
      <c r="I681" s="108"/>
      <c r="J681" s="108"/>
      <c r="K681" s="31" t="str">
        <f t="shared" si="135"/>
        <v>运营中</v>
      </c>
      <c r="L681" s="108"/>
      <c r="M681" s="108"/>
      <c r="N681" s="17"/>
      <c r="O681" s="36">
        <v>42240</v>
      </c>
      <c r="P681" s="12" t="s">
        <v>326</v>
      </c>
      <c r="Q681" s="17" t="s">
        <v>2391</v>
      </c>
      <c r="R681" s="12" t="s">
        <v>2392</v>
      </c>
      <c r="S681" s="108"/>
      <c r="T681" s="108"/>
      <c r="U681" s="111"/>
      <c r="V681" s="108"/>
      <c r="W681" s="108"/>
      <c r="X681" s="108"/>
    </row>
    <row r="682" spans="1:24" s="26" customFormat="1" hidden="1">
      <c r="A682" s="33"/>
      <c r="B682" s="108"/>
      <c r="C682" s="108" t="s">
        <v>2393</v>
      </c>
      <c r="D682" s="31" t="s">
        <v>2394</v>
      </c>
      <c r="E682" s="108" t="s">
        <v>2394</v>
      </c>
      <c r="F682" s="111" t="s">
        <v>2395</v>
      </c>
      <c r="G682" s="108"/>
      <c r="H682" s="108" t="s">
        <v>2396</v>
      </c>
      <c r="I682" s="108" t="s">
        <v>2144</v>
      </c>
      <c r="J682" s="107" t="s">
        <v>1564</v>
      </c>
      <c r="K682" s="31" t="s">
        <v>272</v>
      </c>
      <c r="L682" s="107" t="s">
        <v>335</v>
      </c>
      <c r="M682" s="107" t="s">
        <v>2397</v>
      </c>
      <c r="N682" s="12"/>
      <c r="O682" s="36">
        <v>42586</v>
      </c>
      <c r="P682" s="12" t="s">
        <v>285</v>
      </c>
      <c r="Q682" s="17" t="s">
        <v>805</v>
      </c>
      <c r="R682" s="12" t="s">
        <v>240</v>
      </c>
      <c r="S682" s="108" t="s">
        <v>2398</v>
      </c>
      <c r="T682" s="108" t="s">
        <v>551</v>
      </c>
      <c r="U682" s="111"/>
      <c r="V682" s="108"/>
      <c r="W682" s="108"/>
      <c r="X682" s="108"/>
    </row>
    <row r="683" spans="1:24" s="26" customFormat="1" hidden="1">
      <c r="A683" s="33"/>
      <c r="B683" s="108"/>
      <c r="C683" s="108"/>
      <c r="D683" s="31" t="str">
        <f>D682</f>
        <v>Quixey</v>
      </c>
      <c r="E683" s="108"/>
      <c r="F683" s="111"/>
      <c r="G683" s="108"/>
      <c r="H683" s="108"/>
      <c r="I683" s="108"/>
      <c r="J683" s="108"/>
      <c r="K683" s="31" t="str">
        <f t="shared" ref="K683:K686" si="136">K682</f>
        <v>运营中</v>
      </c>
      <c r="L683" s="108"/>
      <c r="M683" s="108"/>
      <c r="N683" s="17"/>
      <c r="O683" s="36">
        <v>42046</v>
      </c>
      <c r="P683" s="17" t="s">
        <v>317</v>
      </c>
      <c r="Q683" s="17" t="s">
        <v>885</v>
      </c>
      <c r="R683" s="17" t="s">
        <v>2399</v>
      </c>
      <c r="S683" s="108"/>
      <c r="T683" s="108"/>
      <c r="U683" s="111"/>
      <c r="V683" s="108"/>
      <c r="W683" s="108"/>
      <c r="X683" s="108"/>
    </row>
    <row r="684" spans="1:24" s="26" customFormat="1" hidden="1">
      <c r="A684" s="33"/>
      <c r="B684" s="108"/>
      <c r="C684" s="108"/>
      <c r="D684" s="31" t="str">
        <f>D683</f>
        <v>Quixey</v>
      </c>
      <c r="E684" s="108"/>
      <c r="F684" s="111"/>
      <c r="G684" s="108"/>
      <c r="H684" s="108"/>
      <c r="I684" s="108"/>
      <c r="J684" s="108"/>
      <c r="K684" s="31" t="str">
        <f t="shared" si="136"/>
        <v>运营中</v>
      </c>
      <c r="L684" s="108"/>
      <c r="M684" s="108"/>
      <c r="N684" s="17"/>
      <c r="O684" s="36">
        <v>41548</v>
      </c>
      <c r="P684" s="17" t="s">
        <v>251</v>
      </c>
      <c r="Q684" s="17" t="s">
        <v>1032</v>
      </c>
      <c r="R684" s="12" t="s">
        <v>240</v>
      </c>
      <c r="S684" s="108"/>
      <c r="T684" s="108"/>
      <c r="U684" s="111"/>
      <c r="V684" s="108"/>
      <c r="W684" s="108"/>
      <c r="X684" s="108"/>
    </row>
    <row r="685" spans="1:24" s="26" customFormat="1" hidden="1">
      <c r="A685" s="33"/>
      <c r="B685" s="108"/>
      <c r="C685" s="108"/>
      <c r="D685" s="31" t="str">
        <f>D684</f>
        <v>Quixey</v>
      </c>
      <c r="E685" s="108"/>
      <c r="F685" s="111"/>
      <c r="G685" s="108"/>
      <c r="H685" s="108"/>
      <c r="I685" s="108"/>
      <c r="J685" s="108"/>
      <c r="K685" s="31" t="str">
        <f t="shared" si="136"/>
        <v>运营中</v>
      </c>
      <c r="L685" s="108"/>
      <c r="M685" s="108"/>
      <c r="N685" s="17"/>
      <c r="O685" s="36">
        <v>41085</v>
      </c>
      <c r="P685" s="17" t="s">
        <v>257</v>
      </c>
      <c r="Q685" s="17" t="s">
        <v>458</v>
      </c>
      <c r="R685" s="17" t="s">
        <v>2400</v>
      </c>
      <c r="S685" s="108"/>
      <c r="T685" s="108"/>
      <c r="U685" s="111"/>
      <c r="V685" s="108"/>
      <c r="W685" s="108"/>
      <c r="X685" s="108"/>
    </row>
    <row r="686" spans="1:24" s="26" customFormat="1" hidden="1">
      <c r="A686" s="33"/>
      <c r="B686" s="108"/>
      <c r="C686" s="108"/>
      <c r="D686" s="31" t="str">
        <f>D685</f>
        <v>Quixey</v>
      </c>
      <c r="E686" s="108"/>
      <c r="F686" s="111"/>
      <c r="G686" s="108"/>
      <c r="H686" s="108"/>
      <c r="I686" s="108"/>
      <c r="J686" s="108"/>
      <c r="K686" s="31" t="str">
        <f t="shared" si="136"/>
        <v>运营中</v>
      </c>
      <c r="L686" s="108"/>
      <c r="M686" s="108"/>
      <c r="N686" s="17"/>
      <c r="O686" s="36">
        <v>40765</v>
      </c>
      <c r="P686" s="17" t="s">
        <v>262</v>
      </c>
      <c r="Q686" s="17" t="s">
        <v>2401</v>
      </c>
      <c r="R686" s="12" t="s">
        <v>2402</v>
      </c>
      <c r="S686" s="108"/>
      <c r="T686" s="108"/>
      <c r="U686" s="111"/>
      <c r="V686" s="108"/>
      <c r="W686" s="108"/>
      <c r="X686" s="108"/>
    </row>
    <row r="687" spans="1:24" s="26" customFormat="1" hidden="1">
      <c r="A687" s="33"/>
      <c r="B687" s="108"/>
      <c r="C687" s="108" t="s">
        <v>2403</v>
      </c>
      <c r="D687" s="31" t="s">
        <v>2404</v>
      </c>
      <c r="E687" s="107" t="s">
        <v>2404</v>
      </c>
      <c r="F687" s="110" t="s">
        <v>2405</v>
      </c>
      <c r="G687" s="107" t="s">
        <v>2406</v>
      </c>
      <c r="H687" s="108" t="s">
        <v>2407</v>
      </c>
      <c r="I687" s="108" t="s">
        <v>2176</v>
      </c>
      <c r="J687" s="107" t="s">
        <v>271</v>
      </c>
      <c r="K687" s="31" t="s">
        <v>272</v>
      </c>
      <c r="L687" s="107" t="s">
        <v>672</v>
      </c>
      <c r="M687" s="107" t="s">
        <v>673</v>
      </c>
      <c r="N687" s="12"/>
      <c r="O687" s="36">
        <v>44091</v>
      </c>
      <c r="P687" s="12" t="s">
        <v>285</v>
      </c>
      <c r="Q687" s="12" t="s">
        <v>276</v>
      </c>
      <c r="R687" s="12" t="s">
        <v>421</v>
      </c>
      <c r="S687" s="108" t="s">
        <v>2408</v>
      </c>
      <c r="T687" s="108" t="s">
        <v>2409</v>
      </c>
      <c r="U687" s="110" t="s">
        <v>2410</v>
      </c>
      <c r="V687" s="107" t="s">
        <v>2411</v>
      </c>
      <c r="W687" s="108" t="s">
        <v>2412</v>
      </c>
      <c r="X687" s="108" t="s">
        <v>2413</v>
      </c>
    </row>
    <row r="688" spans="1:24" s="26" customFormat="1" hidden="1">
      <c r="A688" s="33"/>
      <c r="B688" s="108"/>
      <c r="C688" s="108"/>
      <c r="D688" s="31" t="str">
        <f>D687</f>
        <v>天鹅到家</v>
      </c>
      <c r="E688" s="108"/>
      <c r="F688" s="111"/>
      <c r="G688" s="108"/>
      <c r="H688" s="108"/>
      <c r="I688" s="108"/>
      <c r="J688" s="108"/>
      <c r="K688" s="31" t="str">
        <f>K687</f>
        <v>运营中</v>
      </c>
      <c r="L688" s="108"/>
      <c r="M688" s="108"/>
      <c r="N688" s="17"/>
      <c r="O688" s="36">
        <v>42289</v>
      </c>
      <c r="P688" s="17" t="s">
        <v>262</v>
      </c>
      <c r="Q688" s="17" t="s">
        <v>699</v>
      </c>
      <c r="R688" s="12" t="s">
        <v>2414</v>
      </c>
      <c r="S688" s="108"/>
      <c r="T688" s="108"/>
      <c r="U688" s="111"/>
      <c r="V688" s="108"/>
      <c r="W688" s="108"/>
      <c r="X688" s="108"/>
    </row>
    <row r="689" spans="1:24" s="26" customFormat="1" hidden="1">
      <c r="A689" s="33"/>
      <c r="B689" s="108"/>
      <c r="C689" s="108" t="s">
        <v>2415</v>
      </c>
      <c r="D689" s="31" t="s">
        <v>2416</v>
      </c>
      <c r="E689" s="107" t="s">
        <v>2416</v>
      </c>
      <c r="F689" s="110" t="s">
        <v>2417</v>
      </c>
      <c r="G689" s="107" t="s">
        <v>2418</v>
      </c>
      <c r="H689" s="108" t="s">
        <v>2419</v>
      </c>
      <c r="I689" s="108" t="s">
        <v>2038</v>
      </c>
      <c r="J689" s="107" t="s">
        <v>630</v>
      </c>
      <c r="K689" s="31" t="s">
        <v>272</v>
      </c>
      <c r="L689" s="107" t="s">
        <v>386</v>
      </c>
      <c r="M689" s="107" t="s">
        <v>387</v>
      </c>
      <c r="N689" s="12">
        <v>1</v>
      </c>
      <c r="O689" s="36">
        <v>42067</v>
      </c>
      <c r="P689" s="17" t="s">
        <v>687</v>
      </c>
      <c r="Q689" s="17" t="s">
        <v>2420</v>
      </c>
      <c r="R689" s="12" t="s">
        <v>2421</v>
      </c>
      <c r="S689" s="108" t="s">
        <v>2422</v>
      </c>
      <c r="T689" s="108" t="s">
        <v>1801</v>
      </c>
      <c r="U689" s="110" t="s">
        <v>2423</v>
      </c>
      <c r="V689" s="108"/>
      <c r="W689" s="108"/>
      <c r="X689" s="108"/>
    </row>
    <row r="690" spans="1:24" s="26" customFormat="1" hidden="1">
      <c r="A690" s="33"/>
      <c r="B690" s="108"/>
      <c r="C690" s="108"/>
      <c r="D690" s="31" t="str">
        <f>D689</f>
        <v>光线传媒</v>
      </c>
      <c r="E690" s="108"/>
      <c r="F690" s="111"/>
      <c r="G690" s="108"/>
      <c r="H690" s="108"/>
      <c r="I690" s="108"/>
      <c r="J690" s="108"/>
      <c r="K690" s="31" t="str">
        <f>K689</f>
        <v>运营中</v>
      </c>
      <c r="L690" s="108"/>
      <c r="M690" s="108"/>
      <c r="N690" s="12">
        <v>1</v>
      </c>
      <c r="O690" s="36">
        <v>40758</v>
      </c>
      <c r="P690" s="17" t="s">
        <v>283</v>
      </c>
      <c r="Q690" s="17" t="s">
        <v>2424</v>
      </c>
      <c r="R690" s="17" t="s">
        <v>253</v>
      </c>
      <c r="S690" s="108"/>
      <c r="T690" s="108"/>
      <c r="U690" s="111"/>
      <c r="V690" s="108"/>
      <c r="W690" s="108"/>
      <c r="X690" s="108"/>
    </row>
    <row r="691" spans="1:24" s="26" customFormat="1" hidden="1">
      <c r="A691" s="33"/>
      <c r="B691" s="108"/>
      <c r="C691" s="108" t="s">
        <v>2425</v>
      </c>
      <c r="D691" s="31" t="s">
        <v>2426</v>
      </c>
      <c r="E691" s="107" t="s">
        <v>2426</v>
      </c>
      <c r="F691" s="110" t="s">
        <v>2427</v>
      </c>
      <c r="G691" s="107" t="s">
        <v>2428</v>
      </c>
      <c r="H691" s="108" t="s">
        <v>2429</v>
      </c>
      <c r="I691" s="108" t="s">
        <v>2430</v>
      </c>
      <c r="J691" s="107" t="s">
        <v>2431</v>
      </c>
      <c r="K691" s="31" t="s">
        <v>272</v>
      </c>
      <c r="L691" s="107" t="s">
        <v>512</v>
      </c>
      <c r="M691" s="107" t="s">
        <v>1483</v>
      </c>
      <c r="N691" s="12">
        <v>1</v>
      </c>
      <c r="O691" s="36">
        <v>43951</v>
      </c>
      <c r="P691" s="17" t="s">
        <v>687</v>
      </c>
      <c r="Q691" s="12" t="s">
        <v>409</v>
      </c>
      <c r="R691" s="12" t="s">
        <v>240</v>
      </c>
      <c r="S691" s="108" t="s">
        <v>2432</v>
      </c>
      <c r="T691" s="108" t="s">
        <v>412</v>
      </c>
      <c r="U691" s="110" t="s">
        <v>2433</v>
      </c>
      <c r="V691" s="107" t="s">
        <v>2434</v>
      </c>
      <c r="W691" s="108" t="s">
        <v>2435</v>
      </c>
      <c r="X691" s="108" t="s">
        <v>2436</v>
      </c>
    </row>
    <row r="692" spans="1:24" s="26" customFormat="1" hidden="1">
      <c r="A692" s="33"/>
      <c r="B692" s="108"/>
      <c r="C692" s="108"/>
      <c r="D692" s="31" t="str">
        <f>D691</f>
        <v>韵达股份</v>
      </c>
      <c r="E692" s="108"/>
      <c r="F692" s="111"/>
      <c r="G692" s="108"/>
      <c r="H692" s="108"/>
      <c r="I692" s="108"/>
      <c r="J692" s="108"/>
      <c r="K692" s="31" t="str">
        <f t="shared" ref="K692:K695" si="137">K691</f>
        <v>运营中</v>
      </c>
      <c r="L692" s="108"/>
      <c r="M692" s="108"/>
      <c r="N692" s="12">
        <v>1</v>
      </c>
      <c r="O692" s="36">
        <v>42601</v>
      </c>
      <c r="P692" s="17" t="s">
        <v>283</v>
      </c>
      <c r="Q692" s="17" t="s">
        <v>2437</v>
      </c>
      <c r="R692" s="12" t="s">
        <v>2438</v>
      </c>
      <c r="S692" s="108"/>
      <c r="T692" s="108"/>
      <c r="U692" s="111"/>
      <c r="V692" s="108"/>
      <c r="W692" s="108"/>
      <c r="X692" s="108"/>
    </row>
    <row r="693" spans="1:24" s="26" customFormat="1" hidden="1">
      <c r="A693" s="33"/>
      <c r="B693" s="108"/>
      <c r="C693" s="108"/>
      <c r="D693" s="31" t="str">
        <f>D692</f>
        <v>韵达股份</v>
      </c>
      <c r="E693" s="108"/>
      <c r="F693" s="111"/>
      <c r="G693" s="108"/>
      <c r="H693" s="108"/>
      <c r="I693" s="108"/>
      <c r="J693" s="108"/>
      <c r="K693" s="31" t="str">
        <f t="shared" si="137"/>
        <v>运营中</v>
      </c>
      <c r="L693" s="108"/>
      <c r="M693" s="108"/>
      <c r="N693" s="12">
        <v>1</v>
      </c>
      <c r="O693" s="36">
        <v>42552</v>
      </c>
      <c r="P693" s="12" t="s">
        <v>471</v>
      </c>
      <c r="Q693" s="17" t="s">
        <v>2439</v>
      </c>
      <c r="R693" s="12" t="s">
        <v>2438</v>
      </c>
      <c r="S693" s="108"/>
      <c r="T693" s="108"/>
      <c r="U693" s="111"/>
      <c r="V693" s="108"/>
      <c r="W693" s="108"/>
      <c r="X693" s="108"/>
    </row>
    <row r="694" spans="1:24" s="26" customFormat="1" hidden="1">
      <c r="A694" s="33"/>
      <c r="B694" s="108"/>
      <c r="C694" s="108"/>
      <c r="D694" s="31" t="str">
        <f>D693</f>
        <v>韵达股份</v>
      </c>
      <c r="E694" s="108"/>
      <c r="F694" s="111"/>
      <c r="G694" s="108"/>
      <c r="H694" s="108"/>
      <c r="I694" s="108"/>
      <c r="J694" s="108"/>
      <c r="K694" s="31" t="str">
        <f t="shared" si="137"/>
        <v>运营中</v>
      </c>
      <c r="L694" s="108"/>
      <c r="M694" s="108"/>
      <c r="N694" s="12">
        <v>1</v>
      </c>
      <c r="O694" s="36">
        <v>42428</v>
      </c>
      <c r="P694" s="12" t="s">
        <v>285</v>
      </c>
      <c r="Q694" s="12" t="s">
        <v>252</v>
      </c>
      <c r="R694" s="12" t="s">
        <v>2440</v>
      </c>
      <c r="S694" s="108"/>
      <c r="T694" s="108"/>
      <c r="U694" s="111"/>
      <c r="V694" s="108"/>
      <c r="W694" s="108"/>
      <c r="X694" s="108"/>
    </row>
    <row r="695" spans="1:24" s="26" customFormat="1" hidden="1">
      <c r="A695" s="33"/>
      <c r="B695" s="108"/>
      <c r="C695" s="108"/>
      <c r="D695" s="31" t="str">
        <f>D694</f>
        <v>韵达股份</v>
      </c>
      <c r="E695" s="108"/>
      <c r="F695" s="111"/>
      <c r="G695" s="108"/>
      <c r="H695" s="108"/>
      <c r="I695" s="108"/>
      <c r="J695" s="108"/>
      <c r="K695" s="31" t="str">
        <f t="shared" si="137"/>
        <v>运营中</v>
      </c>
      <c r="L695" s="108"/>
      <c r="M695" s="108"/>
      <c r="N695" s="12">
        <v>1</v>
      </c>
      <c r="O695" s="36">
        <v>39147</v>
      </c>
      <c r="P695" s="17" t="s">
        <v>283</v>
      </c>
      <c r="Q695" s="17" t="s">
        <v>2441</v>
      </c>
      <c r="R695" s="17" t="s">
        <v>253</v>
      </c>
      <c r="S695" s="108"/>
      <c r="T695" s="108"/>
      <c r="U695" s="111"/>
      <c r="V695" s="108"/>
      <c r="W695" s="108"/>
      <c r="X695" s="108"/>
    </row>
    <row r="696" spans="1:24" s="26" customFormat="1" hidden="1">
      <c r="A696" s="33"/>
      <c r="B696" s="108"/>
      <c r="C696" s="108" t="s">
        <v>2442</v>
      </c>
      <c r="D696" s="31" t="s">
        <v>2443</v>
      </c>
      <c r="E696" s="108" t="s">
        <v>2443</v>
      </c>
      <c r="F696" s="111" t="s">
        <v>2444</v>
      </c>
      <c r="G696" s="108"/>
      <c r="H696" s="108" t="s">
        <v>2445</v>
      </c>
      <c r="I696" s="108" t="s">
        <v>2446</v>
      </c>
      <c r="J696" s="107" t="s">
        <v>1564</v>
      </c>
      <c r="K696" s="31" t="s">
        <v>272</v>
      </c>
      <c r="L696" s="107" t="s">
        <v>350</v>
      </c>
      <c r="M696" s="107" t="s">
        <v>617</v>
      </c>
      <c r="N696" s="12">
        <v>1</v>
      </c>
      <c r="O696" s="36">
        <v>42465</v>
      </c>
      <c r="P696" s="17" t="s">
        <v>687</v>
      </c>
      <c r="Q696" s="17" t="s">
        <v>655</v>
      </c>
      <c r="R696" s="17" t="s">
        <v>2447</v>
      </c>
      <c r="S696" s="108" t="s">
        <v>2448</v>
      </c>
      <c r="T696" s="108" t="s">
        <v>2449</v>
      </c>
      <c r="U696" s="111" t="s">
        <v>2450</v>
      </c>
      <c r="V696" s="108"/>
      <c r="W696" s="108"/>
      <c r="X696" s="108" t="s">
        <v>2451</v>
      </c>
    </row>
    <row r="697" spans="1:24" s="26" customFormat="1" hidden="1">
      <c r="A697" s="33"/>
      <c r="B697" s="108"/>
      <c r="C697" s="108"/>
      <c r="D697" s="31" t="str">
        <f>D696</f>
        <v>Groupon</v>
      </c>
      <c r="E697" s="108"/>
      <c r="F697" s="111"/>
      <c r="G697" s="108"/>
      <c r="H697" s="108"/>
      <c r="I697" s="108"/>
      <c r="J697" s="108"/>
      <c r="K697" s="31" t="str">
        <f t="shared" ref="K697:K698" si="138">K696</f>
        <v>运营中</v>
      </c>
      <c r="L697" s="108"/>
      <c r="M697" s="108"/>
      <c r="N697" s="12">
        <v>1</v>
      </c>
      <c r="O697" s="36">
        <v>42413</v>
      </c>
      <c r="P697" s="17" t="s">
        <v>687</v>
      </c>
      <c r="Q697" s="12" t="s">
        <v>299</v>
      </c>
      <c r="R697" s="12" t="s">
        <v>240</v>
      </c>
      <c r="S697" s="108"/>
      <c r="T697" s="108"/>
      <c r="U697" s="111"/>
      <c r="V697" s="108"/>
      <c r="W697" s="108"/>
      <c r="X697" s="108"/>
    </row>
    <row r="698" spans="1:24" s="26" customFormat="1" hidden="1">
      <c r="A698" s="33"/>
      <c r="B698" s="108"/>
      <c r="C698" s="108"/>
      <c r="D698" s="31" t="str">
        <f>D697</f>
        <v>Groupon</v>
      </c>
      <c r="E698" s="108"/>
      <c r="F698" s="111"/>
      <c r="G698" s="108"/>
      <c r="H698" s="108"/>
      <c r="I698" s="108"/>
      <c r="J698" s="108"/>
      <c r="K698" s="31" t="str">
        <f t="shared" si="138"/>
        <v>运营中</v>
      </c>
      <c r="L698" s="108"/>
      <c r="M698" s="108"/>
      <c r="N698" s="12">
        <v>1</v>
      </c>
      <c r="O698" s="36">
        <v>40848</v>
      </c>
      <c r="P698" s="17" t="s">
        <v>283</v>
      </c>
      <c r="Q698" s="17" t="s">
        <v>318</v>
      </c>
      <c r="R698" s="17" t="s">
        <v>253</v>
      </c>
      <c r="S698" s="108"/>
      <c r="T698" s="108"/>
      <c r="U698" s="111"/>
      <c r="V698" s="108"/>
      <c r="W698" s="108"/>
      <c r="X698" s="108"/>
    </row>
    <row r="699" spans="1:24" s="26" customFormat="1" hidden="1">
      <c r="A699" s="33"/>
      <c r="B699" s="108"/>
      <c r="C699" s="108" t="s">
        <v>2452</v>
      </c>
      <c r="D699" s="31" t="s">
        <v>2453</v>
      </c>
      <c r="E699" s="107" t="s">
        <v>2453</v>
      </c>
      <c r="F699" s="110" t="s">
        <v>2454</v>
      </c>
      <c r="G699" s="107" t="s">
        <v>2455</v>
      </c>
      <c r="H699" s="108" t="s">
        <v>2456</v>
      </c>
      <c r="I699" s="108" t="s">
        <v>1482</v>
      </c>
      <c r="J699" s="107" t="s">
        <v>385</v>
      </c>
      <c r="K699" s="31" t="s">
        <v>272</v>
      </c>
      <c r="L699" s="107" t="s">
        <v>386</v>
      </c>
      <c r="M699" s="107" t="s">
        <v>1767</v>
      </c>
      <c r="N699" s="12">
        <v>1</v>
      </c>
      <c r="O699" s="36">
        <v>44945</v>
      </c>
      <c r="P699" s="17" t="s">
        <v>283</v>
      </c>
      <c r="Q699" s="17" t="s">
        <v>2457</v>
      </c>
      <c r="R699" s="17" t="s">
        <v>253</v>
      </c>
      <c r="S699" s="108" t="s">
        <v>2458</v>
      </c>
      <c r="T699" s="108" t="s">
        <v>2459</v>
      </c>
      <c r="U699" s="110" t="s">
        <v>2460</v>
      </c>
      <c r="V699" s="107" t="s">
        <v>2461</v>
      </c>
      <c r="W699" s="108"/>
      <c r="X699" s="108"/>
    </row>
    <row r="700" spans="1:24" s="26" customFormat="1" hidden="1">
      <c r="A700" s="33"/>
      <c r="B700" s="108"/>
      <c r="C700" s="108"/>
      <c r="D700" s="31" t="str">
        <f t="shared" ref="D700:D708" si="139">D699</f>
        <v>乐华娱乐</v>
      </c>
      <c r="E700" s="108"/>
      <c r="F700" s="111"/>
      <c r="G700" s="108"/>
      <c r="H700" s="108"/>
      <c r="I700" s="108"/>
      <c r="J700" s="108"/>
      <c r="K700" s="31" t="str">
        <f t="shared" ref="K700:K708" si="140">K699</f>
        <v>运营中</v>
      </c>
      <c r="L700" s="108"/>
      <c r="M700" s="108"/>
      <c r="N700" s="12">
        <v>1</v>
      </c>
      <c r="O700" s="36">
        <v>44797</v>
      </c>
      <c r="P700" s="12" t="s">
        <v>654</v>
      </c>
      <c r="Q700" s="17" t="s">
        <v>2462</v>
      </c>
      <c r="R700" s="12" t="s">
        <v>2463</v>
      </c>
      <c r="S700" s="108"/>
      <c r="T700" s="108"/>
      <c r="U700" s="111"/>
      <c r="V700" s="108"/>
      <c r="W700" s="108"/>
      <c r="X700" s="108"/>
    </row>
    <row r="701" spans="1:24" s="26" customFormat="1" hidden="1">
      <c r="A701" s="33"/>
      <c r="B701" s="108"/>
      <c r="C701" s="108"/>
      <c r="D701" s="31" t="str">
        <f t="shared" si="139"/>
        <v>乐华娱乐</v>
      </c>
      <c r="E701" s="108"/>
      <c r="F701" s="111"/>
      <c r="G701" s="108"/>
      <c r="H701" s="108"/>
      <c r="I701" s="108"/>
      <c r="J701" s="108"/>
      <c r="K701" s="31" t="str">
        <f t="shared" si="140"/>
        <v>运营中</v>
      </c>
      <c r="L701" s="108"/>
      <c r="M701" s="108"/>
      <c r="N701" s="12">
        <v>1</v>
      </c>
      <c r="O701" s="36">
        <v>44398</v>
      </c>
      <c r="P701" s="12" t="s">
        <v>285</v>
      </c>
      <c r="Q701" s="12" t="s">
        <v>409</v>
      </c>
      <c r="R701" s="12" t="s">
        <v>2464</v>
      </c>
      <c r="S701" s="108"/>
      <c r="T701" s="108"/>
      <c r="U701" s="111"/>
      <c r="V701" s="108"/>
      <c r="W701" s="108"/>
      <c r="X701" s="108"/>
    </row>
    <row r="702" spans="1:24" s="26" customFormat="1" hidden="1">
      <c r="A702" s="33"/>
      <c r="B702" s="108"/>
      <c r="C702" s="108"/>
      <c r="D702" s="31" t="str">
        <f t="shared" si="139"/>
        <v>乐华娱乐</v>
      </c>
      <c r="E702" s="108"/>
      <c r="F702" s="111"/>
      <c r="G702" s="108"/>
      <c r="H702" s="108"/>
      <c r="I702" s="108"/>
      <c r="J702" s="108"/>
      <c r="K702" s="31" t="str">
        <f t="shared" si="140"/>
        <v>运营中</v>
      </c>
      <c r="L702" s="108"/>
      <c r="M702" s="108"/>
      <c r="N702" s="12">
        <v>1</v>
      </c>
      <c r="O702" s="36">
        <v>43313</v>
      </c>
      <c r="P702" s="12" t="s">
        <v>285</v>
      </c>
      <c r="Q702" s="17" t="s">
        <v>2465</v>
      </c>
      <c r="R702" s="12" t="s">
        <v>2466</v>
      </c>
      <c r="S702" s="108"/>
      <c r="T702" s="108"/>
      <c r="U702" s="111"/>
      <c r="V702" s="108"/>
      <c r="W702" s="108"/>
      <c r="X702" s="108"/>
    </row>
    <row r="703" spans="1:24" s="26" customFormat="1" hidden="1">
      <c r="A703" s="33"/>
      <c r="B703" s="108"/>
      <c r="C703" s="108"/>
      <c r="D703" s="31" t="str">
        <f t="shared" si="139"/>
        <v>乐华娱乐</v>
      </c>
      <c r="E703" s="108"/>
      <c r="F703" s="111"/>
      <c r="G703" s="108"/>
      <c r="H703" s="108"/>
      <c r="I703" s="108"/>
      <c r="J703" s="108"/>
      <c r="K703" s="31" t="str">
        <f t="shared" si="140"/>
        <v>运营中</v>
      </c>
      <c r="L703" s="108"/>
      <c r="M703" s="108"/>
      <c r="N703" s="12">
        <v>1</v>
      </c>
      <c r="O703" s="36">
        <v>43172</v>
      </c>
      <c r="P703" s="12" t="s">
        <v>275</v>
      </c>
      <c r="Q703" s="12" t="s">
        <v>252</v>
      </c>
      <c r="R703" s="17" t="s">
        <v>253</v>
      </c>
      <c r="S703" s="108"/>
      <c r="T703" s="108"/>
      <c r="U703" s="111"/>
      <c r="V703" s="108"/>
      <c r="W703" s="108"/>
      <c r="X703" s="108"/>
    </row>
    <row r="704" spans="1:24" s="26" customFormat="1" hidden="1">
      <c r="A704" s="33"/>
      <c r="B704" s="108"/>
      <c r="C704" s="108"/>
      <c r="D704" s="31" t="str">
        <f t="shared" si="139"/>
        <v>乐华娱乐</v>
      </c>
      <c r="E704" s="108"/>
      <c r="F704" s="111"/>
      <c r="G704" s="108"/>
      <c r="H704" s="108"/>
      <c r="I704" s="108"/>
      <c r="J704" s="108"/>
      <c r="K704" s="31" t="str">
        <f t="shared" si="140"/>
        <v>运营中</v>
      </c>
      <c r="L704" s="108"/>
      <c r="M704" s="108"/>
      <c r="N704" s="12">
        <v>1</v>
      </c>
      <c r="O704" s="36">
        <v>42342</v>
      </c>
      <c r="P704" s="12" t="s">
        <v>471</v>
      </c>
      <c r="Q704" s="17" t="s">
        <v>2467</v>
      </c>
      <c r="R704" s="12" t="s">
        <v>2468</v>
      </c>
      <c r="S704" s="108"/>
      <c r="T704" s="108"/>
      <c r="U704" s="111"/>
      <c r="V704" s="108"/>
      <c r="W704" s="108"/>
      <c r="X704" s="108"/>
    </row>
    <row r="705" spans="1:24" s="26" customFormat="1" hidden="1">
      <c r="A705" s="33"/>
      <c r="B705" s="108"/>
      <c r="C705" s="108"/>
      <c r="D705" s="31" t="str">
        <f t="shared" si="139"/>
        <v>乐华娱乐</v>
      </c>
      <c r="E705" s="108"/>
      <c r="F705" s="111"/>
      <c r="G705" s="108"/>
      <c r="H705" s="108"/>
      <c r="I705" s="108"/>
      <c r="J705" s="108"/>
      <c r="K705" s="31" t="str">
        <f t="shared" si="140"/>
        <v>运营中</v>
      </c>
      <c r="L705" s="108"/>
      <c r="M705" s="108"/>
      <c r="N705" s="12">
        <v>1</v>
      </c>
      <c r="O705" s="36">
        <v>42269</v>
      </c>
      <c r="P705" s="12" t="s">
        <v>362</v>
      </c>
      <c r="Q705" s="12" t="s">
        <v>341</v>
      </c>
      <c r="R705" s="17" t="s">
        <v>253</v>
      </c>
      <c r="S705" s="108"/>
      <c r="T705" s="108"/>
      <c r="U705" s="111"/>
      <c r="V705" s="108"/>
      <c r="W705" s="108"/>
      <c r="X705" s="108"/>
    </row>
    <row r="706" spans="1:24" s="26" customFormat="1" hidden="1">
      <c r="A706" s="33"/>
      <c r="B706" s="108"/>
      <c r="C706" s="108"/>
      <c r="D706" s="31" t="str">
        <f t="shared" si="139"/>
        <v>乐华娱乐</v>
      </c>
      <c r="E706" s="108"/>
      <c r="F706" s="111"/>
      <c r="G706" s="108"/>
      <c r="H706" s="108"/>
      <c r="I706" s="108"/>
      <c r="J706" s="108"/>
      <c r="K706" s="31" t="str">
        <f t="shared" si="140"/>
        <v>运营中</v>
      </c>
      <c r="L706" s="108"/>
      <c r="M706" s="108"/>
      <c r="N706" s="12">
        <v>1</v>
      </c>
      <c r="O706" s="36">
        <v>41857</v>
      </c>
      <c r="P706" s="17" t="s">
        <v>257</v>
      </c>
      <c r="Q706" s="17" t="s">
        <v>1115</v>
      </c>
      <c r="R706" s="17" t="s">
        <v>2469</v>
      </c>
      <c r="S706" s="108"/>
      <c r="T706" s="108"/>
      <c r="U706" s="111"/>
      <c r="V706" s="108"/>
      <c r="W706" s="108"/>
      <c r="X706" s="108"/>
    </row>
    <row r="707" spans="1:24" s="26" customFormat="1" hidden="1">
      <c r="A707" s="33"/>
      <c r="B707" s="108"/>
      <c r="C707" s="108"/>
      <c r="D707" s="31" t="str">
        <f t="shared" si="139"/>
        <v>乐华娱乐</v>
      </c>
      <c r="E707" s="108"/>
      <c r="F707" s="111"/>
      <c r="G707" s="108"/>
      <c r="H707" s="108"/>
      <c r="I707" s="108"/>
      <c r="J707" s="108"/>
      <c r="K707" s="31" t="str">
        <f t="shared" si="140"/>
        <v>运营中</v>
      </c>
      <c r="L707" s="108"/>
      <c r="M707" s="108"/>
      <c r="N707" s="12">
        <v>1</v>
      </c>
      <c r="O707" s="36">
        <v>41195</v>
      </c>
      <c r="P707" s="17" t="s">
        <v>262</v>
      </c>
      <c r="Q707" s="12" t="s">
        <v>341</v>
      </c>
      <c r="R707" s="12" t="s">
        <v>1128</v>
      </c>
      <c r="S707" s="108"/>
      <c r="T707" s="108"/>
      <c r="U707" s="111"/>
      <c r="V707" s="108"/>
      <c r="W707" s="108"/>
      <c r="X707" s="108"/>
    </row>
    <row r="708" spans="1:24" s="26" customFormat="1" hidden="1">
      <c r="A708" s="33"/>
      <c r="B708" s="108"/>
      <c r="C708" s="108"/>
      <c r="D708" s="31" t="str">
        <f t="shared" si="139"/>
        <v>乐华娱乐</v>
      </c>
      <c r="E708" s="108"/>
      <c r="F708" s="111"/>
      <c r="G708" s="108"/>
      <c r="H708" s="108"/>
      <c r="I708" s="108"/>
      <c r="J708" s="108"/>
      <c r="K708" s="31" t="str">
        <f t="shared" si="140"/>
        <v>运营中</v>
      </c>
      <c r="L708" s="108"/>
      <c r="M708" s="108"/>
      <c r="N708" s="12">
        <v>1</v>
      </c>
      <c r="O708" s="36">
        <v>39995</v>
      </c>
      <c r="P708" s="12" t="s">
        <v>326</v>
      </c>
      <c r="Q708" s="17" t="s">
        <v>2470</v>
      </c>
      <c r="R708" s="12" t="s">
        <v>2471</v>
      </c>
      <c r="S708" s="108"/>
      <c r="T708" s="108"/>
      <c r="U708" s="111"/>
      <c r="V708" s="108"/>
      <c r="W708" s="108"/>
      <c r="X708" s="108"/>
    </row>
    <row r="709" spans="1:24" s="26" customFormat="1" hidden="1">
      <c r="A709" s="33"/>
      <c r="B709" s="108"/>
      <c r="C709" s="108" t="s">
        <v>2472</v>
      </c>
      <c r="D709" s="31" t="s">
        <v>2473</v>
      </c>
      <c r="E709" s="108" t="s">
        <v>2474</v>
      </c>
      <c r="F709" s="111" t="s">
        <v>2475</v>
      </c>
      <c r="G709" s="107" t="s">
        <v>2476</v>
      </c>
      <c r="H709" s="108" t="s">
        <v>2477</v>
      </c>
      <c r="I709" s="108" t="s">
        <v>2478</v>
      </c>
      <c r="J709" s="107" t="s">
        <v>271</v>
      </c>
      <c r="K709" s="35" t="s">
        <v>248</v>
      </c>
      <c r="L709" s="107" t="s">
        <v>273</v>
      </c>
      <c r="M709" s="107" t="s">
        <v>274</v>
      </c>
      <c r="N709" s="12"/>
      <c r="O709" s="36">
        <v>43172</v>
      </c>
      <c r="P709" s="12" t="s">
        <v>285</v>
      </c>
      <c r="Q709" s="17" t="s">
        <v>2479</v>
      </c>
      <c r="R709" s="12" t="s">
        <v>2480</v>
      </c>
      <c r="S709" s="108" t="s">
        <v>2481</v>
      </c>
      <c r="T709" s="108" t="s">
        <v>2482</v>
      </c>
      <c r="U709" s="110" t="s">
        <v>2483</v>
      </c>
      <c r="V709" s="107" t="s">
        <v>2484</v>
      </c>
      <c r="W709" s="108" t="s">
        <v>2485</v>
      </c>
      <c r="X709" s="108" t="s">
        <v>2486</v>
      </c>
    </row>
    <row r="710" spans="1:24" s="26" customFormat="1" hidden="1">
      <c r="A710" s="33"/>
      <c r="B710" s="108"/>
      <c r="C710" s="108"/>
      <c r="D710" s="31" t="str">
        <f t="shared" ref="D710:D720" si="141">D709</f>
        <v>ofo小黄车</v>
      </c>
      <c r="E710" s="108"/>
      <c r="F710" s="111"/>
      <c r="G710" s="108"/>
      <c r="H710" s="108"/>
      <c r="I710" s="108"/>
      <c r="J710" s="108"/>
      <c r="K710" s="37" t="str">
        <f t="shared" ref="K710:K720" si="142">K709</f>
        <v>已关闭</v>
      </c>
      <c r="L710" s="108"/>
      <c r="M710" s="108"/>
      <c r="N710" s="17"/>
      <c r="O710" s="36">
        <v>43163</v>
      </c>
      <c r="P710" s="12" t="s">
        <v>285</v>
      </c>
      <c r="Q710" s="17" t="s">
        <v>2487</v>
      </c>
      <c r="R710" s="12" t="s">
        <v>240</v>
      </c>
      <c r="S710" s="108"/>
      <c r="T710" s="108"/>
      <c r="U710" s="111"/>
      <c r="V710" s="108"/>
      <c r="W710" s="108"/>
      <c r="X710" s="108"/>
    </row>
    <row r="711" spans="1:24" s="26" customFormat="1" hidden="1">
      <c r="A711" s="33"/>
      <c r="B711" s="108"/>
      <c r="C711" s="108"/>
      <c r="D711" s="31" t="str">
        <f t="shared" si="141"/>
        <v>ofo小黄车</v>
      </c>
      <c r="E711" s="108"/>
      <c r="F711" s="111"/>
      <c r="G711" s="108"/>
      <c r="H711" s="108"/>
      <c r="I711" s="108"/>
      <c r="J711" s="108"/>
      <c r="K711" s="37" t="str">
        <f t="shared" si="142"/>
        <v>已关闭</v>
      </c>
      <c r="L711" s="108"/>
      <c r="M711" s="108"/>
      <c r="N711" s="17"/>
      <c r="O711" s="36">
        <v>42917</v>
      </c>
      <c r="P711" s="17" t="s">
        <v>310</v>
      </c>
      <c r="Q711" s="17" t="s">
        <v>318</v>
      </c>
      <c r="R711" s="12" t="s">
        <v>2488</v>
      </c>
      <c r="S711" s="108"/>
      <c r="T711" s="108"/>
      <c r="U711" s="111"/>
      <c r="V711" s="108"/>
      <c r="W711" s="108"/>
      <c r="X711" s="108"/>
    </row>
    <row r="712" spans="1:24" s="26" customFormat="1" hidden="1">
      <c r="A712" s="33"/>
      <c r="B712" s="108"/>
      <c r="C712" s="108"/>
      <c r="D712" s="31" t="str">
        <f t="shared" si="141"/>
        <v>ofo小黄车</v>
      </c>
      <c r="E712" s="108"/>
      <c r="F712" s="111"/>
      <c r="G712" s="108"/>
      <c r="H712" s="108"/>
      <c r="I712" s="108"/>
      <c r="J712" s="108"/>
      <c r="K712" s="37" t="str">
        <f t="shared" si="142"/>
        <v>已关闭</v>
      </c>
      <c r="L712" s="108"/>
      <c r="M712" s="108"/>
      <c r="N712" s="17"/>
      <c r="O712" s="36">
        <v>42847</v>
      </c>
      <c r="P712" s="17" t="s">
        <v>315</v>
      </c>
      <c r="Q712" s="12" t="s">
        <v>299</v>
      </c>
      <c r="R712" s="12" t="s">
        <v>2229</v>
      </c>
      <c r="S712" s="108"/>
      <c r="T712" s="108"/>
      <c r="U712" s="111"/>
      <c r="V712" s="108"/>
      <c r="W712" s="108"/>
      <c r="X712" s="108"/>
    </row>
    <row r="713" spans="1:24" s="26" customFormat="1" hidden="1">
      <c r="A713" s="33"/>
      <c r="B713" s="108"/>
      <c r="C713" s="108"/>
      <c r="D713" s="31" t="str">
        <f t="shared" si="141"/>
        <v>ofo小黄车</v>
      </c>
      <c r="E713" s="108"/>
      <c r="F713" s="111"/>
      <c r="G713" s="108"/>
      <c r="H713" s="108"/>
      <c r="I713" s="108"/>
      <c r="J713" s="108"/>
      <c r="K713" s="37" t="str">
        <f t="shared" si="142"/>
        <v>已关闭</v>
      </c>
      <c r="L713" s="108"/>
      <c r="M713" s="108"/>
      <c r="N713" s="17"/>
      <c r="O713" s="36">
        <v>42795</v>
      </c>
      <c r="P713" s="17" t="s">
        <v>317</v>
      </c>
      <c r="Q713" s="17" t="s">
        <v>2122</v>
      </c>
      <c r="R713" s="12" t="s">
        <v>2489</v>
      </c>
      <c r="S713" s="108"/>
      <c r="T713" s="108"/>
      <c r="U713" s="111"/>
      <c r="V713" s="108"/>
      <c r="W713" s="108"/>
      <c r="X713" s="108"/>
    </row>
    <row r="714" spans="1:24" s="26" customFormat="1" hidden="1">
      <c r="A714" s="33"/>
      <c r="B714" s="108"/>
      <c r="C714" s="108"/>
      <c r="D714" s="31" t="str">
        <f t="shared" si="141"/>
        <v>ofo小黄车</v>
      </c>
      <c r="E714" s="108"/>
      <c r="F714" s="111"/>
      <c r="G714" s="108"/>
      <c r="H714" s="108"/>
      <c r="I714" s="108"/>
      <c r="J714" s="108"/>
      <c r="K714" s="37" t="str">
        <f t="shared" si="142"/>
        <v>已关闭</v>
      </c>
      <c r="L714" s="108"/>
      <c r="M714" s="108"/>
      <c r="N714" s="17"/>
      <c r="O714" s="36">
        <v>42653</v>
      </c>
      <c r="P714" s="17" t="s">
        <v>251</v>
      </c>
      <c r="Q714" s="17" t="s">
        <v>2490</v>
      </c>
      <c r="R714" s="12" t="s">
        <v>2491</v>
      </c>
      <c r="S714" s="108"/>
      <c r="T714" s="108"/>
      <c r="U714" s="111"/>
      <c r="V714" s="108"/>
      <c r="W714" s="108"/>
      <c r="X714" s="108"/>
    </row>
    <row r="715" spans="1:24" s="26" customFormat="1" hidden="1">
      <c r="A715" s="33"/>
      <c r="B715" s="108"/>
      <c r="C715" s="108"/>
      <c r="D715" s="31" t="str">
        <f t="shared" si="141"/>
        <v>ofo小黄车</v>
      </c>
      <c r="E715" s="108"/>
      <c r="F715" s="111"/>
      <c r="G715" s="108"/>
      <c r="H715" s="108"/>
      <c r="I715" s="108"/>
      <c r="J715" s="108"/>
      <c r="K715" s="37" t="str">
        <f t="shared" si="142"/>
        <v>已关闭</v>
      </c>
      <c r="L715" s="108"/>
      <c r="M715" s="108"/>
      <c r="N715" s="17"/>
      <c r="O715" s="36">
        <v>42639</v>
      </c>
      <c r="P715" s="17" t="s">
        <v>565</v>
      </c>
      <c r="Q715" s="12" t="s">
        <v>258</v>
      </c>
      <c r="R715" s="12" t="s">
        <v>266</v>
      </c>
      <c r="S715" s="108"/>
      <c r="T715" s="108"/>
      <c r="U715" s="111"/>
      <c r="V715" s="108"/>
      <c r="W715" s="108"/>
      <c r="X715" s="108"/>
    </row>
    <row r="716" spans="1:24" s="26" customFormat="1" hidden="1">
      <c r="A716" s="33"/>
      <c r="B716" s="108"/>
      <c r="C716" s="108"/>
      <c r="D716" s="31" t="str">
        <f t="shared" si="141"/>
        <v>ofo小黄车</v>
      </c>
      <c r="E716" s="108"/>
      <c r="F716" s="111"/>
      <c r="G716" s="108"/>
      <c r="H716" s="108"/>
      <c r="I716" s="108"/>
      <c r="J716" s="108"/>
      <c r="K716" s="37" t="str">
        <f t="shared" si="142"/>
        <v>已关闭</v>
      </c>
      <c r="L716" s="108"/>
      <c r="M716" s="108"/>
      <c r="N716" s="17"/>
      <c r="O716" s="36">
        <v>42615</v>
      </c>
      <c r="P716" s="17" t="s">
        <v>257</v>
      </c>
      <c r="Q716" s="12" t="s">
        <v>258</v>
      </c>
      <c r="R716" s="12" t="s">
        <v>2492</v>
      </c>
      <c r="S716" s="108"/>
      <c r="T716" s="108"/>
      <c r="U716" s="111"/>
      <c r="V716" s="108"/>
      <c r="W716" s="108"/>
      <c r="X716" s="108"/>
    </row>
    <row r="717" spans="1:24" s="26" customFormat="1" hidden="1">
      <c r="A717" s="33"/>
      <c r="B717" s="108"/>
      <c r="C717" s="108"/>
      <c r="D717" s="31" t="str">
        <f t="shared" si="141"/>
        <v>ofo小黄车</v>
      </c>
      <c r="E717" s="108"/>
      <c r="F717" s="111"/>
      <c r="G717" s="108"/>
      <c r="H717" s="108"/>
      <c r="I717" s="108"/>
      <c r="J717" s="108"/>
      <c r="K717" s="37" t="str">
        <f t="shared" si="142"/>
        <v>已关闭</v>
      </c>
      <c r="L717" s="108"/>
      <c r="M717" s="108"/>
      <c r="N717" s="17"/>
      <c r="O717" s="36">
        <v>42462</v>
      </c>
      <c r="P717" s="17" t="s">
        <v>260</v>
      </c>
      <c r="Q717" s="17" t="s">
        <v>360</v>
      </c>
      <c r="R717" s="12" t="s">
        <v>2493</v>
      </c>
      <c r="S717" s="108"/>
      <c r="T717" s="108"/>
      <c r="U717" s="111"/>
      <c r="V717" s="108"/>
      <c r="W717" s="108"/>
      <c r="X717" s="108"/>
    </row>
    <row r="718" spans="1:24" s="26" customFormat="1" hidden="1">
      <c r="A718" s="33"/>
      <c r="B718" s="108"/>
      <c r="C718" s="108"/>
      <c r="D718" s="31" t="str">
        <f t="shared" si="141"/>
        <v>ofo小黄车</v>
      </c>
      <c r="E718" s="108"/>
      <c r="F718" s="111"/>
      <c r="G718" s="108"/>
      <c r="H718" s="108"/>
      <c r="I718" s="108"/>
      <c r="J718" s="108"/>
      <c r="K718" s="37" t="str">
        <f t="shared" si="142"/>
        <v>已关闭</v>
      </c>
      <c r="L718" s="108"/>
      <c r="M718" s="108"/>
      <c r="N718" s="17"/>
      <c r="O718" s="36">
        <v>42401</v>
      </c>
      <c r="P718" s="17" t="s">
        <v>262</v>
      </c>
      <c r="Q718" s="17" t="s">
        <v>2494</v>
      </c>
      <c r="R718" s="12" t="s">
        <v>2495</v>
      </c>
      <c r="S718" s="108"/>
      <c r="T718" s="108"/>
      <c r="U718" s="111"/>
      <c r="V718" s="108"/>
      <c r="W718" s="108"/>
      <c r="X718" s="108"/>
    </row>
    <row r="719" spans="1:24" s="26" customFormat="1" hidden="1">
      <c r="A719" s="33"/>
      <c r="B719" s="108"/>
      <c r="C719" s="108"/>
      <c r="D719" s="31" t="str">
        <f t="shared" si="141"/>
        <v>ofo小黄车</v>
      </c>
      <c r="E719" s="108"/>
      <c r="F719" s="111"/>
      <c r="G719" s="108"/>
      <c r="H719" s="108"/>
      <c r="I719" s="108"/>
      <c r="J719" s="108"/>
      <c r="K719" s="37" t="str">
        <f t="shared" si="142"/>
        <v>已关闭</v>
      </c>
      <c r="L719" s="108"/>
      <c r="M719" s="108"/>
      <c r="N719" s="17"/>
      <c r="O719" s="36">
        <v>42340</v>
      </c>
      <c r="P719" s="17" t="s">
        <v>721</v>
      </c>
      <c r="Q719" s="17" t="s">
        <v>2374</v>
      </c>
      <c r="R719" s="12" t="s">
        <v>2496</v>
      </c>
      <c r="S719" s="108"/>
      <c r="T719" s="108"/>
      <c r="U719" s="111"/>
      <c r="V719" s="108"/>
      <c r="W719" s="108"/>
      <c r="X719" s="108"/>
    </row>
    <row r="720" spans="1:24" s="26" customFormat="1" hidden="1">
      <c r="A720" s="33"/>
      <c r="B720" s="108"/>
      <c r="C720" s="108"/>
      <c r="D720" s="31" t="str">
        <f t="shared" si="141"/>
        <v>ofo小黄车</v>
      </c>
      <c r="E720" s="108"/>
      <c r="F720" s="111"/>
      <c r="G720" s="108"/>
      <c r="H720" s="108"/>
      <c r="I720" s="108"/>
      <c r="J720" s="108"/>
      <c r="K720" s="37" t="str">
        <f t="shared" si="142"/>
        <v>已关闭</v>
      </c>
      <c r="L720" s="108"/>
      <c r="M720" s="108"/>
      <c r="N720" s="17"/>
      <c r="O720" s="36">
        <v>42080</v>
      </c>
      <c r="P720" s="12" t="s">
        <v>326</v>
      </c>
      <c r="Q720" s="12" t="s">
        <v>327</v>
      </c>
      <c r="R720" s="12" t="s">
        <v>2497</v>
      </c>
      <c r="S720" s="108"/>
      <c r="T720" s="108"/>
      <c r="U720" s="111"/>
      <c r="V720" s="108"/>
      <c r="W720" s="108"/>
      <c r="X720" s="108"/>
    </row>
    <row r="721" spans="1:24" s="26" customFormat="1" hidden="1">
      <c r="A721" s="33"/>
      <c r="B721" s="108"/>
      <c r="C721" s="108" t="s">
        <v>2498</v>
      </c>
      <c r="D721" s="31" t="s">
        <v>2499</v>
      </c>
      <c r="E721" s="107" t="s">
        <v>2499</v>
      </c>
      <c r="F721" s="110" t="s">
        <v>2500</v>
      </c>
      <c r="G721" s="107" t="s">
        <v>2501</v>
      </c>
      <c r="H721" s="108" t="s">
        <v>2502</v>
      </c>
      <c r="I721" s="108" t="s">
        <v>2503</v>
      </c>
      <c r="J721" s="107" t="s">
        <v>406</v>
      </c>
      <c r="K721" s="31" t="s">
        <v>272</v>
      </c>
      <c r="L721" s="107" t="s">
        <v>386</v>
      </c>
      <c r="M721" s="107" t="s">
        <v>1140</v>
      </c>
      <c r="N721" s="12">
        <v>1</v>
      </c>
      <c r="O721" s="36">
        <v>44532</v>
      </c>
      <c r="P721" s="17" t="s">
        <v>283</v>
      </c>
      <c r="Q721" s="17" t="s">
        <v>2504</v>
      </c>
      <c r="R721" s="17" t="s">
        <v>253</v>
      </c>
      <c r="S721" s="108" t="s">
        <v>2505</v>
      </c>
      <c r="T721" s="108" t="s">
        <v>2506</v>
      </c>
      <c r="U721" s="110" t="s">
        <v>2507</v>
      </c>
      <c r="V721" s="107" t="s">
        <v>2508</v>
      </c>
      <c r="W721" s="108" t="s">
        <v>2509</v>
      </c>
      <c r="X721" s="108" t="s">
        <v>2510</v>
      </c>
    </row>
    <row r="722" spans="1:24" s="26" customFormat="1" hidden="1">
      <c r="A722" s="33"/>
      <c r="B722" s="108"/>
      <c r="C722" s="108"/>
      <c r="D722" s="31" t="str">
        <f>D721</f>
        <v>网易云音乐</v>
      </c>
      <c r="E722" s="108"/>
      <c r="F722" s="111"/>
      <c r="G722" s="108"/>
      <c r="H722" s="108"/>
      <c r="I722" s="108"/>
      <c r="J722" s="108"/>
      <c r="K722" s="31" t="str">
        <f t="shared" ref="K722:K725" si="143">K721</f>
        <v>运营中</v>
      </c>
      <c r="L722" s="108"/>
      <c r="M722" s="108"/>
      <c r="N722" s="12">
        <v>1</v>
      </c>
      <c r="O722" s="36">
        <v>44523</v>
      </c>
      <c r="P722" s="12" t="s">
        <v>654</v>
      </c>
      <c r="Q722" s="17" t="s">
        <v>984</v>
      </c>
      <c r="R722" s="12" t="s">
        <v>2511</v>
      </c>
      <c r="S722" s="108"/>
      <c r="T722" s="108"/>
      <c r="U722" s="111"/>
      <c r="V722" s="108"/>
      <c r="W722" s="108"/>
      <c r="X722" s="108"/>
    </row>
    <row r="723" spans="1:24" s="26" customFormat="1" hidden="1">
      <c r="A723" s="33"/>
      <c r="B723" s="108"/>
      <c r="C723" s="108"/>
      <c r="D723" s="31" t="str">
        <f>D722</f>
        <v>网易云音乐</v>
      </c>
      <c r="E723" s="108"/>
      <c r="F723" s="111"/>
      <c r="G723" s="108"/>
      <c r="H723" s="108"/>
      <c r="I723" s="108"/>
      <c r="J723" s="108"/>
      <c r="K723" s="31" t="str">
        <f t="shared" si="143"/>
        <v>运营中</v>
      </c>
      <c r="L723" s="108"/>
      <c r="M723" s="108"/>
      <c r="N723" s="12">
        <v>1</v>
      </c>
      <c r="O723" s="36">
        <v>43714</v>
      </c>
      <c r="P723" s="17" t="s">
        <v>565</v>
      </c>
      <c r="Q723" s="17" t="s">
        <v>318</v>
      </c>
      <c r="R723" s="12" t="s">
        <v>455</v>
      </c>
      <c r="S723" s="108"/>
      <c r="T723" s="108"/>
      <c r="U723" s="111"/>
      <c r="V723" s="108"/>
      <c r="W723" s="108"/>
      <c r="X723" s="108"/>
    </row>
    <row r="724" spans="1:24" s="26" customFormat="1" hidden="1">
      <c r="A724" s="33"/>
      <c r="B724" s="108"/>
      <c r="C724" s="108"/>
      <c r="D724" s="31" t="str">
        <f>D723</f>
        <v>网易云音乐</v>
      </c>
      <c r="E724" s="108"/>
      <c r="F724" s="111"/>
      <c r="G724" s="108"/>
      <c r="H724" s="108"/>
      <c r="I724" s="108"/>
      <c r="J724" s="108"/>
      <c r="K724" s="31" t="str">
        <f t="shared" si="143"/>
        <v>运营中</v>
      </c>
      <c r="L724" s="108"/>
      <c r="M724" s="108"/>
      <c r="N724" s="12">
        <v>1</v>
      </c>
      <c r="O724" s="36">
        <v>43417</v>
      </c>
      <c r="P724" s="17" t="s">
        <v>257</v>
      </c>
      <c r="Q724" s="17" t="s">
        <v>286</v>
      </c>
      <c r="R724" s="17" t="s">
        <v>2512</v>
      </c>
      <c r="S724" s="108"/>
      <c r="T724" s="108"/>
      <c r="U724" s="111"/>
      <c r="V724" s="108"/>
      <c r="W724" s="108"/>
      <c r="X724" s="108"/>
    </row>
    <row r="725" spans="1:24" s="26" customFormat="1" hidden="1">
      <c r="A725" s="33"/>
      <c r="B725" s="108"/>
      <c r="C725" s="108"/>
      <c r="D725" s="31" t="str">
        <f>D724</f>
        <v>网易云音乐</v>
      </c>
      <c r="E725" s="108"/>
      <c r="F725" s="111"/>
      <c r="G725" s="108"/>
      <c r="H725" s="108"/>
      <c r="I725" s="108"/>
      <c r="J725" s="108"/>
      <c r="K725" s="31" t="str">
        <f t="shared" si="143"/>
        <v>运营中</v>
      </c>
      <c r="L725" s="108"/>
      <c r="M725" s="108"/>
      <c r="N725" s="12">
        <v>1</v>
      </c>
      <c r="O725" s="36">
        <v>42836</v>
      </c>
      <c r="P725" s="17" t="s">
        <v>262</v>
      </c>
      <c r="Q725" s="17" t="s">
        <v>2389</v>
      </c>
      <c r="R725" s="12" t="s">
        <v>2513</v>
      </c>
      <c r="S725" s="108"/>
      <c r="T725" s="108"/>
      <c r="U725" s="111"/>
      <c r="V725" s="108"/>
      <c r="W725" s="108"/>
      <c r="X725" s="108"/>
    </row>
    <row r="726" spans="1:24" s="26" customFormat="1" ht="36" hidden="1">
      <c r="A726" s="33"/>
      <c r="B726" s="108"/>
      <c r="C726" s="17" t="s">
        <v>740</v>
      </c>
      <c r="D726" s="38" t="s">
        <v>2514</v>
      </c>
      <c r="E726" s="12" t="s">
        <v>2514</v>
      </c>
      <c r="F726" s="32" t="s">
        <v>2515</v>
      </c>
      <c r="G726" s="12" t="s">
        <v>2516</v>
      </c>
      <c r="H726" s="17" t="s">
        <v>2517</v>
      </c>
      <c r="I726" s="17" t="s">
        <v>2518</v>
      </c>
      <c r="J726" s="12" t="s">
        <v>349</v>
      </c>
      <c r="K726" s="38" t="s">
        <v>272</v>
      </c>
      <c r="L726" s="12" t="s">
        <v>273</v>
      </c>
      <c r="M726" s="12" t="s">
        <v>2519</v>
      </c>
      <c r="N726" s="12"/>
      <c r="O726" s="36">
        <v>42490</v>
      </c>
      <c r="P726" s="12" t="s">
        <v>285</v>
      </c>
      <c r="Q726" s="12" t="s">
        <v>341</v>
      </c>
      <c r="R726" s="12" t="s">
        <v>2520</v>
      </c>
      <c r="S726" s="17" t="s">
        <v>931</v>
      </c>
      <c r="T726" s="17" t="s">
        <v>432</v>
      </c>
      <c r="U726" s="34"/>
      <c r="V726" s="17"/>
      <c r="W726" s="17"/>
      <c r="X726" s="17"/>
    </row>
    <row r="727" spans="1:24" s="26" customFormat="1" hidden="1">
      <c r="A727" s="33"/>
      <c r="B727" s="108"/>
      <c r="C727" s="108" t="s">
        <v>2521</v>
      </c>
      <c r="D727" s="31" t="s">
        <v>2522</v>
      </c>
      <c r="E727" s="107" t="s">
        <v>2522</v>
      </c>
      <c r="F727" s="110" t="s">
        <v>2523</v>
      </c>
      <c r="G727" s="107" t="s">
        <v>2524</v>
      </c>
      <c r="H727" s="108"/>
      <c r="I727" s="108" t="s">
        <v>1125</v>
      </c>
      <c r="J727" s="107" t="s">
        <v>271</v>
      </c>
      <c r="K727" s="31" t="s">
        <v>272</v>
      </c>
      <c r="L727" s="107" t="s">
        <v>407</v>
      </c>
      <c r="M727" s="107" t="s">
        <v>1170</v>
      </c>
      <c r="N727" s="12"/>
      <c r="O727" s="36">
        <v>44201</v>
      </c>
      <c r="P727" s="17" t="s">
        <v>317</v>
      </c>
      <c r="Q727" s="17" t="s">
        <v>578</v>
      </c>
      <c r="R727" s="12" t="s">
        <v>2525</v>
      </c>
      <c r="S727" s="108" t="s">
        <v>2526</v>
      </c>
      <c r="T727" s="108" t="s">
        <v>581</v>
      </c>
      <c r="U727" s="110" t="s">
        <v>2527</v>
      </c>
      <c r="V727" s="107" t="s">
        <v>2528</v>
      </c>
      <c r="W727" s="108" t="s">
        <v>2529</v>
      </c>
      <c r="X727" s="108" t="s">
        <v>2530</v>
      </c>
    </row>
    <row r="728" spans="1:24" s="26" customFormat="1" hidden="1">
      <c r="A728" s="33"/>
      <c r="B728" s="108"/>
      <c r="C728" s="108"/>
      <c r="D728" s="31" t="str">
        <f>D727</f>
        <v>安华金和</v>
      </c>
      <c r="E728" s="108"/>
      <c r="F728" s="111"/>
      <c r="G728" s="108"/>
      <c r="H728" s="108"/>
      <c r="I728" s="108"/>
      <c r="J728" s="108"/>
      <c r="K728" s="31" t="str">
        <f t="shared" ref="K728:K730" si="144">K727</f>
        <v>运营中</v>
      </c>
      <c r="L728" s="108"/>
      <c r="M728" s="108"/>
      <c r="N728" s="17"/>
      <c r="O728" s="36">
        <v>43417</v>
      </c>
      <c r="P728" s="17" t="s">
        <v>251</v>
      </c>
      <c r="Q728" s="12" t="s">
        <v>409</v>
      </c>
      <c r="R728" s="12" t="s">
        <v>2531</v>
      </c>
      <c r="S728" s="108"/>
      <c r="T728" s="108"/>
      <c r="U728" s="111"/>
      <c r="V728" s="108"/>
      <c r="W728" s="108"/>
      <c r="X728" s="108"/>
    </row>
    <row r="729" spans="1:24" s="26" customFormat="1" hidden="1">
      <c r="A729" s="33"/>
      <c r="B729" s="108"/>
      <c r="C729" s="108"/>
      <c r="D729" s="31" t="str">
        <f>D728</f>
        <v>安华金和</v>
      </c>
      <c r="E729" s="108"/>
      <c r="F729" s="111"/>
      <c r="G729" s="108"/>
      <c r="H729" s="108"/>
      <c r="I729" s="108"/>
      <c r="J729" s="108"/>
      <c r="K729" s="31" t="str">
        <f t="shared" si="144"/>
        <v>运营中</v>
      </c>
      <c r="L729" s="108"/>
      <c r="M729" s="108"/>
      <c r="N729" s="17"/>
      <c r="O729" s="36">
        <v>42543</v>
      </c>
      <c r="P729" s="17" t="s">
        <v>257</v>
      </c>
      <c r="Q729" s="17" t="s">
        <v>1164</v>
      </c>
      <c r="R729" s="12" t="s">
        <v>2532</v>
      </c>
      <c r="S729" s="108"/>
      <c r="T729" s="108"/>
      <c r="U729" s="111"/>
      <c r="V729" s="108"/>
      <c r="W729" s="108"/>
      <c r="X729" s="108"/>
    </row>
    <row r="730" spans="1:24" s="26" customFormat="1" hidden="1">
      <c r="A730" s="33"/>
      <c r="B730" s="108"/>
      <c r="C730" s="108"/>
      <c r="D730" s="31" t="str">
        <f>D729</f>
        <v>安华金和</v>
      </c>
      <c r="E730" s="108"/>
      <c r="F730" s="111"/>
      <c r="G730" s="108"/>
      <c r="H730" s="108"/>
      <c r="I730" s="108"/>
      <c r="J730" s="108"/>
      <c r="K730" s="31" t="str">
        <f t="shared" si="144"/>
        <v>运营中</v>
      </c>
      <c r="L730" s="108"/>
      <c r="M730" s="108"/>
      <c r="N730" s="17"/>
      <c r="O730" s="36">
        <v>41927</v>
      </c>
      <c r="P730" s="17" t="s">
        <v>262</v>
      </c>
      <c r="Q730" s="17" t="s">
        <v>2533</v>
      </c>
      <c r="R730" s="12" t="s">
        <v>2534</v>
      </c>
      <c r="S730" s="108"/>
      <c r="T730" s="108"/>
      <c r="U730" s="111"/>
      <c r="V730" s="108"/>
      <c r="W730" s="108"/>
      <c r="X730" s="108"/>
    </row>
    <row r="731" spans="1:24" s="26" customFormat="1" hidden="1">
      <c r="A731" s="33"/>
      <c r="B731" s="108"/>
      <c r="C731" s="108" t="s">
        <v>1401</v>
      </c>
      <c r="D731" s="31" t="s">
        <v>2535</v>
      </c>
      <c r="E731" s="107" t="s">
        <v>2535</v>
      </c>
      <c r="F731" s="110" t="s">
        <v>2536</v>
      </c>
      <c r="G731" s="107" t="s">
        <v>2537</v>
      </c>
      <c r="H731" s="108" t="s">
        <v>2538</v>
      </c>
      <c r="I731" s="108" t="s">
        <v>1471</v>
      </c>
      <c r="J731" s="107" t="s">
        <v>2539</v>
      </c>
      <c r="K731" s="31" t="s">
        <v>272</v>
      </c>
      <c r="L731" s="107" t="s">
        <v>350</v>
      </c>
      <c r="M731" s="107" t="s">
        <v>2540</v>
      </c>
      <c r="N731" s="12">
        <v>1</v>
      </c>
      <c r="O731" s="36">
        <v>44103</v>
      </c>
      <c r="P731" s="17" t="s">
        <v>283</v>
      </c>
      <c r="Q731" s="17" t="s">
        <v>2541</v>
      </c>
      <c r="R731" s="17" t="s">
        <v>253</v>
      </c>
      <c r="S731" s="108" t="s">
        <v>2542</v>
      </c>
      <c r="T731" s="108" t="s">
        <v>2543</v>
      </c>
      <c r="U731" s="110" t="s">
        <v>2544</v>
      </c>
      <c r="V731" s="107" t="s">
        <v>2545</v>
      </c>
      <c r="W731" s="108" t="s">
        <v>2546</v>
      </c>
      <c r="X731" s="108" t="s">
        <v>2547</v>
      </c>
    </row>
    <row r="732" spans="1:24" s="26" customFormat="1" hidden="1">
      <c r="A732" s="33"/>
      <c r="B732" s="108"/>
      <c r="C732" s="108"/>
      <c r="D732" s="31" t="str">
        <f>D731</f>
        <v>丽人丽妆</v>
      </c>
      <c r="E732" s="108"/>
      <c r="F732" s="111"/>
      <c r="G732" s="108"/>
      <c r="H732" s="108"/>
      <c r="I732" s="108"/>
      <c r="J732" s="108"/>
      <c r="K732" s="31" t="str">
        <f t="shared" ref="K732:K733" si="145">K731</f>
        <v>运营中</v>
      </c>
      <c r="L732" s="108"/>
      <c r="M732" s="108"/>
      <c r="N732" s="12">
        <v>1</v>
      </c>
      <c r="O732" s="36">
        <v>42097</v>
      </c>
      <c r="P732" s="17" t="s">
        <v>257</v>
      </c>
      <c r="Q732" s="17" t="s">
        <v>320</v>
      </c>
      <c r="R732" s="12" t="s">
        <v>2548</v>
      </c>
      <c r="S732" s="108"/>
      <c r="T732" s="108"/>
      <c r="U732" s="111"/>
      <c r="V732" s="108"/>
      <c r="W732" s="108"/>
      <c r="X732" s="108"/>
    </row>
    <row r="733" spans="1:24" s="26" customFormat="1" hidden="1">
      <c r="A733" s="33"/>
      <c r="B733" s="108"/>
      <c r="C733" s="108"/>
      <c r="D733" s="31" t="str">
        <f>D732</f>
        <v>丽人丽妆</v>
      </c>
      <c r="E733" s="108"/>
      <c r="F733" s="111"/>
      <c r="G733" s="108"/>
      <c r="H733" s="108"/>
      <c r="I733" s="108"/>
      <c r="J733" s="108"/>
      <c r="K733" s="31" t="str">
        <f t="shared" si="145"/>
        <v>运营中</v>
      </c>
      <c r="L733" s="108"/>
      <c r="M733" s="108"/>
      <c r="N733" s="12">
        <v>1</v>
      </c>
      <c r="O733" s="36">
        <v>41013</v>
      </c>
      <c r="P733" s="17" t="s">
        <v>262</v>
      </c>
      <c r="Q733" s="17" t="s">
        <v>337</v>
      </c>
      <c r="R733" s="12" t="s">
        <v>240</v>
      </c>
      <c r="S733" s="108"/>
      <c r="T733" s="108"/>
      <c r="U733" s="111"/>
      <c r="V733" s="108"/>
      <c r="W733" s="108"/>
      <c r="X733" s="108"/>
    </row>
    <row r="734" spans="1:24" s="26" customFormat="1" hidden="1">
      <c r="A734" s="33"/>
      <c r="B734" s="108"/>
      <c r="C734" s="108" t="s">
        <v>2549</v>
      </c>
      <c r="D734" s="31" t="s">
        <v>2550</v>
      </c>
      <c r="E734" s="108" t="s">
        <v>2550</v>
      </c>
      <c r="F734" s="111" t="s">
        <v>2551</v>
      </c>
      <c r="G734" s="108"/>
      <c r="H734" s="108" t="s">
        <v>2552</v>
      </c>
      <c r="I734" s="108" t="s">
        <v>1462</v>
      </c>
      <c r="J734" s="107" t="s">
        <v>1931</v>
      </c>
      <c r="K734" s="31" t="s">
        <v>272</v>
      </c>
      <c r="L734" s="107" t="s">
        <v>335</v>
      </c>
      <c r="M734" s="107" t="s">
        <v>2397</v>
      </c>
      <c r="N734" s="12">
        <v>1</v>
      </c>
      <c r="O734" s="36">
        <v>43549</v>
      </c>
      <c r="P734" s="12" t="s">
        <v>471</v>
      </c>
      <c r="Q734" s="12" t="s">
        <v>276</v>
      </c>
      <c r="R734" s="12" t="s">
        <v>240</v>
      </c>
      <c r="S734" s="108" t="s">
        <v>2553</v>
      </c>
      <c r="T734" s="107" t="s">
        <v>255</v>
      </c>
      <c r="U734" s="111" t="s">
        <v>2554</v>
      </c>
      <c r="V734" s="108"/>
      <c r="W734" s="108"/>
      <c r="X734" s="108"/>
    </row>
    <row r="735" spans="1:24" s="26" customFormat="1" hidden="1">
      <c r="A735" s="33"/>
      <c r="B735" s="108"/>
      <c r="C735" s="108"/>
      <c r="D735" s="31" t="str">
        <f>D734</f>
        <v>InfinityAR</v>
      </c>
      <c r="E735" s="108"/>
      <c r="F735" s="111"/>
      <c r="G735" s="108"/>
      <c r="H735" s="108"/>
      <c r="I735" s="108"/>
      <c r="J735" s="108"/>
      <c r="K735" s="31" t="str">
        <f t="shared" ref="K735:K736" si="146">K734</f>
        <v>运营中</v>
      </c>
      <c r="L735" s="108"/>
      <c r="M735" s="108"/>
      <c r="N735" s="12">
        <v>1</v>
      </c>
      <c r="O735" s="36">
        <v>42676</v>
      </c>
      <c r="P735" s="17" t="s">
        <v>565</v>
      </c>
      <c r="Q735" s="17" t="s">
        <v>1669</v>
      </c>
      <c r="R735" s="12" t="s">
        <v>240</v>
      </c>
      <c r="S735" s="108"/>
      <c r="T735" s="108"/>
      <c r="U735" s="111"/>
      <c r="V735" s="108"/>
      <c r="W735" s="108"/>
      <c r="X735" s="108"/>
    </row>
    <row r="736" spans="1:24" s="26" customFormat="1" hidden="1">
      <c r="A736" s="33"/>
      <c r="B736" s="108"/>
      <c r="C736" s="108"/>
      <c r="D736" s="31" t="str">
        <f>D735</f>
        <v>InfinityAR</v>
      </c>
      <c r="E736" s="108"/>
      <c r="F736" s="111"/>
      <c r="G736" s="108"/>
      <c r="H736" s="108"/>
      <c r="I736" s="108"/>
      <c r="J736" s="108"/>
      <c r="K736" s="31" t="str">
        <f t="shared" si="146"/>
        <v>运营中</v>
      </c>
      <c r="L736" s="108"/>
      <c r="M736" s="108"/>
      <c r="N736" s="12">
        <v>1</v>
      </c>
      <c r="O736" s="36">
        <v>42104</v>
      </c>
      <c r="P736" s="17" t="s">
        <v>257</v>
      </c>
      <c r="Q736" s="17" t="s">
        <v>460</v>
      </c>
      <c r="R736" s="17" t="s">
        <v>253</v>
      </c>
      <c r="S736" s="108"/>
      <c r="T736" s="108"/>
      <c r="U736" s="111"/>
      <c r="V736" s="108"/>
      <c r="W736" s="108"/>
      <c r="X736" s="108"/>
    </row>
    <row r="737" spans="1:24" s="26" customFormat="1" hidden="1">
      <c r="A737" s="33"/>
      <c r="B737" s="108"/>
      <c r="C737" s="108" t="s">
        <v>2555</v>
      </c>
      <c r="D737" s="31" t="s">
        <v>2556</v>
      </c>
      <c r="E737" s="107" t="s">
        <v>2556</v>
      </c>
      <c r="F737" s="110" t="s">
        <v>2557</v>
      </c>
      <c r="G737" s="107" t="s">
        <v>2558</v>
      </c>
      <c r="H737" s="108" t="s">
        <v>2559</v>
      </c>
      <c r="I737" s="108" t="s">
        <v>2010</v>
      </c>
      <c r="J737" s="107" t="s">
        <v>1192</v>
      </c>
      <c r="K737" s="31" t="s">
        <v>272</v>
      </c>
      <c r="L737" s="107" t="s">
        <v>350</v>
      </c>
      <c r="M737" s="107" t="s">
        <v>2560</v>
      </c>
      <c r="N737" s="12"/>
      <c r="O737" s="36">
        <v>43349</v>
      </c>
      <c r="P737" s="17" t="s">
        <v>251</v>
      </c>
      <c r="Q737" s="12" t="s">
        <v>409</v>
      </c>
      <c r="R737" s="12" t="s">
        <v>240</v>
      </c>
      <c r="S737" s="108" t="s">
        <v>2561</v>
      </c>
      <c r="T737" s="108" t="s">
        <v>2562</v>
      </c>
      <c r="U737" s="110" t="s">
        <v>2563</v>
      </c>
      <c r="V737" s="107" t="s">
        <v>2564</v>
      </c>
      <c r="W737" s="108" t="s">
        <v>2565</v>
      </c>
      <c r="X737" s="108" t="s">
        <v>2566</v>
      </c>
    </row>
    <row r="738" spans="1:24" s="26" customFormat="1" hidden="1">
      <c r="A738" s="33"/>
      <c r="B738" s="108"/>
      <c r="C738" s="108"/>
      <c r="D738" s="31" t="str">
        <f>D737</f>
        <v>回收宝</v>
      </c>
      <c r="E738" s="108"/>
      <c r="F738" s="111"/>
      <c r="G738" s="108"/>
      <c r="H738" s="108"/>
      <c r="I738" s="108"/>
      <c r="J738" s="108"/>
      <c r="K738" s="31" t="str">
        <f t="shared" ref="K738:K742" si="147">K737</f>
        <v>运营中</v>
      </c>
      <c r="L738" s="108"/>
      <c r="M738" s="108"/>
      <c r="N738" s="17"/>
      <c r="O738" s="36">
        <v>43008</v>
      </c>
      <c r="P738" s="17" t="s">
        <v>257</v>
      </c>
      <c r="Q738" s="17" t="s">
        <v>1115</v>
      </c>
      <c r="R738" s="12" t="s">
        <v>2567</v>
      </c>
      <c r="S738" s="108"/>
      <c r="T738" s="108"/>
      <c r="U738" s="111"/>
      <c r="V738" s="108"/>
      <c r="W738" s="108"/>
      <c r="X738" s="108"/>
    </row>
    <row r="739" spans="1:24" s="26" customFormat="1" hidden="1">
      <c r="A739" s="33"/>
      <c r="B739" s="108"/>
      <c r="C739" s="108"/>
      <c r="D739" s="31" t="str">
        <f>D738</f>
        <v>回收宝</v>
      </c>
      <c r="E739" s="108"/>
      <c r="F739" s="111"/>
      <c r="G739" s="108"/>
      <c r="H739" s="108"/>
      <c r="I739" s="108"/>
      <c r="J739" s="108"/>
      <c r="K739" s="31" t="str">
        <f t="shared" si="147"/>
        <v>运营中</v>
      </c>
      <c r="L739" s="108"/>
      <c r="M739" s="108"/>
      <c r="N739" s="17"/>
      <c r="O739" s="36">
        <v>42688</v>
      </c>
      <c r="P739" s="17" t="s">
        <v>260</v>
      </c>
      <c r="Q739" s="12" t="s">
        <v>341</v>
      </c>
      <c r="R739" s="12" t="s">
        <v>2568</v>
      </c>
      <c r="S739" s="108"/>
      <c r="T739" s="108"/>
      <c r="U739" s="111"/>
      <c r="V739" s="108"/>
      <c r="W739" s="108"/>
      <c r="X739" s="108"/>
    </row>
    <row r="740" spans="1:24" s="26" customFormat="1" hidden="1">
      <c r="A740" s="33"/>
      <c r="B740" s="108"/>
      <c r="C740" s="108"/>
      <c r="D740" s="31" t="str">
        <f>D739</f>
        <v>回收宝</v>
      </c>
      <c r="E740" s="108"/>
      <c r="F740" s="111"/>
      <c r="G740" s="108"/>
      <c r="H740" s="108"/>
      <c r="I740" s="108"/>
      <c r="J740" s="108"/>
      <c r="K740" s="31" t="str">
        <f t="shared" si="147"/>
        <v>运营中</v>
      </c>
      <c r="L740" s="108"/>
      <c r="M740" s="108"/>
      <c r="N740" s="17"/>
      <c r="O740" s="36">
        <v>42520</v>
      </c>
      <c r="P740" s="17" t="s">
        <v>262</v>
      </c>
      <c r="Q740" s="12" t="s">
        <v>252</v>
      </c>
      <c r="R740" s="12" t="s">
        <v>2569</v>
      </c>
      <c r="S740" s="108"/>
      <c r="T740" s="108"/>
      <c r="U740" s="111"/>
      <c r="V740" s="108"/>
      <c r="W740" s="108"/>
      <c r="X740" s="108"/>
    </row>
    <row r="741" spans="1:24" s="26" customFormat="1" hidden="1">
      <c r="A741" s="33"/>
      <c r="B741" s="108"/>
      <c r="C741" s="108"/>
      <c r="D741" s="31" t="str">
        <f>D740</f>
        <v>回收宝</v>
      </c>
      <c r="E741" s="108"/>
      <c r="F741" s="111"/>
      <c r="G741" s="108"/>
      <c r="H741" s="108"/>
      <c r="I741" s="108"/>
      <c r="J741" s="108"/>
      <c r="K741" s="31" t="str">
        <f t="shared" si="147"/>
        <v>运营中</v>
      </c>
      <c r="L741" s="108"/>
      <c r="M741" s="108"/>
      <c r="N741" s="17"/>
      <c r="O741" s="36">
        <v>42321</v>
      </c>
      <c r="P741" s="17" t="s">
        <v>721</v>
      </c>
      <c r="Q741" s="17" t="s">
        <v>360</v>
      </c>
      <c r="R741" s="12" t="s">
        <v>2570</v>
      </c>
      <c r="S741" s="108"/>
      <c r="T741" s="108"/>
      <c r="U741" s="111"/>
      <c r="V741" s="108"/>
      <c r="W741" s="108"/>
      <c r="X741" s="108"/>
    </row>
    <row r="742" spans="1:24" s="26" customFormat="1" hidden="1">
      <c r="A742" s="33"/>
      <c r="B742" s="108"/>
      <c r="C742" s="108"/>
      <c r="D742" s="31" t="str">
        <f>D741</f>
        <v>回收宝</v>
      </c>
      <c r="E742" s="108"/>
      <c r="F742" s="111"/>
      <c r="G742" s="108"/>
      <c r="H742" s="108"/>
      <c r="I742" s="108"/>
      <c r="J742" s="108"/>
      <c r="K742" s="31" t="str">
        <f t="shared" si="147"/>
        <v>运营中</v>
      </c>
      <c r="L742" s="108"/>
      <c r="M742" s="108"/>
      <c r="N742" s="17"/>
      <c r="O742" s="36">
        <v>42243</v>
      </c>
      <c r="P742" s="12" t="s">
        <v>326</v>
      </c>
      <c r="Q742" s="17" t="s">
        <v>263</v>
      </c>
      <c r="R742" s="12" t="s">
        <v>2571</v>
      </c>
      <c r="S742" s="108"/>
      <c r="T742" s="108"/>
      <c r="U742" s="111"/>
      <c r="V742" s="108"/>
      <c r="W742" s="108"/>
      <c r="X742" s="108"/>
    </row>
    <row r="743" spans="1:24" s="26" customFormat="1" hidden="1">
      <c r="A743" s="33"/>
      <c r="B743" s="108"/>
      <c r="C743" s="108" t="s">
        <v>2572</v>
      </c>
      <c r="D743" s="31" t="s">
        <v>2573</v>
      </c>
      <c r="E743" s="108" t="s">
        <v>2573</v>
      </c>
      <c r="F743" s="111" t="s">
        <v>2574</v>
      </c>
      <c r="G743" s="108"/>
      <c r="H743" s="108" t="s">
        <v>2575</v>
      </c>
      <c r="I743" s="108" t="s">
        <v>2576</v>
      </c>
      <c r="J743" s="107" t="s">
        <v>1564</v>
      </c>
      <c r="K743" s="31" t="s">
        <v>272</v>
      </c>
      <c r="L743" s="107" t="s">
        <v>350</v>
      </c>
      <c r="M743" s="107" t="s">
        <v>617</v>
      </c>
      <c r="N743" s="12">
        <v>1</v>
      </c>
      <c r="O743" s="36">
        <v>42234</v>
      </c>
      <c r="P743" s="12" t="s">
        <v>471</v>
      </c>
      <c r="Q743" s="17" t="s">
        <v>2577</v>
      </c>
      <c r="R743" s="17" t="s">
        <v>253</v>
      </c>
      <c r="S743" s="108" t="s">
        <v>2578</v>
      </c>
      <c r="T743" s="108" t="s">
        <v>2579</v>
      </c>
      <c r="U743" s="111" t="s">
        <v>2580</v>
      </c>
      <c r="V743" s="108"/>
      <c r="W743" s="108"/>
      <c r="X743" s="108" t="s">
        <v>2581</v>
      </c>
    </row>
    <row r="744" spans="1:24" s="26" customFormat="1" hidden="1">
      <c r="A744" s="33"/>
      <c r="B744" s="108"/>
      <c r="C744" s="108"/>
      <c r="D744" s="31" t="str">
        <f>D743</f>
        <v>Zulily</v>
      </c>
      <c r="E744" s="108"/>
      <c r="F744" s="111"/>
      <c r="G744" s="108"/>
      <c r="H744" s="108"/>
      <c r="I744" s="108"/>
      <c r="J744" s="108"/>
      <c r="K744" s="31" t="str">
        <f>K743</f>
        <v>运营中</v>
      </c>
      <c r="L744" s="108"/>
      <c r="M744" s="108"/>
      <c r="N744" s="12">
        <v>1</v>
      </c>
      <c r="O744" s="36">
        <v>42135</v>
      </c>
      <c r="P744" s="12" t="s">
        <v>285</v>
      </c>
      <c r="Q744" s="17" t="s">
        <v>2582</v>
      </c>
      <c r="R744" s="12" t="s">
        <v>240</v>
      </c>
      <c r="S744" s="108"/>
      <c r="T744" s="108"/>
      <c r="U744" s="111"/>
      <c r="V744" s="108"/>
      <c r="W744" s="108"/>
      <c r="X744" s="108"/>
    </row>
    <row r="745" spans="1:24" s="26" customFormat="1" hidden="1">
      <c r="A745" s="33"/>
      <c r="B745" s="108"/>
      <c r="C745" s="108" t="s">
        <v>2583</v>
      </c>
      <c r="D745" s="31" t="s">
        <v>521</v>
      </c>
      <c r="E745" s="107" t="s">
        <v>521</v>
      </c>
      <c r="F745" s="110" t="s">
        <v>2584</v>
      </c>
      <c r="G745" s="107" t="s">
        <v>2585</v>
      </c>
      <c r="H745" s="108" t="s">
        <v>2586</v>
      </c>
      <c r="I745" s="108" t="s">
        <v>2587</v>
      </c>
      <c r="J745" s="107" t="s">
        <v>428</v>
      </c>
      <c r="K745" s="31" t="s">
        <v>272</v>
      </c>
      <c r="L745" s="107" t="s">
        <v>512</v>
      </c>
      <c r="M745" s="107" t="s">
        <v>1483</v>
      </c>
      <c r="N745" s="12">
        <v>1</v>
      </c>
      <c r="O745" s="36">
        <v>44075</v>
      </c>
      <c r="P745" s="17" t="s">
        <v>687</v>
      </c>
      <c r="Q745" s="17" t="s">
        <v>2588</v>
      </c>
      <c r="R745" s="12" t="s">
        <v>240</v>
      </c>
      <c r="S745" s="108" t="s">
        <v>2589</v>
      </c>
      <c r="T745" s="108" t="s">
        <v>2590</v>
      </c>
      <c r="U745" s="111"/>
      <c r="V745" s="108"/>
      <c r="W745" s="108"/>
      <c r="X745" s="108"/>
    </row>
    <row r="746" spans="1:24" s="26" customFormat="1" hidden="1">
      <c r="A746" s="33"/>
      <c r="B746" s="108"/>
      <c r="C746" s="108"/>
      <c r="D746" s="31" t="str">
        <f>D745</f>
        <v>圆通速递</v>
      </c>
      <c r="E746" s="108"/>
      <c r="F746" s="111"/>
      <c r="G746" s="108"/>
      <c r="H746" s="108"/>
      <c r="I746" s="108"/>
      <c r="J746" s="108"/>
      <c r="K746" s="31" t="str">
        <f t="shared" ref="K746:K747" si="148">K745</f>
        <v>运营中</v>
      </c>
      <c r="L746" s="108"/>
      <c r="M746" s="108"/>
      <c r="N746" s="12">
        <v>1</v>
      </c>
      <c r="O746" s="36">
        <v>42451</v>
      </c>
      <c r="P746" s="17" t="s">
        <v>283</v>
      </c>
      <c r="Q746" s="17" t="s">
        <v>2591</v>
      </c>
      <c r="R746" s="12" t="s">
        <v>2592</v>
      </c>
      <c r="S746" s="108"/>
      <c r="T746" s="108"/>
      <c r="U746" s="111"/>
      <c r="V746" s="108"/>
      <c r="W746" s="108"/>
      <c r="X746" s="108"/>
    </row>
    <row r="747" spans="1:24" s="26" customFormat="1" hidden="1">
      <c r="A747" s="33"/>
      <c r="B747" s="108"/>
      <c r="C747" s="108"/>
      <c r="D747" s="31" t="str">
        <f>D746</f>
        <v>圆通速递</v>
      </c>
      <c r="E747" s="108"/>
      <c r="F747" s="111"/>
      <c r="G747" s="108"/>
      <c r="H747" s="108"/>
      <c r="I747" s="108"/>
      <c r="J747" s="108"/>
      <c r="K747" s="31" t="str">
        <f t="shared" si="148"/>
        <v>运营中</v>
      </c>
      <c r="L747" s="108"/>
      <c r="M747" s="108"/>
      <c r="N747" s="12">
        <v>1</v>
      </c>
      <c r="O747" s="36">
        <v>42139</v>
      </c>
      <c r="P747" s="17" t="s">
        <v>262</v>
      </c>
      <c r="Q747" s="12" t="s">
        <v>409</v>
      </c>
      <c r="R747" s="12" t="s">
        <v>455</v>
      </c>
      <c r="S747" s="108"/>
      <c r="T747" s="108"/>
      <c r="U747" s="111"/>
      <c r="V747" s="108"/>
      <c r="W747" s="108"/>
      <c r="X747" s="108"/>
    </row>
    <row r="748" spans="1:24" s="26" customFormat="1" hidden="1">
      <c r="A748" s="33"/>
      <c r="B748" s="108"/>
      <c r="C748" s="108" t="s">
        <v>2593</v>
      </c>
      <c r="D748" s="31" t="s">
        <v>2594</v>
      </c>
      <c r="E748" s="107" t="s">
        <v>2594</v>
      </c>
      <c r="F748" s="110" t="s">
        <v>2595</v>
      </c>
      <c r="G748" s="107" t="s">
        <v>2596</v>
      </c>
      <c r="H748" s="108" t="s">
        <v>2597</v>
      </c>
      <c r="I748" s="108" t="s">
        <v>1462</v>
      </c>
      <c r="J748" s="107" t="s">
        <v>406</v>
      </c>
      <c r="K748" s="31" t="s">
        <v>272</v>
      </c>
      <c r="L748" s="107" t="s">
        <v>273</v>
      </c>
      <c r="M748" s="107" t="s">
        <v>2598</v>
      </c>
      <c r="N748" s="12"/>
      <c r="O748" s="36">
        <v>44440</v>
      </c>
      <c r="P748" s="17" t="s">
        <v>317</v>
      </c>
      <c r="Q748" s="12" t="s">
        <v>409</v>
      </c>
      <c r="R748" s="12" t="s">
        <v>2599</v>
      </c>
      <c r="S748" s="108" t="s">
        <v>2600</v>
      </c>
      <c r="T748" s="108" t="s">
        <v>2601</v>
      </c>
      <c r="U748" s="110" t="s">
        <v>2602</v>
      </c>
      <c r="V748" s="107" t="s">
        <v>2603</v>
      </c>
      <c r="W748" s="108" t="s">
        <v>2604</v>
      </c>
      <c r="X748" s="108" t="s">
        <v>2605</v>
      </c>
    </row>
    <row r="749" spans="1:24" s="26" customFormat="1" hidden="1">
      <c r="A749" s="33"/>
      <c r="B749" s="108"/>
      <c r="C749" s="108"/>
      <c r="D749" s="31" t="str">
        <f t="shared" ref="D749:D754" si="149">D748</f>
        <v>驿公里</v>
      </c>
      <c r="E749" s="108"/>
      <c r="F749" s="111"/>
      <c r="G749" s="108"/>
      <c r="H749" s="108"/>
      <c r="I749" s="108"/>
      <c r="J749" s="108"/>
      <c r="K749" s="31" t="str">
        <f t="shared" ref="K749:K754" si="150">K748</f>
        <v>运营中</v>
      </c>
      <c r="L749" s="108"/>
      <c r="M749" s="108"/>
      <c r="N749" s="17"/>
      <c r="O749" s="36">
        <v>43969</v>
      </c>
      <c r="P749" s="17" t="s">
        <v>523</v>
      </c>
      <c r="Q749" s="17" t="s">
        <v>805</v>
      </c>
      <c r="R749" s="12" t="s">
        <v>2606</v>
      </c>
      <c r="S749" s="108"/>
      <c r="T749" s="108"/>
      <c r="U749" s="111"/>
      <c r="V749" s="108"/>
      <c r="W749" s="108"/>
      <c r="X749" s="108"/>
    </row>
    <row r="750" spans="1:24" s="26" customFormat="1" hidden="1">
      <c r="A750" s="33"/>
      <c r="B750" s="108"/>
      <c r="C750" s="108"/>
      <c r="D750" s="31" t="str">
        <f t="shared" si="149"/>
        <v>驿公里</v>
      </c>
      <c r="E750" s="108"/>
      <c r="F750" s="111"/>
      <c r="G750" s="108"/>
      <c r="H750" s="108"/>
      <c r="I750" s="108"/>
      <c r="J750" s="108"/>
      <c r="K750" s="31" t="str">
        <f t="shared" si="150"/>
        <v>运营中</v>
      </c>
      <c r="L750" s="108"/>
      <c r="M750" s="108"/>
      <c r="N750" s="17"/>
      <c r="O750" s="36">
        <v>43714</v>
      </c>
      <c r="P750" s="17" t="s">
        <v>251</v>
      </c>
      <c r="Q750" s="17" t="s">
        <v>856</v>
      </c>
      <c r="R750" s="12" t="s">
        <v>2607</v>
      </c>
      <c r="S750" s="108"/>
      <c r="T750" s="108"/>
      <c r="U750" s="111"/>
      <c r="V750" s="108"/>
      <c r="W750" s="108"/>
      <c r="X750" s="108"/>
    </row>
    <row r="751" spans="1:24" s="26" customFormat="1" hidden="1">
      <c r="A751" s="33"/>
      <c r="B751" s="108"/>
      <c r="C751" s="108"/>
      <c r="D751" s="31" t="str">
        <f t="shared" si="149"/>
        <v>驿公里</v>
      </c>
      <c r="E751" s="108"/>
      <c r="F751" s="111"/>
      <c r="G751" s="108"/>
      <c r="H751" s="108"/>
      <c r="I751" s="108"/>
      <c r="J751" s="108"/>
      <c r="K751" s="31" t="str">
        <f t="shared" si="150"/>
        <v>运营中</v>
      </c>
      <c r="L751" s="108"/>
      <c r="M751" s="108"/>
      <c r="N751" s="17"/>
      <c r="O751" s="36">
        <v>43448</v>
      </c>
      <c r="P751" s="17" t="s">
        <v>257</v>
      </c>
      <c r="Q751" s="12" t="s">
        <v>252</v>
      </c>
      <c r="R751" s="12" t="s">
        <v>240</v>
      </c>
      <c r="S751" s="108"/>
      <c r="T751" s="108"/>
      <c r="U751" s="111"/>
      <c r="V751" s="108"/>
      <c r="W751" s="108"/>
      <c r="X751" s="108"/>
    </row>
    <row r="752" spans="1:24" s="26" customFormat="1" hidden="1">
      <c r="A752" s="33"/>
      <c r="B752" s="108"/>
      <c r="C752" s="108"/>
      <c r="D752" s="31" t="str">
        <f t="shared" si="149"/>
        <v>驿公里</v>
      </c>
      <c r="E752" s="108"/>
      <c r="F752" s="111"/>
      <c r="G752" s="108"/>
      <c r="H752" s="108"/>
      <c r="I752" s="108"/>
      <c r="J752" s="108"/>
      <c r="K752" s="31" t="str">
        <f t="shared" si="150"/>
        <v>运营中</v>
      </c>
      <c r="L752" s="108"/>
      <c r="M752" s="108"/>
      <c r="N752" s="17"/>
      <c r="O752" s="36">
        <v>42687</v>
      </c>
      <c r="P752" s="17" t="s">
        <v>260</v>
      </c>
      <c r="Q752" s="17" t="s">
        <v>1164</v>
      </c>
      <c r="R752" s="12" t="s">
        <v>2608</v>
      </c>
      <c r="S752" s="108"/>
      <c r="T752" s="108"/>
      <c r="U752" s="111"/>
      <c r="V752" s="108"/>
      <c r="W752" s="108"/>
      <c r="X752" s="108"/>
    </row>
    <row r="753" spans="1:24" s="26" customFormat="1" hidden="1">
      <c r="A753" s="33"/>
      <c r="B753" s="108"/>
      <c r="C753" s="108"/>
      <c r="D753" s="31" t="str">
        <f t="shared" si="149"/>
        <v>驿公里</v>
      </c>
      <c r="E753" s="108"/>
      <c r="F753" s="111"/>
      <c r="G753" s="108"/>
      <c r="H753" s="108"/>
      <c r="I753" s="108"/>
      <c r="J753" s="108"/>
      <c r="K753" s="31" t="str">
        <f t="shared" si="150"/>
        <v>运营中</v>
      </c>
      <c r="L753" s="108"/>
      <c r="M753" s="108"/>
      <c r="N753" s="17"/>
      <c r="O753" s="36">
        <v>42230</v>
      </c>
      <c r="P753" s="17" t="s">
        <v>262</v>
      </c>
      <c r="Q753" s="17" t="s">
        <v>639</v>
      </c>
      <c r="R753" s="12" t="s">
        <v>2609</v>
      </c>
      <c r="S753" s="108"/>
      <c r="T753" s="108"/>
      <c r="U753" s="111"/>
      <c r="V753" s="108"/>
      <c r="W753" s="108"/>
      <c r="X753" s="108"/>
    </row>
    <row r="754" spans="1:24" s="26" customFormat="1" hidden="1">
      <c r="A754" s="33"/>
      <c r="B754" s="108"/>
      <c r="C754" s="108"/>
      <c r="D754" s="31" t="str">
        <f t="shared" si="149"/>
        <v>驿公里</v>
      </c>
      <c r="E754" s="108"/>
      <c r="F754" s="111"/>
      <c r="G754" s="108"/>
      <c r="H754" s="108"/>
      <c r="I754" s="108"/>
      <c r="J754" s="108"/>
      <c r="K754" s="31" t="str">
        <f t="shared" si="150"/>
        <v>运营中</v>
      </c>
      <c r="L754" s="108"/>
      <c r="M754" s="108"/>
      <c r="N754" s="17"/>
      <c r="O754" s="36">
        <v>41819</v>
      </c>
      <c r="P754" s="12" t="s">
        <v>326</v>
      </c>
      <c r="Q754" s="17" t="s">
        <v>2610</v>
      </c>
      <c r="R754" s="12" t="s">
        <v>2609</v>
      </c>
      <c r="S754" s="108"/>
      <c r="T754" s="108"/>
      <c r="U754" s="111"/>
      <c r="V754" s="108"/>
      <c r="W754" s="108"/>
      <c r="X754" s="108"/>
    </row>
    <row r="755" spans="1:24" s="26" customFormat="1" hidden="1">
      <c r="A755" s="33"/>
      <c r="B755" s="108"/>
      <c r="C755" s="108" t="s">
        <v>2611</v>
      </c>
      <c r="D755" s="31" t="s">
        <v>2612</v>
      </c>
      <c r="E755" s="108" t="s">
        <v>2612</v>
      </c>
      <c r="F755" s="111" t="s">
        <v>2613</v>
      </c>
      <c r="G755" s="108"/>
      <c r="H755" s="108" t="s">
        <v>2614</v>
      </c>
      <c r="I755" s="108" t="s">
        <v>1944</v>
      </c>
      <c r="J755" s="107" t="s">
        <v>1564</v>
      </c>
      <c r="K755" s="31" t="s">
        <v>272</v>
      </c>
      <c r="L755" s="107" t="s">
        <v>273</v>
      </c>
      <c r="M755" s="107" t="s">
        <v>274</v>
      </c>
      <c r="N755" s="12"/>
      <c r="O755" s="36">
        <v>43126</v>
      </c>
      <c r="P755" s="17" t="s">
        <v>257</v>
      </c>
      <c r="Q755" s="17" t="s">
        <v>805</v>
      </c>
      <c r="R755" s="12" t="s">
        <v>2615</v>
      </c>
      <c r="S755" s="108" t="s">
        <v>2616</v>
      </c>
      <c r="T755" s="108" t="s">
        <v>551</v>
      </c>
      <c r="U755" s="111" t="s">
        <v>2617</v>
      </c>
      <c r="V755" s="108"/>
      <c r="W755" s="108"/>
      <c r="X755" s="108"/>
    </row>
    <row r="756" spans="1:24" s="26" customFormat="1" hidden="1">
      <c r="A756" s="33"/>
      <c r="B756" s="108"/>
      <c r="C756" s="108"/>
      <c r="D756" s="31" t="str">
        <f>D755</f>
        <v>Nexar</v>
      </c>
      <c r="E756" s="108"/>
      <c r="F756" s="111"/>
      <c r="G756" s="108"/>
      <c r="H756" s="108"/>
      <c r="I756" s="108"/>
      <c r="J756" s="108"/>
      <c r="K756" s="31" t="str">
        <f t="shared" ref="K756:K757" si="151">K755</f>
        <v>运营中</v>
      </c>
      <c r="L756" s="108"/>
      <c r="M756" s="108"/>
      <c r="N756" s="17"/>
      <c r="O756" s="36">
        <v>42542</v>
      </c>
      <c r="P756" s="17" t="s">
        <v>262</v>
      </c>
      <c r="Q756" s="17" t="s">
        <v>2618</v>
      </c>
      <c r="R756" s="17" t="s">
        <v>2619</v>
      </c>
      <c r="S756" s="108"/>
      <c r="T756" s="108"/>
      <c r="U756" s="111"/>
      <c r="V756" s="108"/>
      <c r="W756" s="108"/>
      <c r="X756" s="108"/>
    </row>
    <row r="757" spans="1:24" s="26" customFormat="1" hidden="1">
      <c r="A757" s="33"/>
      <c r="B757" s="108"/>
      <c r="C757" s="108"/>
      <c r="D757" s="31" t="str">
        <f>D756</f>
        <v>Nexar</v>
      </c>
      <c r="E757" s="108"/>
      <c r="F757" s="111"/>
      <c r="G757" s="108"/>
      <c r="H757" s="108"/>
      <c r="I757" s="108"/>
      <c r="J757" s="108"/>
      <c r="K757" s="31" t="str">
        <f t="shared" si="151"/>
        <v>运营中</v>
      </c>
      <c r="L757" s="108"/>
      <c r="M757" s="108"/>
      <c r="N757" s="17"/>
      <c r="O757" s="36">
        <v>42151</v>
      </c>
      <c r="P757" s="12" t="s">
        <v>326</v>
      </c>
      <c r="Q757" s="17" t="s">
        <v>539</v>
      </c>
      <c r="R757" s="17" t="s">
        <v>2620</v>
      </c>
      <c r="S757" s="108"/>
      <c r="T757" s="108"/>
      <c r="U757" s="111"/>
      <c r="V757" s="108"/>
      <c r="W757" s="108"/>
      <c r="X757" s="108"/>
    </row>
    <row r="758" spans="1:24" s="26" customFormat="1" hidden="1">
      <c r="A758" s="33"/>
      <c r="B758" s="108"/>
      <c r="C758" s="108" t="s">
        <v>2621</v>
      </c>
      <c r="D758" s="31" t="s">
        <v>2622</v>
      </c>
      <c r="E758" s="108" t="s">
        <v>2623</v>
      </c>
      <c r="F758" s="110" t="s">
        <v>2624</v>
      </c>
      <c r="G758" s="107" t="s">
        <v>2625</v>
      </c>
      <c r="H758" s="108" t="s">
        <v>2626</v>
      </c>
      <c r="I758" s="108" t="s">
        <v>2022</v>
      </c>
      <c r="J758" s="107" t="s">
        <v>2627</v>
      </c>
      <c r="K758" s="31" t="s">
        <v>272</v>
      </c>
      <c r="L758" s="107" t="s">
        <v>944</v>
      </c>
      <c r="M758" s="107" t="s">
        <v>945</v>
      </c>
      <c r="N758" s="12"/>
      <c r="O758" s="36">
        <v>43839</v>
      </c>
      <c r="P758" s="17" t="s">
        <v>260</v>
      </c>
      <c r="Q758" s="12" t="s">
        <v>341</v>
      </c>
      <c r="R758" s="12" t="s">
        <v>2628</v>
      </c>
      <c r="S758" s="108" t="s">
        <v>2629</v>
      </c>
      <c r="T758" s="108" t="s">
        <v>432</v>
      </c>
      <c r="U758" s="110" t="s">
        <v>2630</v>
      </c>
      <c r="V758" s="107" t="s">
        <v>2631</v>
      </c>
      <c r="W758" s="108" t="s">
        <v>2632</v>
      </c>
      <c r="X758" s="108" t="s">
        <v>2633</v>
      </c>
    </row>
    <row r="759" spans="1:24" s="26" customFormat="1" hidden="1">
      <c r="A759" s="33"/>
      <c r="B759" s="108"/>
      <c r="C759" s="108"/>
      <c r="D759" s="31" t="str">
        <f>D758</f>
        <v>RoboMing明机器人</v>
      </c>
      <c r="E759" s="108"/>
      <c r="F759" s="111"/>
      <c r="G759" s="108"/>
      <c r="H759" s="108"/>
      <c r="I759" s="108"/>
      <c r="J759" s="108"/>
      <c r="K759" s="31" t="str">
        <f t="shared" ref="K759:K760" si="152">K758</f>
        <v>运营中</v>
      </c>
      <c r="L759" s="108"/>
      <c r="M759" s="108"/>
      <c r="N759" s="17"/>
      <c r="O759" s="36">
        <v>43355</v>
      </c>
      <c r="P759" s="17" t="s">
        <v>262</v>
      </c>
      <c r="Q759" s="12" t="s">
        <v>327</v>
      </c>
      <c r="R759" s="12" t="s">
        <v>2634</v>
      </c>
      <c r="S759" s="108"/>
      <c r="T759" s="108"/>
      <c r="U759" s="111"/>
      <c r="V759" s="108"/>
      <c r="W759" s="108"/>
      <c r="X759" s="108"/>
    </row>
    <row r="760" spans="1:24" s="26" customFormat="1" hidden="1">
      <c r="A760" s="33"/>
      <c r="B760" s="108"/>
      <c r="C760" s="108"/>
      <c r="D760" s="31" t="str">
        <f>D759</f>
        <v>RoboMing明机器人</v>
      </c>
      <c r="E760" s="108"/>
      <c r="F760" s="111"/>
      <c r="G760" s="108"/>
      <c r="H760" s="108"/>
      <c r="I760" s="108"/>
      <c r="J760" s="108"/>
      <c r="K760" s="31" t="str">
        <f t="shared" si="152"/>
        <v>运营中</v>
      </c>
      <c r="L760" s="108"/>
      <c r="M760" s="108"/>
      <c r="N760" s="17"/>
      <c r="O760" s="36">
        <v>41862</v>
      </c>
      <c r="P760" s="12" t="s">
        <v>326</v>
      </c>
      <c r="Q760" s="12" t="s">
        <v>327</v>
      </c>
      <c r="R760" s="12" t="s">
        <v>2635</v>
      </c>
      <c r="S760" s="108"/>
      <c r="T760" s="108"/>
      <c r="U760" s="111"/>
      <c r="V760" s="108"/>
      <c r="W760" s="108"/>
      <c r="X760" s="108"/>
    </row>
    <row r="761" spans="1:24" s="26" customFormat="1" hidden="1">
      <c r="A761" s="33"/>
      <c r="B761" s="108"/>
      <c r="C761" s="108" t="s">
        <v>2636</v>
      </c>
      <c r="D761" s="31" t="s">
        <v>2637</v>
      </c>
      <c r="E761" s="107" t="s">
        <v>2637</v>
      </c>
      <c r="F761" s="110" t="s">
        <v>2638</v>
      </c>
      <c r="G761" s="107" t="s">
        <v>2639</v>
      </c>
      <c r="H761" s="108" t="s">
        <v>2640</v>
      </c>
      <c r="I761" s="108" t="s">
        <v>2641</v>
      </c>
      <c r="J761" s="107" t="s">
        <v>497</v>
      </c>
      <c r="K761" s="31" t="s">
        <v>272</v>
      </c>
      <c r="L761" s="107" t="s">
        <v>1008</v>
      </c>
      <c r="M761" s="107" t="s">
        <v>1009</v>
      </c>
      <c r="N761" s="12">
        <v>1</v>
      </c>
      <c r="O761" s="36">
        <v>43299</v>
      </c>
      <c r="P761" s="17" t="s">
        <v>687</v>
      </c>
      <c r="Q761" s="17" t="s">
        <v>2642</v>
      </c>
      <c r="R761" s="12" t="s">
        <v>240</v>
      </c>
      <c r="S761" s="108" t="s">
        <v>2643</v>
      </c>
      <c r="T761" s="108" t="s">
        <v>2644</v>
      </c>
      <c r="U761" s="110" t="s">
        <v>2645</v>
      </c>
      <c r="V761" s="107" t="s">
        <v>2646</v>
      </c>
      <c r="W761" s="108" t="s">
        <v>2647</v>
      </c>
      <c r="X761" s="108"/>
    </row>
    <row r="762" spans="1:24" s="26" customFormat="1" hidden="1">
      <c r="A762" s="33"/>
      <c r="B762" s="108"/>
      <c r="C762" s="108"/>
      <c r="D762" s="31" t="str">
        <f t="shared" ref="D762:D768" si="153">D761</f>
        <v>分众传媒</v>
      </c>
      <c r="E762" s="108"/>
      <c r="F762" s="111"/>
      <c r="G762" s="108"/>
      <c r="H762" s="108"/>
      <c r="I762" s="108"/>
      <c r="J762" s="108"/>
      <c r="K762" s="31" t="str">
        <f t="shared" ref="K762:K768" si="154">K761</f>
        <v>运营中</v>
      </c>
      <c r="L762" s="108"/>
      <c r="M762" s="108"/>
      <c r="N762" s="12">
        <v>1</v>
      </c>
      <c r="O762" s="36">
        <v>42367</v>
      </c>
      <c r="P762" s="17" t="s">
        <v>283</v>
      </c>
      <c r="Q762" s="12" t="s">
        <v>252</v>
      </c>
      <c r="R762" s="17" t="s">
        <v>253</v>
      </c>
      <c r="S762" s="108"/>
      <c r="T762" s="108"/>
      <c r="U762" s="111"/>
      <c r="V762" s="108"/>
      <c r="W762" s="108"/>
      <c r="X762" s="108"/>
    </row>
    <row r="763" spans="1:24" s="26" customFormat="1" hidden="1">
      <c r="A763" s="33"/>
      <c r="B763" s="108"/>
      <c r="C763" s="108"/>
      <c r="D763" s="31" t="str">
        <f t="shared" si="153"/>
        <v>分众传媒</v>
      </c>
      <c r="E763" s="108"/>
      <c r="F763" s="111"/>
      <c r="G763" s="108"/>
      <c r="H763" s="108"/>
      <c r="I763" s="108"/>
      <c r="J763" s="108"/>
      <c r="K763" s="31" t="str">
        <f t="shared" si="154"/>
        <v>运营中</v>
      </c>
      <c r="L763" s="108"/>
      <c r="M763" s="108"/>
      <c r="N763" s="12">
        <v>1</v>
      </c>
      <c r="O763" s="36">
        <v>42175</v>
      </c>
      <c r="P763" s="12" t="s">
        <v>285</v>
      </c>
      <c r="Q763" s="17" t="s">
        <v>1115</v>
      </c>
      <c r="R763" s="12" t="s">
        <v>1699</v>
      </c>
      <c r="S763" s="108"/>
      <c r="T763" s="108"/>
      <c r="U763" s="111"/>
      <c r="V763" s="108"/>
      <c r="W763" s="108"/>
      <c r="X763" s="108"/>
    </row>
    <row r="764" spans="1:24" s="26" customFormat="1" hidden="1">
      <c r="A764" s="33"/>
      <c r="B764" s="108"/>
      <c r="C764" s="108"/>
      <c r="D764" s="31" t="str">
        <f t="shared" si="153"/>
        <v>分众传媒</v>
      </c>
      <c r="E764" s="108"/>
      <c r="F764" s="111"/>
      <c r="G764" s="108"/>
      <c r="H764" s="108"/>
      <c r="I764" s="108"/>
      <c r="J764" s="108"/>
      <c r="K764" s="31" t="str">
        <f t="shared" si="154"/>
        <v>运营中</v>
      </c>
      <c r="L764" s="108"/>
      <c r="M764" s="108"/>
      <c r="N764" s="12">
        <v>1</v>
      </c>
      <c r="O764" s="36">
        <v>41407</v>
      </c>
      <c r="P764" s="12" t="s">
        <v>285</v>
      </c>
      <c r="Q764" s="12" t="s">
        <v>299</v>
      </c>
      <c r="R764" s="12" t="s">
        <v>2648</v>
      </c>
      <c r="S764" s="108"/>
      <c r="T764" s="108"/>
      <c r="U764" s="111"/>
      <c r="V764" s="108"/>
      <c r="W764" s="108"/>
      <c r="X764" s="108"/>
    </row>
    <row r="765" spans="1:24" s="26" customFormat="1" hidden="1">
      <c r="A765" s="33"/>
      <c r="B765" s="108"/>
      <c r="C765" s="108"/>
      <c r="D765" s="31" t="str">
        <f t="shared" si="153"/>
        <v>分众传媒</v>
      </c>
      <c r="E765" s="108"/>
      <c r="F765" s="111"/>
      <c r="G765" s="108"/>
      <c r="H765" s="108"/>
      <c r="I765" s="108"/>
      <c r="J765" s="108"/>
      <c r="K765" s="31" t="str">
        <f t="shared" si="154"/>
        <v>运营中</v>
      </c>
      <c r="L765" s="108"/>
      <c r="M765" s="108"/>
      <c r="N765" s="12">
        <v>1</v>
      </c>
      <c r="O765" s="36">
        <v>41273</v>
      </c>
      <c r="P765" s="12" t="s">
        <v>275</v>
      </c>
      <c r="Q765" s="12" t="s">
        <v>276</v>
      </c>
      <c r="R765" s="12" t="s">
        <v>2649</v>
      </c>
      <c r="S765" s="108"/>
      <c r="T765" s="108"/>
      <c r="U765" s="111"/>
      <c r="V765" s="108"/>
      <c r="W765" s="108"/>
      <c r="X765" s="108"/>
    </row>
    <row r="766" spans="1:24" s="26" customFormat="1" hidden="1">
      <c r="A766" s="33"/>
      <c r="B766" s="108"/>
      <c r="C766" s="108"/>
      <c r="D766" s="31" t="str">
        <f t="shared" si="153"/>
        <v>分众传媒</v>
      </c>
      <c r="E766" s="108"/>
      <c r="F766" s="111"/>
      <c r="G766" s="108"/>
      <c r="H766" s="108"/>
      <c r="I766" s="108"/>
      <c r="J766" s="108"/>
      <c r="K766" s="31" t="str">
        <f t="shared" si="154"/>
        <v>运营中</v>
      </c>
      <c r="L766" s="108"/>
      <c r="M766" s="108"/>
      <c r="N766" s="12">
        <v>1</v>
      </c>
      <c r="O766" s="36">
        <v>38546</v>
      </c>
      <c r="P766" s="17" t="s">
        <v>283</v>
      </c>
      <c r="Q766" s="17" t="s">
        <v>2650</v>
      </c>
      <c r="R766" s="17" t="s">
        <v>253</v>
      </c>
      <c r="S766" s="108"/>
      <c r="T766" s="108"/>
      <c r="U766" s="111"/>
      <c r="V766" s="108"/>
      <c r="W766" s="108"/>
      <c r="X766" s="108"/>
    </row>
    <row r="767" spans="1:24" s="26" customFormat="1" hidden="1">
      <c r="A767" s="33"/>
      <c r="B767" s="108"/>
      <c r="C767" s="108"/>
      <c r="D767" s="31" t="str">
        <f t="shared" si="153"/>
        <v>分众传媒</v>
      </c>
      <c r="E767" s="108"/>
      <c r="F767" s="111"/>
      <c r="G767" s="108"/>
      <c r="H767" s="108"/>
      <c r="I767" s="108"/>
      <c r="J767" s="108"/>
      <c r="K767" s="31" t="str">
        <f t="shared" si="154"/>
        <v>运营中</v>
      </c>
      <c r="L767" s="108"/>
      <c r="M767" s="108"/>
      <c r="N767" s="12">
        <v>1</v>
      </c>
      <c r="O767" s="36">
        <v>37712</v>
      </c>
      <c r="P767" s="17" t="s">
        <v>262</v>
      </c>
      <c r="Q767" s="17" t="s">
        <v>676</v>
      </c>
      <c r="R767" s="12" t="s">
        <v>2651</v>
      </c>
      <c r="S767" s="108"/>
      <c r="T767" s="108"/>
      <c r="U767" s="111"/>
      <c r="V767" s="108"/>
      <c r="W767" s="108"/>
      <c r="X767" s="108"/>
    </row>
    <row r="768" spans="1:24" s="26" customFormat="1" hidden="1">
      <c r="A768" s="33"/>
      <c r="B768" s="108"/>
      <c r="C768" s="108"/>
      <c r="D768" s="31" t="str">
        <f t="shared" si="153"/>
        <v>分众传媒</v>
      </c>
      <c r="E768" s="108"/>
      <c r="F768" s="111"/>
      <c r="G768" s="108"/>
      <c r="H768" s="108"/>
      <c r="I768" s="108"/>
      <c r="J768" s="108"/>
      <c r="K768" s="31" t="str">
        <f t="shared" si="154"/>
        <v>运营中</v>
      </c>
      <c r="L768" s="108"/>
      <c r="M768" s="108"/>
      <c r="N768" s="12">
        <v>1</v>
      </c>
      <c r="O768" s="36">
        <v>37622</v>
      </c>
      <c r="P768" s="12" t="s">
        <v>326</v>
      </c>
      <c r="Q768" s="12" t="s">
        <v>252</v>
      </c>
      <c r="R768" s="12" t="s">
        <v>1143</v>
      </c>
      <c r="S768" s="108"/>
      <c r="T768" s="108"/>
      <c r="U768" s="111"/>
      <c r="V768" s="108"/>
      <c r="W768" s="108"/>
      <c r="X768" s="108"/>
    </row>
    <row r="769" spans="1:25" s="26" customFormat="1" hidden="1">
      <c r="A769" s="33"/>
      <c r="B769" s="108"/>
      <c r="C769" s="108" t="s">
        <v>2652</v>
      </c>
      <c r="D769" s="31" t="s">
        <v>2653</v>
      </c>
      <c r="E769" s="108" t="s">
        <v>2653</v>
      </c>
      <c r="F769" s="111" t="s">
        <v>2654</v>
      </c>
      <c r="G769" s="108"/>
      <c r="H769" s="108" t="s">
        <v>2655</v>
      </c>
      <c r="I769" s="108" t="s">
        <v>1158</v>
      </c>
      <c r="J769" s="107" t="s">
        <v>1931</v>
      </c>
      <c r="K769" s="31" t="s">
        <v>272</v>
      </c>
      <c r="L769" s="107" t="s">
        <v>407</v>
      </c>
      <c r="M769" s="107" t="s">
        <v>470</v>
      </c>
      <c r="N769" s="12"/>
      <c r="O769" s="36">
        <v>44006</v>
      </c>
      <c r="P769" s="17" t="s">
        <v>565</v>
      </c>
      <c r="Q769" s="17" t="s">
        <v>2656</v>
      </c>
      <c r="R769" s="17" t="s">
        <v>2657</v>
      </c>
      <c r="S769" s="108" t="s">
        <v>2658</v>
      </c>
      <c r="T769" s="108" t="s">
        <v>2659</v>
      </c>
      <c r="U769" s="111" t="s">
        <v>2660</v>
      </c>
      <c r="V769" s="108"/>
      <c r="W769" s="108"/>
      <c r="X769" s="108"/>
    </row>
    <row r="770" spans="1:25" s="26" customFormat="1" hidden="1">
      <c r="A770" s="33"/>
      <c r="B770" s="108"/>
      <c r="C770" s="108"/>
      <c r="D770" s="31" t="str">
        <f>D769</f>
        <v>SQream</v>
      </c>
      <c r="E770" s="108"/>
      <c r="F770" s="111"/>
      <c r="G770" s="108"/>
      <c r="H770" s="108"/>
      <c r="I770" s="108"/>
      <c r="J770" s="108"/>
      <c r="K770" s="31" t="str">
        <f t="shared" ref="K770:K772" si="155">K769</f>
        <v>运营中</v>
      </c>
      <c r="L770" s="108"/>
      <c r="M770" s="108"/>
      <c r="N770" s="17"/>
      <c r="O770" s="36">
        <v>43250</v>
      </c>
      <c r="P770" s="17" t="s">
        <v>257</v>
      </c>
      <c r="Q770" s="17" t="s">
        <v>2661</v>
      </c>
      <c r="R770" s="12" t="s">
        <v>2662</v>
      </c>
      <c r="S770" s="108"/>
      <c r="T770" s="108"/>
      <c r="U770" s="111"/>
      <c r="V770" s="108"/>
      <c r="W770" s="108"/>
      <c r="X770" s="108"/>
    </row>
    <row r="771" spans="1:25" s="26" customFormat="1" hidden="1">
      <c r="A771" s="33"/>
      <c r="B771" s="108"/>
      <c r="C771" s="108"/>
      <c r="D771" s="31" t="str">
        <f>D770</f>
        <v>SQream</v>
      </c>
      <c r="E771" s="108"/>
      <c r="F771" s="111"/>
      <c r="G771" s="108"/>
      <c r="H771" s="108"/>
      <c r="I771" s="108"/>
      <c r="J771" s="108"/>
      <c r="K771" s="31" t="str">
        <f t="shared" si="155"/>
        <v>运营中</v>
      </c>
      <c r="L771" s="108"/>
      <c r="M771" s="108"/>
      <c r="N771" s="17"/>
      <c r="O771" s="36">
        <v>42160</v>
      </c>
      <c r="P771" s="17" t="s">
        <v>262</v>
      </c>
      <c r="Q771" s="17" t="s">
        <v>2663</v>
      </c>
      <c r="R771" s="17" t="s">
        <v>2664</v>
      </c>
      <c r="S771" s="108"/>
      <c r="T771" s="108"/>
      <c r="U771" s="111"/>
      <c r="V771" s="108"/>
      <c r="W771" s="108"/>
      <c r="X771" s="108"/>
    </row>
    <row r="772" spans="1:25" s="26" customFormat="1" hidden="1">
      <c r="A772" s="33"/>
      <c r="B772" s="108"/>
      <c r="C772" s="108"/>
      <c r="D772" s="31" t="str">
        <f>D771</f>
        <v>SQream</v>
      </c>
      <c r="E772" s="108"/>
      <c r="F772" s="111"/>
      <c r="G772" s="108"/>
      <c r="H772" s="108"/>
      <c r="I772" s="108"/>
      <c r="J772" s="108"/>
      <c r="K772" s="31" t="str">
        <f t="shared" si="155"/>
        <v>运营中</v>
      </c>
      <c r="L772" s="108"/>
      <c r="M772" s="108"/>
      <c r="N772" s="17"/>
      <c r="O772" s="36">
        <v>40878</v>
      </c>
      <c r="P772" s="12" t="s">
        <v>437</v>
      </c>
      <c r="Q772" s="17" t="s">
        <v>2665</v>
      </c>
      <c r="R772" s="17" t="s">
        <v>2666</v>
      </c>
      <c r="S772" s="108"/>
      <c r="T772" s="108"/>
      <c r="U772" s="111"/>
      <c r="V772" s="108"/>
      <c r="W772" s="108"/>
      <c r="X772" s="108"/>
    </row>
    <row r="773" spans="1:25" s="26" customFormat="1" hidden="1">
      <c r="A773" s="33"/>
      <c r="B773" s="108"/>
      <c r="C773" s="108" t="s">
        <v>2667</v>
      </c>
      <c r="D773" s="31" t="s">
        <v>2668</v>
      </c>
      <c r="E773" s="108" t="s">
        <v>2668</v>
      </c>
      <c r="F773" s="111" t="s">
        <v>2669</v>
      </c>
      <c r="G773" s="108"/>
      <c r="H773" s="108" t="s">
        <v>2670</v>
      </c>
      <c r="I773" s="108" t="s">
        <v>2176</v>
      </c>
      <c r="J773" s="107" t="s">
        <v>1725</v>
      </c>
      <c r="K773" s="31" t="s">
        <v>272</v>
      </c>
      <c r="L773" s="107" t="s">
        <v>386</v>
      </c>
      <c r="M773" s="107" t="s">
        <v>929</v>
      </c>
      <c r="N773" s="12"/>
      <c r="O773" s="36">
        <v>43505</v>
      </c>
      <c r="P773" s="17" t="s">
        <v>257</v>
      </c>
      <c r="Q773" s="17" t="s">
        <v>2671</v>
      </c>
      <c r="R773" s="12" t="s">
        <v>2672</v>
      </c>
      <c r="S773" s="108" t="s">
        <v>2673</v>
      </c>
      <c r="T773" s="108" t="s">
        <v>2674</v>
      </c>
      <c r="U773" s="111" t="s">
        <v>2675</v>
      </c>
      <c r="V773" s="108"/>
      <c r="W773" s="108"/>
      <c r="X773" s="108"/>
    </row>
    <row r="774" spans="1:25" s="26" customFormat="1" hidden="1">
      <c r="A774" s="33"/>
      <c r="B774" s="108"/>
      <c r="C774" s="108"/>
      <c r="D774" s="31" t="str">
        <f>D773</f>
        <v>Vidooly</v>
      </c>
      <c r="E774" s="108"/>
      <c r="F774" s="111"/>
      <c r="G774" s="108"/>
      <c r="H774" s="108"/>
      <c r="I774" s="108"/>
      <c r="J774" s="108"/>
      <c r="K774" s="31" t="str">
        <f t="shared" ref="K774:K775" si="156">K773</f>
        <v>运营中</v>
      </c>
      <c r="L774" s="108"/>
      <c r="M774" s="108"/>
      <c r="N774" s="17"/>
      <c r="O774" s="36">
        <v>42866</v>
      </c>
      <c r="P774" s="17" t="s">
        <v>262</v>
      </c>
      <c r="Q774" s="17" t="s">
        <v>2676</v>
      </c>
      <c r="R774" s="17" t="s">
        <v>2677</v>
      </c>
      <c r="S774" s="108"/>
      <c r="T774" s="108"/>
      <c r="U774" s="111"/>
      <c r="V774" s="108"/>
      <c r="W774" s="108"/>
      <c r="X774" s="108"/>
    </row>
    <row r="775" spans="1:25" s="26" customFormat="1" hidden="1">
      <c r="A775" s="33"/>
      <c r="B775" s="108"/>
      <c r="C775" s="108"/>
      <c r="D775" s="31" t="str">
        <f>D774</f>
        <v>Vidooly</v>
      </c>
      <c r="E775" s="108"/>
      <c r="F775" s="111"/>
      <c r="G775" s="108"/>
      <c r="H775" s="108"/>
      <c r="I775" s="108"/>
      <c r="J775" s="108"/>
      <c r="K775" s="31" t="str">
        <f t="shared" si="156"/>
        <v>运营中</v>
      </c>
      <c r="L775" s="108"/>
      <c r="M775" s="108"/>
      <c r="N775" s="17"/>
      <c r="O775" s="36">
        <v>42159</v>
      </c>
      <c r="P775" s="12" t="s">
        <v>437</v>
      </c>
      <c r="Q775" s="17" t="s">
        <v>263</v>
      </c>
      <c r="R775" s="17" t="s">
        <v>1741</v>
      </c>
      <c r="S775" s="108"/>
      <c r="T775" s="108"/>
      <c r="U775" s="111"/>
      <c r="V775" s="108"/>
      <c r="W775" s="108"/>
      <c r="X775" s="108"/>
    </row>
    <row r="776" spans="1:25" s="26" customFormat="1" hidden="1">
      <c r="A776" s="33"/>
      <c r="B776" s="108"/>
      <c r="C776" s="108" t="s">
        <v>2678</v>
      </c>
      <c r="D776" s="31" t="s">
        <v>2679</v>
      </c>
      <c r="E776" s="107" t="s">
        <v>2679</v>
      </c>
      <c r="F776" s="110" t="s">
        <v>2680</v>
      </c>
      <c r="G776" s="107" t="s">
        <v>2681</v>
      </c>
      <c r="H776" s="108" t="s">
        <v>2682</v>
      </c>
      <c r="I776" s="108" t="s">
        <v>1462</v>
      </c>
      <c r="J776" s="107" t="s">
        <v>428</v>
      </c>
      <c r="K776" s="31" t="s">
        <v>272</v>
      </c>
      <c r="L776" s="107" t="s">
        <v>512</v>
      </c>
      <c r="M776" s="107" t="s">
        <v>2683</v>
      </c>
      <c r="N776" s="12">
        <v>1</v>
      </c>
      <c r="O776" s="36">
        <v>43298</v>
      </c>
      <c r="P776" s="12" t="s">
        <v>285</v>
      </c>
      <c r="Q776" s="17" t="s">
        <v>655</v>
      </c>
      <c r="R776" s="17" t="s">
        <v>2684</v>
      </c>
      <c r="S776" s="108" t="s">
        <v>2685</v>
      </c>
      <c r="T776" s="108" t="s">
        <v>2449</v>
      </c>
      <c r="U776" s="110" t="s">
        <v>2686</v>
      </c>
      <c r="V776" s="108"/>
      <c r="W776" s="108" t="s">
        <v>2687</v>
      </c>
      <c r="X776" s="108" t="s">
        <v>2688</v>
      </c>
    </row>
    <row r="777" spans="1:25" s="26" customFormat="1" hidden="1">
      <c r="A777" s="33"/>
      <c r="B777" s="108"/>
      <c r="C777" s="108"/>
      <c r="D777" s="31" t="str">
        <f>D776</f>
        <v>快狗速运</v>
      </c>
      <c r="E777" s="108"/>
      <c r="F777" s="111"/>
      <c r="G777" s="108"/>
      <c r="H777" s="108"/>
      <c r="I777" s="108"/>
      <c r="J777" s="108"/>
      <c r="K777" s="31" t="str">
        <f t="shared" ref="K777:K781" si="157">K776</f>
        <v>运营中</v>
      </c>
      <c r="L777" s="108"/>
      <c r="M777" s="108"/>
      <c r="N777" s="12">
        <v>1</v>
      </c>
      <c r="O777" s="36">
        <v>42975</v>
      </c>
      <c r="P777" s="12" t="s">
        <v>313</v>
      </c>
      <c r="Q777" s="12" t="s">
        <v>252</v>
      </c>
      <c r="R777" s="12" t="s">
        <v>2689</v>
      </c>
      <c r="S777" s="108"/>
      <c r="T777" s="108"/>
      <c r="U777" s="111"/>
      <c r="V777" s="108"/>
      <c r="W777" s="108"/>
      <c r="X777" s="108"/>
    </row>
    <row r="778" spans="1:25" s="26" customFormat="1" hidden="1">
      <c r="A778" s="33"/>
      <c r="B778" s="108"/>
      <c r="C778" s="108"/>
      <c r="D778" s="31" t="str">
        <f>D777</f>
        <v>快狗速运</v>
      </c>
      <c r="E778" s="108"/>
      <c r="F778" s="111"/>
      <c r="G778" s="108"/>
      <c r="H778" s="108"/>
      <c r="I778" s="108"/>
      <c r="J778" s="108"/>
      <c r="K778" s="31" t="str">
        <f t="shared" si="157"/>
        <v>运营中</v>
      </c>
      <c r="L778" s="108"/>
      <c r="M778" s="108"/>
      <c r="N778" s="12">
        <v>1</v>
      </c>
      <c r="O778" s="36">
        <v>42495</v>
      </c>
      <c r="P778" s="17" t="s">
        <v>251</v>
      </c>
      <c r="Q778" s="12" t="s">
        <v>258</v>
      </c>
      <c r="R778" s="12" t="s">
        <v>2690</v>
      </c>
      <c r="S778" s="108"/>
      <c r="T778" s="108"/>
      <c r="U778" s="111"/>
      <c r="V778" s="108"/>
      <c r="W778" s="108"/>
      <c r="X778" s="108"/>
    </row>
    <row r="779" spans="1:25" s="26" customFormat="1" hidden="1">
      <c r="A779" s="33"/>
      <c r="B779" s="108"/>
      <c r="C779" s="108"/>
      <c r="D779" s="31" t="str">
        <f>D778</f>
        <v>快狗速运</v>
      </c>
      <c r="E779" s="108"/>
      <c r="F779" s="111"/>
      <c r="G779" s="108"/>
      <c r="H779" s="108"/>
      <c r="I779" s="108"/>
      <c r="J779" s="108"/>
      <c r="K779" s="31" t="str">
        <f t="shared" si="157"/>
        <v>运营中</v>
      </c>
      <c r="L779" s="108"/>
      <c r="M779" s="108"/>
      <c r="N779" s="12">
        <v>1</v>
      </c>
      <c r="O779" s="36">
        <v>42166</v>
      </c>
      <c r="P779" s="17" t="s">
        <v>565</v>
      </c>
      <c r="Q779" s="12" t="s">
        <v>258</v>
      </c>
      <c r="R779" s="12" t="s">
        <v>2691</v>
      </c>
      <c r="S779" s="108"/>
      <c r="T779" s="108"/>
      <c r="U779" s="111"/>
      <c r="V779" s="108"/>
      <c r="W779" s="108"/>
      <c r="X779" s="108"/>
    </row>
    <row r="780" spans="1:25" s="26" customFormat="1" hidden="1">
      <c r="A780" s="33"/>
      <c r="B780" s="108"/>
      <c r="C780" s="108"/>
      <c r="D780" s="31" t="str">
        <f>D779</f>
        <v>快狗速运</v>
      </c>
      <c r="E780" s="108"/>
      <c r="F780" s="111"/>
      <c r="G780" s="108"/>
      <c r="H780" s="108"/>
      <c r="I780" s="108"/>
      <c r="J780" s="108"/>
      <c r="K780" s="31" t="str">
        <f t="shared" si="157"/>
        <v>运营中</v>
      </c>
      <c r="L780" s="108"/>
      <c r="M780" s="108"/>
      <c r="N780" s="12">
        <v>1</v>
      </c>
      <c r="O780" s="36">
        <v>41944</v>
      </c>
      <c r="P780" s="17" t="s">
        <v>257</v>
      </c>
      <c r="Q780" s="17" t="s">
        <v>337</v>
      </c>
      <c r="R780" s="12" t="s">
        <v>2692</v>
      </c>
      <c r="S780" s="108"/>
      <c r="T780" s="108"/>
      <c r="U780" s="111"/>
      <c r="V780" s="108"/>
      <c r="W780" s="108"/>
      <c r="X780" s="108"/>
    </row>
    <row r="781" spans="1:25" s="26" customFormat="1" hidden="1">
      <c r="A781" s="33"/>
      <c r="B781" s="108"/>
      <c r="C781" s="108"/>
      <c r="D781" s="31" t="str">
        <f>D780</f>
        <v>快狗速运</v>
      </c>
      <c r="E781" s="108"/>
      <c r="F781" s="111"/>
      <c r="G781" s="108"/>
      <c r="H781" s="108"/>
      <c r="I781" s="108"/>
      <c r="J781" s="108"/>
      <c r="K781" s="31" t="str">
        <f t="shared" si="157"/>
        <v>运营中</v>
      </c>
      <c r="L781" s="108"/>
      <c r="M781" s="108"/>
      <c r="N781" s="12">
        <v>1</v>
      </c>
      <c r="O781" s="36">
        <v>41852</v>
      </c>
      <c r="P781" s="17" t="s">
        <v>262</v>
      </c>
      <c r="Q781" s="17" t="s">
        <v>2693</v>
      </c>
      <c r="R781" s="17" t="s">
        <v>2694</v>
      </c>
      <c r="S781" s="108"/>
      <c r="T781" s="108"/>
      <c r="U781" s="111"/>
      <c r="V781" s="108"/>
      <c r="W781" s="108"/>
      <c r="X781" s="108"/>
    </row>
    <row r="782" spans="1:25" s="26" customFormat="1" ht="409.5" hidden="1">
      <c r="A782" s="33"/>
      <c r="B782" s="108"/>
      <c r="C782" s="17" t="s">
        <v>2695</v>
      </c>
      <c r="D782" s="38" t="s">
        <v>2696</v>
      </c>
      <c r="E782" s="17" t="s">
        <v>2696</v>
      </c>
      <c r="F782" s="34" t="s">
        <v>2697</v>
      </c>
      <c r="G782" s="17"/>
      <c r="H782" s="17"/>
      <c r="I782" s="17" t="s">
        <v>2698</v>
      </c>
      <c r="J782" s="12" t="s">
        <v>2261</v>
      </c>
      <c r="K782" s="38" t="s">
        <v>272</v>
      </c>
      <c r="L782" s="12" t="s">
        <v>944</v>
      </c>
      <c r="M782" s="12" t="s">
        <v>945</v>
      </c>
      <c r="N782" s="12"/>
      <c r="O782" s="36">
        <v>42173</v>
      </c>
      <c r="P782" s="12" t="s">
        <v>285</v>
      </c>
      <c r="Q782" s="17" t="s">
        <v>2699</v>
      </c>
      <c r="R782" s="12" t="s">
        <v>2700</v>
      </c>
      <c r="S782" s="17" t="s">
        <v>2701</v>
      </c>
      <c r="T782" s="17" t="s">
        <v>2702</v>
      </c>
      <c r="U782" s="34" t="s">
        <v>2703</v>
      </c>
      <c r="V782" s="17"/>
      <c r="W782" s="17"/>
      <c r="X782" s="17"/>
    </row>
    <row r="783" spans="1:25" s="26" customFormat="1" ht="77.5" customHeight="1">
      <c r="A783" s="11"/>
      <c r="B783" s="108"/>
      <c r="C783" s="108" t="s">
        <v>2704</v>
      </c>
      <c r="D783" s="31" t="s">
        <v>2705</v>
      </c>
      <c r="E783" s="109" t="s">
        <v>2706</v>
      </c>
      <c r="F783" s="112" t="s">
        <v>2707</v>
      </c>
      <c r="G783" s="107" t="s">
        <v>2708</v>
      </c>
      <c r="H783" s="108" t="s">
        <v>2709</v>
      </c>
      <c r="I783" s="109" t="s">
        <v>2710</v>
      </c>
      <c r="J783" s="109" t="s">
        <v>1126</v>
      </c>
      <c r="K783" s="20" t="s">
        <v>1042</v>
      </c>
      <c r="L783" s="109" t="s">
        <v>2711</v>
      </c>
      <c r="M783" s="109" t="s">
        <v>2712</v>
      </c>
      <c r="N783" s="13"/>
      <c r="O783" s="24">
        <v>44455</v>
      </c>
      <c r="P783" s="13" t="s">
        <v>2713</v>
      </c>
      <c r="Q783" s="13" t="s">
        <v>2714</v>
      </c>
      <c r="R783" s="13" t="s">
        <v>2715</v>
      </c>
      <c r="S783" s="109" t="s">
        <v>2716</v>
      </c>
      <c r="T783" s="109" t="s">
        <v>2717</v>
      </c>
      <c r="U783" s="112" t="s">
        <v>2718</v>
      </c>
      <c r="V783" s="107" t="s">
        <v>2719</v>
      </c>
      <c r="W783" s="108" t="s">
        <v>2720</v>
      </c>
      <c r="X783" s="108" t="s">
        <v>2721</v>
      </c>
      <c r="Y783" s="11"/>
    </row>
    <row r="784" spans="1:25" s="26" customFormat="1" hidden="1">
      <c r="A784" s="33"/>
      <c r="B784" s="108"/>
      <c r="C784" s="108"/>
      <c r="D784" s="31" t="str">
        <f t="shared" ref="D784:D790" si="158">D783</f>
        <v>新康众</v>
      </c>
      <c r="E784" s="108"/>
      <c r="F784" s="111"/>
      <c r="G784" s="108"/>
      <c r="H784" s="108"/>
      <c r="I784" s="108"/>
      <c r="J784" s="108"/>
      <c r="K784" s="31" t="str">
        <f t="shared" ref="K784:K790" si="159">K783</f>
        <v>运营中</v>
      </c>
      <c r="L784" s="108"/>
      <c r="M784" s="108"/>
      <c r="N784" s="17"/>
      <c r="O784" s="36">
        <v>43525</v>
      </c>
      <c r="P784" s="17" t="s">
        <v>315</v>
      </c>
      <c r="Q784" s="17" t="s">
        <v>2722</v>
      </c>
      <c r="R784" s="12" t="s">
        <v>2723</v>
      </c>
      <c r="S784" s="108"/>
      <c r="T784" s="108"/>
      <c r="U784" s="111"/>
      <c r="V784" s="108"/>
      <c r="W784" s="108"/>
      <c r="X784" s="108"/>
    </row>
    <row r="785" spans="1:24" s="26" customFormat="1" hidden="1">
      <c r="A785" s="33"/>
      <c r="B785" s="108"/>
      <c r="C785" s="108"/>
      <c r="D785" s="31" t="str">
        <f t="shared" si="158"/>
        <v>新康众</v>
      </c>
      <c r="E785" s="108"/>
      <c r="F785" s="111"/>
      <c r="G785" s="108"/>
      <c r="H785" s="108"/>
      <c r="I785" s="108"/>
      <c r="J785" s="108"/>
      <c r="K785" s="31" t="str">
        <f t="shared" si="159"/>
        <v>运营中</v>
      </c>
      <c r="L785" s="108"/>
      <c r="M785" s="108"/>
      <c r="N785" s="17"/>
      <c r="O785" s="36">
        <v>43338</v>
      </c>
      <c r="P785" s="17" t="s">
        <v>317</v>
      </c>
      <c r="Q785" s="17" t="s">
        <v>2330</v>
      </c>
      <c r="R785" s="12" t="s">
        <v>2724</v>
      </c>
      <c r="S785" s="108"/>
      <c r="T785" s="108"/>
      <c r="U785" s="111"/>
      <c r="V785" s="108"/>
      <c r="W785" s="108"/>
      <c r="X785" s="108"/>
    </row>
    <row r="786" spans="1:24" s="26" customFormat="1" hidden="1">
      <c r="A786" s="33"/>
      <c r="B786" s="108"/>
      <c r="C786" s="108"/>
      <c r="D786" s="31" t="str">
        <f t="shared" si="158"/>
        <v>新康众</v>
      </c>
      <c r="E786" s="108"/>
      <c r="F786" s="111"/>
      <c r="G786" s="108"/>
      <c r="H786" s="108"/>
      <c r="I786" s="108"/>
      <c r="J786" s="108"/>
      <c r="K786" s="31" t="str">
        <f t="shared" si="159"/>
        <v>运营中</v>
      </c>
      <c r="L786" s="108"/>
      <c r="M786" s="108"/>
      <c r="N786" s="17"/>
      <c r="O786" s="36">
        <v>43291</v>
      </c>
      <c r="P786" s="17" t="s">
        <v>251</v>
      </c>
      <c r="Q786" s="12" t="s">
        <v>276</v>
      </c>
      <c r="R786" s="12" t="s">
        <v>2725</v>
      </c>
      <c r="S786" s="108"/>
      <c r="T786" s="108"/>
      <c r="U786" s="111"/>
      <c r="V786" s="108"/>
      <c r="W786" s="108"/>
      <c r="X786" s="108"/>
    </row>
    <row r="787" spans="1:24" s="26" customFormat="1" hidden="1">
      <c r="A787" s="33"/>
      <c r="B787" s="108"/>
      <c r="C787" s="108"/>
      <c r="D787" s="31" t="str">
        <f t="shared" si="158"/>
        <v>新康众</v>
      </c>
      <c r="E787" s="108"/>
      <c r="F787" s="111"/>
      <c r="G787" s="108"/>
      <c r="H787" s="108"/>
      <c r="I787" s="108"/>
      <c r="J787" s="108"/>
      <c r="K787" s="31" t="str">
        <f t="shared" si="159"/>
        <v>运营中</v>
      </c>
      <c r="L787" s="108"/>
      <c r="M787" s="108"/>
      <c r="N787" s="17"/>
      <c r="O787" s="36">
        <v>42920</v>
      </c>
      <c r="P787" s="17" t="s">
        <v>565</v>
      </c>
      <c r="Q787" s="17" t="s">
        <v>1032</v>
      </c>
      <c r="R787" s="12" t="s">
        <v>2726</v>
      </c>
      <c r="S787" s="108"/>
      <c r="T787" s="108"/>
      <c r="U787" s="111"/>
      <c r="V787" s="108"/>
      <c r="W787" s="108"/>
      <c r="X787" s="108"/>
    </row>
    <row r="788" spans="1:24" s="26" customFormat="1" hidden="1">
      <c r="A788" s="33"/>
      <c r="B788" s="108"/>
      <c r="C788" s="108"/>
      <c r="D788" s="31" t="str">
        <f t="shared" si="158"/>
        <v>新康众</v>
      </c>
      <c r="E788" s="108"/>
      <c r="F788" s="111"/>
      <c r="G788" s="108"/>
      <c r="H788" s="108"/>
      <c r="I788" s="108"/>
      <c r="J788" s="108"/>
      <c r="K788" s="31" t="str">
        <f t="shared" si="159"/>
        <v>运营中</v>
      </c>
      <c r="L788" s="108"/>
      <c r="M788" s="108"/>
      <c r="N788" s="17"/>
      <c r="O788" s="36">
        <v>42684</v>
      </c>
      <c r="P788" s="17" t="s">
        <v>257</v>
      </c>
      <c r="Q788" s="17" t="s">
        <v>1032</v>
      </c>
      <c r="R788" s="12" t="s">
        <v>873</v>
      </c>
      <c r="S788" s="108"/>
      <c r="T788" s="108"/>
      <c r="U788" s="111"/>
      <c r="V788" s="108"/>
      <c r="W788" s="108"/>
      <c r="X788" s="108"/>
    </row>
    <row r="789" spans="1:24" s="26" customFormat="1" hidden="1">
      <c r="A789" s="33"/>
      <c r="B789" s="108"/>
      <c r="C789" s="108"/>
      <c r="D789" s="31" t="str">
        <f t="shared" si="158"/>
        <v>新康众</v>
      </c>
      <c r="E789" s="108"/>
      <c r="F789" s="111"/>
      <c r="G789" s="108"/>
      <c r="H789" s="108"/>
      <c r="I789" s="108"/>
      <c r="J789" s="108"/>
      <c r="K789" s="31" t="str">
        <f t="shared" si="159"/>
        <v>运营中</v>
      </c>
      <c r="L789" s="108"/>
      <c r="M789" s="108"/>
      <c r="N789" s="17"/>
      <c r="O789" s="36">
        <v>42178</v>
      </c>
      <c r="P789" s="17" t="s">
        <v>262</v>
      </c>
      <c r="Q789" s="17" t="s">
        <v>578</v>
      </c>
      <c r="R789" s="12" t="s">
        <v>2727</v>
      </c>
      <c r="S789" s="108"/>
      <c r="T789" s="108"/>
      <c r="U789" s="111"/>
      <c r="V789" s="108"/>
      <c r="W789" s="108"/>
      <c r="X789" s="108"/>
    </row>
    <row r="790" spans="1:24" s="26" customFormat="1" hidden="1">
      <c r="A790" s="33"/>
      <c r="B790" s="108"/>
      <c r="C790" s="108"/>
      <c r="D790" s="31" t="str">
        <f t="shared" si="158"/>
        <v>新康众</v>
      </c>
      <c r="E790" s="108"/>
      <c r="F790" s="111"/>
      <c r="G790" s="108"/>
      <c r="H790" s="108"/>
      <c r="I790" s="108"/>
      <c r="J790" s="108"/>
      <c r="K790" s="31" t="str">
        <f t="shared" si="159"/>
        <v>运营中</v>
      </c>
      <c r="L790" s="108"/>
      <c r="M790" s="108"/>
      <c r="N790" s="17"/>
      <c r="O790" s="36">
        <v>42003</v>
      </c>
      <c r="P790" s="17" t="s">
        <v>721</v>
      </c>
      <c r="Q790" s="17" t="s">
        <v>360</v>
      </c>
      <c r="R790" s="17" t="s">
        <v>253</v>
      </c>
      <c r="S790" s="108"/>
      <c r="T790" s="108"/>
      <c r="U790" s="111"/>
      <c r="V790" s="108"/>
      <c r="W790" s="108"/>
      <c r="X790" s="108"/>
    </row>
    <row r="791" spans="1:24" s="26" customFormat="1" ht="36" hidden="1">
      <c r="A791" s="33"/>
      <c r="B791" s="108"/>
      <c r="C791" s="17" t="s">
        <v>1774</v>
      </c>
      <c r="D791" s="38" t="s">
        <v>2728</v>
      </c>
      <c r="E791" s="12" t="s">
        <v>2728</v>
      </c>
      <c r="F791" s="32" t="s">
        <v>2729</v>
      </c>
      <c r="G791" s="17"/>
      <c r="H791" s="17" t="s">
        <v>2730</v>
      </c>
      <c r="I791" s="17" t="s">
        <v>629</v>
      </c>
      <c r="J791" s="12" t="s">
        <v>1780</v>
      </c>
      <c r="K791" s="38" t="s">
        <v>272</v>
      </c>
      <c r="L791" s="12" t="s">
        <v>512</v>
      </c>
      <c r="M791" s="12" t="s">
        <v>2731</v>
      </c>
      <c r="N791" s="12"/>
      <c r="O791" s="36">
        <v>42193</v>
      </c>
      <c r="P791" s="12" t="s">
        <v>285</v>
      </c>
      <c r="Q791" s="17" t="s">
        <v>2732</v>
      </c>
      <c r="R791" s="12" t="s">
        <v>240</v>
      </c>
      <c r="S791" s="17" t="s">
        <v>2733</v>
      </c>
      <c r="T791" s="17" t="s">
        <v>2734</v>
      </c>
      <c r="U791" s="34"/>
      <c r="V791" s="17"/>
      <c r="W791" s="17"/>
      <c r="X791" s="17"/>
    </row>
    <row r="792" spans="1:24" s="26" customFormat="1" hidden="1">
      <c r="A792" s="33"/>
      <c r="B792" s="108"/>
      <c r="C792" s="108" t="s">
        <v>2735</v>
      </c>
      <c r="D792" s="31" t="s">
        <v>2736</v>
      </c>
      <c r="E792" s="107" t="s">
        <v>2737</v>
      </c>
      <c r="F792" s="110" t="s">
        <v>2738</v>
      </c>
      <c r="G792" s="107" t="s">
        <v>2739</v>
      </c>
      <c r="H792" s="108" t="s">
        <v>2740</v>
      </c>
      <c r="I792" s="108" t="s">
        <v>2010</v>
      </c>
      <c r="J792" s="107" t="s">
        <v>385</v>
      </c>
      <c r="K792" s="31" t="s">
        <v>272</v>
      </c>
      <c r="L792" s="107" t="s">
        <v>485</v>
      </c>
      <c r="M792" s="108" t="s">
        <v>87</v>
      </c>
      <c r="N792" s="17"/>
      <c r="O792" s="36">
        <v>43664</v>
      </c>
      <c r="P792" s="17" t="s">
        <v>317</v>
      </c>
      <c r="Q792" s="17" t="s">
        <v>522</v>
      </c>
      <c r="R792" s="17" t="s">
        <v>2741</v>
      </c>
      <c r="S792" s="108" t="s">
        <v>2742</v>
      </c>
      <c r="T792" s="108" t="s">
        <v>449</v>
      </c>
      <c r="U792" s="110" t="s">
        <v>2743</v>
      </c>
      <c r="V792" s="107" t="s">
        <v>2744</v>
      </c>
      <c r="W792" s="108" t="s">
        <v>2745</v>
      </c>
      <c r="X792" s="108" t="s">
        <v>2746</v>
      </c>
    </row>
    <row r="793" spans="1:24" s="26" customFormat="1" hidden="1">
      <c r="A793" s="33"/>
      <c r="B793" s="108"/>
      <c r="C793" s="108"/>
      <c r="D793" s="31" t="str">
        <f>D792</f>
        <v>小盒科技-作业盒子</v>
      </c>
      <c r="E793" s="108"/>
      <c r="F793" s="111"/>
      <c r="G793" s="108"/>
      <c r="H793" s="108"/>
      <c r="I793" s="108"/>
      <c r="J793" s="108"/>
      <c r="K793" s="31" t="str">
        <f t="shared" ref="K793:K797" si="160">K792</f>
        <v>运营中</v>
      </c>
      <c r="L793" s="108"/>
      <c r="M793" s="108"/>
      <c r="N793" s="17"/>
      <c r="O793" s="36">
        <v>43132</v>
      </c>
      <c r="P793" s="17" t="s">
        <v>251</v>
      </c>
      <c r="Q793" s="17" t="s">
        <v>320</v>
      </c>
      <c r="R793" s="12" t="s">
        <v>2747</v>
      </c>
      <c r="S793" s="108"/>
      <c r="T793" s="108"/>
      <c r="U793" s="111"/>
      <c r="V793" s="108"/>
      <c r="W793" s="108"/>
      <c r="X793" s="108"/>
    </row>
    <row r="794" spans="1:24" s="26" customFormat="1" hidden="1">
      <c r="A794" s="33"/>
      <c r="B794" s="108"/>
      <c r="C794" s="108"/>
      <c r="D794" s="31" t="str">
        <f>D793</f>
        <v>小盒科技-作业盒子</v>
      </c>
      <c r="E794" s="108"/>
      <c r="F794" s="111"/>
      <c r="G794" s="108"/>
      <c r="H794" s="108"/>
      <c r="I794" s="108"/>
      <c r="J794" s="108"/>
      <c r="K794" s="31" t="str">
        <f t="shared" si="160"/>
        <v>运营中</v>
      </c>
      <c r="L794" s="108"/>
      <c r="M794" s="108"/>
      <c r="N794" s="17"/>
      <c r="O794" s="36">
        <v>43020</v>
      </c>
      <c r="P794" s="17" t="s">
        <v>565</v>
      </c>
      <c r="Q794" s="17" t="s">
        <v>578</v>
      </c>
      <c r="R794" s="17" t="s">
        <v>2748</v>
      </c>
      <c r="S794" s="108"/>
      <c r="T794" s="108"/>
      <c r="U794" s="111"/>
      <c r="V794" s="108"/>
      <c r="W794" s="108"/>
      <c r="X794" s="108"/>
    </row>
    <row r="795" spans="1:24" s="26" customFormat="1" hidden="1">
      <c r="A795" s="33"/>
      <c r="B795" s="108"/>
      <c r="C795" s="108"/>
      <c r="D795" s="31" t="str">
        <f>D794</f>
        <v>小盒科技-作业盒子</v>
      </c>
      <c r="E795" s="108"/>
      <c r="F795" s="111"/>
      <c r="G795" s="108"/>
      <c r="H795" s="108"/>
      <c r="I795" s="108"/>
      <c r="J795" s="108"/>
      <c r="K795" s="31" t="str">
        <f t="shared" si="160"/>
        <v>运营中</v>
      </c>
      <c r="L795" s="108"/>
      <c r="M795" s="108"/>
      <c r="N795" s="17"/>
      <c r="O795" s="36">
        <v>42671</v>
      </c>
      <c r="P795" s="17" t="s">
        <v>257</v>
      </c>
      <c r="Q795" s="12" t="s">
        <v>252</v>
      </c>
      <c r="R795" s="12" t="s">
        <v>2749</v>
      </c>
      <c r="S795" s="108"/>
      <c r="T795" s="108"/>
      <c r="U795" s="111"/>
      <c r="V795" s="108"/>
      <c r="W795" s="108"/>
      <c r="X795" s="108"/>
    </row>
    <row r="796" spans="1:24" s="26" customFormat="1" hidden="1">
      <c r="A796" s="33"/>
      <c r="B796" s="108"/>
      <c r="C796" s="108"/>
      <c r="D796" s="31" t="str">
        <f>D795</f>
        <v>小盒科技-作业盒子</v>
      </c>
      <c r="E796" s="108"/>
      <c r="F796" s="111"/>
      <c r="G796" s="108"/>
      <c r="H796" s="108"/>
      <c r="I796" s="108"/>
      <c r="J796" s="108"/>
      <c r="K796" s="31" t="str">
        <f t="shared" si="160"/>
        <v>运营中</v>
      </c>
      <c r="L796" s="108"/>
      <c r="M796" s="108"/>
      <c r="N796" s="17"/>
      <c r="O796" s="36">
        <v>42195</v>
      </c>
      <c r="P796" s="17" t="s">
        <v>262</v>
      </c>
      <c r="Q796" s="17" t="s">
        <v>337</v>
      </c>
      <c r="R796" s="12" t="s">
        <v>2750</v>
      </c>
      <c r="S796" s="108"/>
      <c r="T796" s="108"/>
      <c r="U796" s="111"/>
      <c r="V796" s="108"/>
      <c r="W796" s="108"/>
      <c r="X796" s="108"/>
    </row>
    <row r="797" spans="1:24" s="26" customFormat="1" hidden="1">
      <c r="A797" s="33"/>
      <c r="B797" s="108"/>
      <c r="C797" s="108"/>
      <c r="D797" s="31" t="str">
        <f>D796</f>
        <v>小盒科技-作业盒子</v>
      </c>
      <c r="E797" s="108"/>
      <c r="F797" s="111"/>
      <c r="G797" s="108"/>
      <c r="H797" s="108"/>
      <c r="I797" s="108"/>
      <c r="J797" s="108"/>
      <c r="K797" s="31" t="str">
        <f t="shared" si="160"/>
        <v>运营中</v>
      </c>
      <c r="L797" s="108"/>
      <c r="M797" s="108"/>
      <c r="N797" s="17"/>
      <c r="O797" s="36">
        <v>41983</v>
      </c>
      <c r="P797" s="12" t="s">
        <v>326</v>
      </c>
      <c r="Q797" s="17" t="s">
        <v>263</v>
      </c>
      <c r="R797" s="12" t="s">
        <v>2751</v>
      </c>
      <c r="S797" s="108"/>
      <c r="T797" s="108"/>
      <c r="U797" s="111"/>
      <c r="V797" s="108"/>
      <c r="W797" s="108"/>
      <c r="X797" s="108"/>
    </row>
    <row r="798" spans="1:24" s="26" customFormat="1" hidden="1">
      <c r="A798" s="33"/>
      <c r="B798" s="108"/>
      <c r="C798" s="108" t="s">
        <v>2752</v>
      </c>
      <c r="D798" s="31" t="s">
        <v>2753</v>
      </c>
      <c r="E798" s="108" t="s">
        <v>2753</v>
      </c>
      <c r="F798" s="111" t="s">
        <v>2754</v>
      </c>
      <c r="G798" s="108"/>
      <c r="H798" s="108" t="s">
        <v>2755</v>
      </c>
      <c r="I798" s="108" t="s">
        <v>496</v>
      </c>
      <c r="J798" s="107" t="s">
        <v>1564</v>
      </c>
      <c r="K798" s="31" t="s">
        <v>272</v>
      </c>
      <c r="L798" s="107" t="s">
        <v>996</v>
      </c>
      <c r="M798" s="107" t="s">
        <v>2756</v>
      </c>
      <c r="N798" s="12">
        <v>1</v>
      </c>
      <c r="O798" s="36">
        <v>42214</v>
      </c>
      <c r="P798" s="12" t="s">
        <v>285</v>
      </c>
      <c r="Q798" s="17" t="s">
        <v>337</v>
      </c>
      <c r="R798" s="12" t="s">
        <v>240</v>
      </c>
      <c r="S798" s="108" t="s">
        <v>2757</v>
      </c>
      <c r="T798" s="108" t="s">
        <v>339</v>
      </c>
      <c r="U798" s="111" t="s">
        <v>2758</v>
      </c>
      <c r="V798" s="108"/>
      <c r="W798" s="108"/>
      <c r="X798" s="108"/>
    </row>
    <row r="799" spans="1:24" s="26" customFormat="1" hidden="1">
      <c r="A799" s="33"/>
      <c r="B799" s="108"/>
      <c r="C799" s="108"/>
      <c r="D799" s="31" t="str">
        <f>D798</f>
        <v>Ouya</v>
      </c>
      <c r="E799" s="108"/>
      <c r="F799" s="111"/>
      <c r="G799" s="108"/>
      <c r="H799" s="108"/>
      <c r="I799" s="108"/>
      <c r="J799" s="108"/>
      <c r="K799" s="31" t="str">
        <f>K798</f>
        <v>运营中</v>
      </c>
      <c r="L799" s="108"/>
      <c r="M799" s="108"/>
      <c r="N799" s="12">
        <v>1</v>
      </c>
      <c r="O799" s="36">
        <v>42213</v>
      </c>
      <c r="P799" s="12" t="s">
        <v>471</v>
      </c>
      <c r="Q799" s="12" t="s">
        <v>276</v>
      </c>
      <c r="R799" s="17" t="s">
        <v>253</v>
      </c>
      <c r="S799" s="108"/>
      <c r="T799" s="108"/>
      <c r="U799" s="111"/>
      <c r="V799" s="108"/>
      <c r="W799" s="108"/>
      <c r="X799" s="108"/>
    </row>
    <row r="800" spans="1:24" s="26" customFormat="1" ht="60" hidden="1">
      <c r="A800" s="33"/>
      <c r="B800" s="108"/>
      <c r="C800" s="17" t="s">
        <v>2752</v>
      </c>
      <c r="D800" s="38" t="s">
        <v>930</v>
      </c>
      <c r="E800" s="12" t="s">
        <v>930</v>
      </c>
      <c r="F800" s="32" t="s">
        <v>2759</v>
      </c>
      <c r="G800" s="12" t="s">
        <v>2760</v>
      </c>
      <c r="H800" s="17" t="s">
        <v>2761</v>
      </c>
      <c r="I800" s="17" t="s">
        <v>2762</v>
      </c>
      <c r="J800" s="12" t="s">
        <v>406</v>
      </c>
      <c r="K800" s="38" t="s">
        <v>272</v>
      </c>
      <c r="L800" s="12" t="s">
        <v>407</v>
      </c>
      <c r="M800" s="12" t="s">
        <v>445</v>
      </c>
      <c r="N800" s="12"/>
      <c r="O800" s="36">
        <v>42214</v>
      </c>
      <c r="P800" s="12" t="s">
        <v>285</v>
      </c>
      <c r="Q800" s="17" t="s">
        <v>2763</v>
      </c>
      <c r="R800" s="12" t="s">
        <v>240</v>
      </c>
      <c r="S800" s="17" t="s">
        <v>2764</v>
      </c>
      <c r="T800" s="17" t="s">
        <v>2765</v>
      </c>
      <c r="U800" s="32" t="s">
        <v>2766</v>
      </c>
      <c r="V800" s="12" t="s">
        <v>2767</v>
      </c>
      <c r="W800" s="17"/>
      <c r="X800" s="17"/>
    </row>
    <row r="801" spans="1:25" s="26" customFormat="1" ht="36" hidden="1">
      <c r="A801" s="33"/>
      <c r="B801" s="108"/>
      <c r="C801" s="17" t="s">
        <v>2768</v>
      </c>
      <c r="D801" s="38" t="s">
        <v>2769</v>
      </c>
      <c r="E801" s="12" t="s">
        <v>2769</v>
      </c>
      <c r="F801" s="32" t="s">
        <v>2770</v>
      </c>
      <c r="G801" s="12" t="s">
        <v>2771</v>
      </c>
      <c r="H801" s="17" t="s">
        <v>2772</v>
      </c>
      <c r="I801" s="17" t="s">
        <v>2773</v>
      </c>
      <c r="J801" s="12" t="s">
        <v>428</v>
      </c>
      <c r="K801" s="38" t="s">
        <v>272</v>
      </c>
      <c r="L801" s="12" t="s">
        <v>944</v>
      </c>
      <c r="M801" s="17" t="s">
        <v>2774</v>
      </c>
      <c r="N801" s="17"/>
      <c r="O801" s="36">
        <v>42230</v>
      </c>
      <c r="P801" s="17" t="s">
        <v>262</v>
      </c>
      <c r="Q801" s="17" t="s">
        <v>1239</v>
      </c>
      <c r="R801" s="12" t="s">
        <v>2775</v>
      </c>
      <c r="S801" s="17" t="s">
        <v>2776</v>
      </c>
      <c r="T801" s="17" t="s">
        <v>449</v>
      </c>
      <c r="U801" s="32" t="s">
        <v>2777</v>
      </c>
      <c r="V801" s="12" t="s">
        <v>2778</v>
      </c>
      <c r="W801" s="17" t="s">
        <v>2779</v>
      </c>
      <c r="X801" s="17" t="s">
        <v>2780</v>
      </c>
    </row>
    <row r="802" spans="1:25" s="26" customFormat="1" ht="77.5" customHeight="1">
      <c r="A802" s="11"/>
      <c r="B802" s="108"/>
      <c r="C802" s="108" t="s">
        <v>2781</v>
      </c>
      <c r="D802" s="31" t="s">
        <v>2782</v>
      </c>
      <c r="E802" s="109" t="s">
        <v>2783</v>
      </c>
      <c r="F802" s="112" t="s">
        <v>2784</v>
      </c>
      <c r="G802" s="107" t="s">
        <v>2785</v>
      </c>
      <c r="H802" s="108" t="s">
        <v>2786</v>
      </c>
      <c r="I802" s="109" t="s">
        <v>2787</v>
      </c>
      <c r="J802" s="109" t="s">
        <v>271</v>
      </c>
      <c r="K802" s="20" t="s">
        <v>1042</v>
      </c>
      <c r="L802" s="109" t="s">
        <v>2788</v>
      </c>
      <c r="M802" s="109" t="s">
        <v>87</v>
      </c>
      <c r="N802" s="13"/>
      <c r="O802" s="24">
        <v>44193</v>
      </c>
      <c r="P802" s="13" t="s">
        <v>2789</v>
      </c>
      <c r="Q802" s="13" t="s">
        <v>2790</v>
      </c>
      <c r="R802" s="13" t="s">
        <v>2791</v>
      </c>
      <c r="S802" s="109" t="s">
        <v>2792</v>
      </c>
      <c r="T802" s="109" t="s">
        <v>2793</v>
      </c>
      <c r="U802" s="112" t="s">
        <v>2794</v>
      </c>
      <c r="V802" s="107" t="s">
        <v>2795</v>
      </c>
      <c r="W802" s="108" t="s">
        <v>2796</v>
      </c>
      <c r="X802" s="108" t="s">
        <v>2797</v>
      </c>
      <c r="Y802" s="11"/>
    </row>
    <row r="803" spans="1:25" s="26" customFormat="1" hidden="1">
      <c r="A803" s="33"/>
      <c r="B803" s="108"/>
      <c r="C803" s="108"/>
      <c r="D803" s="31" t="str">
        <f t="shared" ref="D803:D809" si="161">D802</f>
        <v>作业帮</v>
      </c>
      <c r="E803" s="108"/>
      <c r="F803" s="111"/>
      <c r="G803" s="108"/>
      <c r="H803" s="108"/>
      <c r="I803" s="108"/>
      <c r="J803" s="108"/>
      <c r="K803" s="31" t="str">
        <f t="shared" ref="K803:K809" si="162">K802</f>
        <v>运营中</v>
      </c>
      <c r="L803" s="108"/>
      <c r="M803" s="108"/>
      <c r="N803" s="17"/>
      <c r="O803" s="36">
        <v>44011</v>
      </c>
      <c r="P803" s="17" t="s">
        <v>310</v>
      </c>
      <c r="Q803" s="17" t="s">
        <v>2798</v>
      </c>
      <c r="R803" s="12" t="s">
        <v>2799</v>
      </c>
      <c r="S803" s="108"/>
      <c r="T803" s="108"/>
      <c r="U803" s="111"/>
      <c r="V803" s="108"/>
      <c r="W803" s="108"/>
      <c r="X803" s="108"/>
    </row>
    <row r="804" spans="1:25" s="26" customFormat="1" hidden="1">
      <c r="A804" s="33"/>
      <c r="B804" s="108"/>
      <c r="C804" s="108"/>
      <c r="D804" s="31" t="str">
        <f t="shared" si="161"/>
        <v>作业帮</v>
      </c>
      <c r="E804" s="108"/>
      <c r="F804" s="111"/>
      <c r="G804" s="108"/>
      <c r="H804" s="108"/>
      <c r="I804" s="108"/>
      <c r="J804" s="108"/>
      <c r="K804" s="31" t="str">
        <f t="shared" si="162"/>
        <v>运营中</v>
      </c>
      <c r="L804" s="108"/>
      <c r="M804" s="108"/>
      <c r="N804" s="17"/>
      <c r="O804" s="36">
        <v>43406</v>
      </c>
      <c r="P804" s="17" t="s">
        <v>315</v>
      </c>
      <c r="Q804" s="17" t="s">
        <v>288</v>
      </c>
      <c r="R804" s="12" t="s">
        <v>2236</v>
      </c>
      <c r="S804" s="108"/>
      <c r="T804" s="108"/>
      <c r="U804" s="111"/>
      <c r="V804" s="108"/>
      <c r="W804" s="108"/>
      <c r="X804" s="108"/>
    </row>
    <row r="805" spans="1:25" s="26" customFormat="1" hidden="1">
      <c r="A805" s="33"/>
      <c r="B805" s="108"/>
      <c r="C805" s="108"/>
      <c r="D805" s="31" t="str">
        <f t="shared" si="161"/>
        <v>作业帮</v>
      </c>
      <c r="E805" s="108"/>
      <c r="F805" s="111"/>
      <c r="G805" s="108"/>
      <c r="H805" s="108"/>
      <c r="I805" s="108"/>
      <c r="J805" s="108"/>
      <c r="K805" s="31" t="str">
        <f t="shared" si="162"/>
        <v>运营中</v>
      </c>
      <c r="L805" s="108"/>
      <c r="M805" s="108"/>
      <c r="N805" s="17"/>
      <c r="O805" s="36">
        <v>43299</v>
      </c>
      <c r="P805" s="17" t="s">
        <v>317</v>
      </c>
      <c r="Q805" s="17" t="s">
        <v>984</v>
      </c>
      <c r="R805" s="12" t="s">
        <v>2800</v>
      </c>
      <c r="S805" s="108"/>
      <c r="T805" s="108"/>
      <c r="U805" s="111"/>
      <c r="V805" s="108"/>
      <c r="W805" s="108"/>
      <c r="X805" s="108"/>
    </row>
    <row r="806" spans="1:25" s="26" customFormat="1" hidden="1">
      <c r="A806" s="33"/>
      <c r="B806" s="108"/>
      <c r="C806" s="108"/>
      <c r="D806" s="31" t="str">
        <f t="shared" si="161"/>
        <v>作业帮</v>
      </c>
      <c r="E806" s="108"/>
      <c r="F806" s="111"/>
      <c r="G806" s="108"/>
      <c r="H806" s="108"/>
      <c r="I806" s="108"/>
      <c r="J806" s="108"/>
      <c r="K806" s="31" t="str">
        <f t="shared" si="162"/>
        <v>运营中</v>
      </c>
      <c r="L806" s="108"/>
      <c r="M806" s="108"/>
      <c r="N806" s="17"/>
      <c r="O806" s="36">
        <v>42961</v>
      </c>
      <c r="P806" s="17" t="s">
        <v>251</v>
      </c>
      <c r="Q806" s="17" t="s">
        <v>522</v>
      </c>
      <c r="R806" s="12" t="s">
        <v>2801</v>
      </c>
      <c r="S806" s="108"/>
      <c r="T806" s="108"/>
      <c r="U806" s="111"/>
      <c r="V806" s="108"/>
      <c r="W806" s="108"/>
      <c r="X806" s="108"/>
    </row>
    <row r="807" spans="1:25" s="26" customFormat="1" hidden="1">
      <c r="A807" s="33"/>
      <c r="B807" s="108"/>
      <c r="C807" s="108"/>
      <c r="D807" s="31" t="str">
        <f t="shared" si="161"/>
        <v>作业帮</v>
      </c>
      <c r="E807" s="108"/>
      <c r="F807" s="111"/>
      <c r="G807" s="108"/>
      <c r="H807" s="108"/>
      <c r="I807" s="108"/>
      <c r="J807" s="108"/>
      <c r="K807" s="31" t="str">
        <f t="shared" si="162"/>
        <v>运营中</v>
      </c>
      <c r="L807" s="108"/>
      <c r="M807" s="108"/>
      <c r="N807" s="17"/>
      <c r="O807" s="36">
        <v>42636</v>
      </c>
      <c r="P807" s="17" t="s">
        <v>257</v>
      </c>
      <c r="Q807" s="17" t="s">
        <v>885</v>
      </c>
      <c r="R807" s="12" t="s">
        <v>2802</v>
      </c>
      <c r="S807" s="108"/>
      <c r="T807" s="108"/>
      <c r="U807" s="111"/>
      <c r="V807" s="108"/>
      <c r="W807" s="108"/>
      <c r="X807" s="108"/>
    </row>
    <row r="808" spans="1:25" s="26" customFormat="1" hidden="1">
      <c r="A808" s="33"/>
      <c r="B808" s="108"/>
      <c r="C808" s="108"/>
      <c r="D808" s="31" t="str">
        <f t="shared" si="161"/>
        <v>作业帮</v>
      </c>
      <c r="E808" s="108"/>
      <c r="F808" s="111"/>
      <c r="G808" s="108"/>
      <c r="H808" s="108"/>
      <c r="I808" s="108"/>
      <c r="J808" s="108"/>
      <c r="K808" s="31" t="str">
        <f t="shared" si="162"/>
        <v>运营中</v>
      </c>
      <c r="L808" s="108"/>
      <c r="M808" s="108"/>
      <c r="N808" s="17"/>
      <c r="O808" s="36">
        <v>42496</v>
      </c>
      <c r="P808" s="17" t="s">
        <v>260</v>
      </c>
      <c r="Q808" s="12" t="s">
        <v>276</v>
      </c>
      <c r="R808" s="12" t="s">
        <v>342</v>
      </c>
      <c r="S808" s="108"/>
      <c r="T808" s="108"/>
      <c r="U808" s="111"/>
      <c r="V808" s="108"/>
      <c r="W808" s="108"/>
      <c r="X808" s="108"/>
    </row>
    <row r="809" spans="1:25" s="26" customFormat="1" hidden="1">
      <c r="A809" s="33"/>
      <c r="B809" s="108"/>
      <c r="C809" s="108"/>
      <c r="D809" s="31" t="str">
        <f t="shared" si="161"/>
        <v>作业帮</v>
      </c>
      <c r="E809" s="108"/>
      <c r="F809" s="111"/>
      <c r="G809" s="108"/>
      <c r="H809" s="108"/>
      <c r="I809" s="108"/>
      <c r="J809" s="108"/>
      <c r="K809" s="31" t="str">
        <f t="shared" si="162"/>
        <v>运营中</v>
      </c>
      <c r="L809" s="108"/>
      <c r="M809" s="108"/>
      <c r="N809" s="17"/>
      <c r="O809" s="36">
        <v>42249</v>
      </c>
      <c r="P809" s="17" t="s">
        <v>262</v>
      </c>
      <c r="Q809" s="17" t="s">
        <v>987</v>
      </c>
      <c r="R809" s="12" t="s">
        <v>2803</v>
      </c>
      <c r="S809" s="108"/>
      <c r="T809" s="108"/>
      <c r="U809" s="111"/>
      <c r="V809" s="108"/>
      <c r="W809" s="108"/>
      <c r="X809" s="108"/>
    </row>
    <row r="810" spans="1:25" s="26" customFormat="1" ht="36" hidden="1">
      <c r="A810" s="33"/>
      <c r="B810" s="108"/>
      <c r="C810" s="17" t="s">
        <v>2804</v>
      </c>
      <c r="D810" s="38" t="s">
        <v>2805</v>
      </c>
      <c r="E810" s="12" t="s">
        <v>2805</v>
      </c>
      <c r="F810" s="32" t="s">
        <v>2806</v>
      </c>
      <c r="G810" s="12" t="s">
        <v>2807</v>
      </c>
      <c r="H810" s="17" t="s">
        <v>2808</v>
      </c>
      <c r="I810" s="17" t="s">
        <v>2809</v>
      </c>
      <c r="J810" s="12" t="s">
        <v>372</v>
      </c>
      <c r="K810" s="38" t="s">
        <v>272</v>
      </c>
      <c r="L810" s="12" t="s">
        <v>1798</v>
      </c>
      <c r="M810" s="12" t="s">
        <v>2810</v>
      </c>
      <c r="N810" s="12"/>
      <c r="O810" s="36">
        <v>42013</v>
      </c>
      <c r="P810" s="17" t="s">
        <v>262</v>
      </c>
      <c r="Q810" s="12" t="s">
        <v>341</v>
      </c>
      <c r="R810" s="12" t="s">
        <v>240</v>
      </c>
      <c r="S810" s="17" t="s">
        <v>931</v>
      </c>
      <c r="T810" s="17" t="s">
        <v>432</v>
      </c>
      <c r="U810" s="32" t="s">
        <v>2811</v>
      </c>
      <c r="V810" s="12" t="s">
        <v>2812</v>
      </c>
      <c r="W810" s="17" t="s">
        <v>2813</v>
      </c>
      <c r="X810" s="17" t="s">
        <v>2814</v>
      </c>
    </row>
    <row r="811" spans="1:25" s="26" customFormat="1" hidden="1">
      <c r="A811" s="33"/>
      <c r="B811" s="108"/>
      <c r="C811" s="108" t="s">
        <v>2815</v>
      </c>
      <c r="D811" s="31" t="s">
        <v>2816</v>
      </c>
      <c r="E811" s="108" t="s">
        <v>2816</v>
      </c>
      <c r="F811" s="111" t="s">
        <v>2817</v>
      </c>
      <c r="G811" s="108"/>
      <c r="H811" s="108" t="s">
        <v>2818</v>
      </c>
      <c r="I811" s="108" t="s">
        <v>2819</v>
      </c>
      <c r="J811" s="107" t="s">
        <v>1564</v>
      </c>
      <c r="K811" s="31" t="s">
        <v>272</v>
      </c>
      <c r="L811" s="107" t="s">
        <v>350</v>
      </c>
      <c r="M811" s="107" t="s">
        <v>1379</v>
      </c>
      <c r="N811" s="12"/>
      <c r="O811" s="36">
        <v>44658</v>
      </c>
      <c r="P811" s="12" t="s">
        <v>285</v>
      </c>
      <c r="Q811" s="17" t="s">
        <v>1024</v>
      </c>
      <c r="R811" s="17" t="s">
        <v>2820</v>
      </c>
      <c r="S811" s="108" t="s">
        <v>2821</v>
      </c>
      <c r="T811" s="108" t="s">
        <v>2822</v>
      </c>
      <c r="U811" s="111" t="s">
        <v>2823</v>
      </c>
      <c r="V811" s="108"/>
      <c r="W811" s="108"/>
      <c r="X811" s="108"/>
    </row>
    <row r="812" spans="1:25" s="26" customFormat="1" hidden="1">
      <c r="A812" s="33"/>
      <c r="B812" s="108"/>
      <c r="C812" s="108"/>
      <c r="D812" s="31" t="str">
        <f t="shared" ref="D812:D819" si="163">D811</f>
        <v>Fanatics</v>
      </c>
      <c r="E812" s="108"/>
      <c r="F812" s="111"/>
      <c r="G812" s="108"/>
      <c r="H812" s="108"/>
      <c r="I812" s="108"/>
      <c r="J812" s="108"/>
      <c r="K812" s="31" t="str">
        <f t="shared" ref="K812:K819" si="164">K811</f>
        <v>运营中</v>
      </c>
      <c r="L812" s="108"/>
      <c r="M812" s="108"/>
      <c r="N812" s="17"/>
      <c r="O812" s="36">
        <v>44419</v>
      </c>
      <c r="P812" s="17" t="s">
        <v>2237</v>
      </c>
      <c r="Q812" s="17" t="s">
        <v>2824</v>
      </c>
      <c r="R812" s="12" t="s">
        <v>2825</v>
      </c>
      <c r="S812" s="108"/>
      <c r="T812" s="108"/>
      <c r="U812" s="111"/>
      <c r="V812" s="108"/>
      <c r="W812" s="108"/>
      <c r="X812" s="108"/>
    </row>
    <row r="813" spans="1:25" s="26" customFormat="1" hidden="1">
      <c r="A813" s="33"/>
      <c r="B813" s="108"/>
      <c r="C813" s="108"/>
      <c r="D813" s="31" t="str">
        <f t="shared" si="163"/>
        <v>Fanatics</v>
      </c>
      <c r="E813" s="108"/>
      <c r="F813" s="111"/>
      <c r="G813" s="108"/>
      <c r="H813" s="108"/>
      <c r="I813" s="108"/>
      <c r="J813" s="108"/>
      <c r="K813" s="31" t="str">
        <f t="shared" si="164"/>
        <v>运营中</v>
      </c>
      <c r="L813" s="108"/>
      <c r="M813" s="108"/>
      <c r="N813" s="17"/>
      <c r="O813" s="36">
        <v>44280</v>
      </c>
      <c r="P813" s="17" t="s">
        <v>303</v>
      </c>
      <c r="Q813" s="17" t="s">
        <v>2826</v>
      </c>
      <c r="R813" s="17" t="s">
        <v>2827</v>
      </c>
      <c r="S813" s="108"/>
      <c r="T813" s="108"/>
      <c r="U813" s="111"/>
      <c r="V813" s="108"/>
      <c r="W813" s="108"/>
      <c r="X813" s="108"/>
    </row>
    <row r="814" spans="1:25" s="26" customFormat="1" hidden="1">
      <c r="A814" s="33"/>
      <c r="B814" s="108"/>
      <c r="C814" s="108"/>
      <c r="D814" s="31" t="str">
        <f t="shared" si="163"/>
        <v>Fanatics</v>
      </c>
      <c r="E814" s="108"/>
      <c r="F814" s="111"/>
      <c r="G814" s="108"/>
      <c r="H814" s="108"/>
      <c r="I814" s="108"/>
      <c r="J814" s="108"/>
      <c r="K814" s="31" t="str">
        <f t="shared" si="164"/>
        <v>运营中</v>
      </c>
      <c r="L814" s="108"/>
      <c r="M814" s="108"/>
      <c r="N814" s="17"/>
      <c r="O814" s="36">
        <v>44057</v>
      </c>
      <c r="P814" s="12" t="s">
        <v>285</v>
      </c>
      <c r="Q814" s="17" t="s">
        <v>984</v>
      </c>
      <c r="R814" s="17" t="s">
        <v>2828</v>
      </c>
      <c r="S814" s="108"/>
      <c r="T814" s="108"/>
      <c r="U814" s="111"/>
      <c r="V814" s="108"/>
      <c r="W814" s="108"/>
      <c r="X814" s="108"/>
    </row>
    <row r="815" spans="1:25" s="26" customFormat="1" hidden="1">
      <c r="A815" s="33"/>
      <c r="B815" s="108"/>
      <c r="C815" s="108"/>
      <c r="D815" s="31" t="str">
        <f t="shared" si="163"/>
        <v>Fanatics</v>
      </c>
      <c r="E815" s="108"/>
      <c r="F815" s="111"/>
      <c r="G815" s="108"/>
      <c r="H815" s="108"/>
      <c r="I815" s="108"/>
      <c r="J815" s="108"/>
      <c r="K815" s="31" t="str">
        <f t="shared" si="164"/>
        <v>运营中</v>
      </c>
      <c r="L815" s="108"/>
      <c r="M815" s="108"/>
      <c r="N815" s="17"/>
      <c r="O815" s="36">
        <v>42985</v>
      </c>
      <c r="P815" s="12" t="s">
        <v>285</v>
      </c>
      <c r="Q815" s="17" t="s">
        <v>306</v>
      </c>
      <c r="R815" s="17" t="s">
        <v>2164</v>
      </c>
      <c r="S815" s="108"/>
      <c r="T815" s="108"/>
      <c r="U815" s="111"/>
      <c r="V815" s="108"/>
      <c r="W815" s="108"/>
      <c r="X815" s="108"/>
    </row>
    <row r="816" spans="1:25" s="26" customFormat="1" hidden="1">
      <c r="A816" s="33"/>
      <c r="B816" s="108"/>
      <c r="C816" s="108"/>
      <c r="D816" s="31" t="str">
        <f t="shared" si="163"/>
        <v>Fanatics</v>
      </c>
      <c r="E816" s="108"/>
      <c r="F816" s="111"/>
      <c r="G816" s="108"/>
      <c r="H816" s="108"/>
      <c r="I816" s="108"/>
      <c r="J816" s="108"/>
      <c r="K816" s="31" t="str">
        <f t="shared" si="164"/>
        <v>运营中</v>
      </c>
      <c r="L816" s="108"/>
      <c r="M816" s="108"/>
      <c r="N816" s="17"/>
      <c r="O816" s="36">
        <v>42242</v>
      </c>
      <c r="P816" s="12" t="s">
        <v>285</v>
      </c>
      <c r="Q816" s="17" t="s">
        <v>699</v>
      </c>
      <c r="R816" s="12" t="s">
        <v>2829</v>
      </c>
      <c r="S816" s="108"/>
      <c r="T816" s="108"/>
      <c r="U816" s="111"/>
      <c r="V816" s="108"/>
      <c r="W816" s="108"/>
      <c r="X816" s="108"/>
    </row>
    <row r="817" spans="1:24" s="26" customFormat="1" hidden="1">
      <c r="A817" s="33"/>
      <c r="B817" s="108"/>
      <c r="C817" s="108"/>
      <c r="D817" s="31" t="str">
        <f t="shared" si="163"/>
        <v>Fanatics</v>
      </c>
      <c r="E817" s="108"/>
      <c r="F817" s="111"/>
      <c r="G817" s="108"/>
      <c r="H817" s="108"/>
      <c r="I817" s="108"/>
      <c r="J817" s="108"/>
      <c r="K817" s="31" t="str">
        <f t="shared" si="164"/>
        <v>运营中</v>
      </c>
      <c r="L817" s="108"/>
      <c r="M817" s="108"/>
      <c r="N817" s="17"/>
      <c r="O817" s="36">
        <v>41431</v>
      </c>
      <c r="P817" s="12" t="s">
        <v>285</v>
      </c>
      <c r="Q817" s="17" t="s">
        <v>1508</v>
      </c>
      <c r="R817" s="12" t="s">
        <v>2830</v>
      </c>
      <c r="S817" s="108"/>
      <c r="T817" s="108"/>
      <c r="U817" s="111"/>
      <c r="V817" s="108"/>
      <c r="W817" s="108"/>
      <c r="X817" s="108"/>
    </row>
    <row r="818" spans="1:24" s="26" customFormat="1" hidden="1">
      <c r="A818" s="33"/>
      <c r="B818" s="108"/>
      <c r="C818" s="108"/>
      <c r="D818" s="31" t="str">
        <f t="shared" si="163"/>
        <v>Fanatics</v>
      </c>
      <c r="E818" s="108"/>
      <c r="F818" s="111"/>
      <c r="G818" s="108"/>
      <c r="H818" s="108"/>
      <c r="I818" s="108"/>
      <c r="J818" s="108"/>
      <c r="K818" s="31" t="str">
        <f t="shared" si="164"/>
        <v>运营中</v>
      </c>
      <c r="L818" s="108"/>
      <c r="M818" s="108"/>
      <c r="N818" s="17"/>
      <c r="O818" s="36">
        <v>41067</v>
      </c>
      <c r="P818" s="12" t="s">
        <v>285</v>
      </c>
      <c r="Q818" s="17" t="s">
        <v>2831</v>
      </c>
      <c r="R818" s="17" t="s">
        <v>2832</v>
      </c>
      <c r="S818" s="108"/>
      <c r="T818" s="108"/>
      <c r="U818" s="111"/>
      <c r="V818" s="108"/>
      <c r="W818" s="108"/>
      <c r="X818" s="108"/>
    </row>
    <row r="819" spans="1:24" s="26" customFormat="1" hidden="1">
      <c r="A819" s="33"/>
      <c r="B819" s="108"/>
      <c r="C819" s="108"/>
      <c r="D819" s="31" t="str">
        <f t="shared" si="163"/>
        <v>Fanatics</v>
      </c>
      <c r="E819" s="108"/>
      <c r="F819" s="111"/>
      <c r="G819" s="108"/>
      <c r="H819" s="108"/>
      <c r="I819" s="108"/>
      <c r="J819" s="108"/>
      <c r="K819" s="31" t="str">
        <f t="shared" si="164"/>
        <v>运营中</v>
      </c>
      <c r="L819" s="108"/>
      <c r="M819" s="108"/>
      <c r="N819" s="17"/>
      <c r="O819" s="36">
        <v>40909</v>
      </c>
      <c r="P819" s="12" t="s">
        <v>326</v>
      </c>
      <c r="Q819" s="17" t="s">
        <v>522</v>
      </c>
      <c r="R819" s="17" t="s">
        <v>2833</v>
      </c>
      <c r="S819" s="108"/>
      <c r="T819" s="108"/>
      <c r="U819" s="111"/>
      <c r="V819" s="108"/>
      <c r="W819" s="108"/>
      <c r="X819" s="108"/>
    </row>
    <row r="820" spans="1:24" s="26" customFormat="1" ht="36" hidden="1">
      <c r="A820" s="33"/>
      <c r="B820" s="108"/>
      <c r="C820" s="17" t="s">
        <v>2834</v>
      </c>
      <c r="D820" s="38" t="s">
        <v>2835</v>
      </c>
      <c r="E820" s="12" t="s">
        <v>2835</v>
      </c>
      <c r="F820" s="32" t="s">
        <v>2836</v>
      </c>
      <c r="G820" s="12" t="s">
        <v>2837</v>
      </c>
      <c r="H820" s="17"/>
      <c r="I820" s="17" t="s">
        <v>2381</v>
      </c>
      <c r="J820" s="12" t="s">
        <v>630</v>
      </c>
      <c r="K820" s="12" t="s">
        <v>248</v>
      </c>
      <c r="L820" s="12" t="s">
        <v>1966</v>
      </c>
      <c r="M820" s="12" t="s">
        <v>2838</v>
      </c>
      <c r="N820" s="12"/>
      <c r="O820" s="36">
        <v>42118</v>
      </c>
      <c r="P820" s="12" t="s">
        <v>326</v>
      </c>
      <c r="Q820" s="12" t="s">
        <v>252</v>
      </c>
      <c r="R820" s="12" t="s">
        <v>240</v>
      </c>
      <c r="S820" s="17" t="s">
        <v>2839</v>
      </c>
      <c r="T820" s="12" t="s">
        <v>255</v>
      </c>
      <c r="U820" s="34" t="s">
        <v>2840</v>
      </c>
      <c r="V820" s="17"/>
      <c r="W820" s="17"/>
      <c r="X820" s="17"/>
    </row>
    <row r="821" spans="1:24" s="26" customFormat="1" hidden="1">
      <c r="A821" s="33"/>
      <c r="B821" s="108"/>
      <c r="C821" s="108" t="s">
        <v>2841</v>
      </c>
      <c r="D821" s="31" t="s">
        <v>2842</v>
      </c>
      <c r="E821" s="107" t="s">
        <v>2843</v>
      </c>
      <c r="F821" s="110" t="s">
        <v>2844</v>
      </c>
      <c r="G821" s="107" t="s">
        <v>2845</v>
      </c>
      <c r="H821" s="108" t="s">
        <v>2846</v>
      </c>
      <c r="I821" s="108" t="s">
        <v>2847</v>
      </c>
      <c r="J821" s="107" t="s">
        <v>497</v>
      </c>
      <c r="K821" s="31" t="s">
        <v>272</v>
      </c>
      <c r="L821" s="107" t="s">
        <v>386</v>
      </c>
      <c r="M821" s="107" t="s">
        <v>1767</v>
      </c>
      <c r="N821" s="12">
        <v>1</v>
      </c>
      <c r="O821" s="36">
        <v>44924</v>
      </c>
      <c r="P821" s="17" t="s">
        <v>283</v>
      </c>
      <c r="Q821" s="17" t="s">
        <v>2848</v>
      </c>
      <c r="R821" s="17" t="s">
        <v>253</v>
      </c>
      <c r="S821" s="108" t="s">
        <v>2849</v>
      </c>
      <c r="T821" s="108" t="s">
        <v>2850</v>
      </c>
      <c r="U821" s="110" t="s">
        <v>2851</v>
      </c>
      <c r="V821" s="107" t="s">
        <v>2852</v>
      </c>
      <c r="W821" s="108" t="s">
        <v>2853</v>
      </c>
      <c r="X821" s="108" t="s">
        <v>2854</v>
      </c>
    </row>
    <row r="822" spans="1:24" s="26" customFormat="1" hidden="1">
      <c r="A822" s="33"/>
      <c r="B822" s="108"/>
      <c r="C822" s="108"/>
      <c r="D822" s="31" t="str">
        <f>D821</f>
        <v>星空华文-灿星文化</v>
      </c>
      <c r="E822" s="108"/>
      <c r="F822" s="111"/>
      <c r="G822" s="108"/>
      <c r="H822" s="108"/>
      <c r="I822" s="108"/>
      <c r="J822" s="108"/>
      <c r="K822" s="31" t="str">
        <f t="shared" ref="K822:K826" si="165">K821</f>
        <v>运营中</v>
      </c>
      <c r="L822" s="108"/>
      <c r="M822" s="108"/>
      <c r="N822" s="12">
        <v>1</v>
      </c>
      <c r="O822" s="36">
        <v>43312</v>
      </c>
      <c r="P822" s="12" t="s">
        <v>285</v>
      </c>
      <c r="Q822" s="17" t="s">
        <v>2855</v>
      </c>
      <c r="R822" s="12" t="s">
        <v>2856</v>
      </c>
      <c r="S822" s="108"/>
      <c r="T822" s="108"/>
      <c r="U822" s="111"/>
      <c r="V822" s="108"/>
      <c r="W822" s="108"/>
      <c r="X822" s="108"/>
    </row>
    <row r="823" spans="1:24" s="26" customFormat="1" hidden="1">
      <c r="A823" s="33"/>
      <c r="B823" s="108"/>
      <c r="C823" s="108"/>
      <c r="D823" s="31" t="str">
        <f>D822</f>
        <v>星空华文-灿星文化</v>
      </c>
      <c r="E823" s="108"/>
      <c r="F823" s="111"/>
      <c r="G823" s="108"/>
      <c r="H823" s="108"/>
      <c r="I823" s="108"/>
      <c r="J823" s="108"/>
      <c r="K823" s="31" t="str">
        <f t="shared" si="165"/>
        <v>运营中</v>
      </c>
      <c r="L823" s="108"/>
      <c r="M823" s="108"/>
      <c r="N823" s="12">
        <v>1</v>
      </c>
      <c r="O823" s="36">
        <v>43216</v>
      </c>
      <c r="P823" s="17" t="s">
        <v>303</v>
      </c>
      <c r="Q823" s="12" t="s">
        <v>409</v>
      </c>
      <c r="R823" s="12" t="s">
        <v>2857</v>
      </c>
      <c r="S823" s="108"/>
      <c r="T823" s="108"/>
      <c r="U823" s="111"/>
      <c r="V823" s="108"/>
      <c r="W823" s="108"/>
      <c r="X823" s="108"/>
    </row>
    <row r="824" spans="1:24" s="26" customFormat="1" hidden="1">
      <c r="A824" s="33"/>
      <c r="B824" s="108"/>
      <c r="C824" s="108"/>
      <c r="D824" s="31" t="str">
        <f>D823</f>
        <v>星空华文-灿星文化</v>
      </c>
      <c r="E824" s="108"/>
      <c r="F824" s="111"/>
      <c r="G824" s="108"/>
      <c r="H824" s="108"/>
      <c r="I824" s="108"/>
      <c r="J824" s="108"/>
      <c r="K824" s="31" t="str">
        <f t="shared" si="165"/>
        <v>运营中</v>
      </c>
      <c r="L824" s="108"/>
      <c r="M824" s="108"/>
      <c r="N824" s="12">
        <v>1</v>
      </c>
      <c r="O824" s="36">
        <v>43087</v>
      </c>
      <c r="P824" s="12" t="s">
        <v>285</v>
      </c>
      <c r="Q824" s="12" t="s">
        <v>409</v>
      </c>
      <c r="R824" s="17" t="s">
        <v>253</v>
      </c>
      <c r="S824" s="108"/>
      <c r="T824" s="108"/>
      <c r="U824" s="111"/>
      <c r="V824" s="108"/>
      <c r="W824" s="108"/>
      <c r="X824" s="108"/>
    </row>
    <row r="825" spans="1:24" s="26" customFormat="1" hidden="1">
      <c r="A825" s="33"/>
      <c r="B825" s="108"/>
      <c r="C825" s="108"/>
      <c r="D825" s="31" t="str">
        <f>D824</f>
        <v>星空华文-灿星文化</v>
      </c>
      <c r="E825" s="108"/>
      <c r="F825" s="111"/>
      <c r="G825" s="108"/>
      <c r="H825" s="108"/>
      <c r="I825" s="108"/>
      <c r="J825" s="108"/>
      <c r="K825" s="31" t="str">
        <f t="shared" si="165"/>
        <v>运营中</v>
      </c>
      <c r="L825" s="108"/>
      <c r="M825" s="108"/>
      <c r="N825" s="12">
        <v>1</v>
      </c>
      <c r="O825" s="36">
        <v>42487</v>
      </c>
      <c r="P825" s="17" t="s">
        <v>257</v>
      </c>
      <c r="Q825" s="17" t="s">
        <v>1115</v>
      </c>
      <c r="R825" s="12" t="s">
        <v>2858</v>
      </c>
      <c r="S825" s="108"/>
      <c r="T825" s="108"/>
      <c r="U825" s="111"/>
      <c r="V825" s="108"/>
      <c r="W825" s="108"/>
      <c r="X825" s="108"/>
    </row>
    <row r="826" spans="1:24" s="26" customFormat="1" hidden="1">
      <c r="A826" s="33"/>
      <c r="B826" s="108"/>
      <c r="C826" s="108"/>
      <c r="D826" s="31" t="str">
        <f>D825</f>
        <v>星空华文-灿星文化</v>
      </c>
      <c r="E826" s="108"/>
      <c r="F826" s="111"/>
      <c r="G826" s="108"/>
      <c r="H826" s="108"/>
      <c r="I826" s="108"/>
      <c r="J826" s="108"/>
      <c r="K826" s="31" t="str">
        <f t="shared" si="165"/>
        <v>运营中</v>
      </c>
      <c r="L826" s="108"/>
      <c r="M826" s="108"/>
      <c r="N826" s="12">
        <v>1</v>
      </c>
      <c r="O826" s="36">
        <v>40685</v>
      </c>
      <c r="P826" s="17" t="s">
        <v>262</v>
      </c>
      <c r="Q826" s="12" t="s">
        <v>341</v>
      </c>
      <c r="R826" s="17" t="s">
        <v>2859</v>
      </c>
      <c r="S826" s="108"/>
      <c r="T826" s="108"/>
      <c r="U826" s="111"/>
      <c r="V826" s="108"/>
      <c r="W826" s="108"/>
      <c r="X826" s="108"/>
    </row>
    <row r="827" spans="1:24" s="26" customFormat="1" hidden="1">
      <c r="A827" s="33"/>
      <c r="B827" s="108"/>
      <c r="C827" s="108" t="s">
        <v>2860</v>
      </c>
      <c r="D827" s="31" t="s">
        <v>2861</v>
      </c>
      <c r="E827" s="107" t="s">
        <v>2861</v>
      </c>
      <c r="F827" s="110" t="s">
        <v>2862</v>
      </c>
      <c r="G827" s="107" t="s">
        <v>2863</v>
      </c>
      <c r="H827" s="108" t="s">
        <v>2864</v>
      </c>
      <c r="I827" s="108" t="s">
        <v>2865</v>
      </c>
      <c r="J827" s="107" t="s">
        <v>1472</v>
      </c>
      <c r="K827" s="31" t="s">
        <v>272</v>
      </c>
      <c r="L827" s="107" t="s">
        <v>350</v>
      </c>
      <c r="M827" s="107" t="s">
        <v>1379</v>
      </c>
      <c r="N827" s="12">
        <v>1</v>
      </c>
      <c r="O827" s="36">
        <v>42612</v>
      </c>
      <c r="P827" s="12" t="s">
        <v>471</v>
      </c>
      <c r="Q827" s="17" t="s">
        <v>2866</v>
      </c>
      <c r="R827" s="12" t="s">
        <v>2867</v>
      </c>
      <c r="S827" s="108" t="s">
        <v>2868</v>
      </c>
      <c r="T827" s="108" t="s">
        <v>2869</v>
      </c>
      <c r="U827" s="110" t="s">
        <v>2870</v>
      </c>
      <c r="V827" s="107" t="s">
        <v>2871</v>
      </c>
      <c r="W827" s="108" t="s">
        <v>2872</v>
      </c>
      <c r="X827" s="108" t="s">
        <v>2873</v>
      </c>
    </row>
    <row r="828" spans="1:24" s="26" customFormat="1" hidden="1">
      <c r="A828" s="33"/>
      <c r="B828" s="108"/>
      <c r="C828" s="108"/>
      <c r="D828" s="31" t="str">
        <f>D827</f>
        <v>名鞋库</v>
      </c>
      <c r="E828" s="108"/>
      <c r="F828" s="111"/>
      <c r="G828" s="108"/>
      <c r="H828" s="108"/>
      <c r="I828" s="108"/>
      <c r="J828" s="108"/>
      <c r="K828" s="31" t="str">
        <f>K827</f>
        <v>运营中</v>
      </c>
      <c r="L828" s="108"/>
      <c r="M828" s="108"/>
      <c r="N828" s="12">
        <v>1</v>
      </c>
      <c r="O828" s="36">
        <v>40724</v>
      </c>
      <c r="P828" s="17" t="s">
        <v>262</v>
      </c>
      <c r="Q828" s="17" t="s">
        <v>322</v>
      </c>
      <c r="R828" s="12" t="s">
        <v>240</v>
      </c>
      <c r="S828" s="108"/>
      <c r="T828" s="108"/>
      <c r="U828" s="111"/>
      <c r="V828" s="108"/>
      <c r="W828" s="108"/>
      <c r="X828" s="108"/>
    </row>
    <row r="829" spans="1:24" s="26" customFormat="1" hidden="1">
      <c r="A829" s="33"/>
      <c r="B829" s="108"/>
      <c r="C829" s="108" t="s">
        <v>2874</v>
      </c>
      <c r="D829" s="31" t="s">
        <v>2875</v>
      </c>
      <c r="E829" s="108" t="s">
        <v>2875</v>
      </c>
      <c r="F829" s="111" t="s">
        <v>2876</v>
      </c>
      <c r="G829" s="108"/>
      <c r="H829" s="108" t="s">
        <v>2877</v>
      </c>
      <c r="I829" s="108" t="s">
        <v>270</v>
      </c>
      <c r="J829" s="107" t="s">
        <v>2878</v>
      </c>
      <c r="K829" s="31" t="s">
        <v>272</v>
      </c>
      <c r="L829" s="107" t="s">
        <v>350</v>
      </c>
      <c r="M829" s="107" t="s">
        <v>617</v>
      </c>
      <c r="N829" s="12">
        <v>1</v>
      </c>
      <c r="O829" s="36">
        <v>43228</v>
      </c>
      <c r="P829" s="12" t="s">
        <v>471</v>
      </c>
      <c r="Q829" s="12" t="s">
        <v>2879</v>
      </c>
      <c r="R829" s="12" t="s">
        <v>240</v>
      </c>
      <c r="S829" s="108" t="s">
        <v>2880</v>
      </c>
      <c r="T829" s="107" t="s">
        <v>255</v>
      </c>
      <c r="U829" s="111" t="s">
        <v>2881</v>
      </c>
      <c r="V829" s="108"/>
      <c r="W829" s="108"/>
      <c r="X829" s="108"/>
    </row>
    <row r="830" spans="1:24" s="26" customFormat="1" hidden="1">
      <c r="A830" s="33"/>
      <c r="B830" s="108"/>
      <c r="C830" s="108"/>
      <c r="D830" s="31" t="str">
        <f>D829</f>
        <v>Daraz</v>
      </c>
      <c r="E830" s="108"/>
      <c r="F830" s="111"/>
      <c r="G830" s="108"/>
      <c r="H830" s="108"/>
      <c r="I830" s="108"/>
      <c r="J830" s="108"/>
      <c r="K830" s="31" t="str">
        <f>K829</f>
        <v>运营中</v>
      </c>
      <c r="L830" s="108"/>
      <c r="M830" s="108"/>
      <c r="N830" s="12">
        <v>1</v>
      </c>
      <c r="O830" s="36">
        <v>42270</v>
      </c>
      <c r="P830" s="17" t="s">
        <v>262</v>
      </c>
      <c r="Q830" s="17" t="s">
        <v>2582</v>
      </c>
      <c r="R830" s="17" t="s">
        <v>253</v>
      </c>
      <c r="S830" s="108"/>
      <c r="T830" s="108"/>
      <c r="U830" s="111"/>
      <c r="V830" s="108"/>
      <c r="W830" s="108"/>
      <c r="X830" s="108"/>
    </row>
    <row r="831" spans="1:24" s="26" customFormat="1" hidden="1">
      <c r="A831" s="33"/>
      <c r="B831" s="108"/>
      <c r="C831" s="108" t="s">
        <v>2882</v>
      </c>
      <c r="D831" s="31" t="s">
        <v>2883</v>
      </c>
      <c r="E831" s="107" t="s">
        <v>2883</v>
      </c>
      <c r="F831" s="110" t="s">
        <v>2884</v>
      </c>
      <c r="G831" s="107" t="s">
        <v>2885</v>
      </c>
      <c r="H831" s="108" t="s">
        <v>2886</v>
      </c>
      <c r="I831" s="108" t="s">
        <v>2887</v>
      </c>
      <c r="J831" s="107" t="s">
        <v>630</v>
      </c>
      <c r="K831" s="35" t="s">
        <v>248</v>
      </c>
      <c r="L831" s="107" t="s">
        <v>350</v>
      </c>
      <c r="M831" s="107" t="s">
        <v>1379</v>
      </c>
      <c r="N831" s="12"/>
      <c r="O831" s="36">
        <v>43350</v>
      </c>
      <c r="P831" s="12" t="s">
        <v>285</v>
      </c>
      <c r="Q831" s="12" t="s">
        <v>258</v>
      </c>
      <c r="R831" s="12" t="s">
        <v>240</v>
      </c>
      <c r="S831" s="108" t="s">
        <v>2888</v>
      </c>
      <c r="T831" s="108" t="s">
        <v>899</v>
      </c>
      <c r="U831" s="110" t="s">
        <v>2889</v>
      </c>
      <c r="V831" s="107" t="s">
        <v>2890</v>
      </c>
      <c r="W831" s="108" t="s">
        <v>2891</v>
      </c>
      <c r="X831" s="108" t="s">
        <v>2892</v>
      </c>
    </row>
    <row r="832" spans="1:24" s="26" customFormat="1" hidden="1">
      <c r="A832" s="33"/>
      <c r="B832" s="108"/>
      <c r="C832" s="108"/>
      <c r="D832" s="31" t="str">
        <f>D831</f>
        <v>衣二三</v>
      </c>
      <c r="E832" s="108"/>
      <c r="F832" s="111"/>
      <c r="G832" s="108"/>
      <c r="H832" s="108"/>
      <c r="I832" s="108"/>
      <c r="J832" s="108"/>
      <c r="K832" s="37" t="str">
        <f t="shared" ref="K832:K836" si="166">K831</f>
        <v>已关闭</v>
      </c>
      <c r="L832" s="108"/>
      <c r="M832" s="108"/>
      <c r="N832" s="17"/>
      <c r="O832" s="36">
        <v>42984</v>
      </c>
      <c r="P832" s="17" t="s">
        <v>251</v>
      </c>
      <c r="Q832" s="17" t="s">
        <v>1032</v>
      </c>
      <c r="R832" s="12" t="s">
        <v>2893</v>
      </c>
      <c r="S832" s="108"/>
      <c r="T832" s="108"/>
      <c r="U832" s="111"/>
      <c r="V832" s="108"/>
      <c r="W832" s="108"/>
      <c r="X832" s="108"/>
    </row>
    <row r="833" spans="1:24" s="26" customFormat="1" hidden="1">
      <c r="A833" s="33"/>
      <c r="B833" s="108"/>
      <c r="C833" s="108"/>
      <c r="D833" s="31" t="str">
        <f>D832</f>
        <v>衣二三</v>
      </c>
      <c r="E833" s="108"/>
      <c r="F833" s="111"/>
      <c r="G833" s="108"/>
      <c r="H833" s="108"/>
      <c r="I833" s="108"/>
      <c r="J833" s="108"/>
      <c r="K833" s="37" t="str">
        <f t="shared" si="166"/>
        <v>已关闭</v>
      </c>
      <c r="L833" s="108"/>
      <c r="M833" s="108"/>
      <c r="N833" s="17"/>
      <c r="O833" s="36">
        <v>42811</v>
      </c>
      <c r="P833" s="17" t="s">
        <v>257</v>
      </c>
      <c r="Q833" s="17" t="s">
        <v>458</v>
      </c>
      <c r="R833" s="17" t="s">
        <v>2894</v>
      </c>
      <c r="S833" s="108"/>
      <c r="T833" s="108"/>
      <c r="U833" s="111"/>
      <c r="V833" s="108"/>
      <c r="W833" s="108"/>
      <c r="X833" s="108"/>
    </row>
    <row r="834" spans="1:24" s="26" customFormat="1" hidden="1">
      <c r="A834" s="33"/>
      <c r="B834" s="108"/>
      <c r="C834" s="108"/>
      <c r="D834" s="31" t="str">
        <f>D833</f>
        <v>衣二三</v>
      </c>
      <c r="E834" s="108"/>
      <c r="F834" s="111"/>
      <c r="G834" s="108"/>
      <c r="H834" s="108"/>
      <c r="I834" s="108"/>
      <c r="J834" s="108"/>
      <c r="K834" s="37" t="str">
        <f t="shared" si="166"/>
        <v>已关闭</v>
      </c>
      <c r="L834" s="108"/>
      <c r="M834" s="108"/>
      <c r="N834" s="17"/>
      <c r="O834" s="36">
        <v>42485</v>
      </c>
      <c r="P834" s="17" t="s">
        <v>260</v>
      </c>
      <c r="Q834" s="17" t="s">
        <v>337</v>
      </c>
      <c r="R834" s="17" t="s">
        <v>2895</v>
      </c>
      <c r="S834" s="108"/>
      <c r="T834" s="108"/>
      <c r="U834" s="111"/>
      <c r="V834" s="108"/>
      <c r="W834" s="108"/>
      <c r="X834" s="108"/>
    </row>
    <row r="835" spans="1:24" s="26" customFormat="1" hidden="1">
      <c r="A835" s="33"/>
      <c r="B835" s="108"/>
      <c r="C835" s="108"/>
      <c r="D835" s="31" t="str">
        <f>D834</f>
        <v>衣二三</v>
      </c>
      <c r="E835" s="108"/>
      <c r="F835" s="111"/>
      <c r="G835" s="108"/>
      <c r="H835" s="108"/>
      <c r="I835" s="108"/>
      <c r="J835" s="108"/>
      <c r="K835" s="37" t="str">
        <f t="shared" si="166"/>
        <v>已关闭</v>
      </c>
      <c r="L835" s="108"/>
      <c r="M835" s="108"/>
      <c r="N835" s="17"/>
      <c r="O835" s="36">
        <v>42283</v>
      </c>
      <c r="P835" s="17" t="s">
        <v>262</v>
      </c>
      <c r="Q835" s="12" t="s">
        <v>261</v>
      </c>
      <c r="R835" s="12" t="s">
        <v>2896</v>
      </c>
      <c r="S835" s="108"/>
      <c r="T835" s="108"/>
      <c r="U835" s="111"/>
      <c r="V835" s="108"/>
      <c r="W835" s="108"/>
      <c r="X835" s="108"/>
    </row>
    <row r="836" spans="1:24" s="26" customFormat="1" hidden="1">
      <c r="A836" s="33"/>
      <c r="B836" s="108"/>
      <c r="C836" s="108"/>
      <c r="D836" s="31" t="str">
        <f>D835</f>
        <v>衣二三</v>
      </c>
      <c r="E836" s="108"/>
      <c r="F836" s="111"/>
      <c r="G836" s="108"/>
      <c r="H836" s="108"/>
      <c r="I836" s="108"/>
      <c r="J836" s="108"/>
      <c r="K836" s="37" t="str">
        <f t="shared" si="166"/>
        <v>已关闭</v>
      </c>
      <c r="L836" s="108"/>
      <c r="M836" s="108"/>
      <c r="N836" s="17"/>
      <c r="O836" s="36">
        <v>42036</v>
      </c>
      <c r="P836" s="12" t="s">
        <v>326</v>
      </c>
      <c r="Q836" s="12" t="s">
        <v>327</v>
      </c>
      <c r="R836" s="17" t="s">
        <v>253</v>
      </c>
      <c r="S836" s="108"/>
      <c r="T836" s="108"/>
      <c r="U836" s="111"/>
      <c r="V836" s="108"/>
      <c r="W836" s="108"/>
      <c r="X836" s="108"/>
    </row>
    <row r="837" spans="1:24" s="26" customFormat="1" hidden="1">
      <c r="A837" s="33"/>
      <c r="B837" s="108"/>
      <c r="C837" s="108" t="s">
        <v>2897</v>
      </c>
      <c r="D837" s="31" t="s">
        <v>1998</v>
      </c>
      <c r="E837" s="108" t="s">
        <v>1998</v>
      </c>
      <c r="F837" s="111" t="s">
        <v>2898</v>
      </c>
      <c r="G837" s="108"/>
      <c r="H837" s="108" t="s">
        <v>2899</v>
      </c>
      <c r="I837" s="108" t="s">
        <v>246</v>
      </c>
      <c r="J837" s="107" t="s">
        <v>1725</v>
      </c>
      <c r="K837" s="31" t="s">
        <v>272</v>
      </c>
      <c r="L837" s="107" t="s">
        <v>1859</v>
      </c>
      <c r="M837" s="107" t="s">
        <v>2900</v>
      </c>
      <c r="N837" s="12"/>
      <c r="O837" s="36">
        <v>44396</v>
      </c>
      <c r="P837" s="17" t="s">
        <v>763</v>
      </c>
      <c r="Q837" s="17" t="s">
        <v>2901</v>
      </c>
      <c r="R837" s="12" t="s">
        <v>2902</v>
      </c>
      <c r="S837" s="108" t="s">
        <v>2903</v>
      </c>
      <c r="T837" s="108" t="s">
        <v>2904</v>
      </c>
      <c r="U837" s="111" t="s">
        <v>2905</v>
      </c>
      <c r="V837" s="108"/>
      <c r="W837" s="108"/>
      <c r="X837" s="108"/>
    </row>
    <row r="838" spans="1:24" s="26" customFormat="1" hidden="1">
      <c r="A838" s="33"/>
      <c r="B838" s="108"/>
      <c r="C838" s="108"/>
      <c r="D838" s="31" t="str">
        <f t="shared" ref="D838:D848" si="167">D837</f>
        <v>Paytm</v>
      </c>
      <c r="E838" s="108"/>
      <c r="F838" s="111"/>
      <c r="G838" s="108"/>
      <c r="H838" s="108"/>
      <c r="I838" s="108"/>
      <c r="J838" s="108"/>
      <c r="K838" s="31" t="str">
        <f t="shared" ref="K838:K848" si="168">K837</f>
        <v>运营中</v>
      </c>
      <c r="L838" s="108"/>
      <c r="M838" s="108"/>
      <c r="N838" s="17"/>
      <c r="O838" s="36">
        <v>44055</v>
      </c>
      <c r="P838" s="12" t="s">
        <v>285</v>
      </c>
      <c r="Q838" s="17" t="s">
        <v>320</v>
      </c>
      <c r="R838" s="12" t="s">
        <v>2906</v>
      </c>
      <c r="S838" s="108"/>
      <c r="T838" s="108"/>
      <c r="U838" s="111"/>
      <c r="V838" s="108"/>
      <c r="W838" s="108"/>
      <c r="X838" s="108"/>
    </row>
    <row r="839" spans="1:24" s="26" customFormat="1" hidden="1">
      <c r="A839" s="33"/>
      <c r="B839" s="108"/>
      <c r="C839" s="108"/>
      <c r="D839" s="31" t="str">
        <f t="shared" si="167"/>
        <v>Paytm</v>
      </c>
      <c r="E839" s="108"/>
      <c r="F839" s="111"/>
      <c r="G839" s="108"/>
      <c r="H839" s="108"/>
      <c r="I839" s="108"/>
      <c r="J839" s="108"/>
      <c r="K839" s="31" t="str">
        <f t="shared" si="168"/>
        <v>运营中</v>
      </c>
      <c r="L839" s="108"/>
      <c r="M839" s="108"/>
      <c r="N839" s="17"/>
      <c r="O839" s="36">
        <v>43794</v>
      </c>
      <c r="P839" s="17" t="s">
        <v>2237</v>
      </c>
      <c r="Q839" s="17" t="s">
        <v>306</v>
      </c>
      <c r="R839" s="12" t="s">
        <v>2907</v>
      </c>
      <c r="S839" s="108"/>
      <c r="T839" s="108"/>
      <c r="U839" s="111"/>
      <c r="V839" s="108"/>
      <c r="W839" s="108"/>
      <c r="X839" s="108"/>
    </row>
    <row r="840" spans="1:24" s="26" customFormat="1" hidden="1">
      <c r="A840" s="33"/>
      <c r="B840" s="108"/>
      <c r="C840" s="108"/>
      <c r="D840" s="31" t="str">
        <f t="shared" si="167"/>
        <v>Paytm</v>
      </c>
      <c r="E840" s="108"/>
      <c r="F840" s="111"/>
      <c r="G840" s="108"/>
      <c r="H840" s="108"/>
      <c r="I840" s="108"/>
      <c r="J840" s="108"/>
      <c r="K840" s="31" t="str">
        <f t="shared" si="168"/>
        <v>运营中</v>
      </c>
      <c r="L840" s="108"/>
      <c r="M840" s="108"/>
      <c r="N840" s="17"/>
      <c r="O840" s="36">
        <v>43550</v>
      </c>
      <c r="P840" s="12" t="s">
        <v>285</v>
      </c>
      <c r="Q840" s="17" t="s">
        <v>1032</v>
      </c>
      <c r="R840" s="12" t="s">
        <v>296</v>
      </c>
      <c r="S840" s="108"/>
      <c r="T840" s="108"/>
      <c r="U840" s="111"/>
      <c r="V840" s="108"/>
      <c r="W840" s="108"/>
      <c r="X840" s="108"/>
    </row>
    <row r="841" spans="1:24" s="26" customFormat="1" hidden="1">
      <c r="A841" s="33"/>
      <c r="B841" s="108"/>
      <c r="C841" s="108"/>
      <c r="D841" s="31" t="str">
        <f t="shared" si="167"/>
        <v>Paytm</v>
      </c>
      <c r="E841" s="108"/>
      <c r="F841" s="111"/>
      <c r="G841" s="108"/>
      <c r="H841" s="108"/>
      <c r="I841" s="108"/>
      <c r="J841" s="108"/>
      <c r="K841" s="31" t="str">
        <f t="shared" si="168"/>
        <v>运营中</v>
      </c>
      <c r="L841" s="108"/>
      <c r="M841" s="108"/>
      <c r="N841" s="17"/>
      <c r="O841" s="36">
        <v>43340</v>
      </c>
      <c r="P841" s="12" t="s">
        <v>285</v>
      </c>
      <c r="Q841" s="17" t="s">
        <v>2908</v>
      </c>
      <c r="R841" s="17" t="s">
        <v>2909</v>
      </c>
      <c r="S841" s="108"/>
      <c r="T841" s="108"/>
      <c r="U841" s="111"/>
      <c r="V841" s="108"/>
      <c r="W841" s="108"/>
      <c r="X841" s="108"/>
    </row>
    <row r="842" spans="1:24" s="26" customFormat="1" hidden="1">
      <c r="A842" s="33"/>
      <c r="B842" s="108"/>
      <c r="C842" s="108"/>
      <c r="D842" s="31" t="str">
        <f t="shared" si="167"/>
        <v>Paytm</v>
      </c>
      <c r="E842" s="108"/>
      <c r="F842" s="111"/>
      <c r="G842" s="108"/>
      <c r="H842" s="108"/>
      <c r="I842" s="108"/>
      <c r="J842" s="108"/>
      <c r="K842" s="31" t="str">
        <f t="shared" si="168"/>
        <v>运营中</v>
      </c>
      <c r="L842" s="108"/>
      <c r="M842" s="108"/>
      <c r="N842" s="17"/>
      <c r="O842" s="36">
        <v>43265</v>
      </c>
      <c r="P842" s="12" t="s">
        <v>285</v>
      </c>
      <c r="Q842" s="17" t="s">
        <v>2910</v>
      </c>
      <c r="R842" s="12" t="s">
        <v>2911</v>
      </c>
      <c r="S842" s="108"/>
      <c r="T842" s="108"/>
      <c r="U842" s="111"/>
      <c r="V842" s="108"/>
      <c r="W842" s="108"/>
      <c r="X842" s="108"/>
    </row>
    <row r="843" spans="1:24" s="26" customFormat="1" hidden="1">
      <c r="A843" s="33"/>
      <c r="B843" s="108"/>
      <c r="C843" s="108"/>
      <c r="D843" s="31" t="str">
        <f t="shared" si="167"/>
        <v>Paytm</v>
      </c>
      <c r="E843" s="108"/>
      <c r="F843" s="111"/>
      <c r="G843" s="108"/>
      <c r="H843" s="108"/>
      <c r="I843" s="108"/>
      <c r="J843" s="108"/>
      <c r="K843" s="31" t="str">
        <f t="shared" si="168"/>
        <v>运营中</v>
      </c>
      <c r="L843" s="108"/>
      <c r="M843" s="108"/>
      <c r="N843" s="17"/>
      <c r="O843" s="36">
        <v>43068</v>
      </c>
      <c r="P843" s="12" t="s">
        <v>285</v>
      </c>
      <c r="Q843" s="17" t="s">
        <v>286</v>
      </c>
      <c r="R843" s="12" t="s">
        <v>2912</v>
      </c>
      <c r="S843" s="108"/>
      <c r="T843" s="108"/>
      <c r="U843" s="111"/>
      <c r="V843" s="108"/>
      <c r="W843" s="108"/>
      <c r="X843" s="108"/>
    </row>
    <row r="844" spans="1:24" s="26" customFormat="1" hidden="1">
      <c r="A844" s="33"/>
      <c r="B844" s="108"/>
      <c r="C844" s="108"/>
      <c r="D844" s="31" t="str">
        <f t="shared" si="167"/>
        <v>Paytm</v>
      </c>
      <c r="E844" s="108"/>
      <c r="F844" s="111"/>
      <c r="G844" s="108"/>
      <c r="H844" s="108"/>
      <c r="I844" s="108"/>
      <c r="J844" s="108"/>
      <c r="K844" s="31" t="str">
        <f t="shared" si="168"/>
        <v>运营中</v>
      </c>
      <c r="L844" s="108"/>
      <c r="M844" s="108"/>
      <c r="N844" s="17"/>
      <c r="O844" s="36">
        <v>42874</v>
      </c>
      <c r="P844" s="17" t="s">
        <v>317</v>
      </c>
      <c r="Q844" s="17" t="s">
        <v>2913</v>
      </c>
      <c r="R844" s="12" t="s">
        <v>2912</v>
      </c>
      <c r="S844" s="108"/>
      <c r="T844" s="108"/>
      <c r="U844" s="111"/>
      <c r="V844" s="108"/>
      <c r="W844" s="108"/>
      <c r="X844" s="108"/>
    </row>
    <row r="845" spans="1:24" s="26" customFormat="1" hidden="1">
      <c r="A845" s="33"/>
      <c r="B845" s="108"/>
      <c r="C845" s="108"/>
      <c r="D845" s="31" t="str">
        <f t="shared" si="167"/>
        <v>Paytm</v>
      </c>
      <c r="E845" s="108"/>
      <c r="F845" s="111"/>
      <c r="G845" s="108"/>
      <c r="H845" s="108"/>
      <c r="I845" s="108"/>
      <c r="J845" s="108"/>
      <c r="K845" s="31" t="str">
        <f t="shared" si="168"/>
        <v>运营中</v>
      </c>
      <c r="L845" s="108"/>
      <c r="M845" s="108"/>
      <c r="N845" s="17"/>
      <c r="O845" s="36">
        <v>42614</v>
      </c>
      <c r="P845" s="12" t="s">
        <v>285</v>
      </c>
      <c r="Q845" s="17" t="s">
        <v>885</v>
      </c>
      <c r="R845" s="12" t="s">
        <v>2914</v>
      </c>
      <c r="S845" s="108"/>
      <c r="T845" s="108"/>
      <c r="U845" s="111"/>
      <c r="V845" s="108"/>
      <c r="W845" s="108"/>
      <c r="X845" s="108"/>
    </row>
    <row r="846" spans="1:24" s="26" customFormat="1" hidden="1">
      <c r="A846" s="33"/>
      <c r="B846" s="108"/>
      <c r="C846" s="108"/>
      <c r="D846" s="31" t="str">
        <f t="shared" si="167"/>
        <v>Paytm</v>
      </c>
      <c r="E846" s="108"/>
      <c r="F846" s="111"/>
      <c r="G846" s="108"/>
      <c r="H846" s="108"/>
      <c r="I846" s="108"/>
      <c r="J846" s="108"/>
      <c r="K846" s="31" t="str">
        <f t="shared" si="168"/>
        <v>运营中</v>
      </c>
      <c r="L846" s="108"/>
      <c r="M846" s="108"/>
      <c r="N846" s="17"/>
      <c r="O846" s="36">
        <v>42611</v>
      </c>
      <c r="P846" s="17" t="s">
        <v>251</v>
      </c>
      <c r="Q846" s="12" t="s">
        <v>299</v>
      </c>
      <c r="R846" s="12" t="s">
        <v>2915</v>
      </c>
      <c r="S846" s="108"/>
      <c r="T846" s="108"/>
      <c r="U846" s="111"/>
      <c r="V846" s="108"/>
      <c r="W846" s="108"/>
      <c r="X846" s="108"/>
    </row>
    <row r="847" spans="1:24" s="26" customFormat="1" hidden="1">
      <c r="A847" s="33"/>
      <c r="B847" s="108"/>
      <c r="C847" s="108"/>
      <c r="D847" s="31" t="str">
        <f t="shared" si="167"/>
        <v>Paytm</v>
      </c>
      <c r="E847" s="108"/>
      <c r="F847" s="111"/>
      <c r="G847" s="108"/>
      <c r="H847" s="108"/>
      <c r="I847" s="108"/>
      <c r="J847" s="108"/>
      <c r="K847" s="31" t="str">
        <f t="shared" si="168"/>
        <v>运营中</v>
      </c>
      <c r="L847" s="108"/>
      <c r="M847" s="108"/>
      <c r="N847" s="17"/>
      <c r="O847" s="36">
        <v>42276</v>
      </c>
      <c r="P847" s="17" t="s">
        <v>257</v>
      </c>
      <c r="Q847" s="17" t="s">
        <v>2916</v>
      </c>
      <c r="R847" s="12" t="s">
        <v>586</v>
      </c>
      <c r="S847" s="108"/>
      <c r="T847" s="108"/>
      <c r="U847" s="111"/>
      <c r="V847" s="108"/>
      <c r="W847" s="108"/>
      <c r="X847" s="108"/>
    </row>
    <row r="848" spans="1:24" s="26" customFormat="1" hidden="1">
      <c r="A848" s="33"/>
      <c r="B848" s="108"/>
      <c r="C848" s="108"/>
      <c r="D848" s="31" t="str">
        <f t="shared" si="167"/>
        <v>Paytm</v>
      </c>
      <c r="E848" s="108"/>
      <c r="F848" s="111"/>
      <c r="G848" s="108"/>
      <c r="H848" s="108"/>
      <c r="I848" s="108"/>
      <c r="J848" s="108"/>
      <c r="K848" s="31" t="str">
        <f t="shared" si="168"/>
        <v>运营中</v>
      </c>
      <c r="L848" s="108"/>
      <c r="M848" s="108"/>
      <c r="N848" s="17"/>
      <c r="O848" s="36">
        <v>42036</v>
      </c>
      <c r="P848" s="17" t="s">
        <v>262</v>
      </c>
      <c r="Q848" s="17" t="s">
        <v>2917</v>
      </c>
      <c r="R848" s="12" t="s">
        <v>2229</v>
      </c>
      <c r="S848" s="108"/>
      <c r="T848" s="108"/>
      <c r="U848" s="111"/>
      <c r="V848" s="108"/>
      <c r="W848" s="108"/>
      <c r="X848" s="108"/>
    </row>
    <row r="849" spans="1:24" s="26" customFormat="1" hidden="1">
      <c r="A849" s="33"/>
      <c r="B849" s="108"/>
      <c r="C849" s="108" t="s">
        <v>2918</v>
      </c>
      <c r="D849" s="31" t="s">
        <v>2919</v>
      </c>
      <c r="E849" s="108" t="s">
        <v>2919</v>
      </c>
      <c r="F849" s="111" t="s">
        <v>2920</v>
      </c>
      <c r="G849" s="108"/>
      <c r="H849" s="108" t="s">
        <v>2921</v>
      </c>
      <c r="I849" s="108" t="s">
        <v>616</v>
      </c>
      <c r="J849" s="107" t="s">
        <v>1564</v>
      </c>
      <c r="K849" s="31" t="s">
        <v>272</v>
      </c>
      <c r="L849" s="107" t="s">
        <v>350</v>
      </c>
      <c r="M849" s="107" t="s">
        <v>617</v>
      </c>
      <c r="N849" s="12">
        <v>1</v>
      </c>
      <c r="O849" s="36">
        <v>44169</v>
      </c>
      <c r="P849" s="12" t="s">
        <v>471</v>
      </c>
      <c r="Q849" s="12" t="s">
        <v>276</v>
      </c>
      <c r="R849" s="17" t="s">
        <v>2922</v>
      </c>
      <c r="S849" s="108" t="s">
        <v>2923</v>
      </c>
      <c r="T849" s="107" t="s">
        <v>255</v>
      </c>
      <c r="U849" s="111" t="s">
        <v>2924</v>
      </c>
      <c r="V849" s="108"/>
      <c r="W849" s="108"/>
      <c r="X849" s="108"/>
    </row>
    <row r="850" spans="1:24" s="26" customFormat="1" hidden="1">
      <c r="A850" s="33"/>
      <c r="B850" s="108"/>
      <c r="C850" s="108"/>
      <c r="D850" s="31" t="str">
        <f>D849</f>
        <v>ShopRunner</v>
      </c>
      <c r="E850" s="108"/>
      <c r="F850" s="111"/>
      <c r="G850" s="108"/>
      <c r="H850" s="108"/>
      <c r="I850" s="108"/>
      <c r="J850" s="108"/>
      <c r="K850" s="31" t="str">
        <f>K849</f>
        <v>运营中</v>
      </c>
      <c r="L850" s="108"/>
      <c r="M850" s="108"/>
      <c r="N850" s="12">
        <v>1</v>
      </c>
      <c r="O850" s="36">
        <v>41558</v>
      </c>
      <c r="P850" s="12" t="s">
        <v>285</v>
      </c>
      <c r="Q850" s="17" t="s">
        <v>2925</v>
      </c>
      <c r="R850" s="12" t="s">
        <v>240</v>
      </c>
      <c r="S850" s="108"/>
      <c r="T850" s="108"/>
      <c r="U850" s="111"/>
      <c r="V850" s="108"/>
      <c r="W850" s="108"/>
      <c r="X850" s="108"/>
    </row>
    <row r="851" spans="1:24" s="26" customFormat="1" ht="80.5" hidden="1">
      <c r="A851" s="33"/>
      <c r="B851" s="108"/>
      <c r="C851" s="17" t="s">
        <v>2926</v>
      </c>
      <c r="D851" s="38" t="s">
        <v>2927</v>
      </c>
      <c r="E851" s="17" t="s">
        <v>2927</v>
      </c>
      <c r="F851" s="34" t="s">
        <v>2928</v>
      </c>
      <c r="G851" s="17"/>
      <c r="H851" s="17"/>
      <c r="I851" s="17" t="s">
        <v>2929</v>
      </c>
      <c r="J851" s="12" t="s">
        <v>1564</v>
      </c>
      <c r="K851" s="38" t="s">
        <v>272</v>
      </c>
      <c r="L851" s="12" t="s">
        <v>350</v>
      </c>
      <c r="M851" s="12" t="s">
        <v>1090</v>
      </c>
      <c r="N851" s="12">
        <v>1</v>
      </c>
      <c r="O851" s="36">
        <v>40383</v>
      </c>
      <c r="P851" s="12" t="s">
        <v>471</v>
      </c>
      <c r="Q851" s="12" t="s">
        <v>276</v>
      </c>
      <c r="R851" s="12" t="s">
        <v>240</v>
      </c>
      <c r="S851" s="17" t="s">
        <v>253</v>
      </c>
      <c r="T851" s="12" t="s">
        <v>255</v>
      </c>
      <c r="U851" s="34" t="s">
        <v>2930</v>
      </c>
      <c r="V851" s="17"/>
      <c r="W851" s="17"/>
      <c r="X851" s="17"/>
    </row>
    <row r="852" spans="1:24" s="26" customFormat="1" ht="57.5" hidden="1">
      <c r="A852" s="33"/>
      <c r="B852" s="108"/>
      <c r="C852" s="17" t="s">
        <v>2931</v>
      </c>
      <c r="D852" s="38" t="s">
        <v>2932</v>
      </c>
      <c r="E852" s="17" t="s">
        <v>2932</v>
      </c>
      <c r="F852" s="34" t="s">
        <v>2933</v>
      </c>
      <c r="G852" s="17"/>
      <c r="H852" s="17" t="s">
        <v>2934</v>
      </c>
      <c r="I852" s="17" t="s">
        <v>2935</v>
      </c>
      <c r="J852" s="12" t="s">
        <v>1564</v>
      </c>
      <c r="K852" s="38" t="s">
        <v>272</v>
      </c>
      <c r="L852" s="12" t="s">
        <v>350</v>
      </c>
      <c r="M852" s="12" t="s">
        <v>1090</v>
      </c>
      <c r="N852" s="12">
        <v>1</v>
      </c>
      <c r="O852" s="36">
        <v>40415</v>
      </c>
      <c r="P852" s="12" t="s">
        <v>471</v>
      </c>
      <c r="Q852" s="12" t="s">
        <v>276</v>
      </c>
      <c r="R852" s="12" t="s">
        <v>240</v>
      </c>
      <c r="S852" s="17" t="s">
        <v>253</v>
      </c>
      <c r="T852" s="12" t="s">
        <v>255</v>
      </c>
      <c r="U852" s="34" t="s">
        <v>2936</v>
      </c>
      <c r="V852" s="17"/>
      <c r="W852" s="17"/>
      <c r="X852" s="17"/>
    </row>
    <row r="853" spans="1:24" s="26" customFormat="1" ht="48" hidden="1">
      <c r="A853" s="33"/>
      <c r="B853" s="108"/>
      <c r="C853" s="17" t="s">
        <v>2937</v>
      </c>
      <c r="D853" s="38" t="s">
        <v>2938</v>
      </c>
      <c r="E853" s="17" t="s">
        <v>2938</v>
      </c>
      <c r="F853" s="34" t="s">
        <v>2939</v>
      </c>
      <c r="G853" s="17" t="s">
        <v>2940</v>
      </c>
      <c r="H853" s="17" t="s">
        <v>2941</v>
      </c>
      <c r="I853" s="17" t="s">
        <v>1040</v>
      </c>
      <c r="J853" s="12" t="s">
        <v>1502</v>
      </c>
      <c r="K853" s="38" t="s">
        <v>272</v>
      </c>
      <c r="L853" s="12" t="s">
        <v>485</v>
      </c>
      <c r="M853" s="12" t="s">
        <v>2942</v>
      </c>
      <c r="N853" s="12"/>
      <c r="O853" s="36">
        <v>42258</v>
      </c>
      <c r="P853" s="12" t="s">
        <v>285</v>
      </c>
      <c r="Q853" s="17" t="s">
        <v>2943</v>
      </c>
      <c r="R853" s="12" t="s">
        <v>240</v>
      </c>
      <c r="S853" s="17" t="s">
        <v>2944</v>
      </c>
      <c r="T853" s="17" t="s">
        <v>2945</v>
      </c>
      <c r="U853" s="34" t="s">
        <v>2946</v>
      </c>
      <c r="V853" s="17"/>
      <c r="W853" s="17"/>
      <c r="X853" s="17"/>
    </row>
    <row r="854" spans="1:24" s="26" customFormat="1" hidden="1">
      <c r="A854" s="33"/>
      <c r="B854" s="108"/>
      <c r="C854" s="108" t="s">
        <v>2947</v>
      </c>
      <c r="D854" s="31" t="s">
        <v>2948</v>
      </c>
      <c r="E854" s="107" t="s">
        <v>2949</v>
      </c>
      <c r="F854" s="110" t="s">
        <v>2950</v>
      </c>
      <c r="G854" s="107" t="s">
        <v>2951</v>
      </c>
      <c r="H854" s="108" t="s">
        <v>2952</v>
      </c>
      <c r="I854" s="108" t="s">
        <v>2953</v>
      </c>
      <c r="J854" s="107" t="s">
        <v>406</v>
      </c>
      <c r="K854" s="31" t="s">
        <v>272</v>
      </c>
      <c r="L854" s="107" t="s">
        <v>350</v>
      </c>
      <c r="M854" s="107" t="s">
        <v>1379</v>
      </c>
      <c r="N854" s="12"/>
      <c r="O854" s="36">
        <v>42254</v>
      </c>
      <c r="P854" s="17" t="s">
        <v>257</v>
      </c>
      <c r="Q854" s="12" t="s">
        <v>341</v>
      </c>
      <c r="R854" s="12" t="s">
        <v>430</v>
      </c>
      <c r="S854" s="108" t="s">
        <v>2954</v>
      </c>
      <c r="T854" s="108" t="s">
        <v>432</v>
      </c>
      <c r="U854" s="110" t="s">
        <v>2955</v>
      </c>
      <c r="V854" s="108"/>
      <c r="W854" s="108"/>
      <c r="X854" s="108"/>
    </row>
    <row r="855" spans="1:24" s="26" customFormat="1" hidden="1">
      <c r="A855" s="33"/>
      <c r="B855" s="108"/>
      <c r="C855" s="108"/>
      <c r="D855" s="31" t="str">
        <f>D854</f>
        <v>阿卡Artka</v>
      </c>
      <c r="E855" s="108"/>
      <c r="F855" s="111"/>
      <c r="G855" s="108"/>
      <c r="H855" s="108"/>
      <c r="I855" s="108"/>
      <c r="J855" s="108"/>
      <c r="K855" s="31" t="str">
        <f>K854</f>
        <v>运营中</v>
      </c>
      <c r="L855" s="108"/>
      <c r="M855" s="108"/>
      <c r="N855" s="17"/>
      <c r="O855" s="36">
        <v>41960</v>
      </c>
      <c r="P855" s="17" t="s">
        <v>262</v>
      </c>
      <c r="Q855" s="12" t="s">
        <v>341</v>
      </c>
      <c r="R855" s="12" t="s">
        <v>2956</v>
      </c>
      <c r="S855" s="108"/>
      <c r="T855" s="108"/>
      <c r="U855" s="111"/>
      <c r="V855" s="108"/>
      <c r="W855" s="108"/>
      <c r="X855" s="108"/>
    </row>
    <row r="856" spans="1:24" s="26" customFormat="1" hidden="1">
      <c r="A856" s="33"/>
      <c r="B856" s="108"/>
      <c r="C856" s="108" t="s">
        <v>2957</v>
      </c>
      <c r="D856" s="31" t="s">
        <v>2958</v>
      </c>
      <c r="E856" s="107" t="s">
        <v>2958</v>
      </c>
      <c r="F856" s="110" t="s">
        <v>2959</v>
      </c>
      <c r="G856" s="107" t="s">
        <v>2960</v>
      </c>
      <c r="H856" s="108" t="s">
        <v>2961</v>
      </c>
      <c r="I856" s="108" t="s">
        <v>1905</v>
      </c>
      <c r="J856" s="107" t="s">
        <v>406</v>
      </c>
      <c r="K856" s="31" t="s">
        <v>272</v>
      </c>
      <c r="L856" s="107" t="s">
        <v>350</v>
      </c>
      <c r="M856" s="107" t="s">
        <v>1379</v>
      </c>
      <c r="N856" s="12">
        <v>1</v>
      </c>
      <c r="O856" s="36">
        <v>44308</v>
      </c>
      <c r="P856" s="12" t="s">
        <v>275</v>
      </c>
      <c r="Q856" s="12" t="s">
        <v>299</v>
      </c>
      <c r="R856" s="17" t="s">
        <v>253</v>
      </c>
      <c r="S856" s="108" t="s">
        <v>2962</v>
      </c>
      <c r="T856" s="108" t="s">
        <v>731</v>
      </c>
      <c r="U856" s="110" t="s">
        <v>2963</v>
      </c>
      <c r="V856" s="107" t="s">
        <v>2964</v>
      </c>
      <c r="W856" s="108"/>
      <c r="X856" s="108" t="s">
        <v>2965</v>
      </c>
    </row>
    <row r="857" spans="1:24" s="26" customFormat="1" hidden="1">
      <c r="A857" s="33"/>
      <c r="B857" s="108"/>
      <c r="C857" s="108"/>
      <c r="D857" s="31" t="str">
        <f t="shared" ref="D857:D864" si="169">D856</f>
        <v>如涵控股</v>
      </c>
      <c r="E857" s="108"/>
      <c r="F857" s="111"/>
      <c r="G857" s="108"/>
      <c r="H857" s="108"/>
      <c r="I857" s="108"/>
      <c r="J857" s="108"/>
      <c r="K857" s="31" t="str">
        <f t="shared" ref="K857:K864" si="170">K856</f>
        <v>运营中</v>
      </c>
      <c r="L857" s="108"/>
      <c r="M857" s="108"/>
      <c r="N857" s="12">
        <v>1</v>
      </c>
      <c r="O857" s="36">
        <v>43558</v>
      </c>
      <c r="P857" s="17" t="s">
        <v>283</v>
      </c>
      <c r="Q857" s="17" t="s">
        <v>2966</v>
      </c>
      <c r="R857" s="17" t="s">
        <v>253</v>
      </c>
      <c r="S857" s="108"/>
      <c r="T857" s="108"/>
      <c r="U857" s="111"/>
      <c r="V857" s="108"/>
      <c r="W857" s="108"/>
      <c r="X857" s="108"/>
    </row>
    <row r="858" spans="1:24" s="26" customFormat="1" hidden="1">
      <c r="A858" s="33"/>
      <c r="B858" s="108"/>
      <c r="C858" s="108"/>
      <c r="D858" s="31" t="str">
        <f t="shared" si="169"/>
        <v>如涵控股</v>
      </c>
      <c r="E858" s="108"/>
      <c r="F858" s="111"/>
      <c r="G858" s="108"/>
      <c r="H858" s="108"/>
      <c r="I858" s="108"/>
      <c r="J858" s="108"/>
      <c r="K858" s="31" t="str">
        <f t="shared" si="170"/>
        <v>运营中</v>
      </c>
      <c r="L858" s="108"/>
      <c r="M858" s="108"/>
      <c r="N858" s="12">
        <v>1</v>
      </c>
      <c r="O858" s="36">
        <v>43217</v>
      </c>
      <c r="P858" s="12" t="s">
        <v>275</v>
      </c>
      <c r="Q858" s="12" t="s">
        <v>252</v>
      </c>
      <c r="R858" s="17" t="s">
        <v>253</v>
      </c>
      <c r="S858" s="108"/>
      <c r="T858" s="108"/>
      <c r="U858" s="111"/>
      <c r="V858" s="108"/>
      <c r="W858" s="108"/>
      <c r="X858" s="108"/>
    </row>
    <row r="859" spans="1:24" s="26" customFormat="1" hidden="1">
      <c r="A859" s="33"/>
      <c r="B859" s="108"/>
      <c r="C859" s="108"/>
      <c r="D859" s="31" t="str">
        <f t="shared" si="169"/>
        <v>如涵控股</v>
      </c>
      <c r="E859" s="108"/>
      <c r="F859" s="111"/>
      <c r="G859" s="108"/>
      <c r="H859" s="108"/>
      <c r="I859" s="108"/>
      <c r="J859" s="108"/>
      <c r="K859" s="31" t="str">
        <f t="shared" si="170"/>
        <v>运营中</v>
      </c>
      <c r="L859" s="108"/>
      <c r="M859" s="108"/>
      <c r="N859" s="12">
        <v>1</v>
      </c>
      <c r="O859" s="36">
        <v>42691</v>
      </c>
      <c r="P859" s="12" t="s">
        <v>359</v>
      </c>
      <c r="Q859" s="17" t="s">
        <v>2967</v>
      </c>
      <c r="R859" s="12" t="s">
        <v>2968</v>
      </c>
      <c r="S859" s="108"/>
      <c r="T859" s="108"/>
      <c r="U859" s="111"/>
      <c r="V859" s="108"/>
      <c r="W859" s="108"/>
      <c r="X859" s="108"/>
    </row>
    <row r="860" spans="1:24" s="26" customFormat="1" hidden="1">
      <c r="A860" s="33"/>
      <c r="B860" s="108"/>
      <c r="C860" s="108"/>
      <c r="D860" s="31" t="str">
        <f t="shared" si="169"/>
        <v>如涵控股</v>
      </c>
      <c r="E860" s="108"/>
      <c r="F860" s="111"/>
      <c r="G860" s="108"/>
      <c r="H860" s="108"/>
      <c r="I860" s="108"/>
      <c r="J860" s="108"/>
      <c r="K860" s="31" t="str">
        <f t="shared" si="170"/>
        <v>运营中</v>
      </c>
      <c r="L860" s="108"/>
      <c r="M860" s="108"/>
      <c r="N860" s="12">
        <v>1</v>
      </c>
      <c r="O860" s="36">
        <v>42585</v>
      </c>
      <c r="P860" s="12" t="s">
        <v>362</v>
      </c>
      <c r="Q860" s="12" t="s">
        <v>252</v>
      </c>
      <c r="R860" s="17" t="s">
        <v>253</v>
      </c>
      <c r="S860" s="108"/>
      <c r="T860" s="108"/>
      <c r="U860" s="111"/>
      <c r="V860" s="108"/>
      <c r="W860" s="108"/>
      <c r="X860" s="108"/>
    </row>
    <row r="861" spans="1:24" s="26" customFormat="1" hidden="1">
      <c r="A861" s="33"/>
      <c r="B861" s="108"/>
      <c r="C861" s="108"/>
      <c r="D861" s="31" t="str">
        <f t="shared" si="169"/>
        <v>如涵控股</v>
      </c>
      <c r="E861" s="108"/>
      <c r="F861" s="111"/>
      <c r="G861" s="108"/>
      <c r="H861" s="108"/>
      <c r="I861" s="108"/>
      <c r="J861" s="108"/>
      <c r="K861" s="31" t="str">
        <f t="shared" si="170"/>
        <v>运营中</v>
      </c>
      <c r="L861" s="108"/>
      <c r="M861" s="108"/>
      <c r="N861" s="12">
        <v>1</v>
      </c>
      <c r="O861" s="36">
        <v>42583</v>
      </c>
      <c r="P861" s="17" t="s">
        <v>251</v>
      </c>
      <c r="Q861" s="17" t="s">
        <v>1684</v>
      </c>
      <c r="R861" s="12" t="s">
        <v>665</v>
      </c>
      <c r="S861" s="108"/>
      <c r="T861" s="108"/>
      <c r="U861" s="111"/>
      <c r="V861" s="108"/>
      <c r="W861" s="108"/>
      <c r="X861" s="108"/>
    </row>
    <row r="862" spans="1:24" s="26" customFormat="1" hidden="1">
      <c r="A862" s="33"/>
      <c r="B862" s="108"/>
      <c r="C862" s="108"/>
      <c r="D862" s="31" t="str">
        <f t="shared" si="169"/>
        <v>如涵控股</v>
      </c>
      <c r="E862" s="108"/>
      <c r="F862" s="111"/>
      <c r="G862" s="108"/>
      <c r="H862" s="108"/>
      <c r="I862" s="108"/>
      <c r="J862" s="108"/>
      <c r="K862" s="31" t="str">
        <f t="shared" si="170"/>
        <v>运营中</v>
      </c>
      <c r="L862" s="108"/>
      <c r="M862" s="108"/>
      <c r="N862" s="12">
        <v>1</v>
      </c>
      <c r="O862" s="36">
        <v>42303</v>
      </c>
      <c r="P862" s="17" t="s">
        <v>257</v>
      </c>
      <c r="Q862" s="17" t="s">
        <v>2969</v>
      </c>
      <c r="R862" s="12" t="s">
        <v>2970</v>
      </c>
      <c r="S862" s="108"/>
      <c r="T862" s="108"/>
      <c r="U862" s="111"/>
      <c r="V862" s="108"/>
      <c r="W862" s="108"/>
      <c r="X862" s="108"/>
    </row>
    <row r="863" spans="1:24" s="26" customFormat="1" hidden="1">
      <c r="A863" s="33"/>
      <c r="B863" s="108"/>
      <c r="C863" s="108"/>
      <c r="D863" s="31" t="str">
        <f t="shared" si="169"/>
        <v>如涵控股</v>
      </c>
      <c r="E863" s="108"/>
      <c r="F863" s="111"/>
      <c r="G863" s="108"/>
      <c r="H863" s="108"/>
      <c r="I863" s="108"/>
      <c r="J863" s="108"/>
      <c r="K863" s="31" t="str">
        <f t="shared" si="170"/>
        <v>运营中</v>
      </c>
      <c r="L863" s="108"/>
      <c r="M863" s="108"/>
      <c r="N863" s="12">
        <v>1</v>
      </c>
      <c r="O863" s="36">
        <v>41974</v>
      </c>
      <c r="P863" s="17" t="s">
        <v>262</v>
      </c>
      <c r="Q863" s="12" t="s">
        <v>341</v>
      </c>
      <c r="R863" s="12" t="s">
        <v>2971</v>
      </c>
      <c r="S863" s="108"/>
      <c r="T863" s="108"/>
      <c r="U863" s="111"/>
      <c r="V863" s="108"/>
      <c r="W863" s="108"/>
      <c r="X863" s="108"/>
    </row>
    <row r="864" spans="1:24" s="26" customFormat="1" hidden="1">
      <c r="A864" s="33"/>
      <c r="B864" s="108"/>
      <c r="C864" s="108"/>
      <c r="D864" s="31" t="str">
        <f t="shared" si="169"/>
        <v>如涵控股</v>
      </c>
      <c r="E864" s="108"/>
      <c r="F864" s="111"/>
      <c r="G864" s="108"/>
      <c r="H864" s="108"/>
      <c r="I864" s="108"/>
      <c r="J864" s="108"/>
      <c r="K864" s="31" t="str">
        <f t="shared" si="170"/>
        <v>运营中</v>
      </c>
      <c r="L864" s="108"/>
      <c r="M864" s="108"/>
      <c r="N864" s="12">
        <v>1</v>
      </c>
      <c r="O864" s="36">
        <v>41278</v>
      </c>
      <c r="P864" s="12" t="s">
        <v>326</v>
      </c>
      <c r="Q864" s="12" t="s">
        <v>327</v>
      </c>
      <c r="R864" s="17" t="s">
        <v>2972</v>
      </c>
      <c r="S864" s="108"/>
      <c r="T864" s="108"/>
      <c r="U864" s="111"/>
      <c r="V864" s="108"/>
      <c r="W864" s="108"/>
      <c r="X864" s="108"/>
    </row>
    <row r="865" spans="1:24" s="26" customFormat="1" hidden="1">
      <c r="A865" s="33"/>
      <c r="B865" s="108"/>
      <c r="C865" s="108" t="s">
        <v>2973</v>
      </c>
      <c r="D865" s="31" t="s">
        <v>2974</v>
      </c>
      <c r="E865" s="107" t="s">
        <v>2974</v>
      </c>
      <c r="F865" s="110" t="s">
        <v>2975</v>
      </c>
      <c r="G865" s="107" t="s">
        <v>2976</v>
      </c>
      <c r="H865" s="108" t="s">
        <v>2977</v>
      </c>
      <c r="I865" s="108" t="s">
        <v>942</v>
      </c>
      <c r="J865" s="107" t="s">
        <v>271</v>
      </c>
      <c r="K865" s="31" t="s">
        <v>272</v>
      </c>
      <c r="L865" s="107" t="s">
        <v>713</v>
      </c>
      <c r="M865" s="107" t="s">
        <v>1589</v>
      </c>
      <c r="N865" s="12">
        <v>1</v>
      </c>
      <c r="O865" s="36">
        <v>44538</v>
      </c>
      <c r="P865" s="17" t="s">
        <v>283</v>
      </c>
      <c r="Q865" s="17" t="s">
        <v>2978</v>
      </c>
      <c r="R865" s="17" t="s">
        <v>253</v>
      </c>
      <c r="S865" s="108" t="s">
        <v>2979</v>
      </c>
      <c r="T865" s="108" t="s">
        <v>2980</v>
      </c>
      <c r="U865" s="110" t="s">
        <v>2981</v>
      </c>
      <c r="V865" s="107" t="s">
        <v>2982</v>
      </c>
      <c r="W865" s="108">
        <v>4000960960</v>
      </c>
      <c r="X865" s="108" t="s">
        <v>2983</v>
      </c>
    </row>
    <row r="866" spans="1:24" s="26" customFormat="1" hidden="1">
      <c r="A866" s="33"/>
      <c r="B866" s="108"/>
      <c r="C866" s="108"/>
      <c r="D866" s="31" t="str">
        <f>D865</f>
        <v>新浪微博</v>
      </c>
      <c r="E866" s="108"/>
      <c r="F866" s="111"/>
      <c r="G866" s="108"/>
      <c r="H866" s="108"/>
      <c r="I866" s="108"/>
      <c r="J866" s="108"/>
      <c r="K866" s="31" t="str">
        <f t="shared" ref="K866:K869" si="171">K865</f>
        <v>运营中</v>
      </c>
      <c r="L866" s="108"/>
      <c r="M866" s="108"/>
      <c r="N866" s="12">
        <v>1</v>
      </c>
      <c r="O866" s="36">
        <v>43922</v>
      </c>
      <c r="P866" s="17" t="s">
        <v>687</v>
      </c>
      <c r="Q866" s="12" t="s">
        <v>409</v>
      </c>
      <c r="R866" s="12" t="s">
        <v>2984</v>
      </c>
      <c r="S866" s="108"/>
      <c r="T866" s="108"/>
      <c r="U866" s="111"/>
      <c r="V866" s="108"/>
      <c r="W866" s="108"/>
      <c r="X866" s="108"/>
    </row>
    <row r="867" spans="1:24" s="26" customFormat="1" hidden="1">
      <c r="A867" s="33"/>
      <c r="B867" s="108"/>
      <c r="C867" s="108"/>
      <c r="D867" s="31" t="str">
        <f>D866</f>
        <v>新浪微博</v>
      </c>
      <c r="E867" s="108"/>
      <c r="F867" s="111"/>
      <c r="G867" s="108"/>
      <c r="H867" s="108"/>
      <c r="I867" s="108"/>
      <c r="J867" s="108"/>
      <c r="K867" s="31" t="str">
        <f t="shared" si="171"/>
        <v>运营中</v>
      </c>
      <c r="L867" s="108"/>
      <c r="M867" s="108"/>
      <c r="N867" s="12">
        <v>1</v>
      </c>
      <c r="O867" s="36">
        <v>42623</v>
      </c>
      <c r="P867" s="17" t="s">
        <v>687</v>
      </c>
      <c r="Q867" s="17" t="s">
        <v>2917</v>
      </c>
      <c r="R867" s="12" t="s">
        <v>240</v>
      </c>
      <c r="S867" s="108"/>
      <c r="T867" s="108"/>
      <c r="U867" s="111"/>
      <c r="V867" s="108"/>
      <c r="W867" s="108"/>
      <c r="X867" s="108"/>
    </row>
    <row r="868" spans="1:24" s="26" customFormat="1" hidden="1">
      <c r="A868" s="33"/>
      <c r="B868" s="108"/>
      <c r="C868" s="108"/>
      <c r="D868" s="31" t="str">
        <f>D867</f>
        <v>新浪微博</v>
      </c>
      <c r="E868" s="108"/>
      <c r="F868" s="111"/>
      <c r="G868" s="108"/>
      <c r="H868" s="108"/>
      <c r="I868" s="108"/>
      <c r="J868" s="108"/>
      <c r="K868" s="31" t="str">
        <f t="shared" si="171"/>
        <v>运营中</v>
      </c>
      <c r="L868" s="108"/>
      <c r="M868" s="108"/>
      <c r="N868" s="12">
        <v>1</v>
      </c>
      <c r="O868" s="36">
        <v>41746</v>
      </c>
      <c r="P868" s="17" t="s">
        <v>283</v>
      </c>
      <c r="Q868" s="17" t="s">
        <v>2985</v>
      </c>
      <c r="R868" s="17" t="s">
        <v>253</v>
      </c>
      <c r="S868" s="108"/>
      <c r="T868" s="108"/>
      <c r="U868" s="111"/>
      <c r="V868" s="108"/>
      <c r="W868" s="108"/>
      <c r="X868" s="108"/>
    </row>
    <row r="869" spans="1:24" s="26" customFormat="1" hidden="1">
      <c r="A869" s="33"/>
      <c r="B869" s="108"/>
      <c r="C869" s="108"/>
      <c r="D869" s="31" t="str">
        <f>D868</f>
        <v>新浪微博</v>
      </c>
      <c r="E869" s="108"/>
      <c r="F869" s="111"/>
      <c r="G869" s="108"/>
      <c r="H869" s="108"/>
      <c r="I869" s="108"/>
      <c r="J869" s="108"/>
      <c r="K869" s="31" t="str">
        <f t="shared" si="171"/>
        <v>运营中</v>
      </c>
      <c r="L869" s="108"/>
      <c r="M869" s="108"/>
      <c r="N869" s="12">
        <v>1</v>
      </c>
      <c r="O869" s="36">
        <v>41393</v>
      </c>
      <c r="P869" s="12" t="s">
        <v>285</v>
      </c>
      <c r="Q869" s="17" t="s">
        <v>2986</v>
      </c>
      <c r="R869" s="12" t="s">
        <v>240</v>
      </c>
      <c r="S869" s="108"/>
      <c r="T869" s="108"/>
      <c r="U869" s="111"/>
      <c r="V869" s="108"/>
      <c r="W869" s="108"/>
      <c r="X869" s="108"/>
    </row>
    <row r="870" spans="1:24" s="26" customFormat="1" ht="116.5" hidden="1">
      <c r="A870" s="33"/>
      <c r="B870" s="108"/>
      <c r="C870" s="17" t="s">
        <v>2987</v>
      </c>
      <c r="D870" s="38" t="s">
        <v>2988</v>
      </c>
      <c r="E870" s="17" t="s">
        <v>2988</v>
      </c>
      <c r="F870" s="34" t="s">
        <v>2989</v>
      </c>
      <c r="G870" s="17"/>
      <c r="H870" s="17" t="s">
        <v>2990</v>
      </c>
      <c r="I870" s="17" t="s">
        <v>2991</v>
      </c>
      <c r="J870" s="12" t="s">
        <v>2992</v>
      </c>
      <c r="K870" s="38" t="s">
        <v>272</v>
      </c>
      <c r="L870" s="12" t="s">
        <v>1966</v>
      </c>
      <c r="M870" s="12" t="s">
        <v>2838</v>
      </c>
      <c r="N870" s="12"/>
      <c r="O870" s="36">
        <v>42311</v>
      </c>
      <c r="P870" s="17" t="s">
        <v>262</v>
      </c>
      <c r="Q870" s="17" t="s">
        <v>2993</v>
      </c>
      <c r="R870" s="12" t="s">
        <v>240</v>
      </c>
      <c r="S870" s="17" t="s">
        <v>2994</v>
      </c>
      <c r="T870" s="17" t="s">
        <v>2995</v>
      </c>
      <c r="U870" s="34" t="s">
        <v>2996</v>
      </c>
      <c r="V870" s="17"/>
      <c r="W870" s="17"/>
      <c r="X870" s="17"/>
    </row>
    <row r="871" spans="1:24" s="26" customFormat="1" hidden="1">
      <c r="A871" s="33"/>
      <c r="B871" s="108"/>
      <c r="C871" s="108" t="s">
        <v>2997</v>
      </c>
      <c r="D871" s="31" t="s">
        <v>2998</v>
      </c>
      <c r="E871" s="107" t="s">
        <v>2998</v>
      </c>
      <c r="F871" s="110" t="s">
        <v>2999</v>
      </c>
      <c r="G871" s="107" t="s">
        <v>3000</v>
      </c>
      <c r="H871" s="108" t="s">
        <v>3001</v>
      </c>
      <c r="I871" s="108" t="s">
        <v>784</v>
      </c>
      <c r="J871" s="107" t="s">
        <v>247</v>
      </c>
      <c r="K871" s="31" t="s">
        <v>272</v>
      </c>
      <c r="L871" s="107" t="s">
        <v>512</v>
      </c>
      <c r="M871" s="107" t="s">
        <v>3002</v>
      </c>
      <c r="N871" s="12">
        <v>1</v>
      </c>
      <c r="O871" s="36">
        <v>43171</v>
      </c>
      <c r="P871" s="12" t="s">
        <v>471</v>
      </c>
      <c r="Q871" s="12" t="s">
        <v>252</v>
      </c>
      <c r="R871" s="12" t="s">
        <v>514</v>
      </c>
      <c r="S871" s="108" t="s">
        <v>2954</v>
      </c>
      <c r="T871" s="107" t="s">
        <v>255</v>
      </c>
      <c r="U871" s="110" t="s">
        <v>3003</v>
      </c>
      <c r="V871" s="107" t="s">
        <v>3004</v>
      </c>
      <c r="W871" s="108" t="s">
        <v>3005</v>
      </c>
      <c r="X871" s="108" t="s">
        <v>3006</v>
      </c>
    </row>
    <row r="872" spans="1:24" s="26" customFormat="1" hidden="1">
      <c r="A872" s="33"/>
      <c r="B872" s="108"/>
      <c r="C872" s="108"/>
      <c r="D872" s="31" t="str">
        <f>D871</f>
        <v>万象物流</v>
      </c>
      <c r="E872" s="108"/>
      <c r="F872" s="111"/>
      <c r="G872" s="108"/>
      <c r="H872" s="108"/>
      <c r="I872" s="108"/>
      <c r="J872" s="108"/>
      <c r="K872" s="31" t="str">
        <f t="shared" ref="K872:K873" si="172">K871</f>
        <v>运营中</v>
      </c>
      <c r="L872" s="108"/>
      <c r="M872" s="108"/>
      <c r="N872" s="12">
        <v>1</v>
      </c>
      <c r="O872" s="36">
        <v>42532</v>
      </c>
      <c r="P872" s="17" t="s">
        <v>257</v>
      </c>
      <c r="Q872" s="12" t="s">
        <v>252</v>
      </c>
      <c r="R872" s="12" t="s">
        <v>3007</v>
      </c>
      <c r="S872" s="108"/>
      <c r="T872" s="108"/>
      <c r="U872" s="111"/>
      <c r="V872" s="108"/>
      <c r="W872" s="108"/>
      <c r="X872" s="108"/>
    </row>
    <row r="873" spans="1:24" s="26" customFormat="1" hidden="1">
      <c r="A873" s="33"/>
      <c r="B873" s="108"/>
      <c r="C873" s="108"/>
      <c r="D873" s="31" t="str">
        <f>D872</f>
        <v>万象物流</v>
      </c>
      <c r="E873" s="108"/>
      <c r="F873" s="111"/>
      <c r="G873" s="108"/>
      <c r="H873" s="108"/>
      <c r="I873" s="108"/>
      <c r="J873" s="108"/>
      <c r="K873" s="31" t="str">
        <f t="shared" si="172"/>
        <v>运营中</v>
      </c>
      <c r="L873" s="108"/>
      <c r="M873" s="108"/>
      <c r="N873" s="12">
        <v>1</v>
      </c>
      <c r="O873" s="36">
        <v>41075</v>
      </c>
      <c r="P873" s="17" t="s">
        <v>262</v>
      </c>
      <c r="Q873" s="12" t="s">
        <v>341</v>
      </c>
      <c r="R873" s="12" t="s">
        <v>240</v>
      </c>
      <c r="S873" s="108"/>
      <c r="T873" s="108"/>
      <c r="U873" s="111"/>
      <c r="V873" s="108"/>
      <c r="W873" s="108"/>
      <c r="X873" s="108"/>
    </row>
    <row r="874" spans="1:24" s="26" customFormat="1" hidden="1">
      <c r="A874" s="33"/>
      <c r="B874" s="108"/>
      <c r="C874" s="108" t="s">
        <v>3008</v>
      </c>
      <c r="D874" s="31" t="s">
        <v>3009</v>
      </c>
      <c r="E874" s="107" t="s">
        <v>3009</v>
      </c>
      <c r="F874" s="110" t="s">
        <v>3010</v>
      </c>
      <c r="G874" s="107" t="s">
        <v>3011</v>
      </c>
      <c r="H874" s="108" t="s">
        <v>3012</v>
      </c>
      <c r="I874" s="108" t="s">
        <v>2887</v>
      </c>
      <c r="J874" s="107" t="s">
        <v>547</v>
      </c>
      <c r="K874" s="31" t="s">
        <v>272</v>
      </c>
      <c r="L874" s="107" t="s">
        <v>273</v>
      </c>
      <c r="M874" s="107" t="s">
        <v>3013</v>
      </c>
      <c r="N874" s="12">
        <v>1</v>
      </c>
      <c r="O874" s="36">
        <v>45134</v>
      </c>
      <c r="P874" s="17" t="s">
        <v>687</v>
      </c>
      <c r="Q874" s="17" t="s">
        <v>318</v>
      </c>
      <c r="R874" s="12" t="s">
        <v>3014</v>
      </c>
      <c r="S874" s="108" t="s">
        <v>3015</v>
      </c>
      <c r="T874" s="108" t="s">
        <v>598</v>
      </c>
      <c r="U874" s="110" t="s">
        <v>3016</v>
      </c>
      <c r="V874" s="107" t="s">
        <v>3017</v>
      </c>
      <c r="W874" s="108" t="s">
        <v>3018</v>
      </c>
      <c r="X874" s="108" t="s">
        <v>3019</v>
      </c>
    </row>
    <row r="875" spans="1:24" s="26" customFormat="1" hidden="1">
      <c r="A875" s="33"/>
      <c r="B875" s="108"/>
      <c r="C875" s="108"/>
      <c r="D875" s="31" t="str">
        <f t="shared" ref="D875:D888" si="173">D874</f>
        <v>小鹏汽车</v>
      </c>
      <c r="E875" s="108"/>
      <c r="F875" s="111"/>
      <c r="G875" s="108"/>
      <c r="H875" s="108"/>
      <c r="I875" s="108"/>
      <c r="J875" s="108"/>
      <c r="K875" s="31" t="str">
        <f t="shared" ref="K875:K888" si="174">K874</f>
        <v>运营中</v>
      </c>
      <c r="L875" s="108"/>
      <c r="M875" s="108"/>
      <c r="N875" s="12">
        <v>1</v>
      </c>
      <c r="O875" s="36">
        <v>44384</v>
      </c>
      <c r="P875" s="17" t="s">
        <v>283</v>
      </c>
      <c r="Q875" s="17" t="s">
        <v>3020</v>
      </c>
      <c r="R875" s="17" t="s">
        <v>253</v>
      </c>
      <c r="S875" s="108"/>
      <c r="T875" s="108"/>
      <c r="U875" s="111"/>
      <c r="V875" s="108"/>
      <c r="W875" s="108"/>
      <c r="X875" s="108"/>
    </row>
    <row r="876" spans="1:24" s="26" customFormat="1" hidden="1">
      <c r="A876" s="33"/>
      <c r="B876" s="108"/>
      <c r="C876" s="108"/>
      <c r="D876" s="31" t="str">
        <f t="shared" si="173"/>
        <v>小鹏汽车</v>
      </c>
      <c r="E876" s="108"/>
      <c r="F876" s="111"/>
      <c r="G876" s="108"/>
      <c r="H876" s="108"/>
      <c r="I876" s="108"/>
      <c r="J876" s="108"/>
      <c r="K876" s="31" t="str">
        <f t="shared" si="174"/>
        <v>运营中</v>
      </c>
      <c r="L876" s="108"/>
      <c r="M876" s="108"/>
      <c r="N876" s="12">
        <v>1</v>
      </c>
      <c r="O876" s="36">
        <v>44270</v>
      </c>
      <c r="P876" s="17" t="s">
        <v>687</v>
      </c>
      <c r="Q876" s="17" t="s">
        <v>773</v>
      </c>
      <c r="R876" s="12" t="s">
        <v>3021</v>
      </c>
      <c r="S876" s="108"/>
      <c r="T876" s="108"/>
      <c r="U876" s="111"/>
      <c r="V876" s="108"/>
      <c r="W876" s="108"/>
      <c r="X876" s="108"/>
    </row>
    <row r="877" spans="1:24" s="26" customFormat="1" hidden="1">
      <c r="A877" s="33"/>
      <c r="B877" s="108"/>
      <c r="C877" s="108"/>
      <c r="D877" s="31" t="str">
        <f t="shared" si="173"/>
        <v>小鹏汽车</v>
      </c>
      <c r="E877" s="108"/>
      <c r="F877" s="111"/>
      <c r="G877" s="108"/>
      <c r="H877" s="108"/>
      <c r="I877" s="108"/>
      <c r="J877" s="108"/>
      <c r="K877" s="31" t="str">
        <f t="shared" si="174"/>
        <v>运营中</v>
      </c>
      <c r="L877" s="108"/>
      <c r="M877" s="108"/>
      <c r="N877" s="12">
        <v>1</v>
      </c>
      <c r="O877" s="36">
        <v>44102</v>
      </c>
      <c r="P877" s="17" t="s">
        <v>687</v>
      </c>
      <c r="Q877" s="17" t="s">
        <v>3022</v>
      </c>
      <c r="R877" s="12" t="s">
        <v>3023</v>
      </c>
      <c r="S877" s="108"/>
      <c r="T877" s="108"/>
      <c r="U877" s="111"/>
      <c r="V877" s="108"/>
      <c r="W877" s="108"/>
      <c r="X877" s="108"/>
    </row>
    <row r="878" spans="1:24" s="26" customFormat="1" hidden="1">
      <c r="A878" s="33"/>
      <c r="B878" s="108"/>
      <c r="C878" s="108"/>
      <c r="D878" s="31" t="str">
        <f t="shared" si="173"/>
        <v>小鹏汽车</v>
      </c>
      <c r="E878" s="108"/>
      <c r="F878" s="111"/>
      <c r="G878" s="108"/>
      <c r="H878" s="108"/>
      <c r="I878" s="108"/>
      <c r="J878" s="108"/>
      <c r="K878" s="31" t="str">
        <f t="shared" si="174"/>
        <v>运营中</v>
      </c>
      <c r="L878" s="108"/>
      <c r="M878" s="108"/>
      <c r="N878" s="12">
        <v>1</v>
      </c>
      <c r="O878" s="36">
        <v>44070</v>
      </c>
      <c r="P878" s="17" t="s">
        <v>283</v>
      </c>
      <c r="Q878" s="17" t="s">
        <v>3024</v>
      </c>
      <c r="R878" s="17" t="s">
        <v>253</v>
      </c>
      <c r="S878" s="108"/>
      <c r="T878" s="108"/>
      <c r="U878" s="111"/>
      <c r="V878" s="108"/>
      <c r="W878" s="108"/>
      <c r="X878" s="108"/>
    </row>
    <row r="879" spans="1:24" s="26" customFormat="1" hidden="1">
      <c r="A879" s="33"/>
      <c r="B879" s="108"/>
      <c r="C879" s="108"/>
      <c r="D879" s="31" t="str">
        <f t="shared" si="173"/>
        <v>小鹏汽车</v>
      </c>
      <c r="E879" s="108"/>
      <c r="F879" s="111"/>
      <c r="G879" s="108"/>
      <c r="H879" s="108"/>
      <c r="I879" s="108"/>
      <c r="J879" s="108"/>
      <c r="K879" s="31" t="str">
        <f t="shared" si="174"/>
        <v>运营中</v>
      </c>
      <c r="L879" s="108"/>
      <c r="M879" s="108"/>
      <c r="N879" s="12">
        <v>1</v>
      </c>
      <c r="O879" s="36">
        <v>44065</v>
      </c>
      <c r="P879" s="12" t="s">
        <v>654</v>
      </c>
      <c r="Q879" s="17" t="s">
        <v>288</v>
      </c>
      <c r="R879" s="12" t="s">
        <v>3025</v>
      </c>
      <c r="S879" s="108"/>
      <c r="T879" s="108"/>
      <c r="U879" s="111"/>
      <c r="V879" s="108"/>
      <c r="W879" s="108"/>
      <c r="X879" s="108"/>
    </row>
    <row r="880" spans="1:24" s="26" customFormat="1" hidden="1">
      <c r="A880" s="33"/>
      <c r="B880" s="108"/>
      <c r="C880" s="108"/>
      <c r="D880" s="31" t="str">
        <f t="shared" si="173"/>
        <v>小鹏汽车</v>
      </c>
      <c r="E880" s="108"/>
      <c r="F880" s="111"/>
      <c r="G880" s="108"/>
      <c r="H880" s="108"/>
      <c r="I880" s="108"/>
      <c r="J880" s="108"/>
      <c r="K880" s="31" t="str">
        <f t="shared" si="174"/>
        <v>运营中</v>
      </c>
      <c r="L880" s="108"/>
      <c r="M880" s="108"/>
      <c r="N880" s="12">
        <v>1</v>
      </c>
      <c r="O880" s="36">
        <v>44032</v>
      </c>
      <c r="P880" s="17" t="s">
        <v>523</v>
      </c>
      <c r="Q880" s="17" t="s">
        <v>288</v>
      </c>
      <c r="R880" s="12" t="s">
        <v>3026</v>
      </c>
      <c r="S880" s="108"/>
      <c r="T880" s="108"/>
      <c r="U880" s="111"/>
      <c r="V880" s="108"/>
      <c r="W880" s="108"/>
      <c r="X880" s="108"/>
    </row>
    <row r="881" spans="1:24" s="26" customFormat="1" hidden="1">
      <c r="A881" s="33"/>
      <c r="B881" s="108"/>
      <c r="C881" s="108"/>
      <c r="D881" s="31" t="str">
        <f t="shared" si="173"/>
        <v>小鹏汽车</v>
      </c>
      <c r="E881" s="108"/>
      <c r="F881" s="111"/>
      <c r="G881" s="108"/>
      <c r="H881" s="108"/>
      <c r="I881" s="108"/>
      <c r="J881" s="108"/>
      <c r="K881" s="31" t="str">
        <f t="shared" si="174"/>
        <v>运营中</v>
      </c>
      <c r="L881" s="108"/>
      <c r="M881" s="108"/>
      <c r="N881" s="12">
        <v>1</v>
      </c>
      <c r="O881" s="36">
        <v>43782</v>
      </c>
      <c r="P881" s="17" t="s">
        <v>251</v>
      </c>
      <c r="Q881" s="17" t="s">
        <v>301</v>
      </c>
      <c r="R881" s="17" t="s">
        <v>3027</v>
      </c>
      <c r="S881" s="108"/>
      <c r="T881" s="108"/>
      <c r="U881" s="111"/>
      <c r="V881" s="108"/>
      <c r="W881" s="108"/>
      <c r="X881" s="108"/>
    </row>
    <row r="882" spans="1:24" s="26" customFormat="1" hidden="1">
      <c r="A882" s="33"/>
      <c r="B882" s="108"/>
      <c r="C882" s="108"/>
      <c r="D882" s="31" t="str">
        <f t="shared" si="173"/>
        <v>小鹏汽车</v>
      </c>
      <c r="E882" s="108"/>
      <c r="F882" s="111"/>
      <c r="G882" s="108"/>
      <c r="H882" s="108"/>
      <c r="I882" s="108"/>
      <c r="J882" s="108"/>
      <c r="K882" s="31" t="str">
        <f t="shared" si="174"/>
        <v>运营中</v>
      </c>
      <c r="L882" s="108"/>
      <c r="M882" s="108"/>
      <c r="N882" s="12">
        <v>1</v>
      </c>
      <c r="O882" s="36">
        <v>43314</v>
      </c>
      <c r="P882" s="17" t="s">
        <v>565</v>
      </c>
      <c r="Q882" s="17" t="s">
        <v>3022</v>
      </c>
      <c r="R882" s="12" t="s">
        <v>3028</v>
      </c>
      <c r="S882" s="108"/>
      <c r="T882" s="108"/>
      <c r="U882" s="111"/>
      <c r="V882" s="108"/>
      <c r="W882" s="108"/>
      <c r="X882" s="108"/>
    </row>
    <row r="883" spans="1:24" s="26" customFormat="1" hidden="1">
      <c r="A883" s="33"/>
      <c r="B883" s="108"/>
      <c r="C883" s="108"/>
      <c r="D883" s="31" t="str">
        <f t="shared" si="173"/>
        <v>小鹏汽车</v>
      </c>
      <c r="E883" s="108"/>
      <c r="F883" s="111"/>
      <c r="G883" s="108"/>
      <c r="H883" s="108"/>
      <c r="I883" s="108"/>
      <c r="J883" s="108"/>
      <c r="K883" s="31" t="str">
        <f t="shared" si="174"/>
        <v>运营中</v>
      </c>
      <c r="L883" s="108"/>
      <c r="M883" s="108"/>
      <c r="N883" s="12">
        <v>1</v>
      </c>
      <c r="O883" s="36">
        <v>43137</v>
      </c>
      <c r="P883" s="12" t="s">
        <v>285</v>
      </c>
      <c r="Q883" s="17" t="s">
        <v>1115</v>
      </c>
      <c r="R883" s="12" t="s">
        <v>3029</v>
      </c>
      <c r="S883" s="108"/>
      <c r="T883" s="108"/>
      <c r="U883" s="111"/>
      <c r="V883" s="108"/>
      <c r="W883" s="108"/>
      <c r="X883" s="108"/>
    </row>
    <row r="884" spans="1:24" s="26" customFormat="1" hidden="1">
      <c r="A884" s="33"/>
      <c r="B884" s="108"/>
      <c r="C884" s="108"/>
      <c r="D884" s="31" t="str">
        <f t="shared" si="173"/>
        <v>小鹏汽车</v>
      </c>
      <c r="E884" s="108"/>
      <c r="F884" s="111"/>
      <c r="G884" s="108"/>
      <c r="H884" s="108"/>
      <c r="I884" s="108"/>
      <c r="J884" s="108"/>
      <c r="K884" s="31" t="str">
        <f t="shared" si="174"/>
        <v>运营中</v>
      </c>
      <c r="L884" s="108"/>
      <c r="M884" s="108"/>
      <c r="N884" s="12">
        <v>1</v>
      </c>
      <c r="O884" s="36">
        <v>43129</v>
      </c>
      <c r="P884" s="17" t="s">
        <v>257</v>
      </c>
      <c r="Q884" s="17" t="s">
        <v>3030</v>
      </c>
      <c r="R884" s="17" t="s">
        <v>3031</v>
      </c>
      <c r="S884" s="108"/>
      <c r="T884" s="108"/>
      <c r="U884" s="111"/>
      <c r="V884" s="108"/>
      <c r="W884" s="108"/>
      <c r="X884" s="108"/>
    </row>
    <row r="885" spans="1:24" s="26" customFormat="1" hidden="1">
      <c r="A885" s="33"/>
      <c r="B885" s="108"/>
      <c r="C885" s="108"/>
      <c r="D885" s="31" t="str">
        <f t="shared" si="173"/>
        <v>小鹏汽车</v>
      </c>
      <c r="E885" s="108"/>
      <c r="F885" s="111"/>
      <c r="G885" s="108"/>
      <c r="H885" s="108"/>
      <c r="I885" s="108"/>
      <c r="J885" s="108"/>
      <c r="K885" s="31" t="str">
        <f t="shared" si="174"/>
        <v>运营中</v>
      </c>
      <c r="L885" s="108"/>
      <c r="M885" s="108"/>
      <c r="N885" s="12">
        <v>1</v>
      </c>
      <c r="O885" s="36">
        <v>43082</v>
      </c>
      <c r="P885" s="17" t="s">
        <v>260</v>
      </c>
      <c r="Q885" s="12" t="s">
        <v>409</v>
      </c>
      <c r="R885" s="17" t="s">
        <v>3032</v>
      </c>
      <c r="S885" s="108"/>
      <c r="T885" s="108"/>
      <c r="U885" s="111"/>
      <c r="V885" s="108"/>
      <c r="W885" s="108"/>
      <c r="X885" s="108"/>
    </row>
    <row r="886" spans="1:24" s="26" customFormat="1" hidden="1">
      <c r="A886" s="33"/>
      <c r="B886" s="108"/>
      <c r="C886" s="108"/>
      <c r="D886" s="31" t="str">
        <f t="shared" si="173"/>
        <v>小鹏汽车</v>
      </c>
      <c r="E886" s="108"/>
      <c r="F886" s="111"/>
      <c r="G886" s="108"/>
      <c r="H886" s="108"/>
      <c r="I886" s="108"/>
      <c r="J886" s="108"/>
      <c r="K886" s="31" t="str">
        <f t="shared" si="174"/>
        <v>运营中</v>
      </c>
      <c r="L886" s="108"/>
      <c r="M886" s="108"/>
      <c r="N886" s="12">
        <v>1</v>
      </c>
      <c r="O886" s="36">
        <v>42898</v>
      </c>
      <c r="P886" s="17" t="s">
        <v>262</v>
      </c>
      <c r="Q886" s="17" t="s">
        <v>3030</v>
      </c>
      <c r="R886" s="12" t="s">
        <v>3033</v>
      </c>
      <c r="S886" s="108"/>
      <c r="T886" s="108"/>
      <c r="U886" s="111"/>
      <c r="V886" s="108"/>
      <c r="W886" s="108"/>
      <c r="X886" s="108"/>
    </row>
    <row r="887" spans="1:24" s="26" customFormat="1" hidden="1">
      <c r="A887" s="33"/>
      <c r="B887" s="108"/>
      <c r="C887" s="108"/>
      <c r="D887" s="31" t="str">
        <f t="shared" si="173"/>
        <v>小鹏汽车</v>
      </c>
      <c r="E887" s="108"/>
      <c r="F887" s="111"/>
      <c r="G887" s="108"/>
      <c r="H887" s="108"/>
      <c r="I887" s="108"/>
      <c r="J887" s="108"/>
      <c r="K887" s="31" t="str">
        <f t="shared" si="174"/>
        <v>运营中</v>
      </c>
      <c r="L887" s="108"/>
      <c r="M887" s="108"/>
      <c r="N887" s="12">
        <v>1</v>
      </c>
      <c r="O887" s="36">
        <v>42457</v>
      </c>
      <c r="P887" s="17" t="s">
        <v>721</v>
      </c>
      <c r="Q887" s="17" t="s">
        <v>1596</v>
      </c>
      <c r="R887" s="17" t="s">
        <v>253</v>
      </c>
      <c r="S887" s="108"/>
      <c r="T887" s="108"/>
      <c r="U887" s="111"/>
      <c r="V887" s="108"/>
      <c r="W887" s="108"/>
      <c r="X887" s="108"/>
    </row>
    <row r="888" spans="1:24" s="26" customFormat="1" hidden="1">
      <c r="A888" s="33"/>
      <c r="B888" s="108"/>
      <c r="C888" s="108"/>
      <c r="D888" s="31" t="str">
        <f t="shared" si="173"/>
        <v>小鹏汽车</v>
      </c>
      <c r="E888" s="108"/>
      <c r="F888" s="111"/>
      <c r="G888" s="108"/>
      <c r="H888" s="108"/>
      <c r="I888" s="108"/>
      <c r="J888" s="108"/>
      <c r="K888" s="31" t="str">
        <f t="shared" si="174"/>
        <v>运营中</v>
      </c>
      <c r="L888" s="108"/>
      <c r="M888" s="108"/>
      <c r="N888" s="12">
        <v>1</v>
      </c>
      <c r="O888" s="36">
        <v>42121</v>
      </c>
      <c r="P888" s="12" t="s">
        <v>326</v>
      </c>
      <c r="Q888" s="12" t="s">
        <v>341</v>
      </c>
      <c r="R888" s="12" t="s">
        <v>3034</v>
      </c>
      <c r="S888" s="108"/>
      <c r="T888" s="108"/>
      <c r="U888" s="111"/>
      <c r="V888" s="108"/>
      <c r="W888" s="108"/>
      <c r="X888" s="108"/>
    </row>
    <row r="889" spans="1:24" s="26" customFormat="1" hidden="1">
      <c r="A889" s="33"/>
      <c r="B889" s="108"/>
      <c r="C889" s="108" t="s">
        <v>3035</v>
      </c>
      <c r="D889" s="31" t="s">
        <v>3036</v>
      </c>
      <c r="E889" s="107" t="s">
        <v>3036</v>
      </c>
      <c r="F889" s="110" t="s">
        <v>3037</v>
      </c>
      <c r="G889" s="107" t="s">
        <v>3038</v>
      </c>
      <c r="H889" s="108" t="s">
        <v>3039</v>
      </c>
      <c r="I889" s="108" t="s">
        <v>2313</v>
      </c>
      <c r="J889" s="107" t="s">
        <v>385</v>
      </c>
      <c r="K889" s="31" t="s">
        <v>272</v>
      </c>
      <c r="L889" s="107" t="s">
        <v>386</v>
      </c>
      <c r="M889" s="107" t="s">
        <v>387</v>
      </c>
      <c r="N889" s="12"/>
      <c r="O889" s="36">
        <v>42796</v>
      </c>
      <c r="P889" s="17" t="s">
        <v>262</v>
      </c>
      <c r="Q889" s="17" t="s">
        <v>637</v>
      </c>
      <c r="R889" s="12" t="s">
        <v>3040</v>
      </c>
      <c r="S889" s="108" t="s">
        <v>998</v>
      </c>
      <c r="T889" s="108" t="s">
        <v>3041</v>
      </c>
      <c r="U889" s="110" t="s">
        <v>3042</v>
      </c>
      <c r="V889" s="107" t="s">
        <v>3043</v>
      </c>
      <c r="W889" s="108" t="s">
        <v>3044</v>
      </c>
      <c r="X889" s="108" t="s">
        <v>3045</v>
      </c>
    </row>
    <row r="890" spans="1:24" s="26" customFormat="1" hidden="1">
      <c r="A890" s="33"/>
      <c r="B890" s="108"/>
      <c r="C890" s="108"/>
      <c r="D890" s="31" t="str">
        <f>D889</f>
        <v>向上影业</v>
      </c>
      <c r="E890" s="108"/>
      <c r="F890" s="111"/>
      <c r="G890" s="108"/>
      <c r="H890" s="108"/>
      <c r="I890" s="108"/>
      <c r="J890" s="108"/>
      <c r="K890" s="31" t="str">
        <f>K889</f>
        <v>运营中</v>
      </c>
      <c r="L890" s="108"/>
      <c r="M890" s="108"/>
      <c r="N890" s="17"/>
      <c r="O890" s="36">
        <v>42173</v>
      </c>
      <c r="P890" s="12" t="s">
        <v>326</v>
      </c>
      <c r="Q890" s="12" t="s">
        <v>341</v>
      </c>
      <c r="R890" s="12" t="s">
        <v>3046</v>
      </c>
      <c r="S890" s="108"/>
      <c r="T890" s="108"/>
      <c r="U890" s="111"/>
      <c r="V890" s="108"/>
      <c r="W890" s="108"/>
      <c r="X890" s="108"/>
    </row>
    <row r="891" spans="1:24" s="26" customFormat="1" hidden="1">
      <c r="A891" s="33"/>
      <c r="B891" s="108"/>
      <c r="C891" s="108" t="s">
        <v>3047</v>
      </c>
      <c r="D891" s="31" t="s">
        <v>3048</v>
      </c>
      <c r="E891" s="107" t="s">
        <v>3048</v>
      </c>
      <c r="F891" s="110" t="s">
        <v>3049</v>
      </c>
      <c r="G891" s="107" t="s">
        <v>3050</v>
      </c>
      <c r="H891" s="108" t="s">
        <v>3051</v>
      </c>
      <c r="I891" s="108" t="s">
        <v>1857</v>
      </c>
      <c r="J891" s="107" t="s">
        <v>349</v>
      </c>
      <c r="K891" s="31" t="s">
        <v>272</v>
      </c>
      <c r="L891" s="107" t="s">
        <v>996</v>
      </c>
      <c r="M891" s="107" t="s">
        <v>3052</v>
      </c>
      <c r="N891" s="12">
        <v>1</v>
      </c>
      <c r="O891" s="36">
        <v>42622</v>
      </c>
      <c r="P891" s="17" t="s">
        <v>687</v>
      </c>
      <c r="Q891" s="17" t="s">
        <v>637</v>
      </c>
      <c r="R891" s="12" t="s">
        <v>3053</v>
      </c>
      <c r="S891" s="108" t="s">
        <v>3054</v>
      </c>
      <c r="T891" s="108" t="s">
        <v>1078</v>
      </c>
      <c r="U891" s="110" t="s">
        <v>3055</v>
      </c>
      <c r="V891" s="107" t="s">
        <v>3056</v>
      </c>
      <c r="W891" s="108" t="s">
        <v>3057</v>
      </c>
      <c r="X891" s="108" t="s">
        <v>3058</v>
      </c>
    </row>
    <row r="892" spans="1:24" s="26" customFormat="1" hidden="1">
      <c r="A892" s="33"/>
      <c r="B892" s="108"/>
      <c r="C892" s="108"/>
      <c r="D892" s="31" t="str">
        <f>D891</f>
        <v>巨人网络</v>
      </c>
      <c r="E892" s="108"/>
      <c r="F892" s="111"/>
      <c r="G892" s="108"/>
      <c r="H892" s="108"/>
      <c r="I892" s="108"/>
      <c r="J892" s="108"/>
      <c r="K892" s="31" t="str">
        <f t="shared" ref="K892:K893" si="175">K891</f>
        <v>运营中</v>
      </c>
      <c r="L892" s="108"/>
      <c r="M892" s="108"/>
      <c r="N892" s="12">
        <v>1</v>
      </c>
      <c r="O892" s="36">
        <v>41385</v>
      </c>
      <c r="P892" s="17" t="s">
        <v>687</v>
      </c>
      <c r="Q892" s="17" t="s">
        <v>320</v>
      </c>
      <c r="R892" s="17" t="s">
        <v>253</v>
      </c>
      <c r="S892" s="108"/>
      <c r="T892" s="108"/>
      <c r="U892" s="111"/>
      <c r="V892" s="108"/>
      <c r="W892" s="108"/>
      <c r="X892" s="108"/>
    </row>
    <row r="893" spans="1:24" s="26" customFormat="1" hidden="1">
      <c r="A893" s="33"/>
      <c r="B893" s="108"/>
      <c r="C893" s="108"/>
      <c r="D893" s="31" t="str">
        <f>D892</f>
        <v>巨人网络</v>
      </c>
      <c r="E893" s="108"/>
      <c r="F893" s="111"/>
      <c r="G893" s="108"/>
      <c r="H893" s="108"/>
      <c r="I893" s="108"/>
      <c r="J893" s="108"/>
      <c r="K893" s="31" t="str">
        <f t="shared" si="175"/>
        <v>运营中</v>
      </c>
      <c r="L893" s="108"/>
      <c r="M893" s="108"/>
      <c r="N893" s="12">
        <v>1</v>
      </c>
      <c r="O893" s="36">
        <v>39387</v>
      </c>
      <c r="P893" s="17" t="s">
        <v>283</v>
      </c>
      <c r="Q893" s="12" t="s">
        <v>299</v>
      </c>
      <c r="R893" s="17" t="s">
        <v>253</v>
      </c>
      <c r="S893" s="108"/>
      <c r="T893" s="108"/>
      <c r="U893" s="111"/>
      <c r="V893" s="108"/>
      <c r="W893" s="108"/>
      <c r="X893" s="108"/>
    </row>
    <row r="894" spans="1:24" s="26" customFormat="1" hidden="1">
      <c r="A894" s="33"/>
      <c r="B894" s="108"/>
      <c r="C894" s="108" t="s">
        <v>967</v>
      </c>
      <c r="D894" s="31" t="s">
        <v>974</v>
      </c>
      <c r="E894" s="107" t="s">
        <v>974</v>
      </c>
      <c r="F894" s="110" t="s">
        <v>3059</v>
      </c>
      <c r="G894" s="107" t="s">
        <v>3060</v>
      </c>
      <c r="H894" s="108" t="s">
        <v>3061</v>
      </c>
      <c r="I894" s="108" t="s">
        <v>3062</v>
      </c>
      <c r="J894" s="107" t="s">
        <v>406</v>
      </c>
      <c r="K894" s="31" t="s">
        <v>272</v>
      </c>
      <c r="L894" s="107" t="s">
        <v>672</v>
      </c>
      <c r="M894" s="107" t="s">
        <v>673</v>
      </c>
      <c r="N894" s="12">
        <v>1</v>
      </c>
      <c r="O894" s="36">
        <v>43385</v>
      </c>
      <c r="P894" s="12" t="s">
        <v>313</v>
      </c>
      <c r="Q894" s="12" t="s">
        <v>252</v>
      </c>
      <c r="R894" s="12" t="s">
        <v>968</v>
      </c>
      <c r="S894" s="108" t="s">
        <v>3063</v>
      </c>
      <c r="T894" s="107" t="s">
        <v>255</v>
      </c>
      <c r="U894" s="111"/>
      <c r="V894" s="107" t="s">
        <v>3064</v>
      </c>
      <c r="W894" s="108" t="s">
        <v>3065</v>
      </c>
      <c r="X894" s="108"/>
    </row>
    <row r="895" spans="1:24" s="26" customFormat="1" hidden="1">
      <c r="A895" s="33"/>
      <c r="B895" s="108"/>
      <c r="C895" s="108"/>
      <c r="D895" s="31" t="str">
        <f>D894</f>
        <v>口碑</v>
      </c>
      <c r="E895" s="108"/>
      <c r="F895" s="111"/>
      <c r="G895" s="108"/>
      <c r="H895" s="108"/>
      <c r="I895" s="108"/>
      <c r="J895" s="108"/>
      <c r="K895" s="31" t="str">
        <f t="shared" ref="K895:K898" si="176">K894</f>
        <v>运营中</v>
      </c>
      <c r="L895" s="108"/>
      <c r="M895" s="108"/>
      <c r="N895" s="12">
        <v>1</v>
      </c>
      <c r="O895" s="36">
        <v>42759</v>
      </c>
      <c r="P895" s="12" t="s">
        <v>285</v>
      </c>
      <c r="Q895" s="17" t="s">
        <v>2161</v>
      </c>
      <c r="R895" s="12" t="s">
        <v>3066</v>
      </c>
      <c r="S895" s="108"/>
      <c r="T895" s="108"/>
      <c r="U895" s="111"/>
      <c r="V895" s="108"/>
      <c r="W895" s="108"/>
      <c r="X895" s="108"/>
    </row>
    <row r="896" spans="1:24" s="26" customFormat="1" hidden="1">
      <c r="A896" s="33"/>
      <c r="B896" s="108"/>
      <c r="C896" s="108"/>
      <c r="D896" s="31" t="str">
        <f>D895</f>
        <v>口碑</v>
      </c>
      <c r="E896" s="108"/>
      <c r="F896" s="111"/>
      <c r="G896" s="108"/>
      <c r="H896" s="108"/>
      <c r="I896" s="108"/>
      <c r="J896" s="108"/>
      <c r="K896" s="31" t="str">
        <f t="shared" si="176"/>
        <v>运营中</v>
      </c>
      <c r="L896" s="108"/>
      <c r="M896" s="108"/>
      <c r="N896" s="12">
        <v>1</v>
      </c>
      <c r="O896" s="36">
        <v>42326</v>
      </c>
      <c r="P896" s="12" t="s">
        <v>285</v>
      </c>
      <c r="Q896" s="12" t="s">
        <v>409</v>
      </c>
      <c r="R896" s="12" t="s">
        <v>3067</v>
      </c>
      <c r="S896" s="108"/>
      <c r="T896" s="108"/>
      <c r="U896" s="111"/>
      <c r="V896" s="108"/>
      <c r="W896" s="108"/>
      <c r="X896" s="108"/>
    </row>
    <row r="897" spans="1:24" s="26" customFormat="1" hidden="1">
      <c r="A897" s="33"/>
      <c r="B897" s="108"/>
      <c r="C897" s="108"/>
      <c r="D897" s="31" t="str">
        <f>D896</f>
        <v>口碑</v>
      </c>
      <c r="E897" s="108"/>
      <c r="F897" s="111"/>
      <c r="G897" s="108"/>
      <c r="H897" s="108"/>
      <c r="I897" s="108"/>
      <c r="J897" s="108"/>
      <c r="K897" s="31" t="str">
        <f t="shared" si="176"/>
        <v>运营中</v>
      </c>
      <c r="L897" s="108"/>
      <c r="M897" s="108"/>
      <c r="N897" s="12">
        <v>1</v>
      </c>
      <c r="O897" s="36">
        <v>42156</v>
      </c>
      <c r="P897" s="12" t="s">
        <v>285</v>
      </c>
      <c r="Q897" s="17" t="s">
        <v>3068</v>
      </c>
      <c r="R897" s="12" t="s">
        <v>586</v>
      </c>
      <c r="S897" s="108"/>
      <c r="T897" s="108"/>
      <c r="U897" s="111"/>
      <c r="V897" s="108"/>
      <c r="W897" s="108"/>
      <c r="X897" s="108"/>
    </row>
    <row r="898" spans="1:24" s="26" customFormat="1" hidden="1">
      <c r="A898" s="33"/>
      <c r="B898" s="108"/>
      <c r="C898" s="108"/>
      <c r="D898" s="31" t="str">
        <f>D897</f>
        <v>口碑</v>
      </c>
      <c r="E898" s="108"/>
      <c r="F898" s="111"/>
      <c r="G898" s="108"/>
      <c r="H898" s="108"/>
      <c r="I898" s="108"/>
      <c r="J898" s="108"/>
      <c r="K898" s="31" t="str">
        <f t="shared" si="176"/>
        <v>运营中</v>
      </c>
      <c r="L898" s="108"/>
      <c r="M898" s="108"/>
      <c r="N898" s="12">
        <v>1</v>
      </c>
      <c r="O898" s="36">
        <v>39015</v>
      </c>
      <c r="P898" s="12" t="s">
        <v>471</v>
      </c>
      <c r="Q898" s="17" t="s">
        <v>460</v>
      </c>
      <c r="R898" s="12" t="s">
        <v>240</v>
      </c>
      <c r="S898" s="108"/>
      <c r="T898" s="108"/>
      <c r="U898" s="111"/>
      <c r="V898" s="108"/>
      <c r="W898" s="108"/>
      <c r="X898" s="108"/>
    </row>
    <row r="899" spans="1:24" s="26" customFormat="1" hidden="1">
      <c r="A899" s="33"/>
      <c r="B899" s="108"/>
      <c r="C899" s="108" t="s">
        <v>3069</v>
      </c>
      <c r="D899" s="31" t="s">
        <v>3070</v>
      </c>
      <c r="E899" s="107" t="s">
        <v>3070</v>
      </c>
      <c r="F899" s="110" t="s">
        <v>3071</v>
      </c>
      <c r="G899" s="107" t="s">
        <v>3072</v>
      </c>
      <c r="H899" s="108" t="s">
        <v>3073</v>
      </c>
      <c r="I899" s="108" t="s">
        <v>1422</v>
      </c>
      <c r="J899" s="107" t="s">
        <v>406</v>
      </c>
      <c r="K899" s="31" t="s">
        <v>272</v>
      </c>
      <c r="L899" s="107" t="s">
        <v>512</v>
      </c>
      <c r="M899" s="107" t="s">
        <v>1781</v>
      </c>
      <c r="N899" s="12">
        <v>1</v>
      </c>
      <c r="O899" s="36">
        <v>44054</v>
      </c>
      <c r="P899" s="12" t="s">
        <v>471</v>
      </c>
      <c r="Q899" s="12" t="s">
        <v>252</v>
      </c>
      <c r="R899" s="12" t="s">
        <v>240</v>
      </c>
      <c r="S899" s="108" t="s">
        <v>3074</v>
      </c>
      <c r="T899" s="107" t="s">
        <v>255</v>
      </c>
      <c r="U899" s="110" t="s">
        <v>3075</v>
      </c>
      <c r="V899" s="107" t="s">
        <v>3076</v>
      </c>
      <c r="W899" s="108" t="s">
        <v>3077</v>
      </c>
      <c r="X899" s="108"/>
    </row>
    <row r="900" spans="1:24" s="26" customFormat="1" hidden="1">
      <c r="A900" s="33"/>
      <c r="B900" s="108"/>
      <c r="C900" s="108"/>
      <c r="D900" s="31" t="str">
        <f>D899</f>
        <v>心怡科技</v>
      </c>
      <c r="E900" s="108"/>
      <c r="F900" s="111"/>
      <c r="G900" s="108"/>
      <c r="H900" s="108"/>
      <c r="I900" s="108"/>
      <c r="J900" s="108"/>
      <c r="K900" s="31" t="str">
        <f t="shared" ref="K900:K903" si="177">K899</f>
        <v>运营中</v>
      </c>
      <c r="L900" s="108"/>
      <c r="M900" s="108"/>
      <c r="N900" s="12">
        <v>1</v>
      </c>
      <c r="O900" s="36">
        <v>42852</v>
      </c>
      <c r="P900" s="17" t="s">
        <v>251</v>
      </c>
      <c r="Q900" s="12" t="s">
        <v>409</v>
      </c>
      <c r="R900" s="12" t="s">
        <v>3078</v>
      </c>
      <c r="S900" s="108"/>
      <c r="T900" s="108"/>
      <c r="U900" s="111"/>
      <c r="V900" s="108"/>
      <c r="W900" s="108"/>
      <c r="X900" s="108"/>
    </row>
    <row r="901" spans="1:24" s="26" customFormat="1" hidden="1">
      <c r="A901" s="33"/>
      <c r="B901" s="108"/>
      <c r="C901" s="108"/>
      <c r="D901" s="31" t="str">
        <f>D900</f>
        <v>心怡科技</v>
      </c>
      <c r="E901" s="108"/>
      <c r="F901" s="111"/>
      <c r="G901" s="108"/>
      <c r="H901" s="108"/>
      <c r="I901" s="108"/>
      <c r="J901" s="108"/>
      <c r="K901" s="31" t="str">
        <f t="shared" si="177"/>
        <v>运营中</v>
      </c>
      <c r="L901" s="108"/>
      <c r="M901" s="108"/>
      <c r="N901" s="12">
        <v>1</v>
      </c>
      <c r="O901" s="36">
        <v>42361</v>
      </c>
      <c r="P901" s="17" t="s">
        <v>257</v>
      </c>
      <c r="Q901" s="12" t="s">
        <v>341</v>
      </c>
      <c r="R901" s="12" t="s">
        <v>3079</v>
      </c>
      <c r="S901" s="108"/>
      <c r="T901" s="108"/>
      <c r="U901" s="111"/>
      <c r="V901" s="108"/>
      <c r="W901" s="108"/>
      <c r="X901" s="108"/>
    </row>
    <row r="902" spans="1:24" s="26" customFormat="1" hidden="1">
      <c r="A902" s="33"/>
      <c r="B902" s="108"/>
      <c r="C902" s="108"/>
      <c r="D902" s="31" t="str">
        <f>D901</f>
        <v>心怡科技</v>
      </c>
      <c r="E902" s="108"/>
      <c r="F902" s="111"/>
      <c r="G902" s="108"/>
      <c r="H902" s="108"/>
      <c r="I902" s="108"/>
      <c r="J902" s="108"/>
      <c r="K902" s="31" t="str">
        <f t="shared" si="177"/>
        <v>运营中</v>
      </c>
      <c r="L902" s="108"/>
      <c r="M902" s="108"/>
      <c r="N902" s="12">
        <v>1</v>
      </c>
      <c r="O902" s="36">
        <v>41799</v>
      </c>
      <c r="P902" s="17" t="s">
        <v>262</v>
      </c>
      <c r="Q902" s="12" t="s">
        <v>341</v>
      </c>
      <c r="R902" s="12" t="s">
        <v>240</v>
      </c>
      <c r="S902" s="108"/>
      <c r="T902" s="108"/>
      <c r="U902" s="111"/>
      <c r="V902" s="108"/>
      <c r="W902" s="108"/>
      <c r="X902" s="108"/>
    </row>
    <row r="903" spans="1:24" s="26" customFormat="1" hidden="1">
      <c r="A903" s="33"/>
      <c r="B903" s="108"/>
      <c r="C903" s="108"/>
      <c r="D903" s="31" t="str">
        <f>D902</f>
        <v>心怡科技</v>
      </c>
      <c r="E903" s="108"/>
      <c r="F903" s="111"/>
      <c r="G903" s="108"/>
      <c r="H903" s="108"/>
      <c r="I903" s="108"/>
      <c r="J903" s="108"/>
      <c r="K903" s="31" t="str">
        <f t="shared" si="177"/>
        <v>运营中</v>
      </c>
      <c r="L903" s="108"/>
      <c r="M903" s="108"/>
      <c r="N903" s="12">
        <v>1</v>
      </c>
      <c r="O903" s="36">
        <v>40247</v>
      </c>
      <c r="P903" s="12" t="s">
        <v>326</v>
      </c>
      <c r="Q903" s="12" t="s">
        <v>341</v>
      </c>
      <c r="R903" s="12" t="s">
        <v>2211</v>
      </c>
      <c r="S903" s="108"/>
      <c r="T903" s="108"/>
      <c r="U903" s="111"/>
      <c r="V903" s="108"/>
      <c r="W903" s="108"/>
      <c r="X903" s="108"/>
    </row>
    <row r="904" spans="1:24" s="26" customFormat="1" ht="48" hidden="1">
      <c r="A904" s="33"/>
      <c r="B904" s="108"/>
      <c r="C904" s="17" t="s">
        <v>3080</v>
      </c>
      <c r="D904" s="38" t="s">
        <v>3081</v>
      </c>
      <c r="E904" s="12" t="s">
        <v>3081</v>
      </c>
      <c r="F904" s="32" t="s">
        <v>3082</v>
      </c>
      <c r="G904" s="12" t="s">
        <v>3083</v>
      </c>
      <c r="H904" s="17" t="s">
        <v>3084</v>
      </c>
      <c r="I904" s="17" t="s">
        <v>533</v>
      </c>
      <c r="J904" s="12" t="s">
        <v>1858</v>
      </c>
      <c r="K904" s="38" t="s">
        <v>272</v>
      </c>
      <c r="L904" s="12" t="s">
        <v>350</v>
      </c>
      <c r="M904" s="12" t="s">
        <v>1691</v>
      </c>
      <c r="N904" s="12"/>
      <c r="O904" s="36">
        <v>42336</v>
      </c>
      <c r="P904" s="17" t="s">
        <v>262</v>
      </c>
      <c r="Q904" s="17" t="s">
        <v>3085</v>
      </c>
      <c r="R904" s="12" t="s">
        <v>240</v>
      </c>
      <c r="S904" s="17" t="s">
        <v>3086</v>
      </c>
      <c r="T904" s="17" t="s">
        <v>3087</v>
      </c>
      <c r="U904" s="34"/>
      <c r="V904" s="17"/>
      <c r="W904" s="17"/>
      <c r="X904" s="17"/>
    </row>
    <row r="905" spans="1:24" s="26" customFormat="1" hidden="1">
      <c r="A905" s="33"/>
      <c r="B905" s="108"/>
      <c r="C905" s="108" t="s">
        <v>3088</v>
      </c>
      <c r="D905" s="31" t="s">
        <v>3089</v>
      </c>
      <c r="E905" s="107" t="s">
        <v>3089</v>
      </c>
      <c r="F905" s="110" t="s">
        <v>3090</v>
      </c>
      <c r="G905" s="107" t="s">
        <v>3091</v>
      </c>
      <c r="H905" s="108" t="s">
        <v>3092</v>
      </c>
      <c r="I905" s="108" t="s">
        <v>1632</v>
      </c>
      <c r="J905" s="107" t="s">
        <v>385</v>
      </c>
      <c r="K905" s="31" t="s">
        <v>272</v>
      </c>
      <c r="L905" s="107" t="s">
        <v>386</v>
      </c>
      <c r="M905" s="107" t="s">
        <v>1535</v>
      </c>
      <c r="N905" s="12"/>
      <c r="O905" s="36">
        <v>42160</v>
      </c>
      <c r="P905" s="17" t="s">
        <v>257</v>
      </c>
      <c r="Q905" s="12" t="s">
        <v>341</v>
      </c>
      <c r="R905" s="12" t="s">
        <v>240</v>
      </c>
      <c r="S905" s="108" t="s">
        <v>3093</v>
      </c>
      <c r="T905" s="108" t="s">
        <v>432</v>
      </c>
      <c r="U905" s="110" t="s">
        <v>3094</v>
      </c>
      <c r="V905" s="107" t="s">
        <v>3095</v>
      </c>
      <c r="W905" s="108" t="s">
        <v>3096</v>
      </c>
      <c r="X905" s="108" t="s">
        <v>3097</v>
      </c>
    </row>
    <row r="906" spans="1:24" s="26" customFormat="1" hidden="1">
      <c r="A906" s="33"/>
      <c r="B906" s="108"/>
      <c r="C906" s="108"/>
      <c r="D906" s="31" t="str">
        <f>D905</f>
        <v>柚子</v>
      </c>
      <c r="E906" s="108"/>
      <c r="F906" s="111"/>
      <c r="G906" s="108"/>
      <c r="H906" s="108"/>
      <c r="I906" s="108"/>
      <c r="J906" s="108"/>
      <c r="K906" s="31" t="str">
        <f>K905</f>
        <v>运营中</v>
      </c>
      <c r="L906" s="108"/>
      <c r="M906" s="108"/>
      <c r="N906" s="17"/>
      <c r="O906" s="36">
        <v>41752</v>
      </c>
      <c r="P906" s="17" t="s">
        <v>262</v>
      </c>
      <c r="Q906" s="17" t="s">
        <v>360</v>
      </c>
      <c r="R906" s="12" t="s">
        <v>3098</v>
      </c>
      <c r="S906" s="108"/>
      <c r="T906" s="108"/>
      <c r="U906" s="111"/>
      <c r="V906" s="108"/>
      <c r="W906" s="108"/>
      <c r="X906" s="108"/>
    </row>
    <row r="907" spans="1:24" s="26" customFormat="1" hidden="1">
      <c r="A907" s="33"/>
      <c r="B907" s="108"/>
      <c r="C907" s="108" t="s">
        <v>3099</v>
      </c>
      <c r="D907" s="31" t="s">
        <v>3100</v>
      </c>
      <c r="E907" s="107" t="s">
        <v>3100</v>
      </c>
      <c r="F907" s="110" t="s">
        <v>3101</v>
      </c>
      <c r="G907" s="107" t="s">
        <v>3102</v>
      </c>
      <c r="H907" s="108" t="s">
        <v>3103</v>
      </c>
      <c r="I907" s="108" t="s">
        <v>3104</v>
      </c>
      <c r="J907" s="107" t="s">
        <v>2431</v>
      </c>
      <c r="K907" s="31" t="s">
        <v>272</v>
      </c>
      <c r="L907" s="107" t="s">
        <v>512</v>
      </c>
      <c r="M907" s="107" t="s">
        <v>1483</v>
      </c>
      <c r="N907" s="12">
        <v>1</v>
      </c>
      <c r="O907" s="36">
        <v>45084</v>
      </c>
      <c r="P907" s="17" t="s">
        <v>687</v>
      </c>
      <c r="Q907" s="17" t="s">
        <v>3105</v>
      </c>
      <c r="R907" s="12" t="s">
        <v>514</v>
      </c>
      <c r="S907" s="108" t="s">
        <v>3106</v>
      </c>
      <c r="T907" s="108" t="s">
        <v>3107</v>
      </c>
      <c r="U907" s="110" t="s">
        <v>3108</v>
      </c>
      <c r="V907" s="107" t="s">
        <v>3109</v>
      </c>
      <c r="W907" s="108">
        <v>95543</v>
      </c>
      <c r="X907" s="108"/>
    </row>
    <row r="908" spans="1:24" s="26" customFormat="1" hidden="1">
      <c r="A908" s="33"/>
      <c r="B908" s="108"/>
      <c r="C908" s="108"/>
      <c r="D908" s="31" t="str">
        <f>D907</f>
        <v>申通快递</v>
      </c>
      <c r="E908" s="108"/>
      <c r="F908" s="111"/>
      <c r="G908" s="108"/>
      <c r="H908" s="108"/>
      <c r="I908" s="108"/>
      <c r="J908" s="108"/>
      <c r="K908" s="31" t="str">
        <f t="shared" ref="K908:K912" si="178">K907</f>
        <v>运营中</v>
      </c>
      <c r="L908" s="108"/>
      <c r="M908" s="108"/>
      <c r="N908" s="12">
        <v>1</v>
      </c>
      <c r="O908" s="36">
        <v>44868</v>
      </c>
      <c r="P908" s="17" t="s">
        <v>687</v>
      </c>
      <c r="Q908" s="17" t="s">
        <v>3110</v>
      </c>
      <c r="R908" s="12" t="s">
        <v>3111</v>
      </c>
      <c r="S908" s="108"/>
      <c r="T908" s="108"/>
      <c r="U908" s="111"/>
      <c r="V908" s="108"/>
      <c r="W908" s="108"/>
      <c r="X908" s="108"/>
    </row>
    <row r="909" spans="1:24" s="26" customFormat="1" hidden="1">
      <c r="A909" s="33"/>
      <c r="B909" s="108"/>
      <c r="C909" s="108"/>
      <c r="D909" s="31" t="str">
        <f>D908</f>
        <v>申通快递</v>
      </c>
      <c r="E909" s="108"/>
      <c r="F909" s="111"/>
      <c r="G909" s="108"/>
      <c r="H909" s="108"/>
      <c r="I909" s="108"/>
      <c r="J909" s="108"/>
      <c r="K909" s="31" t="str">
        <f t="shared" si="178"/>
        <v>运营中</v>
      </c>
      <c r="L909" s="108"/>
      <c r="M909" s="108"/>
      <c r="N909" s="12">
        <v>1</v>
      </c>
      <c r="O909" s="36">
        <v>43678</v>
      </c>
      <c r="P909" s="17" t="s">
        <v>687</v>
      </c>
      <c r="Q909" s="17" t="s">
        <v>3112</v>
      </c>
      <c r="R909" s="12" t="s">
        <v>240</v>
      </c>
      <c r="S909" s="108"/>
      <c r="T909" s="108"/>
      <c r="U909" s="111"/>
      <c r="V909" s="108"/>
      <c r="W909" s="108"/>
      <c r="X909" s="108"/>
    </row>
    <row r="910" spans="1:24" s="26" customFormat="1" hidden="1">
      <c r="A910" s="33"/>
      <c r="B910" s="108"/>
      <c r="C910" s="108"/>
      <c r="D910" s="31" t="str">
        <f>D909</f>
        <v>申通快递</v>
      </c>
      <c r="E910" s="108"/>
      <c r="F910" s="111"/>
      <c r="G910" s="108"/>
      <c r="H910" s="108"/>
      <c r="I910" s="108"/>
      <c r="J910" s="108"/>
      <c r="K910" s="31" t="str">
        <f t="shared" si="178"/>
        <v>运营中</v>
      </c>
      <c r="L910" s="108"/>
      <c r="M910" s="108"/>
      <c r="N910" s="12">
        <v>1</v>
      </c>
      <c r="O910" s="36">
        <v>43535</v>
      </c>
      <c r="P910" s="17" t="s">
        <v>687</v>
      </c>
      <c r="Q910" s="17" t="s">
        <v>3113</v>
      </c>
      <c r="R910" s="12" t="s">
        <v>240</v>
      </c>
      <c r="S910" s="108"/>
      <c r="T910" s="108"/>
      <c r="U910" s="111"/>
      <c r="V910" s="108"/>
      <c r="W910" s="108"/>
      <c r="X910" s="108"/>
    </row>
    <row r="911" spans="1:24" s="26" customFormat="1" hidden="1">
      <c r="A911" s="33"/>
      <c r="B911" s="108"/>
      <c r="C911" s="108"/>
      <c r="D911" s="31" t="str">
        <f>D910</f>
        <v>申通快递</v>
      </c>
      <c r="E911" s="108"/>
      <c r="F911" s="111"/>
      <c r="G911" s="108"/>
      <c r="H911" s="108"/>
      <c r="I911" s="108"/>
      <c r="J911" s="108"/>
      <c r="K911" s="31" t="str">
        <f t="shared" si="178"/>
        <v>运营中</v>
      </c>
      <c r="L911" s="108"/>
      <c r="M911" s="108"/>
      <c r="N911" s="12">
        <v>1</v>
      </c>
      <c r="O911" s="36">
        <v>42339</v>
      </c>
      <c r="P911" s="12" t="s">
        <v>471</v>
      </c>
      <c r="Q911" s="17" t="s">
        <v>3114</v>
      </c>
      <c r="R911" s="12" t="s">
        <v>3115</v>
      </c>
      <c r="S911" s="108"/>
      <c r="T911" s="108"/>
      <c r="U911" s="111"/>
      <c r="V911" s="108"/>
      <c r="W911" s="108"/>
      <c r="X911" s="108"/>
    </row>
    <row r="912" spans="1:24" s="26" customFormat="1" hidden="1">
      <c r="A912" s="33"/>
      <c r="B912" s="108"/>
      <c r="C912" s="108"/>
      <c r="D912" s="31" t="str">
        <f>D911</f>
        <v>申通快递</v>
      </c>
      <c r="E912" s="108"/>
      <c r="F912" s="111"/>
      <c r="G912" s="108"/>
      <c r="H912" s="108"/>
      <c r="I912" s="108"/>
      <c r="J912" s="108"/>
      <c r="K912" s="31" t="str">
        <f t="shared" si="178"/>
        <v>运营中</v>
      </c>
      <c r="L912" s="108"/>
      <c r="M912" s="108"/>
      <c r="N912" s="12">
        <v>1</v>
      </c>
      <c r="O912" s="36">
        <v>40429</v>
      </c>
      <c r="P912" s="17" t="s">
        <v>283</v>
      </c>
      <c r="Q912" s="17" t="s">
        <v>773</v>
      </c>
      <c r="R912" s="17" t="s">
        <v>253</v>
      </c>
      <c r="S912" s="108"/>
      <c r="T912" s="108"/>
      <c r="U912" s="111"/>
      <c r="V912" s="108"/>
      <c r="W912" s="108"/>
      <c r="X912" s="108"/>
    </row>
    <row r="913" spans="1:25" s="26" customFormat="1" hidden="1">
      <c r="A913" s="33"/>
      <c r="B913" s="108"/>
      <c r="C913" s="108" t="s">
        <v>3116</v>
      </c>
      <c r="D913" s="31" t="s">
        <v>3117</v>
      </c>
      <c r="E913" s="107" t="s">
        <v>3117</v>
      </c>
      <c r="F913" s="110" t="s">
        <v>3118</v>
      </c>
      <c r="G913" s="107" t="s">
        <v>3119</v>
      </c>
      <c r="H913" s="108" t="s">
        <v>3120</v>
      </c>
      <c r="I913" s="108" t="s">
        <v>3121</v>
      </c>
      <c r="J913" s="107" t="s">
        <v>349</v>
      </c>
      <c r="K913" s="31" t="s">
        <v>272</v>
      </c>
      <c r="L913" s="107" t="s">
        <v>273</v>
      </c>
      <c r="M913" s="107" t="s">
        <v>2519</v>
      </c>
      <c r="N913" s="12"/>
      <c r="O913" s="36">
        <v>45056</v>
      </c>
      <c r="P913" s="12" t="s">
        <v>285</v>
      </c>
      <c r="Q913" s="12" t="s">
        <v>252</v>
      </c>
      <c r="R913" s="12" t="s">
        <v>3122</v>
      </c>
      <c r="S913" s="108" t="s">
        <v>3123</v>
      </c>
      <c r="T913" s="108" t="s">
        <v>3124</v>
      </c>
      <c r="U913" s="110" t="s">
        <v>3125</v>
      </c>
      <c r="V913" s="107" t="s">
        <v>3126</v>
      </c>
      <c r="W913" s="108" t="s">
        <v>3127</v>
      </c>
      <c r="X913" s="108" t="s">
        <v>3128</v>
      </c>
    </row>
    <row r="914" spans="1:25" s="26" customFormat="1" ht="29.5" customHeight="1">
      <c r="A914" s="11"/>
      <c r="B914" s="108"/>
      <c r="C914" s="108"/>
      <c r="D914" s="31" t="str">
        <f>D913</f>
        <v>斑马智行</v>
      </c>
      <c r="E914" s="109"/>
      <c r="F914" s="112"/>
      <c r="G914" s="108"/>
      <c r="H914" s="108"/>
      <c r="I914" s="109"/>
      <c r="J914" s="109"/>
      <c r="K914" s="20" t="str">
        <f t="shared" ref="K914:K917" si="179">K913</f>
        <v>运营中</v>
      </c>
      <c r="L914" s="109"/>
      <c r="M914" s="109"/>
      <c r="N914" s="13"/>
      <c r="O914" s="24">
        <v>44391</v>
      </c>
      <c r="P914" s="13" t="s">
        <v>1045</v>
      </c>
      <c r="Q914" s="13" t="s">
        <v>3129</v>
      </c>
      <c r="R914" s="13" t="s">
        <v>3130</v>
      </c>
      <c r="S914" s="109"/>
      <c r="T914" s="109"/>
      <c r="U914" s="112"/>
      <c r="V914" s="108"/>
      <c r="W914" s="108"/>
      <c r="X914" s="108"/>
      <c r="Y914" s="11"/>
    </row>
    <row r="915" spans="1:25" s="26" customFormat="1" ht="23" customHeight="1">
      <c r="A915" s="11"/>
      <c r="B915" s="108"/>
      <c r="C915" s="108"/>
      <c r="D915" s="31" t="str">
        <f>D914</f>
        <v>斑马智行</v>
      </c>
      <c r="E915" s="109"/>
      <c r="F915" s="112"/>
      <c r="G915" s="108"/>
      <c r="H915" s="108"/>
      <c r="I915" s="109"/>
      <c r="J915" s="109"/>
      <c r="K915" s="20" t="str">
        <f t="shared" si="179"/>
        <v>运营中</v>
      </c>
      <c r="L915" s="109"/>
      <c r="M915" s="109"/>
      <c r="N915" s="13"/>
      <c r="O915" s="24">
        <v>44159</v>
      </c>
      <c r="P915" s="13" t="s">
        <v>1045</v>
      </c>
      <c r="Q915" s="13" t="s">
        <v>1750</v>
      </c>
      <c r="R915" s="13" t="s">
        <v>1751</v>
      </c>
      <c r="S915" s="109"/>
      <c r="T915" s="109"/>
      <c r="U915" s="112"/>
      <c r="V915" s="108"/>
      <c r="W915" s="108"/>
      <c r="X915" s="108"/>
      <c r="Y915" s="11"/>
    </row>
    <row r="916" spans="1:25" s="26" customFormat="1" hidden="1">
      <c r="A916" s="33"/>
      <c r="B916" s="108"/>
      <c r="C916" s="108"/>
      <c r="D916" s="31" t="str">
        <f>D915</f>
        <v>斑马智行</v>
      </c>
      <c r="E916" s="108"/>
      <c r="F916" s="111"/>
      <c r="G916" s="108"/>
      <c r="H916" s="108"/>
      <c r="I916" s="108"/>
      <c r="J916" s="108"/>
      <c r="K916" s="31" t="str">
        <f t="shared" si="179"/>
        <v>运营中</v>
      </c>
      <c r="L916" s="108"/>
      <c r="M916" s="108"/>
      <c r="N916" s="17"/>
      <c r="O916" s="36">
        <v>43356</v>
      </c>
      <c r="P916" s="17" t="s">
        <v>262</v>
      </c>
      <c r="Q916" s="17" t="s">
        <v>2330</v>
      </c>
      <c r="R916" s="12" t="s">
        <v>3131</v>
      </c>
      <c r="S916" s="108"/>
      <c r="T916" s="108"/>
      <c r="U916" s="111"/>
      <c r="V916" s="108"/>
      <c r="W916" s="108"/>
      <c r="X916" s="108"/>
    </row>
    <row r="917" spans="1:25" s="26" customFormat="1" hidden="1">
      <c r="A917" s="33"/>
      <c r="B917" s="108"/>
      <c r="C917" s="108"/>
      <c r="D917" s="31" t="str">
        <f>D916</f>
        <v>斑马智行</v>
      </c>
      <c r="E917" s="108"/>
      <c r="F917" s="111"/>
      <c r="G917" s="108"/>
      <c r="H917" s="108"/>
      <c r="I917" s="108"/>
      <c r="J917" s="108"/>
      <c r="K917" s="31" t="str">
        <f t="shared" si="179"/>
        <v>运营中</v>
      </c>
      <c r="L917" s="108"/>
      <c r="M917" s="108"/>
      <c r="N917" s="17"/>
      <c r="O917" s="36">
        <v>42430</v>
      </c>
      <c r="P917" s="12" t="s">
        <v>285</v>
      </c>
      <c r="Q917" s="12" t="s">
        <v>409</v>
      </c>
      <c r="R917" s="12" t="s">
        <v>2520</v>
      </c>
      <c r="S917" s="108"/>
      <c r="T917" s="108"/>
      <c r="U917" s="111"/>
      <c r="V917" s="108"/>
      <c r="W917" s="108"/>
      <c r="X917" s="108"/>
    </row>
    <row r="918" spans="1:25" s="26" customFormat="1" hidden="1">
      <c r="A918" s="33"/>
      <c r="B918" s="108"/>
      <c r="C918" s="17" t="s">
        <v>3132</v>
      </c>
      <c r="D918" s="38" t="s">
        <v>3133</v>
      </c>
      <c r="E918" s="12" t="s">
        <v>3133</v>
      </c>
      <c r="F918" s="32" t="s">
        <v>3134</v>
      </c>
      <c r="G918" s="12" t="s">
        <v>3135</v>
      </c>
      <c r="H918" s="17"/>
      <c r="I918" s="17" t="s">
        <v>3136</v>
      </c>
      <c r="J918" s="12" t="s">
        <v>1502</v>
      </c>
      <c r="K918" s="38" t="s">
        <v>272</v>
      </c>
      <c r="L918" s="12" t="s">
        <v>386</v>
      </c>
      <c r="M918" s="12" t="s">
        <v>645</v>
      </c>
      <c r="N918" s="12">
        <v>1</v>
      </c>
      <c r="O918" s="36">
        <v>42349</v>
      </c>
      <c r="P918" s="12" t="s">
        <v>471</v>
      </c>
      <c r="Q918" s="17" t="s">
        <v>3137</v>
      </c>
      <c r="R918" s="12" t="s">
        <v>240</v>
      </c>
      <c r="S918" s="17" t="s">
        <v>3138</v>
      </c>
      <c r="T918" s="17" t="s">
        <v>3139</v>
      </c>
      <c r="U918" s="34"/>
      <c r="V918" s="17"/>
      <c r="W918" s="17"/>
      <c r="X918" s="17"/>
    </row>
    <row r="919" spans="1:25" s="26" customFormat="1" hidden="1">
      <c r="A919" s="33"/>
      <c r="B919" s="108"/>
      <c r="C919" s="108" t="s">
        <v>3140</v>
      </c>
      <c r="D919" s="31" t="s">
        <v>3141</v>
      </c>
      <c r="E919" s="107" t="s">
        <v>3141</v>
      </c>
      <c r="F919" s="110" t="s">
        <v>3142</v>
      </c>
      <c r="G919" s="107" t="s">
        <v>3143</v>
      </c>
      <c r="H919" s="108" t="s">
        <v>3144</v>
      </c>
      <c r="I919" s="108" t="s">
        <v>3145</v>
      </c>
      <c r="J919" s="107" t="s">
        <v>2627</v>
      </c>
      <c r="K919" s="31" t="s">
        <v>272</v>
      </c>
      <c r="L919" s="107" t="s">
        <v>335</v>
      </c>
      <c r="M919" s="107" t="s">
        <v>1393</v>
      </c>
      <c r="N919" s="12"/>
      <c r="O919" s="36">
        <v>43756</v>
      </c>
      <c r="P919" s="17" t="s">
        <v>262</v>
      </c>
      <c r="Q919" s="17" t="s">
        <v>1194</v>
      </c>
      <c r="R919" s="12" t="s">
        <v>3146</v>
      </c>
      <c r="S919" s="108" t="s">
        <v>3147</v>
      </c>
      <c r="T919" s="108" t="s">
        <v>2384</v>
      </c>
      <c r="U919" s="110" t="s">
        <v>3148</v>
      </c>
      <c r="V919" s="107" t="s">
        <v>3149</v>
      </c>
      <c r="W919" s="108" t="s">
        <v>3150</v>
      </c>
      <c r="X919" s="108" t="s">
        <v>3151</v>
      </c>
    </row>
    <row r="920" spans="1:25" s="26" customFormat="1" hidden="1">
      <c r="A920" s="33"/>
      <c r="B920" s="108"/>
      <c r="C920" s="108"/>
      <c r="D920" s="31" t="str">
        <f>D919</f>
        <v>千寻位置</v>
      </c>
      <c r="E920" s="108"/>
      <c r="F920" s="111"/>
      <c r="G920" s="108"/>
      <c r="H920" s="108"/>
      <c r="I920" s="108"/>
      <c r="J920" s="108"/>
      <c r="K920" s="31" t="str">
        <f>K919</f>
        <v>运营中</v>
      </c>
      <c r="L920" s="108"/>
      <c r="M920" s="108"/>
      <c r="N920" s="17"/>
      <c r="O920" s="36">
        <v>42234</v>
      </c>
      <c r="P920" s="12" t="s">
        <v>326</v>
      </c>
      <c r="Q920" s="12" t="s">
        <v>341</v>
      </c>
      <c r="R920" s="12" t="s">
        <v>240</v>
      </c>
      <c r="S920" s="108"/>
      <c r="T920" s="108"/>
      <c r="U920" s="111"/>
      <c r="V920" s="108"/>
      <c r="W920" s="108"/>
      <c r="X920" s="108"/>
    </row>
    <row r="921" spans="1:25" s="26" customFormat="1" ht="48" hidden="1">
      <c r="A921" s="33"/>
      <c r="B921" s="108"/>
      <c r="C921" s="17" t="s">
        <v>3152</v>
      </c>
      <c r="D921" s="38" t="s">
        <v>3153</v>
      </c>
      <c r="E921" s="12" t="s">
        <v>3153</v>
      </c>
      <c r="F921" s="32" t="s">
        <v>3154</v>
      </c>
      <c r="G921" s="12" t="s">
        <v>3155</v>
      </c>
      <c r="H921" s="17" t="s">
        <v>3156</v>
      </c>
      <c r="I921" s="17" t="s">
        <v>2070</v>
      </c>
      <c r="J921" s="12" t="s">
        <v>3157</v>
      </c>
      <c r="K921" s="12" t="s">
        <v>248</v>
      </c>
      <c r="L921" s="12" t="s">
        <v>512</v>
      </c>
      <c r="M921" s="12" t="s">
        <v>2731</v>
      </c>
      <c r="N921" s="12"/>
      <c r="O921" s="36">
        <v>40238</v>
      </c>
      <c r="P921" s="17" t="s">
        <v>262</v>
      </c>
      <c r="Q921" s="17" t="s">
        <v>395</v>
      </c>
      <c r="R921" s="12" t="s">
        <v>240</v>
      </c>
      <c r="S921" s="17" t="s">
        <v>3158</v>
      </c>
      <c r="T921" s="17" t="s">
        <v>3159</v>
      </c>
      <c r="U921" s="32" t="s">
        <v>3160</v>
      </c>
      <c r="V921" s="12" t="s">
        <v>3161</v>
      </c>
      <c r="W921" s="17"/>
      <c r="X921" s="17"/>
    </row>
    <row r="922" spans="1:25" s="26" customFormat="1" hidden="1">
      <c r="A922" s="33"/>
      <c r="B922" s="108"/>
      <c r="C922" s="108" t="s">
        <v>3162</v>
      </c>
      <c r="D922" s="31" t="s">
        <v>3163</v>
      </c>
      <c r="E922" s="107" t="s">
        <v>3163</v>
      </c>
      <c r="F922" s="110" t="s">
        <v>3164</v>
      </c>
      <c r="G922" s="107" t="s">
        <v>3165</v>
      </c>
      <c r="H922" s="108" t="s">
        <v>3166</v>
      </c>
      <c r="I922" s="108" t="s">
        <v>2762</v>
      </c>
      <c r="J922" s="107" t="s">
        <v>406</v>
      </c>
      <c r="K922" s="31" t="s">
        <v>272</v>
      </c>
      <c r="L922" s="107" t="s">
        <v>512</v>
      </c>
      <c r="M922" s="107" t="s">
        <v>1483</v>
      </c>
      <c r="N922" s="12">
        <v>1</v>
      </c>
      <c r="O922" s="36">
        <v>44498</v>
      </c>
      <c r="P922" s="12" t="s">
        <v>471</v>
      </c>
      <c r="Q922" s="17" t="s">
        <v>3167</v>
      </c>
      <c r="R922" s="12" t="s">
        <v>3168</v>
      </c>
      <c r="S922" s="108" t="s">
        <v>3169</v>
      </c>
      <c r="T922" s="108" t="s">
        <v>3170</v>
      </c>
      <c r="U922" s="110" t="s">
        <v>3171</v>
      </c>
      <c r="V922" s="107" t="s">
        <v>3172</v>
      </c>
      <c r="W922" s="108" t="s">
        <v>3173</v>
      </c>
      <c r="X922" s="108" t="s">
        <v>3174</v>
      </c>
    </row>
    <row r="923" spans="1:25" s="26" customFormat="1" hidden="1">
      <c r="A923" s="33"/>
      <c r="B923" s="108"/>
      <c r="C923" s="108"/>
      <c r="D923" s="31" t="str">
        <f t="shared" ref="D923:D932" si="180">D922</f>
        <v>百世物流</v>
      </c>
      <c r="E923" s="108"/>
      <c r="F923" s="111"/>
      <c r="G923" s="108"/>
      <c r="H923" s="108"/>
      <c r="I923" s="108"/>
      <c r="J923" s="108"/>
      <c r="K923" s="31" t="str">
        <f t="shared" ref="K923:K932" si="181">K922</f>
        <v>运营中</v>
      </c>
      <c r="L923" s="108"/>
      <c r="M923" s="108"/>
      <c r="N923" s="12">
        <v>1</v>
      </c>
      <c r="O923" s="36">
        <v>42998</v>
      </c>
      <c r="P923" s="17" t="s">
        <v>283</v>
      </c>
      <c r="Q923" s="17" t="s">
        <v>2122</v>
      </c>
      <c r="R923" s="17" t="s">
        <v>253</v>
      </c>
      <c r="S923" s="108"/>
      <c r="T923" s="108"/>
      <c r="U923" s="111"/>
      <c r="V923" s="108"/>
      <c r="W923" s="108"/>
      <c r="X923" s="108"/>
    </row>
    <row r="924" spans="1:25" s="26" customFormat="1" hidden="1">
      <c r="A924" s="33"/>
      <c r="B924" s="108"/>
      <c r="C924" s="108"/>
      <c r="D924" s="31" t="str">
        <f t="shared" si="180"/>
        <v>百世物流</v>
      </c>
      <c r="E924" s="108"/>
      <c r="F924" s="111"/>
      <c r="G924" s="108"/>
      <c r="H924" s="108"/>
      <c r="I924" s="108"/>
      <c r="J924" s="108"/>
      <c r="K924" s="31" t="str">
        <f t="shared" si="181"/>
        <v>运营中</v>
      </c>
      <c r="L924" s="108"/>
      <c r="M924" s="108"/>
      <c r="N924" s="12">
        <v>1</v>
      </c>
      <c r="O924" s="36">
        <v>42621</v>
      </c>
      <c r="P924" s="12" t="s">
        <v>285</v>
      </c>
      <c r="Q924" s="17" t="s">
        <v>3175</v>
      </c>
      <c r="R924" s="12" t="s">
        <v>3176</v>
      </c>
      <c r="S924" s="108"/>
      <c r="T924" s="108"/>
      <c r="U924" s="111"/>
      <c r="V924" s="108"/>
      <c r="W924" s="108"/>
      <c r="X924" s="108"/>
    </row>
    <row r="925" spans="1:25" s="26" customFormat="1" hidden="1">
      <c r="A925" s="33"/>
      <c r="B925" s="108"/>
      <c r="C925" s="108"/>
      <c r="D925" s="31" t="str">
        <f t="shared" si="180"/>
        <v>百世物流</v>
      </c>
      <c r="E925" s="108"/>
      <c r="F925" s="111"/>
      <c r="G925" s="108"/>
      <c r="H925" s="108"/>
      <c r="I925" s="108"/>
      <c r="J925" s="108"/>
      <c r="K925" s="31" t="str">
        <f t="shared" si="181"/>
        <v>运营中</v>
      </c>
      <c r="L925" s="108"/>
      <c r="M925" s="108"/>
      <c r="N925" s="12">
        <v>1</v>
      </c>
      <c r="O925" s="36">
        <v>42402</v>
      </c>
      <c r="P925" s="12" t="s">
        <v>285</v>
      </c>
      <c r="Q925" s="17" t="s">
        <v>805</v>
      </c>
      <c r="R925" s="12" t="s">
        <v>3177</v>
      </c>
      <c r="S925" s="108"/>
      <c r="T925" s="108"/>
      <c r="U925" s="111"/>
      <c r="V925" s="108"/>
      <c r="W925" s="108"/>
      <c r="X925" s="108"/>
    </row>
    <row r="926" spans="1:25" s="26" customFormat="1" hidden="1">
      <c r="A926" s="33"/>
      <c r="B926" s="108"/>
      <c r="C926" s="108"/>
      <c r="D926" s="31" t="str">
        <f t="shared" si="180"/>
        <v>百世物流</v>
      </c>
      <c r="E926" s="108"/>
      <c r="F926" s="111"/>
      <c r="G926" s="108"/>
      <c r="H926" s="108"/>
      <c r="I926" s="108"/>
      <c r="J926" s="108"/>
      <c r="K926" s="31" t="str">
        <f t="shared" si="181"/>
        <v>运营中</v>
      </c>
      <c r="L926" s="108"/>
      <c r="M926" s="108"/>
      <c r="N926" s="12">
        <v>1</v>
      </c>
      <c r="O926" s="36">
        <v>42019</v>
      </c>
      <c r="P926" s="17" t="s">
        <v>303</v>
      </c>
      <c r="Q926" s="17" t="s">
        <v>3178</v>
      </c>
      <c r="R926" s="12" t="s">
        <v>240</v>
      </c>
      <c r="S926" s="108"/>
      <c r="T926" s="108"/>
      <c r="U926" s="111"/>
      <c r="V926" s="108"/>
      <c r="W926" s="108"/>
      <c r="X926" s="108"/>
    </row>
    <row r="927" spans="1:25" s="26" customFormat="1" hidden="1">
      <c r="A927" s="33"/>
      <c r="B927" s="108"/>
      <c r="C927" s="108"/>
      <c r="D927" s="31" t="str">
        <f t="shared" si="180"/>
        <v>百世物流</v>
      </c>
      <c r="E927" s="108"/>
      <c r="F927" s="111"/>
      <c r="G927" s="108"/>
      <c r="H927" s="108"/>
      <c r="I927" s="108"/>
      <c r="J927" s="108"/>
      <c r="K927" s="31" t="str">
        <f t="shared" si="181"/>
        <v>运营中</v>
      </c>
      <c r="L927" s="108"/>
      <c r="M927" s="108"/>
      <c r="N927" s="12">
        <v>1</v>
      </c>
      <c r="O927" s="36">
        <v>41664</v>
      </c>
      <c r="P927" s="17" t="s">
        <v>310</v>
      </c>
      <c r="Q927" s="12" t="s">
        <v>299</v>
      </c>
      <c r="R927" s="12" t="s">
        <v>873</v>
      </c>
      <c r="S927" s="108"/>
      <c r="T927" s="108"/>
      <c r="U927" s="111"/>
      <c r="V927" s="108"/>
      <c r="W927" s="108"/>
      <c r="X927" s="108"/>
    </row>
    <row r="928" spans="1:25" s="26" customFormat="1" hidden="1">
      <c r="A928" s="33"/>
      <c r="B928" s="108"/>
      <c r="C928" s="108"/>
      <c r="D928" s="31" t="str">
        <f t="shared" si="180"/>
        <v>百世物流</v>
      </c>
      <c r="E928" s="108"/>
      <c r="F928" s="111"/>
      <c r="G928" s="108"/>
      <c r="H928" s="108"/>
      <c r="I928" s="108"/>
      <c r="J928" s="108"/>
      <c r="K928" s="31" t="str">
        <f t="shared" si="181"/>
        <v>运营中</v>
      </c>
      <c r="L928" s="108"/>
      <c r="M928" s="108"/>
      <c r="N928" s="12">
        <v>1</v>
      </c>
      <c r="O928" s="36">
        <v>41274</v>
      </c>
      <c r="P928" s="17" t="s">
        <v>317</v>
      </c>
      <c r="Q928" s="12" t="s">
        <v>258</v>
      </c>
      <c r="R928" s="12" t="s">
        <v>3179</v>
      </c>
      <c r="S928" s="108"/>
      <c r="T928" s="108"/>
      <c r="U928" s="111"/>
      <c r="V928" s="108"/>
      <c r="W928" s="108"/>
      <c r="X928" s="108"/>
    </row>
    <row r="929" spans="1:24" s="26" customFormat="1" hidden="1">
      <c r="A929" s="33"/>
      <c r="B929" s="108"/>
      <c r="C929" s="108"/>
      <c r="D929" s="31" t="str">
        <f t="shared" si="180"/>
        <v>百世物流</v>
      </c>
      <c r="E929" s="108"/>
      <c r="F929" s="111"/>
      <c r="G929" s="108"/>
      <c r="H929" s="108"/>
      <c r="I929" s="108"/>
      <c r="J929" s="108"/>
      <c r="K929" s="31" t="str">
        <f t="shared" si="181"/>
        <v>运营中</v>
      </c>
      <c r="L929" s="108"/>
      <c r="M929" s="108"/>
      <c r="N929" s="12">
        <v>1</v>
      </c>
      <c r="O929" s="36">
        <v>40507</v>
      </c>
      <c r="P929" s="17" t="s">
        <v>251</v>
      </c>
      <c r="Q929" s="12" t="s">
        <v>258</v>
      </c>
      <c r="R929" s="12" t="s">
        <v>3180</v>
      </c>
      <c r="S929" s="108"/>
      <c r="T929" s="108"/>
      <c r="U929" s="111"/>
      <c r="V929" s="108"/>
      <c r="W929" s="108"/>
      <c r="X929" s="108"/>
    </row>
    <row r="930" spans="1:24" s="26" customFormat="1" hidden="1">
      <c r="A930" s="33"/>
      <c r="B930" s="108"/>
      <c r="C930" s="108"/>
      <c r="D930" s="31" t="str">
        <f t="shared" si="180"/>
        <v>百世物流</v>
      </c>
      <c r="E930" s="108"/>
      <c r="F930" s="111"/>
      <c r="G930" s="108"/>
      <c r="H930" s="108"/>
      <c r="I930" s="108"/>
      <c r="J930" s="108"/>
      <c r="K930" s="31" t="str">
        <f t="shared" si="181"/>
        <v>运营中</v>
      </c>
      <c r="L930" s="108"/>
      <c r="M930" s="108"/>
      <c r="N930" s="12">
        <v>1</v>
      </c>
      <c r="O930" s="36">
        <v>40019</v>
      </c>
      <c r="P930" s="17" t="s">
        <v>257</v>
      </c>
      <c r="Q930" s="12" t="s">
        <v>258</v>
      </c>
      <c r="R930" s="17" t="s">
        <v>831</v>
      </c>
      <c r="S930" s="108"/>
      <c r="T930" s="108"/>
      <c r="U930" s="111"/>
      <c r="V930" s="108"/>
      <c r="W930" s="108"/>
      <c r="X930" s="108"/>
    </row>
    <row r="931" spans="1:24" s="26" customFormat="1" hidden="1">
      <c r="A931" s="33"/>
      <c r="B931" s="108"/>
      <c r="C931" s="108"/>
      <c r="D931" s="31" t="str">
        <f t="shared" si="180"/>
        <v>百世物流</v>
      </c>
      <c r="E931" s="108"/>
      <c r="F931" s="111"/>
      <c r="G931" s="108"/>
      <c r="H931" s="108"/>
      <c r="I931" s="108"/>
      <c r="J931" s="108"/>
      <c r="K931" s="31" t="str">
        <f t="shared" si="181"/>
        <v>运营中</v>
      </c>
      <c r="L931" s="108"/>
      <c r="M931" s="108"/>
      <c r="N931" s="12">
        <v>1</v>
      </c>
      <c r="O931" s="36">
        <v>39617</v>
      </c>
      <c r="P931" s="17" t="s">
        <v>262</v>
      </c>
      <c r="Q931" s="17" t="s">
        <v>322</v>
      </c>
      <c r="R931" s="12" t="s">
        <v>2700</v>
      </c>
      <c r="S931" s="108"/>
      <c r="T931" s="108"/>
      <c r="U931" s="111"/>
      <c r="V931" s="108"/>
      <c r="W931" s="108"/>
      <c r="X931" s="108"/>
    </row>
    <row r="932" spans="1:24" s="26" customFormat="1" hidden="1">
      <c r="A932" s="33"/>
      <c r="B932" s="108"/>
      <c r="C932" s="108"/>
      <c r="D932" s="31" t="str">
        <f t="shared" si="180"/>
        <v>百世物流</v>
      </c>
      <c r="E932" s="108"/>
      <c r="F932" s="111"/>
      <c r="G932" s="108"/>
      <c r="H932" s="108"/>
      <c r="I932" s="108"/>
      <c r="J932" s="108"/>
      <c r="K932" s="31" t="str">
        <f t="shared" si="181"/>
        <v>运营中</v>
      </c>
      <c r="L932" s="108"/>
      <c r="M932" s="108"/>
      <c r="N932" s="12">
        <v>1</v>
      </c>
      <c r="O932" s="36">
        <v>39569</v>
      </c>
      <c r="P932" s="12" t="s">
        <v>326</v>
      </c>
      <c r="Q932" s="17" t="s">
        <v>2494</v>
      </c>
      <c r="R932" s="12" t="s">
        <v>3181</v>
      </c>
      <c r="S932" s="108"/>
      <c r="T932" s="108"/>
      <c r="U932" s="111"/>
      <c r="V932" s="108"/>
      <c r="W932" s="108"/>
      <c r="X932" s="108"/>
    </row>
    <row r="933" spans="1:24" s="26" customFormat="1" hidden="1">
      <c r="A933" s="33"/>
      <c r="B933" s="108"/>
      <c r="C933" s="108" t="s">
        <v>3182</v>
      </c>
      <c r="D933" s="31" t="s">
        <v>3183</v>
      </c>
      <c r="E933" s="107" t="s">
        <v>3183</v>
      </c>
      <c r="F933" s="110" t="s">
        <v>3184</v>
      </c>
      <c r="G933" s="107" t="s">
        <v>3185</v>
      </c>
      <c r="H933" s="108" t="s">
        <v>3186</v>
      </c>
      <c r="I933" s="108" t="s">
        <v>2773</v>
      </c>
      <c r="J933" s="107" t="s">
        <v>1192</v>
      </c>
      <c r="K933" s="31" t="s">
        <v>272</v>
      </c>
      <c r="L933" s="107" t="s">
        <v>249</v>
      </c>
      <c r="M933" s="107" t="s">
        <v>3187</v>
      </c>
      <c r="N933" s="12"/>
      <c r="O933" s="36">
        <v>42186</v>
      </c>
      <c r="P933" s="12" t="s">
        <v>326</v>
      </c>
      <c r="Q933" s="12" t="s">
        <v>327</v>
      </c>
      <c r="R933" s="12" t="s">
        <v>2520</v>
      </c>
      <c r="S933" s="108" t="s">
        <v>3188</v>
      </c>
      <c r="T933" s="108" t="s">
        <v>1609</v>
      </c>
      <c r="U933" s="110" t="s">
        <v>3189</v>
      </c>
      <c r="V933" s="107" t="s">
        <v>3190</v>
      </c>
      <c r="W933" s="108">
        <v>17722690399</v>
      </c>
      <c r="X933" s="108" t="s">
        <v>3191</v>
      </c>
    </row>
    <row r="934" spans="1:24" s="26" customFormat="1" hidden="1">
      <c r="A934" s="33"/>
      <c r="B934" s="108"/>
      <c r="C934" s="108"/>
      <c r="D934" s="31" t="str">
        <f>D933</f>
        <v>西行客旅行</v>
      </c>
      <c r="E934" s="108"/>
      <c r="F934" s="111"/>
      <c r="G934" s="108"/>
      <c r="H934" s="108"/>
      <c r="I934" s="108"/>
      <c r="J934" s="108"/>
      <c r="K934" s="31" t="str">
        <f>K933</f>
        <v>运营中</v>
      </c>
      <c r="L934" s="108"/>
      <c r="M934" s="108"/>
      <c r="N934" s="17"/>
      <c r="O934" s="36">
        <v>42155</v>
      </c>
      <c r="P934" s="12" t="s">
        <v>437</v>
      </c>
      <c r="Q934" s="12" t="s">
        <v>327</v>
      </c>
      <c r="R934" s="17" t="s">
        <v>253</v>
      </c>
      <c r="S934" s="108"/>
      <c r="T934" s="108"/>
      <c r="U934" s="111"/>
      <c r="V934" s="108"/>
      <c r="W934" s="108"/>
      <c r="X934" s="108"/>
    </row>
    <row r="935" spans="1:24" s="26" customFormat="1" hidden="1">
      <c r="A935" s="33"/>
      <c r="B935" s="108"/>
      <c r="C935" s="108" t="s">
        <v>3192</v>
      </c>
      <c r="D935" s="31" t="s">
        <v>3193</v>
      </c>
      <c r="E935" s="107" t="s">
        <v>3193</v>
      </c>
      <c r="F935" s="110" t="s">
        <v>3194</v>
      </c>
      <c r="G935" s="107" t="s">
        <v>3195</v>
      </c>
      <c r="H935" s="108" t="s">
        <v>3196</v>
      </c>
      <c r="I935" s="108" t="s">
        <v>427</v>
      </c>
      <c r="J935" s="107" t="s">
        <v>547</v>
      </c>
      <c r="K935" s="31" t="s">
        <v>272</v>
      </c>
      <c r="L935" s="107" t="s">
        <v>1966</v>
      </c>
      <c r="M935" s="107" t="s">
        <v>1967</v>
      </c>
      <c r="N935" s="12"/>
      <c r="O935" s="36">
        <v>45096</v>
      </c>
      <c r="P935" s="17" t="s">
        <v>317</v>
      </c>
      <c r="Q935" s="12" t="s">
        <v>409</v>
      </c>
      <c r="R935" s="12" t="s">
        <v>3197</v>
      </c>
      <c r="S935" s="108" t="s">
        <v>3198</v>
      </c>
      <c r="T935" s="108" t="s">
        <v>912</v>
      </c>
      <c r="U935" s="110" t="s">
        <v>3199</v>
      </c>
      <c r="V935" s="107" t="s">
        <v>3200</v>
      </c>
      <c r="W935" s="108" t="s">
        <v>3201</v>
      </c>
      <c r="X935" s="108" t="s">
        <v>3202</v>
      </c>
    </row>
    <row r="936" spans="1:24" s="26" customFormat="1" hidden="1">
      <c r="A936" s="33"/>
      <c r="B936" s="108"/>
      <c r="C936" s="108"/>
      <c r="D936" s="31" t="str">
        <f>D935</f>
        <v>三维家</v>
      </c>
      <c r="E936" s="108"/>
      <c r="F936" s="111"/>
      <c r="G936" s="108"/>
      <c r="H936" s="108"/>
      <c r="I936" s="108"/>
      <c r="J936" s="108"/>
      <c r="K936" s="31" t="str">
        <f t="shared" ref="K936:K939" si="182">K935</f>
        <v>运营中</v>
      </c>
      <c r="L936" s="108"/>
      <c r="M936" s="108"/>
      <c r="N936" s="17"/>
      <c r="O936" s="36">
        <v>43738</v>
      </c>
      <c r="P936" s="12" t="s">
        <v>285</v>
      </c>
      <c r="Q936" s="17" t="s">
        <v>773</v>
      </c>
      <c r="R936" s="12" t="s">
        <v>240</v>
      </c>
      <c r="S936" s="108"/>
      <c r="T936" s="108"/>
      <c r="U936" s="111"/>
      <c r="V936" s="108"/>
      <c r="W936" s="108"/>
      <c r="X936" s="108"/>
    </row>
    <row r="937" spans="1:24" s="26" customFormat="1" hidden="1">
      <c r="A937" s="33"/>
      <c r="B937" s="108"/>
      <c r="C937" s="108"/>
      <c r="D937" s="31" t="str">
        <f>D936</f>
        <v>三维家</v>
      </c>
      <c r="E937" s="108"/>
      <c r="F937" s="111"/>
      <c r="G937" s="108"/>
      <c r="H937" s="108"/>
      <c r="I937" s="108"/>
      <c r="J937" s="108"/>
      <c r="K937" s="31" t="str">
        <f t="shared" si="182"/>
        <v>运营中</v>
      </c>
      <c r="L937" s="108"/>
      <c r="M937" s="108"/>
      <c r="N937" s="17"/>
      <c r="O937" s="36">
        <v>43186</v>
      </c>
      <c r="P937" s="17" t="s">
        <v>257</v>
      </c>
      <c r="Q937" s="17" t="s">
        <v>1115</v>
      </c>
      <c r="R937" s="12" t="s">
        <v>3203</v>
      </c>
      <c r="S937" s="108"/>
      <c r="T937" s="108"/>
      <c r="U937" s="111"/>
      <c r="V937" s="108"/>
      <c r="W937" s="108"/>
      <c r="X937" s="108"/>
    </row>
    <row r="938" spans="1:24" s="26" customFormat="1" hidden="1">
      <c r="A938" s="33"/>
      <c r="B938" s="108"/>
      <c r="C938" s="108"/>
      <c r="D938" s="31" t="str">
        <f>D937</f>
        <v>三维家</v>
      </c>
      <c r="E938" s="108"/>
      <c r="F938" s="111"/>
      <c r="G938" s="108"/>
      <c r="H938" s="108"/>
      <c r="I938" s="108"/>
      <c r="J938" s="108"/>
      <c r="K938" s="31" t="str">
        <f t="shared" si="182"/>
        <v>运营中</v>
      </c>
      <c r="L938" s="108"/>
      <c r="M938" s="108"/>
      <c r="N938" s="17"/>
      <c r="O938" s="36">
        <v>42184</v>
      </c>
      <c r="P938" s="17" t="s">
        <v>262</v>
      </c>
      <c r="Q938" s="12" t="s">
        <v>341</v>
      </c>
      <c r="R938" s="12" t="s">
        <v>3204</v>
      </c>
      <c r="S938" s="108"/>
      <c r="T938" s="108"/>
      <c r="U938" s="111"/>
      <c r="V938" s="108"/>
      <c r="W938" s="108"/>
      <c r="X938" s="108"/>
    </row>
    <row r="939" spans="1:24" s="26" customFormat="1" hidden="1">
      <c r="A939" s="33"/>
      <c r="B939" s="108"/>
      <c r="C939" s="108"/>
      <c r="D939" s="31" t="str">
        <f>D938</f>
        <v>三维家</v>
      </c>
      <c r="E939" s="108"/>
      <c r="F939" s="111"/>
      <c r="G939" s="108"/>
      <c r="H939" s="108"/>
      <c r="I939" s="108"/>
      <c r="J939" s="108"/>
      <c r="K939" s="31" t="str">
        <f t="shared" si="182"/>
        <v>运营中</v>
      </c>
      <c r="L939" s="108"/>
      <c r="M939" s="108"/>
      <c r="N939" s="17"/>
      <c r="O939" s="36">
        <v>41791</v>
      </c>
      <c r="P939" s="12" t="s">
        <v>326</v>
      </c>
      <c r="Q939" s="17" t="s">
        <v>1684</v>
      </c>
      <c r="R939" s="12" t="s">
        <v>3205</v>
      </c>
      <c r="S939" s="108"/>
      <c r="T939" s="108"/>
      <c r="U939" s="111"/>
      <c r="V939" s="108"/>
      <c r="W939" s="108"/>
      <c r="X939" s="108"/>
    </row>
    <row r="940" spans="1:24" s="26" customFormat="1" hidden="1">
      <c r="A940" s="33"/>
      <c r="B940" s="108"/>
      <c r="C940" s="108" t="s">
        <v>3206</v>
      </c>
      <c r="D940" s="31" t="s">
        <v>3207</v>
      </c>
      <c r="E940" s="107" t="s">
        <v>3207</v>
      </c>
      <c r="F940" s="110" t="s">
        <v>3208</v>
      </c>
      <c r="G940" s="107" t="s">
        <v>3209</v>
      </c>
      <c r="H940" s="108" t="s">
        <v>3210</v>
      </c>
      <c r="I940" s="108" t="s">
        <v>2887</v>
      </c>
      <c r="J940" s="107" t="s">
        <v>349</v>
      </c>
      <c r="K940" s="31" t="s">
        <v>272</v>
      </c>
      <c r="L940" s="107" t="s">
        <v>350</v>
      </c>
      <c r="M940" s="107" t="s">
        <v>351</v>
      </c>
      <c r="N940" s="12"/>
      <c r="O940" s="36">
        <v>44425</v>
      </c>
      <c r="P940" s="17" t="s">
        <v>523</v>
      </c>
      <c r="Q940" s="12" t="s">
        <v>276</v>
      </c>
      <c r="R940" s="12" t="s">
        <v>3211</v>
      </c>
      <c r="S940" s="108" t="s">
        <v>3212</v>
      </c>
      <c r="T940" s="108" t="s">
        <v>1874</v>
      </c>
      <c r="U940" s="110" t="s">
        <v>3213</v>
      </c>
      <c r="V940" s="107" t="s">
        <v>3214</v>
      </c>
      <c r="W940" s="108" t="s">
        <v>3215</v>
      </c>
      <c r="X940" s="108" t="s">
        <v>3216</v>
      </c>
    </row>
    <row r="941" spans="1:24" s="26" customFormat="1" hidden="1">
      <c r="A941" s="33"/>
      <c r="B941" s="108"/>
      <c r="C941" s="108"/>
      <c r="D941" s="31" t="str">
        <f t="shared" ref="D941:D947" si="183">D940</f>
        <v>日日煮</v>
      </c>
      <c r="E941" s="108"/>
      <c r="F941" s="111"/>
      <c r="G941" s="108"/>
      <c r="H941" s="108"/>
      <c r="I941" s="108"/>
      <c r="J941" s="108"/>
      <c r="K941" s="31" t="str">
        <f t="shared" ref="K941:K947" si="184">K940</f>
        <v>运营中</v>
      </c>
      <c r="L941" s="108"/>
      <c r="M941" s="108"/>
      <c r="N941" s="17"/>
      <c r="O941" s="36">
        <v>44250</v>
      </c>
      <c r="P941" s="17" t="s">
        <v>251</v>
      </c>
      <c r="Q941" s="17" t="s">
        <v>987</v>
      </c>
      <c r="R941" s="12" t="s">
        <v>3217</v>
      </c>
      <c r="S941" s="108"/>
      <c r="T941" s="108"/>
      <c r="U941" s="111"/>
      <c r="V941" s="108"/>
      <c r="W941" s="108"/>
      <c r="X941" s="108"/>
    </row>
    <row r="942" spans="1:24" s="26" customFormat="1" hidden="1">
      <c r="A942" s="33"/>
      <c r="B942" s="108"/>
      <c r="C942" s="108"/>
      <c r="D942" s="31" t="str">
        <f t="shared" si="183"/>
        <v>日日煮</v>
      </c>
      <c r="E942" s="108"/>
      <c r="F942" s="111"/>
      <c r="G942" s="108"/>
      <c r="H942" s="108"/>
      <c r="I942" s="108"/>
      <c r="J942" s="108"/>
      <c r="K942" s="31" t="str">
        <f t="shared" si="184"/>
        <v>运营中</v>
      </c>
      <c r="L942" s="108"/>
      <c r="M942" s="108"/>
      <c r="N942" s="17"/>
      <c r="O942" s="36">
        <v>44062</v>
      </c>
      <c r="P942" s="17" t="s">
        <v>565</v>
      </c>
      <c r="Q942" s="17" t="s">
        <v>458</v>
      </c>
      <c r="R942" s="17" t="s">
        <v>3218</v>
      </c>
      <c r="S942" s="108"/>
      <c r="T942" s="108"/>
      <c r="U942" s="111"/>
      <c r="V942" s="108"/>
      <c r="W942" s="108"/>
      <c r="X942" s="108"/>
    </row>
    <row r="943" spans="1:24" s="26" customFormat="1" hidden="1">
      <c r="A943" s="33"/>
      <c r="B943" s="108"/>
      <c r="C943" s="108"/>
      <c r="D943" s="31" t="str">
        <f t="shared" si="183"/>
        <v>日日煮</v>
      </c>
      <c r="E943" s="108"/>
      <c r="F943" s="111"/>
      <c r="G943" s="108"/>
      <c r="H943" s="108"/>
      <c r="I943" s="108"/>
      <c r="J943" s="108"/>
      <c r="K943" s="31" t="str">
        <f t="shared" si="184"/>
        <v>运营中</v>
      </c>
      <c r="L943" s="108"/>
      <c r="M943" s="108"/>
      <c r="N943" s="17"/>
      <c r="O943" s="36">
        <v>42929</v>
      </c>
      <c r="P943" s="17" t="s">
        <v>257</v>
      </c>
      <c r="Q943" s="17" t="s">
        <v>637</v>
      </c>
      <c r="R943" s="12" t="s">
        <v>3219</v>
      </c>
      <c r="S943" s="108"/>
      <c r="T943" s="108"/>
      <c r="U943" s="111"/>
      <c r="V943" s="108"/>
      <c r="W943" s="108"/>
      <c r="X943" s="108"/>
    </row>
    <row r="944" spans="1:24" s="26" customFormat="1" hidden="1">
      <c r="A944" s="33"/>
      <c r="B944" s="108"/>
      <c r="C944" s="108"/>
      <c r="D944" s="31" t="str">
        <f t="shared" si="183"/>
        <v>日日煮</v>
      </c>
      <c r="E944" s="108"/>
      <c r="F944" s="111"/>
      <c r="G944" s="108"/>
      <c r="H944" s="108"/>
      <c r="I944" s="108"/>
      <c r="J944" s="108"/>
      <c r="K944" s="31" t="str">
        <f t="shared" si="184"/>
        <v>运营中</v>
      </c>
      <c r="L944" s="108"/>
      <c r="M944" s="108"/>
      <c r="N944" s="17"/>
      <c r="O944" s="36">
        <v>42643</v>
      </c>
      <c r="P944" s="17" t="s">
        <v>260</v>
      </c>
      <c r="Q944" s="17" t="s">
        <v>1836</v>
      </c>
      <c r="R944" s="12" t="s">
        <v>240</v>
      </c>
      <c r="S944" s="108"/>
      <c r="T944" s="108"/>
      <c r="U944" s="111"/>
      <c r="V944" s="108"/>
      <c r="W944" s="108"/>
      <c r="X944" s="108"/>
    </row>
    <row r="945" spans="1:25" s="26" customFormat="1" hidden="1">
      <c r="A945" s="33"/>
      <c r="B945" s="108"/>
      <c r="C945" s="108"/>
      <c r="D945" s="31" t="str">
        <f t="shared" si="183"/>
        <v>日日煮</v>
      </c>
      <c r="E945" s="108"/>
      <c r="F945" s="111"/>
      <c r="G945" s="108"/>
      <c r="H945" s="108"/>
      <c r="I945" s="108"/>
      <c r="J945" s="108"/>
      <c r="K945" s="31" t="str">
        <f t="shared" si="184"/>
        <v>运营中</v>
      </c>
      <c r="L945" s="108"/>
      <c r="M945" s="108"/>
      <c r="N945" s="17"/>
      <c r="O945" s="36">
        <v>42403</v>
      </c>
      <c r="P945" s="17" t="s">
        <v>262</v>
      </c>
      <c r="Q945" s="17" t="s">
        <v>1836</v>
      </c>
      <c r="R945" s="17" t="s">
        <v>3220</v>
      </c>
      <c r="S945" s="108"/>
      <c r="T945" s="108"/>
      <c r="U945" s="111"/>
      <c r="V945" s="108"/>
      <c r="W945" s="108"/>
      <c r="X945" s="108"/>
    </row>
    <row r="946" spans="1:25" s="26" customFormat="1" hidden="1">
      <c r="A946" s="33"/>
      <c r="B946" s="108"/>
      <c r="C946" s="108"/>
      <c r="D946" s="31" t="str">
        <f t="shared" si="183"/>
        <v>日日煮</v>
      </c>
      <c r="E946" s="108"/>
      <c r="F946" s="111"/>
      <c r="G946" s="108"/>
      <c r="H946" s="108"/>
      <c r="I946" s="108"/>
      <c r="J946" s="108"/>
      <c r="K946" s="31" t="str">
        <f t="shared" si="184"/>
        <v>运营中</v>
      </c>
      <c r="L946" s="108"/>
      <c r="M946" s="108"/>
      <c r="N946" s="17"/>
      <c r="O946" s="36">
        <v>42161</v>
      </c>
      <c r="P946" s="17" t="s">
        <v>721</v>
      </c>
      <c r="Q946" s="12" t="s">
        <v>252</v>
      </c>
      <c r="R946" s="12" t="s">
        <v>528</v>
      </c>
      <c r="S946" s="108"/>
      <c r="T946" s="108"/>
      <c r="U946" s="111"/>
      <c r="V946" s="108"/>
      <c r="W946" s="108"/>
      <c r="X946" s="108"/>
    </row>
    <row r="947" spans="1:25" s="26" customFormat="1" hidden="1">
      <c r="A947" s="33"/>
      <c r="B947" s="108"/>
      <c r="C947" s="108"/>
      <c r="D947" s="31" t="str">
        <f t="shared" si="183"/>
        <v>日日煮</v>
      </c>
      <c r="E947" s="108"/>
      <c r="F947" s="111"/>
      <c r="G947" s="108"/>
      <c r="H947" s="108"/>
      <c r="I947" s="108"/>
      <c r="J947" s="108"/>
      <c r="K947" s="31" t="str">
        <f t="shared" si="184"/>
        <v>运营中</v>
      </c>
      <c r="L947" s="108"/>
      <c r="M947" s="108"/>
      <c r="N947" s="17"/>
      <c r="O947" s="36">
        <v>41962</v>
      </c>
      <c r="P947" s="12" t="s">
        <v>326</v>
      </c>
      <c r="Q947" s="12" t="s">
        <v>252</v>
      </c>
      <c r="R947" s="12" t="s">
        <v>3221</v>
      </c>
      <c r="S947" s="108"/>
      <c r="T947" s="108"/>
      <c r="U947" s="111"/>
      <c r="V947" s="108"/>
      <c r="W947" s="108"/>
      <c r="X947" s="108"/>
    </row>
    <row r="948" spans="1:25" s="26" customFormat="1" hidden="1">
      <c r="A948" s="33"/>
      <c r="B948" s="108"/>
      <c r="C948" s="108" t="s">
        <v>3222</v>
      </c>
      <c r="D948" s="31" t="s">
        <v>3223</v>
      </c>
      <c r="E948" s="108" t="s">
        <v>3224</v>
      </c>
      <c r="F948" s="111" t="s">
        <v>3225</v>
      </c>
      <c r="G948" s="108"/>
      <c r="H948" s="108" t="s">
        <v>3226</v>
      </c>
      <c r="I948" s="108" t="s">
        <v>3227</v>
      </c>
      <c r="J948" s="107" t="s">
        <v>3228</v>
      </c>
      <c r="K948" s="31" t="s">
        <v>272</v>
      </c>
      <c r="L948" s="107" t="s">
        <v>386</v>
      </c>
      <c r="M948" s="107" t="s">
        <v>1767</v>
      </c>
      <c r="N948" s="12"/>
      <c r="O948" s="36">
        <v>44964</v>
      </c>
      <c r="P948" s="12" t="s">
        <v>285</v>
      </c>
      <c r="Q948" s="17" t="s">
        <v>3229</v>
      </c>
      <c r="R948" s="17" t="s">
        <v>3230</v>
      </c>
      <c r="S948" s="108" t="s">
        <v>3231</v>
      </c>
      <c r="T948" s="108" t="s">
        <v>3232</v>
      </c>
      <c r="U948" s="111" t="s">
        <v>3233</v>
      </c>
      <c r="V948" s="108"/>
      <c r="W948" s="108"/>
      <c r="X948" s="108"/>
    </row>
    <row r="949" spans="1:25" s="26" customFormat="1" hidden="1">
      <c r="A949" s="33"/>
      <c r="B949" s="108"/>
      <c r="C949" s="108"/>
      <c r="D949" s="31" t="str">
        <f>D948</f>
        <v>SM娱乐</v>
      </c>
      <c r="E949" s="108"/>
      <c r="F949" s="111"/>
      <c r="G949" s="108"/>
      <c r="H949" s="108"/>
      <c r="I949" s="108"/>
      <c r="J949" s="108"/>
      <c r="K949" s="31" t="str">
        <f>K948</f>
        <v>运营中</v>
      </c>
      <c r="L949" s="108"/>
      <c r="M949" s="108"/>
      <c r="N949" s="17"/>
      <c r="O949" s="36">
        <v>42411</v>
      </c>
      <c r="P949" s="12" t="s">
        <v>285</v>
      </c>
      <c r="Q949" s="17" t="s">
        <v>3234</v>
      </c>
      <c r="R949" s="12" t="s">
        <v>240</v>
      </c>
      <c r="S949" s="108"/>
      <c r="T949" s="108"/>
      <c r="U949" s="111"/>
      <c r="V949" s="108"/>
      <c r="W949" s="108"/>
      <c r="X949" s="108"/>
    </row>
    <row r="950" spans="1:25" s="26" customFormat="1" ht="36" hidden="1">
      <c r="A950" s="33"/>
      <c r="B950" s="108"/>
      <c r="C950" s="17" t="s">
        <v>3235</v>
      </c>
      <c r="D950" s="38" t="s">
        <v>3236</v>
      </c>
      <c r="E950" s="12" t="s">
        <v>3236</v>
      </c>
      <c r="F950" s="32" t="s">
        <v>3237</v>
      </c>
      <c r="G950" s="12" t="s">
        <v>3238</v>
      </c>
      <c r="H950" s="17" t="s">
        <v>3239</v>
      </c>
      <c r="I950" s="17" t="s">
        <v>629</v>
      </c>
      <c r="J950" s="12" t="s">
        <v>1809</v>
      </c>
      <c r="K950" s="38" t="s">
        <v>272</v>
      </c>
      <c r="L950" s="12" t="s">
        <v>386</v>
      </c>
      <c r="M950" s="12" t="s">
        <v>1535</v>
      </c>
      <c r="N950" s="12">
        <v>1</v>
      </c>
      <c r="O950" s="36">
        <v>42436</v>
      </c>
      <c r="P950" s="12" t="s">
        <v>471</v>
      </c>
      <c r="Q950" s="17" t="s">
        <v>3240</v>
      </c>
      <c r="R950" s="12" t="s">
        <v>240</v>
      </c>
      <c r="S950" s="17" t="s">
        <v>3241</v>
      </c>
      <c r="T950" s="17" t="s">
        <v>3242</v>
      </c>
      <c r="U950" s="34"/>
      <c r="V950" s="17"/>
      <c r="W950" s="17" t="s">
        <v>3243</v>
      </c>
      <c r="X950" s="17" t="s">
        <v>3244</v>
      </c>
    </row>
    <row r="951" spans="1:25" s="26" customFormat="1" hidden="1">
      <c r="A951" s="33"/>
      <c r="B951" s="108"/>
      <c r="C951" s="108" t="s">
        <v>3245</v>
      </c>
      <c r="D951" s="31" t="s">
        <v>3246</v>
      </c>
      <c r="E951" s="107" t="s">
        <v>3246</v>
      </c>
      <c r="F951" s="110" t="s">
        <v>3247</v>
      </c>
      <c r="G951" s="107" t="s">
        <v>3248</v>
      </c>
      <c r="H951" s="108" t="s">
        <v>3249</v>
      </c>
      <c r="I951" s="108" t="s">
        <v>3250</v>
      </c>
      <c r="J951" s="107" t="s">
        <v>406</v>
      </c>
      <c r="K951" s="31" t="s">
        <v>272</v>
      </c>
      <c r="L951" s="107" t="s">
        <v>512</v>
      </c>
      <c r="M951" s="107" t="s">
        <v>1781</v>
      </c>
      <c r="N951" s="12"/>
      <c r="O951" s="36">
        <v>43777</v>
      </c>
      <c r="P951" s="12" t="s">
        <v>285</v>
      </c>
      <c r="Q951" s="17" t="s">
        <v>3251</v>
      </c>
      <c r="R951" s="12" t="s">
        <v>240</v>
      </c>
      <c r="S951" s="108" t="s">
        <v>3252</v>
      </c>
      <c r="T951" s="108" t="s">
        <v>3253</v>
      </c>
      <c r="U951" s="110" t="s">
        <v>3254</v>
      </c>
      <c r="V951" s="107" t="s">
        <v>3255</v>
      </c>
      <c r="W951" s="108" t="s">
        <v>3256</v>
      </c>
      <c r="X951" s="108"/>
    </row>
    <row r="952" spans="1:25" s="26" customFormat="1" hidden="1">
      <c r="A952" s="33"/>
      <c r="B952" s="108"/>
      <c r="C952" s="108"/>
      <c r="D952" s="31" t="str">
        <f>D951</f>
        <v>菜鸟网络</v>
      </c>
      <c r="E952" s="108"/>
      <c r="F952" s="111"/>
      <c r="G952" s="108"/>
      <c r="H952" s="108"/>
      <c r="I952" s="108"/>
      <c r="J952" s="108"/>
      <c r="K952" s="31" t="str">
        <f t="shared" ref="K952:K954" si="185">K951</f>
        <v>运营中</v>
      </c>
      <c r="L952" s="108"/>
      <c r="M952" s="108"/>
      <c r="N952" s="17"/>
      <c r="O952" s="36">
        <v>43004</v>
      </c>
      <c r="P952" s="12" t="s">
        <v>285</v>
      </c>
      <c r="Q952" s="17" t="s">
        <v>3257</v>
      </c>
      <c r="R952" s="12" t="s">
        <v>240</v>
      </c>
      <c r="S952" s="108"/>
      <c r="T952" s="108"/>
      <c r="U952" s="111"/>
      <c r="V952" s="108"/>
      <c r="W952" s="108"/>
      <c r="X952" s="108"/>
    </row>
    <row r="953" spans="1:25" s="26" customFormat="1" hidden="1">
      <c r="A953" s="33"/>
      <c r="B953" s="108"/>
      <c r="C953" s="108"/>
      <c r="D953" s="31" t="str">
        <f>D952</f>
        <v>菜鸟网络</v>
      </c>
      <c r="E953" s="108"/>
      <c r="F953" s="111"/>
      <c r="G953" s="108"/>
      <c r="H953" s="108"/>
      <c r="I953" s="108"/>
      <c r="J953" s="108"/>
      <c r="K953" s="31" t="str">
        <f t="shared" si="185"/>
        <v>运营中</v>
      </c>
      <c r="L953" s="108"/>
      <c r="M953" s="108"/>
      <c r="N953" s="17"/>
      <c r="O953" s="36">
        <v>42443</v>
      </c>
      <c r="P953" s="17" t="s">
        <v>262</v>
      </c>
      <c r="Q953" s="17" t="s">
        <v>3110</v>
      </c>
      <c r="R953" s="12" t="s">
        <v>3258</v>
      </c>
      <c r="S953" s="108"/>
      <c r="T953" s="108"/>
      <c r="U953" s="111"/>
      <c r="V953" s="108"/>
      <c r="W953" s="108"/>
      <c r="X953" s="108"/>
    </row>
    <row r="954" spans="1:25" s="26" customFormat="1" hidden="1">
      <c r="A954" s="33"/>
      <c r="B954" s="108"/>
      <c r="C954" s="108"/>
      <c r="D954" s="31" t="str">
        <f>D953</f>
        <v>菜鸟网络</v>
      </c>
      <c r="E954" s="108"/>
      <c r="F954" s="111"/>
      <c r="G954" s="108"/>
      <c r="H954" s="108"/>
      <c r="I954" s="108"/>
      <c r="J954" s="108"/>
      <c r="K954" s="31" t="str">
        <f t="shared" si="185"/>
        <v>运营中</v>
      </c>
      <c r="L954" s="108"/>
      <c r="M954" s="108"/>
      <c r="N954" s="17"/>
      <c r="O954" s="36">
        <v>41487</v>
      </c>
      <c r="P954" s="12" t="s">
        <v>326</v>
      </c>
      <c r="Q954" s="12" t="s">
        <v>409</v>
      </c>
      <c r="R954" s="12" t="s">
        <v>2211</v>
      </c>
      <c r="S954" s="108"/>
      <c r="T954" s="108"/>
      <c r="U954" s="111"/>
      <c r="V954" s="108"/>
      <c r="W954" s="108"/>
      <c r="X954" s="108"/>
    </row>
    <row r="955" spans="1:25" s="26" customFormat="1" hidden="1">
      <c r="A955" s="33"/>
      <c r="B955" s="108"/>
      <c r="C955" s="108" t="s">
        <v>3259</v>
      </c>
      <c r="D955" s="31" t="s">
        <v>3260</v>
      </c>
      <c r="E955" s="107" t="s">
        <v>3261</v>
      </c>
      <c r="F955" s="110" t="s">
        <v>3262</v>
      </c>
      <c r="G955" s="107" t="s">
        <v>3263</v>
      </c>
      <c r="H955" s="108" t="s">
        <v>3264</v>
      </c>
      <c r="I955" s="108" t="s">
        <v>3265</v>
      </c>
      <c r="J955" s="107" t="s">
        <v>2627</v>
      </c>
      <c r="K955" s="31" t="s">
        <v>272</v>
      </c>
      <c r="L955" s="107" t="s">
        <v>1798</v>
      </c>
      <c r="M955" s="107" t="s">
        <v>1799</v>
      </c>
      <c r="N955" s="12"/>
      <c r="O955" s="36">
        <v>43193</v>
      </c>
      <c r="P955" s="17" t="s">
        <v>262</v>
      </c>
      <c r="Q955" s="17" t="s">
        <v>1716</v>
      </c>
      <c r="R955" s="12" t="s">
        <v>3266</v>
      </c>
      <c r="S955" s="108" t="s">
        <v>1717</v>
      </c>
      <c r="T955" s="108" t="s">
        <v>766</v>
      </c>
      <c r="U955" s="110" t="s">
        <v>3267</v>
      </c>
      <c r="V955" s="107" t="s">
        <v>3268</v>
      </c>
      <c r="W955" s="108"/>
      <c r="X955" s="108" t="s">
        <v>3269</v>
      </c>
    </row>
    <row r="956" spans="1:25" s="26" customFormat="1" hidden="1">
      <c r="A956" s="33"/>
      <c r="B956" s="108"/>
      <c r="C956" s="108"/>
      <c r="D956" s="31" t="str">
        <f>D955</f>
        <v>橙狮体育-阿里体育</v>
      </c>
      <c r="E956" s="108"/>
      <c r="F956" s="111"/>
      <c r="G956" s="108"/>
      <c r="H956" s="108"/>
      <c r="I956" s="108"/>
      <c r="J956" s="108"/>
      <c r="K956" s="31" t="str">
        <f>K955</f>
        <v>运营中</v>
      </c>
      <c r="L956" s="108"/>
      <c r="M956" s="108"/>
      <c r="N956" s="17"/>
      <c r="O956" s="36">
        <v>42255</v>
      </c>
      <c r="P956" s="12" t="s">
        <v>326</v>
      </c>
      <c r="Q956" s="12" t="s">
        <v>409</v>
      </c>
      <c r="R956" s="12" t="s">
        <v>3270</v>
      </c>
      <c r="S956" s="108"/>
      <c r="T956" s="108"/>
      <c r="U956" s="111"/>
      <c r="V956" s="108"/>
      <c r="W956" s="108"/>
      <c r="X956" s="108"/>
    </row>
    <row r="957" spans="1:25" s="26" customFormat="1" ht="77.5" customHeight="1">
      <c r="A957" s="11"/>
      <c r="B957" s="108"/>
      <c r="C957" s="108" t="s">
        <v>3271</v>
      </c>
      <c r="D957" s="31" t="s">
        <v>168</v>
      </c>
      <c r="E957" s="109" t="s">
        <v>168</v>
      </c>
      <c r="F957" s="112" t="s">
        <v>3272</v>
      </c>
      <c r="G957" s="108"/>
      <c r="H957" s="108" t="s">
        <v>3273</v>
      </c>
      <c r="I957" s="109" t="s">
        <v>427</v>
      </c>
      <c r="J957" s="109" t="s">
        <v>1780</v>
      </c>
      <c r="K957" s="20" t="s">
        <v>1042</v>
      </c>
      <c r="L957" s="109" t="s">
        <v>3274</v>
      </c>
      <c r="M957" s="109" t="s">
        <v>3275</v>
      </c>
      <c r="N957" s="13"/>
      <c r="O957" s="24">
        <v>44465</v>
      </c>
      <c r="P957" s="13" t="s">
        <v>3276</v>
      </c>
      <c r="Q957" s="13" t="s">
        <v>3277</v>
      </c>
      <c r="R957" s="13" t="s">
        <v>3278</v>
      </c>
      <c r="S957" s="109" t="s">
        <v>3279</v>
      </c>
      <c r="T957" s="109" t="s">
        <v>3280</v>
      </c>
      <c r="U957" s="112" t="s">
        <v>3281</v>
      </c>
      <c r="V957" s="108"/>
      <c r="W957" s="108"/>
      <c r="X957" s="108"/>
      <c r="Y957" s="11"/>
    </row>
    <row r="958" spans="1:25" s="26" customFormat="1" hidden="1">
      <c r="A958" s="33"/>
      <c r="B958" s="108"/>
      <c r="C958" s="108"/>
      <c r="D958" s="31" t="str">
        <f>D957</f>
        <v>Ninja Van</v>
      </c>
      <c r="E958" s="108"/>
      <c r="F958" s="111"/>
      <c r="G958" s="108"/>
      <c r="H958" s="108"/>
      <c r="I958" s="108"/>
      <c r="J958" s="108"/>
      <c r="K958" s="31" t="str">
        <f t="shared" ref="K958:K961" si="186">K957</f>
        <v>运营中</v>
      </c>
      <c r="L958" s="108"/>
      <c r="M958" s="108"/>
      <c r="N958" s="17"/>
      <c r="O958" s="36">
        <v>43957</v>
      </c>
      <c r="P958" s="17" t="s">
        <v>317</v>
      </c>
      <c r="Q958" s="17" t="s">
        <v>3282</v>
      </c>
      <c r="R958" s="17" t="s">
        <v>3283</v>
      </c>
      <c r="S958" s="108"/>
      <c r="T958" s="108"/>
      <c r="U958" s="111"/>
      <c r="V958" s="108"/>
      <c r="W958" s="108"/>
      <c r="X958" s="108"/>
    </row>
    <row r="959" spans="1:25" s="26" customFormat="1" hidden="1">
      <c r="A959" s="33"/>
      <c r="B959" s="108"/>
      <c r="C959" s="108"/>
      <c r="D959" s="31" t="str">
        <f>D958</f>
        <v>Ninja Van</v>
      </c>
      <c r="E959" s="108"/>
      <c r="F959" s="111"/>
      <c r="G959" s="108"/>
      <c r="H959" s="108"/>
      <c r="I959" s="108"/>
      <c r="J959" s="108"/>
      <c r="K959" s="31" t="str">
        <f t="shared" si="186"/>
        <v>运营中</v>
      </c>
      <c r="L959" s="108"/>
      <c r="M959" s="108"/>
      <c r="N959" s="17"/>
      <c r="O959" s="36">
        <v>43581</v>
      </c>
      <c r="P959" s="12" t="s">
        <v>285</v>
      </c>
      <c r="Q959" s="12" t="s">
        <v>2879</v>
      </c>
      <c r="R959" s="17" t="s">
        <v>3284</v>
      </c>
      <c r="S959" s="108"/>
      <c r="T959" s="108"/>
      <c r="U959" s="111"/>
      <c r="V959" s="108"/>
      <c r="W959" s="108"/>
      <c r="X959" s="108"/>
    </row>
    <row r="960" spans="1:25" s="26" customFormat="1" hidden="1">
      <c r="A960" s="33"/>
      <c r="B960" s="108"/>
      <c r="C960" s="108"/>
      <c r="D960" s="31" t="str">
        <f>D959</f>
        <v>Ninja Van</v>
      </c>
      <c r="E960" s="108"/>
      <c r="F960" s="111"/>
      <c r="G960" s="108"/>
      <c r="H960" s="108"/>
      <c r="I960" s="108"/>
      <c r="J960" s="108"/>
      <c r="K960" s="31" t="str">
        <f t="shared" si="186"/>
        <v>运营中</v>
      </c>
      <c r="L960" s="108"/>
      <c r="M960" s="108"/>
      <c r="N960" s="17"/>
      <c r="O960" s="36">
        <v>42480</v>
      </c>
      <c r="P960" s="17" t="s">
        <v>257</v>
      </c>
      <c r="Q960" s="17" t="s">
        <v>805</v>
      </c>
      <c r="R960" s="17" t="s">
        <v>3285</v>
      </c>
      <c r="S960" s="108"/>
      <c r="T960" s="108"/>
      <c r="U960" s="111"/>
      <c r="V960" s="108"/>
      <c r="W960" s="108"/>
      <c r="X960" s="108"/>
    </row>
    <row r="961" spans="1:24" s="26" customFormat="1" hidden="1">
      <c r="A961" s="33"/>
      <c r="B961" s="108"/>
      <c r="C961" s="108"/>
      <c r="D961" s="31" t="str">
        <f>D960</f>
        <v>Ninja Van</v>
      </c>
      <c r="E961" s="108"/>
      <c r="F961" s="111"/>
      <c r="G961" s="108"/>
      <c r="H961" s="108"/>
      <c r="I961" s="108"/>
      <c r="J961" s="108"/>
      <c r="K961" s="31" t="str">
        <f t="shared" si="186"/>
        <v>运营中</v>
      </c>
      <c r="L961" s="108"/>
      <c r="M961" s="108"/>
      <c r="N961" s="17"/>
      <c r="O961" s="36">
        <v>42005</v>
      </c>
      <c r="P961" s="17" t="s">
        <v>262</v>
      </c>
      <c r="Q961" s="17" t="s">
        <v>890</v>
      </c>
      <c r="R961" s="17" t="s">
        <v>253</v>
      </c>
      <c r="S961" s="108"/>
      <c r="T961" s="108"/>
      <c r="U961" s="111"/>
      <c r="V961" s="108"/>
      <c r="W961" s="108"/>
      <c r="X961" s="108"/>
    </row>
    <row r="962" spans="1:24" s="26" customFormat="1" ht="36" hidden="1">
      <c r="A962" s="33"/>
      <c r="B962" s="108"/>
      <c r="C962" s="17" t="s">
        <v>3286</v>
      </c>
      <c r="D962" s="38" t="s">
        <v>3287</v>
      </c>
      <c r="E962" s="17" t="s">
        <v>3287</v>
      </c>
      <c r="F962" s="34" t="s">
        <v>3288</v>
      </c>
      <c r="G962" s="17" t="s">
        <v>3287</v>
      </c>
      <c r="H962" s="17" t="s">
        <v>3289</v>
      </c>
      <c r="I962" s="17" t="s">
        <v>2887</v>
      </c>
      <c r="J962" s="12" t="s">
        <v>1502</v>
      </c>
      <c r="K962" s="38" t="s">
        <v>272</v>
      </c>
      <c r="L962" s="12" t="s">
        <v>350</v>
      </c>
      <c r="M962" s="12" t="s">
        <v>1379</v>
      </c>
      <c r="N962" s="12"/>
      <c r="O962" s="36">
        <v>42495</v>
      </c>
      <c r="P962" s="12" t="s">
        <v>326</v>
      </c>
      <c r="Q962" s="12" t="s">
        <v>261</v>
      </c>
      <c r="R962" s="12" t="s">
        <v>3290</v>
      </c>
      <c r="S962" s="17" t="s">
        <v>3291</v>
      </c>
      <c r="T962" s="17" t="s">
        <v>3292</v>
      </c>
      <c r="U962" s="34"/>
      <c r="V962" s="12" t="s">
        <v>3293</v>
      </c>
      <c r="W962" s="17" t="s">
        <v>3294</v>
      </c>
      <c r="X962" s="17" t="s">
        <v>3295</v>
      </c>
    </row>
    <row r="963" spans="1:24" s="26" customFormat="1" hidden="1">
      <c r="A963" s="33"/>
      <c r="B963" s="108"/>
      <c r="C963" s="108" t="s">
        <v>3296</v>
      </c>
      <c r="D963" s="31" t="s">
        <v>3297</v>
      </c>
      <c r="E963" s="108" t="s">
        <v>3297</v>
      </c>
      <c r="F963" s="111" t="s">
        <v>3298</v>
      </c>
      <c r="G963" s="107" t="s">
        <v>3299</v>
      </c>
      <c r="H963" s="108" t="s">
        <v>3300</v>
      </c>
      <c r="I963" s="108" t="s">
        <v>1944</v>
      </c>
      <c r="J963" s="107" t="s">
        <v>1502</v>
      </c>
      <c r="K963" s="31" t="s">
        <v>272</v>
      </c>
      <c r="L963" s="107" t="s">
        <v>350</v>
      </c>
      <c r="M963" s="107" t="s">
        <v>1090</v>
      </c>
      <c r="N963" s="12"/>
      <c r="O963" s="36">
        <v>44048</v>
      </c>
      <c r="P963" s="17" t="s">
        <v>262</v>
      </c>
      <c r="Q963" s="17" t="s">
        <v>458</v>
      </c>
      <c r="R963" s="17" t="s">
        <v>3301</v>
      </c>
      <c r="S963" s="108" t="s">
        <v>2553</v>
      </c>
      <c r="T963" s="108" t="s">
        <v>1969</v>
      </c>
      <c r="U963" s="110" t="s">
        <v>3302</v>
      </c>
      <c r="V963" s="108"/>
      <c r="W963" s="108"/>
      <c r="X963" s="108" t="s">
        <v>3303</v>
      </c>
    </row>
    <row r="964" spans="1:24" s="26" customFormat="1" hidden="1">
      <c r="A964" s="33"/>
      <c r="B964" s="108"/>
      <c r="C964" s="108"/>
      <c r="D964" s="31" t="str">
        <f>D963</f>
        <v>Shopline</v>
      </c>
      <c r="E964" s="108"/>
      <c r="F964" s="111"/>
      <c r="G964" s="108"/>
      <c r="H964" s="108"/>
      <c r="I964" s="108"/>
      <c r="J964" s="108"/>
      <c r="K964" s="31" t="str">
        <f>K963</f>
        <v>运营中</v>
      </c>
      <c r="L964" s="108"/>
      <c r="M964" s="108"/>
      <c r="N964" s="17"/>
      <c r="O964" s="36">
        <v>42495</v>
      </c>
      <c r="P964" s="12" t="s">
        <v>326</v>
      </c>
      <c r="Q964" s="12" t="s">
        <v>261</v>
      </c>
      <c r="R964" s="12" t="s">
        <v>3290</v>
      </c>
      <c r="S964" s="108"/>
      <c r="T964" s="108"/>
      <c r="U964" s="111"/>
      <c r="V964" s="108"/>
      <c r="W964" s="108"/>
      <c r="X964" s="108"/>
    </row>
    <row r="965" spans="1:24" s="26" customFormat="1" hidden="1">
      <c r="A965" s="33"/>
      <c r="B965" s="108"/>
      <c r="C965" s="108" t="s">
        <v>3304</v>
      </c>
      <c r="D965" s="31" t="s">
        <v>3305</v>
      </c>
      <c r="E965" s="107" t="s">
        <v>3305</v>
      </c>
      <c r="F965" s="110" t="s">
        <v>3306</v>
      </c>
      <c r="G965" s="107" t="s">
        <v>3307</v>
      </c>
      <c r="H965" s="108" t="s">
        <v>3308</v>
      </c>
      <c r="I965" s="108" t="s">
        <v>1944</v>
      </c>
      <c r="J965" s="107" t="s">
        <v>1041</v>
      </c>
      <c r="K965" s="35" t="s">
        <v>248</v>
      </c>
      <c r="L965" s="107" t="s">
        <v>386</v>
      </c>
      <c r="M965" s="107" t="s">
        <v>1535</v>
      </c>
      <c r="N965" s="12"/>
      <c r="O965" s="36">
        <v>42520</v>
      </c>
      <c r="P965" s="17" t="s">
        <v>257</v>
      </c>
      <c r="Q965" s="12" t="s">
        <v>252</v>
      </c>
      <c r="R965" s="12" t="s">
        <v>240</v>
      </c>
      <c r="S965" s="108" t="s">
        <v>3309</v>
      </c>
      <c r="T965" s="107" t="s">
        <v>255</v>
      </c>
      <c r="U965" s="111"/>
      <c r="V965" s="107" t="s">
        <v>3310</v>
      </c>
      <c r="W965" s="108" t="s">
        <v>3311</v>
      </c>
      <c r="X965" s="108" t="s">
        <v>3312</v>
      </c>
    </row>
    <row r="966" spans="1:24" s="26" customFormat="1" hidden="1">
      <c r="A966" s="33"/>
      <c r="B966" s="108"/>
      <c r="C966" s="108"/>
      <c r="D966" s="31" t="str">
        <f>D965</f>
        <v>娱亚互动</v>
      </c>
      <c r="E966" s="108"/>
      <c r="F966" s="111"/>
      <c r="G966" s="108"/>
      <c r="H966" s="108"/>
      <c r="I966" s="108"/>
      <c r="J966" s="108"/>
      <c r="K966" s="37" t="str">
        <f t="shared" ref="K966:K967" si="187">K965</f>
        <v>已关闭</v>
      </c>
      <c r="L966" s="108"/>
      <c r="M966" s="108"/>
      <c r="N966" s="17"/>
      <c r="O966" s="36">
        <v>42370</v>
      </c>
      <c r="P966" s="17" t="s">
        <v>262</v>
      </c>
      <c r="Q966" s="17" t="s">
        <v>324</v>
      </c>
      <c r="R966" s="17" t="s">
        <v>3313</v>
      </c>
      <c r="S966" s="108"/>
      <c r="T966" s="108"/>
      <c r="U966" s="111"/>
      <c r="V966" s="108"/>
      <c r="W966" s="108"/>
      <c r="X966" s="108"/>
    </row>
    <row r="967" spans="1:24" s="26" customFormat="1" hidden="1">
      <c r="A967" s="33"/>
      <c r="B967" s="108"/>
      <c r="C967" s="108"/>
      <c r="D967" s="31" t="str">
        <f>D966</f>
        <v>娱亚互动</v>
      </c>
      <c r="E967" s="108"/>
      <c r="F967" s="111"/>
      <c r="G967" s="108"/>
      <c r="H967" s="108"/>
      <c r="I967" s="108"/>
      <c r="J967" s="108"/>
      <c r="K967" s="37" t="str">
        <f t="shared" si="187"/>
        <v>已关闭</v>
      </c>
      <c r="L967" s="108"/>
      <c r="M967" s="108"/>
      <c r="N967" s="17"/>
      <c r="O967" s="36">
        <v>41852</v>
      </c>
      <c r="P967" s="12" t="s">
        <v>326</v>
      </c>
      <c r="Q967" s="17" t="s">
        <v>3314</v>
      </c>
      <c r="R967" s="17" t="s">
        <v>3313</v>
      </c>
      <c r="S967" s="108"/>
      <c r="T967" s="108"/>
      <c r="U967" s="111"/>
      <c r="V967" s="108"/>
      <c r="W967" s="108"/>
      <c r="X967" s="108"/>
    </row>
    <row r="968" spans="1:24" s="26" customFormat="1" hidden="1">
      <c r="A968" s="33"/>
      <c r="B968" s="108"/>
      <c r="C968" s="108" t="s">
        <v>3315</v>
      </c>
      <c r="D968" s="31" t="s">
        <v>3316</v>
      </c>
      <c r="E968" s="108" t="s">
        <v>3316</v>
      </c>
      <c r="F968" s="111" t="s">
        <v>3317</v>
      </c>
      <c r="G968" s="108"/>
      <c r="H968" s="108" t="s">
        <v>3318</v>
      </c>
      <c r="I968" s="108" t="s">
        <v>3250</v>
      </c>
      <c r="J968" s="107" t="s">
        <v>1931</v>
      </c>
      <c r="K968" s="31" t="s">
        <v>272</v>
      </c>
      <c r="L968" s="107" t="s">
        <v>335</v>
      </c>
      <c r="M968" s="107" t="s">
        <v>2397</v>
      </c>
      <c r="N968" s="12"/>
      <c r="O968" s="36">
        <v>42866</v>
      </c>
      <c r="P968" s="17" t="s">
        <v>257</v>
      </c>
      <c r="Q968" s="17" t="s">
        <v>322</v>
      </c>
      <c r="R968" s="17" t="s">
        <v>3319</v>
      </c>
      <c r="S968" s="108" t="s">
        <v>3320</v>
      </c>
      <c r="T968" s="108" t="s">
        <v>1526</v>
      </c>
      <c r="U968" s="111" t="s">
        <v>3321</v>
      </c>
      <c r="V968" s="108" t="s">
        <v>3322</v>
      </c>
      <c r="W968" s="108" t="s">
        <v>3323</v>
      </c>
      <c r="X968" s="108" t="s">
        <v>3324</v>
      </c>
    </row>
    <row r="969" spans="1:24" s="26" customFormat="1" hidden="1">
      <c r="A969" s="33"/>
      <c r="B969" s="108"/>
      <c r="C969" s="108"/>
      <c r="D969" s="31" t="str">
        <f>D968</f>
        <v>Twiggle</v>
      </c>
      <c r="E969" s="108"/>
      <c r="F969" s="111"/>
      <c r="G969" s="108"/>
      <c r="H969" s="108"/>
      <c r="I969" s="108"/>
      <c r="J969" s="108"/>
      <c r="K969" s="31" t="str">
        <f>K968</f>
        <v>运营中</v>
      </c>
      <c r="L969" s="108"/>
      <c r="M969" s="108"/>
      <c r="N969" s="17"/>
      <c r="O969" s="36">
        <v>42522</v>
      </c>
      <c r="P969" s="17" t="s">
        <v>262</v>
      </c>
      <c r="Q969" s="17" t="s">
        <v>3325</v>
      </c>
      <c r="R969" s="12" t="s">
        <v>3326</v>
      </c>
      <c r="S969" s="108"/>
      <c r="T969" s="108"/>
      <c r="U969" s="111"/>
      <c r="V969" s="108"/>
      <c r="W969" s="108"/>
      <c r="X969" s="108"/>
    </row>
    <row r="970" spans="1:24" s="26" customFormat="1" ht="48" hidden="1">
      <c r="A970" s="33"/>
      <c r="B970" s="108"/>
      <c r="C970" s="17" t="s">
        <v>3327</v>
      </c>
      <c r="D970" s="38" t="s">
        <v>3328</v>
      </c>
      <c r="E970" s="12" t="s">
        <v>3328</v>
      </c>
      <c r="F970" s="32" t="s">
        <v>3329</v>
      </c>
      <c r="G970" s="12" t="s">
        <v>3330</v>
      </c>
      <c r="H970" s="17" t="s">
        <v>3331</v>
      </c>
      <c r="I970" s="17" t="s">
        <v>3332</v>
      </c>
      <c r="J970" s="12" t="s">
        <v>406</v>
      </c>
      <c r="K970" s="38" t="s">
        <v>272</v>
      </c>
      <c r="L970" s="12" t="s">
        <v>350</v>
      </c>
      <c r="M970" s="12" t="s">
        <v>728</v>
      </c>
      <c r="N970" s="12"/>
      <c r="O970" s="36">
        <v>42435</v>
      </c>
      <c r="P970" s="17" t="s">
        <v>262</v>
      </c>
      <c r="Q970" s="17" t="s">
        <v>522</v>
      </c>
      <c r="R970" s="12" t="s">
        <v>240</v>
      </c>
      <c r="S970" s="17" t="s">
        <v>3333</v>
      </c>
      <c r="T970" s="17" t="s">
        <v>3334</v>
      </c>
      <c r="U970" s="32" t="s">
        <v>3335</v>
      </c>
      <c r="V970" s="17"/>
      <c r="W970" s="17" t="s">
        <v>3336</v>
      </c>
      <c r="X970" s="17" t="s">
        <v>3337</v>
      </c>
    </row>
    <row r="971" spans="1:24" s="26" customFormat="1" hidden="1">
      <c r="A971" s="33"/>
      <c r="B971" s="108"/>
      <c r="C971" s="108" t="s">
        <v>3338</v>
      </c>
      <c r="D971" s="31" t="s">
        <v>3339</v>
      </c>
      <c r="E971" s="107" t="s">
        <v>3339</v>
      </c>
      <c r="F971" s="110" t="s">
        <v>3340</v>
      </c>
      <c r="G971" s="107" t="s">
        <v>3341</v>
      </c>
      <c r="H971" s="108" t="s">
        <v>3342</v>
      </c>
      <c r="I971" s="108" t="s">
        <v>1808</v>
      </c>
      <c r="J971" s="107" t="s">
        <v>1858</v>
      </c>
      <c r="K971" s="31" t="s">
        <v>272</v>
      </c>
      <c r="L971" s="107" t="s">
        <v>944</v>
      </c>
      <c r="M971" s="107" t="s">
        <v>2071</v>
      </c>
      <c r="N971" s="12">
        <v>1</v>
      </c>
      <c r="O971" s="36">
        <v>42963</v>
      </c>
      <c r="P971" s="17" t="s">
        <v>687</v>
      </c>
      <c r="Q971" s="17" t="s">
        <v>3343</v>
      </c>
      <c r="R971" s="12" t="s">
        <v>3344</v>
      </c>
      <c r="S971" s="108" t="s">
        <v>3345</v>
      </c>
      <c r="T971" s="108" t="s">
        <v>3346</v>
      </c>
      <c r="U971" s="110" t="s">
        <v>3347</v>
      </c>
      <c r="V971" s="107" t="s">
        <v>3348</v>
      </c>
      <c r="W971" s="108" t="s">
        <v>3349</v>
      </c>
      <c r="X971" s="108"/>
    </row>
    <row r="972" spans="1:24" s="26" customFormat="1" hidden="1">
      <c r="A972" s="33"/>
      <c r="B972" s="108"/>
      <c r="C972" s="108"/>
      <c r="D972" s="31" t="str">
        <f>D971</f>
        <v>中国联通</v>
      </c>
      <c r="E972" s="108"/>
      <c r="F972" s="111"/>
      <c r="G972" s="108"/>
      <c r="H972" s="108"/>
      <c r="I972" s="108"/>
      <c r="J972" s="108"/>
      <c r="K972" s="31" t="str">
        <f>K971</f>
        <v>运营中</v>
      </c>
      <c r="L972" s="108"/>
      <c r="M972" s="108"/>
      <c r="N972" s="12">
        <v>1</v>
      </c>
      <c r="O972" s="36">
        <v>37538</v>
      </c>
      <c r="P972" s="17" t="s">
        <v>283</v>
      </c>
      <c r="Q972" s="12" t="s">
        <v>252</v>
      </c>
      <c r="R972" s="17" t="s">
        <v>253</v>
      </c>
      <c r="S972" s="108"/>
      <c r="T972" s="108"/>
      <c r="U972" s="111"/>
      <c r="V972" s="108"/>
      <c r="W972" s="108"/>
      <c r="X972" s="108"/>
    </row>
    <row r="973" spans="1:24" s="26" customFormat="1" hidden="1">
      <c r="A973" s="33"/>
      <c r="B973" s="108"/>
      <c r="C973" s="108" t="s">
        <v>3350</v>
      </c>
      <c r="D973" s="31" t="s">
        <v>3351</v>
      </c>
      <c r="E973" s="107" t="s">
        <v>3351</v>
      </c>
      <c r="F973" s="110" t="s">
        <v>3352</v>
      </c>
      <c r="G973" s="107" t="s">
        <v>3353</v>
      </c>
      <c r="H973" s="108" t="s">
        <v>3354</v>
      </c>
      <c r="I973" s="108" t="s">
        <v>3355</v>
      </c>
      <c r="J973" s="107" t="s">
        <v>428</v>
      </c>
      <c r="K973" s="31" t="s">
        <v>272</v>
      </c>
      <c r="L973" s="107" t="s">
        <v>407</v>
      </c>
      <c r="M973" s="107" t="s">
        <v>3356</v>
      </c>
      <c r="N973" s="12"/>
      <c r="O973" s="36">
        <v>42887</v>
      </c>
      <c r="P973" s="12" t="s">
        <v>359</v>
      </c>
      <c r="Q973" s="17" t="s">
        <v>1896</v>
      </c>
      <c r="R973" s="12" t="s">
        <v>240</v>
      </c>
      <c r="S973" s="108" t="s">
        <v>3357</v>
      </c>
      <c r="T973" s="108" t="s">
        <v>3358</v>
      </c>
      <c r="U973" s="110" t="s">
        <v>3359</v>
      </c>
      <c r="V973" s="107" t="s">
        <v>3360</v>
      </c>
      <c r="W973" s="108" t="s">
        <v>3361</v>
      </c>
      <c r="X973" s="108" t="s">
        <v>3362</v>
      </c>
    </row>
    <row r="974" spans="1:24" s="26" customFormat="1" hidden="1">
      <c r="A974" s="33"/>
      <c r="B974" s="108"/>
      <c r="C974" s="108"/>
      <c r="D974" s="31" t="str">
        <f>D973</f>
        <v>百胜软件</v>
      </c>
      <c r="E974" s="108"/>
      <c r="F974" s="111"/>
      <c r="G974" s="108"/>
      <c r="H974" s="108"/>
      <c r="I974" s="108"/>
      <c r="J974" s="108"/>
      <c r="K974" s="31" t="str">
        <f t="shared" ref="K974:K977" si="188">K973</f>
        <v>运营中</v>
      </c>
      <c r="L974" s="108"/>
      <c r="M974" s="108"/>
      <c r="N974" s="17"/>
      <c r="O974" s="36">
        <v>42879</v>
      </c>
      <c r="P974" s="12" t="s">
        <v>359</v>
      </c>
      <c r="Q974" s="17" t="s">
        <v>1555</v>
      </c>
      <c r="R974" s="12" t="s">
        <v>240</v>
      </c>
      <c r="S974" s="108"/>
      <c r="T974" s="108"/>
      <c r="U974" s="111"/>
      <c r="V974" s="108"/>
      <c r="W974" s="108"/>
      <c r="X974" s="108"/>
    </row>
    <row r="975" spans="1:24" s="26" customFormat="1" hidden="1">
      <c r="A975" s="33"/>
      <c r="B975" s="108"/>
      <c r="C975" s="108"/>
      <c r="D975" s="31" t="str">
        <f>D974</f>
        <v>百胜软件</v>
      </c>
      <c r="E975" s="108"/>
      <c r="F975" s="111"/>
      <c r="G975" s="108"/>
      <c r="H975" s="108"/>
      <c r="I975" s="108"/>
      <c r="J975" s="108"/>
      <c r="K975" s="31" t="str">
        <f t="shared" si="188"/>
        <v>运营中</v>
      </c>
      <c r="L975" s="108"/>
      <c r="M975" s="108"/>
      <c r="N975" s="17"/>
      <c r="O975" s="36">
        <v>42208</v>
      </c>
      <c r="P975" s="12" t="s">
        <v>362</v>
      </c>
      <c r="Q975" s="12" t="s">
        <v>252</v>
      </c>
      <c r="R975" s="17" t="s">
        <v>253</v>
      </c>
      <c r="S975" s="108"/>
      <c r="T975" s="108"/>
      <c r="U975" s="111"/>
      <c r="V975" s="108"/>
      <c r="W975" s="108"/>
      <c r="X975" s="108"/>
    </row>
    <row r="976" spans="1:24" s="26" customFormat="1" hidden="1">
      <c r="A976" s="33"/>
      <c r="B976" s="108"/>
      <c r="C976" s="108"/>
      <c r="D976" s="31" t="str">
        <f>D975</f>
        <v>百胜软件</v>
      </c>
      <c r="E976" s="108"/>
      <c r="F976" s="111"/>
      <c r="G976" s="108"/>
      <c r="H976" s="108"/>
      <c r="I976" s="108"/>
      <c r="J976" s="108"/>
      <c r="K976" s="31" t="str">
        <f t="shared" si="188"/>
        <v>运营中</v>
      </c>
      <c r="L976" s="108"/>
      <c r="M976" s="108"/>
      <c r="N976" s="17"/>
      <c r="O976" s="36">
        <v>40606</v>
      </c>
      <c r="P976" s="17" t="s">
        <v>262</v>
      </c>
      <c r="Q976" s="17" t="s">
        <v>1555</v>
      </c>
      <c r="R976" s="12" t="s">
        <v>3363</v>
      </c>
      <c r="S976" s="108"/>
      <c r="T976" s="108"/>
      <c r="U976" s="111"/>
      <c r="V976" s="108"/>
      <c r="W976" s="108"/>
      <c r="X976" s="108"/>
    </row>
    <row r="977" spans="1:25" s="26" customFormat="1" hidden="1">
      <c r="A977" s="33"/>
      <c r="B977" s="108"/>
      <c r="C977" s="108"/>
      <c r="D977" s="31" t="str">
        <f>D976</f>
        <v>百胜软件</v>
      </c>
      <c r="E977" s="108"/>
      <c r="F977" s="111"/>
      <c r="G977" s="108"/>
      <c r="H977" s="108"/>
      <c r="I977" s="108"/>
      <c r="J977" s="108"/>
      <c r="K977" s="31" t="str">
        <f t="shared" si="188"/>
        <v>运营中</v>
      </c>
      <c r="L977" s="108"/>
      <c r="M977" s="108"/>
      <c r="N977" s="17"/>
      <c r="O977" s="36">
        <v>40486</v>
      </c>
      <c r="P977" s="12" t="s">
        <v>326</v>
      </c>
      <c r="Q977" s="17" t="s">
        <v>3364</v>
      </c>
      <c r="R977" s="12" t="s">
        <v>3365</v>
      </c>
      <c r="S977" s="108"/>
      <c r="T977" s="108"/>
      <c r="U977" s="111"/>
      <c r="V977" s="108"/>
      <c r="W977" s="108"/>
      <c r="X977" s="108"/>
    </row>
    <row r="978" spans="1:25" s="26" customFormat="1" hidden="1">
      <c r="A978" s="33"/>
      <c r="B978" s="108"/>
      <c r="C978" s="108" t="s">
        <v>3366</v>
      </c>
      <c r="D978" s="31" t="s">
        <v>3367</v>
      </c>
      <c r="E978" s="108" t="s">
        <v>3367</v>
      </c>
      <c r="F978" s="111" t="s">
        <v>3368</v>
      </c>
      <c r="G978" s="108"/>
      <c r="H978" s="108" t="s">
        <v>3369</v>
      </c>
      <c r="I978" s="108" t="s">
        <v>629</v>
      </c>
      <c r="J978" s="107" t="s">
        <v>1931</v>
      </c>
      <c r="K978" s="31" t="s">
        <v>272</v>
      </c>
      <c r="L978" s="107" t="s">
        <v>944</v>
      </c>
      <c r="M978" s="108" t="s">
        <v>2774</v>
      </c>
      <c r="N978" s="17"/>
      <c r="O978" s="36">
        <v>42755</v>
      </c>
      <c r="P978" s="17" t="s">
        <v>317</v>
      </c>
      <c r="Q978" s="17" t="s">
        <v>1580</v>
      </c>
      <c r="R978" s="12" t="s">
        <v>240</v>
      </c>
      <c r="S978" s="108" t="s">
        <v>3370</v>
      </c>
      <c r="T978" s="108" t="s">
        <v>3371</v>
      </c>
      <c r="U978" s="111" t="s">
        <v>3372</v>
      </c>
      <c r="V978" s="108"/>
      <c r="W978" s="108"/>
      <c r="X978" s="108" t="s">
        <v>3373</v>
      </c>
    </row>
    <row r="979" spans="1:25" s="26" customFormat="1" hidden="1">
      <c r="A979" s="33"/>
      <c r="B979" s="108"/>
      <c r="C979" s="108"/>
      <c r="D979" s="31" t="str">
        <f>D978</f>
        <v>Lumus</v>
      </c>
      <c r="E979" s="108"/>
      <c r="F979" s="111"/>
      <c r="G979" s="108"/>
      <c r="H979" s="108"/>
      <c r="I979" s="108"/>
      <c r="J979" s="108"/>
      <c r="K979" s="31" t="str">
        <f t="shared" ref="K979:K981" si="189">K978</f>
        <v>运营中</v>
      </c>
      <c r="L979" s="108"/>
      <c r="M979" s="108"/>
      <c r="N979" s="17"/>
      <c r="O979" s="36">
        <v>42724</v>
      </c>
      <c r="P979" s="17" t="s">
        <v>251</v>
      </c>
      <c r="Q979" s="17" t="s">
        <v>805</v>
      </c>
      <c r="R979" s="12" t="s">
        <v>3374</v>
      </c>
      <c r="S979" s="108"/>
      <c r="T979" s="108"/>
      <c r="U979" s="111"/>
      <c r="V979" s="108"/>
      <c r="W979" s="108"/>
      <c r="X979" s="108"/>
    </row>
    <row r="980" spans="1:25" s="26" customFormat="1" hidden="1">
      <c r="A980" s="33"/>
      <c r="B980" s="108"/>
      <c r="C980" s="108"/>
      <c r="D980" s="31" t="str">
        <f>D979</f>
        <v>Lumus</v>
      </c>
      <c r="E980" s="108"/>
      <c r="F980" s="111"/>
      <c r="G980" s="108"/>
      <c r="H980" s="108"/>
      <c r="I980" s="108"/>
      <c r="J980" s="108"/>
      <c r="K980" s="31" t="str">
        <f t="shared" si="189"/>
        <v>运营中</v>
      </c>
      <c r="L980" s="108"/>
      <c r="M980" s="108"/>
      <c r="N980" s="17"/>
      <c r="O980" s="36">
        <v>42536</v>
      </c>
      <c r="P980" s="17" t="s">
        <v>257</v>
      </c>
      <c r="Q980" s="17" t="s">
        <v>322</v>
      </c>
      <c r="R980" s="12" t="s">
        <v>3375</v>
      </c>
      <c r="S980" s="108"/>
      <c r="T980" s="108"/>
      <c r="U980" s="111"/>
      <c r="V980" s="108"/>
      <c r="W980" s="108"/>
      <c r="X980" s="108"/>
    </row>
    <row r="981" spans="1:25" s="26" customFormat="1" hidden="1">
      <c r="A981" s="33"/>
      <c r="B981" s="108"/>
      <c r="C981" s="108"/>
      <c r="D981" s="31" t="str">
        <f>D980</f>
        <v>Lumus</v>
      </c>
      <c r="E981" s="108"/>
      <c r="F981" s="111"/>
      <c r="G981" s="108"/>
      <c r="H981" s="108"/>
      <c r="I981" s="108"/>
      <c r="J981" s="108"/>
      <c r="K981" s="31" t="str">
        <f t="shared" si="189"/>
        <v>运营中</v>
      </c>
      <c r="L981" s="108"/>
      <c r="M981" s="108"/>
      <c r="N981" s="17"/>
      <c r="O981" s="36">
        <v>38376</v>
      </c>
      <c r="P981" s="17" t="s">
        <v>262</v>
      </c>
      <c r="Q981" s="17" t="s">
        <v>1580</v>
      </c>
      <c r="R981" s="17" t="s">
        <v>3376</v>
      </c>
      <c r="S981" s="108"/>
      <c r="T981" s="108"/>
      <c r="U981" s="111"/>
      <c r="V981" s="108"/>
      <c r="W981" s="108"/>
      <c r="X981" s="108"/>
    </row>
    <row r="982" spans="1:25" s="26" customFormat="1" hidden="1">
      <c r="A982" s="33"/>
      <c r="B982" s="108"/>
      <c r="C982" s="108" t="s">
        <v>3377</v>
      </c>
      <c r="D982" s="31" t="s">
        <v>3378</v>
      </c>
      <c r="E982" s="107" t="s">
        <v>3378</v>
      </c>
      <c r="F982" s="110" t="s">
        <v>3379</v>
      </c>
      <c r="G982" s="107" t="s">
        <v>3380</v>
      </c>
      <c r="H982" s="108" t="s">
        <v>3381</v>
      </c>
      <c r="I982" s="108" t="s">
        <v>2313</v>
      </c>
      <c r="J982" s="107" t="s">
        <v>3382</v>
      </c>
      <c r="K982" s="31" t="s">
        <v>272</v>
      </c>
      <c r="L982" s="107" t="s">
        <v>386</v>
      </c>
      <c r="M982" s="107" t="s">
        <v>817</v>
      </c>
      <c r="N982" s="12"/>
      <c r="O982" s="36">
        <v>43287</v>
      </c>
      <c r="P982" s="17" t="s">
        <v>262</v>
      </c>
      <c r="Q982" s="12" t="s">
        <v>252</v>
      </c>
      <c r="R982" s="12" t="s">
        <v>240</v>
      </c>
      <c r="S982" s="108" t="s">
        <v>3383</v>
      </c>
      <c r="T982" s="107" t="s">
        <v>255</v>
      </c>
      <c r="U982" s="110" t="s">
        <v>3384</v>
      </c>
      <c r="V982" s="107" t="s">
        <v>3385</v>
      </c>
      <c r="W982" s="108" t="s">
        <v>3386</v>
      </c>
      <c r="X982" s="108" t="s">
        <v>3387</v>
      </c>
    </row>
    <row r="983" spans="1:25" s="26" customFormat="1" hidden="1">
      <c r="A983" s="33"/>
      <c r="B983" s="108"/>
      <c r="C983" s="108"/>
      <c r="D983" s="31" t="str">
        <f>D982</f>
        <v>神居动漫</v>
      </c>
      <c r="E983" s="108"/>
      <c r="F983" s="111"/>
      <c r="G983" s="108"/>
      <c r="H983" s="108"/>
      <c r="I983" s="108"/>
      <c r="J983" s="108"/>
      <c r="K983" s="31" t="str">
        <f t="shared" ref="K983:K984" si="190">K982</f>
        <v>运营中</v>
      </c>
      <c r="L983" s="108"/>
      <c r="M983" s="108"/>
      <c r="N983" s="17"/>
      <c r="O983" s="36">
        <v>42972</v>
      </c>
      <c r="P983" s="17" t="s">
        <v>721</v>
      </c>
      <c r="Q983" s="12" t="s">
        <v>252</v>
      </c>
      <c r="R983" s="12" t="s">
        <v>3388</v>
      </c>
      <c r="S983" s="108"/>
      <c r="T983" s="108"/>
      <c r="U983" s="111"/>
      <c r="V983" s="108"/>
      <c r="W983" s="108"/>
      <c r="X983" s="108"/>
    </row>
    <row r="984" spans="1:25" s="26" customFormat="1" hidden="1">
      <c r="A984" s="33"/>
      <c r="B984" s="108"/>
      <c r="C984" s="108"/>
      <c r="D984" s="31" t="str">
        <f>D983</f>
        <v>神居动漫</v>
      </c>
      <c r="E984" s="108"/>
      <c r="F984" s="111"/>
      <c r="G984" s="108"/>
      <c r="H984" s="108"/>
      <c r="I984" s="108"/>
      <c r="J984" s="108"/>
      <c r="K984" s="31" t="str">
        <f t="shared" si="190"/>
        <v>运营中</v>
      </c>
      <c r="L984" s="108"/>
      <c r="M984" s="108"/>
      <c r="N984" s="17"/>
      <c r="O984" s="36">
        <v>42576</v>
      </c>
      <c r="P984" s="12" t="s">
        <v>326</v>
      </c>
      <c r="Q984" s="17" t="s">
        <v>2610</v>
      </c>
      <c r="R984" s="12" t="s">
        <v>3389</v>
      </c>
      <c r="S984" s="108"/>
      <c r="T984" s="108"/>
      <c r="U984" s="111"/>
      <c r="V984" s="108"/>
      <c r="W984" s="108"/>
      <c r="X984" s="108"/>
    </row>
    <row r="985" spans="1:25" s="26" customFormat="1" hidden="1">
      <c r="A985" s="33"/>
      <c r="B985" s="108"/>
      <c r="C985" s="108" t="s">
        <v>3390</v>
      </c>
      <c r="D985" s="31" t="s">
        <v>3391</v>
      </c>
      <c r="E985" s="107" t="s">
        <v>3391</v>
      </c>
      <c r="F985" s="110" t="s">
        <v>3392</v>
      </c>
      <c r="G985" s="107" t="s">
        <v>3393</v>
      </c>
      <c r="H985" s="108" t="s">
        <v>3394</v>
      </c>
      <c r="I985" s="108" t="s">
        <v>2022</v>
      </c>
      <c r="J985" s="107" t="s">
        <v>3395</v>
      </c>
      <c r="K985" s="31" t="s">
        <v>272</v>
      </c>
      <c r="L985" s="107" t="s">
        <v>1101</v>
      </c>
      <c r="M985" s="107" t="s">
        <v>3396</v>
      </c>
      <c r="N985" s="12"/>
      <c r="O985" s="36">
        <v>45119</v>
      </c>
      <c r="P985" s="17" t="s">
        <v>763</v>
      </c>
      <c r="Q985" s="17" t="s">
        <v>578</v>
      </c>
      <c r="R985" s="12" t="s">
        <v>3397</v>
      </c>
      <c r="S985" s="108" t="s">
        <v>3398</v>
      </c>
      <c r="T985" s="108" t="s">
        <v>581</v>
      </c>
      <c r="U985" s="110" t="s">
        <v>3399</v>
      </c>
      <c r="V985" s="107" t="s">
        <v>3400</v>
      </c>
      <c r="W985" s="108" t="s">
        <v>3401</v>
      </c>
      <c r="X985" s="108" t="s">
        <v>3402</v>
      </c>
    </row>
    <row r="986" spans="1:25" s="26" customFormat="1" ht="77.5" customHeight="1">
      <c r="A986" s="11"/>
      <c r="B986" s="108"/>
      <c r="C986" s="108"/>
      <c r="D986" s="31" t="str">
        <f t="shared" ref="D986:D991" si="191">D985</f>
        <v>欧谱曼迪</v>
      </c>
      <c r="E986" s="109"/>
      <c r="F986" s="112"/>
      <c r="G986" s="108"/>
      <c r="H986" s="108"/>
      <c r="I986" s="109"/>
      <c r="J986" s="109"/>
      <c r="K986" s="20" t="str">
        <f t="shared" ref="K986:K991" si="192">K985</f>
        <v>运营中</v>
      </c>
      <c r="L986" s="109"/>
      <c r="M986" s="109"/>
      <c r="N986" s="13"/>
      <c r="O986" s="24">
        <v>44827</v>
      </c>
      <c r="P986" s="13" t="s">
        <v>1045</v>
      </c>
      <c r="Q986" s="13" t="s">
        <v>2030</v>
      </c>
      <c r="R986" s="13" t="s">
        <v>1751</v>
      </c>
      <c r="S986" s="109"/>
      <c r="T986" s="109"/>
      <c r="U986" s="112"/>
      <c r="V986" s="108"/>
      <c r="W986" s="108"/>
      <c r="X986" s="108"/>
      <c r="Y986" s="11"/>
    </row>
    <row r="987" spans="1:25" s="26" customFormat="1" hidden="1">
      <c r="A987" s="33"/>
      <c r="B987" s="108"/>
      <c r="C987" s="108"/>
      <c r="D987" s="31" t="str">
        <f t="shared" si="191"/>
        <v>欧谱曼迪</v>
      </c>
      <c r="E987" s="108"/>
      <c r="F987" s="111"/>
      <c r="G987" s="108"/>
      <c r="H987" s="108"/>
      <c r="I987" s="108"/>
      <c r="J987" s="108"/>
      <c r="K987" s="31" t="str">
        <f t="shared" si="192"/>
        <v>运营中</v>
      </c>
      <c r="L987" s="108"/>
      <c r="M987" s="108"/>
      <c r="N987" s="17"/>
      <c r="O987" s="36">
        <v>44392</v>
      </c>
      <c r="P987" s="17" t="s">
        <v>317</v>
      </c>
      <c r="Q987" s="12" t="s">
        <v>409</v>
      </c>
      <c r="R987" s="12" t="s">
        <v>3403</v>
      </c>
      <c r="S987" s="108"/>
      <c r="T987" s="108"/>
      <c r="U987" s="111"/>
      <c r="V987" s="108"/>
      <c r="W987" s="108"/>
      <c r="X987" s="108"/>
    </row>
    <row r="988" spans="1:25" s="26" customFormat="1" hidden="1">
      <c r="A988" s="33"/>
      <c r="B988" s="108"/>
      <c r="C988" s="108"/>
      <c r="D988" s="31" t="str">
        <f t="shared" si="191"/>
        <v>欧谱曼迪</v>
      </c>
      <c r="E988" s="108"/>
      <c r="F988" s="111"/>
      <c r="G988" s="108"/>
      <c r="H988" s="108"/>
      <c r="I988" s="108"/>
      <c r="J988" s="108"/>
      <c r="K988" s="31" t="str">
        <f t="shared" si="192"/>
        <v>运营中</v>
      </c>
      <c r="L988" s="108"/>
      <c r="M988" s="108"/>
      <c r="N988" s="17"/>
      <c r="O988" s="36">
        <v>43930</v>
      </c>
      <c r="P988" s="17" t="s">
        <v>251</v>
      </c>
      <c r="Q988" s="12" t="s">
        <v>252</v>
      </c>
      <c r="R988" s="12" t="s">
        <v>3404</v>
      </c>
      <c r="S988" s="108"/>
      <c r="T988" s="108"/>
      <c r="U988" s="111"/>
      <c r="V988" s="108"/>
      <c r="W988" s="108"/>
      <c r="X988" s="108"/>
    </row>
    <row r="989" spans="1:25" s="26" customFormat="1" hidden="1">
      <c r="A989" s="33"/>
      <c r="B989" s="108"/>
      <c r="C989" s="108"/>
      <c r="D989" s="31" t="str">
        <f t="shared" si="191"/>
        <v>欧谱曼迪</v>
      </c>
      <c r="E989" s="108"/>
      <c r="F989" s="111"/>
      <c r="G989" s="108"/>
      <c r="H989" s="108"/>
      <c r="I989" s="108"/>
      <c r="J989" s="108"/>
      <c r="K989" s="31" t="str">
        <f t="shared" si="192"/>
        <v>运营中</v>
      </c>
      <c r="L989" s="108"/>
      <c r="M989" s="108"/>
      <c r="N989" s="17"/>
      <c r="O989" s="36">
        <v>43236</v>
      </c>
      <c r="P989" s="17" t="s">
        <v>257</v>
      </c>
      <c r="Q989" s="12" t="s">
        <v>252</v>
      </c>
      <c r="R989" s="12" t="s">
        <v>3405</v>
      </c>
      <c r="S989" s="108"/>
      <c r="T989" s="108"/>
      <c r="U989" s="111"/>
      <c r="V989" s="108"/>
      <c r="W989" s="108"/>
      <c r="X989" s="108"/>
    </row>
    <row r="990" spans="1:25" s="26" customFormat="1" hidden="1">
      <c r="A990" s="33"/>
      <c r="B990" s="108"/>
      <c r="C990" s="108"/>
      <c r="D990" s="31" t="str">
        <f t="shared" si="191"/>
        <v>欧谱曼迪</v>
      </c>
      <c r="E990" s="108"/>
      <c r="F990" s="111"/>
      <c r="G990" s="108"/>
      <c r="H990" s="108"/>
      <c r="I990" s="108"/>
      <c r="J990" s="108"/>
      <c r="K990" s="31" t="str">
        <f t="shared" si="192"/>
        <v>运营中</v>
      </c>
      <c r="L990" s="108"/>
      <c r="M990" s="108"/>
      <c r="N990" s="17"/>
      <c r="O990" s="36">
        <v>42545</v>
      </c>
      <c r="P990" s="17" t="s">
        <v>262</v>
      </c>
      <c r="Q990" s="17" t="s">
        <v>1684</v>
      </c>
      <c r="R990" s="12" t="s">
        <v>1699</v>
      </c>
      <c r="S990" s="108"/>
      <c r="T990" s="108"/>
      <c r="U990" s="111"/>
      <c r="V990" s="108"/>
      <c r="W990" s="108"/>
      <c r="X990" s="108"/>
    </row>
    <row r="991" spans="1:25" s="26" customFormat="1" hidden="1">
      <c r="A991" s="33"/>
      <c r="B991" s="108"/>
      <c r="C991" s="108"/>
      <c r="D991" s="31" t="str">
        <f t="shared" si="191"/>
        <v>欧谱曼迪</v>
      </c>
      <c r="E991" s="108"/>
      <c r="F991" s="111"/>
      <c r="G991" s="108"/>
      <c r="H991" s="108"/>
      <c r="I991" s="108"/>
      <c r="J991" s="108"/>
      <c r="K991" s="31" t="str">
        <f t="shared" si="192"/>
        <v>运营中</v>
      </c>
      <c r="L991" s="108"/>
      <c r="M991" s="108"/>
      <c r="N991" s="17"/>
      <c r="O991" s="36">
        <v>42471</v>
      </c>
      <c r="P991" s="12" t="s">
        <v>326</v>
      </c>
      <c r="Q991" s="12" t="s">
        <v>327</v>
      </c>
      <c r="R991" s="12" t="s">
        <v>3406</v>
      </c>
      <c r="S991" s="108"/>
      <c r="T991" s="108"/>
      <c r="U991" s="111"/>
      <c r="V991" s="108"/>
      <c r="W991" s="108"/>
      <c r="X991" s="108"/>
    </row>
    <row r="992" spans="1:25" s="26" customFormat="1" hidden="1">
      <c r="A992" s="33"/>
      <c r="B992" s="108"/>
      <c r="C992" s="108" t="s">
        <v>3407</v>
      </c>
      <c r="D992" s="31" t="s">
        <v>3408</v>
      </c>
      <c r="E992" s="108" t="s">
        <v>3408</v>
      </c>
      <c r="F992" s="111" t="s">
        <v>3409</v>
      </c>
      <c r="G992" s="108"/>
      <c r="H992" s="108" t="s">
        <v>3410</v>
      </c>
      <c r="I992" s="108" t="s">
        <v>616</v>
      </c>
      <c r="J992" s="107" t="s">
        <v>1564</v>
      </c>
      <c r="K992" s="31" t="s">
        <v>272</v>
      </c>
      <c r="L992" s="107" t="s">
        <v>407</v>
      </c>
      <c r="M992" s="107" t="s">
        <v>577</v>
      </c>
      <c r="N992" s="12"/>
      <c r="O992" s="36">
        <v>42656</v>
      </c>
      <c r="P992" s="12" t="s">
        <v>285</v>
      </c>
      <c r="Q992" s="12" t="s">
        <v>276</v>
      </c>
      <c r="R992" s="12" t="s">
        <v>240</v>
      </c>
      <c r="S992" s="108" t="s">
        <v>3411</v>
      </c>
      <c r="T992" s="107" t="s">
        <v>255</v>
      </c>
      <c r="U992" s="111" t="s">
        <v>3412</v>
      </c>
      <c r="V992" s="108"/>
      <c r="W992" s="108"/>
      <c r="X992" s="108" t="s">
        <v>3413</v>
      </c>
    </row>
    <row r="993" spans="1:25" s="26" customFormat="1" hidden="1">
      <c r="A993" s="33"/>
      <c r="B993" s="108"/>
      <c r="C993" s="108"/>
      <c r="D993" s="31" t="str">
        <f>D992</f>
        <v>PlaceIQ</v>
      </c>
      <c r="E993" s="108"/>
      <c r="F993" s="111"/>
      <c r="G993" s="108"/>
      <c r="H993" s="108"/>
      <c r="I993" s="108"/>
      <c r="J993" s="108"/>
      <c r="K993" s="31" t="str">
        <f t="shared" ref="K993:K996" si="193">K992</f>
        <v>运营中</v>
      </c>
      <c r="L993" s="108"/>
      <c r="M993" s="108"/>
      <c r="N993" s="17"/>
      <c r="O993" s="36">
        <v>42383</v>
      </c>
      <c r="P993" s="17" t="s">
        <v>317</v>
      </c>
      <c r="Q993" s="17" t="s">
        <v>987</v>
      </c>
      <c r="R993" s="12" t="s">
        <v>240</v>
      </c>
      <c r="S993" s="108"/>
      <c r="T993" s="108"/>
      <c r="U993" s="111"/>
      <c r="V993" s="108"/>
      <c r="W993" s="108"/>
      <c r="X993" s="108"/>
    </row>
    <row r="994" spans="1:25" s="26" customFormat="1" hidden="1">
      <c r="A994" s="33"/>
      <c r="B994" s="108"/>
      <c r="C994" s="108"/>
      <c r="D994" s="31" t="str">
        <f>D993</f>
        <v>PlaceIQ</v>
      </c>
      <c r="E994" s="108"/>
      <c r="F994" s="111"/>
      <c r="G994" s="108"/>
      <c r="H994" s="108"/>
      <c r="I994" s="108"/>
      <c r="J994" s="108"/>
      <c r="K994" s="31" t="str">
        <f t="shared" si="193"/>
        <v>运营中</v>
      </c>
      <c r="L994" s="108"/>
      <c r="M994" s="108"/>
      <c r="N994" s="17"/>
      <c r="O994" s="36">
        <v>41685</v>
      </c>
      <c r="P994" s="17" t="s">
        <v>251</v>
      </c>
      <c r="Q994" s="17" t="s">
        <v>322</v>
      </c>
      <c r="R994" s="17" t="s">
        <v>3414</v>
      </c>
      <c r="S994" s="108"/>
      <c r="T994" s="108"/>
      <c r="U994" s="111"/>
      <c r="V994" s="108"/>
      <c r="W994" s="108"/>
      <c r="X994" s="108"/>
    </row>
    <row r="995" spans="1:25" s="26" customFormat="1" hidden="1">
      <c r="A995" s="33"/>
      <c r="B995" s="108"/>
      <c r="C995" s="108"/>
      <c r="D995" s="31" t="str">
        <f>D994</f>
        <v>PlaceIQ</v>
      </c>
      <c r="E995" s="108"/>
      <c r="F995" s="111"/>
      <c r="G995" s="108"/>
      <c r="H995" s="108"/>
      <c r="I995" s="108"/>
      <c r="J995" s="108"/>
      <c r="K995" s="31" t="str">
        <f t="shared" si="193"/>
        <v>运营中</v>
      </c>
      <c r="L995" s="108"/>
      <c r="M995" s="108"/>
      <c r="N995" s="17"/>
      <c r="O995" s="36">
        <v>41406</v>
      </c>
      <c r="P995" s="17" t="s">
        <v>257</v>
      </c>
      <c r="Q995" s="17" t="s">
        <v>3415</v>
      </c>
      <c r="R995" s="17" t="s">
        <v>3416</v>
      </c>
      <c r="S995" s="108"/>
      <c r="T995" s="108"/>
      <c r="U995" s="111"/>
      <c r="V995" s="108"/>
      <c r="W995" s="108"/>
      <c r="X995" s="108"/>
    </row>
    <row r="996" spans="1:25" s="26" customFormat="1" hidden="1">
      <c r="A996" s="33"/>
      <c r="B996" s="108"/>
      <c r="C996" s="108"/>
      <c r="D996" s="31" t="str">
        <f>D995</f>
        <v>PlaceIQ</v>
      </c>
      <c r="E996" s="108"/>
      <c r="F996" s="111"/>
      <c r="G996" s="108"/>
      <c r="H996" s="108"/>
      <c r="I996" s="108"/>
      <c r="J996" s="108"/>
      <c r="K996" s="31" t="str">
        <f t="shared" si="193"/>
        <v>运营中</v>
      </c>
      <c r="L996" s="108"/>
      <c r="M996" s="108"/>
      <c r="N996" s="17"/>
      <c r="O996" s="36">
        <v>40878</v>
      </c>
      <c r="P996" s="17" t="s">
        <v>262</v>
      </c>
      <c r="Q996" s="17" t="s">
        <v>3417</v>
      </c>
      <c r="R996" s="17" t="s">
        <v>3418</v>
      </c>
      <c r="S996" s="108"/>
      <c r="T996" s="108"/>
      <c r="U996" s="111"/>
      <c r="V996" s="108"/>
      <c r="W996" s="108"/>
      <c r="X996" s="108"/>
    </row>
    <row r="997" spans="1:25" s="26" customFormat="1" hidden="1">
      <c r="A997" s="33"/>
      <c r="B997" s="108"/>
      <c r="C997" s="108" t="s">
        <v>2636</v>
      </c>
      <c r="D997" s="31" t="s">
        <v>3419</v>
      </c>
      <c r="E997" s="107" t="s">
        <v>3419</v>
      </c>
      <c r="F997" s="110" t="s">
        <v>3420</v>
      </c>
      <c r="G997" s="107" t="s">
        <v>3421</v>
      </c>
      <c r="H997" s="108" t="s">
        <v>3422</v>
      </c>
      <c r="I997" s="108" t="s">
        <v>868</v>
      </c>
      <c r="J997" s="107" t="s">
        <v>1041</v>
      </c>
      <c r="K997" s="31" t="s">
        <v>272</v>
      </c>
      <c r="L997" s="107" t="s">
        <v>407</v>
      </c>
      <c r="M997" s="107" t="s">
        <v>577</v>
      </c>
      <c r="N997" s="12"/>
      <c r="O997" s="36">
        <v>43299</v>
      </c>
      <c r="P997" s="17" t="s">
        <v>257</v>
      </c>
      <c r="Q997" s="17" t="s">
        <v>3423</v>
      </c>
      <c r="R997" s="12" t="s">
        <v>3424</v>
      </c>
      <c r="S997" s="108" t="s">
        <v>3425</v>
      </c>
      <c r="T997" s="108" t="s">
        <v>3358</v>
      </c>
      <c r="U997" s="111"/>
      <c r="V997" s="107" t="s">
        <v>3426</v>
      </c>
      <c r="W997" s="108" t="s">
        <v>3427</v>
      </c>
      <c r="X997" s="108" t="s">
        <v>3428</v>
      </c>
    </row>
    <row r="998" spans="1:25" s="26" customFormat="1" hidden="1">
      <c r="A998" s="33"/>
      <c r="B998" s="108"/>
      <c r="C998" s="108"/>
      <c r="D998" s="31" t="str">
        <f>D997</f>
        <v>上海秉坤</v>
      </c>
      <c r="E998" s="108"/>
      <c r="F998" s="111"/>
      <c r="G998" s="108"/>
      <c r="H998" s="108"/>
      <c r="I998" s="108"/>
      <c r="J998" s="108"/>
      <c r="K998" s="31" t="str">
        <f>K997</f>
        <v>运营中</v>
      </c>
      <c r="L998" s="108"/>
      <c r="M998" s="108"/>
      <c r="N998" s="17"/>
      <c r="O998" s="36">
        <v>42712</v>
      </c>
      <c r="P998" s="17" t="s">
        <v>262</v>
      </c>
      <c r="Q998" s="12" t="s">
        <v>341</v>
      </c>
      <c r="R998" s="12" t="s">
        <v>3429</v>
      </c>
      <c r="S998" s="108"/>
      <c r="T998" s="108"/>
      <c r="U998" s="111"/>
      <c r="V998" s="108"/>
      <c r="W998" s="108"/>
      <c r="X998" s="108"/>
    </row>
    <row r="999" spans="1:25" s="26" customFormat="1" ht="60" hidden="1">
      <c r="A999" s="33"/>
      <c r="B999" s="108"/>
      <c r="C999" s="17" t="s">
        <v>3430</v>
      </c>
      <c r="D999" s="38" t="s">
        <v>3431</v>
      </c>
      <c r="E999" s="12" t="s">
        <v>3432</v>
      </c>
      <c r="F999" s="34" t="s">
        <v>3433</v>
      </c>
      <c r="G999" s="12" t="s">
        <v>3434</v>
      </c>
      <c r="H999" s="17" t="s">
        <v>3435</v>
      </c>
      <c r="I999" s="17" t="s">
        <v>3436</v>
      </c>
      <c r="J999" s="12" t="s">
        <v>271</v>
      </c>
      <c r="K999" s="38" t="s">
        <v>272</v>
      </c>
      <c r="L999" s="12" t="s">
        <v>335</v>
      </c>
      <c r="M999" s="12" t="s">
        <v>3437</v>
      </c>
      <c r="N999" s="12"/>
      <c r="O999" s="36">
        <v>42405</v>
      </c>
      <c r="P999" s="17" t="s">
        <v>262</v>
      </c>
      <c r="Q999" s="12" t="s">
        <v>341</v>
      </c>
      <c r="R999" s="12" t="s">
        <v>3438</v>
      </c>
      <c r="S999" s="17" t="s">
        <v>931</v>
      </c>
      <c r="T999" s="17" t="s">
        <v>432</v>
      </c>
      <c r="U999" s="32" t="s">
        <v>3439</v>
      </c>
      <c r="V999" s="12" t="s">
        <v>3440</v>
      </c>
      <c r="W999" s="17" t="s">
        <v>3441</v>
      </c>
      <c r="X999" s="17" t="s">
        <v>3442</v>
      </c>
    </row>
    <row r="1000" spans="1:25" s="26" customFormat="1" hidden="1">
      <c r="A1000" s="33"/>
      <c r="B1000" s="108"/>
      <c r="C1000" s="108" t="s">
        <v>3443</v>
      </c>
      <c r="D1000" s="31" t="s">
        <v>3444</v>
      </c>
      <c r="E1000" s="107" t="s">
        <v>3445</v>
      </c>
      <c r="F1000" s="110" t="s">
        <v>3446</v>
      </c>
      <c r="G1000" s="107" t="s">
        <v>3447</v>
      </c>
      <c r="H1000" s="108" t="s">
        <v>3448</v>
      </c>
      <c r="I1000" s="108" t="s">
        <v>3449</v>
      </c>
      <c r="J1000" s="107" t="s">
        <v>1215</v>
      </c>
      <c r="K1000" s="31" t="s">
        <v>272</v>
      </c>
      <c r="L1000" s="107" t="s">
        <v>944</v>
      </c>
      <c r="M1000" s="108" t="s">
        <v>2774</v>
      </c>
      <c r="N1000" s="12">
        <v>1</v>
      </c>
      <c r="O1000" s="36">
        <v>44865</v>
      </c>
      <c r="P1000" s="17" t="s">
        <v>283</v>
      </c>
      <c r="Q1000" s="17" t="s">
        <v>3450</v>
      </c>
      <c r="R1000" s="17" t="s">
        <v>253</v>
      </c>
      <c r="S1000" s="108" t="s">
        <v>3451</v>
      </c>
      <c r="T1000" s="108" t="s">
        <v>3452</v>
      </c>
      <c r="U1000" s="110" t="s">
        <v>3453</v>
      </c>
      <c r="V1000" s="107" t="s">
        <v>3454</v>
      </c>
      <c r="W1000" s="108" t="s">
        <v>3455</v>
      </c>
      <c r="X1000" s="108" t="s">
        <v>3456</v>
      </c>
    </row>
    <row r="1001" spans="1:25" s="26" customFormat="1" hidden="1">
      <c r="A1001" s="33"/>
      <c r="B1001" s="108"/>
      <c r="C1001" s="108"/>
      <c r="D1001" s="31" t="str">
        <f>D1000</f>
        <v>玩美移动PerfectCorp</v>
      </c>
      <c r="E1001" s="108"/>
      <c r="F1001" s="111"/>
      <c r="G1001" s="108"/>
      <c r="H1001" s="108"/>
      <c r="I1001" s="108"/>
      <c r="J1001" s="108"/>
      <c r="K1001" s="31" t="str">
        <f t="shared" ref="K1001:K1003" si="194">K1000</f>
        <v>运营中</v>
      </c>
      <c r="L1001" s="108"/>
      <c r="M1001" s="108"/>
      <c r="N1001" s="12">
        <v>1</v>
      </c>
      <c r="O1001" s="36">
        <v>44203</v>
      </c>
      <c r="P1001" s="17" t="s">
        <v>251</v>
      </c>
      <c r="Q1001" s="17" t="s">
        <v>1032</v>
      </c>
      <c r="R1001" s="12" t="s">
        <v>3457</v>
      </c>
      <c r="S1001" s="108"/>
      <c r="T1001" s="108"/>
      <c r="U1001" s="111"/>
      <c r="V1001" s="108"/>
      <c r="W1001" s="108"/>
      <c r="X1001" s="108"/>
    </row>
    <row r="1002" spans="1:25" s="26" customFormat="1" hidden="1">
      <c r="A1002" s="33"/>
      <c r="B1002" s="108"/>
      <c r="C1002" s="108"/>
      <c r="D1002" s="31" t="str">
        <f>D1001</f>
        <v>玩美移动PerfectCorp</v>
      </c>
      <c r="E1002" s="108"/>
      <c r="F1002" s="111"/>
      <c r="G1002" s="108"/>
      <c r="H1002" s="108"/>
      <c r="I1002" s="108"/>
      <c r="J1002" s="108"/>
      <c r="K1002" s="31" t="str">
        <f t="shared" si="194"/>
        <v>运营中</v>
      </c>
      <c r="L1002" s="108"/>
      <c r="M1002" s="108"/>
      <c r="N1002" s="12">
        <v>1</v>
      </c>
      <c r="O1002" s="36">
        <v>43728</v>
      </c>
      <c r="P1002" s="17" t="s">
        <v>257</v>
      </c>
      <c r="Q1002" s="12" t="s">
        <v>258</v>
      </c>
      <c r="R1002" s="12" t="s">
        <v>3458</v>
      </c>
      <c r="S1002" s="108"/>
      <c r="T1002" s="108"/>
      <c r="U1002" s="111"/>
      <c r="V1002" s="108"/>
      <c r="W1002" s="108"/>
      <c r="X1002" s="108"/>
    </row>
    <row r="1003" spans="1:25" s="26" customFormat="1" hidden="1">
      <c r="A1003" s="33"/>
      <c r="B1003" s="108"/>
      <c r="C1003" s="108"/>
      <c r="D1003" s="31" t="str">
        <f>D1002</f>
        <v>玩美移动PerfectCorp</v>
      </c>
      <c r="E1003" s="108"/>
      <c r="F1003" s="111"/>
      <c r="G1003" s="108"/>
      <c r="H1003" s="108"/>
      <c r="I1003" s="108"/>
      <c r="J1003" s="108"/>
      <c r="K1003" s="31" t="str">
        <f t="shared" si="194"/>
        <v>运营中</v>
      </c>
      <c r="L1003" s="108"/>
      <c r="M1003" s="108"/>
      <c r="N1003" s="12">
        <v>1</v>
      </c>
      <c r="O1003" s="36">
        <v>43026</v>
      </c>
      <c r="P1003" s="17" t="s">
        <v>262</v>
      </c>
      <c r="Q1003" s="17" t="s">
        <v>987</v>
      </c>
      <c r="R1003" s="12" t="s">
        <v>3459</v>
      </c>
      <c r="S1003" s="108"/>
      <c r="T1003" s="108"/>
      <c r="U1003" s="111"/>
      <c r="V1003" s="108"/>
      <c r="W1003" s="108"/>
      <c r="X1003" s="108"/>
    </row>
    <row r="1004" spans="1:25" s="26" customFormat="1" ht="48" hidden="1">
      <c r="A1004" s="33"/>
      <c r="B1004" s="108"/>
      <c r="C1004" s="17" t="s">
        <v>3460</v>
      </c>
      <c r="D1004" s="38" t="s">
        <v>3461</v>
      </c>
      <c r="E1004" s="12" t="s">
        <v>3461</v>
      </c>
      <c r="F1004" s="32" t="s">
        <v>3462</v>
      </c>
      <c r="G1004" s="12" t="s">
        <v>3463</v>
      </c>
      <c r="H1004" s="17"/>
      <c r="I1004" s="17" t="s">
        <v>3464</v>
      </c>
      <c r="J1004" s="12" t="s">
        <v>385</v>
      </c>
      <c r="K1004" s="12" t="s">
        <v>248</v>
      </c>
      <c r="L1004" s="12" t="s">
        <v>485</v>
      </c>
      <c r="M1004" s="12" t="s">
        <v>2942</v>
      </c>
      <c r="N1004" s="12"/>
      <c r="O1004" s="36">
        <v>42463</v>
      </c>
      <c r="P1004" s="12" t="s">
        <v>326</v>
      </c>
      <c r="Q1004" s="17" t="s">
        <v>3465</v>
      </c>
      <c r="R1004" s="12" t="s">
        <v>2414</v>
      </c>
      <c r="S1004" s="17" t="s">
        <v>3466</v>
      </c>
      <c r="T1004" s="17" t="s">
        <v>3467</v>
      </c>
      <c r="U1004" s="32" t="s">
        <v>3468</v>
      </c>
      <c r="V1004" s="12" t="s">
        <v>3469</v>
      </c>
      <c r="W1004" s="17" t="s">
        <v>3470</v>
      </c>
      <c r="X1004" s="17" t="s">
        <v>3471</v>
      </c>
    </row>
    <row r="1005" spans="1:25" s="26" customFormat="1" hidden="1">
      <c r="A1005" s="33"/>
      <c r="B1005" s="108"/>
      <c r="C1005" s="108" t="s">
        <v>3472</v>
      </c>
      <c r="D1005" s="31" t="s">
        <v>3473</v>
      </c>
      <c r="E1005" s="107" t="s">
        <v>3473</v>
      </c>
      <c r="F1005" s="110" t="s">
        <v>3474</v>
      </c>
      <c r="G1005" s="107" t="s">
        <v>3475</v>
      </c>
      <c r="H1005" s="108" t="s">
        <v>3476</v>
      </c>
      <c r="I1005" s="108" t="s">
        <v>2518</v>
      </c>
      <c r="J1005" s="107" t="s">
        <v>497</v>
      </c>
      <c r="K1005" s="31" t="s">
        <v>272</v>
      </c>
      <c r="L1005" s="107" t="s">
        <v>407</v>
      </c>
      <c r="M1005" s="107" t="s">
        <v>762</v>
      </c>
      <c r="N1005" s="12"/>
      <c r="O1005" s="36">
        <v>44311</v>
      </c>
      <c r="P1005" s="17" t="s">
        <v>317</v>
      </c>
      <c r="Q1005" s="12" t="s">
        <v>409</v>
      </c>
      <c r="R1005" s="12" t="s">
        <v>3477</v>
      </c>
      <c r="S1005" s="108" t="s">
        <v>3478</v>
      </c>
      <c r="T1005" s="108" t="s">
        <v>2601</v>
      </c>
      <c r="U1005" s="110" t="s">
        <v>3479</v>
      </c>
      <c r="V1005" s="107" t="s">
        <v>3480</v>
      </c>
      <c r="W1005" s="108" t="s">
        <v>3481</v>
      </c>
      <c r="X1005" s="108" t="s">
        <v>3482</v>
      </c>
    </row>
    <row r="1006" spans="1:25" s="26" customFormat="1" ht="77.5" customHeight="1">
      <c r="A1006" s="11"/>
      <c r="B1006" s="108"/>
      <c r="C1006" s="108"/>
      <c r="D1006" s="31" t="str">
        <f t="shared" ref="D1006:D1012" si="195">D1005</f>
        <v>乐言科技</v>
      </c>
      <c r="E1006" s="109"/>
      <c r="F1006" s="112"/>
      <c r="G1006" s="108"/>
      <c r="H1006" s="108"/>
      <c r="I1006" s="109"/>
      <c r="J1006" s="109"/>
      <c r="K1006" s="20" t="str">
        <f t="shared" ref="K1006:K1012" si="196">K1005</f>
        <v>运营中</v>
      </c>
      <c r="L1006" s="109"/>
      <c r="M1006" s="109"/>
      <c r="N1006" s="13"/>
      <c r="O1006" s="24">
        <v>44270</v>
      </c>
      <c r="P1006" s="13" t="s">
        <v>2029</v>
      </c>
      <c r="Q1006" s="13" t="s">
        <v>3483</v>
      </c>
      <c r="R1006" s="13" t="s">
        <v>1751</v>
      </c>
      <c r="S1006" s="109"/>
      <c r="T1006" s="109"/>
      <c r="U1006" s="112"/>
      <c r="V1006" s="108"/>
      <c r="W1006" s="108"/>
      <c r="X1006" s="108"/>
      <c r="Y1006" s="11"/>
    </row>
    <row r="1007" spans="1:25" s="26" customFormat="1" hidden="1">
      <c r="A1007" s="33"/>
      <c r="B1007" s="108"/>
      <c r="C1007" s="108"/>
      <c r="D1007" s="31" t="str">
        <f t="shared" si="195"/>
        <v>乐言科技</v>
      </c>
      <c r="E1007" s="108"/>
      <c r="F1007" s="111"/>
      <c r="G1007" s="108"/>
      <c r="H1007" s="108"/>
      <c r="I1007" s="108"/>
      <c r="J1007" s="108"/>
      <c r="K1007" s="31" t="str">
        <f t="shared" si="196"/>
        <v>运营中</v>
      </c>
      <c r="L1007" s="108"/>
      <c r="M1007" s="108"/>
      <c r="N1007" s="17"/>
      <c r="O1007" s="36">
        <v>44093</v>
      </c>
      <c r="P1007" s="17" t="s">
        <v>523</v>
      </c>
      <c r="Q1007" s="12" t="s">
        <v>252</v>
      </c>
      <c r="R1007" s="12" t="s">
        <v>3484</v>
      </c>
      <c r="S1007" s="108"/>
      <c r="T1007" s="108"/>
      <c r="U1007" s="111"/>
      <c r="V1007" s="108"/>
      <c r="W1007" s="108"/>
      <c r="X1007" s="108"/>
    </row>
    <row r="1008" spans="1:25" s="26" customFormat="1" hidden="1">
      <c r="A1008" s="33"/>
      <c r="B1008" s="108"/>
      <c r="C1008" s="108"/>
      <c r="D1008" s="31" t="str">
        <f t="shared" si="195"/>
        <v>乐言科技</v>
      </c>
      <c r="E1008" s="108"/>
      <c r="F1008" s="111"/>
      <c r="G1008" s="108"/>
      <c r="H1008" s="108"/>
      <c r="I1008" s="108"/>
      <c r="J1008" s="108"/>
      <c r="K1008" s="31" t="str">
        <f t="shared" si="196"/>
        <v>运营中</v>
      </c>
      <c r="L1008" s="108"/>
      <c r="M1008" s="108"/>
      <c r="N1008" s="17"/>
      <c r="O1008" s="36">
        <v>43970</v>
      </c>
      <c r="P1008" s="17" t="s">
        <v>251</v>
      </c>
      <c r="Q1008" s="17" t="s">
        <v>701</v>
      </c>
      <c r="R1008" s="12" t="s">
        <v>3485</v>
      </c>
      <c r="S1008" s="108"/>
      <c r="T1008" s="108"/>
      <c r="U1008" s="111"/>
      <c r="V1008" s="108"/>
      <c r="W1008" s="108"/>
      <c r="X1008" s="108"/>
    </row>
    <row r="1009" spans="1:25" s="26" customFormat="1" hidden="1">
      <c r="A1009" s="33"/>
      <c r="B1009" s="108"/>
      <c r="C1009" s="108"/>
      <c r="D1009" s="31" t="str">
        <f t="shared" si="195"/>
        <v>乐言科技</v>
      </c>
      <c r="E1009" s="108"/>
      <c r="F1009" s="111"/>
      <c r="G1009" s="108"/>
      <c r="H1009" s="108"/>
      <c r="I1009" s="108"/>
      <c r="J1009" s="108"/>
      <c r="K1009" s="31" t="str">
        <f t="shared" si="196"/>
        <v>运营中</v>
      </c>
      <c r="L1009" s="108"/>
      <c r="M1009" s="108"/>
      <c r="N1009" s="17"/>
      <c r="O1009" s="36">
        <v>43838</v>
      </c>
      <c r="P1009" s="17" t="s">
        <v>257</v>
      </c>
      <c r="Q1009" s="12" t="s">
        <v>252</v>
      </c>
      <c r="R1009" s="12" t="s">
        <v>3486</v>
      </c>
      <c r="S1009" s="108"/>
      <c r="T1009" s="108"/>
      <c r="U1009" s="111"/>
      <c r="V1009" s="108"/>
      <c r="W1009" s="108"/>
      <c r="X1009" s="108"/>
    </row>
    <row r="1010" spans="1:25" s="26" customFormat="1" hidden="1">
      <c r="A1010" s="33"/>
      <c r="B1010" s="108"/>
      <c r="C1010" s="108"/>
      <c r="D1010" s="31" t="str">
        <f t="shared" si="195"/>
        <v>乐言科技</v>
      </c>
      <c r="E1010" s="108"/>
      <c r="F1010" s="111"/>
      <c r="G1010" s="108"/>
      <c r="H1010" s="108"/>
      <c r="I1010" s="108"/>
      <c r="J1010" s="108"/>
      <c r="K1010" s="31" t="str">
        <f t="shared" si="196"/>
        <v>运营中</v>
      </c>
      <c r="L1010" s="108"/>
      <c r="M1010" s="108"/>
      <c r="N1010" s="17"/>
      <c r="O1010" s="36">
        <v>43230</v>
      </c>
      <c r="P1010" s="17" t="s">
        <v>260</v>
      </c>
      <c r="Q1010" s="12" t="s">
        <v>341</v>
      </c>
      <c r="R1010" s="12" t="s">
        <v>3487</v>
      </c>
      <c r="S1010" s="108"/>
      <c r="T1010" s="108"/>
      <c r="U1010" s="111"/>
      <c r="V1010" s="108"/>
      <c r="W1010" s="108"/>
      <c r="X1010" s="108"/>
    </row>
    <row r="1011" spans="1:25" s="26" customFormat="1" hidden="1">
      <c r="A1011" s="33"/>
      <c r="B1011" s="108"/>
      <c r="C1011" s="108"/>
      <c r="D1011" s="31" t="str">
        <f t="shared" si="195"/>
        <v>乐言科技</v>
      </c>
      <c r="E1011" s="108"/>
      <c r="F1011" s="111"/>
      <c r="G1011" s="108"/>
      <c r="H1011" s="108"/>
      <c r="I1011" s="108"/>
      <c r="J1011" s="108"/>
      <c r="K1011" s="31" t="str">
        <f t="shared" si="196"/>
        <v>运营中</v>
      </c>
      <c r="L1011" s="108"/>
      <c r="M1011" s="108"/>
      <c r="N1011" s="17"/>
      <c r="O1011" s="36">
        <v>42774</v>
      </c>
      <c r="P1011" s="17" t="s">
        <v>262</v>
      </c>
      <c r="Q1011" s="12" t="s">
        <v>327</v>
      </c>
      <c r="R1011" s="12" t="s">
        <v>3488</v>
      </c>
      <c r="S1011" s="108"/>
      <c r="T1011" s="108"/>
      <c r="U1011" s="111"/>
      <c r="V1011" s="108"/>
      <c r="W1011" s="108"/>
      <c r="X1011" s="108"/>
    </row>
    <row r="1012" spans="1:25" s="26" customFormat="1" hidden="1">
      <c r="A1012" s="33"/>
      <c r="B1012" s="108"/>
      <c r="C1012" s="108"/>
      <c r="D1012" s="31" t="str">
        <f t="shared" si="195"/>
        <v>乐言科技</v>
      </c>
      <c r="E1012" s="108"/>
      <c r="F1012" s="111"/>
      <c r="G1012" s="108"/>
      <c r="H1012" s="108"/>
      <c r="I1012" s="108"/>
      <c r="J1012" s="108"/>
      <c r="K1012" s="31" t="str">
        <f t="shared" si="196"/>
        <v>运营中</v>
      </c>
      <c r="L1012" s="108"/>
      <c r="M1012" s="108"/>
      <c r="N1012" s="17"/>
      <c r="O1012" s="36">
        <v>42516</v>
      </c>
      <c r="P1012" s="12" t="s">
        <v>326</v>
      </c>
      <c r="Q1012" s="12" t="s">
        <v>327</v>
      </c>
      <c r="R1012" s="12" t="s">
        <v>540</v>
      </c>
      <c r="S1012" s="108"/>
      <c r="T1012" s="108"/>
      <c r="U1012" s="111"/>
      <c r="V1012" s="108"/>
      <c r="W1012" s="108"/>
      <c r="X1012" s="108"/>
    </row>
    <row r="1013" spans="1:25" s="26" customFormat="1" hidden="1">
      <c r="A1013" s="33"/>
      <c r="B1013" s="108"/>
      <c r="C1013" s="108" t="s">
        <v>3489</v>
      </c>
      <c r="D1013" s="31" t="s">
        <v>3490</v>
      </c>
      <c r="E1013" s="108" t="s">
        <v>3491</v>
      </c>
      <c r="F1013" s="110" t="s">
        <v>3492</v>
      </c>
      <c r="G1013" s="107" t="s">
        <v>3493</v>
      </c>
      <c r="H1013" s="108" t="s">
        <v>3494</v>
      </c>
      <c r="I1013" s="108" t="s">
        <v>3495</v>
      </c>
      <c r="J1013" s="107" t="s">
        <v>1192</v>
      </c>
      <c r="K1013" s="31" t="s">
        <v>272</v>
      </c>
      <c r="L1013" s="107" t="s">
        <v>407</v>
      </c>
      <c r="M1013" s="107" t="s">
        <v>445</v>
      </c>
      <c r="N1013" s="12"/>
      <c r="O1013" s="36">
        <v>45022</v>
      </c>
      <c r="P1013" s="17" t="s">
        <v>763</v>
      </c>
      <c r="Q1013" s="12" t="s">
        <v>252</v>
      </c>
      <c r="R1013" s="12" t="s">
        <v>3496</v>
      </c>
      <c r="S1013" s="108" t="s">
        <v>3497</v>
      </c>
      <c r="T1013" s="107" t="s">
        <v>255</v>
      </c>
      <c r="U1013" s="110" t="s">
        <v>3498</v>
      </c>
      <c r="V1013" s="107" t="s">
        <v>3499</v>
      </c>
      <c r="W1013" s="108" t="s">
        <v>3500</v>
      </c>
      <c r="X1013" s="108" t="s">
        <v>3501</v>
      </c>
    </row>
    <row r="1014" spans="1:25" s="26" customFormat="1" hidden="1">
      <c r="A1014" s="33"/>
      <c r="B1014" s="108"/>
      <c r="C1014" s="108"/>
      <c r="D1014" s="31" t="str">
        <f t="shared" ref="D1014:D1019" si="197">D1013</f>
        <v>Renderbus瑞云科技</v>
      </c>
      <c r="E1014" s="108"/>
      <c r="F1014" s="111"/>
      <c r="G1014" s="108"/>
      <c r="H1014" s="108"/>
      <c r="I1014" s="108"/>
      <c r="J1014" s="108"/>
      <c r="K1014" s="31" t="str">
        <f t="shared" ref="K1014:K1019" si="198">K1013</f>
        <v>运营中</v>
      </c>
      <c r="L1014" s="108"/>
      <c r="M1014" s="108"/>
      <c r="N1014" s="17"/>
      <c r="O1014" s="36">
        <v>44659</v>
      </c>
      <c r="P1014" s="12" t="s">
        <v>285</v>
      </c>
      <c r="Q1014" s="12" t="s">
        <v>252</v>
      </c>
      <c r="R1014" s="12" t="s">
        <v>3502</v>
      </c>
      <c r="S1014" s="108"/>
      <c r="T1014" s="108"/>
      <c r="U1014" s="111"/>
      <c r="V1014" s="108"/>
      <c r="W1014" s="108"/>
      <c r="X1014" s="108"/>
    </row>
    <row r="1015" spans="1:25" s="26" customFormat="1" hidden="1">
      <c r="A1015" s="33"/>
      <c r="B1015" s="108"/>
      <c r="C1015" s="108"/>
      <c r="D1015" s="31" t="str">
        <f t="shared" si="197"/>
        <v>Renderbus瑞云科技</v>
      </c>
      <c r="E1015" s="108"/>
      <c r="F1015" s="111"/>
      <c r="G1015" s="108"/>
      <c r="H1015" s="108"/>
      <c r="I1015" s="108"/>
      <c r="J1015" s="108"/>
      <c r="K1015" s="31" t="str">
        <f t="shared" si="198"/>
        <v>运营中</v>
      </c>
      <c r="L1015" s="108"/>
      <c r="M1015" s="108"/>
      <c r="N1015" s="17"/>
      <c r="O1015" s="36">
        <v>44480</v>
      </c>
      <c r="P1015" s="12" t="s">
        <v>285</v>
      </c>
      <c r="Q1015" s="12" t="s">
        <v>252</v>
      </c>
      <c r="R1015" s="12" t="s">
        <v>3503</v>
      </c>
      <c r="S1015" s="108"/>
      <c r="T1015" s="108"/>
      <c r="U1015" s="111"/>
      <c r="V1015" s="108"/>
      <c r="W1015" s="108"/>
      <c r="X1015" s="108"/>
    </row>
    <row r="1016" spans="1:25" s="26" customFormat="1" hidden="1">
      <c r="A1016" s="33"/>
      <c r="B1016" s="108"/>
      <c r="C1016" s="108"/>
      <c r="D1016" s="31" t="str">
        <f t="shared" si="197"/>
        <v>Renderbus瑞云科技</v>
      </c>
      <c r="E1016" s="108"/>
      <c r="F1016" s="111"/>
      <c r="G1016" s="108"/>
      <c r="H1016" s="108"/>
      <c r="I1016" s="108"/>
      <c r="J1016" s="108"/>
      <c r="K1016" s="31" t="str">
        <f t="shared" si="198"/>
        <v>运营中</v>
      </c>
      <c r="L1016" s="108"/>
      <c r="M1016" s="108"/>
      <c r="N1016" s="17"/>
      <c r="O1016" s="36">
        <v>44215</v>
      </c>
      <c r="P1016" s="17" t="s">
        <v>251</v>
      </c>
      <c r="Q1016" s="12" t="s">
        <v>409</v>
      </c>
      <c r="R1016" s="12" t="s">
        <v>3504</v>
      </c>
      <c r="S1016" s="108"/>
      <c r="T1016" s="108"/>
      <c r="U1016" s="111"/>
      <c r="V1016" s="108"/>
      <c r="W1016" s="108"/>
      <c r="X1016" s="108"/>
    </row>
    <row r="1017" spans="1:25" s="26" customFormat="1" hidden="1">
      <c r="A1017" s="33"/>
      <c r="B1017" s="108"/>
      <c r="C1017" s="108"/>
      <c r="D1017" s="31" t="str">
        <f t="shared" si="197"/>
        <v>Renderbus瑞云科技</v>
      </c>
      <c r="E1017" s="108"/>
      <c r="F1017" s="111"/>
      <c r="G1017" s="108"/>
      <c r="H1017" s="108"/>
      <c r="I1017" s="108"/>
      <c r="J1017" s="108"/>
      <c r="K1017" s="31" t="str">
        <f t="shared" si="198"/>
        <v>运营中</v>
      </c>
      <c r="L1017" s="108"/>
      <c r="M1017" s="108"/>
      <c r="N1017" s="17"/>
      <c r="O1017" s="36">
        <v>43936</v>
      </c>
      <c r="P1017" s="17" t="s">
        <v>257</v>
      </c>
      <c r="Q1017" s="12" t="s">
        <v>341</v>
      </c>
      <c r="R1017" s="12" t="s">
        <v>3505</v>
      </c>
      <c r="S1017" s="108"/>
      <c r="T1017" s="108"/>
      <c r="U1017" s="111"/>
      <c r="V1017" s="108"/>
      <c r="W1017" s="108"/>
      <c r="X1017" s="108"/>
    </row>
    <row r="1018" spans="1:25" s="26" customFormat="1" hidden="1">
      <c r="A1018" s="33"/>
      <c r="B1018" s="108"/>
      <c r="C1018" s="108"/>
      <c r="D1018" s="31" t="str">
        <f t="shared" si="197"/>
        <v>Renderbus瑞云科技</v>
      </c>
      <c r="E1018" s="108"/>
      <c r="F1018" s="111"/>
      <c r="G1018" s="108"/>
      <c r="H1018" s="108"/>
      <c r="I1018" s="108"/>
      <c r="J1018" s="108"/>
      <c r="K1018" s="31" t="str">
        <f t="shared" si="198"/>
        <v>运营中</v>
      </c>
      <c r="L1018" s="108"/>
      <c r="M1018" s="108"/>
      <c r="N1018" s="17"/>
      <c r="O1018" s="36">
        <v>43273</v>
      </c>
      <c r="P1018" s="17" t="s">
        <v>262</v>
      </c>
      <c r="Q1018" s="12" t="s">
        <v>341</v>
      </c>
      <c r="R1018" s="12" t="s">
        <v>343</v>
      </c>
      <c r="S1018" s="108"/>
      <c r="T1018" s="108"/>
      <c r="U1018" s="111"/>
      <c r="V1018" s="108"/>
      <c r="W1018" s="108"/>
      <c r="X1018" s="108"/>
    </row>
    <row r="1019" spans="1:25" s="26" customFormat="1" hidden="1">
      <c r="A1019" s="33"/>
      <c r="B1019" s="108"/>
      <c r="C1019" s="108"/>
      <c r="D1019" s="31" t="str">
        <f t="shared" si="197"/>
        <v>Renderbus瑞云科技</v>
      </c>
      <c r="E1019" s="108"/>
      <c r="F1019" s="111"/>
      <c r="G1019" s="108"/>
      <c r="H1019" s="108"/>
      <c r="I1019" s="108"/>
      <c r="J1019" s="108"/>
      <c r="K1019" s="31" t="str">
        <f t="shared" si="198"/>
        <v>运营中</v>
      </c>
      <c r="L1019" s="108"/>
      <c r="M1019" s="108"/>
      <c r="N1019" s="17"/>
      <c r="O1019" s="36">
        <v>42551</v>
      </c>
      <c r="P1019" s="12" t="s">
        <v>326</v>
      </c>
      <c r="Q1019" s="12" t="s">
        <v>327</v>
      </c>
      <c r="R1019" s="12" t="s">
        <v>240</v>
      </c>
      <c r="S1019" s="108"/>
      <c r="T1019" s="108"/>
      <c r="U1019" s="111"/>
      <c r="V1019" s="108"/>
      <c r="W1019" s="108"/>
      <c r="X1019" s="108"/>
    </row>
    <row r="1020" spans="1:25" s="26" customFormat="1" ht="77.5" customHeight="1">
      <c r="A1020" s="11"/>
      <c r="B1020" s="108"/>
      <c r="C1020" s="108" t="s">
        <v>3506</v>
      </c>
      <c r="D1020" s="31" t="s">
        <v>3507</v>
      </c>
      <c r="E1020" s="109" t="s">
        <v>3508</v>
      </c>
      <c r="F1020" s="112" t="s">
        <v>3509</v>
      </c>
      <c r="G1020" s="107" t="s">
        <v>3510</v>
      </c>
      <c r="H1020" s="108" t="s">
        <v>3511</v>
      </c>
      <c r="I1020" s="109" t="s">
        <v>2313</v>
      </c>
      <c r="J1020" s="109" t="s">
        <v>3512</v>
      </c>
      <c r="K1020" s="20" t="s">
        <v>1042</v>
      </c>
      <c r="L1020" s="109" t="s">
        <v>1825</v>
      </c>
      <c r="M1020" s="109" t="s">
        <v>470</v>
      </c>
      <c r="N1020" s="13"/>
      <c r="O1020" s="24">
        <v>45015</v>
      </c>
      <c r="P1020" s="13" t="s">
        <v>3513</v>
      </c>
      <c r="Q1020" s="13" t="s">
        <v>3514</v>
      </c>
      <c r="R1020" s="13" t="s">
        <v>3515</v>
      </c>
      <c r="S1020" s="109" t="s">
        <v>3516</v>
      </c>
      <c r="T1020" s="109" t="s">
        <v>3517</v>
      </c>
      <c r="U1020" s="112" t="s">
        <v>3518</v>
      </c>
      <c r="V1020" s="107" t="s">
        <v>3519</v>
      </c>
      <c r="W1020" s="108"/>
      <c r="X1020" s="108" t="s">
        <v>3520</v>
      </c>
      <c r="Y1020" s="11"/>
    </row>
    <row r="1021" spans="1:25" s="26" customFormat="1" hidden="1">
      <c r="A1021" s="33"/>
      <c r="B1021" s="108"/>
      <c r="C1021" s="108"/>
      <c r="D1021" s="31" t="str">
        <f>D1020</f>
        <v>中测智绘</v>
      </c>
      <c r="E1021" s="108"/>
      <c r="F1021" s="111"/>
      <c r="G1021" s="108"/>
      <c r="H1021" s="108"/>
      <c r="I1021" s="108"/>
      <c r="J1021" s="108"/>
      <c r="K1021" s="31" t="str">
        <f t="shared" ref="K1021:K1022" si="199">K1020</f>
        <v>运营中</v>
      </c>
      <c r="L1021" s="108"/>
      <c r="M1021" s="108"/>
      <c r="N1021" s="17"/>
      <c r="O1021" s="36">
        <v>44445</v>
      </c>
      <c r="P1021" s="17" t="s">
        <v>721</v>
      </c>
      <c r="Q1021" s="12" t="s">
        <v>252</v>
      </c>
      <c r="R1021" s="12" t="s">
        <v>3521</v>
      </c>
      <c r="S1021" s="108"/>
      <c r="T1021" s="108"/>
      <c r="U1021" s="111"/>
      <c r="V1021" s="108"/>
      <c r="W1021" s="108"/>
      <c r="X1021" s="108"/>
    </row>
    <row r="1022" spans="1:25" s="26" customFormat="1" hidden="1">
      <c r="A1022" s="33"/>
      <c r="B1022" s="108"/>
      <c r="C1022" s="108"/>
      <c r="D1022" s="31" t="str">
        <f>D1021</f>
        <v>中测智绘</v>
      </c>
      <c r="E1022" s="108"/>
      <c r="F1022" s="111"/>
      <c r="G1022" s="108"/>
      <c r="H1022" s="108"/>
      <c r="I1022" s="108"/>
      <c r="J1022" s="108"/>
      <c r="K1022" s="31" t="str">
        <f t="shared" si="199"/>
        <v>运营中</v>
      </c>
      <c r="L1022" s="108"/>
      <c r="M1022" s="108"/>
      <c r="N1022" s="17"/>
      <c r="O1022" s="36">
        <v>43009</v>
      </c>
      <c r="P1022" s="12" t="s">
        <v>326</v>
      </c>
      <c r="Q1022" s="17" t="s">
        <v>3465</v>
      </c>
      <c r="R1022" s="17" t="s">
        <v>253</v>
      </c>
      <c r="S1022" s="108"/>
      <c r="T1022" s="108"/>
      <c r="U1022" s="111"/>
      <c r="V1022" s="108"/>
      <c r="W1022" s="108"/>
      <c r="X1022" s="108"/>
    </row>
    <row r="1023" spans="1:25" s="26" customFormat="1" hidden="1">
      <c r="A1023" s="33"/>
      <c r="B1023" s="108"/>
      <c r="C1023" s="108" t="s">
        <v>3522</v>
      </c>
      <c r="D1023" s="31" t="s">
        <v>3523</v>
      </c>
      <c r="E1023" s="107" t="s">
        <v>3523</v>
      </c>
      <c r="F1023" s="110" t="s">
        <v>3524</v>
      </c>
      <c r="G1023" s="107" t="s">
        <v>3525</v>
      </c>
      <c r="H1023" s="108" t="s">
        <v>3526</v>
      </c>
      <c r="I1023" s="108" t="s">
        <v>3527</v>
      </c>
      <c r="J1023" s="107" t="s">
        <v>973</v>
      </c>
      <c r="K1023" s="31" t="s">
        <v>272</v>
      </c>
      <c r="L1023" s="107" t="s">
        <v>1966</v>
      </c>
      <c r="M1023" s="107" t="s">
        <v>1967</v>
      </c>
      <c r="N1023" s="12">
        <v>1</v>
      </c>
      <c r="O1023" s="36">
        <v>44944</v>
      </c>
      <c r="P1023" s="17" t="s">
        <v>687</v>
      </c>
      <c r="Q1023" s="17" t="s">
        <v>3528</v>
      </c>
      <c r="R1023" s="12" t="s">
        <v>3529</v>
      </c>
      <c r="S1023" s="108" t="s">
        <v>3530</v>
      </c>
      <c r="T1023" s="108" t="s">
        <v>3531</v>
      </c>
      <c r="U1023" s="110" t="s">
        <v>3532</v>
      </c>
      <c r="V1023" s="107" t="s">
        <v>3533</v>
      </c>
      <c r="W1023" s="108" t="s">
        <v>3534</v>
      </c>
      <c r="X1023" s="108" t="s">
        <v>3535</v>
      </c>
    </row>
    <row r="1024" spans="1:25" s="26" customFormat="1" hidden="1">
      <c r="A1024" s="33"/>
      <c r="B1024" s="108"/>
      <c r="C1024" s="108"/>
      <c r="D1024" s="31" t="str">
        <f t="shared" ref="D1024:D1029" si="200">D1023</f>
        <v>美凯龙</v>
      </c>
      <c r="E1024" s="108"/>
      <c r="F1024" s="111"/>
      <c r="G1024" s="108"/>
      <c r="H1024" s="108"/>
      <c r="I1024" s="108"/>
      <c r="J1024" s="108"/>
      <c r="K1024" s="31" t="str">
        <f t="shared" ref="K1024:K1029" si="201">K1023</f>
        <v>运营中</v>
      </c>
      <c r="L1024" s="108"/>
      <c r="M1024" s="108"/>
      <c r="N1024" s="12">
        <v>1</v>
      </c>
      <c r="O1024" s="36">
        <v>43600</v>
      </c>
      <c r="P1024" s="17" t="s">
        <v>687</v>
      </c>
      <c r="Q1024" s="17" t="s">
        <v>3536</v>
      </c>
      <c r="R1024" s="12" t="s">
        <v>240</v>
      </c>
      <c r="S1024" s="108"/>
      <c r="T1024" s="108"/>
      <c r="U1024" s="111"/>
      <c r="V1024" s="108"/>
      <c r="W1024" s="108"/>
      <c r="X1024" s="108"/>
    </row>
    <row r="1025" spans="1:25" s="26" customFormat="1" hidden="1">
      <c r="A1025" s="33"/>
      <c r="B1025" s="108"/>
      <c r="C1025" s="108"/>
      <c r="D1025" s="31" t="str">
        <f t="shared" si="200"/>
        <v>美凯龙</v>
      </c>
      <c r="E1025" s="108"/>
      <c r="F1025" s="111"/>
      <c r="G1025" s="108"/>
      <c r="H1025" s="108"/>
      <c r="I1025" s="108"/>
      <c r="J1025" s="108"/>
      <c r="K1025" s="31" t="str">
        <f t="shared" si="201"/>
        <v>运营中</v>
      </c>
      <c r="L1025" s="108"/>
      <c r="M1025" s="108"/>
      <c r="N1025" s="12">
        <v>1</v>
      </c>
      <c r="O1025" s="36">
        <v>43117</v>
      </c>
      <c r="P1025" s="17" t="s">
        <v>283</v>
      </c>
      <c r="Q1025" s="17" t="s">
        <v>3537</v>
      </c>
      <c r="R1025" s="17" t="s">
        <v>253</v>
      </c>
      <c r="S1025" s="108"/>
      <c r="T1025" s="108"/>
      <c r="U1025" s="111"/>
      <c r="V1025" s="108"/>
      <c r="W1025" s="108"/>
      <c r="X1025" s="108"/>
    </row>
    <row r="1026" spans="1:25" s="26" customFormat="1" hidden="1">
      <c r="A1026" s="33"/>
      <c r="B1026" s="108"/>
      <c r="C1026" s="108"/>
      <c r="D1026" s="31" t="str">
        <f t="shared" si="200"/>
        <v>美凯龙</v>
      </c>
      <c r="E1026" s="108"/>
      <c r="F1026" s="111"/>
      <c r="G1026" s="108"/>
      <c r="H1026" s="108"/>
      <c r="I1026" s="108"/>
      <c r="J1026" s="108"/>
      <c r="K1026" s="31" t="str">
        <f t="shared" si="201"/>
        <v>运营中</v>
      </c>
      <c r="L1026" s="108"/>
      <c r="M1026" s="108"/>
      <c r="N1026" s="12">
        <v>1</v>
      </c>
      <c r="O1026" s="36">
        <v>42181</v>
      </c>
      <c r="P1026" s="17" t="s">
        <v>283</v>
      </c>
      <c r="Q1026" s="17" t="s">
        <v>3538</v>
      </c>
      <c r="R1026" s="17" t="s">
        <v>253</v>
      </c>
      <c r="S1026" s="108"/>
      <c r="T1026" s="108"/>
      <c r="U1026" s="111"/>
      <c r="V1026" s="108"/>
      <c r="W1026" s="108"/>
      <c r="X1026" s="108"/>
    </row>
    <row r="1027" spans="1:25" s="26" customFormat="1" hidden="1">
      <c r="A1027" s="33"/>
      <c r="B1027" s="108"/>
      <c r="C1027" s="108"/>
      <c r="D1027" s="31" t="str">
        <f t="shared" si="200"/>
        <v>美凯龙</v>
      </c>
      <c r="E1027" s="108"/>
      <c r="F1027" s="111"/>
      <c r="G1027" s="108"/>
      <c r="H1027" s="108"/>
      <c r="I1027" s="108"/>
      <c r="J1027" s="108"/>
      <c r="K1027" s="31" t="str">
        <f t="shared" si="201"/>
        <v>运营中</v>
      </c>
      <c r="L1027" s="108"/>
      <c r="M1027" s="108"/>
      <c r="N1027" s="12">
        <v>1</v>
      </c>
      <c r="O1027" s="36">
        <v>40330</v>
      </c>
      <c r="P1027" s="17" t="s">
        <v>251</v>
      </c>
      <c r="Q1027" s="17" t="s">
        <v>3539</v>
      </c>
      <c r="R1027" s="12" t="s">
        <v>3540</v>
      </c>
      <c r="S1027" s="108"/>
      <c r="T1027" s="108"/>
      <c r="U1027" s="111"/>
      <c r="V1027" s="108"/>
      <c r="W1027" s="108"/>
      <c r="X1027" s="108"/>
    </row>
    <row r="1028" spans="1:25" s="26" customFormat="1" hidden="1">
      <c r="A1028" s="33"/>
      <c r="B1028" s="108"/>
      <c r="C1028" s="108"/>
      <c r="D1028" s="31" t="str">
        <f t="shared" si="200"/>
        <v>美凯龙</v>
      </c>
      <c r="E1028" s="108"/>
      <c r="F1028" s="111"/>
      <c r="G1028" s="108"/>
      <c r="H1028" s="108"/>
      <c r="I1028" s="108"/>
      <c r="J1028" s="108"/>
      <c r="K1028" s="31" t="str">
        <f t="shared" si="201"/>
        <v>运营中</v>
      </c>
      <c r="L1028" s="108"/>
      <c r="M1028" s="108"/>
      <c r="N1028" s="12">
        <v>1</v>
      </c>
      <c r="O1028" s="36">
        <v>39873</v>
      </c>
      <c r="P1028" s="17" t="s">
        <v>257</v>
      </c>
      <c r="Q1028" s="17" t="s">
        <v>773</v>
      </c>
      <c r="R1028" s="12" t="s">
        <v>3541</v>
      </c>
      <c r="S1028" s="108"/>
      <c r="T1028" s="108"/>
      <c r="U1028" s="111"/>
      <c r="V1028" s="108"/>
      <c r="W1028" s="108"/>
      <c r="X1028" s="108"/>
    </row>
    <row r="1029" spans="1:25" s="26" customFormat="1" hidden="1">
      <c r="A1029" s="33"/>
      <c r="B1029" s="108"/>
      <c r="C1029" s="108"/>
      <c r="D1029" s="31" t="str">
        <f t="shared" si="200"/>
        <v>美凯龙</v>
      </c>
      <c r="E1029" s="108"/>
      <c r="F1029" s="111"/>
      <c r="G1029" s="108"/>
      <c r="H1029" s="108"/>
      <c r="I1029" s="108"/>
      <c r="J1029" s="108"/>
      <c r="K1029" s="31" t="str">
        <f t="shared" si="201"/>
        <v>运营中</v>
      </c>
      <c r="L1029" s="108"/>
      <c r="M1029" s="108"/>
      <c r="N1029" s="12">
        <v>1</v>
      </c>
      <c r="O1029" s="36">
        <v>39508</v>
      </c>
      <c r="P1029" s="17" t="s">
        <v>262</v>
      </c>
      <c r="Q1029" s="17" t="s">
        <v>773</v>
      </c>
      <c r="R1029" s="12" t="s">
        <v>3541</v>
      </c>
      <c r="S1029" s="108"/>
      <c r="T1029" s="108"/>
      <c r="U1029" s="111"/>
      <c r="V1029" s="108"/>
      <c r="W1029" s="108"/>
      <c r="X1029" s="108"/>
    </row>
    <row r="1030" spans="1:25" s="26" customFormat="1" ht="77.5" customHeight="1">
      <c r="A1030" s="11"/>
      <c r="B1030" s="108"/>
      <c r="C1030" s="108" t="s">
        <v>3542</v>
      </c>
      <c r="D1030" s="31" t="s">
        <v>3543</v>
      </c>
      <c r="E1030" s="109" t="s">
        <v>3544</v>
      </c>
      <c r="F1030" s="112" t="s">
        <v>3545</v>
      </c>
      <c r="G1030" s="107" t="s">
        <v>3546</v>
      </c>
      <c r="H1030" s="108" t="s">
        <v>3547</v>
      </c>
      <c r="I1030" s="109" t="s">
        <v>2887</v>
      </c>
      <c r="J1030" s="109" t="s">
        <v>547</v>
      </c>
      <c r="K1030" s="20" t="s">
        <v>1042</v>
      </c>
      <c r="L1030" s="109" t="s">
        <v>3548</v>
      </c>
      <c r="M1030" s="109" t="s">
        <v>3549</v>
      </c>
      <c r="N1030" s="13"/>
      <c r="O1030" s="24">
        <v>44483</v>
      </c>
      <c r="P1030" s="13" t="s">
        <v>1827</v>
      </c>
      <c r="Q1030" s="13" t="s">
        <v>3550</v>
      </c>
      <c r="R1030" s="13" t="s">
        <v>3551</v>
      </c>
      <c r="S1030" s="109" t="s">
        <v>3552</v>
      </c>
      <c r="T1030" s="109" t="s">
        <v>3553</v>
      </c>
      <c r="U1030" s="112" t="s">
        <v>3554</v>
      </c>
      <c r="V1030" s="107" t="s">
        <v>3555</v>
      </c>
      <c r="W1030" s="108" t="s">
        <v>3556</v>
      </c>
      <c r="X1030" s="108" t="s">
        <v>3557</v>
      </c>
      <c r="Y1030" s="11"/>
    </row>
    <row r="1031" spans="1:25" s="26" customFormat="1" hidden="1">
      <c r="A1031" s="33"/>
      <c r="B1031" s="108"/>
      <c r="C1031" s="108"/>
      <c r="D1031" s="31" t="str">
        <f t="shared" ref="D1031:D1036" si="202">D1030</f>
        <v>康立明生物</v>
      </c>
      <c r="E1031" s="108"/>
      <c r="F1031" s="111"/>
      <c r="G1031" s="108"/>
      <c r="H1031" s="108"/>
      <c r="I1031" s="108"/>
      <c r="J1031" s="108"/>
      <c r="K1031" s="31" t="str">
        <f t="shared" ref="K1031:K1036" si="203">K1030</f>
        <v>运营中</v>
      </c>
      <c r="L1031" s="108"/>
      <c r="M1031" s="108"/>
      <c r="N1031" s="17"/>
      <c r="O1031" s="36">
        <v>44101</v>
      </c>
      <c r="P1031" s="17" t="s">
        <v>251</v>
      </c>
      <c r="Q1031" s="17" t="s">
        <v>1202</v>
      </c>
      <c r="R1031" s="17" t="s">
        <v>3558</v>
      </c>
      <c r="S1031" s="108"/>
      <c r="T1031" s="108"/>
      <c r="U1031" s="111"/>
      <c r="V1031" s="108"/>
      <c r="W1031" s="108"/>
      <c r="X1031" s="108"/>
    </row>
    <row r="1032" spans="1:25" s="26" customFormat="1" hidden="1">
      <c r="A1032" s="33"/>
      <c r="B1032" s="108"/>
      <c r="C1032" s="108"/>
      <c r="D1032" s="31" t="str">
        <f t="shared" si="202"/>
        <v>康立明生物</v>
      </c>
      <c r="E1032" s="108"/>
      <c r="F1032" s="111"/>
      <c r="G1032" s="108"/>
      <c r="H1032" s="108"/>
      <c r="I1032" s="108"/>
      <c r="J1032" s="108"/>
      <c r="K1032" s="31" t="str">
        <f t="shared" si="203"/>
        <v>运营中</v>
      </c>
      <c r="L1032" s="108"/>
      <c r="M1032" s="108"/>
      <c r="N1032" s="17"/>
      <c r="O1032" s="36">
        <v>43697</v>
      </c>
      <c r="P1032" s="12" t="s">
        <v>285</v>
      </c>
      <c r="Q1032" s="12" t="s">
        <v>252</v>
      </c>
      <c r="R1032" s="12" t="s">
        <v>3559</v>
      </c>
      <c r="S1032" s="108"/>
      <c r="T1032" s="108"/>
      <c r="U1032" s="111"/>
      <c r="V1032" s="108"/>
      <c r="W1032" s="108"/>
      <c r="X1032" s="108"/>
    </row>
    <row r="1033" spans="1:25" s="26" customFormat="1" hidden="1">
      <c r="A1033" s="33"/>
      <c r="B1033" s="108"/>
      <c r="C1033" s="108"/>
      <c r="D1033" s="31" t="str">
        <f t="shared" si="202"/>
        <v>康立明生物</v>
      </c>
      <c r="E1033" s="108"/>
      <c r="F1033" s="111"/>
      <c r="G1033" s="108"/>
      <c r="H1033" s="108"/>
      <c r="I1033" s="108"/>
      <c r="J1033" s="108"/>
      <c r="K1033" s="31" t="str">
        <f t="shared" si="203"/>
        <v>运营中</v>
      </c>
      <c r="L1033" s="108"/>
      <c r="M1033" s="108"/>
      <c r="N1033" s="17"/>
      <c r="O1033" s="36">
        <v>43567</v>
      </c>
      <c r="P1033" s="17" t="s">
        <v>257</v>
      </c>
      <c r="Q1033" s="17" t="s">
        <v>1115</v>
      </c>
      <c r="R1033" s="17" t="s">
        <v>3560</v>
      </c>
      <c r="S1033" s="108"/>
      <c r="T1033" s="108"/>
      <c r="U1033" s="111"/>
      <c r="V1033" s="108"/>
      <c r="W1033" s="108"/>
      <c r="X1033" s="108"/>
    </row>
    <row r="1034" spans="1:25" s="26" customFormat="1" hidden="1">
      <c r="A1034" s="33"/>
      <c r="B1034" s="108"/>
      <c r="C1034" s="108"/>
      <c r="D1034" s="31" t="str">
        <f t="shared" si="202"/>
        <v>康立明生物</v>
      </c>
      <c r="E1034" s="108"/>
      <c r="F1034" s="111"/>
      <c r="G1034" s="108"/>
      <c r="H1034" s="108"/>
      <c r="I1034" s="108"/>
      <c r="J1034" s="108"/>
      <c r="K1034" s="31" t="str">
        <f t="shared" si="203"/>
        <v>运营中</v>
      </c>
      <c r="L1034" s="108"/>
      <c r="M1034" s="108"/>
      <c r="N1034" s="17"/>
      <c r="O1034" s="36">
        <v>42929</v>
      </c>
      <c r="P1034" s="17" t="s">
        <v>262</v>
      </c>
      <c r="Q1034" s="12" t="s">
        <v>252</v>
      </c>
      <c r="R1034" s="12" t="s">
        <v>3561</v>
      </c>
      <c r="S1034" s="108"/>
      <c r="T1034" s="108"/>
      <c r="U1034" s="111"/>
      <c r="V1034" s="108"/>
      <c r="W1034" s="108"/>
      <c r="X1034" s="108"/>
    </row>
    <row r="1035" spans="1:25" s="26" customFormat="1" hidden="1">
      <c r="A1035" s="33"/>
      <c r="B1035" s="108"/>
      <c r="C1035" s="108"/>
      <c r="D1035" s="31" t="str">
        <f t="shared" si="202"/>
        <v>康立明生物</v>
      </c>
      <c r="E1035" s="108"/>
      <c r="F1035" s="111"/>
      <c r="G1035" s="108"/>
      <c r="H1035" s="108"/>
      <c r="I1035" s="108"/>
      <c r="J1035" s="108"/>
      <c r="K1035" s="31" t="str">
        <f t="shared" si="203"/>
        <v>运营中</v>
      </c>
      <c r="L1035" s="108"/>
      <c r="M1035" s="108"/>
      <c r="N1035" s="17"/>
      <c r="O1035" s="36">
        <v>42546</v>
      </c>
      <c r="P1035" s="17" t="s">
        <v>721</v>
      </c>
      <c r="Q1035" s="12" t="s">
        <v>252</v>
      </c>
      <c r="R1035" s="12" t="s">
        <v>3562</v>
      </c>
      <c r="S1035" s="108"/>
      <c r="T1035" s="108"/>
      <c r="U1035" s="111"/>
      <c r="V1035" s="108"/>
      <c r="W1035" s="108"/>
      <c r="X1035" s="108"/>
    </row>
    <row r="1036" spans="1:25" s="26" customFormat="1" hidden="1">
      <c r="A1036" s="33"/>
      <c r="B1036" s="108"/>
      <c r="C1036" s="108"/>
      <c r="D1036" s="31" t="str">
        <f t="shared" si="202"/>
        <v>康立明生物</v>
      </c>
      <c r="E1036" s="108"/>
      <c r="F1036" s="111"/>
      <c r="G1036" s="108"/>
      <c r="H1036" s="108"/>
      <c r="I1036" s="108"/>
      <c r="J1036" s="108"/>
      <c r="K1036" s="31" t="str">
        <f t="shared" si="203"/>
        <v>运营中</v>
      </c>
      <c r="L1036" s="108"/>
      <c r="M1036" s="108"/>
      <c r="N1036" s="17"/>
      <c r="O1036" s="36">
        <v>42016</v>
      </c>
      <c r="P1036" s="12" t="s">
        <v>326</v>
      </c>
      <c r="Q1036" s="12" t="s">
        <v>327</v>
      </c>
      <c r="R1036" s="12" t="s">
        <v>3563</v>
      </c>
      <c r="S1036" s="108"/>
      <c r="T1036" s="108"/>
      <c r="U1036" s="111"/>
      <c r="V1036" s="108"/>
      <c r="W1036" s="108"/>
      <c r="X1036" s="108"/>
    </row>
    <row r="1037" spans="1:25" s="26" customFormat="1" hidden="1">
      <c r="A1037" s="33"/>
      <c r="B1037" s="108"/>
      <c r="C1037" s="108" t="s">
        <v>1401</v>
      </c>
      <c r="D1037" s="31" t="s">
        <v>3564</v>
      </c>
      <c r="E1037" s="107" t="s">
        <v>3564</v>
      </c>
      <c r="F1037" s="110" t="s">
        <v>3565</v>
      </c>
      <c r="G1037" s="107" t="s">
        <v>3566</v>
      </c>
      <c r="H1037" s="108" t="s">
        <v>3567</v>
      </c>
      <c r="I1037" s="108" t="s">
        <v>3568</v>
      </c>
      <c r="J1037" s="107" t="s">
        <v>2431</v>
      </c>
      <c r="K1037" s="31" t="s">
        <v>272</v>
      </c>
      <c r="L1037" s="107" t="s">
        <v>512</v>
      </c>
      <c r="M1037" s="107" t="s">
        <v>1483</v>
      </c>
      <c r="N1037" s="12">
        <v>1</v>
      </c>
      <c r="O1037" s="36">
        <v>44103</v>
      </c>
      <c r="P1037" s="17" t="s">
        <v>283</v>
      </c>
      <c r="Q1037" s="17" t="s">
        <v>3569</v>
      </c>
      <c r="R1037" s="17" t="s">
        <v>253</v>
      </c>
      <c r="S1037" s="108" t="s">
        <v>3570</v>
      </c>
      <c r="T1037" s="108" t="s">
        <v>3571</v>
      </c>
      <c r="U1037" s="110" t="s">
        <v>3572</v>
      </c>
      <c r="V1037" s="107" t="s">
        <v>3573</v>
      </c>
      <c r="W1037" s="108">
        <v>95311</v>
      </c>
      <c r="X1037" s="108" t="s">
        <v>3574</v>
      </c>
    </row>
    <row r="1038" spans="1:25" s="26" customFormat="1" hidden="1">
      <c r="A1038" s="33"/>
      <c r="B1038" s="108"/>
      <c r="C1038" s="108"/>
      <c r="D1038" s="31" t="str">
        <f>D1037</f>
        <v>中通快递</v>
      </c>
      <c r="E1038" s="108"/>
      <c r="F1038" s="111"/>
      <c r="G1038" s="108"/>
      <c r="H1038" s="108"/>
      <c r="I1038" s="108"/>
      <c r="J1038" s="108"/>
      <c r="K1038" s="31" t="str">
        <f t="shared" ref="K1038:K1041" si="204">K1037</f>
        <v>运营中</v>
      </c>
      <c r="L1038" s="108"/>
      <c r="M1038" s="108"/>
      <c r="N1038" s="12">
        <v>1</v>
      </c>
      <c r="O1038" s="36">
        <v>43250</v>
      </c>
      <c r="P1038" s="17" t="s">
        <v>687</v>
      </c>
      <c r="Q1038" s="17" t="s">
        <v>3575</v>
      </c>
      <c r="R1038" s="12" t="s">
        <v>3576</v>
      </c>
      <c r="S1038" s="108"/>
      <c r="T1038" s="108"/>
      <c r="U1038" s="111"/>
      <c r="V1038" s="108"/>
      <c r="W1038" s="108"/>
      <c r="X1038" s="108"/>
    </row>
    <row r="1039" spans="1:25" s="26" customFormat="1" hidden="1">
      <c r="A1039" s="33"/>
      <c r="B1039" s="108"/>
      <c r="C1039" s="108"/>
      <c r="D1039" s="31" t="str">
        <f>D1038</f>
        <v>中通快递</v>
      </c>
      <c r="E1039" s="108"/>
      <c r="F1039" s="111"/>
      <c r="G1039" s="108"/>
      <c r="H1039" s="108"/>
      <c r="I1039" s="108"/>
      <c r="J1039" s="108"/>
      <c r="K1039" s="31" t="str">
        <f t="shared" si="204"/>
        <v>运营中</v>
      </c>
      <c r="L1039" s="108"/>
      <c r="M1039" s="108"/>
      <c r="N1039" s="12">
        <v>1</v>
      </c>
      <c r="O1039" s="36">
        <v>42670</v>
      </c>
      <c r="P1039" s="17" t="s">
        <v>283</v>
      </c>
      <c r="Q1039" s="17" t="s">
        <v>2913</v>
      </c>
      <c r="R1039" s="17" t="s">
        <v>253</v>
      </c>
      <c r="S1039" s="108"/>
      <c r="T1039" s="108"/>
      <c r="U1039" s="111"/>
      <c r="V1039" s="108"/>
      <c r="W1039" s="108"/>
      <c r="X1039" s="108"/>
    </row>
    <row r="1040" spans="1:25" s="26" customFormat="1" hidden="1">
      <c r="A1040" s="33"/>
      <c r="B1040" s="108"/>
      <c r="C1040" s="108"/>
      <c r="D1040" s="31" t="str">
        <f>D1039</f>
        <v>中通快递</v>
      </c>
      <c r="E1040" s="108"/>
      <c r="F1040" s="111"/>
      <c r="G1040" s="108"/>
      <c r="H1040" s="108"/>
      <c r="I1040" s="108"/>
      <c r="J1040" s="108"/>
      <c r="K1040" s="31" t="str">
        <f t="shared" si="204"/>
        <v>运营中</v>
      </c>
      <c r="L1040" s="108"/>
      <c r="M1040" s="108"/>
      <c r="N1040" s="12">
        <v>1</v>
      </c>
      <c r="O1040" s="36">
        <v>42164</v>
      </c>
      <c r="P1040" s="17" t="s">
        <v>257</v>
      </c>
      <c r="Q1040" s="17" t="s">
        <v>1194</v>
      </c>
      <c r="R1040" s="12" t="s">
        <v>3577</v>
      </c>
      <c r="S1040" s="108"/>
      <c r="T1040" s="108"/>
      <c r="U1040" s="111"/>
      <c r="V1040" s="108"/>
      <c r="W1040" s="108"/>
      <c r="X1040" s="108"/>
    </row>
    <row r="1041" spans="1:24" s="26" customFormat="1" hidden="1">
      <c r="A1041" s="33"/>
      <c r="B1041" s="108"/>
      <c r="C1041" s="108"/>
      <c r="D1041" s="31" t="str">
        <f>D1040</f>
        <v>中通快递</v>
      </c>
      <c r="E1041" s="108"/>
      <c r="F1041" s="111"/>
      <c r="G1041" s="108"/>
      <c r="H1041" s="108"/>
      <c r="I1041" s="108"/>
      <c r="J1041" s="108"/>
      <c r="K1041" s="31" t="str">
        <f t="shared" si="204"/>
        <v>运营中</v>
      </c>
      <c r="L1041" s="108"/>
      <c r="M1041" s="108"/>
      <c r="N1041" s="12">
        <v>1</v>
      </c>
      <c r="O1041" s="36">
        <v>41411</v>
      </c>
      <c r="P1041" s="17" t="s">
        <v>262</v>
      </c>
      <c r="Q1041" s="12" t="s">
        <v>341</v>
      </c>
      <c r="R1041" s="12" t="s">
        <v>3578</v>
      </c>
      <c r="S1041" s="108"/>
      <c r="T1041" s="108"/>
      <c r="U1041" s="111"/>
      <c r="V1041" s="108"/>
      <c r="W1041" s="108"/>
      <c r="X1041" s="108"/>
    </row>
    <row r="1042" spans="1:24" s="26" customFormat="1" hidden="1">
      <c r="A1042" s="33"/>
      <c r="B1042" s="108"/>
      <c r="C1042" s="108" t="s">
        <v>3579</v>
      </c>
      <c r="D1042" s="31" t="s">
        <v>3580</v>
      </c>
      <c r="E1042" s="107" t="s">
        <v>3580</v>
      </c>
      <c r="F1042" s="110" t="s">
        <v>3581</v>
      </c>
      <c r="G1042" s="107" t="s">
        <v>3582</v>
      </c>
      <c r="H1042" s="108" t="s">
        <v>3583</v>
      </c>
      <c r="I1042" s="108" t="s">
        <v>3584</v>
      </c>
      <c r="J1042" s="107" t="s">
        <v>247</v>
      </c>
      <c r="K1042" s="31" t="s">
        <v>272</v>
      </c>
      <c r="L1042" s="107" t="s">
        <v>273</v>
      </c>
      <c r="M1042" s="107" t="s">
        <v>274</v>
      </c>
      <c r="N1042" s="12">
        <v>1</v>
      </c>
      <c r="O1042" s="36">
        <v>44509</v>
      </c>
      <c r="P1042" s="12" t="s">
        <v>285</v>
      </c>
      <c r="Q1042" s="17" t="s">
        <v>1590</v>
      </c>
      <c r="R1042" s="12" t="s">
        <v>586</v>
      </c>
      <c r="S1042" s="108" t="s">
        <v>3585</v>
      </c>
      <c r="T1042" s="108" t="s">
        <v>3586</v>
      </c>
      <c r="U1042" s="110" t="s">
        <v>3587</v>
      </c>
      <c r="V1042" s="107" t="s">
        <v>3588</v>
      </c>
      <c r="W1042" s="108" t="s">
        <v>3589</v>
      </c>
      <c r="X1042" s="108" t="s">
        <v>3590</v>
      </c>
    </row>
    <row r="1043" spans="1:24" s="26" customFormat="1" hidden="1">
      <c r="A1043" s="33"/>
      <c r="B1043" s="108"/>
      <c r="C1043" s="108"/>
      <c r="D1043" s="31" t="str">
        <f t="shared" ref="D1043:D1052" si="205">D1042</f>
        <v>哈啰</v>
      </c>
      <c r="E1043" s="108"/>
      <c r="F1043" s="111"/>
      <c r="G1043" s="108"/>
      <c r="H1043" s="108"/>
      <c r="I1043" s="108"/>
      <c r="J1043" s="108"/>
      <c r="K1043" s="31" t="str">
        <f t="shared" ref="K1043:K1052" si="206">K1042</f>
        <v>运营中</v>
      </c>
      <c r="L1043" s="108"/>
      <c r="M1043" s="108"/>
      <c r="N1043" s="12">
        <v>1</v>
      </c>
      <c r="O1043" s="36">
        <v>43662</v>
      </c>
      <c r="P1043" s="12" t="s">
        <v>285</v>
      </c>
      <c r="Q1043" s="17" t="s">
        <v>301</v>
      </c>
      <c r="R1043" s="12" t="s">
        <v>2229</v>
      </c>
      <c r="S1043" s="108"/>
      <c r="T1043" s="108"/>
      <c r="U1043" s="111"/>
      <c r="V1043" s="108"/>
      <c r="W1043" s="108"/>
      <c r="X1043" s="108"/>
    </row>
    <row r="1044" spans="1:24" s="26" customFormat="1" hidden="1">
      <c r="A1044" s="33"/>
      <c r="B1044" s="108"/>
      <c r="C1044" s="108"/>
      <c r="D1044" s="31" t="str">
        <f t="shared" si="205"/>
        <v>哈啰</v>
      </c>
      <c r="E1044" s="108"/>
      <c r="F1044" s="111"/>
      <c r="G1044" s="108"/>
      <c r="H1044" s="108"/>
      <c r="I1044" s="108"/>
      <c r="J1044" s="108"/>
      <c r="K1044" s="31" t="str">
        <f t="shared" si="206"/>
        <v>运营中</v>
      </c>
      <c r="L1044" s="108"/>
      <c r="M1044" s="108"/>
      <c r="N1044" s="12">
        <v>1</v>
      </c>
      <c r="O1044" s="36">
        <v>43346</v>
      </c>
      <c r="P1044" s="12" t="s">
        <v>285</v>
      </c>
      <c r="Q1044" s="17" t="s">
        <v>3022</v>
      </c>
      <c r="R1044" s="12" t="s">
        <v>3591</v>
      </c>
      <c r="S1044" s="108"/>
      <c r="T1044" s="108"/>
      <c r="U1044" s="111"/>
      <c r="V1044" s="108"/>
      <c r="W1044" s="108"/>
      <c r="X1044" s="108"/>
    </row>
    <row r="1045" spans="1:24" s="26" customFormat="1" hidden="1">
      <c r="A1045" s="33"/>
      <c r="B1045" s="108"/>
      <c r="C1045" s="108"/>
      <c r="D1045" s="31" t="str">
        <f t="shared" si="205"/>
        <v>哈啰</v>
      </c>
      <c r="E1045" s="108"/>
      <c r="F1045" s="111"/>
      <c r="G1045" s="108"/>
      <c r="H1045" s="108"/>
      <c r="I1045" s="108"/>
      <c r="J1045" s="108"/>
      <c r="K1045" s="31" t="str">
        <f t="shared" si="206"/>
        <v>运营中</v>
      </c>
      <c r="L1045" s="108"/>
      <c r="M1045" s="108"/>
      <c r="N1045" s="12">
        <v>1</v>
      </c>
      <c r="O1045" s="36">
        <v>43252</v>
      </c>
      <c r="P1045" s="17" t="s">
        <v>303</v>
      </c>
      <c r="Q1045" s="17" t="s">
        <v>1239</v>
      </c>
      <c r="R1045" s="12" t="s">
        <v>2229</v>
      </c>
      <c r="S1045" s="108"/>
      <c r="T1045" s="108"/>
      <c r="U1045" s="111"/>
      <c r="V1045" s="108"/>
      <c r="W1045" s="108"/>
      <c r="X1045" s="108"/>
    </row>
    <row r="1046" spans="1:24" s="26" customFormat="1" hidden="1">
      <c r="A1046" s="33"/>
      <c r="B1046" s="108"/>
      <c r="C1046" s="108"/>
      <c r="D1046" s="31" t="str">
        <f t="shared" si="205"/>
        <v>哈啰</v>
      </c>
      <c r="E1046" s="108"/>
      <c r="F1046" s="111"/>
      <c r="G1046" s="108"/>
      <c r="H1046" s="108"/>
      <c r="I1046" s="108"/>
      <c r="J1046" s="108"/>
      <c r="K1046" s="31" t="str">
        <f t="shared" si="206"/>
        <v>运营中</v>
      </c>
      <c r="L1046" s="108"/>
      <c r="M1046" s="108"/>
      <c r="N1046" s="12">
        <v>1</v>
      </c>
      <c r="O1046" s="36">
        <v>43203</v>
      </c>
      <c r="P1046" s="17" t="s">
        <v>310</v>
      </c>
      <c r="Q1046" s="17" t="s">
        <v>318</v>
      </c>
      <c r="R1046" s="12" t="s">
        <v>3592</v>
      </c>
      <c r="S1046" s="108"/>
      <c r="T1046" s="108"/>
      <c r="U1046" s="111"/>
      <c r="V1046" s="108"/>
      <c r="W1046" s="108"/>
      <c r="X1046" s="108"/>
    </row>
    <row r="1047" spans="1:24" s="26" customFormat="1" hidden="1">
      <c r="A1047" s="33"/>
      <c r="B1047" s="108"/>
      <c r="C1047" s="108"/>
      <c r="D1047" s="31" t="str">
        <f t="shared" si="205"/>
        <v>哈啰</v>
      </c>
      <c r="E1047" s="108"/>
      <c r="F1047" s="111"/>
      <c r="G1047" s="108"/>
      <c r="H1047" s="108"/>
      <c r="I1047" s="108"/>
      <c r="J1047" s="108"/>
      <c r="K1047" s="31" t="str">
        <f t="shared" si="206"/>
        <v>运营中</v>
      </c>
      <c r="L1047" s="108"/>
      <c r="M1047" s="108"/>
      <c r="N1047" s="12">
        <v>1</v>
      </c>
      <c r="O1047" s="36">
        <v>43073</v>
      </c>
      <c r="P1047" s="17" t="s">
        <v>317</v>
      </c>
      <c r="Q1047" s="17" t="s">
        <v>984</v>
      </c>
      <c r="R1047" s="12" t="s">
        <v>3593</v>
      </c>
      <c r="S1047" s="108"/>
      <c r="T1047" s="108"/>
      <c r="U1047" s="111"/>
      <c r="V1047" s="108"/>
      <c r="W1047" s="108"/>
      <c r="X1047" s="108"/>
    </row>
    <row r="1048" spans="1:24" s="26" customFormat="1" hidden="1">
      <c r="A1048" s="33"/>
      <c r="B1048" s="108"/>
      <c r="C1048" s="108"/>
      <c r="D1048" s="31" t="str">
        <f t="shared" si="205"/>
        <v>哈啰</v>
      </c>
      <c r="E1048" s="108"/>
      <c r="F1048" s="111"/>
      <c r="G1048" s="108"/>
      <c r="H1048" s="108"/>
      <c r="I1048" s="108"/>
      <c r="J1048" s="108"/>
      <c r="K1048" s="31" t="str">
        <f t="shared" si="206"/>
        <v>运营中</v>
      </c>
      <c r="L1048" s="108"/>
      <c r="M1048" s="108"/>
      <c r="N1048" s="12">
        <v>1</v>
      </c>
      <c r="O1048" s="36">
        <v>43032</v>
      </c>
      <c r="P1048" s="12" t="s">
        <v>313</v>
      </c>
      <c r="Q1048" s="12" t="s">
        <v>252</v>
      </c>
      <c r="R1048" s="12" t="s">
        <v>3594</v>
      </c>
      <c r="S1048" s="108"/>
      <c r="T1048" s="108"/>
      <c r="U1048" s="111"/>
      <c r="V1048" s="108"/>
      <c r="W1048" s="108"/>
      <c r="X1048" s="108"/>
    </row>
    <row r="1049" spans="1:24" s="26" customFormat="1" hidden="1">
      <c r="A1049" s="33"/>
      <c r="B1049" s="108"/>
      <c r="C1049" s="108"/>
      <c r="D1049" s="31" t="str">
        <f t="shared" si="205"/>
        <v>哈啰</v>
      </c>
      <c r="E1049" s="108"/>
      <c r="F1049" s="111"/>
      <c r="G1049" s="108"/>
      <c r="H1049" s="108"/>
      <c r="I1049" s="108"/>
      <c r="J1049" s="108"/>
      <c r="K1049" s="31" t="str">
        <f t="shared" si="206"/>
        <v>运营中</v>
      </c>
      <c r="L1049" s="108"/>
      <c r="M1049" s="108"/>
      <c r="N1049" s="12">
        <v>1</v>
      </c>
      <c r="O1049" s="36">
        <v>42915</v>
      </c>
      <c r="P1049" s="17" t="s">
        <v>565</v>
      </c>
      <c r="Q1049" s="12" t="s">
        <v>409</v>
      </c>
      <c r="R1049" s="12" t="s">
        <v>3595</v>
      </c>
      <c r="S1049" s="108"/>
      <c r="T1049" s="108"/>
      <c r="U1049" s="111"/>
      <c r="V1049" s="108"/>
      <c r="W1049" s="108"/>
      <c r="X1049" s="108"/>
    </row>
    <row r="1050" spans="1:24" s="26" customFormat="1" hidden="1">
      <c r="A1050" s="33"/>
      <c r="B1050" s="108"/>
      <c r="C1050" s="108"/>
      <c r="D1050" s="31" t="str">
        <f t="shared" si="205"/>
        <v>哈啰</v>
      </c>
      <c r="E1050" s="108"/>
      <c r="F1050" s="111"/>
      <c r="G1050" s="108"/>
      <c r="H1050" s="108"/>
      <c r="I1050" s="108"/>
      <c r="J1050" s="108"/>
      <c r="K1050" s="31" t="str">
        <f t="shared" si="206"/>
        <v>运营中</v>
      </c>
      <c r="L1050" s="108"/>
      <c r="M1050" s="108"/>
      <c r="N1050" s="12">
        <v>1</v>
      </c>
      <c r="O1050" s="36">
        <v>42842</v>
      </c>
      <c r="P1050" s="17" t="s">
        <v>257</v>
      </c>
      <c r="Q1050" s="12" t="s">
        <v>409</v>
      </c>
      <c r="R1050" s="12" t="s">
        <v>3596</v>
      </c>
      <c r="S1050" s="108"/>
      <c r="T1050" s="108"/>
      <c r="U1050" s="111"/>
      <c r="V1050" s="108"/>
      <c r="W1050" s="108"/>
      <c r="X1050" s="108"/>
    </row>
    <row r="1051" spans="1:24" s="26" customFormat="1" hidden="1">
      <c r="A1051" s="33"/>
      <c r="B1051" s="108"/>
      <c r="C1051" s="108"/>
      <c r="D1051" s="31" t="str">
        <f t="shared" si="205"/>
        <v>哈啰</v>
      </c>
      <c r="E1051" s="108"/>
      <c r="F1051" s="111"/>
      <c r="G1051" s="108"/>
      <c r="H1051" s="108"/>
      <c r="I1051" s="108"/>
      <c r="J1051" s="108"/>
      <c r="K1051" s="31" t="str">
        <f t="shared" si="206"/>
        <v>运营中</v>
      </c>
      <c r="L1051" s="108"/>
      <c r="M1051" s="108"/>
      <c r="N1051" s="12">
        <v>1</v>
      </c>
      <c r="O1051" s="36">
        <v>42747</v>
      </c>
      <c r="P1051" s="17" t="s">
        <v>260</v>
      </c>
      <c r="Q1051" s="12" t="s">
        <v>341</v>
      </c>
      <c r="R1051" s="17" t="s">
        <v>3597</v>
      </c>
      <c r="S1051" s="108"/>
      <c r="T1051" s="108"/>
      <c r="U1051" s="111"/>
      <c r="V1051" s="108"/>
      <c r="W1051" s="108"/>
      <c r="X1051" s="108"/>
    </row>
    <row r="1052" spans="1:24" s="26" customFormat="1" hidden="1">
      <c r="A1052" s="33"/>
      <c r="B1052" s="108"/>
      <c r="C1052" s="108"/>
      <c r="D1052" s="31" t="str">
        <f t="shared" si="205"/>
        <v>哈啰</v>
      </c>
      <c r="E1052" s="108"/>
      <c r="F1052" s="111"/>
      <c r="G1052" s="108"/>
      <c r="H1052" s="108"/>
      <c r="I1052" s="108"/>
      <c r="J1052" s="108"/>
      <c r="K1052" s="31" t="str">
        <f t="shared" si="206"/>
        <v>运营中</v>
      </c>
      <c r="L1052" s="108"/>
      <c r="M1052" s="108"/>
      <c r="N1052" s="12">
        <v>1</v>
      </c>
      <c r="O1052" s="36">
        <v>42678</v>
      </c>
      <c r="P1052" s="17" t="s">
        <v>262</v>
      </c>
      <c r="Q1052" s="12" t="s">
        <v>341</v>
      </c>
      <c r="R1052" s="17" t="s">
        <v>3598</v>
      </c>
      <c r="S1052" s="108"/>
      <c r="T1052" s="108"/>
      <c r="U1052" s="111"/>
      <c r="V1052" s="108"/>
      <c r="W1052" s="108"/>
      <c r="X1052" s="108"/>
    </row>
    <row r="1053" spans="1:24" s="26" customFormat="1" hidden="1">
      <c r="A1053" s="33"/>
      <c r="B1053" s="108"/>
      <c r="C1053" s="108" t="s">
        <v>3599</v>
      </c>
      <c r="D1053" s="31" t="s">
        <v>3600</v>
      </c>
      <c r="E1053" s="108" t="s">
        <v>3600</v>
      </c>
      <c r="F1053" s="111" t="s">
        <v>3601</v>
      </c>
      <c r="G1053" s="108" t="s">
        <v>3602</v>
      </c>
      <c r="H1053" s="108" t="s">
        <v>3603</v>
      </c>
      <c r="I1053" s="108" t="s">
        <v>3332</v>
      </c>
      <c r="J1053" s="107" t="s">
        <v>3604</v>
      </c>
      <c r="K1053" s="31" t="s">
        <v>272</v>
      </c>
      <c r="L1053" s="107" t="s">
        <v>3605</v>
      </c>
      <c r="M1053" s="107" t="s">
        <v>3606</v>
      </c>
      <c r="N1053" s="12"/>
      <c r="O1053" s="36">
        <v>43712</v>
      </c>
      <c r="P1053" s="17" t="s">
        <v>262</v>
      </c>
      <c r="Q1053" s="17" t="s">
        <v>324</v>
      </c>
      <c r="R1053" s="12" t="s">
        <v>3607</v>
      </c>
      <c r="S1053" s="108" t="s">
        <v>3608</v>
      </c>
      <c r="T1053" s="108" t="s">
        <v>376</v>
      </c>
      <c r="U1053" s="111"/>
      <c r="V1053" s="108"/>
      <c r="W1053" s="108"/>
      <c r="X1053" s="108"/>
    </row>
    <row r="1054" spans="1:24" s="26" customFormat="1" hidden="1">
      <c r="A1054" s="33"/>
      <c r="B1054" s="108"/>
      <c r="C1054" s="108"/>
      <c r="D1054" s="31" t="str">
        <f>D1053</f>
        <v>Bitmark</v>
      </c>
      <c r="E1054" s="108"/>
      <c r="F1054" s="111"/>
      <c r="G1054" s="108"/>
      <c r="H1054" s="108"/>
      <c r="I1054" s="108"/>
      <c r="J1054" s="108"/>
      <c r="K1054" s="31" t="str">
        <f>K1053</f>
        <v>运营中</v>
      </c>
      <c r="L1054" s="108"/>
      <c r="M1054" s="108"/>
      <c r="N1054" s="17"/>
      <c r="O1054" s="36">
        <v>42692</v>
      </c>
      <c r="P1054" s="12" t="s">
        <v>437</v>
      </c>
      <c r="Q1054" s="17" t="s">
        <v>3609</v>
      </c>
      <c r="R1054" s="12" t="s">
        <v>3610</v>
      </c>
      <c r="S1054" s="108"/>
      <c r="T1054" s="108"/>
      <c r="U1054" s="111"/>
      <c r="V1054" s="108"/>
      <c r="W1054" s="108"/>
      <c r="X1054" s="108"/>
    </row>
    <row r="1055" spans="1:24" s="26" customFormat="1" hidden="1">
      <c r="A1055" s="33"/>
      <c r="B1055" s="108"/>
      <c r="C1055" s="108" t="s">
        <v>3611</v>
      </c>
      <c r="D1055" s="31" t="s">
        <v>3612</v>
      </c>
      <c r="E1055" s="107" t="s">
        <v>3612</v>
      </c>
      <c r="F1055" s="110" t="s">
        <v>3613</v>
      </c>
      <c r="G1055" s="107" t="s">
        <v>3614</v>
      </c>
      <c r="H1055" s="108" t="s">
        <v>3615</v>
      </c>
      <c r="I1055" s="108" t="s">
        <v>3616</v>
      </c>
      <c r="J1055" s="107" t="s">
        <v>3617</v>
      </c>
      <c r="K1055" s="31" t="s">
        <v>272</v>
      </c>
      <c r="L1055" s="107" t="s">
        <v>350</v>
      </c>
      <c r="M1055" s="107" t="s">
        <v>617</v>
      </c>
      <c r="N1055" s="12">
        <v>1</v>
      </c>
      <c r="O1055" s="36">
        <v>42692</v>
      </c>
      <c r="P1055" s="17" t="s">
        <v>687</v>
      </c>
      <c r="Q1055" s="17" t="s">
        <v>3618</v>
      </c>
      <c r="R1055" s="12" t="s">
        <v>240</v>
      </c>
      <c r="S1055" s="108" t="s">
        <v>3619</v>
      </c>
      <c r="T1055" s="108" t="s">
        <v>3620</v>
      </c>
      <c r="U1055" s="110" t="s">
        <v>3621</v>
      </c>
      <c r="V1055" s="107" t="s">
        <v>3622</v>
      </c>
      <c r="W1055" s="108" t="s">
        <v>3623</v>
      </c>
      <c r="X1055" s="108" t="s">
        <v>3624</v>
      </c>
    </row>
    <row r="1056" spans="1:24" s="26" customFormat="1" hidden="1">
      <c r="A1056" s="33"/>
      <c r="B1056" s="108"/>
      <c r="C1056" s="108"/>
      <c r="D1056" s="31" t="str">
        <f>D1055</f>
        <v>三江购物</v>
      </c>
      <c r="E1056" s="108"/>
      <c r="F1056" s="111"/>
      <c r="G1056" s="108"/>
      <c r="H1056" s="108"/>
      <c r="I1056" s="108"/>
      <c r="J1056" s="108"/>
      <c r="K1056" s="31" t="str">
        <f>K1055</f>
        <v>运营中</v>
      </c>
      <c r="L1056" s="108"/>
      <c r="M1056" s="108"/>
      <c r="N1056" s="12">
        <v>1</v>
      </c>
      <c r="O1056" s="36">
        <v>40604</v>
      </c>
      <c r="P1056" s="17" t="s">
        <v>283</v>
      </c>
      <c r="Q1056" s="12" t="s">
        <v>409</v>
      </c>
      <c r="R1056" s="17" t="s">
        <v>253</v>
      </c>
      <c r="S1056" s="108"/>
      <c r="T1056" s="108"/>
      <c r="U1056" s="111"/>
      <c r="V1056" s="108"/>
      <c r="W1056" s="108"/>
      <c r="X1056" s="108"/>
    </row>
    <row r="1057" spans="1:25" s="26" customFormat="1" hidden="1">
      <c r="A1057" s="33"/>
      <c r="B1057" s="108"/>
      <c r="C1057" s="108" t="s">
        <v>3625</v>
      </c>
      <c r="D1057" s="31" t="s">
        <v>3626</v>
      </c>
      <c r="E1057" s="108" t="s">
        <v>3626</v>
      </c>
      <c r="F1057" s="111" t="s">
        <v>3627</v>
      </c>
      <c r="G1057" s="108"/>
      <c r="H1057" s="108" t="s">
        <v>3628</v>
      </c>
      <c r="I1057" s="108" t="s">
        <v>3629</v>
      </c>
      <c r="J1057" s="107" t="s">
        <v>1564</v>
      </c>
      <c r="K1057" s="31" t="s">
        <v>272</v>
      </c>
      <c r="L1057" s="107" t="s">
        <v>944</v>
      </c>
      <c r="M1057" s="107" t="s">
        <v>1423</v>
      </c>
      <c r="N1057" s="12">
        <v>1</v>
      </c>
      <c r="O1057" s="36">
        <v>43627</v>
      </c>
      <c r="P1057" s="12" t="s">
        <v>471</v>
      </c>
      <c r="Q1057" s="12" t="s">
        <v>276</v>
      </c>
      <c r="R1057" s="12" t="s">
        <v>3630</v>
      </c>
      <c r="S1057" s="108" t="s">
        <v>3631</v>
      </c>
      <c r="T1057" s="107" t="s">
        <v>255</v>
      </c>
      <c r="U1057" s="111" t="s">
        <v>3632</v>
      </c>
      <c r="V1057" s="108"/>
      <c r="W1057" s="108"/>
      <c r="X1057" s="108" t="s">
        <v>3633</v>
      </c>
    </row>
    <row r="1058" spans="1:25" s="26" customFormat="1" hidden="1">
      <c r="A1058" s="33"/>
      <c r="B1058" s="108"/>
      <c r="C1058" s="108"/>
      <c r="D1058" s="31" t="str">
        <f>D1057</f>
        <v>Barefoot</v>
      </c>
      <c r="E1058" s="108"/>
      <c r="F1058" s="111"/>
      <c r="G1058" s="108"/>
      <c r="H1058" s="108"/>
      <c r="I1058" s="108"/>
      <c r="J1058" s="108"/>
      <c r="K1058" s="31" t="str">
        <f t="shared" ref="K1058:K1059" si="207">K1057</f>
        <v>运营中</v>
      </c>
      <c r="L1058" s="108"/>
      <c r="M1058" s="108"/>
      <c r="N1058" s="12">
        <v>1</v>
      </c>
      <c r="O1058" s="36">
        <v>42697</v>
      </c>
      <c r="P1058" s="12" t="s">
        <v>285</v>
      </c>
      <c r="Q1058" s="17" t="s">
        <v>3634</v>
      </c>
      <c r="R1058" s="12" t="s">
        <v>810</v>
      </c>
      <c r="S1058" s="108"/>
      <c r="T1058" s="108"/>
      <c r="U1058" s="111"/>
      <c r="V1058" s="108"/>
      <c r="W1058" s="108"/>
      <c r="X1058" s="108"/>
    </row>
    <row r="1059" spans="1:25" s="26" customFormat="1" hidden="1">
      <c r="A1059" s="33"/>
      <c r="B1059" s="108"/>
      <c r="C1059" s="108"/>
      <c r="D1059" s="31" t="str">
        <f>D1058</f>
        <v>Barefoot</v>
      </c>
      <c r="E1059" s="108"/>
      <c r="F1059" s="111"/>
      <c r="G1059" s="108"/>
      <c r="H1059" s="108"/>
      <c r="I1059" s="108"/>
      <c r="J1059" s="108"/>
      <c r="K1059" s="31" t="str">
        <f t="shared" si="207"/>
        <v>运营中</v>
      </c>
      <c r="L1059" s="108"/>
      <c r="M1059" s="108"/>
      <c r="N1059" s="12">
        <v>1</v>
      </c>
      <c r="O1059" s="36">
        <v>42532</v>
      </c>
      <c r="P1059" s="17" t="s">
        <v>257</v>
      </c>
      <c r="Q1059" s="17" t="s">
        <v>838</v>
      </c>
      <c r="R1059" s="12" t="s">
        <v>3635</v>
      </c>
      <c r="S1059" s="108"/>
      <c r="T1059" s="108"/>
      <c r="U1059" s="111"/>
      <c r="V1059" s="108"/>
      <c r="W1059" s="108"/>
      <c r="X1059" s="108"/>
    </row>
    <row r="1060" spans="1:25" s="26" customFormat="1" hidden="1">
      <c r="A1060" s="33"/>
      <c r="B1060" s="108"/>
      <c r="C1060" s="108" t="s">
        <v>3636</v>
      </c>
      <c r="D1060" s="31" t="s">
        <v>3637</v>
      </c>
      <c r="E1060" s="107" t="s">
        <v>3638</v>
      </c>
      <c r="F1060" s="110" t="s">
        <v>3639</v>
      </c>
      <c r="G1060" s="107" t="s">
        <v>3640</v>
      </c>
      <c r="H1060" s="108" t="s">
        <v>3641</v>
      </c>
      <c r="I1060" s="108" t="s">
        <v>3629</v>
      </c>
      <c r="J1060" s="107" t="s">
        <v>1192</v>
      </c>
      <c r="K1060" s="31" t="s">
        <v>272</v>
      </c>
      <c r="L1060" s="107" t="s">
        <v>944</v>
      </c>
      <c r="M1060" s="107" t="s">
        <v>3642</v>
      </c>
      <c r="N1060" s="12"/>
      <c r="O1060" s="36">
        <v>45128</v>
      </c>
      <c r="P1060" s="17" t="s">
        <v>251</v>
      </c>
      <c r="Q1060" s="12" t="s">
        <v>252</v>
      </c>
      <c r="R1060" s="12" t="s">
        <v>3643</v>
      </c>
      <c r="S1060" s="108" t="s">
        <v>472</v>
      </c>
      <c r="T1060" s="108" t="s">
        <v>1078</v>
      </c>
      <c r="U1060" s="110" t="s">
        <v>3644</v>
      </c>
      <c r="V1060" s="107" t="s">
        <v>3645</v>
      </c>
      <c r="W1060" s="108" t="s">
        <v>3646</v>
      </c>
      <c r="X1060" s="108" t="s">
        <v>3647</v>
      </c>
    </row>
    <row r="1061" spans="1:25" s="26" customFormat="1" ht="77.5" customHeight="1">
      <c r="A1061" s="11"/>
      <c r="B1061" s="108"/>
      <c r="C1061" s="108"/>
      <c r="D1061" s="31" t="str">
        <f>D1060</f>
        <v>霍曼HomeRun</v>
      </c>
      <c r="E1061" s="109"/>
      <c r="F1061" s="112"/>
      <c r="G1061" s="108"/>
      <c r="H1061" s="108"/>
      <c r="I1061" s="109"/>
      <c r="J1061" s="109"/>
      <c r="K1061" s="20" t="str">
        <f t="shared" ref="K1061:K1065" si="208">K1060</f>
        <v>运营中</v>
      </c>
      <c r="L1061" s="109"/>
      <c r="M1061" s="109"/>
      <c r="N1061" s="13"/>
      <c r="O1061" s="24">
        <v>44728</v>
      </c>
      <c r="P1061" s="13" t="s">
        <v>3648</v>
      </c>
      <c r="Q1061" s="13" t="s">
        <v>2030</v>
      </c>
      <c r="R1061" s="13" t="s">
        <v>3649</v>
      </c>
      <c r="S1061" s="109"/>
      <c r="T1061" s="109"/>
      <c r="U1061" s="112"/>
      <c r="V1061" s="108"/>
      <c r="W1061" s="108"/>
      <c r="X1061" s="108"/>
      <c r="Y1061" s="11"/>
    </row>
    <row r="1062" spans="1:25" s="26" customFormat="1" hidden="1">
      <c r="A1062" s="33"/>
      <c r="B1062" s="108"/>
      <c r="C1062" s="108"/>
      <c r="D1062" s="31" t="str">
        <f>D1061</f>
        <v>霍曼HomeRun</v>
      </c>
      <c r="E1062" s="108"/>
      <c r="F1062" s="111"/>
      <c r="G1062" s="108"/>
      <c r="H1062" s="108"/>
      <c r="I1062" s="108"/>
      <c r="J1062" s="108"/>
      <c r="K1062" s="31" t="str">
        <f t="shared" si="208"/>
        <v>运营中</v>
      </c>
      <c r="L1062" s="108"/>
      <c r="M1062" s="108"/>
      <c r="N1062" s="17"/>
      <c r="O1062" s="36">
        <v>44364</v>
      </c>
      <c r="P1062" s="17" t="s">
        <v>262</v>
      </c>
      <c r="Q1062" s="12" t="s">
        <v>252</v>
      </c>
      <c r="R1062" s="12" t="s">
        <v>3650</v>
      </c>
      <c r="S1062" s="108"/>
      <c r="T1062" s="108"/>
      <c r="U1062" s="111"/>
      <c r="V1062" s="108"/>
      <c r="W1062" s="108"/>
      <c r="X1062" s="108"/>
    </row>
    <row r="1063" spans="1:25" s="26" customFormat="1" hidden="1">
      <c r="A1063" s="33"/>
      <c r="B1063" s="108"/>
      <c r="C1063" s="108"/>
      <c r="D1063" s="31" t="str">
        <f>D1062</f>
        <v>霍曼HomeRun</v>
      </c>
      <c r="E1063" s="108"/>
      <c r="F1063" s="111"/>
      <c r="G1063" s="108"/>
      <c r="H1063" s="108"/>
      <c r="I1063" s="108"/>
      <c r="J1063" s="108"/>
      <c r="K1063" s="31" t="str">
        <f t="shared" si="208"/>
        <v>运营中</v>
      </c>
      <c r="L1063" s="108"/>
      <c r="M1063" s="108"/>
      <c r="N1063" s="17"/>
      <c r="O1063" s="36">
        <v>43598</v>
      </c>
      <c r="P1063" s="17" t="s">
        <v>721</v>
      </c>
      <c r="Q1063" s="17" t="s">
        <v>360</v>
      </c>
      <c r="R1063" s="12" t="s">
        <v>3651</v>
      </c>
      <c r="S1063" s="108"/>
      <c r="T1063" s="108"/>
      <c r="U1063" s="111"/>
      <c r="V1063" s="108"/>
      <c r="W1063" s="108"/>
      <c r="X1063" s="108"/>
    </row>
    <row r="1064" spans="1:25" s="26" customFormat="1" hidden="1">
      <c r="A1064" s="33"/>
      <c r="B1064" s="108"/>
      <c r="C1064" s="108"/>
      <c r="D1064" s="31" t="str">
        <f>D1063</f>
        <v>霍曼HomeRun</v>
      </c>
      <c r="E1064" s="108"/>
      <c r="F1064" s="111"/>
      <c r="G1064" s="108"/>
      <c r="H1064" s="108"/>
      <c r="I1064" s="108"/>
      <c r="J1064" s="108"/>
      <c r="K1064" s="31" t="str">
        <f t="shared" si="208"/>
        <v>运营中</v>
      </c>
      <c r="L1064" s="108"/>
      <c r="M1064" s="108"/>
      <c r="N1064" s="17"/>
      <c r="O1064" s="36">
        <v>42697</v>
      </c>
      <c r="P1064" s="17" t="s">
        <v>721</v>
      </c>
      <c r="Q1064" s="17" t="s">
        <v>2610</v>
      </c>
      <c r="R1064" s="12" t="s">
        <v>3652</v>
      </c>
      <c r="S1064" s="108"/>
      <c r="T1064" s="108"/>
      <c r="U1064" s="111"/>
      <c r="V1064" s="108"/>
      <c r="W1064" s="108"/>
      <c r="X1064" s="108"/>
    </row>
    <row r="1065" spans="1:25" s="26" customFormat="1" hidden="1">
      <c r="A1065" s="33"/>
      <c r="B1065" s="108"/>
      <c r="C1065" s="108"/>
      <c r="D1065" s="31" t="str">
        <f>D1064</f>
        <v>霍曼HomeRun</v>
      </c>
      <c r="E1065" s="108"/>
      <c r="F1065" s="111"/>
      <c r="G1065" s="108"/>
      <c r="H1065" s="108"/>
      <c r="I1065" s="108"/>
      <c r="J1065" s="108"/>
      <c r="K1065" s="31" t="str">
        <f t="shared" si="208"/>
        <v>运营中</v>
      </c>
      <c r="L1065" s="108"/>
      <c r="M1065" s="108"/>
      <c r="N1065" s="17"/>
      <c r="O1065" s="36">
        <v>42186</v>
      </c>
      <c r="P1065" s="12" t="s">
        <v>326</v>
      </c>
      <c r="Q1065" s="17" t="s">
        <v>3653</v>
      </c>
      <c r="R1065" s="12" t="s">
        <v>3654</v>
      </c>
      <c r="S1065" s="108"/>
      <c r="T1065" s="108"/>
      <c r="U1065" s="111"/>
      <c r="V1065" s="108"/>
      <c r="W1065" s="108"/>
      <c r="X1065" s="108"/>
    </row>
    <row r="1066" spans="1:25" s="26" customFormat="1" ht="77.5" customHeight="1">
      <c r="A1066" s="11"/>
      <c r="B1066" s="108"/>
      <c r="C1066" s="108" t="s">
        <v>3655</v>
      </c>
      <c r="D1066" s="31" t="s">
        <v>3656</v>
      </c>
      <c r="E1066" s="109" t="s">
        <v>3657</v>
      </c>
      <c r="F1066" s="112" t="s">
        <v>3658</v>
      </c>
      <c r="G1066" s="107" t="s">
        <v>3659</v>
      </c>
      <c r="H1066" s="108" t="s">
        <v>3660</v>
      </c>
      <c r="I1066" s="109" t="s">
        <v>2313</v>
      </c>
      <c r="J1066" s="109" t="s">
        <v>2627</v>
      </c>
      <c r="K1066" s="20" t="s">
        <v>1042</v>
      </c>
      <c r="L1066" s="109" t="s">
        <v>3661</v>
      </c>
      <c r="M1066" s="109" t="s">
        <v>3662</v>
      </c>
      <c r="N1066" s="13"/>
      <c r="O1066" s="24">
        <v>44650</v>
      </c>
      <c r="P1066" s="13" t="s">
        <v>1045</v>
      </c>
      <c r="Q1066" s="13" t="s">
        <v>2030</v>
      </c>
      <c r="R1066" s="13" t="s">
        <v>1751</v>
      </c>
      <c r="S1066" s="109" t="s">
        <v>3663</v>
      </c>
      <c r="T1066" s="109" t="s">
        <v>3664</v>
      </c>
      <c r="U1066" s="112" t="s">
        <v>3665</v>
      </c>
      <c r="V1066" s="107" t="s">
        <v>3666</v>
      </c>
      <c r="W1066" s="108" t="s">
        <v>3667</v>
      </c>
      <c r="X1066" s="108" t="s">
        <v>3668</v>
      </c>
      <c r="Y1066" s="11"/>
    </row>
    <row r="1067" spans="1:25" s="26" customFormat="1" hidden="1">
      <c r="A1067" s="33"/>
      <c r="B1067" s="108"/>
      <c r="C1067" s="108"/>
      <c r="D1067" s="31" t="str">
        <f>D1066</f>
        <v>亿可能源Equota</v>
      </c>
      <c r="E1067" s="108"/>
      <c r="F1067" s="111"/>
      <c r="G1067" s="108"/>
      <c r="H1067" s="108"/>
      <c r="I1067" s="108"/>
      <c r="J1067" s="108"/>
      <c r="K1067" s="31" t="str">
        <f t="shared" ref="K1067:K1068" si="209">K1066</f>
        <v>运营中</v>
      </c>
      <c r="L1067" s="108"/>
      <c r="M1067" s="108"/>
      <c r="N1067" s="17"/>
      <c r="O1067" s="36">
        <v>44322</v>
      </c>
      <c r="P1067" s="17" t="s">
        <v>721</v>
      </c>
      <c r="Q1067" s="12" t="s">
        <v>252</v>
      </c>
      <c r="R1067" s="12" t="s">
        <v>3669</v>
      </c>
      <c r="S1067" s="108"/>
      <c r="T1067" s="108"/>
      <c r="U1067" s="111"/>
      <c r="V1067" s="108"/>
      <c r="W1067" s="108"/>
      <c r="X1067" s="108"/>
    </row>
    <row r="1068" spans="1:25" s="26" customFormat="1" hidden="1">
      <c r="A1068" s="33"/>
      <c r="B1068" s="108"/>
      <c r="C1068" s="108"/>
      <c r="D1068" s="31" t="str">
        <f>D1067</f>
        <v>亿可能源Equota</v>
      </c>
      <c r="E1068" s="108"/>
      <c r="F1068" s="111"/>
      <c r="G1068" s="108"/>
      <c r="H1068" s="108"/>
      <c r="I1068" s="108"/>
      <c r="J1068" s="108"/>
      <c r="K1068" s="31" t="str">
        <f t="shared" si="209"/>
        <v>运营中</v>
      </c>
      <c r="L1068" s="108"/>
      <c r="M1068" s="108"/>
      <c r="N1068" s="17"/>
      <c r="O1068" s="36">
        <v>41974</v>
      </c>
      <c r="P1068" s="12" t="s">
        <v>326</v>
      </c>
      <c r="Q1068" s="17" t="s">
        <v>3670</v>
      </c>
      <c r="R1068" s="12" t="s">
        <v>3671</v>
      </c>
      <c r="S1068" s="108"/>
      <c r="T1068" s="108"/>
      <c r="U1068" s="111"/>
      <c r="V1068" s="108"/>
      <c r="W1068" s="108"/>
      <c r="X1068" s="108"/>
    </row>
    <row r="1069" spans="1:25" s="26" customFormat="1" hidden="1">
      <c r="A1069" s="33"/>
      <c r="B1069" s="108"/>
      <c r="C1069" s="108" t="s">
        <v>3672</v>
      </c>
      <c r="D1069" s="31" t="s">
        <v>3673</v>
      </c>
      <c r="E1069" s="107" t="s">
        <v>3673</v>
      </c>
      <c r="F1069" s="110" t="s">
        <v>3674</v>
      </c>
      <c r="G1069" s="107" t="s">
        <v>3675</v>
      </c>
      <c r="H1069" s="108" t="s">
        <v>3676</v>
      </c>
      <c r="I1069" s="108" t="s">
        <v>964</v>
      </c>
      <c r="J1069" s="107" t="s">
        <v>1215</v>
      </c>
      <c r="K1069" s="31" t="s">
        <v>272</v>
      </c>
      <c r="L1069" s="107" t="s">
        <v>1966</v>
      </c>
      <c r="M1069" s="107" t="s">
        <v>3677</v>
      </c>
      <c r="N1069" s="12">
        <v>1</v>
      </c>
      <c r="O1069" s="36">
        <v>44043</v>
      </c>
      <c r="P1069" s="17" t="s">
        <v>687</v>
      </c>
      <c r="Q1069" s="17" t="s">
        <v>3678</v>
      </c>
      <c r="R1069" s="17" t="s">
        <v>253</v>
      </c>
      <c r="S1069" s="108" t="s">
        <v>3679</v>
      </c>
      <c r="T1069" s="108" t="s">
        <v>3680</v>
      </c>
      <c r="U1069" s="110" t="s">
        <v>3681</v>
      </c>
      <c r="V1069" s="107" t="s">
        <v>3682</v>
      </c>
      <c r="W1069" s="108" t="s">
        <v>3683</v>
      </c>
      <c r="X1069" s="108" t="s">
        <v>3684</v>
      </c>
    </row>
    <row r="1070" spans="1:25" s="26" customFormat="1" hidden="1">
      <c r="A1070" s="33"/>
      <c r="B1070" s="108"/>
      <c r="C1070" s="108"/>
      <c r="D1070" s="31" t="str">
        <f>D1069</f>
        <v>易居</v>
      </c>
      <c r="E1070" s="108"/>
      <c r="F1070" s="111"/>
      <c r="G1070" s="108"/>
      <c r="H1070" s="108"/>
      <c r="I1070" s="108"/>
      <c r="J1070" s="108"/>
      <c r="K1070" s="31" t="str">
        <f t="shared" ref="K1070:K1072" si="210">K1069</f>
        <v>运营中</v>
      </c>
      <c r="L1070" s="108"/>
      <c r="M1070" s="108"/>
      <c r="N1070" s="12">
        <v>1</v>
      </c>
      <c r="O1070" s="36">
        <v>43301</v>
      </c>
      <c r="P1070" s="17" t="s">
        <v>283</v>
      </c>
      <c r="Q1070" s="17" t="s">
        <v>3685</v>
      </c>
      <c r="R1070" s="17" t="s">
        <v>253</v>
      </c>
      <c r="S1070" s="108"/>
      <c r="T1070" s="108"/>
      <c r="U1070" s="111"/>
      <c r="V1070" s="108"/>
      <c r="W1070" s="108"/>
      <c r="X1070" s="108"/>
    </row>
    <row r="1071" spans="1:25" s="26" customFormat="1" hidden="1">
      <c r="A1071" s="33"/>
      <c r="B1071" s="108"/>
      <c r="C1071" s="108"/>
      <c r="D1071" s="31" t="str">
        <f>D1070</f>
        <v>易居</v>
      </c>
      <c r="E1071" s="108"/>
      <c r="F1071" s="111"/>
      <c r="G1071" s="108"/>
      <c r="H1071" s="108"/>
      <c r="I1071" s="108"/>
      <c r="J1071" s="108"/>
      <c r="K1071" s="31" t="str">
        <f t="shared" si="210"/>
        <v>运营中</v>
      </c>
      <c r="L1071" s="108"/>
      <c r="M1071" s="108"/>
      <c r="N1071" s="12">
        <v>1</v>
      </c>
      <c r="O1071" s="36">
        <v>43287</v>
      </c>
      <c r="P1071" s="12" t="s">
        <v>654</v>
      </c>
      <c r="Q1071" s="12" t="s">
        <v>3686</v>
      </c>
      <c r="R1071" s="12" t="s">
        <v>3687</v>
      </c>
      <c r="S1071" s="108"/>
      <c r="T1071" s="108"/>
      <c r="U1071" s="111"/>
      <c r="V1071" s="108"/>
      <c r="W1071" s="108"/>
      <c r="X1071" s="108"/>
    </row>
    <row r="1072" spans="1:25" s="26" customFormat="1" hidden="1">
      <c r="A1072" s="33"/>
      <c r="B1072" s="108"/>
      <c r="C1072" s="108"/>
      <c r="D1072" s="31" t="str">
        <f>D1071</f>
        <v>易居</v>
      </c>
      <c r="E1072" s="108"/>
      <c r="F1072" s="111"/>
      <c r="G1072" s="108"/>
      <c r="H1072" s="108"/>
      <c r="I1072" s="108"/>
      <c r="J1072" s="108"/>
      <c r="K1072" s="31" t="str">
        <f t="shared" si="210"/>
        <v>运营中</v>
      </c>
      <c r="L1072" s="108"/>
      <c r="M1072" s="108"/>
      <c r="N1072" s="12">
        <v>1</v>
      </c>
      <c r="O1072" s="36">
        <v>42610</v>
      </c>
      <c r="P1072" s="17" t="s">
        <v>687</v>
      </c>
      <c r="Q1072" s="12" t="s">
        <v>252</v>
      </c>
      <c r="R1072" s="12" t="s">
        <v>3688</v>
      </c>
      <c r="S1072" s="108"/>
      <c r="T1072" s="108"/>
      <c r="U1072" s="111"/>
      <c r="V1072" s="108"/>
      <c r="W1072" s="108"/>
      <c r="X1072" s="108"/>
    </row>
    <row r="1073" spans="1:25" s="26" customFormat="1" hidden="1">
      <c r="A1073" s="33"/>
      <c r="B1073" s="108"/>
      <c r="C1073" s="108" t="s">
        <v>3689</v>
      </c>
      <c r="D1073" s="31" t="s">
        <v>3690</v>
      </c>
      <c r="E1073" s="108" t="s">
        <v>3690</v>
      </c>
      <c r="F1073" s="111" t="s">
        <v>3691</v>
      </c>
      <c r="G1073" s="108"/>
      <c r="H1073" s="108" t="s">
        <v>3692</v>
      </c>
      <c r="I1073" s="108" t="s">
        <v>246</v>
      </c>
      <c r="J1073" s="107" t="s">
        <v>1931</v>
      </c>
      <c r="K1073" s="31" t="s">
        <v>272</v>
      </c>
      <c r="L1073" s="107" t="s">
        <v>944</v>
      </c>
      <c r="M1073" s="107" t="s">
        <v>2071</v>
      </c>
      <c r="N1073" s="12">
        <v>1</v>
      </c>
      <c r="O1073" s="36">
        <v>43480</v>
      </c>
      <c r="P1073" s="12" t="s">
        <v>471</v>
      </c>
      <c r="Q1073" s="17" t="s">
        <v>3693</v>
      </c>
      <c r="R1073" s="17" t="s">
        <v>3694</v>
      </c>
      <c r="S1073" s="108" t="s">
        <v>3695</v>
      </c>
      <c r="T1073" s="108" t="s">
        <v>3696</v>
      </c>
      <c r="U1073" s="111" t="s">
        <v>3697</v>
      </c>
      <c r="V1073" s="108"/>
      <c r="W1073" s="108"/>
      <c r="X1073" s="108"/>
    </row>
    <row r="1074" spans="1:25" s="26" customFormat="1" hidden="1">
      <c r="A1074" s="33"/>
      <c r="B1074" s="108"/>
      <c r="C1074" s="108"/>
      <c r="D1074" s="31" t="str">
        <f>D1073</f>
        <v>CorePhotonics</v>
      </c>
      <c r="E1074" s="108"/>
      <c r="F1074" s="111"/>
      <c r="G1074" s="108"/>
      <c r="H1074" s="108"/>
      <c r="I1074" s="108"/>
      <c r="J1074" s="108"/>
      <c r="K1074" s="31" t="str">
        <f t="shared" ref="K1074:K1077" si="211">K1073</f>
        <v>运营中</v>
      </c>
      <c r="L1074" s="108"/>
      <c r="M1074" s="108"/>
      <c r="N1074" s="17"/>
      <c r="O1074" s="36">
        <v>42747</v>
      </c>
      <c r="P1074" s="17" t="s">
        <v>317</v>
      </c>
      <c r="Q1074" s="17" t="s">
        <v>322</v>
      </c>
      <c r="R1074" s="17" t="s">
        <v>3698</v>
      </c>
      <c r="S1074" s="108"/>
      <c r="T1074" s="108"/>
      <c r="U1074" s="111"/>
      <c r="V1074" s="108"/>
      <c r="W1074" s="108"/>
      <c r="X1074" s="108"/>
    </row>
    <row r="1075" spans="1:25" s="26" customFormat="1" hidden="1">
      <c r="A1075" s="33"/>
      <c r="B1075" s="108"/>
      <c r="C1075" s="108"/>
      <c r="D1075" s="31" t="str">
        <f>D1074</f>
        <v>CorePhotonics</v>
      </c>
      <c r="E1075" s="108"/>
      <c r="F1075" s="111"/>
      <c r="G1075" s="108"/>
      <c r="H1075" s="108"/>
      <c r="I1075" s="108"/>
      <c r="J1075" s="108"/>
      <c r="K1075" s="31" t="str">
        <f t="shared" si="211"/>
        <v>运营中</v>
      </c>
      <c r="L1075" s="108"/>
      <c r="M1075" s="108"/>
      <c r="N1075" s="17"/>
      <c r="O1075" s="36">
        <v>42309</v>
      </c>
      <c r="P1075" s="17" t="s">
        <v>251</v>
      </c>
      <c r="Q1075" s="17" t="s">
        <v>3699</v>
      </c>
      <c r="R1075" s="12" t="s">
        <v>240</v>
      </c>
      <c r="S1075" s="108"/>
      <c r="T1075" s="108"/>
      <c r="U1075" s="111"/>
      <c r="V1075" s="108"/>
      <c r="W1075" s="108"/>
      <c r="X1075" s="108"/>
    </row>
    <row r="1076" spans="1:25" s="26" customFormat="1" hidden="1">
      <c r="A1076" s="33"/>
      <c r="B1076" s="108"/>
      <c r="C1076" s="108"/>
      <c r="D1076" s="31" t="str">
        <f>D1075</f>
        <v>CorePhotonics</v>
      </c>
      <c r="E1076" s="108"/>
      <c r="F1076" s="111"/>
      <c r="G1076" s="108"/>
      <c r="H1076" s="108"/>
      <c r="I1076" s="108"/>
      <c r="J1076" s="108"/>
      <c r="K1076" s="31" t="str">
        <f t="shared" si="211"/>
        <v>运营中</v>
      </c>
      <c r="L1076" s="108"/>
      <c r="M1076" s="108"/>
      <c r="N1076" s="17"/>
      <c r="O1076" s="36">
        <v>42037</v>
      </c>
      <c r="P1076" s="17" t="s">
        <v>257</v>
      </c>
      <c r="Q1076" s="17" t="s">
        <v>3700</v>
      </c>
      <c r="R1076" s="17" t="s">
        <v>3701</v>
      </c>
      <c r="S1076" s="108"/>
      <c r="T1076" s="108"/>
      <c r="U1076" s="111"/>
      <c r="V1076" s="108"/>
      <c r="W1076" s="108"/>
      <c r="X1076" s="108"/>
    </row>
    <row r="1077" spans="1:25" s="26" customFormat="1" hidden="1">
      <c r="A1077" s="33"/>
      <c r="B1077" s="108"/>
      <c r="C1077" s="108"/>
      <c r="D1077" s="31" t="str">
        <f>D1076</f>
        <v>CorePhotonics</v>
      </c>
      <c r="E1077" s="108"/>
      <c r="F1077" s="111"/>
      <c r="G1077" s="108"/>
      <c r="H1077" s="108"/>
      <c r="I1077" s="108"/>
      <c r="J1077" s="108"/>
      <c r="K1077" s="31" t="str">
        <f t="shared" si="211"/>
        <v>运营中</v>
      </c>
      <c r="L1077" s="108"/>
      <c r="M1077" s="108"/>
      <c r="N1077" s="17"/>
      <c r="O1077" s="36">
        <v>41303</v>
      </c>
      <c r="P1077" s="17" t="s">
        <v>262</v>
      </c>
      <c r="Q1077" s="17" t="s">
        <v>3702</v>
      </c>
      <c r="R1077" s="17" t="s">
        <v>3703</v>
      </c>
      <c r="S1077" s="108"/>
      <c r="T1077" s="108"/>
      <c r="U1077" s="111"/>
      <c r="V1077" s="108"/>
      <c r="W1077" s="108"/>
      <c r="X1077" s="108"/>
    </row>
    <row r="1078" spans="1:25" s="26" customFormat="1" ht="77.5" customHeight="1">
      <c r="A1078" s="11"/>
      <c r="B1078" s="108"/>
      <c r="C1078" s="108" t="s">
        <v>3704</v>
      </c>
      <c r="D1078" s="31" t="s">
        <v>3705</v>
      </c>
      <c r="E1078" s="109" t="s">
        <v>3706</v>
      </c>
      <c r="F1078" s="112" t="s">
        <v>3707</v>
      </c>
      <c r="G1078" s="107" t="s">
        <v>3708</v>
      </c>
      <c r="H1078" s="108" t="s">
        <v>3709</v>
      </c>
      <c r="I1078" s="109" t="s">
        <v>3710</v>
      </c>
      <c r="J1078" s="109" t="s">
        <v>406</v>
      </c>
      <c r="K1078" s="20" t="s">
        <v>1042</v>
      </c>
      <c r="L1078" s="109" t="s">
        <v>1825</v>
      </c>
      <c r="M1078" s="109" t="s">
        <v>3711</v>
      </c>
      <c r="N1078" s="13"/>
      <c r="O1078" s="24">
        <v>43837</v>
      </c>
      <c r="P1078" s="13" t="s">
        <v>3648</v>
      </c>
      <c r="Q1078" s="13" t="s">
        <v>2030</v>
      </c>
      <c r="R1078" s="13" t="s">
        <v>3712</v>
      </c>
      <c r="S1078" s="109" t="s">
        <v>3713</v>
      </c>
      <c r="T1078" s="109" t="s">
        <v>3664</v>
      </c>
      <c r="U1078" s="112" t="s">
        <v>3714</v>
      </c>
      <c r="V1078" s="107" t="s">
        <v>3715</v>
      </c>
      <c r="W1078" s="108" t="s">
        <v>3716</v>
      </c>
      <c r="X1078" s="108" t="s">
        <v>3717</v>
      </c>
      <c r="Y1078" s="11"/>
    </row>
    <row r="1079" spans="1:25" s="26" customFormat="1" hidden="1">
      <c r="A1079" s="33"/>
      <c r="B1079" s="108"/>
      <c r="C1079" s="108"/>
      <c r="D1079" s="31" t="str">
        <f>D1078</f>
        <v>谐云科技</v>
      </c>
      <c r="E1079" s="108"/>
      <c r="F1079" s="111"/>
      <c r="G1079" s="108"/>
      <c r="H1079" s="108"/>
      <c r="I1079" s="108"/>
      <c r="J1079" s="108"/>
      <c r="K1079" s="31" t="str">
        <f t="shared" ref="K1079:K1082" si="212">K1078</f>
        <v>运营中</v>
      </c>
      <c r="L1079" s="108"/>
      <c r="M1079" s="108"/>
      <c r="N1079" s="17"/>
      <c r="O1079" s="36">
        <v>43809</v>
      </c>
      <c r="P1079" s="12" t="s">
        <v>285</v>
      </c>
      <c r="Q1079" s="17" t="s">
        <v>3718</v>
      </c>
      <c r="R1079" s="12" t="s">
        <v>240</v>
      </c>
      <c r="S1079" s="108"/>
      <c r="T1079" s="108"/>
      <c r="U1079" s="111"/>
      <c r="V1079" s="108"/>
      <c r="W1079" s="108"/>
      <c r="X1079" s="108"/>
    </row>
    <row r="1080" spans="1:25" s="26" customFormat="1" hidden="1">
      <c r="A1080" s="33"/>
      <c r="B1080" s="108"/>
      <c r="C1080" s="108"/>
      <c r="D1080" s="31" t="str">
        <f>D1079</f>
        <v>谐云科技</v>
      </c>
      <c r="E1080" s="108"/>
      <c r="F1080" s="111"/>
      <c r="G1080" s="108"/>
      <c r="H1080" s="108"/>
      <c r="I1080" s="108"/>
      <c r="J1080" s="108"/>
      <c r="K1080" s="31" t="str">
        <f t="shared" si="212"/>
        <v>运营中</v>
      </c>
      <c r="L1080" s="108"/>
      <c r="M1080" s="108"/>
      <c r="N1080" s="17"/>
      <c r="O1080" s="36">
        <v>43193</v>
      </c>
      <c r="P1080" s="17" t="s">
        <v>262</v>
      </c>
      <c r="Q1080" s="12" t="s">
        <v>252</v>
      </c>
      <c r="R1080" s="12" t="s">
        <v>3719</v>
      </c>
      <c r="S1080" s="108"/>
      <c r="T1080" s="108"/>
      <c r="U1080" s="111"/>
      <c r="V1080" s="108"/>
      <c r="W1080" s="108"/>
      <c r="X1080" s="108"/>
    </row>
    <row r="1081" spans="1:25" s="26" customFormat="1" hidden="1">
      <c r="A1081" s="33"/>
      <c r="B1081" s="108"/>
      <c r="C1081" s="108"/>
      <c r="D1081" s="31" t="str">
        <f>D1080</f>
        <v>谐云科技</v>
      </c>
      <c r="E1081" s="108"/>
      <c r="F1081" s="111"/>
      <c r="G1081" s="108"/>
      <c r="H1081" s="108"/>
      <c r="I1081" s="108"/>
      <c r="J1081" s="108"/>
      <c r="K1081" s="31" t="str">
        <f t="shared" si="212"/>
        <v>运营中</v>
      </c>
      <c r="L1081" s="108"/>
      <c r="M1081" s="108"/>
      <c r="N1081" s="17"/>
      <c r="O1081" s="36">
        <v>42933</v>
      </c>
      <c r="P1081" s="17" t="s">
        <v>721</v>
      </c>
      <c r="Q1081" s="12" t="s">
        <v>252</v>
      </c>
      <c r="R1081" s="12" t="s">
        <v>3720</v>
      </c>
      <c r="S1081" s="108"/>
      <c r="T1081" s="108"/>
      <c r="U1081" s="111"/>
      <c r="V1081" s="108"/>
      <c r="W1081" s="108"/>
      <c r="X1081" s="108"/>
    </row>
    <row r="1082" spans="1:25" s="26" customFormat="1" hidden="1">
      <c r="A1082" s="33"/>
      <c r="B1082" s="108"/>
      <c r="C1082" s="108"/>
      <c r="D1082" s="31" t="str">
        <f>D1081</f>
        <v>谐云科技</v>
      </c>
      <c r="E1082" s="108"/>
      <c r="F1082" s="111"/>
      <c r="G1082" s="108"/>
      <c r="H1082" s="108"/>
      <c r="I1082" s="108"/>
      <c r="J1082" s="108"/>
      <c r="K1082" s="31" t="str">
        <f t="shared" si="212"/>
        <v>运营中</v>
      </c>
      <c r="L1082" s="108"/>
      <c r="M1082" s="108"/>
      <c r="N1082" s="17"/>
      <c r="O1082" s="36">
        <v>42758</v>
      </c>
      <c r="P1082" s="12" t="s">
        <v>326</v>
      </c>
      <c r="Q1082" s="12" t="s">
        <v>252</v>
      </c>
      <c r="R1082" s="12" t="s">
        <v>3721</v>
      </c>
      <c r="S1082" s="108"/>
      <c r="T1082" s="108"/>
      <c r="U1082" s="111"/>
      <c r="V1082" s="108"/>
      <c r="W1082" s="108"/>
      <c r="X1082" s="108"/>
    </row>
    <row r="1083" spans="1:25" s="26" customFormat="1" hidden="1">
      <c r="A1083" s="33"/>
      <c r="B1083" s="108"/>
      <c r="C1083" s="108" t="s">
        <v>3722</v>
      </c>
      <c r="D1083" s="31" t="s">
        <v>3723</v>
      </c>
      <c r="E1083" s="108" t="s">
        <v>3723</v>
      </c>
      <c r="F1083" s="111" t="s">
        <v>3724</v>
      </c>
      <c r="G1083" s="108"/>
      <c r="H1083" s="108" t="s">
        <v>3725</v>
      </c>
      <c r="I1083" s="108" t="s">
        <v>246</v>
      </c>
      <c r="J1083" s="107" t="s">
        <v>3726</v>
      </c>
      <c r="K1083" s="31" t="s">
        <v>272</v>
      </c>
      <c r="L1083" s="107" t="s">
        <v>273</v>
      </c>
      <c r="M1083" s="107" t="s">
        <v>3727</v>
      </c>
      <c r="N1083" s="12"/>
      <c r="O1083" s="36">
        <v>43362</v>
      </c>
      <c r="P1083" s="17" t="s">
        <v>251</v>
      </c>
      <c r="Q1083" s="17" t="s">
        <v>897</v>
      </c>
      <c r="R1083" s="12" t="s">
        <v>3728</v>
      </c>
      <c r="S1083" s="108" t="s">
        <v>3729</v>
      </c>
      <c r="T1083" s="108" t="s">
        <v>899</v>
      </c>
      <c r="U1083" s="111" t="s">
        <v>3730</v>
      </c>
      <c r="V1083" s="108"/>
      <c r="W1083" s="108"/>
      <c r="X1083" s="108" t="s">
        <v>3731</v>
      </c>
    </row>
    <row r="1084" spans="1:25" s="26" customFormat="1" hidden="1">
      <c r="A1084" s="33"/>
      <c r="B1084" s="108"/>
      <c r="C1084" s="108"/>
      <c r="D1084" s="31" t="str">
        <f>D1083</f>
        <v>WayRay</v>
      </c>
      <c r="E1084" s="108"/>
      <c r="F1084" s="111"/>
      <c r="G1084" s="108"/>
      <c r="H1084" s="108"/>
      <c r="I1084" s="108"/>
      <c r="J1084" s="108"/>
      <c r="K1084" s="31" t="str">
        <f t="shared" ref="K1084:K1085" si="213">K1083</f>
        <v>运营中</v>
      </c>
      <c r="L1084" s="108"/>
      <c r="M1084" s="108"/>
      <c r="N1084" s="17"/>
      <c r="O1084" s="36">
        <v>42809</v>
      </c>
      <c r="P1084" s="17" t="s">
        <v>257</v>
      </c>
      <c r="Q1084" s="17" t="s">
        <v>1669</v>
      </c>
      <c r="R1084" s="12" t="s">
        <v>3732</v>
      </c>
      <c r="S1084" s="108"/>
      <c r="T1084" s="108"/>
      <c r="U1084" s="111"/>
      <c r="V1084" s="108"/>
      <c r="W1084" s="108"/>
      <c r="X1084" s="108"/>
    </row>
    <row r="1085" spans="1:25" s="26" customFormat="1" hidden="1">
      <c r="A1085" s="33"/>
      <c r="B1085" s="108"/>
      <c r="C1085" s="108"/>
      <c r="D1085" s="31" t="str">
        <f>D1084</f>
        <v>WayRay</v>
      </c>
      <c r="E1085" s="108"/>
      <c r="F1085" s="111"/>
      <c r="G1085" s="108"/>
      <c r="H1085" s="108"/>
      <c r="I1085" s="108"/>
      <c r="J1085" s="108"/>
      <c r="K1085" s="31" t="str">
        <f t="shared" si="213"/>
        <v>运营中</v>
      </c>
      <c r="L1085" s="108"/>
      <c r="M1085" s="108"/>
      <c r="N1085" s="17"/>
      <c r="O1085" s="36">
        <v>42522</v>
      </c>
      <c r="P1085" s="17" t="s">
        <v>262</v>
      </c>
      <c r="Q1085" s="17" t="s">
        <v>337</v>
      </c>
      <c r="R1085" s="17" t="s">
        <v>253</v>
      </c>
      <c r="S1085" s="108"/>
      <c r="T1085" s="108"/>
      <c r="U1085" s="111"/>
      <c r="V1085" s="108"/>
      <c r="W1085" s="108"/>
      <c r="X1085" s="108"/>
    </row>
    <row r="1086" spans="1:25" s="26" customFormat="1" ht="48" hidden="1">
      <c r="A1086" s="33"/>
      <c r="B1086" s="108"/>
      <c r="C1086" s="17" t="s">
        <v>3733</v>
      </c>
      <c r="D1086" s="38" t="s">
        <v>3734</v>
      </c>
      <c r="E1086" s="17" t="s">
        <v>3735</v>
      </c>
      <c r="F1086" s="34" t="s">
        <v>3736</v>
      </c>
      <c r="G1086" s="12" t="s">
        <v>3737</v>
      </c>
      <c r="H1086" s="17" t="s">
        <v>3738</v>
      </c>
      <c r="I1086" s="17" t="s">
        <v>1922</v>
      </c>
      <c r="J1086" s="12" t="s">
        <v>406</v>
      </c>
      <c r="K1086" s="38" t="s">
        <v>272</v>
      </c>
      <c r="L1086" s="12" t="s">
        <v>350</v>
      </c>
      <c r="M1086" s="12" t="s">
        <v>3739</v>
      </c>
      <c r="N1086" s="12"/>
      <c r="O1086" s="36">
        <v>42369</v>
      </c>
      <c r="P1086" s="12" t="s">
        <v>326</v>
      </c>
      <c r="Q1086" s="17" t="s">
        <v>3740</v>
      </c>
      <c r="R1086" s="12" t="s">
        <v>3741</v>
      </c>
      <c r="S1086" s="17" t="s">
        <v>3742</v>
      </c>
      <c r="T1086" s="17" t="s">
        <v>3743</v>
      </c>
      <c r="U1086" s="32" t="s">
        <v>3744</v>
      </c>
      <c r="V1086" s="12" t="s">
        <v>3745</v>
      </c>
      <c r="W1086" s="17"/>
      <c r="X1086" s="17"/>
    </row>
    <row r="1087" spans="1:25" s="26" customFormat="1" hidden="1">
      <c r="A1087" s="33"/>
      <c r="B1087" s="108"/>
      <c r="C1087" s="108" t="s">
        <v>3746</v>
      </c>
      <c r="D1087" s="31" t="s">
        <v>3747</v>
      </c>
      <c r="E1087" s="107" t="s">
        <v>3747</v>
      </c>
      <c r="F1087" s="110" t="s">
        <v>3748</v>
      </c>
      <c r="G1087" s="107" t="s">
        <v>3749</v>
      </c>
      <c r="H1087" s="108" t="s">
        <v>3750</v>
      </c>
      <c r="I1087" s="108" t="s">
        <v>3584</v>
      </c>
      <c r="J1087" s="107" t="s">
        <v>271</v>
      </c>
      <c r="K1087" s="31" t="s">
        <v>272</v>
      </c>
      <c r="L1087" s="107" t="s">
        <v>944</v>
      </c>
      <c r="M1087" s="107" t="s">
        <v>1423</v>
      </c>
      <c r="N1087" s="12">
        <v>1</v>
      </c>
      <c r="O1087" s="36">
        <v>45030</v>
      </c>
      <c r="P1087" s="17" t="s">
        <v>687</v>
      </c>
      <c r="Q1087" s="17" t="s">
        <v>3751</v>
      </c>
      <c r="R1087" s="17" t="s">
        <v>3752</v>
      </c>
      <c r="S1087" s="108" t="s">
        <v>3753</v>
      </c>
      <c r="T1087" s="108" t="s">
        <v>3754</v>
      </c>
      <c r="U1087" s="110" t="s">
        <v>3755</v>
      </c>
      <c r="V1087" s="107" t="s">
        <v>3756</v>
      </c>
      <c r="W1087" s="108" t="s">
        <v>3757</v>
      </c>
      <c r="X1087" s="108" t="s">
        <v>3758</v>
      </c>
    </row>
    <row r="1088" spans="1:25" s="26" customFormat="1" hidden="1">
      <c r="A1088" s="33"/>
      <c r="B1088" s="108"/>
      <c r="C1088" s="108"/>
      <c r="D1088" s="31" t="str">
        <f t="shared" ref="D1088:D1094" si="214">D1087</f>
        <v>寒武纪</v>
      </c>
      <c r="E1088" s="108"/>
      <c r="F1088" s="111"/>
      <c r="G1088" s="108"/>
      <c r="H1088" s="108"/>
      <c r="I1088" s="108"/>
      <c r="J1088" s="108"/>
      <c r="K1088" s="31" t="str">
        <f t="shared" ref="K1088:K1094" si="215">K1087</f>
        <v>运营中</v>
      </c>
      <c r="L1088" s="108"/>
      <c r="M1088" s="108"/>
      <c r="N1088" s="12">
        <v>1</v>
      </c>
      <c r="O1088" s="36">
        <v>44032</v>
      </c>
      <c r="P1088" s="17" t="s">
        <v>283</v>
      </c>
      <c r="Q1088" s="17" t="s">
        <v>3759</v>
      </c>
      <c r="R1088" s="17" t="s">
        <v>253</v>
      </c>
      <c r="S1088" s="108"/>
      <c r="T1088" s="108"/>
      <c r="U1088" s="111"/>
      <c r="V1088" s="108"/>
      <c r="W1088" s="108"/>
      <c r="X1088" s="108"/>
    </row>
    <row r="1089" spans="1:24" s="26" customFormat="1" hidden="1">
      <c r="A1089" s="33"/>
      <c r="B1089" s="108"/>
      <c r="C1089" s="108"/>
      <c r="D1089" s="31" t="str">
        <f t="shared" si="214"/>
        <v>寒武纪</v>
      </c>
      <c r="E1089" s="108"/>
      <c r="F1089" s="111"/>
      <c r="G1089" s="108"/>
      <c r="H1089" s="108"/>
      <c r="I1089" s="108"/>
      <c r="J1089" s="108"/>
      <c r="K1089" s="31" t="str">
        <f t="shared" si="215"/>
        <v>运营中</v>
      </c>
      <c r="L1089" s="108"/>
      <c r="M1089" s="108"/>
      <c r="N1089" s="12">
        <v>1</v>
      </c>
      <c r="O1089" s="36">
        <v>43271</v>
      </c>
      <c r="P1089" s="17" t="s">
        <v>257</v>
      </c>
      <c r="Q1089" s="12" t="s">
        <v>299</v>
      </c>
      <c r="R1089" s="12" t="s">
        <v>3760</v>
      </c>
      <c r="S1089" s="108"/>
      <c r="T1089" s="108"/>
      <c r="U1089" s="111"/>
      <c r="V1089" s="108"/>
      <c r="W1089" s="108"/>
      <c r="X1089" s="108"/>
    </row>
    <row r="1090" spans="1:24" s="26" customFormat="1" hidden="1">
      <c r="A1090" s="33"/>
      <c r="B1090" s="108"/>
      <c r="C1090" s="108"/>
      <c r="D1090" s="31" t="str">
        <f t="shared" si="214"/>
        <v>寒武纪</v>
      </c>
      <c r="E1090" s="108"/>
      <c r="F1090" s="111"/>
      <c r="G1090" s="108"/>
      <c r="H1090" s="108"/>
      <c r="I1090" s="108"/>
      <c r="J1090" s="108"/>
      <c r="K1090" s="31" t="str">
        <f t="shared" si="215"/>
        <v>运营中</v>
      </c>
      <c r="L1090" s="108"/>
      <c r="M1090" s="108"/>
      <c r="N1090" s="12">
        <v>1</v>
      </c>
      <c r="O1090" s="36">
        <v>43256</v>
      </c>
      <c r="P1090" s="12" t="s">
        <v>285</v>
      </c>
      <c r="Q1090" s="17" t="s">
        <v>3761</v>
      </c>
      <c r="R1090" s="12" t="s">
        <v>3762</v>
      </c>
      <c r="S1090" s="108"/>
      <c r="T1090" s="108"/>
      <c r="U1090" s="111"/>
      <c r="V1090" s="108"/>
      <c r="W1090" s="108"/>
      <c r="X1090" s="108"/>
    </row>
    <row r="1091" spans="1:24" s="26" customFormat="1" hidden="1">
      <c r="A1091" s="33"/>
      <c r="B1091" s="108"/>
      <c r="C1091" s="108"/>
      <c r="D1091" s="31" t="str">
        <f t="shared" si="214"/>
        <v>寒武纪</v>
      </c>
      <c r="E1091" s="108"/>
      <c r="F1091" s="111"/>
      <c r="G1091" s="108"/>
      <c r="H1091" s="108"/>
      <c r="I1091" s="108"/>
      <c r="J1091" s="108"/>
      <c r="K1091" s="31" t="str">
        <f t="shared" si="215"/>
        <v>运营中</v>
      </c>
      <c r="L1091" s="108"/>
      <c r="M1091" s="108"/>
      <c r="N1091" s="12">
        <v>1</v>
      </c>
      <c r="O1091" s="36">
        <v>43194</v>
      </c>
      <c r="P1091" s="17" t="s">
        <v>260</v>
      </c>
      <c r="Q1091" s="12" t="s">
        <v>252</v>
      </c>
      <c r="R1091" s="12" t="s">
        <v>3763</v>
      </c>
      <c r="S1091" s="108"/>
      <c r="T1091" s="108"/>
      <c r="U1091" s="111"/>
      <c r="V1091" s="108"/>
      <c r="W1091" s="108"/>
      <c r="X1091" s="108"/>
    </row>
    <row r="1092" spans="1:24" s="26" customFormat="1" hidden="1">
      <c r="A1092" s="33"/>
      <c r="B1092" s="108"/>
      <c r="C1092" s="108"/>
      <c r="D1092" s="31" t="str">
        <f t="shared" si="214"/>
        <v>寒武纪</v>
      </c>
      <c r="E1092" s="108"/>
      <c r="F1092" s="111"/>
      <c r="G1092" s="108"/>
      <c r="H1092" s="108"/>
      <c r="I1092" s="108"/>
      <c r="J1092" s="108"/>
      <c r="K1092" s="31" t="str">
        <f t="shared" si="215"/>
        <v>运营中</v>
      </c>
      <c r="L1092" s="108"/>
      <c r="M1092" s="108"/>
      <c r="N1092" s="12">
        <v>1</v>
      </c>
      <c r="O1092" s="36">
        <v>42965</v>
      </c>
      <c r="P1092" s="17" t="s">
        <v>262</v>
      </c>
      <c r="Q1092" s="17" t="s">
        <v>320</v>
      </c>
      <c r="R1092" s="12" t="s">
        <v>3764</v>
      </c>
      <c r="S1092" s="108"/>
      <c r="T1092" s="108"/>
      <c r="U1092" s="111"/>
      <c r="V1092" s="108"/>
      <c r="W1092" s="108"/>
      <c r="X1092" s="108"/>
    </row>
    <row r="1093" spans="1:24" s="26" customFormat="1" hidden="1">
      <c r="A1093" s="33"/>
      <c r="B1093" s="108"/>
      <c r="C1093" s="108"/>
      <c r="D1093" s="31" t="str">
        <f t="shared" si="214"/>
        <v>寒武纪</v>
      </c>
      <c r="E1093" s="108"/>
      <c r="F1093" s="111"/>
      <c r="G1093" s="108"/>
      <c r="H1093" s="108"/>
      <c r="I1093" s="108"/>
      <c r="J1093" s="108"/>
      <c r="K1093" s="31" t="str">
        <f t="shared" si="215"/>
        <v>运营中</v>
      </c>
      <c r="L1093" s="108"/>
      <c r="M1093" s="108"/>
      <c r="N1093" s="12">
        <v>1</v>
      </c>
      <c r="O1093" s="36">
        <v>42592</v>
      </c>
      <c r="P1093" s="17" t="s">
        <v>721</v>
      </c>
      <c r="Q1093" s="12" t="s">
        <v>341</v>
      </c>
      <c r="R1093" s="12" t="s">
        <v>3765</v>
      </c>
      <c r="S1093" s="108"/>
      <c r="T1093" s="108"/>
      <c r="U1093" s="111"/>
      <c r="V1093" s="108"/>
      <c r="W1093" s="108"/>
      <c r="X1093" s="108"/>
    </row>
    <row r="1094" spans="1:24" s="26" customFormat="1" hidden="1">
      <c r="A1094" s="33"/>
      <c r="B1094" s="108"/>
      <c r="C1094" s="108"/>
      <c r="D1094" s="31" t="str">
        <f t="shared" si="214"/>
        <v>寒武纪</v>
      </c>
      <c r="E1094" s="108"/>
      <c r="F1094" s="111"/>
      <c r="G1094" s="108"/>
      <c r="H1094" s="108"/>
      <c r="I1094" s="108"/>
      <c r="J1094" s="108"/>
      <c r="K1094" s="31" t="str">
        <f t="shared" si="215"/>
        <v>运营中</v>
      </c>
      <c r="L1094" s="108"/>
      <c r="M1094" s="108"/>
      <c r="N1094" s="12">
        <v>1</v>
      </c>
      <c r="O1094" s="36">
        <v>42478</v>
      </c>
      <c r="P1094" s="12" t="s">
        <v>326</v>
      </c>
      <c r="Q1094" s="12" t="s">
        <v>341</v>
      </c>
      <c r="R1094" s="12" t="s">
        <v>3766</v>
      </c>
      <c r="S1094" s="108"/>
      <c r="T1094" s="108"/>
      <c r="U1094" s="111"/>
      <c r="V1094" s="108"/>
      <c r="W1094" s="108"/>
      <c r="X1094" s="108"/>
    </row>
    <row r="1095" spans="1:24" s="26" customFormat="1" hidden="1">
      <c r="A1095" s="33"/>
      <c r="B1095" s="108"/>
      <c r="C1095" s="108" t="s">
        <v>1209</v>
      </c>
      <c r="D1095" s="31" t="s">
        <v>3767</v>
      </c>
      <c r="E1095" s="107" t="s">
        <v>3767</v>
      </c>
      <c r="F1095" s="110" t="s">
        <v>3768</v>
      </c>
      <c r="G1095" s="107" t="s">
        <v>3769</v>
      </c>
      <c r="H1095" s="108" t="s">
        <v>3770</v>
      </c>
      <c r="I1095" s="108" t="s">
        <v>3771</v>
      </c>
      <c r="J1095" s="107" t="s">
        <v>428</v>
      </c>
      <c r="K1095" s="31" t="s">
        <v>272</v>
      </c>
      <c r="L1095" s="107" t="s">
        <v>350</v>
      </c>
      <c r="M1095" s="108" t="s">
        <v>1907</v>
      </c>
      <c r="N1095" s="12">
        <v>1</v>
      </c>
      <c r="O1095" s="36">
        <v>44287</v>
      </c>
      <c r="P1095" s="17" t="s">
        <v>283</v>
      </c>
      <c r="Q1095" s="17" t="s">
        <v>522</v>
      </c>
      <c r="R1095" s="17" t="s">
        <v>253</v>
      </c>
      <c r="S1095" s="108" t="s">
        <v>3772</v>
      </c>
      <c r="T1095" s="108" t="s">
        <v>1219</v>
      </c>
      <c r="U1095" s="110" t="s">
        <v>3773</v>
      </c>
      <c r="V1095" s="107" t="s">
        <v>3774</v>
      </c>
      <c r="W1095" s="108" t="s">
        <v>3775</v>
      </c>
      <c r="X1095" s="108"/>
    </row>
    <row r="1096" spans="1:24" s="26" customFormat="1" hidden="1">
      <c r="A1096" s="33"/>
      <c r="B1096" s="108"/>
      <c r="C1096" s="108"/>
      <c r="D1096" s="31" t="str">
        <f t="shared" ref="D1096:D1102" si="216">D1095</f>
        <v>怪兽充电</v>
      </c>
      <c r="E1096" s="108"/>
      <c r="F1096" s="111"/>
      <c r="G1096" s="108"/>
      <c r="H1096" s="108"/>
      <c r="I1096" s="108"/>
      <c r="J1096" s="108"/>
      <c r="K1096" s="31" t="str">
        <f t="shared" ref="K1096:K1102" si="217">K1095</f>
        <v>运营中</v>
      </c>
      <c r="L1096" s="108"/>
      <c r="M1096" s="108"/>
      <c r="N1096" s="12">
        <v>1</v>
      </c>
      <c r="O1096" s="36">
        <v>44285</v>
      </c>
      <c r="P1096" s="12" t="s">
        <v>654</v>
      </c>
      <c r="Q1096" s="17" t="s">
        <v>1662</v>
      </c>
      <c r="R1096" s="12" t="s">
        <v>3776</v>
      </c>
      <c r="S1096" s="108"/>
      <c r="T1096" s="108"/>
      <c r="U1096" s="111"/>
      <c r="V1096" s="108"/>
      <c r="W1096" s="108"/>
      <c r="X1096" s="108"/>
    </row>
    <row r="1097" spans="1:24" s="26" customFormat="1" hidden="1">
      <c r="A1097" s="33"/>
      <c r="B1097" s="108"/>
      <c r="C1097" s="108"/>
      <c r="D1097" s="31" t="str">
        <f t="shared" si="216"/>
        <v>怪兽充电</v>
      </c>
      <c r="E1097" s="108"/>
      <c r="F1097" s="111"/>
      <c r="G1097" s="108"/>
      <c r="H1097" s="108"/>
      <c r="I1097" s="108"/>
      <c r="J1097" s="108"/>
      <c r="K1097" s="31" t="str">
        <f t="shared" si="217"/>
        <v>运营中</v>
      </c>
      <c r="L1097" s="108"/>
      <c r="M1097" s="108"/>
      <c r="N1097" s="12">
        <v>1</v>
      </c>
      <c r="O1097" s="36">
        <v>44268</v>
      </c>
      <c r="P1097" s="17" t="s">
        <v>317</v>
      </c>
      <c r="Q1097" s="17" t="s">
        <v>3777</v>
      </c>
      <c r="R1097" s="12" t="s">
        <v>3778</v>
      </c>
      <c r="S1097" s="108"/>
      <c r="T1097" s="108"/>
      <c r="U1097" s="111"/>
      <c r="V1097" s="108"/>
      <c r="W1097" s="108"/>
      <c r="X1097" s="108"/>
    </row>
    <row r="1098" spans="1:24" s="26" customFormat="1" hidden="1">
      <c r="A1098" s="33"/>
      <c r="B1098" s="108"/>
      <c r="C1098" s="108"/>
      <c r="D1098" s="31" t="str">
        <f t="shared" si="216"/>
        <v>怪兽充电</v>
      </c>
      <c r="E1098" s="108"/>
      <c r="F1098" s="111"/>
      <c r="G1098" s="108"/>
      <c r="H1098" s="108"/>
      <c r="I1098" s="108"/>
      <c r="J1098" s="108"/>
      <c r="K1098" s="31" t="str">
        <f t="shared" si="217"/>
        <v>运营中</v>
      </c>
      <c r="L1098" s="108"/>
      <c r="M1098" s="108"/>
      <c r="N1098" s="12">
        <v>1</v>
      </c>
      <c r="O1098" s="36">
        <v>43823</v>
      </c>
      <c r="P1098" s="17" t="s">
        <v>251</v>
      </c>
      <c r="Q1098" s="17" t="s">
        <v>773</v>
      </c>
      <c r="R1098" s="12" t="s">
        <v>3779</v>
      </c>
      <c r="S1098" s="108"/>
      <c r="T1098" s="108"/>
      <c r="U1098" s="111"/>
      <c r="V1098" s="108"/>
      <c r="W1098" s="108"/>
      <c r="X1098" s="108"/>
    </row>
    <row r="1099" spans="1:24" s="26" customFormat="1" hidden="1">
      <c r="A1099" s="33"/>
      <c r="B1099" s="108"/>
      <c r="C1099" s="108"/>
      <c r="D1099" s="31" t="str">
        <f t="shared" si="216"/>
        <v>怪兽充电</v>
      </c>
      <c r="E1099" s="108"/>
      <c r="F1099" s="111"/>
      <c r="G1099" s="108"/>
      <c r="H1099" s="108"/>
      <c r="I1099" s="108"/>
      <c r="J1099" s="108"/>
      <c r="K1099" s="31" t="str">
        <f t="shared" si="217"/>
        <v>运营中</v>
      </c>
      <c r="L1099" s="108"/>
      <c r="M1099" s="108"/>
      <c r="N1099" s="12">
        <v>1</v>
      </c>
      <c r="O1099" s="36">
        <v>43465</v>
      </c>
      <c r="P1099" s="17" t="s">
        <v>565</v>
      </c>
      <c r="Q1099" s="17" t="s">
        <v>805</v>
      </c>
      <c r="R1099" s="12" t="s">
        <v>3780</v>
      </c>
      <c r="S1099" s="108"/>
      <c r="T1099" s="108"/>
      <c r="U1099" s="111"/>
      <c r="V1099" s="108"/>
      <c r="W1099" s="108"/>
      <c r="X1099" s="108"/>
    </row>
    <row r="1100" spans="1:24" s="26" customFormat="1" hidden="1">
      <c r="A1100" s="33"/>
      <c r="B1100" s="108"/>
      <c r="C1100" s="108"/>
      <c r="D1100" s="31" t="str">
        <f t="shared" si="216"/>
        <v>怪兽充电</v>
      </c>
      <c r="E1100" s="108"/>
      <c r="F1100" s="111"/>
      <c r="G1100" s="108"/>
      <c r="H1100" s="108"/>
      <c r="I1100" s="108"/>
      <c r="J1100" s="108"/>
      <c r="K1100" s="31" t="str">
        <f t="shared" si="217"/>
        <v>运营中</v>
      </c>
      <c r="L1100" s="108"/>
      <c r="M1100" s="108"/>
      <c r="N1100" s="12">
        <v>1</v>
      </c>
      <c r="O1100" s="36">
        <v>43062</v>
      </c>
      <c r="P1100" s="17" t="s">
        <v>257</v>
      </c>
      <c r="Q1100" s="17" t="s">
        <v>578</v>
      </c>
      <c r="R1100" s="12" t="s">
        <v>3781</v>
      </c>
      <c r="S1100" s="108"/>
      <c r="T1100" s="108"/>
      <c r="U1100" s="111"/>
      <c r="V1100" s="108"/>
      <c r="W1100" s="108"/>
      <c r="X1100" s="108"/>
    </row>
    <row r="1101" spans="1:24" s="26" customFormat="1" hidden="1">
      <c r="A1101" s="33"/>
      <c r="B1101" s="108"/>
      <c r="C1101" s="108"/>
      <c r="D1101" s="31" t="str">
        <f t="shared" si="216"/>
        <v>怪兽充电</v>
      </c>
      <c r="E1101" s="108"/>
      <c r="F1101" s="111"/>
      <c r="G1101" s="108"/>
      <c r="H1101" s="108"/>
      <c r="I1101" s="108"/>
      <c r="J1101" s="108"/>
      <c r="K1101" s="31" t="str">
        <f t="shared" si="217"/>
        <v>运营中</v>
      </c>
      <c r="L1101" s="108"/>
      <c r="M1101" s="108"/>
      <c r="N1101" s="12">
        <v>1</v>
      </c>
      <c r="O1101" s="36">
        <v>42943</v>
      </c>
      <c r="P1101" s="17" t="s">
        <v>262</v>
      </c>
      <c r="Q1101" s="12" t="s">
        <v>409</v>
      </c>
      <c r="R1101" s="12" t="s">
        <v>3782</v>
      </c>
      <c r="S1101" s="108"/>
      <c r="T1101" s="108"/>
      <c r="U1101" s="111"/>
      <c r="V1101" s="108"/>
      <c r="W1101" s="108"/>
      <c r="X1101" s="108"/>
    </row>
    <row r="1102" spans="1:24" s="26" customFormat="1" hidden="1">
      <c r="A1102" s="33"/>
      <c r="B1102" s="108"/>
      <c r="C1102" s="108"/>
      <c r="D1102" s="31" t="str">
        <f t="shared" si="216"/>
        <v>怪兽充电</v>
      </c>
      <c r="E1102" s="108"/>
      <c r="F1102" s="111"/>
      <c r="G1102" s="108"/>
      <c r="H1102" s="108"/>
      <c r="I1102" s="108"/>
      <c r="J1102" s="108"/>
      <c r="K1102" s="31" t="str">
        <f t="shared" si="217"/>
        <v>运营中</v>
      </c>
      <c r="L1102" s="108"/>
      <c r="M1102" s="108"/>
      <c r="N1102" s="12">
        <v>1</v>
      </c>
      <c r="O1102" s="36">
        <v>42846</v>
      </c>
      <c r="P1102" s="12" t="s">
        <v>326</v>
      </c>
      <c r="Q1102" s="12" t="s">
        <v>341</v>
      </c>
      <c r="R1102" s="12" t="s">
        <v>3783</v>
      </c>
      <c r="S1102" s="108"/>
      <c r="T1102" s="108"/>
      <c r="U1102" s="111"/>
      <c r="V1102" s="108"/>
      <c r="W1102" s="108"/>
      <c r="X1102" s="108"/>
    </row>
    <row r="1103" spans="1:24" s="26" customFormat="1" hidden="1">
      <c r="A1103" s="33"/>
      <c r="B1103" s="108"/>
      <c r="C1103" s="108" t="s">
        <v>3784</v>
      </c>
      <c r="D1103" s="31" t="s">
        <v>3785</v>
      </c>
      <c r="E1103" s="108" t="s">
        <v>3785</v>
      </c>
      <c r="F1103" s="111" t="s">
        <v>3786</v>
      </c>
      <c r="G1103" s="108"/>
      <c r="H1103" s="108" t="s">
        <v>3787</v>
      </c>
      <c r="I1103" s="108" t="s">
        <v>3332</v>
      </c>
      <c r="J1103" s="107" t="s">
        <v>1564</v>
      </c>
      <c r="K1103" s="31" t="s">
        <v>272</v>
      </c>
      <c r="L1103" s="107" t="s">
        <v>273</v>
      </c>
      <c r="M1103" s="107" t="s">
        <v>3788</v>
      </c>
      <c r="N1103" s="12">
        <v>1</v>
      </c>
      <c r="O1103" s="36">
        <v>44358</v>
      </c>
      <c r="P1103" s="12" t="s">
        <v>471</v>
      </c>
      <c r="Q1103" s="12" t="s">
        <v>276</v>
      </c>
      <c r="R1103" s="17" t="s">
        <v>3789</v>
      </c>
      <c r="S1103" s="108" t="s">
        <v>3790</v>
      </c>
      <c r="T1103" s="107" t="s">
        <v>255</v>
      </c>
      <c r="U1103" s="111" t="s">
        <v>3791</v>
      </c>
      <c r="V1103" s="108"/>
      <c r="W1103" s="108"/>
      <c r="X1103" s="108"/>
    </row>
    <row r="1104" spans="1:24" s="26" customFormat="1" hidden="1">
      <c r="A1104" s="33"/>
      <c r="B1104" s="108"/>
      <c r="C1104" s="108"/>
      <c r="D1104" s="31" t="str">
        <f>D1103</f>
        <v>DeepMap</v>
      </c>
      <c r="E1104" s="108"/>
      <c r="F1104" s="111"/>
      <c r="G1104" s="108"/>
      <c r="H1104" s="108"/>
      <c r="I1104" s="108"/>
      <c r="J1104" s="108"/>
      <c r="K1104" s="31" t="str">
        <f t="shared" ref="K1104:K1107" si="218">K1103</f>
        <v>运营中</v>
      </c>
      <c r="L1104" s="108"/>
      <c r="M1104" s="108"/>
      <c r="N1104" s="12">
        <v>1</v>
      </c>
      <c r="O1104" s="36">
        <v>43469</v>
      </c>
      <c r="P1104" s="12" t="s">
        <v>285</v>
      </c>
      <c r="Q1104" s="12" t="s">
        <v>276</v>
      </c>
      <c r="R1104" s="12" t="s">
        <v>3457</v>
      </c>
      <c r="S1104" s="108"/>
      <c r="T1104" s="108"/>
      <c r="U1104" s="111"/>
      <c r="V1104" s="108"/>
      <c r="W1104" s="108"/>
      <c r="X1104" s="108"/>
    </row>
    <row r="1105" spans="1:25" s="26" customFormat="1" hidden="1">
      <c r="A1105" s="33"/>
      <c r="B1105" s="108"/>
      <c r="C1105" s="108"/>
      <c r="D1105" s="31" t="str">
        <f>D1104</f>
        <v>DeepMap</v>
      </c>
      <c r="E1105" s="108"/>
      <c r="F1105" s="111"/>
      <c r="G1105" s="108"/>
      <c r="H1105" s="108"/>
      <c r="I1105" s="108"/>
      <c r="J1105" s="108"/>
      <c r="K1105" s="31" t="str">
        <f t="shared" si="218"/>
        <v>运营中</v>
      </c>
      <c r="L1105" s="108"/>
      <c r="M1105" s="108"/>
      <c r="N1105" s="12">
        <v>1</v>
      </c>
      <c r="O1105" s="36">
        <v>43290</v>
      </c>
      <c r="P1105" s="17" t="s">
        <v>257</v>
      </c>
      <c r="Q1105" s="17" t="s">
        <v>885</v>
      </c>
      <c r="R1105" s="12" t="s">
        <v>3792</v>
      </c>
      <c r="S1105" s="108"/>
      <c r="T1105" s="108"/>
      <c r="U1105" s="111"/>
      <c r="V1105" s="108"/>
      <c r="W1105" s="108"/>
      <c r="X1105" s="108"/>
    </row>
    <row r="1106" spans="1:25" s="26" customFormat="1" hidden="1">
      <c r="A1106" s="33"/>
      <c r="B1106" s="108"/>
      <c r="C1106" s="108"/>
      <c r="D1106" s="31" t="str">
        <f>D1105</f>
        <v>DeepMap</v>
      </c>
      <c r="E1106" s="108"/>
      <c r="F1106" s="111"/>
      <c r="G1106" s="108"/>
      <c r="H1106" s="108"/>
      <c r="I1106" s="108"/>
      <c r="J1106" s="108"/>
      <c r="K1106" s="31" t="str">
        <f t="shared" si="218"/>
        <v>运营中</v>
      </c>
      <c r="L1106" s="108"/>
      <c r="M1106" s="108"/>
      <c r="N1106" s="12">
        <v>1</v>
      </c>
      <c r="O1106" s="36">
        <v>42860</v>
      </c>
      <c r="P1106" s="17" t="s">
        <v>262</v>
      </c>
      <c r="Q1106" s="17" t="s">
        <v>987</v>
      </c>
      <c r="R1106" s="12" t="s">
        <v>3793</v>
      </c>
      <c r="S1106" s="108"/>
      <c r="T1106" s="108"/>
      <c r="U1106" s="111"/>
      <c r="V1106" s="108"/>
      <c r="W1106" s="108"/>
      <c r="X1106" s="108"/>
    </row>
    <row r="1107" spans="1:25" s="26" customFormat="1" hidden="1">
      <c r="A1107" s="33"/>
      <c r="B1107" s="108"/>
      <c r="C1107" s="108"/>
      <c r="D1107" s="31" t="str">
        <f>D1106</f>
        <v>DeepMap</v>
      </c>
      <c r="E1107" s="108"/>
      <c r="F1107" s="111"/>
      <c r="G1107" s="108"/>
      <c r="H1107" s="108"/>
      <c r="I1107" s="108"/>
      <c r="J1107" s="108"/>
      <c r="K1107" s="31" t="str">
        <f t="shared" si="218"/>
        <v>运营中</v>
      </c>
      <c r="L1107" s="108"/>
      <c r="M1107" s="108"/>
      <c r="N1107" s="12">
        <v>1</v>
      </c>
      <c r="O1107" s="36">
        <v>42491</v>
      </c>
      <c r="P1107" s="12" t="s">
        <v>326</v>
      </c>
      <c r="Q1107" s="17" t="s">
        <v>3699</v>
      </c>
      <c r="R1107" s="12" t="s">
        <v>325</v>
      </c>
      <c r="S1107" s="108"/>
      <c r="T1107" s="108"/>
      <c r="U1107" s="111"/>
      <c r="V1107" s="108"/>
      <c r="W1107" s="108"/>
      <c r="X1107" s="108"/>
    </row>
    <row r="1108" spans="1:25" s="26" customFormat="1" hidden="1">
      <c r="A1108" s="33"/>
      <c r="B1108" s="108"/>
      <c r="C1108" s="108" t="s">
        <v>3794</v>
      </c>
      <c r="D1108" s="31" t="s">
        <v>3795</v>
      </c>
      <c r="E1108" s="108" t="s">
        <v>3795</v>
      </c>
      <c r="F1108" s="111" t="s">
        <v>3796</v>
      </c>
      <c r="G1108" s="108"/>
      <c r="H1108" s="108" t="s">
        <v>3797</v>
      </c>
      <c r="I1108" s="108" t="s">
        <v>3798</v>
      </c>
      <c r="J1108" s="107" t="s">
        <v>1564</v>
      </c>
      <c r="K1108" s="31" t="s">
        <v>272</v>
      </c>
      <c r="L1108" s="107" t="s">
        <v>407</v>
      </c>
      <c r="M1108" s="107" t="s">
        <v>408</v>
      </c>
      <c r="N1108" s="12"/>
      <c r="O1108" s="36">
        <v>43008</v>
      </c>
      <c r="P1108" s="17" t="s">
        <v>523</v>
      </c>
      <c r="Q1108" s="17" t="s">
        <v>3799</v>
      </c>
      <c r="R1108" s="12" t="s">
        <v>240</v>
      </c>
      <c r="S1108" s="108" t="s">
        <v>3800</v>
      </c>
      <c r="T1108" s="108" t="s">
        <v>3801</v>
      </c>
      <c r="U1108" s="111" t="s">
        <v>3802</v>
      </c>
      <c r="V1108" s="108"/>
      <c r="W1108" s="108"/>
      <c r="X1108" s="108"/>
    </row>
    <row r="1109" spans="1:25" s="26" customFormat="1" hidden="1">
      <c r="A1109" s="33"/>
      <c r="B1109" s="108"/>
      <c r="C1109" s="108"/>
      <c r="D1109" s="31" t="str">
        <f>D1108</f>
        <v>MariaDB</v>
      </c>
      <c r="E1109" s="108"/>
      <c r="F1109" s="111"/>
      <c r="G1109" s="108"/>
      <c r="H1109" s="108"/>
      <c r="I1109" s="108"/>
      <c r="J1109" s="108"/>
      <c r="K1109" s="31" t="str">
        <f>K1108</f>
        <v>运营中</v>
      </c>
      <c r="L1109" s="108"/>
      <c r="M1109" s="108"/>
      <c r="N1109" s="17"/>
      <c r="O1109" s="36">
        <v>42864</v>
      </c>
      <c r="P1109" s="17" t="s">
        <v>251</v>
      </c>
      <c r="Q1109" s="17" t="s">
        <v>3803</v>
      </c>
      <c r="R1109" s="17" t="s">
        <v>3804</v>
      </c>
      <c r="S1109" s="108"/>
      <c r="T1109" s="108"/>
      <c r="U1109" s="111"/>
      <c r="V1109" s="108"/>
      <c r="W1109" s="108"/>
      <c r="X1109" s="108"/>
    </row>
    <row r="1110" spans="1:25" s="26" customFormat="1" ht="77.5" customHeight="1">
      <c r="A1110" s="11"/>
      <c r="B1110" s="108"/>
      <c r="C1110" s="108" t="s">
        <v>3579</v>
      </c>
      <c r="D1110" s="31" t="s">
        <v>3805</v>
      </c>
      <c r="E1110" s="109" t="s">
        <v>3806</v>
      </c>
      <c r="F1110" s="112" t="s">
        <v>3807</v>
      </c>
      <c r="G1110" s="108"/>
      <c r="H1110" s="108" t="s">
        <v>3808</v>
      </c>
      <c r="I1110" s="109" t="s">
        <v>3584</v>
      </c>
      <c r="J1110" s="109" t="s">
        <v>1502</v>
      </c>
      <c r="K1110" s="20" t="s">
        <v>1042</v>
      </c>
      <c r="L1110" s="109" t="s">
        <v>3809</v>
      </c>
      <c r="M1110" s="109" t="s">
        <v>3810</v>
      </c>
      <c r="N1110" s="13"/>
      <c r="O1110" s="24">
        <v>44509</v>
      </c>
      <c r="P1110" s="13" t="s">
        <v>3648</v>
      </c>
      <c r="Q1110" s="13" t="s">
        <v>3811</v>
      </c>
      <c r="R1110" s="13" t="s">
        <v>3812</v>
      </c>
      <c r="S1110" s="109" t="s">
        <v>3813</v>
      </c>
      <c r="T1110" s="109" t="s">
        <v>3814</v>
      </c>
      <c r="U1110" s="112" t="s">
        <v>3815</v>
      </c>
      <c r="V1110" s="108"/>
      <c r="W1110" s="108"/>
      <c r="X1110" s="108"/>
      <c r="Y1110" s="11"/>
    </row>
    <row r="1111" spans="1:25" s="26" customFormat="1" hidden="1">
      <c r="A1111" s="33"/>
      <c r="B1111" s="108"/>
      <c r="C1111" s="108"/>
      <c r="D1111" s="31" t="str">
        <f>D1110</f>
        <v>桥彼道Qupital</v>
      </c>
      <c r="E1111" s="108"/>
      <c r="F1111" s="111"/>
      <c r="G1111" s="108"/>
      <c r="H1111" s="108"/>
      <c r="I1111" s="108"/>
      <c r="J1111" s="108"/>
      <c r="K1111" s="31" t="str">
        <f t="shared" ref="K1111:K1112" si="219">K1110</f>
        <v>运营中</v>
      </c>
      <c r="L1111" s="108"/>
      <c r="M1111" s="108"/>
      <c r="N1111" s="17"/>
      <c r="O1111" s="36">
        <v>43551</v>
      </c>
      <c r="P1111" s="17" t="s">
        <v>262</v>
      </c>
      <c r="Q1111" s="17" t="s">
        <v>322</v>
      </c>
      <c r="R1111" s="12" t="s">
        <v>3816</v>
      </c>
      <c r="S1111" s="108"/>
      <c r="T1111" s="108"/>
      <c r="U1111" s="111"/>
      <c r="V1111" s="108"/>
      <c r="W1111" s="108"/>
      <c r="X1111" s="108"/>
    </row>
    <row r="1112" spans="1:25" s="26" customFormat="1" hidden="1">
      <c r="A1112" s="33"/>
      <c r="B1112" s="108"/>
      <c r="C1112" s="108"/>
      <c r="D1112" s="31" t="str">
        <f>D1111</f>
        <v>桥彼道Qupital</v>
      </c>
      <c r="E1112" s="108"/>
      <c r="F1112" s="111"/>
      <c r="G1112" s="108"/>
      <c r="H1112" s="108"/>
      <c r="I1112" s="108"/>
      <c r="J1112" s="108"/>
      <c r="K1112" s="31" t="str">
        <f t="shared" si="219"/>
        <v>运营中</v>
      </c>
      <c r="L1112" s="108"/>
      <c r="M1112" s="108"/>
      <c r="N1112" s="17"/>
      <c r="O1112" s="36">
        <v>42873</v>
      </c>
      <c r="P1112" s="12" t="s">
        <v>437</v>
      </c>
      <c r="Q1112" s="17" t="s">
        <v>527</v>
      </c>
      <c r="R1112" s="17" t="s">
        <v>3817</v>
      </c>
      <c r="S1112" s="108"/>
      <c r="T1112" s="108"/>
      <c r="U1112" s="111"/>
      <c r="V1112" s="108"/>
      <c r="W1112" s="108"/>
      <c r="X1112" s="108"/>
    </row>
    <row r="1113" spans="1:25" s="26" customFormat="1" hidden="1">
      <c r="A1113" s="33"/>
      <c r="B1113" s="108"/>
      <c r="C1113" s="108" t="s">
        <v>3818</v>
      </c>
      <c r="D1113" s="31" t="s">
        <v>3819</v>
      </c>
      <c r="E1113" s="107" t="s">
        <v>3819</v>
      </c>
      <c r="F1113" s="110" t="s">
        <v>3820</v>
      </c>
      <c r="G1113" s="107" t="s">
        <v>3821</v>
      </c>
      <c r="H1113" s="108" t="s">
        <v>3822</v>
      </c>
      <c r="I1113" s="108" t="s">
        <v>3823</v>
      </c>
      <c r="J1113" s="107" t="s">
        <v>547</v>
      </c>
      <c r="K1113" s="31" t="s">
        <v>272</v>
      </c>
      <c r="L1113" s="107" t="s">
        <v>672</v>
      </c>
      <c r="M1113" s="107" t="s">
        <v>853</v>
      </c>
      <c r="N1113" s="12"/>
      <c r="O1113" s="36">
        <v>44004</v>
      </c>
      <c r="P1113" s="12" t="s">
        <v>285</v>
      </c>
      <c r="Q1113" s="12" t="s">
        <v>252</v>
      </c>
      <c r="R1113" s="12" t="s">
        <v>342</v>
      </c>
      <c r="S1113" s="108" t="s">
        <v>3824</v>
      </c>
      <c r="T1113" s="107" t="s">
        <v>255</v>
      </c>
      <c r="U1113" s="110" t="s">
        <v>3825</v>
      </c>
      <c r="V1113" s="107" t="s">
        <v>3826</v>
      </c>
      <c r="W1113" s="108" t="s">
        <v>3827</v>
      </c>
      <c r="X1113" s="108" t="s">
        <v>3828</v>
      </c>
    </row>
    <row r="1114" spans="1:25" s="26" customFormat="1" hidden="1">
      <c r="A1114" s="33"/>
      <c r="B1114" s="108"/>
      <c r="C1114" s="108"/>
      <c r="D1114" s="31" t="str">
        <f t="shared" ref="D1114:D1119" si="220">D1113</f>
        <v>盖得排行</v>
      </c>
      <c r="E1114" s="108"/>
      <c r="F1114" s="111"/>
      <c r="G1114" s="108"/>
      <c r="H1114" s="108"/>
      <c r="I1114" s="108"/>
      <c r="J1114" s="108"/>
      <c r="K1114" s="31" t="str">
        <f t="shared" ref="K1114:K1119" si="221">K1113</f>
        <v>运营中</v>
      </c>
      <c r="L1114" s="108"/>
      <c r="M1114" s="108"/>
      <c r="N1114" s="17"/>
      <c r="O1114" s="36">
        <v>43545</v>
      </c>
      <c r="P1114" s="12" t="s">
        <v>285</v>
      </c>
      <c r="Q1114" s="12" t="s">
        <v>252</v>
      </c>
      <c r="R1114" s="12" t="s">
        <v>3829</v>
      </c>
      <c r="S1114" s="108"/>
      <c r="T1114" s="108"/>
      <c r="U1114" s="111"/>
      <c r="V1114" s="108"/>
      <c r="W1114" s="108"/>
      <c r="X1114" s="108"/>
    </row>
    <row r="1115" spans="1:25" s="26" customFormat="1" hidden="1">
      <c r="A1115" s="33"/>
      <c r="B1115" s="108"/>
      <c r="C1115" s="108"/>
      <c r="D1115" s="31" t="str">
        <f t="shared" si="220"/>
        <v>盖得排行</v>
      </c>
      <c r="E1115" s="108"/>
      <c r="F1115" s="111"/>
      <c r="G1115" s="108"/>
      <c r="H1115" s="108"/>
      <c r="I1115" s="108"/>
      <c r="J1115" s="108"/>
      <c r="K1115" s="31" t="str">
        <f t="shared" si="221"/>
        <v>运营中</v>
      </c>
      <c r="L1115" s="108"/>
      <c r="M1115" s="108"/>
      <c r="N1115" s="17"/>
      <c r="O1115" s="36">
        <v>43272</v>
      </c>
      <c r="P1115" s="17" t="s">
        <v>257</v>
      </c>
      <c r="Q1115" s="17" t="s">
        <v>1164</v>
      </c>
      <c r="R1115" s="12" t="s">
        <v>3830</v>
      </c>
      <c r="S1115" s="108"/>
      <c r="T1115" s="108"/>
      <c r="U1115" s="111"/>
      <c r="V1115" s="108"/>
      <c r="W1115" s="108"/>
      <c r="X1115" s="108"/>
    </row>
    <row r="1116" spans="1:25" s="26" customFormat="1" hidden="1">
      <c r="A1116" s="33"/>
      <c r="B1116" s="108"/>
      <c r="C1116" s="108"/>
      <c r="D1116" s="31" t="str">
        <f t="shared" si="220"/>
        <v>盖得排行</v>
      </c>
      <c r="E1116" s="108"/>
      <c r="F1116" s="111"/>
      <c r="G1116" s="108"/>
      <c r="H1116" s="108"/>
      <c r="I1116" s="108"/>
      <c r="J1116" s="108"/>
      <c r="K1116" s="31" t="str">
        <f t="shared" si="221"/>
        <v>运营中</v>
      </c>
      <c r="L1116" s="108"/>
      <c r="M1116" s="108"/>
      <c r="N1116" s="17"/>
      <c r="O1116" s="36">
        <v>43089</v>
      </c>
      <c r="P1116" s="17" t="s">
        <v>262</v>
      </c>
      <c r="Q1116" s="17" t="s">
        <v>360</v>
      </c>
      <c r="R1116" s="12" t="s">
        <v>3831</v>
      </c>
      <c r="S1116" s="108"/>
      <c r="T1116" s="108"/>
      <c r="U1116" s="111"/>
      <c r="V1116" s="108"/>
      <c r="W1116" s="108"/>
      <c r="X1116" s="108"/>
    </row>
    <row r="1117" spans="1:25" s="26" customFormat="1" hidden="1">
      <c r="A1117" s="33"/>
      <c r="B1117" s="108"/>
      <c r="C1117" s="108"/>
      <c r="D1117" s="31" t="str">
        <f t="shared" si="220"/>
        <v>盖得排行</v>
      </c>
      <c r="E1117" s="108"/>
      <c r="F1117" s="111"/>
      <c r="G1117" s="108"/>
      <c r="H1117" s="108"/>
      <c r="I1117" s="108"/>
      <c r="J1117" s="108"/>
      <c r="K1117" s="31" t="str">
        <f t="shared" si="221"/>
        <v>运营中</v>
      </c>
      <c r="L1117" s="108"/>
      <c r="M1117" s="108"/>
      <c r="N1117" s="17"/>
      <c r="O1117" s="36">
        <v>42978</v>
      </c>
      <c r="P1117" s="17" t="s">
        <v>721</v>
      </c>
      <c r="Q1117" s="17" t="s">
        <v>360</v>
      </c>
      <c r="R1117" s="12" t="s">
        <v>3832</v>
      </c>
      <c r="S1117" s="108"/>
      <c r="T1117" s="108"/>
      <c r="U1117" s="111"/>
      <c r="V1117" s="108"/>
      <c r="W1117" s="108"/>
      <c r="X1117" s="108"/>
    </row>
    <row r="1118" spans="1:25" s="26" customFormat="1" hidden="1">
      <c r="A1118" s="33"/>
      <c r="B1118" s="108"/>
      <c r="C1118" s="108"/>
      <c r="D1118" s="31" t="str">
        <f t="shared" si="220"/>
        <v>盖得排行</v>
      </c>
      <c r="E1118" s="108"/>
      <c r="F1118" s="111"/>
      <c r="G1118" s="108"/>
      <c r="H1118" s="108"/>
      <c r="I1118" s="108"/>
      <c r="J1118" s="108"/>
      <c r="K1118" s="31" t="str">
        <f t="shared" si="221"/>
        <v>运营中</v>
      </c>
      <c r="L1118" s="108"/>
      <c r="M1118" s="108"/>
      <c r="N1118" s="17"/>
      <c r="O1118" s="36">
        <v>42878</v>
      </c>
      <c r="P1118" s="17" t="s">
        <v>721</v>
      </c>
      <c r="Q1118" s="17" t="s">
        <v>3833</v>
      </c>
      <c r="R1118" s="12" t="s">
        <v>3834</v>
      </c>
      <c r="S1118" s="108"/>
      <c r="T1118" s="108"/>
      <c r="U1118" s="111"/>
      <c r="V1118" s="108"/>
      <c r="W1118" s="108"/>
      <c r="X1118" s="108"/>
    </row>
    <row r="1119" spans="1:25" s="26" customFormat="1" hidden="1">
      <c r="A1119" s="33"/>
      <c r="B1119" s="108"/>
      <c r="C1119" s="108"/>
      <c r="D1119" s="31" t="str">
        <f t="shared" si="220"/>
        <v>盖得排行</v>
      </c>
      <c r="E1119" s="108"/>
      <c r="F1119" s="111"/>
      <c r="G1119" s="108"/>
      <c r="H1119" s="108"/>
      <c r="I1119" s="108"/>
      <c r="J1119" s="108"/>
      <c r="K1119" s="31" t="str">
        <f t="shared" si="221"/>
        <v>运营中</v>
      </c>
      <c r="L1119" s="108"/>
      <c r="M1119" s="108"/>
      <c r="N1119" s="17"/>
      <c r="O1119" s="36">
        <v>42499</v>
      </c>
      <c r="P1119" s="12" t="s">
        <v>326</v>
      </c>
      <c r="Q1119" s="12" t="s">
        <v>252</v>
      </c>
      <c r="R1119" s="12" t="s">
        <v>3835</v>
      </c>
      <c r="S1119" s="108"/>
      <c r="T1119" s="108"/>
      <c r="U1119" s="111"/>
      <c r="V1119" s="108"/>
      <c r="W1119" s="108"/>
      <c r="X1119" s="108"/>
    </row>
    <row r="1120" spans="1:25" s="26" customFormat="1" hidden="1">
      <c r="A1120" s="33"/>
      <c r="B1120" s="108"/>
      <c r="C1120" s="108" t="s">
        <v>3836</v>
      </c>
      <c r="D1120" s="31" t="s">
        <v>3837</v>
      </c>
      <c r="E1120" s="107" t="s">
        <v>3837</v>
      </c>
      <c r="F1120" s="110" t="s">
        <v>3838</v>
      </c>
      <c r="G1120" s="107" t="s">
        <v>3839</v>
      </c>
      <c r="H1120" s="108" t="s">
        <v>3840</v>
      </c>
      <c r="I1120" s="108" t="s">
        <v>3841</v>
      </c>
      <c r="J1120" s="107" t="s">
        <v>3842</v>
      </c>
      <c r="K1120" s="31" t="s">
        <v>272</v>
      </c>
      <c r="L1120" s="107" t="s">
        <v>944</v>
      </c>
      <c r="M1120" s="107" t="s">
        <v>3642</v>
      </c>
      <c r="N1120" s="12"/>
      <c r="O1120" s="36">
        <v>42880</v>
      </c>
      <c r="P1120" s="17" t="s">
        <v>257</v>
      </c>
      <c r="Q1120" s="17" t="s">
        <v>3843</v>
      </c>
      <c r="R1120" s="12" t="s">
        <v>3844</v>
      </c>
      <c r="S1120" s="108" t="s">
        <v>3845</v>
      </c>
      <c r="T1120" s="108" t="s">
        <v>3846</v>
      </c>
      <c r="U1120" s="110" t="s">
        <v>3847</v>
      </c>
      <c r="V1120" s="107" t="s">
        <v>3848</v>
      </c>
      <c r="W1120" s="108" t="s">
        <v>3849</v>
      </c>
      <c r="X1120" s="108" t="s">
        <v>3850</v>
      </c>
    </row>
    <row r="1121" spans="1:24" s="26" customFormat="1" hidden="1">
      <c r="A1121" s="33"/>
      <c r="B1121" s="108"/>
      <c r="C1121" s="108"/>
      <c r="D1121" s="31" t="str">
        <f>D1120</f>
        <v>海尔家居</v>
      </c>
      <c r="E1121" s="108"/>
      <c r="F1121" s="111"/>
      <c r="G1121" s="108"/>
      <c r="H1121" s="108"/>
      <c r="I1121" s="108"/>
      <c r="J1121" s="108"/>
      <c r="K1121" s="31" t="str">
        <f>K1120</f>
        <v>运营中</v>
      </c>
      <c r="L1121" s="108"/>
      <c r="M1121" s="108"/>
      <c r="N1121" s="17"/>
      <c r="O1121" s="36">
        <v>41616</v>
      </c>
      <c r="P1121" s="12" t="s">
        <v>285</v>
      </c>
      <c r="Q1121" s="17" t="s">
        <v>3851</v>
      </c>
      <c r="R1121" s="12" t="s">
        <v>240</v>
      </c>
      <c r="S1121" s="108"/>
      <c r="T1121" s="108"/>
      <c r="U1121" s="111"/>
      <c r="V1121" s="108"/>
      <c r="W1121" s="108"/>
      <c r="X1121" s="108"/>
    </row>
    <row r="1122" spans="1:24" s="26" customFormat="1" hidden="1">
      <c r="A1122" s="33"/>
      <c r="B1122" s="108"/>
      <c r="C1122" s="108" t="s">
        <v>3852</v>
      </c>
      <c r="D1122" s="31" t="s">
        <v>3853</v>
      </c>
      <c r="E1122" s="107" t="s">
        <v>3853</v>
      </c>
      <c r="F1122" s="110" t="s">
        <v>3854</v>
      </c>
      <c r="G1122" s="107" t="s">
        <v>3855</v>
      </c>
      <c r="H1122" s="108" t="s">
        <v>3856</v>
      </c>
      <c r="I1122" s="108" t="s">
        <v>3857</v>
      </c>
      <c r="J1122" s="107" t="s">
        <v>973</v>
      </c>
      <c r="K1122" s="31" t="s">
        <v>272</v>
      </c>
      <c r="L1122" s="107" t="s">
        <v>672</v>
      </c>
      <c r="M1122" s="107" t="s">
        <v>673</v>
      </c>
      <c r="N1122" s="12">
        <v>1</v>
      </c>
      <c r="O1122" s="36">
        <v>42882</v>
      </c>
      <c r="P1122" s="17" t="s">
        <v>687</v>
      </c>
      <c r="Q1122" s="12" t="s">
        <v>409</v>
      </c>
      <c r="R1122" s="12" t="s">
        <v>240</v>
      </c>
      <c r="S1122" s="108" t="s">
        <v>3858</v>
      </c>
      <c r="T1122" s="108" t="s">
        <v>412</v>
      </c>
      <c r="U1122" s="111"/>
      <c r="V1122" s="107" t="s">
        <v>3859</v>
      </c>
      <c r="W1122" s="108" t="s">
        <v>3860</v>
      </c>
      <c r="X1122" s="108" t="s">
        <v>3861</v>
      </c>
    </row>
    <row r="1123" spans="1:24" s="26" customFormat="1" hidden="1">
      <c r="A1123" s="33"/>
      <c r="B1123" s="108"/>
      <c r="C1123" s="108"/>
      <c r="D1123" s="31" t="str">
        <f>D1122</f>
        <v>联华超市</v>
      </c>
      <c r="E1123" s="108"/>
      <c r="F1123" s="111"/>
      <c r="G1123" s="108"/>
      <c r="H1123" s="108"/>
      <c r="I1123" s="108"/>
      <c r="J1123" s="108"/>
      <c r="K1123" s="31" t="str">
        <f t="shared" ref="K1123:K1124" si="222">K1122</f>
        <v>运营中</v>
      </c>
      <c r="L1123" s="108"/>
      <c r="M1123" s="108"/>
      <c r="N1123" s="12">
        <v>1</v>
      </c>
      <c r="O1123" s="36">
        <v>42727</v>
      </c>
      <c r="P1123" s="17" t="s">
        <v>687</v>
      </c>
      <c r="Q1123" s="17" t="s">
        <v>3862</v>
      </c>
      <c r="R1123" s="12" t="s">
        <v>723</v>
      </c>
      <c r="S1123" s="108"/>
      <c r="T1123" s="108"/>
      <c r="U1123" s="111"/>
      <c r="V1123" s="108"/>
      <c r="W1123" s="108"/>
      <c r="X1123" s="108"/>
    </row>
    <row r="1124" spans="1:24" s="26" customFormat="1" hidden="1">
      <c r="A1124" s="33"/>
      <c r="B1124" s="108"/>
      <c r="C1124" s="108"/>
      <c r="D1124" s="31" t="str">
        <f>D1123</f>
        <v>联华超市</v>
      </c>
      <c r="E1124" s="108"/>
      <c r="F1124" s="111"/>
      <c r="G1124" s="108"/>
      <c r="H1124" s="108"/>
      <c r="I1124" s="108"/>
      <c r="J1124" s="108"/>
      <c r="K1124" s="31" t="str">
        <f t="shared" si="222"/>
        <v>运营中</v>
      </c>
      <c r="L1124" s="108"/>
      <c r="M1124" s="108"/>
      <c r="N1124" s="12">
        <v>1</v>
      </c>
      <c r="O1124" s="36">
        <v>37799</v>
      </c>
      <c r="P1124" s="17" t="s">
        <v>283</v>
      </c>
      <c r="Q1124" s="12" t="s">
        <v>3686</v>
      </c>
      <c r="R1124" s="17" t="s">
        <v>253</v>
      </c>
      <c r="S1124" s="108"/>
      <c r="T1124" s="108"/>
      <c r="U1124" s="111"/>
      <c r="V1124" s="108"/>
      <c r="W1124" s="108"/>
      <c r="X1124" s="108"/>
    </row>
    <row r="1125" spans="1:24" s="26" customFormat="1" ht="48" hidden="1">
      <c r="A1125" s="33"/>
      <c r="B1125" s="108"/>
      <c r="C1125" s="17" t="s">
        <v>3863</v>
      </c>
      <c r="D1125" s="38" t="s">
        <v>3864</v>
      </c>
      <c r="E1125" s="12" t="s">
        <v>3864</v>
      </c>
      <c r="F1125" s="32" t="s">
        <v>3865</v>
      </c>
      <c r="G1125" s="12" t="s">
        <v>3866</v>
      </c>
      <c r="H1125" s="17"/>
      <c r="I1125" s="17" t="s">
        <v>3867</v>
      </c>
      <c r="J1125" s="12" t="s">
        <v>271</v>
      </c>
      <c r="K1125" s="38" t="s">
        <v>272</v>
      </c>
      <c r="L1125" s="12" t="s">
        <v>407</v>
      </c>
      <c r="M1125" s="12" t="s">
        <v>1932</v>
      </c>
      <c r="N1125" s="12">
        <v>1</v>
      </c>
      <c r="O1125" s="36">
        <v>43223</v>
      </c>
      <c r="P1125" s="12" t="s">
        <v>471</v>
      </c>
      <c r="Q1125" s="12" t="s">
        <v>252</v>
      </c>
      <c r="R1125" s="12" t="s">
        <v>240</v>
      </c>
      <c r="S1125" s="17" t="s">
        <v>253</v>
      </c>
      <c r="T1125" s="12" t="s">
        <v>255</v>
      </c>
      <c r="U1125" s="32" t="s">
        <v>3868</v>
      </c>
      <c r="V1125" s="12" t="s">
        <v>3869</v>
      </c>
      <c r="W1125" s="17" t="s">
        <v>3870</v>
      </c>
      <c r="X1125" s="17" t="s">
        <v>3871</v>
      </c>
    </row>
    <row r="1126" spans="1:24" s="26" customFormat="1" hidden="1">
      <c r="A1126" s="33"/>
      <c r="B1126" s="108"/>
      <c r="C1126" s="108" t="s">
        <v>3872</v>
      </c>
      <c r="D1126" s="31" t="s">
        <v>3873</v>
      </c>
      <c r="E1126" s="108" t="s">
        <v>3874</v>
      </c>
      <c r="F1126" s="111" t="s">
        <v>3875</v>
      </c>
      <c r="G1126" s="107" t="s">
        <v>3876</v>
      </c>
      <c r="H1126" s="108" t="s">
        <v>3877</v>
      </c>
      <c r="I1126" s="108" t="s">
        <v>3121</v>
      </c>
      <c r="J1126" s="107" t="s">
        <v>547</v>
      </c>
      <c r="K1126" s="31" t="s">
        <v>272</v>
      </c>
      <c r="L1126" s="107" t="s">
        <v>386</v>
      </c>
      <c r="M1126" s="107" t="s">
        <v>929</v>
      </c>
      <c r="N1126" s="12"/>
      <c r="O1126" s="36">
        <v>42905</v>
      </c>
      <c r="P1126" s="17" t="s">
        <v>262</v>
      </c>
      <c r="Q1126" s="12" t="s">
        <v>258</v>
      </c>
      <c r="R1126" s="12" t="s">
        <v>3878</v>
      </c>
      <c r="S1126" s="108" t="s">
        <v>3879</v>
      </c>
      <c r="T1126" s="108" t="s">
        <v>1969</v>
      </c>
      <c r="U1126" s="110" t="s">
        <v>3880</v>
      </c>
      <c r="V1126" s="107" t="s">
        <v>3881</v>
      </c>
      <c r="W1126" s="108" t="s">
        <v>3882</v>
      </c>
      <c r="X1126" s="108"/>
    </row>
    <row r="1127" spans="1:24" s="26" customFormat="1" hidden="1">
      <c r="A1127" s="33"/>
      <c r="B1127" s="108"/>
      <c r="C1127" s="108"/>
      <c r="D1127" s="31" t="str">
        <f>D1126</f>
        <v>Nonolive世讯科技</v>
      </c>
      <c r="E1127" s="108"/>
      <c r="F1127" s="111"/>
      <c r="G1127" s="108"/>
      <c r="H1127" s="108"/>
      <c r="I1127" s="108"/>
      <c r="J1127" s="108"/>
      <c r="K1127" s="31" t="str">
        <f>K1126</f>
        <v>运营中</v>
      </c>
      <c r="L1127" s="108"/>
      <c r="M1127" s="108"/>
      <c r="N1127" s="17"/>
      <c r="O1127" s="36">
        <v>42516</v>
      </c>
      <c r="P1127" s="12" t="s">
        <v>326</v>
      </c>
      <c r="Q1127" s="12" t="s">
        <v>341</v>
      </c>
      <c r="R1127" s="17" t="s">
        <v>3883</v>
      </c>
      <c r="S1127" s="108"/>
      <c r="T1127" s="108"/>
      <c r="U1127" s="111"/>
      <c r="V1127" s="108"/>
      <c r="W1127" s="108"/>
      <c r="X1127" s="108"/>
    </row>
    <row r="1128" spans="1:24" s="26" customFormat="1" hidden="1">
      <c r="A1128" s="33"/>
      <c r="B1128" s="108"/>
      <c r="C1128" s="108" t="s">
        <v>3884</v>
      </c>
      <c r="D1128" s="31" t="s">
        <v>3885</v>
      </c>
      <c r="E1128" s="107" t="s">
        <v>3885</v>
      </c>
      <c r="F1128" s="110" t="s">
        <v>3886</v>
      </c>
      <c r="G1128" s="107" t="s">
        <v>3887</v>
      </c>
      <c r="H1128" s="108" t="s">
        <v>3888</v>
      </c>
      <c r="I1128" s="108" t="s">
        <v>3889</v>
      </c>
      <c r="J1128" s="107" t="s">
        <v>1237</v>
      </c>
      <c r="K1128" s="31" t="s">
        <v>272</v>
      </c>
      <c r="L1128" s="107" t="s">
        <v>407</v>
      </c>
      <c r="M1128" s="107" t="s">
        <v>445</v>
      </c>
      <c r="N1128" s="12"/>
      <c r="O1128" s="36">
        <v>44426</v>
      </c>
      <c r="P1128" s="17" t="s">
        <v>257</v>
      </c>
      <c r="Q1128" s="12" t="s">
        <v>252</v>
      </c>
      <c r="R1128" s="12" t="s">
        <v>3890</v>
      </c>
      <c r="S1128" s="108" t="s">
        <v>3891</v>
      </c>
      <c r="T1128" s="108" t="s">
        <v>3892</v>
      </c>
      <c r="U1128" s="110" t="s">
        <v>3893</v>
      </c>
      <c r="V1128" s="107" t="s">
        <v>3894</v>
      </c>
      <c r="W1128" s="108" t="s">
        <v>3895</v>
      </c>
      <c r="X1128" s="108" t="s">
        <v>3896</v>
      </c>
    </row>
    <row r="1129" spans="1:24" s="26" customFormat="1" hidden="1">
      <c r="A1129" s="33"/>
      <c r="B1129" s="108"/>
      <c r="C1129" s="108"/>
      <c r="D1129" s="31" t="str">
        <f>D1128</f>
        <v>华栖云</v>
      </c>
      <c r="E1129" s="108"/>
      <c r="F1129" s="111"/>
      <c r="G1129" s="108"/>
      <c r="H1129" s="108"/>
      <c r="I1129" s="108"/>
      <c r="J1129" s="108"/>
      <c r="K1129" s="31" t="str">
        <f t="shared" ref="K1129:K1130" si="223">K1128</f>
        <v>运营中</v>
      </c>
      <c r="L1129" s="108"/>
      <c r="M1129" s="108"/>
      <c r="N1129" s="17"/>
      <c r="O1129" s="36">
        <v>43333</v>
      </c>
      <c r="P1129" s="17" t="s">
        <v>262</v>
      </c>
      <c r="Q1129" s="17" t="s">
        <v>637</v>
      </c>
      <c r="R1129" s="12" t="s">
        <v>3897</v>
      </c>
      <c r="S1129" s="108"/>
      <c r="T1129" s="108"/>
      <c r="U1129" s="111"/>
      <c r="V1129" s="108"/>
      <c r="W1129" s="108"/>
      <c r="X1129" s="108"/>
    </row>
    <row r="1130" spans="1:24" s="26" customFormat="1" hidden="1">
      <c r="A1130" s="33"/>
      <c r="B1130" s="108"/>
      <c r="C1130" s="108"/>
      <c r="D1130" s="31" t="str">
        <f>D1129</f>
        <v>华栖云</v>
      </c>
      <c r="E1130" s="108"/>
      <c r="F1130" s="111"/>
      <c r="G1130" s="108"/>
      <c r="H1130" s="108"/>
      <c r="I1130" s="108"/>
      <c r="J1130" s="108"/>
      <c r="K1130" s="31" t="str">
        <f t="shared" si="223"/>
        <v>运营中</v>
      </c>
      <c r="L1130" s="108"/>
      <c r="M1130" s="108"/>
      <c r="N1130" s="17"/>
      <c r="O1130" s="36">
        <v>42763</v>
      </c>
      <c r="P1130" s="12" t="s">
        <v>326</v>
      </c>
      <c r="Q1130" s="12" t="s">
        <v>327</v>
      </c>
      <c r="R1130" s="12" t="s">
        <v>240</v>
      </c>
      <c r="S1130" s="108"/>
      <c r="T1130" s="108"/>
      <c r="U1130" s="111"/>
      <c r="V1130" s="108"/>
      <c r="W1130" s="108"/>
      <c r="X1130" s="108"/>
    </row>
    <row r="1131" spans="1:24" s="26" customFormat="1" hidden="1">
      <c r="A1131" s="33"/>
      <c r="B1131" s="108"/>
      <c r="C1131" s="108" t="s">
        <v>3898</v>
      </c>
      <c r="D1131" s="31" t="s">
        <v>3899</v>
      </c>
      <c r="E1131" s="107" t="s">
        <v>3899</v>
      </c>
      <c r="F1131" s="110" t="s">
        <v>3900</v>
      </c>
      <c r="G1131" s="107" t="s">
        <v>3901</v>
      </c>
      <c r="H1131" s="108" t="s">
        <v>3902</v>
      </c>
      <c r="I1131" s="108" t="s">
        <v>3903</v>
      </c>
      <c r="J1131" s="107" t="s">
        <v>547</v>
      </c>
      <c r="K1131" s="31" t="s">
        <v>272</v>
      </c>
      <c r="L1131" s="107" t="s">
        <v>407</v>
      </c>
      <c r="M1131" s="107" t="s">
        <v>577</v>
      </c>
      <c r="N1131" s="12"/>
      <c r="O1131" s="36">
        <v>44545</v>
      </c>
      <c r="P1131" s="17" t="s">
        <v>565</v>
      </c>
      <c r="Q1131" s="17" t="s">
        <v>1115</v>
      </c>
      <c r="R1131" s="12" t="s">
        <v>3904</v>
      </c>
      <c r="S1131" s="108" t="s">
        <v>3905</v>
      </c>
      <c r="T1131" s="108" t="s">
        <v>3906</v>
      </c>
      <c r="U1131" s="110" t="s">
        <v>3907</v>
      </c>
      <c r="V1131" s="107" t="s">
        <v>3908</v>
      </c>
      <c r="W1131" s="108" t="s">
        <v>3909</v>
      </c>
      <c r="X1131" s="108" t="s">
        <v>3910</v>
      </c>
    </row>
    <row r="1132" spans="1:24" s="26" customFormat="1" hidden="1">
      <c r="A1132" s="33"/>
      <c r="B1132" s="108"/>
      <c r="C1132" s="108"/>
      <c r="D1132" s="31" t="str">
        <f>D1131</f>
        <v>探迹科技</v>
      </c>
      <c r="E1132" s="108"/>
      <c r="F1132" s="111"/>
      <c r="G1132" s="108"/>
      <c r="H1132" s="108"/>
      <c r="I1132" s="108"/>
      <c r="J1132" s="108"/>
      <c r="K1132" s="31" t="str">
        <f t="shared" ref="K1132:K1135" si="224">K1131</f>
        <v>运营中</v>
      </c>
      <c r="L1132" s="108"/>
      <c r="M1132" s="108"/>
      <c r="N1132" s="17"/>
      <c r="O1132" s="36">
        <v>44027</v>
      </c>
      <c r="P1132" s="17" t="s">
        <v>257</v>
      </c>
      <c r="Q1132" s="17" t="s">
        <v>1896</v>
      </c>
      <c r="R1132" s="12" t="s">
        <v>3911</v>
      </c>
      <c r="S1132" s="108"/>
      <c r="T1132" s="108"/>
      <c r="U1132" s="111"/>
      <c r="V1132" s="108"/>
      <c r="W1132" s="108"/>
      <c r="X1132" s="108"/>
    </row>
    <row r="1133" spans="1:24" s="26" customFormat="1" hidden="1">
      <c r="A1133" s="33"/>
      <c r="B1133" s="108"/>
      <c r="C1133" s="108"/>
      <c r="D1133" s="31" t="str">
        <f>D1132</f>
        <v>探迹科技</v>
      </c>
      <c r="E1133" s="108"/>
      <c r="F1133" s="111"/>
      <c r="G1133" s="108"/>
      <c r="H1133" s="108"/>
      <c r="I1133" s="108"/>
      <c r="J1133" s="108"/>
      <c r="K1133" s="31" t="str">
        <f t="shared" si="224"/>
        <v>运营中</v>
      </c>
      <c r="L1133" s="108"/>
      <c r="M1133" s="108"/>
      <c r="N1133" s="17"/>
      <c r="O1133" s="36">
        <v>43340</v>
      </c>
      <c r="P1133" s="17" t="s">
        <v>262</v>
      </c>
      <c r="Q1133" s="17" t="s">
        <v>3761</v>
      </c>
      <c r="R1133" s="12" t="s">
        <v>3912</v>
      </c>
      <c r="S1133" s="108"/>
      <c r="T1133" s="108"/>
      <c r="U1133" s="111"/>
      <c r="V1133" s="108"/>
      <c r="W1133" s="108"/>
      <c r="X1133" s="108"/>
    </row>
    <row r="1134" spans="1:24" s="26" customFormat="1" hidden="1">
      <c r="A1134" s="33"/>
      <c r="B1134" s="108"/>
      <c r="C1134" s="108"/>
      <c r="D1134" s="31" t="str">
        <f>D1133</f>
        <v>探迹科技</v>
      </c>
      <c r="E1134" s="108"/>
      <c r="F1134" s="111"/>
      <c r="G1134" s="108"/>
      <c r="H1134" s="108"/>
      <c r="I1134" s="108"/>
      <c r="J1134" s="108"/>
      <c r="K1134" s="31" t="str">
        <f t="shared" si="224"/>
        <v>运营中</v>
      </c>
      <c r="L1134" s="108"/>
      <c r="M1134" s="108"/>
      <c r="N1134" s="17"/>
      <c r="O1134" s="36">
        <v>42705</v>
      </c>
      <c r="P1134" s="17" t="s">
        <v>721</v>
      </c>
      <c r="Q1134" s="12" t="s">
        <v>341</v>
      </c>
      <c r="R1134" s="12" t="s">
        <v>3913</v>
      </c>
      <c r="S1134" s="108"/>
      <c r="T1134" s="108"/>
      <c r="U1134" s="111"/>
      <c r="V1134" s="108"/>
      <c r="W1134" s="108"/>
      <c r="X1134" s="108"/>
    </row>
    <row r="1135" spans="1:24" s="26" customFormat="1" hidden="1">
      <c r="A1135" s="33"/>
      <c r="B1135" s="108"/>
      <c r="C1135" s="108"/>
      <c r="D1135" s="31" t="str">
        <f>D1134</f>
        <v>探迹科技</v>
      </c>
      <c r="E1135" s="108"/>
      <c r="F1135" s="111"/>
      <c r="G1135" s="108"/>
      <c r="H1135" s="108"/>
      <c r="I1135" s="108"/>
      <c r="J1135" s="108"/>
      <c r="K1135" s="31" t="str">
        <f t="shared" si="224"/>
        <v>运营中</v>
      </c>
      <c r="L1135" s="108"/>
      <c r="M1135" s="108"/>
      <c r="N1135" s="17"/>
      <c r="O1135" s="36">
        <v>42563</v>
      </c>
      <c r="P1135" s="12" t="s">
        <v>326</v>
      </c>
      <c r="Q1135" s="12" t="s">
        <v>327</v>
      </c>
      <c r="R1135" s="12" t="s">
        <v>399</v>
      </c>
      <c r="S1135" s="108"/>
      <c r="T1135" s="108"/>
      <c r="U1135" s="111"/>
      <c r="V1135" s="108"/>
      <c r="W1135" s="108"/>
      <c r="X1135" s="108"/>
    </row>
    <row r="1136" spans="1:24" s="26" customFormat="1" ht="48" hidden="1">
      <c r="A1136" s="33"/>
      <c r="B1136" s="108"/>
      <c r="C1136" s="17" t="s">
        <v>3914</v>
      </c>
      <c r="D1136" s="38" t="s">
        <v>3915</v>
      </c>
      <c r="E1136" s="12" t="s">
        <v>3915</v>
      </c>
      <c r="F1136" s="32" t="s">
        <v>3916</v>
      </c>
      <c r="G1136" s="12" t="s">
        <v>3917</v>
      </c>
      <c r="H1136" s="17" t="s">
        <v>3918</v>
      </c>
      <c r="I1136" s="17" t="s">
        <v>3919</v>
      </c>
      <c r="J1136" s="12" t="s">
        <v>547</v>
      </c>
      <c r="K1136" s="38" t="s">
        <v>272</v>
      </c>
      <c r="L1136" s="12" t="s">
        <v>350</v>
      </c>
      <c r="M1136" s="12" t="s">
        <v>617</v>
      </c>
      <c r="N1136" s="12"/>
      <c r="O1136" s="36">
        <v>43059</v>
      </c>
      <c r="P1136" s="12" t="s">
        <v>285</v>
      </c>
      <c r="Q1136" s="17" t="s">
        <v>3920</v>
      </c>
      <c r="R1136" s="12" t="s">
        <v>240</v>
      </c>
      <c r="S1136" s="17" t="s">
        <v>3921</v>
      </c>
      <c r="T1136" s="17" t="s">
        <v>3922</v>
      </c>
      <c r="U1136" s="32" t="s">
        <v>3923</v>
      </c>
      <c r="V1136" s="12" t="s">
        <v>3924</v>
      </c>
      <c r="W1136" s="17" t="s">
        <v>3925</v>
      </c>
      <c r="X1136" s="17" t="s">
        <v>3926</v>
      </c>
    </row>
    <row r="1137" spans="1:24" s="26" customFormat="1" hidden="1">
      <c r="A1137" s="33"/>
      <c r="B1137" s="108"/>
      <c r="C1137" s="108" t="s">
        <v>2033</v>
      </c>
      <c r="D1137" s="31" t="s">
        <v>3927</v>
      </c>
      <c r="E1137" s="107" t="s">
        <v>3927</v>
      </c>
      <c r="F1137" s="110" t="s">
        <v>3928</v>
      </c>
      <c r="G1137" s="107" t="s">
        <v>3929</v>
      </c>
      <c r="H1137" s="108" t="s">
        <v>3930</v>
      </c>
      <c r="I1137" s="108" t="s">
        <v>3931</v>
      </c>
      <c r="J1137" s="107" t="s">
        <v>3932</v>
      </c>
      <c r="K1137" s="31" t="s">
        <v>272</v>
      </c>
      <c r="L1137" s="107" t="s">
        <v>407</v>
      </c>
      <c r="M1137" s="107" t="s">
        <v>3933</v>
      </c>
      <c r="N1137" s="12"/>
      <c r="O1137" s="36">
        <v>43139</v>
      </c>
      <c r="P1137" s="12" t="s">
        <v>359</v>
      </c>
      <c r="Q1137" s="17" t="s">
        <v>3761</v>
      </c>
      <c r="R1137" s="12" t="s">
        <v>240</v>
      </c>
      <c r="S1137" s="108" t="s">
        <v>3934</v>
      </c>
      <c r="T1137" s="108" t="s">
        <v>3935</v>
      </c>
      <c r="U1137" s="110" t="s">
        <v>3936</v>
      </c>
      <c r="V1137" s="107" t="s">
        <v>3937</v>
      </c>
      <c r="W1137" s="108" t="s">
        <v>3938</v>
      </c>
      <c r="X1137" s="108" t="s">
        <v>3939</v>
      </c>
    </row>
    <row r="1138" spans="1:24" s="26" customFormat="1" hidden="1">
      <c r="A1138" s="33"/>
      <c r="B1138" s="108"/>
      <c r="C1138" s="108"/>
      <c r="D1138" s="31" t="str">
        <f>D1137</f>
        <v>龙图信息</v>
      </c>
      <c r="E1138" s="108"/>
      <c r="F1138" s="111"/>
      <c r="G1138" s="108"/>
      <c r="H1138" s="108"/>
      <c r="I1138" s="108"/>
      <c r="J1138" s="108"/>
      <c r="K1138" s="31" t="str">
        <f t="shared" ref="K1138:K1140" si="225">K1137</f>
        <v>运营中</v>
      </c>
      <c r="L1138" s="108"/>
      <c r="M1138" s="108"/>
      <c r="N1138" s="17"/>
      <c r="O1138" s="36">
        <v>42949</v>
      </c>
      <c r="P1138" s="12" t="s">
        <v>359</v>
      </c>
      <c r="Q1138" s="17" t="s">
        <v>639</v>
      </c>
      <c r="R1138" s="12" t="s">
        <v>240</v>
      </c>
      <c r="S1138" s="108"/>
      <c r="T1138" s="108"/>
      <c r="U1138" s="111"/>
      <c r="V1138" s="108"/>
      <c r="W1138" s="108"/>
      <c r="X1138" s="108"/>
    </row>
    <row r="1139" spans="1:24" s="26" customFormat="1" hidden="1">
      <c r="A1139" s="33"/>
      <c r="B1139" s="108"/>
      <c r="C1139" s="108"/>
      <c r="D1139" s="31" t="str">
        <f>D1138</f>
        <v>龙图信息</v>
      </c>
      <c r="E1139" s="108"/>
      <c r="F1139" s="111"/>
      <c r="G1139" s="108"/>
      <c r="H1139" s="108"/>
      <c r="I1139" s="108"/>
      <c r="J1139" s="108"/>
      <c r="K1139" s="31" t="str">
        <f t="shared" si="225"/>
        <v>运营中</v>
      </c>
      <c r="L1139" s="108"/>
      <c r="M1139" s="108"/>
      <c r="N1139" s="17"/>
      <c r="O1139" s="36">
        <v>42758</v>
      </c>
      <c r="P1139" s="12" t="s">
        <v>359</v>
      </c>
      <c r="Q1139" s="17" t="s">
        <v>639</v>
      </c>
      <c r="R1139" s="12" t="s">
        <v>240</v>
      </c>
      <c r="S1139" s="108"/>
      <c r="T1139" s="108"/>
      <c r="U1139" s="111"/>
      <c r="V1139" s="108"/>
      <c r="W1139" s="108"/>
      <c r="X1139" s="108"/>
    </row>
    <row r="1140" spans="1:24" s="26" customFormat="1" hidden="1">
      <c r="A1140" s="33"/>
      <c r="B1140" s="108"/>
      <c r="C1140" s="108"/>
      <c r="D1140" s="31" t="str">
        <f>D1139</f>
        <v>龙图信息</v>
      </c>
      <c r="E1140" s="108"/>
      <c r="F1140" s="111"/>
      <c r="G1140" s="108"/>
      <c r="H1140" s="108"/>
      <c r="I1140" s="108"/>
      <c r="J1140" s="108"/>
      <c r="K1140" s="31" t="str">
        <f t="shared" si="225"/>
        <v>运营中</v>
      </c>
      <c r="L1140" s="108"/>
      <c r="M1140" s="108"/>
      <c r="N1140" s="17"/>
      <c r="O1140" s="36">
        <v>42124</v>
      </c>
      <c r="P1140" s="12" t="s">
        <v>362</v>
      </c>
      <c r="Q1140" s="12" t="s">
        <v>252</v>
      </c>
      <c r="R1140" s="17" t="s">
        <v>253</v>
      </c>
      <c r="S1140" s="108"/>
      <c r="T1140" s="108"/>
      <c r="U1140" s="111"/>
      <c r="V1140" s="108"/>
      <c r="W1140" s="108"/>
      <c r="X1140" s="108"/>
    </row>
    <row r="1141" spans="1:24" s="26" customFormat="1" hidden="1">
      <c r="A1141" s="33"/>
      <c r="B1141" s="108"/>
      <c r="C1141" s="108" t="s">
        <v>3940</v>
      </c>
      <c r="D1141" s="31" t="s">
        <v>3941</v>
      </c>
      <c r="E1141" s="107" t="s">
        <v>3941</v>
      </c>
      <c r="F1141" s="110" t="s">
        <v>3942</v>
      </c>
      <c r="G1141" s="107" t="s">
        <v>3943</v>
      </c>
      <c r="H1141" s="108" t="s">
        <v>3944</v>
      </c>
      <c r="I1141" s="108" t="s">
        <v>3464</v>
      </c>
      <c r="J1141" s="107" t="s">
        <v>271</v>
      </c>
      <c r="K1141" s="31" t="s">
        <v>272</v>
      </c>
      <c r="L1141" s="107" t="s">
        <v>407</v>
      </c>
      <c r="M1141" s="107" t="s">
        <v>3933</v>
      </c>
      <c r="N1141" s="12"/>
      <c r="O1141" s="36">
        <v>44557</v>
      </c>
      <c r="P1141" s="17" t="s">
        <v>523</v>
      </c>
      <c r="Q1141" s="17" t="s">
        <v>3945</v>
      </c>
      <c r="R1141" s="12" t="s">
        <v>3946</v>
      </c>
      <c r="S1141" s="108" t="s">
        <v>3947</v>
      </c>
      <c r="T1141" s="108" t="s">
        <v>2384</v>
      </c>
      <c r="U1141" s="110" t="s">
        <v>3948</v>
      </c>
      <c r="V1141" s="107" t="s">
        <v>3949</v>
      </c>
      <c r="W1141" s="108" t="s">
        <v>3950</v>
      </c>
      <c r="X1141" s="108" t="s">
        <v>3951</v>
      </c>
    </row>
    <row r="1142" spans="1:24" s="26" customFormat="1" hidden="1">
      <c r="A1142" s="33"/>
      <c r="B1142" s="108"/>
      <c r="C1142" s="108"/>
      <c r="D1142" s="31" t="str">
        <f>D1141</f>
        <v>百望云</v>
      </c>
      <c r="E1142" s="108"/>
      <c r="F1142" s="111"/>
      <c r="G1142" s="108"/>
      <c r="H1142" s="108"/>
      <c r="I1142" s="108"/>
      <c r="J1142" s="108"/>
      <c r="K1142" s="31" t="str">
        <f t="shared" ref="K1142:K1144" si="226">K1141</f>
        <v>运营中</v>
      </c>
      <c r="L1142" s="108"/>
      <c r="M1142" s="108"/>
      <c r="N1142" s="17"/>
      <c r="O1142" s="36">
        <v>44201</v>
      </c>
      <c r="P1142" s="17" t="s">
        <v>251</v>
      </c>
      <c r="Q1142" s="17" t="s">
        <v>3952</v>
      </c>
      <c r="R1142" s="12" t="s">
        <v>3953</v>
      </c>
      <c r="S1142" s="108"/>
      <c r="T1142" s="108"/>
      <c r="U1142" s="111"/>
      <c r="V1142" s="108"/>
      <c r="W1142" s="108"/>
      <c r="X1142" s="108"/>
    </row>
    <row r="1143" spans="1:24" s="26" customFormat="1" hidden="1">
      <c r="A1143" s="33"/>
      <c r="B1143" s="108"/>
      <c r="C1143" s="108"/>
      <c r="D1143" s="31" t="str">
        <f>D1142</f>
        <v>百望云</v>
      </c>
      <c r="E1143" s="108"/>
      <c r="F1143" s="111"/>
      <c r="G1143" s="108"/>
      <c r="H1143" s="108"/>
      <c r="I1143" s="108"/>
      <c r="J1143" s="108"/>
      <c r="K1143" s="31" t="str">
        <f t="shared" si="226"/>
        <v>运营中</v>
      </c>
      <c r="L1143" s="108"/>
      <c r="M1143" s="108"/>
      <c r="N1143" s="17"/>
      <c r="O1143" s="36">
        <v>43825</v>
      </c>
      <c r="P1143" s="17" t="s">
        <v>257</v>
      </c>
      <c r="Q1143" s="17" t="s">
        <v>3954</v>
      </c>
      <c r="R1143" s="12" t="s">
        <v>3955</v>
      </c>
      <c r="S1143" s="108"/>
      <c r="T1143" s="108"/>
      <c r="U1143" s="111"/>
      <c r="V1143" s="108"/>
      <c r="W1143" s="108"/>
      <c r="X1143" s="108"/>
    </row>
    <row r="1144" spans="1:24" s="26" customFormat="1" hidden="1">
      <c r="A1144" s="33"/>
      <c r="B1144" s="108"/>
      <c r="C1144" s="108"/>
      <c r="D1144" s="31" t="str">
        <f>D1143</f>
        <v>百望云</v>
      </c>
      <c r="E1144" s="108"/>
      <c r="F1144" s="111"/>
      <c r="G1144" s="108"/>
      <c r="H1144" s="108"/>
      <c r="I1144" s="108"/>
      <c r="J1144" s="108"/>
      <c r="K1144" s="31" t="str">
        <f t="shared" si="226"/>
        <v>运营中</v>
      </c>
      <c r="L1144" s="108"/>
      <c r="M1144" s="108"/>
      <c r="N1144" s="17"/>
      <c r="O1144" s="36">
        <v>43070</v>
      </c>
      <c r="P1144" s="17" t="s">
        <v>262</v>
      </c>
      <c r="Q1144" s="17" t="s">
        <v>3956</v>
      </c>
      <c r="R1144" s="12" t="s">
        <v>3957</v>
      </c>
      <c r="S1144" s="108"/>
      <c r="T1144" s="108"/>
      <c r="U1144" s="111"/>
      <c r="V1144" s="108"/>
      <c r="W1144" s="108"/>
      <c r="X1144" s="108"/>
    </row>
    <row r="1145" spans="1:24" s="26" customFormat="1" ht="24" hidden="1">
      <c r="A1145" s="33"/>
      <c r="B1145" s="108"/>
      <c r="C1145" s="17" t="s">
        <v>3958</v>
      </c>
      <c r="D1145" s="38" t="s">
        <v>3959</v>
      </c>
      <c r="E1145" s="12" t="s">
        <v>3959</v>
      </c>
      <c r="F1145" s="32" t="s">
        <v>3960</v>
      </c>
      <c r="G1145" s="12" t="s">
        <v>3961</v>
      </c>
      <c r="H1145" s="17"/>
      <c r="I1145" s="17" t="s">
        <v>3584</v>
      </c>
      <c r="J1145" s="12" t="s">
        <v>406</v>
      </c>
      <c r="K1145" s="38" t="s">
        <v>272</v>
      </c>
      <c r="L1145" s="12" t="s">
        <v>386</v>
      </c>
      <c r="M1145" s="12" t="s">
        <v>3962</v>
      </c>
      <c r="N1145" s="12"/>
      <c r="O1145" s="36">
        <v>41671</v>
      </c>
      <c r="P1145" s="12" t="s">
        <v>285</v>
      </c>
      <c r="Q1145" s="17" t="s">
        <v>639</v>
      </c>
      <c r="R1145" s="12" t="s">
        <v>240</v>
      </c>
      <c r="S1145" s="17" t="s">
        <v>931</v>
      </c>
      <c r="T1145" s="17" t="s">
        <v>432</v>
      </c>
      <c r="U1145" s="32" t="s">
        <v>3963</v>
      </c>
      <c r="V1145" s="12" t="s">
        <v>3964</v>
      </c>
      <c r="W1145" s="17" t="s">
        <v>3965</v>
      </c>
      <c r="X1145" s="17"/>
    </row>
    <row r="1146" spans="1:24" s="26" customFormat="1" ht="48" hidden="1">
      <c r="A1146" s="33"/>
      <c r="B1146" s="108"/>
      <c r="C1146" s="17" t="s">
        <v>3966</v>
      </c>
      <c r="D1146" s="38" t="s">
        <v>3967</v>
      </c>
      <c r="E1146" s="12" t="s">
        <v>3967</v>
      </c>
      <c r="F1146" s="32" t="s">
        <v>3968</v>
      </c>
      <c r="G1146" s="12" t="s">
        <v>3969</v>
      </c>
      <c r="H1146" s="17"/>
      <c r="I1146" s="17" t="s">
        <v>3970</v>
      </c>
      <c r="J1146" s="12" t="s">
        <v>3971</v>
      </c>
      <c r="K1146" s="38" t="s">
        <v>272</v>
      </c>
      <c r="L1146" s="12" t="s">
        <v>350</v>
      </c>
      <c r="M1146" s="12" t="s">
        <v>617</v>
      </c>
      <c r="N1146" s="12"/>
      <c r="O1146" s="36">
        <v>42704</v>
      </c>
      <c r="P1146" s="12" t="s">
        <v>285</v>
      </c>
      <c r="Q1146" s="17" t="s">
        <v>1194</v>
      </c>
      <c r="R1146" s="12" t="s">
        <v>3972</v>
      </c>
      <c r="S1146" s="17" t="s">
        <v>3973</v>
      </c>
      <c r="T1146" s="17" t="s">
        <v>3974</v>
      </c>
      <c r="U1146" s="32" t="s">
        <v>3975</v>
      </c>
      <c r="V1146" s="12" t="s">
        <v>3976</v>
      </c>
      <c r="W1146" s="17" t="s">
        <v>3977</v>
      </c>
      <c r="X1146" s="17" t="s">
        <v>3978</v>
      </c>
    </row>
    <row r="1147" spans="1:24" s="26" customFormat="1" ht="69" hidden="1">
      <c r="A1147" s="33"/>
      <c r="B1147" s="108"/>
      <c r="C1147" s="17" t="s">
        <v>3979</v>
      </c>
      <c r="D1147" s="38" t="s">
        <v>3980</v>
      </c>
      <c r="E1147" s="17" t="s">
        <v>3980</v>
      </c>
      <c r="F1147" s="34" t="s">
        <v>3981</v>
      </c>
      <c r="G1147" s="17"/>
      <c r="H1147" s="17" t="s">
        <v>3982</v>
      </c>
      <c r="I1147" s="17" t="s">
        <v>3983</v>
      </c>
      <c r="J1147" s="12" t="s">
        <v>3984</v>
      </c>
      <c r="K1147" s="38" t="s">
        <v>272</v>
      </c>
      <c r="L1147" s="12" t="s">
        <v>407</v>
      </c>
      <c r="M1147" s="12" t="s">
        <v>408</v>
      </c>
      <c r="N1147" s="12"/>
      <c r="O1147" s="36">
        <v>42710</v>
      </c>
      <c r="P1147" s="12" t="s">
        <v>285</v>
      </c>
      <c r="Q1147" s="17" t="s">
        <v>3314</v>
      </c>
      <c r="R1147" s="12" t="s">
        <v>240</v>
      </c>
      <c r="S1147" s="17" t="s">
        <v>3985</v>
      </c>
      <c r="T1147" s="17" t="s">
        <v>3986</v>
      </c>
      <c r="U1147" s="34" t="s">
        <v>3987</v>
      </c>
      <c r="V1147" s="17"/>
      <c r="W1147" s="17"/>
      <c r="X1147" s="17"/>
    </row>
    <row r="1148" spans="1:24" s="26" customFormat="1" ht="36" hidden="1">
      <c r="A1148" s="33"/>
      <c r="B1148" s="108"/>
      <c r="C1148" s="17" t="s">
        <v>3988</v>
      </c>
      <c r="D1148" s="38" t="s">
        <v>3989</v>
      </c>
      <c r="E1148" s="12" t="s">
        <v>3989</v>
      </c>
      <c r="F1148" s="32" t="s">
        <v>3990</v>
      </c>
      <c r="G1148" s="12" t="s">
        <v>3991</v>
      </c>
      <c r="H1148" s="17"/>
      <c r="I1148" s="17" t="s">
        <v>3867</v>
      </c>
      <c r="J1148" s="12" t="s">
        <v>3617</v>
      </c>
      <c r="K1148" s="12" t="s">
        <v>248</v>
      </c>
      <c r="L1148" s="12" t="s">
        <v>350</v>
      </c>
      <c r="M1148" s="12" t="s">
        <v>1090</v>
      </c>
      <c r="N1148" s="12"/>
      <c r="O1148" s="36">
        <v>42696</v>
      </c>
      <c r="P1148" s="12" t="s">
        <v>285</v>
      </c>
      <c r="Q1148" s="17" t="s">
        <v>1164</v>
      </c>
      <c r="R1148" s="12" t="s">
        <v>3992</v>
      </c>
      <c r="S1148" s="17" t="s">
        <v>1129</v>
      </c>
      <c r="T1148" s="17" t="s">
        <v>3993</v>
      </c>
      <c r="U1148" s="32" t="s">
        <v>3994</v>
      </c>
      <c r="V1148" s="12" t="s">
        <v>3995</v>
      </c>
      <c r="W1148" s="17"/>
      <c r="X1148" s="17"/>
    </row>
    <row r="1149" spans="1:24" s="26" customFormat="1" ht="48" hidden="1">
      <c r="A1149" s="33"/>
      <c r="B1149" s="108"/>
      <c r="C1149" s="17" t="s">
        <v>3996</v>
      </c>
      <c r="D1149" s="38" t="s">
        <v>3997</v>
      </c>
      <c r="E1149" s="17" t="s">
        <v>3998</v>
      </c>
      <c r="F1149" s="34" t="s">
        <v>3999</v>
      </c>
      <c r="G1149" s="12" t="s">
        <v>4000</v>
      </c>
      <c r="H1149" s="17" t="s">
        <v>4001</v>
      </c>
      <c r="I1149" s="17" t="s">
        <v>3121</v>
      </c>
      <c r="J1149" s="12" t="s">
        <v>1472</v>
      </c>
      <c r="K1149" s="38" t="s">
        <v>272</v>
      </c>
      <c r="L1149" s="12" t="s">
        <v>1798</v>
      </c>
      <c r="M1149" s="12" t="s">
        <v>4002</v>
      </c>
      <c r="N1149" s="12"/>
      <c r="O1149" s="36">
        <v>42459</v>
      </c>
      <c r="P1149" s="12" t="s">
        <v>326</v>
      </c>
      <c r="Q1149" s="17" t="s">
        <v>4003</v>
      </c>
      <c r="R1149" s="12" t="s">
        <v>4004</v>
      </c>
      <c r="S1149" s="17" t="s">
        <v>4005</v>
      </c>
      <c r="T1149" s="17" t="s">
        <v>4006</v>
      </c>
      <c r="U1149" s="32" t="s">
        <v>4007</v>
      </c>
      <c r="V1149" s="12" t="s">
        <v>4008</v>
      </c>
      <c r="W1149" s="17"/>
      <c r="X1149" s="17"/>
    </row>
    <row r="1150" spans="1:24" s="26" customFormat="1" ht="131.5" hidden="1">
      <c r="A1150" s="33"/>
      <c r="B1150" s="108"/>
      <c r="C1150" s="17" t="s">
        <v>1710</v>
      </c>
      <c r="D1150" s="38" t="s">
        <v>4009</v>
      </c>
      <c r="E1150" s="17" t="s">
        <v>4010</v>
      </c>
      <c r="F1150" s="32" t="s">
        <v>4011</v>
      </c>
      <c r="G1150" s="12" t="s">
        <v>4012</v>
      </c>
      <c r="H1150" s="17" t="s">
        <v>4013</v>
      </c>
      <c r="I1150" s="17" t="s">
        <v>1606</v>
      </c>
      <c r="J1150" s="12" t="s">
        <v>1215</v>
      </c>
      <c r="K1150" s="38" t="s">
        <v>272</v>
      </c>
      <c r="L1150" s="12" t="s">
        <v>386</v>
      </c>
      <c r="M1150" s="12" t="s">
        <v>1767</v>
      </c>
      <c r="N1150" s="12"/>
      <c r="O1150" s="36">
        <v>42159</v>
      </c>
      <c r="P1150" s="12" t="s">
        <v>285</v>
      </c>
      <c r="Q1150" s="17" t="s">
        <v>4014</v>
      </c>
      <c r="R1150" s="12" t="s">
        <v>240</v>
      </c>
      <c r="S1150" s="17" t="s">
        <v>4015</v>
      </c>
      <c r="T1150" s="17" t="s">
        <v>4016</v>
      </c>
      <c r="U1150" s="32" t="s">
        <v>4017</v>
      </c>
      <c r="V1150" s="12" t="s">
        <v>4018</v>
      </c>
      <c r="W1150" s="17" t="s">
        <v>4019</v>
      </c>
      <c r="X1150" s="17" t="s">
        <v>4020</v>
      </c>
    </row>
    <row r="1151" spans="1:24" s="26" customFormat="1" ht="24" hidden="1">
      <c r="A1151" s="33"/>
      <c r="B1151" s="108"/>
      <c r="C1151" s="17" t="s">
        <v>4021</v>
      </c>
      <c r="D1151" s="38" t="s">
        <v>4022</v>
      </c>
      <c r="E1151" s="12" t="s">
        <v>4022</v>
      </c>
      <c r="F1151" s="32" t="s">
        <v>4023</v>
      </c>
      <c r="G1151" s="12" t="s">
        <v>4024</v>
      </c>
      <c r="H1151" s="17" t="s">
        <v>4025</v>
      </c>
      <c r="I1151" s="17" t="s">
        <v>2787</v>
      </c>
      <c r="J1151" s="12" t="s">
        <v>547</v>
      </c>
      <c r="K1151" s="38" t="s">
        <v>272</v>
      </c>
      <c r="L1151" s="12" t="s">
        <v>512</v>
      </c>
      <c r="M1151" s="12" t="s">
        <v>3002</v>
      </c>
      <c r="N1151" s="12"/>
      <c r="O1151" s="36">
        <v>42179</v>
      </c>
      <c r="P1151" s="12" t="s">
        <v>326</v>
      </c>
      <c r="Q1151" s="17" t="s">
        <v>4026</v>
      </c>
      <c r="R1151" s="12" t="s">
        <v>4027</v>
      </c>
      <c r="S1151" s="17" t="s">
        <v>4028</v>
      </c>
      <c r="T1151" s="17" t="s">
        <v>4029</v>
      </c>
      <c r="U1151" s="32" t="s">
        <v>4030</v>
      </c>
      <c r="V1151" s="12" t="s">
        <v>4031</v>
      </c>
      <c r="W1151" s="17" t="s">
        <v>4032</v>
      </c>
      <c r="X1151" s="17" t="s">
        <v>4033</v>
      </c>
    </row>
    <row r="1152" spans="1:24" s="26" customFormat="1" hidden="1">
      <c r="A1152" s="33"/>
      <c r="B1152" s="108"/>
      <c r="C1152" s="108" t="s">
        <v>3377</v>
      </c>
      <c r="D1152" s="31" t="s">
        <v>4034</v>
      </c>
      <c r="E1152" s="107" t="s">
        <v>4034</v>
      </c>
      <c r="F1152" s="110" t="s">
        <v>4035</v>
      </c>
      <c r="G1152" s="107" t="s">
        <v>4036</v>
      </c>
      <c r="H1152" s="108" t="s">
        <v>4037</v>
      </c>
      <c r="I1152" s="108" t="s">
        <v>2991</v>
      </c>
      <c r="J1152" s="107" t="s">
        <v>3842</v>
      </c>
      <c r="K1152" s="31" t="s">
        <v>272</v>
      </c>
      <c r="L1152" s="107" t="s">
        <v>512</v>
      </c>
      <c r="M1152" s="107" t="s">
        <v>1781</v>
      </c>
      <c r="N1152" s="12"/>
      <c r="O1152" s="36">
        <v>43287</v>
      </c>
      <c r="P1152" s="17" t="s">
        <v>565</v>
      </c>
      <c r="Q1152" s="17" t="s">
        <v>1202</v>
      </c>
      <c r="R1152" s="12" t="s">
        <v>4038</v>
      </c>
      <c r="S1152" s="108" t="s">
        <v>4039</v>
      </c>
      <c r="T1152" s="108" t="s">
        <v>4040</v>
      </c>
      <c r="U1152" s="110" t="s">
        <v>4041</v>
      </c>
      <c r="V1152" s="107" t="s">
        <v>4042</v>
      </c>
      <c r="W1152" s="108" t="s">
        <v>4043</v>
      </c>
      <c r="X1152" s="108" t="s">
        <v>4044</v>
      </c>
    </row>
    <row r="1153" spans="1:24" s="26" customFormat="1" hidden="1">
      <c r="A1153" s="33"/>
      <c r="B1153" s="108"/>
      <c r="C1153" s="108"/>
      <c r="D1153" s="31" t="str">
        <f>D1152</f>
        <v>日日顺物流</v>
      </c>
      <c r="E1153" s="108"/>
      <c r="F1153" s="111"/>
      <c r="G1153" s="108"/>
      <c r="H1153" s="108"/>
      <c r="I1153" s="108"/>
      <c r="J1153" s="108"/>
      <c r="K1153" s="31" t="str">
        <f t="shared" ref="K1153:K1154" si="227">K1152</f>
        <v>运营中</v>
      </c>
      <c r="L1153" s="108"/>
      <c r="M1153" s="108"/>
      <c r="N1153" s="17"/>
      <c r="O1153" s="36">
        <v>43004</v>
      </c>
      <c r="P1153" s="17" t="s">
        <v>257</v>
      </c>
      <c r="Q1153" s="17" t="s">
        <v>4045</v>
      </c>
      <c r="R1153" s="17" t="s">
        <v>4046</v>
      </c>
      <c r="S1153" s="108"/>
      <c r="T1153" s="108"/>
      <c r="U1153" s="111"/>
      <c r="V1153" s="108"/>
      <c r="W1153" s="108"/>
      <c r="X1153" s="108"/>
    </row>
    <row r="1154" spans="1:24" s="26" customFormat="1" hidden="1">
      <c r="A1154" s="33"/>
      <c r="B1154" s="108"/>
      <c r="C1154" s="108"/>
      <c r="D1154" s="31" t="str">
        <f>D1153</f>
        <v>日日顺物流</v>
      </c>
      <c r="E1154" s="108"/>
      <c r="F1154" s="111"/>
      <c r="G1154" s="108"/>
      <c r="H1154" s="108"/>
      <c r="I1154" s="108"/>
      <c r="J1154" s="108"/>
      <c r="K1154" s="31" t="str">
        <f t="shared" si="227"/>
        <v>运营中</v>
      </c>
      <c r="L1154" s="108"/>
      <c r="M1154" s="108"/>
      <c r="N1154" s="17"/>
      <c r="O1154" s="36">
        <v>42886</v>
      </c>
      <c r="P1154" s="17" t="s">
        <v>262</v>
      </c>
      <c r="Q1154" s="17" t="s">
        <v>1194</v>
      </c>
      <c r="R1154" s="12" t="s">
        <v>240</v>
      </c>
      <c r="S1154" s="108"/>
      <c r="T1154" s="108"/>
      <c r="U1154" s="111"/>
      <c r="V1154" s="108"/>
      <c r="W1154" s="108"/>
      <c r="X1154" s="108"/>
    </row>
    <row r="1155" spans="1:24" s="26" customFormat="1" hidden="1">
      <c r="A1155" s="33"/>
      <c r="B1155" s="108"/>
      <c r="C1155" s="108" t="s">
        <v>4047</v>
      </c>
      <c r="D1155" s="31" t="s">
        <v>4048</v>
      </c>
      <c r="E1155" s="107" t="s">
        <v>4048</v>
      </c>
      <c r="F1155" s="110" t="s">
        <v>4049</v>
      </c>
      <c r="G1155" s="107" t="s">
        <v>4050</v>
      </c>
      <c r="H1155" s="108" t="s">
        <v>4051</v>
      </c>
      <c r="I1155" s="108" t="s">
        <v>4052</v>
      </c>
      <c r="J1155" s="107" t="s">
        <v>406</v>
      </c>
      <c r="K1155" s="31" t="s">
        <v>272</v>
      </c>
      <c r="L1155" s="107" t="s">
        <v>944</v>
      </c>
      <c r="M1155" s="107" t="s">
        <v>1423</v>
      </c>
      <c r="N1155" s="12">
        <v>1</v>
      </c>
      <c r="O1155" s="36">
        <v>43210</v>
      </c>
      <c r="P1155" s="12" t="s">
        <v>471</v>
      </c>
      <c r="Q1155" s="12" t="s">
        <v>252</v>
      </c>
      <c r="R1155" s="12" t="s">
        <v>240</v>
      </c>
      <c r="S1155" s="108" t="s">
        <v>931</v>
      </c>
      <c r="T1155" s="107" t="s">
        <v>255</v>
      </c>
      <c r="U1155" s="110" t="s">
        <v>4053</v>
      </c>
      <c r="V1155" s="107" t="s">
        <v>4054</v>
      </c>
      <c r="W1155" s="108" t="s">
        <v>4055</v>
      </c>
      <c r="X1155" s="108" t="s">
        <v>4056</v>
      </c>
    </row>
    <row r="1156" spans="1:24" s="26" customFormat="1" hidden="1">
      <c r="A1156" s="33"/>
      <c r="B1156" s="108"/>
      <c r="C1156" s="108"/>
      <c r="D1156" s="31" t="str">
        <f>D1155</f>
        <v>中天微</v>
      </c>
      <c r="E1156" s="108"/>
      <c r="F1156" s="111"/>
      <c r="G1156" s="108"/>
      <c r="H1156" s="108"/>
      <c r="I1156" s="108"/>
      <c r="J1156" s="108"/>
      <c r="K1156" s="31" t="str">
        <f>K1155</f>
        <v>运营中</v>
      </c>
      <c r="L1156" s="108"/>
      <c r="M1156" s="108"/>
      <c r="N1156" s="12">
        <v>1</v>
      </c>
      <c r="O1156" s="36">
        <v>42397</v>
      </c>
      <c r="P1156" s="12" t="s">
        <v>285</v>
      </c>
      <c r="Q1156" s="12" t="s">
        <v>341</v>
      </c>
      <c r="R1156" s="12" t="s">
        <v>240</v>
      </c>
      <c r="S1156" s="108"/>
      <c r="T1156" s="108"/>
      <c r="U1156" s="111"/>
      <c r="V1156" s="108"/>
      <c r="W1156" s="108"/>
      <c r="X1156" s="108"/>
    </row>
    <row r="1157" spans="1:24" s="26" customFormat="1" ht="48" hidden="1">
      <c r="A1157" s="33"/>
      <c r="B1157" s="108"/>
      <c r="C1157" s="17" t="s">
        <v>4057</v>
      </c>
      <c r="D1157" s="38" t="s">
        <v>4058</v>
      </c>
      <c r="E1157" s="12" t="s">
        <v>4058</v>
      </c>
      <c r="F1157" s="32" t="s">
        <v>4059</v>
      </c>
      <c r="G1157" s="12" t="s">
        <v>4060</v>
      </c>
      <c r="H1157" s="17"/>
      <c r="I1157" s="17" t="s">
        <v>616</v>
      </c>
      <c r="J1157" s="12" t="s">
        <v>973</v>
      </c>
      <c r="K1157" s="38" t="s">
        <v>272</v>
      </c>
      <c r="L1157" s="12" t="s">
        <v>4061</v>
      </c>
      <c r="M1157" s="12" t="s">
        <v>4062</v>
      </c>
      <c r="N1157" s="12"/>
      <c r="O1157" s="36">
        <v>40536</v>
      </c>
      <c r="P1157" s="12" t="s">
        <v>437</v>
      </c>
      <c r="Q1157" s="12" t="s">
        <v>252</v>
      </c>
      <c r="R1157" s="17" t="s">
        <v>4063</v>
      </c>
      <c r="S1157" s="17" t="s">
        <v>2839</v>
      </c>
      <c r="T1157" s="12" t="s">
        <v>255</v>
      </c>
      <c r="U1157" s="32" t="s">
        <v>4064</v>
      </c>
      <c r="V1157" s="12" t="s">
        <v>4065</v>
      </c>
      <c r="W1157" s="17" t="s">
        <v>4066</v>
      </c>
      <c r="X1157" s="17" t="s">
        <v>4067</v>
      </c>
    </row>
    <row r="1158" spans="1:24" s="26" customFormat="1" hidden="1">
      <c r="A1158" s="33"/>
      <c r="B1158" s="108"/>
      <c r="C1158" s="108" t="s">
        <v>4068</v>
      </c>
      <c r="D1158" s="31" t="s">
        <v>4069</v>
      </c>
      <c r="E1158" s="107" t="s">
        <v>4069</v>
      </c>
      <c r="F1158" s="110" t="s">
        <v>4070</v>
      </c>
      <c r="G1158" s="107" t="s">
        <v>4071</v>
      </c>
      <c r="H1158" s="108" t="s">
        <v>4072</v>
      </c>
      <c r="I1158" s="108" t="s">
        <v>3903</v>
      </c>
      <c r="J1158" s="107" t="s">
        <v>428</v>
      </c>
      <c r="K1158" s="31" t="s">
        <v>272</v>
      </c>
      <c r="L1158" s="107" t="s">
        <v>386</v>
      </c>
      <c r="M1158" s="107" t="s">
        <v>645</v>
      </c>
      <c r="N1158" s="12">
        <v>1</v>
      </c>
      <c r="O1158" s="36">
        <v>45008</v>
      </c>
      <c r="P1158" s="12" t="s">
        <v>275</v>
      </c>
      <c r="Q1158" s="12" t="s">
        <v>276</v>
      </c>
      <c r="R1158" s="17" t="s">
        <v>253</v>
      </c>
      <c r="S1158" s="108" t="s">
        <v>4073</v>
      </c>
      <c r="T1158" s="107" t="s">
        <v>255</v>
      </c>
      <c r="U1158" s="110" t="s">
        <v>4074</v>
      </c>
      <c r="V1158" s="107" t="s">
        <v>4075</v>
      </c>
      <c r="W1158" s="108" t="s">
        <v>4076</v>
      </c>
      <c r="X1158" s="108" t="s">
        <v>4077</v>
      </c>
    </row>
    <row r="1159" spans="1:24" s="26" customFormat="1" hidden="1">
      <c r="A1159" s="33"/>
      <c r="B1159" s="108"/>
      <c r="C1159" s="108"/>
      <c r="D1159" s="31" t="str">
        <f t="shared" ref="D1159:D1165" si="228">D1158</f>
        <v>趣头条</v>
      </c>
      <c r="E1159" s="108"/>
      <c r="F1159" s="111"/>
      <c r="G1159" s="108"/>
      <c r="H1159" s="108"/>
      <c r="I1159" s="108"/>
      <c r="J1159" s="108"/>
      <c r="K1159" s="31" t="str">
        <f t="shared" ref="K1159:K1165" si="229">K1158</f>
        <v>运营中</v>
      </c>
      <c r="L1159" s="108"/>
      <c r="M1159" s="108"/>
      <c r="N1159" s="12">
        <v>1</v>
      </c>
      <c r="O1159" s="36">
        <v>43666</v>
      </c>
      <c r="P1159" s="17" t="s">
        <v>687</v>
      </c>
      <c r="Q1159" s="12" t="s">
        <v>252</v>
      </c>
      <c r="R1159" s="12" t="s">
        <v>4078</v>
      </c>
      <c r="S1159" s="108"/>
      <c r="T1159" s="108"/>
      <c r="U1159" s="111"/>
      <c r="V1159" s="108"/>
      <c r="W1159" s="108"/>
      <c r="X1159" s="108"/>
    </row>
    <row r="1160" spans="1:24" s="26" customFormat="1" hidden="1">
      <c r="A1160" s="33"/>
      <c r="B1160" s="108"/>
      <c r="C1160" s="108"/>
      <c r="D1160" s="31" t="str">
        <f t="shared" si="228"/>
        <v>趣头条</v>
      </c>
      <c r="E1160" s="108"/>
      <c r="F1160" s="111"/>
      <c r="G1160" s="108"/>
      <c r="H1160" s="108"/>
      <c r="I1160" s="108"/>
      <c r="J1160" s="108"/>
      <c r="K1160" s="31" t="str">
        <f t="shared" si="229"/>
        <v>运营中</v>
      </c>
      <c r="L1160" s="108"/>
      <c r="M1160" s="108"/>
      <c r="N1160" s="12">
        <v>1</v>
      </c>
      <c r="O1160" s="36">
        <v>43553</v>
      </c>
      <c r="P1160" s="17" t="s">
        <v>687</v>
      </c>
      <c r="Q1160" s="17" t="s">
        <v>4079</v>
      </c>
      <c r="R1160" s="12" t="s">
        <v>240</v>
      </c>
      <c r="S1160" s="108"/>
      <c r="T1160" s="108"/>
      <c r="U1160" s="111"/>
      <c r="V1160" s="108"/>
      <c r="W1160" s="108"/>
      <c r="X1160" s="108"/>
    </row>
    <row r="1161" spans="1:24" s="26" customFormat="1" hidden="1">
      <c r="A1161" s="33"/>
      <c r="B1161" s="108"/>
      <c r="C1161" s="108"/>
      <c r="D1161" s="31" t="str">
        <f t="shared" si="228"/>
        <v>趣头条</v>
      </c>
      <c r="E1161" s="108"/>
      <c r="F1161" s="111"/>
      <c r="G1161" s="108"/>
      <c r="H1161" s="108"/>
      <c r="I1161" s="108"/>
      <c r="J1161" s="108"/>
      <c r="K1161" s="31" t="str">
        <f t="shared" si="229"/>
        <v>运营中</v>
      </c>
      <c r="L1161" s="108"/>
      <c r="M1161" s="108"/>
      <c r="N1161" s="12">
        <v>1</v>
      </c>
      <c r="O1161" s="36">
        <v>43357</v>
      </c>
      <c r="P1161" s="17" t="s">
        <v>283</v>
      </c>
      <c r="Q1161" s="17" t="s">
        <v>4080</v>
      </c>
      <c r="R1161" s="17" t="s">
        <v>253</v>
      </c>
      <c r="S1161" s="108"/>
      <c r="T1161" s="108"/>
      <c r="U1161" s="111"/>
      <c r="V1161" s="108"/>
      <c r="W1161" s="108"/>
      <c r="X1161" s="108"/>
    </row>
    <row r="1162" spans="1:24" s="26" customFormat="1" hidden="1">
      <c r="A1162" s="33"/>
      <c r="B1162" s="108"/>
      <c r="C1162" s="108"/>
      <c r="D1162" s="31" t="str">
        <f t="shared" si="228"/>
        <v>趣头条</v>
      </c>
      <c r="E1162" s="108"/>
      <c r="F1162" s="111"/>
      <c r="G1162" s="108"/>
      <c r="H1162" s="108"/>
      <c r="I1162" s="108"/>
      <c r="J1162" s="108"/>
      <c r="K1162" s="31" t="str">
        <f t="shared" si="229"/>
        <v>运营中</v>
      </c>
      <c r="L1162" s="108"/>
      <c r="M1162" s="108"/>
      <c r="N1162" s="12">
        <v>1</v>
      </c>
      <c r="O1162" s="36">
        <v>43313</v>
      </c>
      <c r="P1162" s="12" t="s">
        <v>285</v>
      </c>
      <c r="Q1162" s="17" t="s">
        <v>897</v>
      </c>
      <c r="R1162" s="12" t="s">
        <v>4081</v>
      </c>
      <c r="S1162" s="108"/>
      <c r="T1162" s="108"/>
      <c r="U1162" s="111"/>
      <c r="V1162" s="108"/>
      <c r="W1162" s="108"/>
      <c r="X1162" s="108"/>
    </row>
    <row r="1163" spans="1:24" s="26" customFormat="1" hidden="1">
      <c r="A1163" s="33"/>
      <c r="B1163" s="108"/>
      <c r="C1163" s="108"/>
      <c r="D1163" s="31" t="str">
        <f t="shared" si="228"/>
        <v>趣头条</v>
      </c>
      <c r="E1163" s="108"/>
      <c r="F1163" s="111"/>
      <c r="G1163" s="108"/>
      <c r="H1163" s="108"/>
      <c r="I1163" s="108"/>
      <c r="J1163" s="108"/>
      <c r="K1163" s="31" t="str">
        <f t="shared" si="229"/>
        <v>运营中</v>
      </c>
      <c r="L1163" s="108"/>
      <c r="M1163" s="108"/>
      <c r="N1163" s="12">
        <v>1</v>
      </c>
      <c r="O1163" s="36">
        <v>43173</v>
      </c>
      <c r="P1163" s="17" t="s">
        <v>257</v>
      </c>
      <c r="Q1163" s="17" t="s">
        <v>792</v>
      </c>
      <c r="R1163" s="12" t="s">
        <v>4082</v>
      </c>
      <c r="S1163" s="108"/>
      <c r="T1163" s="108"/>
      <c r="U1163" s="111"/>
      <c r="V1163" s="108"/>
      <c r="W1163" s="108"/>
      <c r="X1163" s="108"/>
    </row>
    <row r="1164" spans="1:24" s="26" customFormat="1" hidden="1">
      <c r="A1164" s="33"/>
      <c r="B1164" s="108"/>
      <c r="C1164" s="108"/>
      <c r="D1164" s="31" t="str">
        <f t="shared" si="228"/>
        <v>趣头条</v>
      </c>
      <c r="E1164" s="108"/>
      <c r="F1164" s="111"/>
      <c r="G1164" s="108"/>
      <c r="H1164" s="108"/>
      <c r="I1164" s="108"/>
      <c r="J1164" s="108"/>
      <c r="K1164" s="31" t="str">
        <f t="shared" si="229"/>
        <v>运营中</v>
      </c>
      <c r="L1164" s="108"/>
      <c r="M1164" s="108"/>
      <c r="N1164" s="12">
        <v>1</v>
      </c>
      <c r="O1164" s="36">
        <v>43018</v>
      </c>
      <c r="P1164" s="17" t="s">
        <v>262</v>
      </c>
      <c r="Q1164" s="17" t="s">
        <v>1596</v>
      </c>
      <c r="R1164" s="12" t="s">
        <v>4083</v>
      </c>
      <c r="S1164" s="108"/>
      <c r="T1164" s="108"/>
      <c r="U1164" s="111"/>
      <c r="V1164" s="108"/>
      <c r="W1164" s="108"/>
      <c r="X1164" s="108"/>
    </row>
    <row r="1165" spans="1:24" s="26" customFormat="1" hidden="1">
      <c r="A1165" s="33"/>
      <c r="B1165" s="108"/>
      <c r="C1165" s="108"/>
      <c r="D1165" s="31" t="str">
        <f t="shared" si="228"/>
        <v>趣头条</v>
      </c>
      <c r="E1165" s="108"/>
      <c r="F1165" s="111"/>
      <c r="G1165" s="108"/>
      <c r="H1165" s="108"/>
      <c r="I1165" s="108"/>
      <c r="J1165" s="108"/>
      <c r="K1165" s="31" t="str">
        <f t="shared" si="229"/>
        <v>运营中</v>
      </c>
      <c r="L1165" s="108"/>
      <c r="M1165" s="108"/>
      <c r="N1165" s="12">
        <v>1</v>
      </c>
      <c r="O1165" s="36">
        <v>42614</v>
      </c>
      <c r="P1165" s="12" t="s">
        <v>326</v>
      </c>
      <c r="Q1165" s="12" t="s">
        <v>341</v>
      </c>
      <c r="R1165" s="12" t="s">
        <v>4084</v>
      </c>
      <c r="S1165" s="108"/>
      <c r="T1165" s="108"/>
      <c r="U1165" s="111"/>
      <c r="V1165" s="108"/>
      <c r="W1165" s="108"/>
      <c r="X1165" s="108"/>
    </row>
    <row r="1166" spans="1:24" s="26" customFormat="1" hidden="1">
      <c r="A1166" s="33"/>
      <c r="B1166" s="108"/>
      <c r="C1166" s="108" t="s">
        <v>4085</v>
      </c>
      <c r="D1166" s="31" t="s">
        <v>4086</v>
      </c>
      <c r="E1166" s="107" t="s">
        <v>4086</v>
      </c>
      <c r="F1166" s="110" t="s">
        <v>4087</v>
      </c>
      <c r="G1166" s="107" t="s">
        <v>4088</v>
      </c>
      <c r="H1166" s="108" t="s">
        <v>4089</v>
      </c>
      <c r="I1166" s="108" t="s">
        <v>3931</v>
      </c>
      <c r="J1166" s="107" t="s">
        <v>271</v>
      </c>
      <c r="K1166" s="31" t="s">
        <v>272</v>
      </c>
      <c r="L1166" s="107" t="s">
        <v>273</v>
      </c>
      <c r="M1166" s="107" t="s">
        <v>4090</v>
      </c>
      <c r="N1166" s="12"/>
      <c r="O1166" s="36">
        <v>44180</v>
      </c>
      <c r="P1166" s="12" t="s">
        <v>359</v>
      </c>
      <c r="Q1166" s="17" t="s">
        <v>4091</v>
      </c>
      <c r="R1166" s="12" t="s">
        <v>4092</v>
      </c>
      <c r="S1166" s="108" t="s">
        <v>4093</v>
      </c>
      <c r="T1166" s="108" t="s">
        <v>4094</v>
      </c>
      <c r="U1166" s="110" t="s">
        <v>4095</v>
      </c>
      <c r="V1166" s="107" t="s">
        <v>4096</v>
      </c>
      <c r="W1166" s="108" t="s">
        <v>4097</v>
      </c>
      <c r="X1166" s="108" t="s">
        <v>4098</v>
      </c>
    </row>
    <row r="1167" spans="1:24" s="26" customFormat="1" hidden="1">
      <c r="A1167" s="33"/>
      <c r="B1167" s="108"/>
      <c r="C1167" s="108"/>
      <c r="D1167" s="31" t="str">
        <f t="shared" ref="D1167:D1172" si="230">D1166</f>
        <v>神州优车集团</v>
      </c>
      <c r="E1167" s="108"/>
      <c r="F1167" s="111"/>
      <c r="G1167" s="108"/>
      <c r="H1167" s="108"/>
      <c r="I1167" s="108"/>
      <c r="J1167" s="108"/>
      <c r="K1167" s="31" t="str">
        <f t="shared" ref="K1167:K1172" si="231">K1166</f>
        <v>运营中</v>
      </c>
      <c r="L1167" s="108"/>
      <c r="M1167" s="108"/>
      <c r="N1167" s="17"/>
      <c r="O1167" s="36">
        <v>42892</v>
      </c>
      <c r="P1167" s="12" t="s">
        <v>359</v>
      </c>
      <c r="Q1167" s="17" t="s">
        <v>2420</v>
      </c>
      <c r="R1167" s="12" t="s">
        <v>4099</v>
      </c>
      <c r="S1167" s="108"/>
      <c r="T1167" s="108"/>
      <c r="U1167" s="111"/>
      <c r="V1167" s="108"/>
      <c r="W1167" s="108"/>
      <c r="X1167" s="108"/>
    </row>
    <row r="1168" spans="1:24" s="26" customFormat="1" hidden="1">
      <c r="A1168" s="33"/>
      <c r="B1168" s="108"/>
      <c r="C1168" s="108"/>
      <c r="D1168" s="31" t="str">
        <f t="shared" si="230"/>
        <v>神州优车集团</v>
      </c>
      <c r="E1168" s="108"/>
      <c r="F1168" s="111"/>
      <c r="G1168" s="108"/>
      <c r="H1168" s="108"/>
      <c r="I1168" s="108"/>
      <c r="J1168" s="108"/>
      <c r="K1168" s="31" t="str">
        <f t="shared" si="231"/>
        <v>运营中</v>
      </c>
      <c r="L1168" s="108"/>
      <c r="M1168" s="108"/>
      <c r="N1168" s="17"/>
      <c r="O1168" s="36">
        <v>42573</v>
      </c>
      <c r="P1168" s="12" t="s">
        <v>362</v>
      </c>
      <c r="Q1168" s="12" t="s">
        <v>252</v>
      </c>
      <c r="R1168" s="17" t="s">
        <v>253</v>
      </c>
      <c r="S1168" s="108"/>
      <c r="T1168" s="108"/>
      <c r="U1168" s="111"/>
      <c r="V1168" s="108"/>
      <c r="W1168" s="108"/>
      <c r="X1168" s="108"/>
    </row>
    <row r="1169" spans="1:24" s="26" customFormat="1" hidden="1">
      <c r="A1169" s="33"/>
      <c r="B1169" s="108"/>
      <c r="C1169" s="108"/>
      <c r="D1169" s="31" t="str">
        <f t="shared" si="230"/>
        <v>神州优车集团</v>
      </c>
      <c r="E1169" s="108"/>
      <c r="F1169" s="111"/>
      <c r="G1169" s="108"/>
      <c r="H1169" s="108"/>
      <c r="I1169" s="108"/>
      <c r="J1169" s="108"/>
      <c r="K1169" s="31" t="str">
        <f t="shared" si="231"/>
        <v>运营中</v>
      </c>
      <c r="L1169" s="108"/>
      <c r="M1169" s="108"/>
      <c r="N1169" s="17"/>
      <c r="O1169" s="36">
        <v>42538</v>
      </c>
      <c r="P1169" s="17" t="s">
        <v>317</v>
      </c>
      <c r="Q1169" s="17" t="s">
        <v>4100</v>
      </c>
      <c r="R1169" s="12" t="s">
        <v>4101</v>
      </c>
      <c r="S1169" s="108"/>
      <c r="T1169" s="108"/>
      <c r="U1169" s="111"/>
      <c r="V1169" s="108"/>
      <c r="W1169" s="108"/>
      <c r="X1169" s="108"/>
    </row>
    <row r="1170" spans="1:24" s="26" customFormat="1" hidden="1">
      <c r="A1170" s="33"/>
      <c r="B1170" s="108"/>
      <c r="C1170" s="108"/>
      <c r="D1170" s="31" t="str">
        <f t="shared" si="230"/>
        <v>神州优车集团</v>
      </c>
      <c r="E1170" s="108"/>
      <c r="F1170" s="111"/>
      <c r="G1170" s="108"/>
      <c r="H1170" s="108"/>
      <c r="I1170" s="108"/>
      <c r="J1170" s="108"/>
      <c r="K1170" s="31" t="str">
        <f t="shared" si="231"/>
        <v>运营中</v>
      </c>
      <c r="L1170" s="108"/>
      <c r="M1170" s="108"/>
      <c r="N1170" s="17"/>
      <c r="O1170" s="36">
        <v>42453</v>
      </c>
      <c r="P1170" s="17" t="s">
        <v>251</v>
      </c>
      <c r="Q1170" s="17" t="s">
        <v>4102</v>
      </c>
      <c r="R1170" s="12" t="s">
        <v>4103</v>
      </c>
      <c r="S1170" s="108"/>
      <c r="T1170" s="108"/>
      <c r="U1170" s="111"/>
      <c r="V1170" s="108"/>
      <c r="W1170" s="108"/>
      <c r="X1170" s="108"/>
    </row>
    <row r="1171" spans="1:24" s="26" customFormat="1" hidden="1">
      <c r="A1171" s="33"/>
      <c r="B1171" s="108"/>
      <c r="C1171" s="108"/>
      <c r="D1171" s="31" t="str">
        <f t="shared" si="230"/>
        <v>神州优车集团</v>
      </c>
      <c r="E1171" s="108"/>
      <c r="F1171" s="111"/>
      <c r="G1171" s="108"/>
      <c r="H1171" s="108"/>
      <c r="I1171" s="108"/>
      <c r="J1171" s="108"/>
      <c r="K1171" s="31" t="str">
        <f t="shared" si="231"/>
        <v>运营中</v>
      </c>
      <c r="L1171" s="108"/>
      <c r="M1171" s="108"/>
      <c r="N1171" s="17"/>
      <c r="O1171" s="36">
        <v>42264</v>
      </c>
      <c r="P1171" s="17" t="s">
        <v>257</v>
      </c>
      <c r="Q1171" s="17" t="s">
        <v>3178</v>
      </c>
      <c r="R1171" s="12" t="s">
        <v>4104</v>
      </c>
      <c r="S1171" s="108"/>
      <c r="T1171" s="108"/>
      <c r="U1171" s="111"/>
      <c r="V1171" s="108"/>
      <c r="W1171" s="108"/>
      <c r="X1171" s="108"/>
    </row>
    <row r="1172" spans="1:24" s="26" customFormat="1" hidden="1">
      <c r="A1172" s="33"/>
      <c r="B1172" s="108"/>
      <c r="C1172" s="108"/>
      <c r="D1172" s="31" t="str">
        <f t="shared" si="230"/>
        <v>神州优车集团</v>
      </c>
      <c r="E1172" s="108"/>
      <c r="F1172" s="111"/>
      <c r="G1172" s="108"/>
      <c r="H1172" s="108"/>
      <c r="I1172" s="108"/>
      <c r="J1172" s="108"/>
      <c r="K1172" s="31" t="str">
        <f t="shared" si="231"/>
        <v>运营中</v>
      </c>
      <c r="L1172" s="108"/>
      <c r="M1172" s="108"/>
      <c r="N1172" s="17"/>
      <c r="O1172" s="36">
        <v>42187</v>
      </c>
      <c r="P1172" s="17" t="s">
        <v>262</v>
      </c>
      <c r="Q1172" s="17" t="s">
        <v>655</v>
      </c>
      <c r="R1172" s="12" t="s">
        <v>4105</v>
      </c>
      <c r="S1172" s="108"/>
      <c r="T1172" s="108"/>
      <c r="U1172" s="111"/>
      <c r="V1172" s="108"/>
      <c r="W1172" s="108"/>
      <c r="X1172" s="108"/>
    </row>
    <row r="1173" spans="1:24" s="26" customFormat="1" hidden="1">
      <c r="A1173" s="33"/>
      <c r="B1173" s="108"/>
      <c r="C1173" s="108" t="s">
        <v>4106</v>
      </c>
      <c r="D1173" s="31" t="s">
        <v>4107</v>
      </c>
      <c r="E1173" s="107" t="s">
        <v>4107</v>
      </c>
      <c r="F1173" s="110" t="s">
        <v>4108</v>
      </c>
      <c r="G1173" s="107" t="s">
        <v>4109</v>
      </c>
      <c r="H1173" s="108" t="s">
        <v>4110</v>
      </c>
      <c r="I1173" s="108" t="s">
        <v>1139</v>
      </c>
      <c r="J1173" s="107" t="s">
        <v>271</v>
      </c>
      <c r="K1173" s="31" t="s">
        <v>272</v>
      </c>
      <c r="L1173" s="107" t="s">
        <v>273</v>
      </c>
      <c r="M1173" s="107" t="s">
        <v>274</v>
      </c>
      <c r="N1173" s="12">
        <v>1</v>
      </c>
      <c r="O1173" s="36">
        <v>44056</v>
      </c>
      <c r="P1173" s="17" t="s">
        <v>687</v>
      </c>
      <c r="Q1173" s="17" t="s">
        <v>4111</v>
      </c>
      <c r="R1173" s="12" t="s">
        <v>4112</v>
      </c>
      <c r="S1173" s="108" t="s">
        <v>4113</v>
      </c>
      <c r="T1173" s="108" t="s">
        <v>4114</v>
      </c>
      <c r="U1173" s="110" t="s">
        <v>4115</v>
      </c>
      <c r="V1173" s="107" t="s">
        <v>4116</v>
      </c>
      <c r="W1173" s="108" t="s">
        <v>4117</v>
      </c>
      <c r="X1173" s="108" t="s">
        <v>4118</v>
      </c>
    </row>
    <row r="1174" spans="1:24" s="26" customFormat="1" hidden="1">
      <c r="A1174" s="33"/>
      <c r="B1174" s="108"/>
      <c r="C1174" s="108"/>
      <c r="D1174" s="31" t="str">
        <f>D1173</f>
        <v>千方科技</v>
      </c>
      <c r="E1174" s="108"/>
      <c r="F1174" s="111"/>
      <c r="G1174" s="108"/>
      <c r="H1174" s="108"/>
      <c r="I1174" s="108"/>
      <c r="J1174" s="108"/>
      <c r="K1174" s="31" t="str">
        <f t="shared" ref="K1174:K1175" si="232">K1173</f>
        <v>运营中</v>
      </c>
      <c r="L1174" s="108"/>
      <c r="M1174" s="108"/>
      <c r="N1174" s="12">
        <v>1</v>
      </c>
      <c r="O1174" s="36">
        <v>43612</v>
      </c>
      <c r="P1174" s="17" t="s">
        <v>687</v>
      </c>
      <c r="Q1174" s="17" t="s">
        <v>4119</v>
      </c>
      <c r="R1174" s="12" t="s">
        <v>240</v>
      </c>
      <c r="S1174" s="108"/>
      <c r="T1174" s="108"/>
      <c r="U1174" s="111"/>
      <c r="V1174" s="108"/>
      <c r="W1174" s="108"/>
      <c r="X1174" s="108"/>
    </row>
    <row r="1175" spans="1:24" s="26" customFormat="1" hidden="1">
      <c r="A1175" s="33"/>
      <c r="B1175" s="108"/>
      <c r="C1175" s="108"/>
      <c r="D1175" s="31" t="str">
        <f>D1174</f>
        <v>千方科技</v>
      </c>
      <c r="E1175" s="108"/>
      <c r="F1175" s="111"/>
      <c r="G1175" s="108"/>
      <c r="H1175" s="108"/>
      <c r="I1175" s="108"/>
      <c r="J1175" s="108"/>
      <c r="K1175" s="31" t="str">
        <f t="shared" si="232"/>
        <v>运营中</v>
      </c>
      <c r="L1175" s="108"/>
      <c r="M1175" s="108"/>
      <c r="N1175" s="12">
        <v>1</v>
      </c>
      <c r="O1175" s="36">
        <v>40255</v>
      </c>
      <c r="P1175" s="17" t="s">
        <v>283</v>
      </c>
      <c r="Q1175" s="12" t="s">
        <v>252</v>
      </c>
      <c r="R1175" s="17" t="s">
        <v>253</v>
      </c>
      <c r="S1175" s="108"/>
      <c r="T1175" s="108"/>
      <c r="U1175" s="111"/>
      <c r="V1175" s="108"/>
      <c r="W1175" s="108"/>
      <c r="X1175" s="108"/>
    </row>
    <row r="1176" spans="1:24" s="26" customFormat="1" hidden="1">
      <c r="A1176" s="33"/>
      <c r="B1176" s="108"/>
      <c r="C1176" s="108" t="s">
        <v>4120</v>
      </c>
      <c r="D1176" s="31" t="s">
        <v>4121</v>
      </c>
      <c r="E1176" s="107" t="s">
        <v>4121</v>
      </c>
      <c r="F1176" s="110" t="s">
        <v>4122</v>
      </c>
      <c r="G1176" s="107" t="s">
        <v>4123</v>
      </c>
      <c r="H1176" s="108" t="s">
        <v>4124</v>
      </c>
      <c r="I1176" s="108" t="s">
        <v>1150</v>
      </c>
      <c r="J1176" s="107" t="s">
        <v>385</v>
      </c>
      <c r="K1176" s="31" t="s">
        <v>272</v>
      </c>
      <c r="L1176" s="107" t="s">
        <v>407</v>
      </c>
      <c r="M1176" s="107" t="s">
        <v>762</v>
      </c>
      <c r="N1176" s="12">
        <v>1</v>
      </c>
      <c r="O1176" s="36">
        <v>43921</v>
      </c>
      <c r="P1176" s="12" t="s">
        <v>285</v>
      </c>
      <c r="Q1176" s="12" t="s">
        <v>252</v>
      </c>
      <c r="R1176" s="12" t="s">
        <v>240</v>
      </c>
      <c r="S1176" s="108" t="s">
        <v>4125</v>
      </c>
      <c r="T1176" s="107" t="s">
        <v>255</v>
      </c>
      <c r="U1176" s="110" t="s">
        <v>4126</v>
      </c>
      <c r="V1176" s="107" t="s">
        <v>4127</v>
      </c>
      <c r="W1176" s="108" t="s">
        <v>4128</v>
      </c>
      <c r="X1176" s="108" t="s">
        <v>4129</v>
      </c>
    </row>
    <row r="1177" spans="1:24" s="26" customFormat="1" hidden="1">
      <c r="A1177" s="33"/>
      <c r="B1177" s="108"/>
      <c r="C1177" s="108"/>
      <c r="D1177" s="31" t="str">
        <f>D1176</f>
        <v>时代凌宇</v>
      </c>
      <c r="E1177" s="108"/>
      <c r="F1177" s="111"/>
      <c r="G1177" s="108"/>
      <c r="H1177" s="108"/>
      <c r="I1177" s="108"/>
      <c r="J1177" s="108"/>
      <c r="K1177" s="31" t="str">
        <f t="shared" ref="K1177:K1179" si="233">K1176</f>
        <v>运营中</v>
      </c>
      <c r="L1177" s="108"/>
      <c r="M1177" s="108"/>
      <c r="N1177" s="12">
        <v>1</v>
      </c>
      <c r="O1177" s="36">
        <v>43637</v>
      </c>
      <c r="P1177" s="12" t="s">
        <v>285</v>
      </c>
      <c r="Q1177" s="12" t="s">
        <v>252</v>
      </c>
      <c r="R1177" s="12" t="s">
        <v>4130</v>
      </c>
      <c r="S1177" s="108"/>
      <c r="T1177" s="108"/>
      <c r="U1177" s="111"/>
      <c r="V1177" s="108"/>
      <c r="W1177" s="108"/>
      <c r="X1177" s="108"/>
    </row>
    <row r="1178" spans="1:24" s="26" customFormat="1" hidden="1">
      <c r="A1178" s="33"/>
      <c r="B1178" s="108"/>
      <c r="C1178" s="108"/>
      <c r="D1178" s="31" t="str">
        <f>D1177</f>
        <v>时代凌宇</v>
      </c>
      <c r="E1178" s="108"/>
      <c r="F1178" s="111"/>
      <c r="G1178" s="108"/>
      <c r="H1178" s="108"/>
      <c r="I1178" s="108"/>
      <c r="J1178" s="108"/>
      <c r="K1178" s="31" t="str">
        <f t="shared" si="233"/>
        <v>运营中</v>
      </c>
      <c r="L1178" s="108"/>
      <c r="M1178" s="108"/>
      <c r="N1178" s="12">
        <v>1</v>
      </c>
      <c r="O1178" s="36">
        <v>43311</v>
      </c>
      <c r="P1178" s="12" t="s">
        <v>275</v>
      </c>
      <c r="Q1178" s="12" t="s">
        <v>252</v>
      </c>
      <c r="R1178" s="17" t="s">
        <v>253</v>
      </c>
      <c r="S1178" s="108"/>
      <c r="T1178" s="108"/>
      <c r="U1178" s="111"/>
      <c r="V1178" s="108"/>
      <c r="W1178" s="108"/>
      <c r="X1178" s="108"/>
    </row>
    <row r="1179" spans="1:24" s="26" customFormat="1" hidden="1">
      <c r="A1179" s="33"/>
      <c r="B1179" s="108"/>
      <c r="C1179" s="108"/>
      <c r="D1179" s="31" t="str">
        <f>D1178</f>
        <v>时代凌宇</v>
      </c>
      <c r="E1179" s="108"/>
      <c r="F1179" s="111"/>
      <c r="G1179" s="108"/>
      <c r="H1179" s="108"/>
      <c r="I1179" s="108"/>
      <c r="J1179" s="108"/>
      <c r="K1179" s="31" t="str">
        <f t="shared" si="233"/>
        <v>运营中</v>
      </c>
      <c r="L1179" s="108"/>
      <c r="M1179" s="108"/>
      <c r="N1179" s="12">
        <v>1</v>
      </c>
      <c r="O1179" s="36">
        <v>42191</v>
      </c>
      <c r="P1179" s="12" t="s">
        <v>362</v>
      </c>
      <c r="Q1179" s="12" t="s">
        <v>252</v>
      </c>
      <c r="R1179" s="17" t="s">
        <v>253</v>
      </c>
      <c r="S1179" s="108"/>
      <c r="T1179" s="108"/>
      <c r="U1179" s="111"/>
      <c r="V1179" s="108"/>
      <c r="W1179" s="108"/>
      <c r="X1179" s="108"/>
    </row>
    <row r="1180" spans="1:24" s="26" customFormat="1" hidden="1">
      <c r="A1180" s="33"/>
      <c r="B1180" s="108"/>
      <c r="C1180" s="108" t="s">
        <v>4131</v>
      </c>
      <c r="D1180" s="31" t="s">
        <v>4132</v>
      </c>
      <c r="E1180" s="107" t="s">
        <v>4132</v>
      </c>
      <c r="F1180" s="110" t="s">
        <v>4133</v>
      </c>
      <c r="G1180" s="107" t="s">
        <v>4134</v>
      </c>
      <c r="H1180" s="108" t="s">
        <v>4135</v>
      </c>
      <c r="I1180" s="108" t="s">
        <v>3867</v>
      </c>
      <c r="J1180" s="107" t="s">
        <v>406</v>
      </c>
      <c r="K1180" s="31" t="s">
        <v>272</v>
      </c>
      <c r="L1180" s="107" t="s">
        <v>407</v>
      </c>
      <c r="M1180" s="107" t="s">
        <v>762</v>
      </c>
      <c r="N1180" s="12"/>
      <c r="O1180" s="36">
        <v>44203</v>
      </c>
      <c r="P1180" s="12" t="s">
        <v>285</v>
      </c>
      <c r="Q1180" s="12" t="s">
        <v>252</v>
      </c>
      <c r="R1180" s="12" t="s">
        <v>1173</v>
      </c>
      <c r="S1180" s="108" t="s">
        <v>4136</v>
      </c>
      <c r="T1180" s="107" t="s">
        <v>255</v>
      </c>
      <c r="U1180" s="110" t="s">
        <v>4137</v>
      </c>
      <c r="V1180" s="107" t="s">
        <v>4138</v>
      </c>
      <c r="W1180" s="108" t="s">
        <v>4139</v>
      </c>
      <c r="X1180" s="108" t="s">
        <v>4140</v>
      </c>
    </row>
    <row r="1181" spans="1:24" s="26" customFormat="1" hidden="1">
      <c r="A1181" s="33"/>
      <c r="B1181" s="108"/>
      <c r="C1181" s="108"/>
      <c r="D1181" s="31" t="str">
        <f>D1180</f>
        <v>魔点科技</v>
      </c>
      <c r="E1181" s="108"/>
      <c r="F1181" s="111"/>
      <c r="G1181" s="108"/>
      <c r="H1181" s="108"/>
      <c r="I1181" s="108"/>
      <c r="J1181" s="108"/>
      <c r="K1181" s="31" t="str">
        <f t="shared" ref="K1181:K1184" si="234">K1180</f>
        <v>运营中</v>
      </c>
      <c r="L1181" s="108"/>
      <c r="M1181" s="108"/>
      <c r="N1181" s="17"/>
      <c r="O1181" s="36">
        <v>44161</v>
      </c>
      <c r="P1181" s="17" t="s">
        <v>251</v>
      </c>
      <c r="Q1181" s="17" t="s">
        <v>1896</v>
      </c>
      <c r="R1181" s="12" t="s">
        <v>4141</v>
      </c>
      <c r="S1181" s="108"/>
      <c r="T1181" s="108"/>
      <c r="U1181" s="111"/>
      <c r="V1181" s="108"/>
      <c r="W1181" s="108"/>
      <c r="X1181" s="108"/>
    </row>
    <row r="1182" spans="1:24" s="26" customFormat="1" hidden="1">
      <c r="A1182" s="33"/>
      <c r="B1182" s="108"/>
      <c r="C1182" s="108"/>
      <c r="D1182" s="31" t="str">
        <f>D1181</f>
        <v>魔点科技</v>
      </c>
      <c r="E1182" s="108"/>
      <c r="F1182" s="111"/>
      <c r="G1182" s="108"/>
      <c r="H1182" s="108"/>
      <c r="I1182" s="108"/>
      <c r="J1182" s="108"/>
      <c r="K1182" s="31" t="str">
        <f t="shared" si="234"/>
        <v>运营中</v>
      </c>
      <c r="L1182" s="108"/>
      <c r="M1182" s="108"/>
      <c r="N1182" s="17"/>
      <c r="O1182" s="36">
        <v>43894</v>
      </c>
      <c r="P1182" s="17" t="s">
        <v>4142</v>
      </c>
      <c r="Q1182" s="12" t="s">
        <v>341</v>
      </c>
      <c r="R1182" s="12" t="s">
        <v>4143</v>
      </c>
      <c r="S1182" s="108"/>
      <c r="T1182" s="108"/>
      <c r="U1182" s="111"/>
      <c r="V1182" s="108"/>
      <c r="W1182" s="108"/>
      <c r="X1182" s="108"/>
    </row>
    <row r="1183" spans="1:24" s="26" customFormat="1" hidden="1">
      <c r="A1183" s="33"/>
      <c r="B1183" s="108"/>
      <c r="C1183" s="108"/>
      <c r="D1183" s="31" t="str">
        <f>D1182</f>
        <v>魔点科技</v>
      </c>
      <c r="E1183" s="108"/>
      <c r="F1183" s="111"/>
      <c r="G1183" s="108"/>
      <c r="H1183" s="108"/>
      <c r="I1183" s="108"/>
      <c r="J1183" s="108"/>
      <c r="K1183" s="31" t="str">
        <f t="shared" si="234"/>
        <v>运营中</v>
      </c>
      <c r="L1183" s="108"/>
      <c r="M1183" s="108"/>
      <c r="N1183" s="17"/>
      <c r="O1183" s="36">
        <v>43465</v>
      </c>
      <c r="P1183" s="17" t="s">
        <v>4142</v>
      </c>
      <c r="Q1183" s="17" t="s">
        <v>1206</v>
      </c>
      <c r="R1183" s="12" t="s">
        <v>4144</v>
      </c>
      <c r="S1183" s="108"/>
      <c r="T1183" s="108"/>
      <c r="U1183" s="111"/>
      <c r="V1183" s="108"/>
      <c r="W1183" s="108"/>
      <c r="X1183" s="108"/>
    </row>
    <row r="1184" spans="1:24" s="26" customFormat="1" hidden="1">
      <c r="A1184" s="33"/>
      <c r="B1184" s="108"/>
      <c r="C1184" s="108"/>
      <c r="D1184" s="31" t="str">
        <f>D1183</f>
        <v>魔点科技</v>
      </c>
      <c r="E1184" s="108"/>
      <c r="F1184" s="111"/>
      <c r="G1184" s="108"/>
      <c r="H1184" s="108"/>
      <c r="I1184" s="108"/>
      <c r="J1184" s="108"/>
      <c r="K1184" s="31" t="str">
        <f t="shared" si="234"/>
        <v>运营中</v>
      </c>
      <c r="L1184" s="108"/>
      <c r="M1184" s="108"/>
      <c r="N1184" s="17"/>
      <c r="O1184" s="36">
        <v>43105</v>
      </c>
      <c r="P1184" s="17" t="s">
        <v>262</v>
      </c>
      <c r="Q1184" s="12" t="s">
        <v>341</v>
      </c>
      <c r="R1184" s="12" t="s">
        <v>4145</v>
      </c>
      <c r="S1184" s="108"/>
      <c r="T1184" s="108"/>
      <c r="U1184" s="111"/>
      <c r="V1184" s="108"/>
      <c r="W1184" s="108"/>
      <c r="X1184" s="108"/>
    </row>
    <row r="1185" spans="1:25" s="26" customFormat="1" ht="48" hidden="1">
      <c r="A1185" s="33"/>
      <c r="B1185" s="108"/>
      <c r="C1185" s="17" t="s">
        <v>4146</v>
      </c>
      <c r="D1185" s="38" t="s">
        <v>4147</v>
      </c>
      <c r="E1185" s="12" t="s">
        <v>4147</v>
      </c>
      <c r="F1185" s="32" t="s">
        <v>4148</v>
      </c>
      <c r="G1185" s="12" t="s">
        <v>4149</v>
      </c>
      <c r="H1185" s="17" t="s">
        <v>4150</v>
      </c>
      <c r="I1185" s="17" t="s">
        <v>3710</v>
      </c>
      <c r="J1185" s="12" t="s">
        <v>406</v>
      </c>
      <c r="K1185" s="38" t="s">
        <v>272</v>
      </c>
      <c r="L1185" s="12" t="s">
        <v>407</v>
      </c>
      <c r="M1185" s="12" t="s">
        <v>470</v>
      </c>
      <c r="N1185" s="12"/>
      <c r="O1185" s="36">
        <v>42639</v>
      </c>
      <c r="P1185" s="12" t="s">
        <v>285</v>
      </c>
      <c r="Q1185" s="12" t="s">
        <v>341</v>
      </c>
      <c r="R1185" s="12" t="s">
        <v>240</v>
      </c>
      <c r="S1185" s="17" t="s">
        <v>931</v>
      </c>
      <c r="T1185" s="17" t="s">
        <v>3743</v>
      </c>
      <c r="U1185" s="32" t="s">
        <v>4151</v>
      </c>
      <c r="V1185" s="12" t="s">
        <v>4152</v>
      </c>
      <c r="W1185" s="17" t="s">
        <v>4153</v>
      </c>
      <c r="X1185" s="17" t="s">
        <v>4154</v>
      </c>
    </row>
    <row r="1186" spans="1:25" s="26" customFormat="1" ht="77.5" customHeight="1">
      <c r="A1186" s="11"/>
      <c r="B1186" s="108"/>
      <c r="C1186" s="108" t="s">
        <v>1900</v>
      </c>
      <c r="D1186" s="31" t="s">
        <v>4155</v>
      </c>
      <c r="E1186" s="109" t="s">
        <v>4156</v>
      </c>
      <c r="F1186" s="112" t="s">
        <v>4157</v>
      </c>
      <c r="G1186" s="107" t="s">
        <v>4158</v>
      </c>
      <c r="H1186" s="108" t="s">
        <v>4159</v>
      </c>
      <c r="I1186" s="109" t="s">
        <v>4160</v>
      </c>
      <c r="J1186" s="109" t="s">
        <v>4161</v>
      </c>
      <c r="K1186" s="20" t="s">
        <v>1042</v>
      </c>
      <c r="L1186" s="109" t="s">
        <v>4162</v>
      </c>
      <c r="M1186" s="109" t="s">
        <v>4163</v>
      </c>
      <c r="N1186" s="13"/>
      <c r="O1186" s="24">
        <v>44725</v>
      </c>
      <c r="P1186" s="13" t="s">
        <v>1045</v>
      </c>
      <c r="Q1186" s="13" t="s">
        <v>2030</v>
      </c>
      <c r="R1186" s="13" t="s">
        <v>1751</v>
      </c>
      <c r="S1186" s="109" t="s">
        <v>4164</v>
      </c>
      <c r="T1186" s="109" t="s">
        <v>3664</v>
      </c>
      <c r="U1186" s="112" t="s">
        <v>4165</v>
      </c>
      <c r="V1186" s="107" t="s">
        <v>4166</v>
      </c>
      <c r="W1186" s="108"/>
      <c r="X1186" s="108"/>
      <c r="Y1186" s="11"/>
    </row>
    <row r="1187" spans="1:25" s="26" customFormat="1" hidden="1">
      <c r="A1187" s="33"/>
      <c r="B1187" s="108"/>
      <c r="C1187" s="108"/>
      <c r="D1187" s="31" t="str">
        <f>D1186</f>
        <v>单立人喜剧</v>
      </c>
      <c r="E1187" s="108"/>
      <c r="F1187" s="111"/>
      <c r="G1187" s="108"/>
      <c r="H1187" s="108"/>
      <c r="I1187" s="108"/>
      <c r="J1187" s="108"/>
      <c r="K1187" s="31" t="str">
        <f t="shared" ref="K1187:K1189" si="235">K1186</f>
        <v>运营中</v>
      </c>
      <c r="L1187" s="108"/>
      <c r="M1187" s="108"/>
      <c r="N1187" s="17"/>
      <c r="O1187" s="36">
        <v>43248</v>
      </c>
      <c r="P1187" s="17" t="s">
        <v>262</v>
      </c>
      <c r="Q1187" s="12" t="s">
        <v>252</v>
      </c>
      <c r="R1187" s="12" t="s">
        <v>1628</v>
      </c>
      <c r="S1187" s="108"/>
      <c r="T1187" s="108"/>
      <c r="U1187" s="111"/>
      <c r="V1187" s="108"/>
      <c r="W1187" s="108"/>
      <c r="X1187" s="108"/>
    </row>
    <row r="1188" spans="1:25" s="26" customFormat="1" hidden="1">
      <c r="A1188" s="33"/>
      <c r="B1188" s="108"/>
      <c r="C1188" s="108"/>
      <c r="D1188" s="31" t="str">
        <f>D1187</f>
        <v>单立人喜剧</v>
      </c>
      <c r="E1188" s="108"/>
      <c r="F1188" s="111"/>
      <c r="G1188" s="108"/>
      <c r="H1188" s="108"/>
      <c r="I1188" s="108"/>
      <c r="J1188" s="108"/>
      <c r="K1188" s="31" t="str">
        <f t="shared" si="235"/>
        <v>运营中</v>
      </c>
      <c r="L1188" s="108"/>
      <c r="M1188" s="108"/>
      <c r="N1188" s="17"/>
      <c r="O1188" s="36">
        <v>42963</v>
      </c>
      <c r="P1188" s="12" t="s">
        <v>326</v>
      </c>
      <c r="Q1188" s="12" t="s">
        <v>252</v>
      </c>
      <c r="R1188" s="12" t="s">
        <v>4167</v>
      </c>
      <c r="S1188" s="108"/>
      <c r="T1188" s="108"/>
      <c r="U1188" s="111"/>
      <c r="V1188" s="108"/>
      <c r="W1188" s="108"/>
      <c r="X1188" s="108"/>
    </row>
    <row r="1189" spans="1:25" s="26" customFormat="1" hidden="1">
      <c r="A1189" s="33"/>
      <c r="B1189" s="108"/>
      <c r="C1189" s="108"/>
      <c r="D1189" s="31" t="str">
        <f>D1188</f>
        <v>单立人喜剧</v>
      </c>
      <c r="E1189" s="108"/>
      <c r="F1189" s="111"/>
      <c r="G1189" s="108"/>
      <c r="H1189" s="108"/>
      <c r="I1189" s="108"/>
      <c r="J1189" s="108"/>
      <c r="K1189" s="31" t="str">
        <f t="shared" si="235"/>
        <v>运营中</v>
      </c>
      <c r="L1189" s="108"/>
      <c r="M1189" s="108"/>
      <c r="N1189" s="17"/>
      <c r="O1189" s="36">
        <v>42753</v>
      </c>
      <c r="P1189" s="12" t="s">
        <v>437</v>
      </c>
      <c r="Q1189" s="12" t="s">
        <v>252</v>
      </c>
      <c r="R1189" s="17" t="s">
        <v>253</v>
      </c>
      <c r="S1189" s="108"/>
      <c r="T1189" s="108"/>
      <c r="U1189" s="111"/>
      <c r="V1189" s="108"/>
      <c r="W1189" s="108"/>
      <c r="X1189" s="108"/>
    </row>
    <row r="1190" spans="1:25" s="26" customFormat="1" hidden="1">
      <c r="A1190" s="33"/>
      <c r="B1190" s="108"/>
      <c r="C1190" s="108" t="s">
        <v>4168</v>
      </c>
      <c r="D1190" s="31" t="s">
        <v>1185</v>
      </c>
      <c r="E1190" s="107" t="s">
        <v>1185</v>
      </c>
      <c r="F1190" s="110" t="s">
        <v>4169</v>
      </c>
      <c r="G1190" s="107" t="s">
        <v>4170</v>
      </c>
      <c r="H1190" s="108" t="s">
        <v>4171</v>
      </c>
      <c r="I1190" s="108" t="s">
        <v>4172</v>
      </c>
      <c r="J1190" s="107" t="s">
        <v>385</v>
      </c>
      <c r="K1190" s="31" t="s">
        <v>272</v>
      </c>
      <c r="L1190" s="107" t="s">
        <v>1859</v>
      </c>
      <c r="M1190" s="107" t="s">
        <v>4173</v>
      </c>
      <c r="N1190" s="12">
        <v>1</v>
      </c>
      <c r="O1190" s="36">
        <v>44137</v>
      </c>
      <c r="P1190" s="17" t="s">
        <v>283</v>
      </c>
      <c r="Q1190" s="17" t="s">
        <v>4174</v>
      </c>
      <c r="R1190" s="17" t="s">
        <v>253</v>
      </c>
      <c r="S1190" s="108" t="s">
        <v>4175</v>
      </c>
      <c r="T1190" s="108" t="s">
        <v>4176</v>
      </c>
      <c r="U1190" s="111"/>
      <c r="V1190" s="107" t="s">
        <v>4177</v>
      </c>
      <c r="W1190" s="108" t="s">
        <v>4178</v>
      </c>
      <c r="X1190" s="108" t="s">
        <v>4179</v>
      </c>
    </row>
    <row r="1191" spans="1:25" s="26" customFormat="1" hidden="1">
      <c r="A1191" s="33"/>
      <c r="B1191" s="108"/>
      <c r="C1191" s="108"/>
      <c r="D1191" s="31" t="str">
        <f>D1190</f>
        <v>中金公司</v>
      </c>
      <c r="E1191" s="108"/>
      <c r="F1191" s="111"/>
      <c r="G1191" s="108"/>
      <c r="H1191" s="108"/>
      <c r="I1191" s="108"/>
      <c r="J1191" s="108"/>
      <c r="K1191" s="31" t="str">
        <f t="shared" ref="K1191:K1194" si="236">K1190</f>
        <v>运营中</v>
      </c>
      <c r="L1191" s="108"/>
      <c r="M1191" s="108"/>
      <c r="N1191" s="12">
        <v>1</v>
      </c>
      <c r="O1191" s="36">
        <v>43515</v>
      </c>
      <c r="P1191" s="17" t="s">
        <v>687</v>
      </c>
      <c r="Q1191" s="12" t="s">
        <v>3686</v>
      </c>
      <c r="R1191" s="12" t="s">
        <v>240</v>
      </c>
      <c r="S1191" s="108"/>
      <c r="T1191" s="108"/>
      <c r="U1191" s="111"/>
      <c r="V1191" s="108"/>
      <c r="W1191" s="108"/>
      <c r="X1191" s="108"/>
    </row>
    <row r="1192" spans="1:25" s="26" customFormat="1" hidden="1">
      <c r="A1192" s="33"/>
      <c r="B1192" s="108"/>
      <c r="C1192" s="108"/>
      <c r="D1192" s="31" t="str">
        <f>D1191</f>
        <v>中金公司</v>
      </c>
      <c r="E1192" s="108"/>
      <c r="F1192" s="111"/>
      <c r="G1192" s="108"/>
      <c r="H1192" s="108"/>
      <c r="I1192" s="108"/>
      <c r="J1192" s="108"/>
      <c r="K1192" s="31" t="str">
        <f t="shared" si="236"/>
        <v>运营中</v>
      </c>
      <c r="L1192" s="108"/>
      <c r="M1192" s="108"/>
      <c r="N1192" s="12">
        <v>1</v>
      </c>
      <c r="O1192" s="36">
        <v>42998</v>
      </c>
      <c r="P1192" s="17" t="s">
        <v>687</v>
      </c>
      <c r="Q1192" s="17" t="s">
        <v>4180</v>
      </c>
      <c r="R1192" s="12" t="s">
        <v>566</v>
      </c>
      <c r="S1192" s="108"/>
      <c r="T1192" s="108"/>
      <c r="U1192" s="111"/>
      <c r="V1192" s="108"/>
      <c r="W1192" s="108"/>
      <c r="X1192" s="108"/>
    </row>
    <row r="1193" spans="1:25" s="26" customFormat="1" hidden="1">
      <c r="A1193" s="33"/>
      <c r="B1193" s="108"/>
      <c r="C1193" s="108"/>
      <c r="D1193" s="31" t="str">
        <f>D1192</f>
        <v>中金公司</v>
      </c>
      <c r="E1193" s="108"/>
      <c r="F1193" s="111"/>
      <c r="G1193" s="108"/>
      <c r="H1193" s="108"/>
      <c r="I1193" s="108"/>
      <c r="J1193" s="108"/>
      <c r="K1193" s="31" t="str">
        <f t="shared" si="236"/>
        <v>运营中</v>
      </c>
      <c r="L1193" s="108"/>
      <c r="M1193" s="108"/>
      <c r="N1193" s="12">
        <v>1</v>
      </c>
      <c r="O1193" s="36">
        <v>42317</v>
      </c>
      <c r="P1193" s="17" t="s">
        <v>283</v>
      </c>
      <c r="Q1193" s="17" t="s">
        <v>4181</v>
      </c>
      <c r="R1193" s="17" t="s">
        <v>253</v>
      </c>
      <c r="S1193" s="108"/>
      <c r="T1193" s="108"/>
      <c r="U1193" s="111"/>
      <c r="V1193" s="108"/>
      <c r="W1193" s="108"/>
      <c r="X1193" s="108"/>
    </row>
    <row r="1194" spans="1:25" s="26" customFormat="1" hidden="1">
      <c r="A1194" s="33"/>
      <c r="B1194" s="108"/>
      <c r="C1194" s="108"/>
      <c r="D1194" s="31" t="str">
        <f>D1193</f>
        <v>中金公司</v>
      </c>
      <c r="E1194" s="108"/>
      <c r="F1194" s="111"/>
      <c r="G1194" s="108"/>
      <c r="H1194" s="108"/>
      <c r="I1194" s="108"/>
      <c r="J1194" s="108"/>
      <c r="K1194" s="31" t="str">
        <f t="shared" si="236"/>
        <v>运营中</v>
      </c>
      <c r="L1194" s="108"/>
      <c r="M1194" s="108"/>
      <c r="N1194" s="12">
        <v>1</v>
      </c>
      <c r="O1194" s="36">
        <v>41239</v>
      </c>
      <c r="P1194" s="17" t="s">
        <v>262</v>
      </c>
      <c r="Q1194" s="12" t="s">
        <v>252</v>
      </c>
      <c r="R1194" s="17" t="s">
        <v>4182</v>
      </c>
      <c r="S1194" s="108"/>
      <c r="T1194" s="108"/>
      <c r="U1194" s="111"/>
      <c r="V1194" s="108"/>
      <c r="W1194" s="108"/>
      <c r="X1194" s="108"/>
    </row>
    <row r="1195" spans="1:25" s="26" customFormat="1" hidden="1">
      <c r="A1195" s="33"/>
      <c r="B1195" s="108"/>
      <c r="C1195" s="108" t="s">
        <v>4183</v>
      </c>
      <c r="D1195" s="31" t="s">
        <v>4184</v>
      </c>
      <c r="E1195" s="107" t="s">
        <v>4184</v>
      </c>
      <c r="F1195" s="110" t="s">
        <v>4185</v>
      </c>
      <c r="G1195" s="107" t="s">
        <v>4186</v>
      </c>
      <c r="H1195" s="108" t="s">
        <v>4187</v>
      </c>
      <c r="I1195" s="108" t="s">
        <v>3495</v>
      </c>
      <c r="J1195" s="107" t="s">
        <v>4188</v>
      </c>
      <c r="K1195" s="31" t="s">
        <v>272</v>
      </c>
      <c r="L1195" s="107" t="s">
        <v>672</v>
      </c>
      <c r="M1195" s="107" t="s">
        <v>4189</v>
      </c>
      <c r="N1195" s="12">
        <v>1</v>
      </c>
      <c r="O1195" s="36">
        <v>43005</v>
      </c>
      <c r="P1195" s="17" t="s">
        <v>687</v>
      </c>
      <c r="Q1195" s="12" t="s">
        <v>252</v>
      </c>
      <c r="R1195" s="12" t="s">
        <v>4190</v>
      </c>
      <c r="S1195" s="108" t="s">
        <v>4191</v>
      </c>
      <c r="T1195" s="107" t="s">
        <v>255</v>
      </c>
      <c r="U1195" s="110" t="s">
        <v>4192</v>
      </c>
      <c r="V1195" s="107" t="s">
        <v>4193</v>
      </c>
      <c r="W1195" s="108" t="s">
        <v>4194</v>
      </c>
      <c r="X1195" s="108"/>
    </row>
    <row r="1196" spans="1:25" s="26" customFormat="1" hidden="1">
      <c r="A1196" s="33"/>
      <c r="B1196" s="108"/>
      <c r="C1196" s="108"/>
      <c r="D1196" s="31" t="str">
        <f>D1195</f>
        <v>新华都</v>
      </c>
      <c r="E1196" s="108"/>
      <c r="F1196" s="111"/>
      <c r="G1196" s="108"/>
      <c r="H1196" s="108"/>
      <c r="I1196" s="108"/>
      <c r="J1196" s="108"/>
      <c r="K1196" s="31" t="str">
        <f>K1195</f>
        <v>运营中</v>
      </c>
      <c r="L1196" s="108"/>
      <c r="M1196" s="108"/>
      <c r="N1196" s="12">
        <v>1</v>
      </c>
      <c r="O1196" s="36">
        <v>39660</v>
      </c>
      <c r="P1196" s="17" t="s">
        <v>283</v>
      </c>
      <c r="Q1196" s="17" t="s">
        <v>4195</v>
      </c>
      <c r="R1196" s="17" t="s">
        <v>253</v>
      </c>
      <c r="S1196" s="108"/>
      <c r="T1196" s="108"/>
      <c r="U1196" s="111"/>
      <c r="V1196" s="108"/>
      <c r="W1196" s="108"/>
      <c r="X1196" s="108"/>
    </row>
    <row r="1197" spans="1:25" s="26" customFormat="1" hidden="1">
      <c r="A1197" s="33"/>
      <c r="B1197" s="108"/>
      <c r="C1197" s="108" t="s">
        <v>4196</v>
      </c>
      <c r="D1197" s="31" t="s">
        <v>4197</v>
      </c>
      <c r="E1197" s="107" t="s">
        <v>4197</v>
      </c>
      <c r="F1197" s="110" t="s">
        <v>4198</v>
      </c>
      <c r="G1197" s="107" t="s">
        <v>4199</v>
      </c>
      <c r="H1197" s="108" t="s">
        <v>4200</v>
      </c>
      <c r="I1197" s="108" t="s">
        <v>3629</v>
      </c>
      <c r="J1197" s="107" t="s">
        <v>349</v>
      </c>
      <c r="K1197" s="31" t="s">
        <v>272</v>
      </c>
      <c r="L1197" s="107" t="s">
        <v>407</v>
      </c>
      <c r="M1197" s="107" t="s">
        <v>577</v>
      </c>
      <c r="N1197" s="12"/>
      <c r="O1197" s="36">
        <v>43578</v>
      </c>
      <c r="P1197" s="17" t="s">
        <v>257</v>
      </c>
      <c r="Q1197" s="12" t="s">
        <v>341</v>
      </c>
      <c r="R1197" s="12" t="s">
        <v>240</v>
      </c>
      <c r="S1197" s="108" t="s">
        <v>4201</v>
      </c>
      <c r="T1197" s="108" t="s">
        <v>432</v>
      </c>
      <c r="U1197" s="110" t="s">
        <v>4202</v>
      </c>
      <c r="V1197" s="107" t="s">
        <v>4203</v>
      </c>
      <c r="W1197" s="108" t="s">
        <v>4204</v>
      </c>
      <c r="X1197" s="108" t="s">
        <v>4205</v>
      </c>
    </row>
    <row r="1198" spans="1:25" s="26" customFormat="1" hidden="1">
      <c r="A1198" s="33"/>
      <c r="B1198" s="108"/>
      <c r="C1198" s="108"/>
      <c r="D1198" s="31" t="str">
        <f>D1197</f>
        <v>商帆</v>
      </c>
      <c r="E1198" s="108"/>
      <c r="F1198" s="111"/>
      <c r="G1198" s="108"/>
      <c r="H1198" s="108"/>
      <c r="I1198" s="108"/>
      <c r="J1198" s="108"/>
      <c r="K1198" s="31" t="str">
        <f t="shared" ref="K1198:K1199" si="237">K1197</f>
        <v>运营中</v>
      </c>
      <c r="L1198" s="108"/>
      <c r="M1198" s="108"/>
      <c r="N1198" s="17"/>
      <c r="O1198" s="36">
        <v>43060</v>
      </c>
      <c r="P1198" s="17" t="s">
        <v>262</v>
      </c>
      <c r="Q1198" s="12" t="s">
        <v>341</v>
      </c>
      <c r="R1198" s="17" t="s">
        <v>4206</v>
      </c>
      <c r="S1198" s="108"/>
      <c r="T1198" s="108"/>
      <c r="U1198" s="111"/>
      <c r="V1198" s="108"/>
      <c r="W1198" s="108"/>
      <c r="X1198" s="108"/>
    </row>
    <row r="1199" spans="1:25" s="26" customFormat="1" hidden="1">
      <c r="A1199" s="33"/>
      <c r="B1199" s="108"/>
      <c r="C1199" s="108"/>
      <c r="D1199" s="31" t="str">
        <f>D1198</f>
        <v>商帆</v>
      </c>
      <c r="E1199" s="108"/>
      <c r="F1199" s="111"/>
      <c r="G1199" s="108"/>
      <c r="H1199" s="108"/>
      <c r="I1199" s="108"/>
      <c r="J1199" s="108"/>
      <c r="K1199" s="31" t="str">
        <f t="shared" si="237"/>
        <v>运营中</v>
      </c>
      <c r="L1199" s="108"/>
      <c r="M1199" s="108"/>
      <c r="N1199" s="17"/>
      <c r="O1199" s="36">
        <v>42522</v>
      </c>
      <c r="P1199" s="17" t="s">
        <v>721</v>
      </c>
      <c r="Q1199" s="12" t="s">
        <v>341</v>
      </c>
      <c r="R1199" s="12" t="s">
        <v>4207</v>
      </c>
      <c r="S1199" s="108"/>
      <c r="T1199" s="108"/>
      <c r="U1199" s="111"/>
      <c r="V1199" s="108"/>
      <c r="W1199" s="108"/>
      <c r="X1199" s="108"/>
    </row>
    <row r="1200" spans="1:25" s="26" customFormat="1" ht="72">
      <c r="A1200" s="11"/>
      <c r="B1200" s="108"/>
      <c r="C1200" s="17" t="s">
        <v>4208</v>
      </c>
      <c r="D1200" s="38" t="s">
        <v>4209</v>
      </c>
      <c r="E1200" s="13" t="s">
        <v>4210</v>
      </c>
      <c r="F1200" s="18" t="s">
        <v>4211</v>
      </c>
      <c r="G1200" s="12" t="s">
        <v>4212</v>
      </c>
      <c r="H1200" s="17" t="s">
        <v>4213</v>
      </c>
      <c r="I1200" s="13" t="s">
        <v>4214</v>
      </c>
      <c r="J1200" s="13" t="s">
        <v>1237</v>
      </c>
      <c r="K1200" s="25" t="s">
        <v>1042</v>
      </c>
      <c r="L1200" s="13" t="s">
        <v>1825</v>
      </c>
      <c r="M1200" s="13" t="s">
        <v>1826</v>
      </c>
      <c r="N1200" s="13"/>
      <c r="O1200" s="24">
        <v>44224</v>
      </c>
      <c r="P1200" s="13" t="s">
        <v>1045</v>
      </c>
      <c r="Q1200" s="13" t="s">
        <v>2030</v>
      </c>
      <c r="R1200" s="13" t="s">
        <v>1751</v>
      </c>
      <c r="S1200" s="13" t="s">
        <v>4215</v>
      </c>
      <c r="T1200" s="13" t="s">
        <v>3664</v>
      </c>
      <c r="U1200" s="18" t="s">
        <v>4216</v>
      </c>
      <c r="V1200" s="12" t="s">
        <v>4217</v>
      </c>
      <c r="W1200" s="17" t="s">
        <v>4218</v>
      </c>
      <c r="X1200" s="17" t="s">
        <v>4219</v>
      </c>
      <c r="Y1200" s="11"/>
    </row>
    <row r="1201" spans="1:25" s="26" customFormat="1" hidden="1">
      <c r="A1201" s="33"/>
      <c r="B1201" s="108"/>
      <c r="C1201" s="108" t="s">
        <v>4220</v>
      </c>
      <c r="D1201" s="31" t="s">
        <v>4221</v>
      </c>
      <c r="E1201" s="107" t="s">
        <v>4221</v>
      </c>
      <c r="F1201" s="110" t="s">
        <v>4222</v>
      </c>
      <c r="G1201" s="107" t="s">
        <v>4223</v>
      </c>
      <c r="H1201" s="108" t="s">
        <v>4224</v>
      </c>
      <c r="I1201" s="108" t="s">
        <v>4225</v>
      </c>
      <c r="J1201" s="107" t="s">
        <v>4226</v>
      </c>
      <c r="K1201" s="31" t="s">
        <v>272</v>
      </c>
      <c r="L1201" s="107" t="s">
        <v>672</v>
      </c>
      <c r="M1201" s="107" t="s">
        <v>4227</v>
      </c>
      <c r="N1201" s="12"/>
      <c r="O1201" s="36">
        <v>43031</v>
      </c>
      <c r="P1201" s="12" t="s">
        <v>359</v>
      </c>
      <c r="Q1201" s="17" t="s">
        <v>4228</v>
      </c>
      <c r="R1201" s="12" t="s">
        <v>4229</v>
      </c>
      <c r="S1201" s="108" t="s">
        <v>4230</v>
      </c>
      <c r="T1201" s="108" t="s">
        <v>4231</v>
      </c>
      <c r="U1201" s="110" t="s">
        <v>4232</v>
      </c>
      <c r="V1201" s="107" t="s">
        <v>4233</v>
      </c>
      <c r="W1201" s="108" t="s">
        <v>4234</v>
      </c>
      <c r="X1201" s="108" t="s">
        <v>4235</v>
      </c>
    </row>
    <row r="1202" spans="1:25" s="26" customFormat="1" hidden="1">
      <c r="A1202" s="33"/>
      <c r="B1202" s="108"/>
      <c r="C1202" s="108"/>
      <c r="D1202" s="31" t="str">
        <f>D1201</f>
        <v>东方股份</v>
      </c>
      <c r="E1202" s="108"/>
      <c r="F1202" s="111"/>
      <c r="G1202" s="108"/>
      <c r="H1202" s="108"/>
      <c r="I1202" s="108"/>
      <c r="J1202" s="108"/>
      <c r="K1202" s="31" t="str">
        <f>K1201</f>
        <v>运营中</v>
      </c>
      <c r="L1202" s="108"/>
      <c r="M1202" s="108"/>
      <c r="N1202" s="17"/>
      <c r="O1202" s="36">
        <v>42244</v>
      </c>
      <c r="P1202" s="12" t="s">
        <v>362</v>
      </c>
      <c r="Q1202" s="12" t="s">
        <v>252</v>
      </c>
      <c r="R1202" s="17" t="s">
        <v>253</v>
      </c>
      <c r="S1202" s="108"/>
      <c r="T1202" s="108"/>
      <c r="U1202" s="111"/>
      <c r="V1202" s="108"/>
      <c r="W1202" s="108"/>
      <c r="X1202" s="108"/>
    </row>
    <row r="1203" spans="1:25" s="26" customFormat="1" hidden="1">
      <c r="A1203" s="33"/>
      <c r="B1203" s="108"/>
      <c r="C1203" s="108" t="s">
        <v>4236</v>
      </c>
      <c r="D1203" s="31" t="s">
        <v>4237</v>
      </c>
      <c r="E1203" s="108" t="s">
        <v>4238</v>
      </c>
      <c r="F1203" s="111" t="s">
        <v>4239</v>
      </c>
      <c r="G1203" s="107" t="s">
        <v>4240</v>
      </c>
      <c r="H1203" s="108" t="s">
        <v>4241</v>
      </c>
      <c r="I1203" s="108" t="s">
        <v>4160</v>
      </c>
      <c r="J1203" s="107" t="s">
        <v>1192</v>
      </c>
      <c r="K1203" s="31" t="s">
        <v>272</v>
      </c>
      <c r="L1203" s="107" t="s">
        <v>944</v>
      </c>
      <c r="M1203" s="108" t="s">
        <v>2774</v>
      </c>
      <c r="N1203" s="17"/>
      <c r="O1203" s="36">
        <v>44799</v>
      </c>
      <c r="P1203" s="12" t="s">
        <v>285</v>
      </c>
      <c r="Q1203" s="12" t="s">
        <v>276</v>
      </c>
      <c r="R1203" s="17" t="s">
        <v>4242</v>
      </c>
      <c r="S1203" s="108" t="s">
        <v>4243</v>
      </c>
      <c r="T1203" s="108" t="s">
        <v>731</v>
      </c>
      <c r="U1203" s="110" t="s">
        <v>4244</v>
      </c>
      <c r="V1203" s="107" t="s">
        <v>4245</v>
      </c>
      <c r="W1203" s="108" t="s">
        <v>4246</v>
      </c>
      <c r="X1203" s="108" t="s">
        <v>4247</v>
      </c>
    </row>
    <row r="1204" spans="1:25" s="26" customFormat="1" ht="53.5" customHeight="1">
      <c r="A1204" s="11"/>
      <c r="B1204" s="108"/>
      <c r="C1204" s="108"/>
      <c r="D1204" s="31" t="str">
        <f t="shared" ref="D1204:D1211" si="238">D1203</f>
        <v>nreal太若科技</v>
      </c>
      <c r="E1204" s="109"/>
      <c r="F1204" s="112"/>
      <c r="G1204" s="108"/>
      <c r="H1204" s="108"/>
      <c r="I1204" s="109"/>
      <c r="J1204" s="109"/>
      <c r="K1204" s="20" t="str">
        <f t="shared" ref="K1204:K1211" si="239">K1203</f>
        <v>运营中</v>
      </c>
      <c r="L1204" s="109"/>
      <c r="M1204" s="109"/>
      <c r="N1204" s="13"/>
      <c r="O1204" s="24">
        <v>44650</v>
      </c>
      <c r="P1204" s="13" t="s">
        <v>2029</v>
      </c>
      <c r="Q1204" s="13" t="s">
        <v>1991</v>
      </c>
      <c r="R1204" s="13" t="s">
        <v>1751</v>
      </c>
      <c r="S1204" s="109"/>
      <c r="T1204" s="109"/>
      <c r="U1204" s="112"/>
      <c r="V1204" s="108"/>
      <c r="W1204" s="108"/>
      <c r="X1204" s="108"/>
      <c r="Y1204" s="11"/>
    </row>
    <row r="1205" spans="1:25" s="26" customFormat="1" hidden="1">
      <c r="A1205" s="33"/>
      <c r="B1205" s="108"/>
      <c r="C1205" s="108"/>
      <c r="D1205" s="31" t="str">
        <f t="shared" si="238"/>
        <v>nreal太若科技</v>
      </c>
      <c r="E1205" s="108"/>
      <c r="F1205" s="111"/>
      <c r="G1205" s="108"/>
      <c r="H1205" s="108"/>
      <c r="I1205" s="108"/>
      <c r="J1205" s="108"/>
      <c r="K1205" s="31" t="str">
        <f t="shared" si="239"/>
        <v>运营中</v>
      </c>
      <c r="L1205" s="108"/>
      <c r="M1205" s="108"/>
      <c r="N1205" s="17"/>
      <c r="O1205" s="36">
        <v>44462</v>
      </c>
      <c r="P1205" s="17" t="s">
        <v>251</v>
      </c>
      <c r="Q1205" s="17" t="s">
        <v>320</v>
      </c>
      <c r="R1205" s="12" t="s">
        <v>4248</v>
      </c>
      <c r="S1205" s="108"/>
      <c r="T1205" s="108"/>
      <c r="U1205" s="111"/>
      <c r="V1205" s="108"/>
      <c r="W1205" s="108"/>
      <c r="X1205" s="108"/>
    </row>
    <row r="1206" spans="1:25" s="26" customFormat="1" hidden="1">
      <c r="A1206" s="33"/>
      <c r="B1206" s="108"/>
      <c r="C1206" s="108"/>
      <c r="D1206" s="31" t="str">
        <f t="shared" si="238"/>
        <v>nreal太若科技</v>
      </c>
      <c r="E1206" s="108"/>
      <c r="F1206" s="111"/>
      <c r="G1206" s="108"/>
      <c r="H1206" s="108"/>
      <c r="I1206" s="108"/>
      <c r="J1206" s="108"/>
      <c r="K1206" s="31" t="str">
        <f t="shared" si="239"/>
        <v>运营中</v>
      </c>
      <c r="L1206" s="108"/>
      <c r="M1206" s="108"/>
      <c r="N1206" s="17"/>
      <c r="O1206" s="36">
        <v>44259</v>
      </c>
      <c r="P1206" s="17" t="s">
        <v>565</v>
      </c>
      <c r="Q1206" s="12" t="s">
        <v>276</v>
      </c>
      <c r="R1206" s="12" t="s">
        <v>4249</v>
      </c>
      <c r="S1206" s="108"/>
      <c r="T1206" s="108"/>
      <c r="U1206" s="111"/>
      <c r="V1206" s="108"/>
      <c r="W1206" s="108"/>
      <c r="X1206" s="108"/>
    </row>
    <row r="1207" spans="1:25" s="26" customFormat="1" hidden="1">
      <c r="A1207" s="33"/>
      <c r="B1207" s="108"/>
      <c r="C1207" s="108"/>
      <c r="D1207" s="31" t="str">
        <f t="shared" si="238"/>
        <v>nreal太若科技</v>
      </c>
      <c r="E1207" s="108"/>
      <c r="F1207" s="111"/>
      <c r="G1207" s="108"/>
      <c r="H1207" s="108"/>
      <c r="I1207" s="108"/>
      <c r="J1207" s="108"/>
      <c r="K1207" s="31" t="str">
        <f t="shared" si="239"/>
        <v>运营中</v>
      </c>
      <c r="L1207" s="108"/>
      <c r="M1207" s="108"/>
      <c r="N1207" s="17"/>
      <c r="O1207" s="36">
        <v>44078</v>
      </c>
      <c r="P1207" s="17" t="s">
        <v>257</v>
      </c>
      <c r="Q1207" s="17" t="s">
        <v>676</v>
      </c>
      <c r="R1207" s="12" t="s">
        <v>4250</v>
      </c>
      <c r="S1207" s="108"/>
      <c r="T1207" s="108"/>
      <c r="U1207" s="111"/>
      <c r="V1207" s="108"/>
      <c r="W1207" s="108"/>
      <c r="X1207" s="108"/>
    </row>
    <row r="1208" spans="1:25" s="26" customFormat="1" hidden="1">
      <c r="A1208" s="33"/>
      <c r="B1208" s="108"/>
      <c r="C1208" s="108"/>
      <c r="D1208" s="31" t="str">
        <f t="shared" si="238"/>
        <v>nreal太若科技</v>
      </c>
      <c r="E1208" s="108"/>
      <c r="F1208" s="111"/>
      <c r="G1208" s="108"/>
      <c r="H1208" s="108"/>
      <c r="I1208" s="108"/>
      <c r="J1208" s="108"/>
      <c r="K1208" s="31" t="str">
        <f t="shared" si="239"/>
        <v>运营中</v>
      </c>
      <c r="L1208" s="108"/>
      <c r="M1208" s="108"/>
      <c r="N1208" s="17"/>
      <c r="O1208" s="36">
        <v>43519</v>
      </c>
      <c r="P1208" s="17" t="s">
        <v>260</v>
      </c>
      <c r="Q1208" s="17" t="s">
        <v>4251</v>
      </c>
      <c r="R1208" s="12" t="s">
        <v>4252</v>
      </c>
      <c r="S1208" s="108"/>
      <c r="T1208" s="108"/>
      <c r="U1208" s="111"/>
      <c r="V1208" s="108"/>
      <c r="W1208" s="108"/>
      <c r="X1208" s="108"/>
    </row>
    <row r="1209" spans="1:25" s="26" customFormat="1" hidden="1">
      <c r="A1209" s="33"/>
      <c r="B1209" s="108"/>
      <c r="C1209" s="108"/>
      <c r="D1209" s="31" t="str">
        <f t="shared" si="238"/>
        <v>nreal太若科技</v>
      </c>
      <c r="E1209" s="108"/>
      <c r="F1209" s="111"/>
      <c r="G1209" s="108"/>
      <c r="H1209" s="108"/>
      <c r="I1209" s="108"/>
      <c r="J1209" s="108"/>
      <c r="K1209" s="31" t="str">
        <f t="shared" si="239"/>
        <v>运营中</v>
      </c>
      <c r="L1209" s="108"/>
      <c r="M1209" s="108"/>
      <c r="N1209" s="17"/>
      <c r="O1209" s="36">
        <v>43473</v>
      </c>
      <c r="P1209" s="17" t="s">
        <v>262</v>
      </c>
      <c r="Q1209" s="17" t="s">
        <v>322</v>
      </c>
      <c r="R1209" s="12" t="s">
        <v>4253</v>
      </c>
      <c r="S1209" s="108"/>
      <c r="T1209" s="108"/>
      <c r="U1209" s="111"/>
      <c r="V1209" s="108"/>
      <c r="W1209" s="108"/>
      <c r="X1209" s="108"/>
    </row>
    <row r="1210" spans="1:25" s="26" customFormat="1" hidden="1">
      <c r="A1210" s="33"/>
      <c r="B1210" s="108"/>
      <c r="C1210" s="108"/>
      <c r="D1210" s="31" t="str">
        <f t="shared" si="238"/>
        <v>nreal太若科技</v>
      </c>
      <c r="E1210" s="108"/>
      <c r="F1210" s="111"/>
      <c r="G1210" s="108"/>
      <c r="H1210" s="108"/>
      <c r="I1210" s="108"/>
      <c r="J1210" s="108"/>
      <c r="K1210" s="31" t="str">
        <f t="shared" si="239"/>
        <v>运营中</v>
      </c>
      <c r="L1210" s="108"/>
      <c r="M1210" s="108"/>
      <c r="N1210" s="17"/>
      <c r="O1210" s="36">
        <v>43305</v>
      </c>
      <c r="P1210" s="17" t="s">
        <v>721</v>
      </c>
      <c r="Q1210" s="12" t="s">
        <v>327</v>
      </c>
      <c r="R1210" s="12" t="s">
        <v>4254</v>
      </c>
      <c r="S1210" s="108"/>
      <c r="T1210" s="108"/>
      <c r="U1210" s="111"/>
      <c r="V1210" s="108"/>
      <c r="W1210" s="108"/>
      <c r="X1210" s="108"/>
    </row>
    <row r="1211" spans="1:25" s="26" customFormat="1" hidden="1">
      <c r="A1211" s="33"/>
      <c r="B1211" s="108"/>
      <c r="C1211" s="108"/>
      <c r="D1211" s="31" t="str">
        <f t="shared" si="238"/>
        <v>nreal太若科技</v>
      </c>
      <c r="E1211" s="108"/>
      <c r="F1211" s="111"/>
      <c r="G1211" s="108"/>
      <c r="H1211" s="108"/>
      <c r="I1211" s="108"/>
      <c r="J1211" s="108"/>
      <c r="K1211" s="31" t="str">
        <f t="shared" si="239"/>
        <v>运营中</v>
      </c>
      <c r="L1211" s="108"/>
      <c r="M1211" s="108"/>
      <c r="N1211" s="17"/>
      <c r="O1211" s="36">
        <v>43004</v>
      </c>
      <c r="P1211" s="12" t="s">
        <v>326</v>
      </c>
      <c r="Q1211" s="12" t="s">
        <v>261</v>
      </c>
      <c r="R1211" s="12" t="s">
        <v>4255</v>
      </c>
      <c r="S1211" s="108"/>
      <c r="T1211" s="108"/>
      <c r="U1211" s="111"/>
      <c r="V1211" s="108"/>
      <c r="W1211" s="108"/>
      <c r="X1211" s="108"/>
    </row>
    <row r="1212" spans="1:25" s="26" customFormat="1" hidden="1">
      <c r="A1212" s="33"/>
      <c r="B1212" s="108"/>
      <c r="C1212" s="108" t="s">
        <v>4256</v>
      </c>
      <c r="D1212" s="31" t="s">
        <v>4257</v>
      </c>
      <c r="E1212" s="107" t="s">
        <v>4258</v>
      </c>
      <c r="F1212" s="110" t="s">
        <v>4259</v>
      </c>
      <c r="G1212" s="107" t="s">
        <v>4260</v>
      </c>
      <c r="H1212" s="108" t="s">
        <v>4261</v>
      </c>
      <c r="I1212" s="108" t="s">
        <v>2773</v>
      </c>
      <c r="J1212" s="107" t="s">
        <v>428</v>
      </c>
      <c r="K1212" s="31" t="s">
        <v>272</v>
      </c>
      <c r="L1212" s="107" t="s">
        <v>944</v>
      </c>
      <c r="M1212" s="107" t="s">
        <v>1423</v>
      </c>
      <c r="N1212" s="12">
        <v>1</v>
      </c>
      <c r="O1212" s="36">
        <v>44575</v>
      </c>
      <c r="P1212" s="17" t="s">
        <v>283</v>
      </c>
      <c r="Q1212" s="17" t="s">
        <v>4262</v>
      </c>
      <c r="R1212" s="17" t="s">
        <v>253</v>
      </c>
      <c r="S1212" s="108" t="s">
        <v>4263</v>
      </c>
      <c r="T1212" s="108" t="s">
        <v>4264</v>
      </c>
      <c r="U1212" s="110" t="s">
        <v>4265</v>
      </c>
      <c r="V1212" s="107" t="s">
        <v>4266</v>
      </c>
      <c r="W1212" s="108" t="s">
        <v>4267</v>
      </c>
      <c r="X1212" s="108" t="s">
        <v>4268</v>
      </c>
    </row>
    <row r="1213" spans="1:25" s="26" customFormat="1" hidden="1">
      <c r="A1213" s="33"/>
      <c r="B1213" s="108"/>
      <c r="C1213" s="108"/>
      <c r="D1213" s="31" t="str">
        <f t="shared" ref="D1213:D1220" si="240">D1212</f>
        <v>翱捷科技ASR</v>
      </c>
      <c r="E1213" s="108"/>
      <c r="F1213" s="111"/>
      <c r="G1213" s="108"/>
      <c r="H1213" s="108"/>
      <c r="I1213" s="108"/>
      <c r="J1213" s="108"/>
      <c r="K1213" s="31" t="str">
        <f t="shared" ref="K1213:K1220" si="241">K1212</f>
        <v>运营中</v>
      </c>
      <c r="L1213" s="108"/>
      <c r="M1213" s="108"/>
      <c r="N1213" s="12">
        <v>1</v>
      </c>
      <c r="O1213" s="36">
        <v>43951</v>
      </c>
      <c r="P1213" s="17" t="s">
        <v>315</v>
      </c>
      <c r="Q1213" s="17" t="s">
        <v>3450</v>
      </c>
      <c r="R1213" s="12" t="s">
        <v>4269</v>
      </c>
      <c r="S1213" s="108"/>
      <c r="T1213" s="108"/>
      <c r="U1213" s="111"/>
      <c r="V1213" s="108"/>
      <c r="W1213" s="108"/>
      <c r="X1213" s="108"/>
    </row>
    <row r="1214" spans="1:25" s="26" customFormat="1" hidden="1">
      <c r="A1214" s="33"/>
      <c r="B1214" s="108"/>
      <c r="C1214" s="108"/>
      <c r="D1214" s="31" t="str">
        <f t="shared" si="240"/>
        <v>翱捷科技ASR</v>
      </c>
      <c r="E1214" s="108"/>
      <c r="F1214" s="111"/>
      <c r="G1214" s="108"/>
      <c r="H1214" s="108"/>
      <c r="I1214" s="108"/>
      <c r="J1214" s="108"/>
      <c r="K1214" s="31" t="str">
        <f t="shared" si="241"/>
        <v>运营中</v>
      </c>
      <c r="L1214" s="108"/>
      <c r="M1214" s="108"/>
      <c r="N1214" s="12">
        <v>1</v>
      </c>
      <c r="O1214" s="36">
        <v>43886</v>
      </c>
      <c r="P1214" s="12" t="s">
        <v>285</v>
      </c>
      <c r="Q1214" s="12" t="s">
        <v>409</v>
      </c>
      <c r="R1214" s="12" t="s">
        <v>4270</v>
      </c>
      <c r="S1214" s="108"/>
      <c r="T1214" s="108"/>
      <c r="U1214" s="111"/>
      <c r="V1214" s="108"/>
      <c r="W1214" s="108"/>
      <c r="X1214" s="108"/>
    </row>
    <row r="1215" spans="1:25" s="26" customFormat="1" hidden="1">
      <c r="A1215" s="33"/>
      <c r="B1215" s="108"/>
      <c r="C1215" s="108"/>
      <c r="D1215" s="31" t="str">
        <f t="shared" si="240"/>
        <v>翱捷科技ASR</v>
      </c>
      <c r="E1215" s="108"/>
      <c r="F1215" s="111"/>
      <c r="G1215" s="108"/>
      <c r="H1215" s="108"/>
      <c r="I1215" s="108"/>
      <c r="J1215" s="108"/>
      <c r="K1215" s="31" t="str">
        <f t="shared" si="241"/>
        <v>运营中</v>
      </c>
      <c r="L1215" s="108"/>
      <c r="M1215" s="108"/>
      <c r="N1215" s="12">
        <v>1</v>
      </c>
      <c r="O1215" s="36">
        <v>43622</v>
      </c>
      <c r="P1215" s="17" t="s">
        <v>317</v>
      </c>
      <c r="Q1215" s="12" t="s">
        <v>409</v>
      </c>
      <c r="R1215" s="12" t="s">
        <v>4271</v>
      </c>
      <c r="S1215" s="108"/>
      <c r="T1215" s="108"/>
      <c r="U1215" s="111"/>
      <c r="V1215" s="108"/>
      <c r="W1215" s="108"/>
      <c r="X1215" s="108"/>
    </row>
    <row r="1216" spans="1:25" s="26" customFormat="1" hidden="1">
      <c r="A1216" s="33"/>
      <c r="B1216" s="108"/>
      <c r="C1216" s="108"/>
      <c r="D1216" s="31" t="str">
        <f t="shared" si="240"/>
        <v>翱捷科技ASR</v>
      </c>
      <c r="E1216" s="108"/>
      <c r="F1216" s="111"/>
      <c r="G1216" s="108"/>
      <c r="H1216" s="108"/>
      <c r="I1216" s="108"/>
      <c r="J1216" s="108"/>
      <c r="K1216" s="31" t="str">
        <f t="shared" si="241"/>
        <v>运营中</v>
      </c>
      <c r="L1216" s="108"/>
      <c r="M1216" s="108"/>
      <c r="N1216" s="12">
        <v>1</v>
      </c>
      <c r="O1216" s="36">
        <v>43578</v>
      </c>
      <c r="P1216" s="17" t="s">
        <v>251</v>
      </c>
      <c r="Q1216" s="12" t="s">
        <v>409</v>
      </c>
      <c r="R1216" s="12" t="s">
        <v>4272</v>
      </c>
      <c r="S1216" s="108"/>
      <c r="T1216" s="108"/>
      <c r="U1216" s="111"/>
      <c r="V1216" s="108"/>
      <c r="W1216" s="108"/>
      <c r="X1216" s="108"/>
    </row>
    <row r="1217" spans="1:25" s="26" customFormat="1" hidden="1">
      <c r="A1217" s="33"/>
      <c r="B1217" s="108"/>
      <c r="C1217" s="108"/>
      <c r="D1217" s="31" t="str">
        <f t="shared" si="240"/>
        <v>翱捷科技ASR</v>
      </c>
      <c r="E1217" s="108"/>
      <c r="F1217" s="111"/>
      <c r="G1217" s="108"/>
      <c r="H1217" s="108"/>
      <c r="I1217" s="108"/>
      <c r="J1217" s="108"/>
      <c r="K1217" s="31" t="str">
        <f t="shared" si="241"/>
        <v>运营中</v>
      </c>
      <c r="L1217" s="108"/>
      <c r="M1217" s="108"/>
      <c r="N1217" s="12">
        <v>1</v>
      </c>
      <c r="O1217" s="36">
        <v>43294</v>
      </c>
      <c r="P1217" s="17" t="s">
        <v>257</v>
      </c>
      <c r="Q1217" s="17" t="s">
        <v>320</v>
      </c>
      <c r="R1217" s="17" t="s">
        <v>4273</v>
      </c>
      <c r="S1217" s="108"/>
      <c r="T1217" s="108"/>
      <c r="U1217" s="111"/>
      <c r="V1217" s="108"/>
      <c r="W1217" s="108"/>
      <c r="X1217" s="108"/>
    </row>
    <row r="1218" spans="1:25" s="26" customFormat="1" hidden="1">
      <c r="A1218" s="33"/>
      <c r="B1218" s="108"/>
      <c r="C1218" s="108"/>
      <c r="D1218" s="31" t="str">
        <f t="shared" si="240"/>
        <v>翱捷科技ASR</v>
      </c>
      <c r="E1218" s="108"/>
      <c r="F1218" s="111"/>
      <c r="G1218" s="108"/>
      <c r="H1218" s="108"/>
      <c r="I1218" s="108"/>
      <c r="J1218" s="108"/>
      <c r="K1218" s="31" t="str">
        <f t="shared" si="241"/>
        <v>运营中</v>
      </c>
      <c r="L1218" s="108"/>
      <c r="M1218" s="108"/>
      <c r="N1218" s="12">
        <v>1</v>
      </c>
      <c r="O1218" s="36">
        <v>42955</v>
      </c>
      <c r="P1218" s="17" t="s">
        <v>262</v>
      </c>
      <c r="Q1218" s="17" t="s">
        <v>522</v>
      </c>
      <c r="R1218" s="12" t="s">
        <v>4274</v>
      </c>
      <c r="S1218" s="108"/>
      <c r="T1218" s="108"/>
      <c r="U1218" s="111"/>
      <c r="V1218" s="108"/>
      <c r="W1218" s="108"/>
      <c r="X1218" s="108"/>
    </row>
    <row r="1219" spans="1:25" s="26" customFormat="1" hidden="1">
      <c r="A1219" s="33"/>
      <c r="B1219" s="108"/>
      <c r="C1219" s="108"/>
      <c r="D1219" s="31" t="str">
        <f t="shared" si="240"/>
        <v>翱捷科技ASR</v>
      </c>
      <c r="E1219" s="108"/>
      <c r="F1219" s="111"/>
      <c r="G1219" s="108"/>
      <c r="H1219" s="108"/>
      <c r="I1219" s="108"/>
      <c r="J1219" s="108"/>
      <c r="K1219" s="31" t="str">
        <f t="shared" si="241"/>
        <v>运营中</v>
      </c>
      <c r="L1219" s="108"/>
      <c r="M1219" s="108"/>
      <c r="N1219" s="12">
        <v>1</v>
      </c>
      <c r="O1219" s="36">
        <v>42705</v>
      </c>
      <c r="P1219" s="17" t="s">
        <v>721</v>
      </c>
      <c r="Q1219" s="12" t="s">
        <v>276</v>
      </c>
      <c r="R1219" s="12" t="s">
        <v>4275</v>
      </c>
      <c r="S1219" s="108"/>
      <c r="T1219" s="108"/>
      <c r="U1219" s="111"/>
      <c r="V1219" s="108"/>
      <c r="W1219" s="108"/>
      <c r="X1219" s="108"/>
    </row>
    <row r="1220" spans="1:25" s="26" customFormat="1" hidden="1">
      <c r="A1220" s="33"/>
      <c r="B1220" s="108"/>
      <c r="C1220" s="108"/>
      <c r="D1220" s="31" t="str">
        <f t="shared" si="240"/>
        <v>翱捷科技ASR</v>
      </c>
      <c r="E1220" s="108"/>
      <c r="F1220" s="111"/>
      <c r="G1220" s="108"/>
      <c r="H1220" s="108"/>
      <c r="I1220" s="108"/>
      <c r="J1220" s="108"/>
      <c r="K1220" s="31" t="str">
        <f t="shared" si="241"/>
        <v>运营中</v>
      </c>
      <c r="L1220" s="108"/>
      <c r="M1220" s="108"/>
      <c r="N1220" s="12">
        <v>1</v>
      </c>
      <c r="O1220" s="36">
        <v>42314</v>
      </c>
      <c r="P1220" s="12" t="s">
        <v>326</v>
      </c>
      <c r="Q1220" s="12" t="s">
        <v>261</v>
      </c>
      <c r="R1220" s="12" t="s">
        <v>4276</v>
      </c>
      <c r="S1220" s="108"/>
      <c r="T1220" s="108"/>
      <c r="U1220" s="111"/>
      <c r="V1220" s="108"/>
      <c r="W1220" s="108"/>
      <c r="X1220" s="108"/>
    </row>
    <row r="1221" spans="1:25" s="26" customFormat="1" hidden="1">
      <c r="A1221" s="33"/>
      <c r="B1221" s="108"/>
      <c r="C1221" s="108" t="s">
        <v>4277</v>
      </c>
      <c r="D1221" s="31" t="s">
        <v>4278</v>
      </c>
      <c r="E1221" s="107" t="s">
        <v>4278</v>
      </c>
      <c r="F1221" s="110" t="s">
        <v>4279</v>
      </c>
      <c r="G1221" s="107" t="s">
        <v>4280</v>
      </c>
      <c r="H1221" s="108" t="s">
        <v>4281</v>
      </c>
      <c r="I1221" s="108" t="s">
        <v>4282</v>
      </c>
      <c r="J1221" s="107" t="s">
        <v>385</v>
      </c>
      <c r="K1221" s="31" t="s">
        <v>272</v>
      </c>
      <c r="L1221" s="107" t="s">
        <v>386</v>
      </c>
      <c r="M1221" s="107" t="s">
        <v>387</v>
      </c>
      <c r="N1221" s="12">
        <v>1</v>
      </c>
      <c r="O1221" s="36">
        <v>44145</v>
      </c>
      <c r="P1221" s="17" t="s">
        <v>687</v>
      </c>
      <c r="Q1221" s="17" t="s">
        <v>697</v>
      </c>
      <c r="R1221" s="12" t="s">
        <v>4283</v>
      </c>
      <c r="S1221" s="108" t="s">
        <v>4284</v>
      </c>
      <c r="T1221" s="108" t="s">
        <v>4285</v>
      </c>
      <c r="U1221" s="110" t="s">
        <v>4286</v>
      </c>
      <c r="V1221" s="107" t="s">
        <v>4287</v>
      </c>
      <c r="W1221" s="108" t="s">
        <v>4288</v>
      </c>
      <c r="X1221" s="108" t="s">
        <v>4289</v>
      </c>
    </row>
    <row r="1222" spans="1:25" s="26" customFormat="1" hidden="1">
      <c r="A1222" s="33"/>
      <c r="B1222" s="108"/>
      <c r="C1222" s="108"/>
      <c r="D1222" s="31" t="str">
        <f>D1221</f>
        <v>万达电影</v>
      </c>
      <c r="E1222" s="108"/>
      <c r="F1222" s="111"/>
      <c r="G1222" s="108"/>
      <c r="H1222" s="108"/>
      <c r="I1222" s="108"/>
      <c r="J1222" s="108"/>
      <c r="K1222" s="31" t="str">
        <f t="shared" ref="K1222:K1226" si="242">K1221</f>
        <v>运营中</v>
      </c>
      <c r="L1222" s="108"/>
      <c r="M1222" s="108"/>
      <c r="N1222" s="12">
        <v>1</v>
      </c>
      <c r="O1222" s="36">
        <v>43609</v>
      </c>
      <c r="P1222" s="17" t="s">
        <v>687</v>
      </c>
      <c r="Q1222" s="17" t="s">
        <v>4290</v>
      </c>
      <c r="R1222" s="12" t="s">
        <v>4291</v>
      </c>
      <c r="S1222" s="108"/>
      <c r="T1222" s="108"/>
      <c r="U1222" s="111"/>
      <c r="V1222" s="108"/>
      <c r="W1222" s="108"/>
      <c r="X1222" s="108"/>
    </row>
    <row r="1223" spans="1:25" s="26" customFormat="1" hidden="1">
      <c r="A1223" s="33"/>
      <c r="B1223" s="108"/>
      <c r="C1223" s="108"/>
      <c r="D1223" s="31" t="str">
        <f>D1222</f>
        <v>万达电影</v>
      </c>
      <c r="E1223" s="108"/>
      <c r="F1223" s="111"/>
      <c r="G1223" s="108"/>
      <c r="H1223" s="108"/>
      <c r="I1223" s="108"/>
      <c r="J1223" s="108"/>
      <c r="K1223" s="31" t="str">
        <f t="shared" si="242"/>
        <v>运营中</v>
      </c>
      <c r="L1223" s="108"/>
      <c r="M1223" s="108"/>
      <c r="N1223" s="12">
        <v>1</v>
      </c>
      <c r="O1223" s="36">
        <v>43136</v>
      </c>
      <c r="P1223" s="17" t="s">
        <v>687</v>
      </c>
      <c r="Q1223" s="17" t="s">
        <v>4292</v>
      </c>
      <c r="R1223" s="12" t="s">
        <v>4293</v>
      </c>
      <c r="S1223" s="108"/>
      <c r="T1223" s="108"/>
      <c r="U1223" s="111"/>
      <c r="V1223" s="108"/>
      <c r="W1223" s="108"/>
      <c r="X1223" s="108"/>
    </row>
    <row r="1224" spans="1:25" s="26" customFormat="1" hidden="1">
      <c r="A1224" s="33"/>
      <c r="B1224" s="108"/>
      <c r="C1224" s="108"/>
      <c r="D1224" s="31" t="str">
        <f>D1223</f>
        <v>万达电影</v>
      </c>
      <c r="E1224" s="108"/>
      <c r="F1224" s="111"/>
      <c r="G1224" s="108"/>
      <c r="H1224" s="108"/>
      <c r="I1224" s="108"/>
      <c r="J1224" s="108"/>
      <c r="K1224" s="31" t="str">
        <f t="shared" si="242"/>
        <v>运营中</v>
      </c>
      <c r="L1224" s="108"/>
      <c r="M1224" s="108"/>
      <c r="N1224" s="12">
        <v>1</v>
      </c>
      <c r="O1224" s="36">
        <v>42444</v>
      </c>
      <c r="P1224" s="17" t="s">
        <v>687</v>
      </c>
      <c r="Q1224" s="17" t="s">
        <v>4294</v>
      </c>
      <c r="R1224" s="12" t="s">
        <v>4295</v>
      </c>
      <c r="S1224" s="108"/>
      <c r="T1224" s="108"/>
      <c r="U1224" s="111"/>
      <c r="V1224" s="108"/>
      <c r="W1224" s="108"/>
      <c r="X1224" s="108"/>
    </row>
    <row r="1225" spans="1:25" s="26" customFormat="1" hidden="1">
      <c r="A1225" s="33"/>
      <c r="B1225" s="108"/>
      <c r="C1225" s="108"/>
      <c r="D1225" s="31" t="str">
        <f>D1224</f>
        <v>万达电影</v>
      </c>
      <c r="E1225" s="108"/>
      <c r="F1225" s="111"/>
      <c r="G1225" s="108"/>
      <c r="H1225" s="108"/>
      <c r="I1225" s="108"/>
      <c r="J1225" s="108"/>
      <c r="K1225" s="31" t="str">
        <f t="shared" si="242"/>
        <v>运营中</v>
      </c>
      <c r="L1225" s="108"/>
      <c r="M1225" s="108"/>
      <c r="N1225" s="12">
        <v>1</v>
      </c>
      <c r="O1225" s="36">
        <v>42433</v>
      </c>
      <c r="P1225" s="17" t="s">
        <v>687</v>
      </c>
      <c r="Q1225" s="17" t="s">
        <v>4296</v>
      </c>
      <c r="R1225" s="12" t="s">
        <v>4297</v>
      </c>
      <c r="S1225" s="108"/>
      <c r="T1225" s="108"/>
      <c r="U1225" s="111"/>
      <c r="V1225" s="108"/>
      <c r="W1225" s="108"/>
      <c r="X1225" s="108"/>
    </row>
    <row r="1226" spans="1:25" s="26" customFormat="1" hidden="1">
      <c r="A1226" s="33"/>
      <c r="B1226" s="108"/>
      <c r="C1226" s="108"/>
      <c r="D1226" s="31" t="str">
        <f>D1225</f>
        <v>万达电影</v>
      </c>
      <c r="E1226" s="108"/>
      <c r="F1226" s="111"/>
      <c r="G1226" s="108"/>
      <c r="H1226" s="108"/>
      <c r="I1226" s="108"/>
      <c r="J1226" s="108"/>
      <c r="K1226" s="31" t="str">
        <f t="shared" si="242"/>
        <v>运营中</v>
      </c>
      <c r="L1226" s="108"/>
      <c r="M1226" s="108"/>
      <c r="N1226" s="12">
        <v>1</v>
      </c>
      <c r="O1226" s="36">
        <v>42026</v>
      </c>
      <c r="P1226" s="17" t="s">
        <v>283</v>
      </c>
      <c r="Q1226" s="17" t="s">
        <v>4298</v>
      </c>
      <c r="R1226" s="17" t="s">
        <v>253</v>
      </c>
      <c r="S1226" s="108"/>
      <c r="T1226" s="108"/>
      <c r="U1226" s="111"/>
      <c r="V1226" s="108"/>
      <c r="W1226" s="108"/>
      <c r="X1226" s="108"/>
    </row>
    <row r="1227" spans="1:25" s="26" customFormat="1" ht="53.5" customHeight="1">
      <c r="A1227" s="11"/>
      <c r="B1227" s="108"/>
      <c r="C1227" s="108" t="s">
        <v>4299</v>
      </c>
      <c r="D1227" s="31" t="s">
        <v>4300</v>
      </c>
      <c r="E1227" s="109" t="s">
        <v>4301</v>
      </c>
      <c r="F1227" s="112" t="s">
        <v>4302</v>
      </c>
      <c r="G1227" s="107" t="s">
        <v>4303</v>
      </c>
      <c r="H1227" s="108" t="s">
        <v>4304</v>
      </c>
      <c r="I1227" s="109" t="s">
        <v>3823</v>
      </c>
      <c r="J1227" s="109" t="s">
        <v>428</v>
      </c>
      <c r="K1227" s="20" t="s">
        <v>1042</v>
      </c>
      <c r="L1227" s="109" t="s">
        <v>3661</v>
      </c>
      <c r="M1227" s="109" t="s">
        <v>4305</v>
      </c>
      <c r="N1227" s="13"/>
      <c r="O1227" s="24">
        <v>44502</v>
      </c>
      <c r="P1227" s="13" t="s">
        <v>4306</v>
      </c>
      <c r="Q1227" s="13" t="s">
        <v>4307</v>
      </c>
      <c r="R1227" s="13" t="s">
        <v>1751</v>
      </c>
      <c r="S1227" s="109" t="s">
        <v>4308</v>
      </c>
      <c r="T1227" s="109" t="s">
        <v>4309</v>
      </c>
      <c r="U1227" s="112" t="s">
        <v>4310</v>
      </c>
      <c r="V1227" s="107" t="s">
        <v>4311</v>
      </c>
      <c r="W1227" s="108"/>
      <c r="X1227" s="108" t="s">
        <v>4312</v>
      </c>
      <c r="Y1227" s="11"/>
    </row>
    <row r="1228" spans="1:25" s="26" customFormat="1" hidden="1">
      <c r="A1228" s="33"/>
      <c r="B1228" s="108"/>
      <c r="C1228" s="108"/>
      <c r="D1228" s="31" t="str">
        <f>D1227</f>
        <v>叠境数字</v>
      </c>
      <c r="E1228" s="108"/>
      <c r="F1228" s="111"/>
      <c r="G1228" s="108"/>
      <c r="H1228" s="108"/>
      <c r="I1228" s="108"/>
      <c r="J1228" s="108"/>
      <c r="K1228" s="31" t="str">
        <f t="shared" ref="K1228:K1231" si="243">K1227</f>
        <v>运营中</v>
      </c>
      <c r="L1228" s="108"/>
      <c r="M1228" s="108"/>
      <c r="N1228" s="17"/>
      <c r="O1228" s="36">
        <v>43684</v>
      </c>
      <c r="P1228" s="17" t="s">
        <v>260</v>
      </c>
      <c r="Q1228" s="12" t="s">
        <v>341</v>
      </c>
      <c r="R1228" s="12" t="s">
        <v>2369</v>
      </c>
      <c r="S1228" s="108"/>
      <c r="T1228" s="108"/>
      <c r="U1228" s="111"/>
      <c r="V1228" s="108"/>
      <c r="W1228" s="108"/>
      <c r="X1228" s="108"/>
    </row>
    <row r="1229" spans="1:25" s="26" customFormat="1" hidden="1">
      <c r="A1229" s="33"/>
      <c r="B1229" s="108"/>
      <c r="C1229" s="108"/>
      <c r="D1229" s="31" t="str">
        <f>D1228</f>
        <v>叠境数字</v>
      </c>
      <c r="E1229" s="108"/>
      <c r="F1229" s="111"/>
      <c r="G1229" s="108"/>
      <c r="H1229" s="108"/>
      <c r="I1229" s="108"/>
      <c r="J1229" s="108"/>
      <c r="K1229" s="31" t="str">
        <f t="shared" si="243"/>
        <v>运营中</v>
      </c>
      <c r="L1229" s="108"/>
      <c r="M1229" s="108"/>
      <c r="N1229" s="17"/>
      <c r="O1229" s="36">
        <v>43417</v>
      </c>
      <c r="P1229" s="17" t="s">
        <v>262</v>
      </c>
      <c r="Q1229" s="17" t="s">
        <v>637</v>
      </c>
      <c r="R1229" s="17" t="s">
        <v>4313</v>
      </c>
      <c r="S1229" s="108"/>
      <c r="T1229" s="108"/>
      <c r="U1229" s="111"/>
      <c r="V1229" s="108"/>
      <c r="W1229" s="108"/>
      <c r="X1229" s="108"/>
    </row>
    <row r="1230" spans="1:25" s="26" customFormat="1" hidden="1">
      <c r="A1230" s="33"/>
      <c r="B1230" s="108"/>
      <c r="C1230" s="108"/>
      <c r="D1230" s="31" t="str">
        <f>D1229</f>
        <v>叠境数字</v>
      </c>
      <c r="E1230" s="108"/>
      <c r="F1230" s="111"/>
      <c r="G1230" s="108"/>
      <c r="H1230" s="108"/>
      <c r="I1230" s="108"/>
      <c r="J1230" s="108"/>
      <c r="K1230" s="31" t="str">
        <f t="shared" si="243"/>
        <v>运营中</v>
      </c>
      <c r="L1230" s="108"/>
      <c r="M1230" s="108"/>
      <c r="N1230" s="17"/>
      <c r="O1230" s="36">
        <v>43096</v>
      </c>
      <c r="P1230" s="17" t="s">
        <v>721</v>
      </c>
      <c r="Q1230" s="12" t="s">
        <v>409</v>
      </c>
      <c r="R1230" s="12" t="s">
        <v>4314</v>
      </c>
      <c r="S1230" s="108"/>
      <c r="T1230" s="108"/>
      <c r="U1230" s="111"/>
      <c r="V1230" s="108"/>
      <c r="W1230" s="108"/>
      <c r="X1230" s="108"/>
    </row>
    <row r="1231" spans="1:25" s="26" customFormat="1" hidden="1">
      <c r="A1231" s="33"/>
      <c r="B1231" s="108"/>
      <c r="C1231" s="108"/>
      <c r="D1231" s="31" t="str">
        <f>D1230</f>
        <v>叠境数字</v>
      </c>
      <c r="E1231" s="108"/>
      <c r="F1231" s="111"/>
      <c r="G1231" s="108"/>
      <c r="H1231" s="108"/>
      <c r="I1231" s="108"/>
      <c r="J1231" s="108"/>
      <c r="K1231" s="31" t="str">
        <f t="shared" si="243"/>
        <v>运营中</v>
      </c>
      <c r="L1231" s="108"/>
      <c r="M1231" s="108"/>
      <c r="N1231" s="17"/>
      <c r="O1231" s="36">
        <v>42578</v>
      </c>
      <c r="P1231" s="12" t="s">
        <v>326</v>
      </c>
      <c r="Q1231" s="17" t="s">
        <v>1555</v>
      </c>
      <c r="R1231" s="12" t="s">
        <v>4315</v>
      </c>
      <c r="S1231" s="108"/>
      <c r="T1231" s="108"/>
      <c r="U1231" s="111"/>
      <c r="V1231" s="108"/>
      <c r="W1231" s="108"/>
      <c r="X1231" s="108"/>
    </row>
    <row r="1232" spans="1:25" s="26" customFormat="1" ht="24" hidden="1">
      <c r="A1232" s="33"/>
      <c r="B1232" s="108"/>
      <c r="C1232" s="17" t="s">
        <v>4316</v>
      </c>
      <c r="D1232" s="38" t="s">
        <v>4317</v>
      </c>
      <c r="E1232" s="12" t="s">
        <v>4317</v>
      </c>
      <c r="F1232" s="32" t="s">
        <v>4318</v>
      </c>
      <c r="G1232" s="12" t="s">
        <v>4319</v>
      </c>
      <c r="H1232" s="17" t="s">
        <v>4320</v>
      </c>
      <c r="I1232" s="17" t="s">
        <v>1606</v>
      </c>
      <c r="J1232" s="12" t="s">
        <v>4321</v>
      </c>
      <c r="K1232" s="38" t="s">
        <v>272</v>
      </c>
      <c r="L1232" s="12" t="s">
        <v>1253</v>
      </c>
      <c r="M1232" s="12" t="s">
        <v>4322</v>
      </c>
      <c r="N1232" s="12"/>
      <c r="O1232" s="36">
        <v>43133</v>
      </c>
      <c r="P1232" s="17" t="s">
        <v>262</v>
      </c>
      <c r="Q1232" s="12" t="s">
        <v>409</v>
      </c>
      <c r="R1232" s="12" t="s">
        <v>4323</v>
      </c>
      <c r="S1232" s="17" t="s">
        <v>1484</v>
      </c>
      <c r="T1232" s="17" t="s">
        <v>412</v>
      </c>
      <c r="U1232" s="32" t="s">
        <v>4324</v>
      </c>
      <c r="V1232" s="12" t="s">
        <v>4325</v>
      </c>
      <c r="W1232" s="17" t="s">
        <v>4326</v>
      </c>
      <c r="X1232" s="17" t="s">
        <v>4327</v>
      </c>
    </row>
    <row r="1233" spans="1:24" s="26" customFormat="1" hidden="1">
      <c r="A1233" s="33"/>
      <c r="B1233" s="108"/>
      <c r="C1233" s="108" t="s">
        <v>4328</v>
      </c>
      <c r="D1233" s="31" t="s">
        <v>4329</v>
      </c>
      <c r="E1233" s="107" t="s">
        <v>4329</v>
      </c>
      <c r="F1233" s="110" t="s">
        <v>4330</v>
      </c>
      <c r="G1233" s="107" t="s">
        <v>4331</v>
      </c>
      <c r="H1233" s="108" t="s">
        <v>4332</v>
      </c>
      <c r="I1233" s="108" t="s">
        <v>4333</v>
      </c>
      <c r="J1233" s="107" t="s">
        <v>406</v>
      </c>
      <c r="K1233" s="31" t="s">
        <v>272</v>
      </c>
      <c r="L1233" s="107" t="s">
        <v>350</v>
      </c>
      <c r="M1233" s="107" t="s">
        <v>1238</v>
      </c>
      <c r="N1233" s="12">
        <v>1</v>
      </c>
      <c r="O1233" s="36">
        <v>43980</v>
      </c>
      <c r="P1233" s="12" t="s">
        <v>471</v>
      </c>
      <c r="Q1233" s="12" t="s">
        <v>252</v>
      </c>
      <c r="R1233" s="12" t="s">
        <v>4334</v>
      </c>
      <c r="S1233" s="108" t="s">
        <v>4335</v>
      </c>
      <c r="T1233" s="107" t="s">
        <v>255</v>
      </c>
      <c r="U1233" s="110" t="s">
        <v>4336</v>
      </c>
      <c r="V1233" s="107" t="s">
        <v>4337</v>
      </c>
      <c r="W1233" s="108" t="s">
        <v>4338</v>
      </c>
      <c r="X1233" s="108" t="s">
        <v>4339</v>
      </c>
    </row>
    <row r="1234" spans="1:24" s="26" customFormat="1" hidden="1">
      <c r="A1234" s="33"/>
      <c r="B1234" s="108"/>
      <c r="C1234" s="108"/>
      <c r="D1234" s="31" t="str">
        <f>D1233</f>
        <v>企加云</v>
      </c>
      <c r="E1234" s="108"/>
      <c r="F1234" s="111"/>
      <c r="G1234" s="108"/>
      <c r="H1234" s="108"/>
      <c r="I1234" s="108"/>
      <c r="J1234" s="108"/>
      <c r="K1234" s="31" t="str">
        <f>K1233</f>
        <v>运营中</v>
      </c>
      <c r="L1234" s="108"/>
      <c r="M1234" s="108"/>
      <c r="N1234" s="12">
        <v>1</v>
      </c>
      <c r="O1234" s="36">
        <v>43076</v>
      </c>
      <c r="P1234" s="17" t="s">
        <v>262</v>
      </c>
      <c r="Q1234" s="12" t="s">
        <v>252</v>
      </c>
      <c r="R1234" s="12" t="s">
        <v>4340</v>
      </c>
      <c r="S1234" s="108"/>
      <c r="T1234" s="108"/>
      <c r="U1234" s="111"/>
      <c r="V1234" s="108"/>
      <c r="W1234" s="108"/>
      <c r="X1234" s="108"/>
    </row>
    <row r="1235" spans="1:24" s="26" customFormat="1" hidden="1">
      <c r="A1235" s="33"/>
      <c r="B1235" s="108"/>
      <c r="C1235" s="108" t="s">
        <v>4341</v>
      </c>
      <c r="D1235" s="31" t="s">
        <v>4342</v>
      </c>
      <c r="E1235" s="107" t="s">
        <v>4342</v>
      </c>
      <c r="F1235" s="110" t="s">
        <v>4343</v>
      </c>
      <c r="G1235" s="107" t="s">
        <v>4344</v>
      </c>
      <c r="H1235" s="108" t="s">
        <v>4345</v>
      </c>
      <c r="I1235" s="108" t="s">
        <v>1471</v>
      </c>
      <c r="J1235" s="107" t="s">
        <v>1192</v>
      </c>
      <c r="K1235" s="31" t="s">
        <v>272</v>
      </c>
      <c r="L1235" s="107" t="s">
        <v>407</v>
      </c>
      <c r="M1235" s="107" t="s">
        <v>1932</v>
      </c>
      <c r="N1235" s="12"/>
      <c r="O1235" s="36">
        <v>44621</v>
      </c>
      <c r="P1235" s="17" t="s">
        <v>251</v>
      </c>
      <c r="Q1235" s="12" t="s">
        <v>409</v>
      </c>
      <c r="R1235" s="12" t="s">
        <v>4346</v>
      </c>
      <c r="S1235" s="108" t="s">
        <v>4347</v>
      </c>
      <c r="T1235" s="108" t="s">
        <v>412</v>
      </c>
      <c r="U1235" s="110" t="s">
        <v>4348</v>
      </c>
      <c r="V1235" s="107" t="s">
        <v>4349</v>
      </c>
      <c r="W1235" s="108" t="s">
        <v>4350</v>
      </c>
      <c r="X1235" s="108" t="s">
        <v>4351</v>
      </c>
    </row>
    <row r="1236" spans="1:24" s="26" customFormat="1" hidden="1">
      <c r="A1236" s="33"/>
      <c r="B1236" s="108"/>
      <c r="C1236" s="108"/>
      <c r="D1236" s="31" t="str">
        <f>D1235</f>
        <v>奥哲</v>
      </c>
      <c r="E1236" s="108"/>
      <c r="F1236" s="111"/>
      <c r="G1236" s="108"/>
      <c r="H1236" s="108"/>
      <c r="I1236" s="108"/>
      <c r="J1236" s="108"/>
      <c r="K1236" s="31" t="str">
        <f t="shared" ref="K1236:K1239" si="244">K1235</f>
        <v>运营中</v>
      </c>
      <c r="L1236" s="108"/>
      <c r="M1236" s="108"/>
      <c r="N1236" s="17"/>
      <c r="O1236" s="36">
        <v>44158</v>
      </c>
      <c r="P1236" s="17" t="s">
        <v>565</v>
      </c>
      <c r="Q1236" s="17" t="s">
        <v>578</v>
      </c>
      <c r="R1236" s="12" t="s">
        <v>4352</v>
      </c>
      <c r="S1236" s="108"/>
      <c r="T1236" s="108"/>
      <c r="U1236" s="111"/>
      <c r="V1236" s="108"/>
      <c r="W1236" s="108"/>
      <c r="X1236" s="108"/>
    </row>
    <row r="1237" spans="1:24" s="26" customFormat="1" hidden="1">
      <c r="A1237" s="33"/>
      <c r="B1237" s="108"/>
      <c r="C1237" s="108"/>
      <c r="D1237" s="31" t="str">
        <f>D1236</f>
        <v>奥哲</v>
      </c>
      <c r="E1237" s="108"/>
      <c r="F1237" s="111"/>
      <c r="G1237" s="108"/>
      <c r="H1237" s="108"/>
      <c r="I1237" s="108"/>
      <c r="J1237" s="108"/>
      <c r="K1237" s="31" t="str">
        <f t="shared" si="244"/>
        <v>运营中</v>
      </c>
      <c r="L1237" s="108"/>
      <c r="M1237" s="108"/>
      <c r="N1237" s="17"/>
      <c r="O1237" s="36">
        <v>43549</v>
      </c>
      <c r="P1237" s="17" t="s">
        <v>257</v>
      </c>
      <c r="Q1237" s="12" t="s">
        <v>409</v>
      </c>
      <c r="R1237" s="12" t="s">
        <v>4353</v>
      </c>
      <c r="S1237" s="108"/>
      <c r="T1237" s="108"/>
      <c r="U1237" s="111"/>
      <c r="V1237" s="108"/>
      <c r="W1237" s="108"/>
      <c r="X1237" s="108"/>
    </row>
    <row r="1238" spans="1:24" s="26" customFormat="1" hidden="1">
      <c r="A1238" s="33"/>
      <c r="B1238" s="108"/>
      <c r="C1238" s="108"/>
      <c r="D1238" s="31" t="str">
        <f>D1237</f>
        <v>奥哲</v>
      </c>
      <c r="E1238" s="108"/>
      <c r="F1238" s="111"/>
      <c r="G1238" s="108"/>
      <c r="H1238" s="108"/>
      <c r="I1238" s="108"/>
      <c r="J1238" s="108"/>
      <c r="K1238" s="31" t="str">
        <f t="shared" si="244"/>
        <v>运营中</v>
      </c>
      <c r="L1238" s="108"/>
      <c r="M1238" s="108"/>
      <c r="N1238" s="17"/>
      <c r="O1238" s="36">
        <v>43251</v>
      </c>
      <c r="P1238" s="17" t="s">
        <v>260</v>
      </c>
      <c r="Q1238" s="17" t="s">
        <v>1164</v>
      </c>
      <c r="R1238" s="12" t="s">
        <v>240</v>
      </c>
      <c r="S1238" s="108"/>
      <c r="T1238" s="108"/>
      <c r="U1238" s="111"/>
      <c r="V1238" s="108"/>
      <c r="W1238" s="108"/>
      <c r="X1238" s="108"/>
    </row>
    <row r="1239" spans="1:24" s="26" customFormat="1" hidden="1">
      <c r="A1239" s="33"/>
      <c r="B1239" s="108"/>
      <c r="C1239" s="108"/>
      <c r="D1239" s="31" t="str">
        <f>D1238</f>
        <v>奥哲</v>
      </c>
      <c r="E1239" s="108"/>
      <c r="F1239" s="111"/>
      <c r="G1239" s="108"/>
      <c r="H1239" s="108"/>
      <c r="I1239" s="108"/>
      <c r="J1239" s="108"/>
      <c r="K1239" s="31" t="str">
        <f t="shared" si="244"/>
        <v>运营中</v>
      </c>
      <c r="L1239" s="108"/>
      <c r="M1239" s="108"/>
      <c r="N1239" s="17"/>
      <c r="O1239" s="36">
        <v>42967</v>
      </c>
      <c r="P1239" s="17" t="s">
        <v>262</v>
      </c>
      <c r="Q1239" s="17" t="s">
        <v>3761</v>
      </c>
      <c r="R1239" s="12" t="s">
        <v>4354</v>
      </c>
      <c r="S1239" s="108"/>
      <c r="T1239" s="108"/>
      <c r="U1239" s="111"/>
      <c r="V1239" s="108"/>
      <c r="W1239" s="108"/>
      <c r="X1239" s="108"/>
    </row>
    <row r="1240" spans="1:24" s="26" customFormat="1" hidden="1">
      <c r="A1240" s="33"/>
      <c r="B1240" s="108"/>
      <c r="C1240" s="108" t="s">
        <v>4355</v>
      </c>
      <c r="D1240" s="31" t="s">
        <v>4356</v>
      </c>
      <c r="E1240" s="107" t="s">
        <v>4356</v>
      </c>
      <c r="F1240" s="110" t="s">
        <v>4357</v>
      </c>
      <c r="G1240" s="107" t="s">
        <v>4358</v>
      </c>
      <c r="H1240" s="108" t="s">
        <v>4359</v>
      </c>
      <c r="I1240" s="108" t="s">
        <v>4360</v>
      </c>
      <c r="J1240" s="107" t="s">
        <v>1126</v>
      </c>
      <c r="K1240" s="31" t="s">
        <v>272</v>
      </c>
      <c r="L1240" s="107" t="s">
        <v>407</v>
      </c>
      <c r="M1240" s="107" t="s">
        <v>1932</v>
      </c>
      <c r="N1240" s="12">
        <v>1</v>
      </c>
      <c r="O1240" s="36">
        <v>43140</v>
      </c>
      <c r="P1240" s="12" t="s">
        <v>471</v>
      </c>
      <c r="Q1240" s="17" t="s">
        <v>4361</v>
      </c>
      <c r="R1240" s="12" t="s">
        <v>240</v>
      </c>
      <c r="S1240" s="108" t="s">
        <v>4362</v>
      </c>
      <c r="T1240" s="108" t="s">
        <v>4363</v>
      </c>
      <c r="U1240" s="110" t="s">
        <v>4364</v>
      </c>
      <c r="V1240" s="107" t="s">
        <v>4365</v>
      </c>
      <c r="W1240" s="108" t="s">
        <v>4366</v>
      </c>
      <c r="X1240" s="108" t="s">
        <v>4367</v>
      </c>
    </row>
    <row r="1241" spans="1:24" s="26" customFormat="1" hidden="1">
      <c r="A1241" s="33"/>
      <c r="B1241" s="108"/>
      <c r="C1241" s="108"/>
      <c r="D1241" s="31" t="str">
        <f>D1240</f>
        <v>浩鲸科技</v>
      </c>
      <c r="E1241" s="108"/>
      <c r="F1241" s="111"/>
      <c r="G1241" s="108"/>
      <c r="H1241" s="108"/>
      <c r="I1241" s="108"/>
      <c r="J1241" s="108"/>
      <c r="K1241" s="31" t="str">
        <f>K1240</f>
        <v>运营中</v>
      </c>
      <c r="L1241" s="108"/>
      <c r="M1241" s="108"/>
      <c r="N1241" s="12">
        <v>1</v>
      </c>
      <c r="O1241" s="36">
        <v>42466</v>
      </c>
      <c r="P1241" s="12" t="s">
        <v>362</v>
      </c>
      <c r="Q1241" s="12" t="s">
        <v>252</v>
      </c>
      <c r="R1241" s="17" t="s">
        <v>253</v>
      </c>
      <c r="S1241" s="108"/>
      <c r="T1241" s="108"/>
      <c r="U1241" s="111"/>
      <c r="V1241" s="108"/>
      <c r="W1241" s="108"/>
      <c r="X1241" s="108"/>
    </row>
    <row r="1242" spans="1:24" s="26" customFormat="1" hidden="1">
      <c r="A1242" s="33"/>
      <c r="B1242" s="108"/>
      <c r="C1242" s="108" t="s">
        <v>4368</v>
      </c>
      <c r="D1242" s="31" t="s">
        <v>4369</v>
      </c>
      <c r="E1242" s="107" t="s">
        <v>4369</v>
      </c>
      <c r="F1242" s="110" t="s">
        <v>4370</v>
      </c>
      <c r="G1242" s="107" t="s">
        <v>4371</v>
      </c>
      <c r="H1242" s="108" t="s">
        <v>4372</v>
      </c>
      <c r="I1242" s="108" t="s">
        <v>2787</v>
      </c>
      <c r="J1242" s="107" t="s">
        <v>428</v>
      </c>
      <c r="K1242" s="31" t="s">
        <v>272</v>
      </c>
      <c r="L1242" s="107" t="s">
        <v>944</v>
      </c>
      <c r="M1242" s="107" t="s">
        <v>1423</v>
      </c>
      <c r="N1242" s="12">
        <v>1</v>
      </c>
      <c r="O1242" s="36">
        <v>44181</v>
      </c>
      <c r="P1242" s="17" t="s">
        <v>283</v>
      </c>
      <c r="Q1242" s="17" t="s">
        <v>1239</v>
      </c>
      <c r="R1242" s="17" t="s">
        <v>253</v>
      </c>
      <c r="S1242" s="108" t="s">
        <v>870</v>
      </c>
      <c r="T1242" s="108" t="s">
        <v>4373</v>
      </c>
      <c r="U1242" s="110" t="s">
        <v>4374</v>
      </c>
      <c r="V1242" s="107" t="s">
        <v>4375</v>
      </c>
      <c r="W1242" s="108" t="s">
        <v>4376</v>
      </c>
      <c r="X1242" s="108" t="s">
        <v>4377</v>
      </c>
    </row>
    <row r="1243" spans="1:24" s="26" customFormat="1" hidden="1">
      <c r="A1243" s="33"/>
      <c r="B1243" s="108"/>
      <c r="C1243" s="108"/>
      <c r="D1243" s="31" t="str">
        <f>D1242</f>
        <v>恒玄科技</v>
      </c>
      <c r="E1243" s="108"/>
      <c r="F1243" s="111"/>
      <c r="G1243" s="108"/>
      <c r="H1243" s="108"/>
      <c r="I1243" s="108"/>
      <c r="J1243" s="108"/>
      <c r="K1243" s="31" t="str">
        <f t="shared" ref="K1243:K1245" si="245">K1242</f>
        <v>运营中</v>
      </c>
      <c r="L1243" s="108"/>
      <c r="M1243" s="108"/>
      <c r="N1243" s="12">
        <v>1</v>
      </c>
      <c r="O1243" s="36">
        <v>43673</v>
      </c>
      <c r="P1243" s="17" t="s">
        <v>260</v>
      </c>
      <c r="Q1243" s="12" t="s">
        <v>341</v>
      </c>
      <c r="R1243" s="12" t="s">
        <v>4378</v>
      </c>
      <c r="S1243" s="108"/>
      <c r="T1243" s="108"/>
      <c r="U1243" s="111"/>
      <c r="V1243" s="108"/>
      <c r="W1243" s="108"/>
      <c r="X1243" s="108"/>
    </row>
    <row r="1244" spans="1:24" s="26" customFormat="1" hidden="1">
      <c r="A1244" s="33"/>
      <c r="B1244" s="108"/>
      <c r="C1244" s="108"/>
      <c r="D1244" s="31" t="str">
        <f>D1243</f>
        <v>恒玄科技</v>
      </c>
      <c r="E1244" s="108"/>
      <c r="F1244" s="111"/>
      <c r="G1244" s="108"/>
      <c r="H1244" s="108"/>
      <c r="I1244" s="108"/>
      <c r="J1244" s="108"/>
      <c r="K1244" s="31" t="str">
        <f t="shared" si="245"/>
        <v>运营中</v>
      </c>
      <c r="L1244" s="108"/>
      <c r="M1244" s="108"/>
      <c r="N1244" s="12">
        <v>1</v>
      </c>
      <c r="O1244" s="36">
        <v>43658</v>
      </c>
      <c r="P1244" s="12" t="s">
        <v>285</v>
      </c>
      <c r="Q1244" s="12" t="s">
        <v>409</v>
      </c>
      <c r="R1244" s="12" t="s">
        <v>4379</v>
      </c>
      <c r="S1244" s="108"/>
      <c r="T1244" s="108"/>
      <c r="U1244" s="111"/>
      <c r="V1244" s="108"/>
      <c r="W1244" s="108"/>
      <c r="X1244" s="108"/>
    </row>
    <row r="1245" spans="1:24" s="26" customFormat="1" hidden="1">
      <c r="A1245" s="33"/>
      <c r="B1245" s="108"/>
      <c r="C1245" s="108"/>
      <c r="D1245" s="31" t="str">
        <f>D1244</f>
        <v>恒玄科技</v>
      </c>
      <c r="E1245" s="108"/>
      <c r="F1245" s="111"/>
      <c r="G1245" s="108"/>
      <c r="H1245" s="108"/>
      <c r="I1245" s="108"/>
      <c r="J1245" s="108"/>
      <c r="K1245" s="31" t="str">
        <f t="shared" si="245"/>
        <v>运营中</v>
      </c>
      <c r="L1245" s="108"/>
      <c r="M1245" s="108"/>
      <c r="N1245" s="12">
        <v>1</v>
      </c>
      <c r="O1245" s="36">
        <v>43096</v>
      </c>
      <c r="P1245" s="17" t="s">
        <v>262</v>
      </c>
      <c r="Q1245" s="12" t="s">
        <v>341</v>
      </c>
      <c r="R1245" s="17" t="s">
        <v>4380</v>
      </c>
      <c r="S1245" s="108"/>
      <c r="T1245" s="108"/>
      <c r="U1245" s="111"/>
      <c r="V1245" s="108"/>
      <c r="W1245" s="108"/>
      <c r="X1245" s="108"/>
    </row>
    <row r="1246" spans="1:24" s="26" customFormat="1" hidden="1">
      <c r="A1246" s="33"/>
      <c r="B1246" s="108"/>
      <c r="C1246" s="108" t="s">
        <v>2279</v>
      </c>
      <c r="D1246" s="31" t="s">
        <v>4381</v>
      </c>
      <c r="E1246" s="107" t="s">
        <v>4381</v>
      </c>
      <c r="F1246" s="110" t="s">
        <v>4382</v>
      </c>
      <c r="G1246" s="107" t="s">
        <v>4383</v>
      </c>
      <c r="H1246" s="108" t="s">
        <v>4384</v>
      </c>
      <c r="I1246" s="108" t="s">
        <v>2010</v>
      </c>
      <c r="J1246" s="107" t="s">
        <v>271</v>
      </c>
      <c r="K1246" s="31" t="s">
        <v>272</v>
      </c>
      <c r="L1246" s="107" t="s">
        <v>944</v>
      </c>
      <c r="M1246" s="107" t="s">
        <v>2071</v>
      </c>
      <c r="N1246" s="12">
        <v>1</v>
      </c>
      <c r="O1246" s="36">
        <v>43320</v>
      </c>
      <c r="P1246" s="17" t="s">
        <v>283</v>
      </c>
      <c r="Q1246" s="17" t="s">
        <v>4385</v>
      </c>
      <c r="R1246" s="17" t="s">
        <v>253</v>
      </c>
      <c r="S1246" s="108" t="s">
        <v>4386</v>
      </c>
      <c r="T1246" s="108" t="s">
        <v>4387</v>
      </c>
      <c r="U1246" s="110" t="s">
        <v>4388</v>
      </c>
      <c r="V1246" s="107" t="s">
        <v>4389</v>
      </c>
      <c r="W1246" s="108" t="s">
        <v>4390</v>
      </c>
      <c r="X1246" s="108" t="s">
        <v>4391</v>
      </c>
    </row>
    <row r="1247" spans="1:24" s="26" customFormat="1" hidden="1">
      <c r="A1247" s="33"/>
      <c r="B1247" s="108"/>
      <c r="C1247" s="108"/>
      <c r="D1247" s="31" t="str">
        <f>D1246</f>
        <v>中国铁塔</v>
      </c>
      <c r="E1247" s="108"/>
      <c r="F1247" s="111"/>
      <c r="G1247" s="108"/>
      <c r="H1247" s="108"/>
      <c r="I1247" s="108"/>
      <c r="J1247" s="108"/>
      <c r="K1247" s="31" t="str">
        <f t="shared" ref="K1247:K1248" si="246">K1246</f>
        <v>运营中</v>
      </c>
      <c r="L1247" s="108"/>
      <c r="M1247" s="108"/>
      <c r="N1247" s="12">
        <v>1</v>
      </c>
      <c r="O1247" s="36">
        <v>43319</v>
      </c>
      <c r="P1247" s="12" t="s">
        <v>654</v>
      </c>
      <c r="Q1247" s="17" t="s">
        <v>320</v>
      </c>
      <c r="R1247" s="12" t="s">
        <v>4392</v>
      </c>
      <c r="S1247" s="108"/>
      <c r="T1247" s="108"/>
      <c r="U1247" s="111"/>
      <c r="V1247" s="108"/>
      <c r="W1247" s="108"/>
      <c r="X1247" s="108"/>
    </row>
    <row r="1248" spans="1:24" s="26" customFormat="1" hidden="1">
      <c r="A1248" s="33"/>
      <c r="B1248" s="108"/>
      <c r="C1248" s="108"/>
      <c r="D1248" s="31" t="str">
        <f>D1247</f>
        <v>中国铁塔</v>
      </c>
      <c r="E1248" s="108"/>
      <c r="F1248" s="111"/>
      <c r="G1248" s="108"/>
      <c r="H1248" s="108"/>
      <c r="I1248" s="108"/>
      <c r="J1248" s="108"/>
      <c r="K1248" s="31" t="str">
        <f t="shared" si="246"/>
        <v>运营中</v>
      </c>
      <c r="L1248" s="108"/>
      <c r="M1248" s="108"/>
      <c r="N1248" s="12">
        <v>1</v>
      </c>
      <c r="O1248" s="36">
        <v>42938</v>
      </c>
      <c r="P1248" s="17" t="s">
        <v>763</v>
      </c>
      <c r="Q1248" s="12" t="s">
        <v>252</v>
      </c>
      <c r="R1248" s="12" t="s">
        <v>4393</v>
      </c>
      <c r="S1248" s="108"/>
      <c r="T1248" s="108"/>
      <c r="U1248" s="111"/>
      <c r="V1248" s="108"/>
      <c r="W1248" s="108"/>
      <c r="X1248" s="108"/>
    </row>
    <row r="1249" spans="1:25" s="26" customFormat="1" ht="53.5" customHeight="1">
      <c r="A1249" s="11"/>
      <c r="B1249" s="108"/>
      <c r="C1249" s="108" t="s">
        <v>4394</v>
      </c>
      <c r="D1249" s="31" t="s">
        <v>4395</v>
      </c>
      <c r="E1249" s="109" t="s">
        <v>4396</v>
      </c>
      <c r="F1249" s="112" t="s">
        <v>4397</v>
      </c>
      <c r="G1249" s="107" t="s">
        <v>4398</v>
      </c>
      <c r="H1249" s="108" t="s">
        <v>4399</v>
      </c>
      <c r="I1249" s="109" t="s">
        <v>511</v>
      </c>
      <c r="J1249" s="109" t="s">
        <v>4400</v>
      </c>
      <c r="K1249" s="20" t="s">
        <v>1042</v>
      </c>
      <c r="L1249" s="109" t="s">
        <v>1825</v>
      </c>
      <c r="M1249" s="109" t="s">
        <v>1826</v>
      </c>
      <c r="N1249" s="13"/>
      <c r="O1249" s="24">
        <v>44904</v>
      </c>
      <c r="P1249" s="13" t="s">
        <v>4401</v>
      </c>
      <c r="Q1249" s="13" t="s">
        <v>4402</v>
      </c>
      <c r="R1249" s="13" t="s">
        <v>1751</v>
      </c>
      <c r="S1249" s="109" t="s">
        <v>4403</v>
      </c>
      <c r="T1249" s="109" t="s">
        <v>4404</v>
      </c>
      <c r="U1249" s="112" t="s">
        <v>4405</v>
      </c>
      <c r="V1249" s="107" t="s">
        <v>4406</v>
      </c>
      <c r="W1249" s="108" t="s">
        <v>4407</v>
      </c>
      <c r="X1249" s="108" t="s">
        <v>4408</v>
      </c>
      <c r="Y1249" s="11"/>
    </row>
    <row r="1250" spans="1:25" s="26" customFormat="1" hidden="1">
      <c r="A1250" s="33"/>
      <c r="B1250" s="108"/>
      <c r="C1250" s="108"/>
      <c r="D1250" s="31" t="str">
        <f>D1249</f>
        <v>清众科技</v>
      </c>
      <c r="E1250" s="108"/>
      <c r="F1250" s="111"/>
      <c r="G1250" s="108"/>
      <c r="H1250" s="108"/>
      <c r="I1250" s="108"/>
      <c r="J1250" s="108"/>
      <c r="K1250" s="31" t="str">
        <f>K1249</f>
        <v>运营中</v>
      </c>
      <c r="L1250" s="108"/>
      <c r="M1250" s="108"/>
      <c r="N1250" s="17"/>
      <c r="O1250" s="36">
        <v>42307</v>
      </c>
      <c r="P1250" s="12" t="s">
        <v>362</v>
      </c>
      <c r="Q1250" s="12" t="s">
        <v>252</v>
      </c>
      <c r="R1250" s="17" t="s">
        <v>253</v>
      </c>
      <c r="S1250" s="108"/>
      <c r="T1250" s="108"/>
      <c r="U1250" s="111"/>
      <c r="V1250" s="108"/>
      <c r="W1250" s="108"/>
      <c r="X1250" s="108"/>
    </row>
    <row r="1251" spans="1:25" s="26" customFormat="1" ht="48" hidden="1">
      <c r="A1251" s="33"/>
      <c r="B1251" s="108"/>
      <c r="C1251" s="17" t="s">
        <v>4409</v>
      </c>
      <c r="D1251" s="38" t="s">
        <v>4410</v>
      </c>
      <c r="E1251" s="12" t="s">
        <v>4410</v>
      </c>
      <c r="F1251" s="32" t="s">
        <v>4411</v>
      </c>
      <c r="G1251" s="12" t="s">
        <v>4412</v>
      </c>
      <c r="H1251" s="17" t="s">
        <v>4413</v>
      </c>
      <c r="I1251" s="17" t="s">
        <v>4414</v>
      </c>
      <c r="J1251" s="12" t="s">
        <v>547</v>
      </c>
      <c r="K1251" s="38" t="s">
        <v>272</v>
      </c>
      <c r="L1251" s="12" t="s">
        <v>386</v>
      </c>
      <c r="M1251" s="12" t="s">
        <v>645</v>
      </c>
      <c r="N1251" s="12">
        <v>1</v>
      </c>
      <c r="O1251" s="36">
        <v>42948</v>
      </c>
      <c r="P1251" s="12" t="s">
        <v>471</v>
      </c>
      <c r="Q1251" s="12" t="s">
        <v>252</v>
      </c>
      <c r="R1251" s="12" t="s">
        <v>240</v>
      </c>
      <c r="S1251" s="17" t="s">
        <v>253</v>
      </c>
      <c r="T1251" s="12" t="s">
        <v>255</v>
      </c>
      <c r="U1251" s="32" t="s">
        <v>4415</v>
      </c>
      <c r="V1251" s="12" t="s">
        <v>4416</v>
      </c>
      <c r="W1251" s="17" t="s">
        <v>4417</v>
      </c>
      <c r="X1251" s="17" t="s">
        <v>4418</v>
      </c>
    </row>
    <row r="1252" spans="1:25" s="26" customFormat="1" ht="36" hidden="1">
      <c r="A1252" s="33"/>
      <c r="B1252" s="108"/>
      <c r="C1252" s="17" t="s">
        <v>4419</v>
      </c>
      <c r="D1252" s="38" t="s">
        <v>4420</v>
      </c>
      <c r="E1252" s="12" t="s">
        <v>4420</v>
      </c>
      <c r="F1252" s="32" t="s">
        <v>4421</v>
      </c>
      <c r="G1252" s="12" t="s">
        <v>4422</v>
      </c>
      <c r="H1252" s="17" t="s">
        <v>4423</v>
      </c>
      <c r="I1252" s="17" t="s">
        <v>4424</v>
      </c>
      <c r="J1252" s="12" t="s">
        <v>497</v>
      </c>
      <c r="K1252" s="38" t="s">
        <v>272</v>
      </c>
      <c r="L1252" s="12" t="s">
        <v>350</v>
      </c>
      <c r="M1252" s="12" t="s">
        <v>351</v>
      </c>
      <c r="N1252" s="12"/>
      <c r="O1252" s="36">
        <v>43095</v>
      </c>
      <c r="P1252" s="12" t="s">
        <v>285</v>
      </c>
      <c r="Q1252" s="17" t="s">
        <v>2336</v>
      </c>
      <c r="R1252" s="12" t="s">
        <v>455</v>
      </c>
      <c r="S1252" s="17" t="s">
        <v>4425</v>
      </c>
      <c r="T1252" s="17" t="s">
        <v>4426</v>
      </c>
      <c r="U1252" s="32" t="s">
        <v>4427</v>
      </c>
      <c r="V1252" s="12" t="s">
        <v>4428</v>
      </c>
      <c r="W1252" s="17" t="s">
        <v>4429</v>
      </c>
      <c r="X1252" s="17" t="s">
        <v>4430</v>
      </c>
    </row>
    <row r="1253" spans="1:25" s="26" customFormat="1" hidden="1">
      <c r="A1253" s="33"/>
      <c r="B1253" s="108"/>
      <c r="C1253" s="108" t="s">
        <v>4431</v>
      </c>
      <c r="D1253" s="31" t="s">
        <v>4432</v>
      </c>
      <c r="E1253" s="108" t="s">
        <v>4432</v>
      </c>
      <c r="F1253" s="111" t="s">
        <v>4433</v>
      </c>
      <c r="G1253" s="108"/>
      <c r="H1253" s="108" t="s">
        <v>4434</v>
      </c>
      <c r="I1253" s="108" t="s">
        <v>3265</v>
      </c>
      <c r="J1253" s="107" t="s">
        <v>1725</v>
      </c>
      <c r="K1253" s="31" t="s">
        <v>272</v>
      </c>
      <c r="L1253" s="107" t="s">
        <v>512</v>
      </c>
      <c r="M1253" s="107" t="s">
        <v>513</v>
      </c>
      <c r="N1253" s="12"/>
      <c r="O1253" s="36">
        <v>44601</v>
      </c>
      <c r="P1253" s="17" t="s">
        <v>310</v>
      </c>
      <c r="Q1253" s="17" t="s">
        <v>699</v>
      </c>
      <c r="R1253" s="17" t="s">
        <v>4435</v>
      </c>
      <c r="S1253" s="108" t="s">
        <v>4436</v>
      </c>
      <c r="T1253" s="108" t="s">
        <v>4437</v>
      </c>
      <c r="U1253" s="111" t="s">
        <v>4438</v>
      </c>
      <c r="V1253" s="108"/>
      <c r="W1253" s="108"/>
      <c r="X1253" s="108" t="s">
        <v>4439</v>
      </c>
    </row>
    <row r="1254" spans="1:25" s="26" customFormat="1" hidden="1">
      <c r="A1254" s="33"/>
      <c r="B1254" s="108"/>
      <c r="C1254" s="108"/>
      <c r="D1254" s="31" t="str">
        <f t="shared" ref="D1254:D1260" si="247">D1253</f>
        <v>XpressBees</v>
      </c>
      <c r="E1254" s="108"/>
      <c r="F1254" s="111"/>
      <c r="G1254" s="108"/>
      <c r="H1254" s="108"/>
      <c r="I1254" s="108"/>
      <c r="J1254" s="108"/>
      <c r="K1254" s="31" t="str">
        <f t="shared" ref="K1254:K1260" si="248">K1253</f>
        <v>运营中</v>
      </c>
      <c r="L1254" s="108"/>
      <c r="M1254" s="108"/>
      <c r="N1254" s="17"/>
      <c r="O1254" s="36">
        <v>44146</v>
      </c>
      <c r="P1254" s="17" t="s">
        <v>310</v>
      </c>
      <c r="Q1254" s="17" t="s">
        <v>1662</v>
      </c>
      <c r="R1254" s="17" t="s">
        <v>4440</v>
      </c>
      <c r="S1254" s="108"/>
      <c r="T1254" s="108"/>
      <c r="U1254" s="111"/>
      <c r="V1254" s="108"/>
      <c r="W1254" s="108"/>
      <c r="X1254" s="108"/>
    </row>
    <row r="1255" spans="1:25" s="26" customFormat="1" hidden="1">
      <c r="A1255" s="33"/>
      <c r="B1255" s="108"/>
      <c r="C1255" s="108"/>
      <c r="D1255" s="31" t="str">
        <f t="shared" si="247"/>
        <v>XpressBees</v>
      </c>
      <c r="E1255" s="108"/>
      <c r="F1255" s="111"/>
      <c r="G1255" s="108"/>
      <c r="H1255" s="108"/>
      <c r="I1255" s="108"/>
      <c r="J1255" s="108"/>
      <c r="K1255" s="31" t="str">
        <f t="shared" si="248"/>
        <v>运营中</v>
      </c>
      <c r="L1255" s="108"/>
      <c r="M1255" s="108"/>
      <c r="N1255" s="17"/>
      <c r="O1255" s="36">
        <v>43826</v>
      </c>
      <c r="P1255" s="17" t="s">
        <v>315</v>
      </c>
      <c r="Q1255" s="17" t="s">
        <v>337</v>
      </c>
      <c r="R1255" s="12" t="s">
        <v>240</v>
      </c>
      <c r="S1255" s="108"/>
      <c r="T1255" s="108"/>
      <c r="U1255" s="111"/>
      <c r="V1255" s="108"/>
      <c r="W1255" s="108"/>
      <c r="X1255" s="108"/>
    </row>
    <row r="1256" spans="1:25" s="26" customFormat="1" hidden="1">
      <c r="A1256" s="33"/>
      <c r="B1256" s="108"/>
      <c r="C1256" s="108"/>
      <c r="D1256" s="31" t="str">
        <f t="shared" si="247"/>
        <v>XpressBees</v>
      </c>
      <c r="E1256" s="108"/>
      <c r="F1256" s="111"/>
      <c r="G1256" s="108"/>
      <c r="H1256" s="108"/>
      <c r="I1256" s="108"/>
      <c r="J1256" s="108"/>
      <c r="K1256" s="31" t="str">
        <f t="shared" si="248"/>
        <v>运营中</v>
      </c>
      <c r="L1256" s="108"/>
      <c r="M1256" s="108"/>
      <c r="N1256" s="17"/>
      <c r="O1256" s="36">
        <v>43516</v>
      </c>
      <c r="P1256" s="12" t="s">
        <v>285</v>
      </c>
      <c r="Q1256" s="17" t="s">
        <v>4441</v>
      </c>
      <c r="R1256" s="17" t="s">
        <v>4442</v>
      </c>
      <c r="S1256" s="108"/>
      <c r="T1256" s="108"/>
      <c r="U1256" s="111"/>
      <c r="V1256" s="108"/>
      <c r="W1256" s="108"/>
      <c r="X1256" s="108"/>
    </row>
    <row r="1257" spans="1:25" s="26" customFormat="1" hidden="1">
      <c r="A1257" s="33"/>
      <c r="B1257" s="108"/>
      <c r="C1257" s="108"/>
      <c r="D1257" s="31" t="str">
        <f t="shared" si="247"/>
        <v>XpressBees</v>
      </c>
      <c r="E1257" s="108"/>
      <c r="F1257" s="111"/>
      <c r="G1257" s="108"/>
      <c r="H1257" s="108"/>
      <c r="I1257" s="108"/>
      <c r="J1257" s="108"/>
      <c r="K1257" s="31" t="str">
        <f t="shared" si="248"/>
        <v>运营中</v>
      </c>
      <c r="L1257" s="108"/>
      <c r="M1257" s="108"/>
      <c r="N1257" s="17"/>
      <c r="O1257" s="36">
        <v>43130</v>
      </c>
      <c r="P1257" s="17" t="s">
        <v>317</v>
      </c>
      <c r="Q1257" s="17" t="s">
        <v>4443</v>
      </c>
      <c r="R1257" s="12" t="s">
        <v>240</v>
      </c>
      <c r="S1257" s="108"/>
      <c r="T1257" s="108"/>
      <c r="U1257" s="111"/>
      <c r="V1257" s="108"/>
      <c r="W1257" s="108"/>
      <c r="X1257" s="108"/>
    </row>
    <row r="1258" spans="1:25" s="26" customFormat="1" hidden="1">
      <c r="A1258" s="33"/>
      <c r="B1258" s="108"/>
      <c r="C1258" s="108"/>
      <c r="D1258" s="31" t="str">
        <f t="shared" si="247"/>
        <v>XpressBees</v>
      </c>
      <c r="E1258" s="108"/>
      <c r="F1258" s="111"/>
      <c r="G1258" s="108"/>
      <c r="H1258" s="108"/>
      <c r="I1258" s="108"/>
      <c r="J1258" s="108"/>
      <c r="K1258" s="31" t="str">
        <f t="shared" si="248"/>
        <v>运营中</v>
      </c>
      <c r="L1258" s="108"/>
      <c r="M1258" s="108"/>
      <c r="N1258" s="17"/>
      <c r="O1258" s="36">
        <v>43103</v>
      </c>
      <c r="P1258" s="17" t="s">
        <v>251</v>
      </c>
      <c r="Q1258" s="17" t="s">
        <v>320</v>
      </c>
      <c r="R1258" s="17" t="s">
        <v>253</v>
      </c>
      <c r="S1258" s="108"/>
      <c r="T1258" s="108"/>
      <c r="U1258" s="111"/>
      <c r="V1258" s="108"/>
      <c r="W1258" s="108"/>
      <c r="X1258" s="108"/>
    </row>
    <row r="1259" spans="1:25" s="26" customFormat="1" hidden="1">
      <c r="A1259" s="33"/>
      <c r="B1259" s="108"/>
      <c r="C1259" s="108"/>
      <c r="D1259" s="31" t="str">
        <f t="shared" si="247"/>
        <v>XpressBees</v>
      </c>
      <c r="E1259" s="108"/>
      <c r="F1259" s="111"/>
      <c r="G1259" s="108"/>
      <c r="H1259" s="108"/>
      <c r="I1259" s="108"/>
      <c r="J1259" s="108"/>
      <c r="K1259" s="31" t="str">
        <f t="shared" si="248"/>
        <v>运营中</v>
      </c>
      <c r="L1259" s="108"/>
      <c r="M1259" s="108"/>
      <c r="N1259" s="17"/>
      <c r="O1259" s="36">
        <v>42767</v>
      </c>
      <c r="P1259" s="17" t="s">
        <v>257</v>
      </c>
      <c r="Q1259" s="12" t="s">
        <v>4444</v>
      </c>
      <c r="R1259" s="17" t="s">
        <v>4445</v>
      </c>
      <c r="S1259" s="108"/>
      <c r="T1259" s="108"/>
      <c r="U1259" s="111"/>
      <c r="V1259" s="108"/>
      <c r="W1259" s="108"/>
      <c r="X1259" s="108"/>
    </row>
    <row r="1260" spans="1:25" s="26" customFormat="1" hidden="1">
      <c r="A1260" s="33"/>
      <c r="B1260" s="108"/>
      <c r="C1260" s="108"/>
      <c r="D1260" s="31" t="str">
        <f t="shared" si="247"/>
        <v>XpressBees</v>
      </c>
      <c r="E1260" s="108"/>
      <c r="F1260" s="111"/>
      <c r="G1260" s="108"/>
      <c r="H1260" s="108"/>
      <c r="I1260" s="108"/>
      <c r="J1260" s="108"/>
      <c r="K1260" s="31" t="str">
        <f t="shared" si="248"/>
        <v>运营中</v>
      </c>
      <c r="L1260" s="108"/>
      <c r="M1260" s="108"/>
      <c r="N1260" s="17"/>
      <c r="O1260" s="36">
        <v>42414</v>
      </c>
      <c r="P1260" s="17" t="s">
        <v>262</v>
      </c>
      <c r="Q1260" s="17" t="s">
        <v>4446</v>
      </c>
      <c r="R1260" s="12" t="s">
        <v>4447</v>
      </c>
      <c r="S1260" s="108"/>
      <c r="T1260" s="108"/>
      <c r="U1260" s="111"/>
      <c r="V1260" s="108"/>
      <c r="W1260" s="108"/>
      <c r="X1260" s="108"/>
    </row>
    <row r="1261" spans="1:25" s="26" customFormat="1" ht="48" hidden="1">
      <c r="A1261" s="33"/>
      <c r="B1261" s="108"/>
      <c r="C1261" s="17" t="s">
        <v>1840</v>
      </c>
      <c r="D1261" s="38" t="s">
        <v>4448</v>
      </c>
      <c r="E1261" s="12" t="s">
        <v>4448</v>
      </c>
      <c r="F1261" s="32" t="s">
        <v>4449</v>
      </c>
      <c r="G1261" s="12" t="s">
        <v>4450</v>
      </c>
      <c r="H1261" s="17"/>
      <c r="I1261" s="17" t="s">
        <v>837</v>
      </c>
      <c r="J1261" s="12" t="s">
        <v>4451</v>
      </c>
      <c r="K1261" s="38" t="s">
        <v>272</v>
      </c>
      <c r="L1261" s="12" t="s">
        <v>1859</v>
      </c>
      <c r="M1261" s="12" t="s">
        <v>4452</v>
      </c>
      <c r="N1261" s="12"/>
      <c r="O1261" s="36">
        <v>42430</v>
      </c>
      <c r="P1261" s="12" t="s">
        <v>285</v>
      </c>
      <c r="Q1261" s="17" t="s">
        <v>637</v>
      </c>
      <c r="R1261" s="12" t="s">
        <v>4453</v>
      </c>
      <c r="S1261" s="17" t="s">
        <v>4335</v>
      </c>
      <c r="T1261" s="17" t="s">
        <v>1078</v>
      </c>
      <c r="U1261" s="32" t="s">
        <v>4454</v>
      </c>
      <c r="V1261" s="12" t="s">
        <v>4455</v>
      </c>
      <c r="W1261" s="17" t="s">
        <v>4456</v>
      </c>
      <c r="X1261" s="17" t="s">
        <v>4457</v>
      </c>
    </row>
    <row r="1262" spans="1:25" s="26" customFormat="1" ht="59" hidden="1">
      <c r="A1262" s="33"/>
      <c r="B1262" s="108"/>
      <c r="C1262" s="17" t="s">
        <v>1940</v>
      </c>
      <c r="D1262" s="38" t="s">
        <v>4458</v>
      </c>
      <c r="E1262" s="12" t="s">
        <v>4458</v>
      </c>
      <c r="F1262" s="32" t="s">
        <v>4459</v>
      </c>
      <c r="G1262" s="12" t="s">
        <v>4460</v>
      </c>
      <c r="H1262" s="17"/>
      <c r="I1262" s="17" t="s">
        <v>3449</v>
      </c>
      <c r="J1262" s="12" t="s">
        <v>4461</v>
      </c>
      <c r="K1262" s="12" t="s">
        <v>248</v>
      </c>
      <c r="L1262" s="12" t="s">
        <v>713</v>
      </c>
      <c r="M1262" s="12" t="s">
        <v>881</v>
      </c>
      <c r="N1262" s="12"/>
      <c r="O1262" s="36">
        <v>42591</v>
      </c>
      <c r="P1262" s="17" t="s">
        <v>262</v>
      </c>
      <c r="Q1262" s="12" t="s">
        <v>341</v>
      </c>
      <c r="R1262" s="12" t="s">
        <v>240</v>
      </c>
      <c r="S1262" s="17" t="s">
        <v>931</v>
      </c>
      <c r="T1262" s="17" t="s">
        <v>432</v>
      </c>
      <c r="U1262" s="32" t="s">
        <v>4462</v>
      </c>
      <c r="V1262" s="12" t="s">
        <v>4463</v>
      </c>
      <c r="W1262" s="17"/>
      <c r="X1262" s="17"/>
    </row>
    <row r="1263" spans="1:25" s="26" customFormat="1" ht="53.5" customHeight="1">
      <c r="A1263" s="11"/>
      <c r="B1263" s="108"/>
      <c r="C1263" s="108" t="s">
        <v>4464</v>
      </c>
      <c r="D1263" s="31" t="s">
        <v>4465</v>
      </c>
      <c r="E1263" s="109" t="s">
        <v>4466</v>
      </c>
      <c r="F1263" s="112" t="s">
        <v>4467</v>
      </c>
      <c r="G1263" s="107" t="s">
        <v>4468</v>
      </c>
      <c r="H1263" s="108" t="s">
        <v>4469</v>
      </c>
      <c r="I1263" s="109" t="s">
        <v>4470</v>
      </c>
      <c r="J1263" s="109" t="s">
        <v>4471</v>
      </c>
      <c r="K1263" s="20" t="s">
        <v>1042</v>
      </c>
      <c r="L1263" s="109" t="s">
        <v>4472</v>
      </c>
      <c r="M1263" s="109" t="s">
        <v>4473</v>
      </c>
      <c r="N1263" s="13"/>
      <c r="O1263" s="24">
        <v>44301</v>
      </c>
      <c r="P1263" s="13" t="s">
        <v>4401</v>
      </c>
      <c r="Q1263" s="13" t="s">
        <v>4474</v>
      </c>
      <c r="R1263" s="13" t="s">
        <v>1751</v>
      </c>
      <c r="S1263" s="109" t="s">
        <v>4475</v>
      </c>
      <c r="T1263" s="109" t="s">
        <v>4476</v>
      </c>
      <c r="U1263" s="112" t="s">
        <v>4477</v>
      </c>
      <c r="V1263" s="107" t="s">
        <v>4478</v>
      </c>
      <c r="W1263" s="108" t="s">
        <v>4479</v>
      </c>
      <c r="X1263" s="108" t="s">
        <v>4480</v>
      </c>
      <c r="Y1263" s="11"/>
    </row>
    <row r="1264" spans="1:25" s="26" customFormat="1" hidden="1">
      <c r="A1264" s="33"/>
      <c r="B1264" s="108"/>
      <c r="C1264" s="108"/>
      <c r="D1264" s="31" t="str">
        <f>D1263</f>
        <v>爱用科技</v>
      </c>
      <c r="E1264" s="108"/>
      <c r="F1264" s="111"/>
      <c r="G1264" s="108"/>
      <c r="H1264" s="108"/>
      <c r="I1264" s="108"/>
      <c r="J1264" s="108"/>
      <c r="K1264" s="31" t="str">
        <f t="shared" ref="K1264:K1265" si="249">K1263</f>
        <v>运营中</v>
      </c>
      <c r="L1264" s="108"/>
      <c r="M1264" s="108"/>
      <c r="N1264" s="17"/>
      <c r="O1264" s="36">
        <v>42888</v>
      </c>
      <c r="P1264" s="12" t="s">
        <v>359</v>
      </c>
      <c r="Q1264" s="17" t="s">
        <v>1684</v>
      </c>
      <c r="R1264" s="12" t="s">
        <v>4481</v>
      </c>
      <c r="S1264" s="108"/>
      <c r="T1264" s="108"/>
      <c r="U1264" s="111"/>
      <c r="V1264" s="108"/>
      <c r="W1264" s="108"/>
      <c r="X1264" s="108"/>
    </row>
    <row r="1265" spans="1:24" s="26" customFormat="1" hidden="1">
      <c r="A1265" s="33"/>
      <c r="B1265" s="108"/>
      <c r="C1265" s="108"/>
      <c r="D1265" s="31" t="str">
        <f>D1264</f>
        <v>爱用科技</v>
      </c>
      <c r="E1265" s="108"/>
      <c r="F1265" s="111"/>
      <c r="G1265" s="108"/>
      <c r="H1265" s="108"/>
      <c r="I1265" s="108"/>
      <c r="J1265" s="108"/>
      <c r="K1265" s="31" t="str">
        <f t="shared" si="249"/>
        <v>运营中</v>
      </c>
      <c r="L1265" s="108"/>
      <c r="M1265" s="108"/>
      <c r="N1265" s="17"/>
      <c r="O1265" s="36">
        <v>42482</v>
      </c>
      <c r="P1265" s="12" t="s">
        <v>362</v>
      </c>
      <c r="Q1265" s="12" t="s">
        <v>252</v>
      </c>
      <c r="R1265" s="17" t="s">
        <v>253</v>
      </c>
      <c r="S1265" s="108"/>
      <c r="T1265" s="108"/>
      <c r="U1265" s="111"/>
      <c r="V1265" s="108"/>
      <c r="W1265" s="108"/>
      <c r="X1265" s="108"/>
    </row>
    <row r="1266" spans="1:24" s="26" customFormat="1" ht="47.5" hidden="1">
      <c r="A1266" s="33"/>
      <c r="B1266" s="108"/>
      <c r="C1266" s="17" t="s">
        <v>2860</v>
      </c>
      <c r="D1266" s="38" t="s">
        <v>4482</v>
      </c>
      <c r="E1266" s="17" t="s">
        <v>4482</v>
      </c>
      <c r="F1266" s="34" t="s">
        <v>4483</v>
      </c>
      <c r="G1266" s="17"/>
      <c r="H1266" s="17" t="s">
        <v>4484</v>
      </c>
      <c r="I1266" s="17" t="s">
        <v>1905</v>
      </c>
      <c r="J1266" s="12" t="s">
        <v>2261</v>
      </c>
      <c r="K1266" s="38" t="s">
        <v>272</v>
      </c>
      <c r="L1266" s="12" t="s">
        <v>386</v>
      </c>
      <c r="M1266" s="12" t="s">
        <v>817</v>
      </c>
      <c r="N1266" s="12"/>
      <c r="O1266" s="36">
        <v>42612</v>
      </c>
      <c r="P1266" s="12" t="s">
        <v>326</v>
      </c>
      <c r="Q1266" s="17" t="s">
        <v>263</v>
      </c>
      <c r="R1266" s="12" t="s">
        <v>240</v>
      </c>
      <c r="S1266" s="17" t="s">
        <v>4485</v>
      </c>
      <c r="T1266" s="17" t="s">
        <v>3986</v>
      </c>
      <c r="U1266" s="32" t="s">
        <v>4486</v>
      </c>
      <c r="V1266" s="12" t="s">
        <v>4487</v>
      </c>
      <c r="W1266" s="17"/>
      <c r="X1266" s="17"/>
    </row>
    <row r="1267" spans="1:24" s="26" customFormat="1" hidden="1">
      <c r="A1267" s="33"/>
      <c r="B1267" s="108"/>
      <c r="C1267" s="108" t="s">
        <v>4488</v>
      </c>
      <c r="D1267" s="31" t="s">
        <v>4489</v>
      </c>
      <c r="E1267" s="107" t="s">
        <v>4489</v>
      </c>
      <c r="F1267" s="110" t="s">
        <v>4490</v>
      </c>
      <c r="G1267" s="107" t="s">
        <v>4491</v>
      </c>
      <c r="H1267" s="108" t="s">
        <v>4492</v>
      </c>
      <c r="I1267" s="108" t="s">
        <v>4493</v>
      </c>
      <c r="J1267" s="107" t="s">
        <v>630</v>
      </c>
      <c r="K1267" s="31" t="s">
        <v>272</v>
      </c>
      <c r="L1267" s="107" t="s">
        <v>1966</v>
      </c>
      <c r="M1267" s="107" t="s">
        <v>1967</v>
      </c>
      <c r="N1267" s="12">
        <v>1</v>
      </c>
      <c r="O1267" s="36">
        <v>44165</v>
      </c>
      <c r="P1267" s="17" t="s">
        <v>687</v>
      </c>
      <c r="Q1267" s="17" t="s">
        <v>4119</v>
      </c>
      <c r="R1267" s="12" t="s">
        <v>4494</v>
      </c>
      <c r="S1267" s="108" t="s">
        <v>4495</v>
      </c>
      <c r="T1267" s="108" t="s">
        <v>4496</v>
      </c>
      <c r="U1267" s="110" t="s">
        <v>4497</v>
      </c>
      <c r="V1267" s="107" t="s">
        <v>4498</v>
      </c>
      <c r="W1267" s="108" t="s">
        <v>4499</v>
      </c>
      <c r="X1267" s="108" t="s">
        <v>4500</v>
      </c>
    </row>
    <row r="1268" spans="1:24" s="26" customFormat="1" hidden="1">
      <c r="A1268" s="33"/>
      <c r="B1268" s="108"/>
      <c r="C1268" s="108"/>
      <c r="D1268" s="31" t="str">
        <f>D1267</f>
        <v>居然之家</v>
      </c>
      <c r="E1268" s="108"/>
      <c r="F1268" s="111"/>
      <c r="G1268" s="108"/>
      <c r="H1268" s="108"/>
      <c r="I1268" s="108"/>
      <c r="J1268" s="108"/>
      <c r="K1268" s="31" t="str">
        <f t="shared" ref="K1268:K1270" si="250">K1267</f>
        <v>运营中</v>
      </c>
      <c r="L1268" s="108"/>
      <c r="M1268" s="108"/>
      <c r="N1268" s="12">
        <v>1</v>
      </c>
      <c r="O1268" s="36">
        <v>43825</v>
      </c>
      <c r="P1268" s="17" t="s">
        <v>283</v>
      </c>
      <c r="Q1268" s="12" t="s">
        <v>409</v>
      </c>
      <c r="R1268" s="17" t="s">
        <v>253</v>
      </c>
      <c r="S1268" s="108"/>
      <c r="T1268" s="108"/>
      <c r="U1268" s="111"/>
      <c r="V1268" s="108"/>
      <c r="W1268" s="108"/>
      <c r="X1268" s="108"/>
    </row>
    <row r="1269" spans="1:24" s="26" customFormat="1" hidden="1">
      <c r="A1269" s="33"/>
      <c r="B1269" s="108"/>
      <c r="C1269" s="108"/>
      <c r="D1269" s="31" t="str">
        <f>D1268</f>
        <v>居然之家</v>
      </c>
      <c r="E1269" s="108"/>
      <c r="F1269" s="111"/>
      <c r="G1269" s="108"/>
      <c r="H1269" s="108"/>
      <c r="I1269" s="108"/>
      <c r="J1269" s="108"/>
      <c r="K1269" s="31" t="str">
        <f t="shared" si="250"/>
        <v>运营中</v>
      </c>
      <c r="L1269" s="108"/>
      <c r="M1269" s="108"/>
      <c r="N1269" s="12">
        <v>1</v>
      </c>
      <c r="O1269" s="36">
        <v>43158</v>
      </c>
      <c r="P1269" s="12" t="s">
        <v>285</v>
      </c>
      <c r="Q1269" s="17" t="s">
        <v>4501</v>
      </c>
      <c r="R1269" s="12" t="s">
        <v>4502</v>
      </c>
      <c r="S1269" s="108"/>
      <c r="T1269" s="108"/>
      <c r="U1269" s="111"/>
      <c r="V1269" s="108"/>
      <c r="W1269" s="108"/>
      <c r="X1269" s="108"/>
    </row>
    <row r="1270" spans="1:24" s="26" customFormat="1" hidden="1">
      <c r="A1270" s="33"/>
      <c r="B1270" s="108"/>
      <c r="C1270" s="108"/>
      <c r="D1270" s="31" t="str">
        <f>D1269</f>
        <v>居然之家</v>
      </c>
      <c r="E1270" s="108"/>
      <c r="F1270" s="111"/>
      <c r="G1270" s="108"/>
      <c r="H1270" s="108"/>
      <c r="I1270" s="108"/>
      <c r="J1270" s="108"/>
      <c r="K1270" s="31" t="str">
        <f t="shared" si="250"/>
        <v>运营中</v>
      </c>
      <c r="L1270" s="108"/>
      <c r="M1270" s="108"/>
      <c r="N1270" s="12">
        <v>1</v>
      </c>
      <c r="O1270" s="36">
        <v>43142</v>
      </c>
      <c r="P1270" s="12" t="s">
        <v>285</v>
      </c>
      <c r="Q1270" s="17" t="s">
        <v>4503</v>
      </c>
      <c r="R1270" s="12" t="s">
        <v>4504</v>
      </c>
      <c r="S1270" s="108"/>
      <c r="T1270" s="108"/>
      <c r="U1270" s="111"/>
      <c r="V1270" s="108"/>
      <c r="W1270" s="108"/>
      <c r="X1270" s="108"/>
    </row>
    <row r="1271" spans="1:24" s="26" customFormat="1" hidden="1">
      <c r="A1271" s="33"/>
      <c r="B1271" s="108"/>
      <c r="C1271" s="108" t="s">
        <v>4505</v>
      </c>
      <c r="D1271" s="31" t="s">
        <v>4506</v>
      </c>
      <c r="E1271" s="108" t="s">
        <v>4506</v>
      </c>
      <c r="F1271" s="111" t="s">
        <v>4507</v>
      </c>
      <c r="G1271" s="108"/>
      <c r="H1271" s="108" t="s">
        <v>4508</v>
      </c>
      <c r="I1271" s="108" t="s">
        <v>3332</v>
      </c>
      <c r="J1271" s="107" t="s">
        <v>1725</v>
      </c>
      <c r="K1271" s="31" t="s">
        <v>272</v>
      </c>
      <c r="L1271" s="107" t="s">
        <v>350</v>
      </c>
      <c r="M1271" s="107" t="s">
        <v>617</v>
      </c>
      <c r="N1271" s="12"/>
      <c r="O1271" s="36">
        <v>43678</v>
      </c>
      <c r="P1271" s="12" t="s">
        <v>285</v>
      </c>
      <c r="Q1271" s="17" t="s">
        <v>3693</v>
      </c>
      <c r="R1271" s="17" t="s">
        <v>4509</v>
      </c>
      <c r="S1271" s="108" t="s">
        <v>4510</v>
      </c>
      <c r="T1271" s="108" t="s">
        <v>2482</v>
      </c>
      <c r="U1271" s="111" t="s">
        <v>4511</v>
      </c>
      <c r="V1271" s="108"/>
      <c r="W1271" s="108"/>
      <c r="X1271" s="108"/>
    </row>
    <row r="1272" spans="1:24" s="26" customFormat="1" hidden="1">
      <c r="A1272" s="33"/>
      <c r="B1272" s="108"/>
      <c r="C1272" s="108"/>
      <c r="D1272" s="31" t="str">
        <f>D1271</f>
        <v>Paytm Mall</v>
      </c>
      <c r="E1272" s="108"/>
      <c r="F1272" s="111"/>
      <c r="G1272" s="108"/>
      <c r="H1272" s="108"/>
      <c r="I1272" s="108"/>
      <c r="J1272" s="108"/>
      <c r="K1272" s="31" t="str">
        <f t="shared" ref="K1272:K1275" si="251">K1271</f>
        <v>运营中</v>
      </c>
      <c r="L1272" s="108"/>
      <c r="M1272" s="108"/>
      <c r="N1272" s="17"/>
      <c r="O1272" s="36">
        <v>43193</v>
      </c>
      <c r="P1272" s="17" t="s">
        <v>257</v>
      </c>
      <c r="Q1272" s="17" t="s">
        <v>2910</v>
      </c>
      <c r="R1272" s="12" t="s">
        <v>4512</v>
      </c>
      <c r="S1272" s="108"/>
      <c r="T1272" s="108"/>
      <c r="U1272" s="111"/>
      <c r="V1272" s="108"/>
      <c r="W1272" s="108"/>
      <c r="X1272" s="108"/>
    </row>
    <row r="1273" spans="1:24" s="26" customFormat="1" hidden="1">
      <c r="A1273" s="33"/>
      <c r="B1273" s="108"/>
      <c r="C1273" s="108"/>
      <c r="D1273" s="31" t="str">
        <f>D1272</f>
        <v>Paytm Mall</v>
      </c>
      <c r="E1273" s="108"/>
      <c r="F1273" s="111"/>
      <c r="G1273" s="108"/>
      <c r="H1273" s="108"/>
      <c r="I1273" s="108"/>
      <c r="J1273" s="108"/>
      <c r="K1273" s="31" t="str">
        <f t="shared" si="251"/>
        <v>运营中</v>
      </c>
      <c r="L1273" s="108"/>
      <c r="M1273" s="108"/>
      <c r="N1273" s="17"/>
      <c r="O1273" s="36">
        <v>43169</v>
      </c>
      <c r="P1273" s="17" t="s">
        <v>262</v>
      </c>
      <c r="Q1273" s="17" t="s">
        <v>288</v>
      </c>
      <c r="R1273" s="12" t="s">
        <v>4513</v>
      </c>
      <c r="S1273" s="108"/>
      <c r="T1273" s="108"/>
      <c r="U1273" s="111"/>
      <c r="V1273" s="108"/>
      <c r="W1273" s="108"/>
      <c r="X1273" s="108"/>
    </row>
    <row r="1274" spans="1:24" s="26" customFormat="1" hidden="1">
      <c r="A1274" s="33"/>
      <c r="B1274" s="108"/>
      <c r="C1274" s="108"/>
      <c r="D1274" s="31" t="str">
        <f>D1273</f>
        <v>Paytm Mall</v>
      </c>
      <c r="E1274" s="108"/>
      <c r="F1274" s="111"/>
      <c r="G1274" s="108"/>
      <c r="H1274" s="108"/>
      <c r="I1274" s="108"/>
      <c r="J1274" s="108"/>
      <c r="K1274" s="31" t="str">
        <f t="shared" si="251"/>
        <v>运营中</v>
      </c>
      <c r="L1274" s="108"/>
      <c r="M1274" s="108"/>
      <c r="N1274" s="17"/>
      <c r="O1274" s="36">
        <v>43068</v>
      </c>
      <c r="P1274" s="12" t="s">
        <v>326</v>
      </c>
      <c r="Q1274" s="17" t="s">
        <v>286</v>
      </c>
      <c r="R1274" s="12" t="s">
        <v>4513</v>
      </c>
      <c r="S1274" s="108"/>
      <c r="T1274" s="108"/>
      <c r="U1274" s="111"/>
      <c r="V1274" s="108"/>
      <c r="W1274" s="108"/>
      <c r="X1274" s="108"/>
    </row>
    <row r="1275" spans="1:24" s="26" customFormat="1" hidden="1">
      <c r="A1275" s="33"/>
      <c r="B1275" s="108"/>
      <c r="C1275" s="108"/>
      <c r="D1275" s="31" t="str">
        <f>D1274</f>
        <v>Paytm Mall</v>
      </c>
      <c r="E1275" s="108"/>
      <c r="F1275" s="111"/>
      <c r="G1275" s="108"/>
      <c r="H1275" s="108"/>
      <c r="I1275" s="108"/>
      <c r="J1275" s="108"/>
      <c r="K1275" s="31" t="str">
        <f t="shared" si="251"/>
        <v>运营中</v>
      </c>
      <c r="L1275" s="108"/>
      <c r="M1275" s="108"/>
      <c r="N1275" s="17"/>
      <c r="O1275" s="36">
        <v>42797</v>
      </c>
      <c r="P1275" s="12" t="s">
        <v>437</v>
      </c>
      <c r="Q1275" s="17" t="s">
        <v>792</v>
      </c>
      <c r="R1275" s="12" t="s">
        <v>4514</v>
      </c>
      <c r="S1275" s="108"/>
      <c r="T1275" s="108"/>
      <c r="U1275" s="111"/>
      <c r="V1275" s="108"/>
      <c r="W1275" s="108"/>
      <c r="X1275" s="108"/>
    </row>
    <row r="1276" spans="1:24" s="26" customFormat="1" hidden="1">
      <c r="A1276" s="33"/>
      <c r="B1276" s="108"/>
      <c r="C1276" s="108" t="s">
        <v>4515</v>
      </c>
      <c r="D1276" s="31" t="s">
        <v>4516</v>
      </c>
      <c r="E1276" s="107" t="s">
        <v>4516</v>
      </c>
      <c r="F1276" s="110" t="s">
        <v>4517</v>
      </c>
      <c r="G1276" s="107" t="s">
        <v>4518</v>
      </c>
      <c r="H1276" s="108" t="s">
        <v>4519</v>
      </c>
      <c r="I1276" s="108" t="s">
        <v>2478</v>
      </c>
      <c r="J1276" s="107" t="s">
        <v>1192</v>
      </c>
      <c r="K1276" s="31" t="s">
        <v>272</v>
      </c>
      <c r="L1276" s="107" t="s">
        <v>944</v>
      </c>
      <c r="M1276" s="107" t="s">
        <v>4520</v>
      </c>
      <c r="N1276" s="12"/>
      <c r="O1276" s="36">
        <v>43476</v>
      </c>
      <c r="P1276" s="17" t="s">
        <v>257</v>
      </c>
      <c r="Q1276" s="17" t="s">
        <v>2089</v>
      </c>
      <c r="R1276" s="12" t="s">
        <v>240</v>
      </c>
      <c r="S1276" s="108" t="s">
        <v>4521</v>
      </c>
      <c r="T1276" s="108" t="s">
        <v>2363</v>
      </c>
      <c r="U1276" s="110" t="s">
        <v>4522</v>
      </c>
      <c r="V1276" s="107" t="s">
        <v>4523</v>
      </c>
      <c r="W1276" s="108" t="s">
        <v>4524</v>
      </c>
      <c r="X1276" s="108" t="s">
        <v>4525</v>
      </c>
    </row>
    <row r="1277" spans="1:24" s="26" customFormat="1" hidden="1">
      <c r="A1277" s="33"/>
      <c r="B1277" s="108"/>
      <c r="C1277" s="108"/>
      <c r="D1277" s="31" t="str">
        <f>D1276</f>
        <v>优点科技</v>
      </c>
      <c r="E1277" s="108"/>
      <c r="F1277" s="111"/>
      <c r="G1277" s="108"/>
      <c r="H1277" s="108"/>
      <c r="I1277" s="108"/>
      <c r="J1277" s="108"/>
      <c r="K1277" s="31" t="str">
        <f t="shared" ref="K1277:K1279" si="252">K1276</f>
        <v>运营中</v>
      </c>
      <c r="L1277" s="108"/>
      <c r="M1277" s="108"/>
      <c r="N1277" s="17"/>
      <c r="O1277" s="36">
        <v>43249</v>
      </c>
      <c r="P1277" s="17" t="s">
        <v>262</v>
      </c>
      <c r="Q1277" s="17" t="s">
        <v>4526</v>
      </c>
      <c r="R1277" s="12" t="s">
        <v>4527</v>
      </c>
      <c r="S1277" s="108"/>
      <c r="T1277" s="108"/>
      <c r="U1277" s="111"/>
      <c r="V1277" s="108"/>
      <c r="W1277" s="108"/>
      <c r="X1277" s="108"/>
    </row>
    <row r="1278" spans="1:24" s="26" customFormat="1" hidden="1">
      <c r="A1278" s="33"/>
      <c r="B1278" s="108"/>
      <c r="C1278" s="108"/>
      <c r="D1278" s="31" t="str">
        <f>D1277</f>
        <v>优点科技</v>
      </c>
      <c r="E1278" s="108"/>
      <c r="F1278" s="111"/>
      <c r="G1278" s="108"/>
      <c r="H1278" s="108"/>
      <c r="I1278" s="108"/>
      <c r="J1278" s="108"/>
      <c r="K1278" s="31" t="str">
        <f t="shared" si="252"/>
        <v>运营中</v>
      </c>
      <c r="L1278" s="108"/>
      <c r="M1278" s="108"/>
      <c r="N1278" s="17"/>
      <c r="O1278" s="36">
        <v>43017</v>
      </c>
      <c r="P1278" s="12" t="s">
        <v>326</v>
      </c>
      <c r="Q1278" s="17" t="s">
        <v>360</v>
      </c>
      <c r="R1278" s="12" t="s">
        <v>4528</v>
      </c>
      <c r="S1278" s="108"/>
      <c r="T1278" s="108"/>
      <c r="U1278" s="111"/>
      <c r="V1278" s="108"/>
      <c r="W1278" s="108"/>
      <c r="X1278" s="108"/>
    </row>
    <row r="1279" spans="1:24" s="26" customFormat="1" hidden="1">
      <c r="A1279" s="33"/>
      <c r="B1279" s="108"/>
      <c r="C1279" s="108"/>
      <c r="D1279" s="31" t="str">
        <f>D1278</f>
        <v>优点科技</v>
      </c>
      <c r="E1279" s="108"/>
      <c r="F1279" s="111"/>
      <c r="G1279" s="108"/>
      <c r="H1279" s="108"/>
      <c r="I1279" s="108"/>
      <c r="J1279" s="108"/>
      <c r="K1279" s="31" t="str">
        <f t="shared" si="252"/>
        <v>运营中</v>
      </c>
      <c r="L1279" s="108"/>
      <c r="M1279" s="108"/>
      <c r="N1279" s="17"/>
      <c r="O1279" s="36">
        <v>42795</v>
      </c>
      <c r="P1279" s="12" t="s">
        <v>285</v>
      </c>
      <c r="Q1279" s="12" t="s">
        <v>341</v>
      </c>
      <c r="R1279" s="12" t="s">
        <v>4529</v>
      </c>
      <c r="S1279" s="108"/>
      <c r="T1279" s="108"/>
      <c r="U1279" s="111"/>
      <c r="V1279" s="108"/>
      <c r="W1279" s="108"/>
      <c r="X1279" s="108"/>
    </row>
    <row r="1280" spans="1:24" s="26" customFormat="1" ht="48" hidden="1">
      <c r="A1280" s="33"/>
      <c r="B1280" s="108"/>
      <c r="C1280" s="17" t="s">
        <v>4530</v>
      </c>
      <c r="D1280" s="38" t="s">
        <v>4531</v>
      </c>
      <c r="E1280" s="12" t="s">
        <v>4531</v>
      </c>
      <c r="F1280" s="32" t="s">
        <v>4532</v>
      </c>
      <c r="G1280" s="12" t="s">
        <v>4533</v>
      </c>
      <c r="H1280" s="17"/>
      <c r="I1280" s="17" t="s">
        <v>3823</v>
      </c>
      <c r="J1280" s="12" t="s">
        <v>1126</v>
      </c>
      <c r="K1280" s="38" t="s">
        <v>272</v>
      </c>
      <c r="L1280" s="12" t="s">
        <v>1798</v>
      </c>
      <c r="M1280" s="12" t="s">
        <v>1799</v>
      </c>
      <c r="N1280" s="12"/>
      <c r="O1280" s="36">
        <v>43300</v>
      </c>
      <c r="P1280" s="17" t="s">
        <v>262</v>
      </c>
      <c r="Q1280" s="17" t="s">
        <v>4534</v>
      </c>
      <c r="R1280" s="12" t="s">
        <v>4535</v>
      </c>
      <c r="S1280" s="17" t="s">
        <v>4536</v>
      </c>
      <c r="T1280" s="17" t="s">
        <v>2409</v>
      </c>
      <c r="U1280" s="32" t="s">
        <v>4537</v>
      </c>
      <c r="V1280" s="12" t="s">
        <v>4538</v>
      </c>
      <c r="W1280" s="17" t="s">
        <v>4539</v>
      </c>
      <c r="X1280" s="17" t="s">
        <v>4540</v>
      </c>
    </row>
    <row r="1281" spans="1:25" s="26" customFormat="1" hidden="1">
      <c r="A1281" s="33"/>
      <c r="B1281" s="108"/>
      <c r="C1281" s="108" t="s">
        <v>2279</v>
      </c>
      <c r="D1281" s="31" t="s">
        <v>4541</v>
      </c>
      <c r="E1281" s="108" t="s">
        <v>4541</v>
      </c>
      <c r="F1281" s="111" t="s">
        <v>4542</v>
      </c>
      <c r="G1281" s="108"/>
      <c r="H1281" s="108" t="s">
        <v>4543</v>
      </c>
      <c r="I1281" s="108" t="s">
        <v>3710</v>
      </c>
      <c r="J1281" s="107" t="s">
        <v>1564</v>
      </c>
      <c r="K1281" s="31" t="s">
        <v>272</v>
      </c>
      <c r="L1281" s="107" t="s">
        <v>386</v>
      </c>
      <c r="M1281" s="107" t="s">
        <v>929</v>
      </c>
      <c r="N1281" s="12"/>
      <c r="O1281" s="36">
        <v>43320</v>
      </c>
      <c r="P1281" s="12" t="s">
        <v>326</v>
      </c>
      <c r="Q1281" s="17" t="s">
        <v>306</v>
      </c>
      <c r="R1281" s="12" t="s">
        <v>4544</v>
      </c>
      <c r="S1281" s="108" t="s">
        <v>4545</v>
      </c>
      <c r="T1281" s="108" t="s">
        <v>4546</v>
      </c>
      <c r="U1281" s="111"/>
      <c r="V1281" s="108"/>
      <c r="W1281" s="108"/>
      <c r="X1281" s="108"/>
    </row>
    <row r="1282" spans="1:25" s="26" customFormat="1" hidden="1">
      <c r="A1282" s="33"/>
      <c r="B1282" s="108"/>
      <c r="C1282" s="108"/>
      <c r="D1282" s="31" t="str">
        <f>D1281</f>
        <v>NewTV</v>
      </c>
      <c r="E1282" s="108"/>
      <c r="F1282" s="111"/>
      <c r="G1282" s="108"/>
      <c r="H1282" s="108"/>
      <c r="I1282" s="108"/>
      <c r="J1282" s="108"/>
      <c r="K1282" s="31" t="str">
        <f>K1281</f>
        <v>运营中</v>
      </c>
      <c r="L1282" s="108"/>
      <c r="M1282" s="108"/>
      <c r="N1282" s="17"/>
      <c r="O1282" s="36">
        <v>43234</v>
      </c>
      <c r="P1282" s="12" t="s">
        <v>285</v>
      </c>
      <c r="Q1282" s="17" t="s">
        <v>4547</v>
      </c>
      <c r="R1282" s="17" t="s">
        <v>4548</v>
      </c>
      <c r="S1282" s="108"/>
      <c r="T1282" s="108"/>
      <c r="U1282" s="111"/>
      <c r="V1282" s="108"/>
      <c r="W1282" s="108"/>
      <c r="X1282" s="108"/>
    </row>
    <row r="1283" spans="1:25" s="26" customFormat="1" hidden="1">
      <c r="A1283" s="33"/>
      <c r="B1283" s="108"/>
      <c r="C1283" s="108" t="s">
        <v>4549</v>
      </c>
      <c r="D1283" s="31" t="s">
        <v>4550</v>
      </c>
      <c r="E1283" s="108" t="s">
        <v>4550</v>
      </c>
      <c r="F1283" s="111" t="s">
        <v>4551</v>
      </c>
      <c r="G1283" s="108"/>
      <c r="H1283" s="108" t="s">
        <v>4552</v>
      </c>
      <c r="I1283" s="108" t="s">
        <v>2887</v>
      </c>
      <c r="J1283" s="107" t="s">
        <v>4553</v>
      </c>
      <c r="K1283" s="31" t="s">
        <v>272</v>
      </c>
      <c r="L1283" s="107" t="s">
        <v>386</v>
      </c>
      <c r="M1283" s="107" t="s">
        <v>4554</v>
      </c>
      <c r="N1283" s="12"/>
      <c r="O1283" s="36">
        <v>43242</v>
      </c>
      <c r="P1283" s="12" t="s">
        <v>285</v>
      </c>
      <c r="Q1283" s="17" t="s">
        <v>458</v>
      </c>
      <c r="R1283" s="12" t="s">
        <v>240</v>
      </c>
      <c r="S1283" s="108" t="s">
        <v>840</v>
      </c>
      <c r="T1283" s="108" t="s">
        <v>1969</v>
      </c>
      <c r="U1283" s="111" t="s">
        <v>4555</v>
      </c>
      <c r="V1283" s="108"/>
      <c r="W1283" s="108"/>
      <c r="X1283" s="108"/>
    </row>
    <row r="1284" spans="1:25" s="26" customFormat="1" hidden="1">
      <c r="A1284" s="33"/>
      <c r="B1284" s="108"/>
      <c r="C1284" s="108"/>
      <c r="D1284" s="31" t="str">
        <f>D1283</f>
        <v>ORDRE.com</v>
      </c>
      <c r="E1284" s="108"/>
      <c r="F1284" s="111"/>
      <c r="G1284" s="108"/>
      <c r="H1284" s="108"/>
      <c r="I1284" s="108"/>
      <c r="J1284" s="108"/>
      <c r="K1284" s="31" t="str">
        <f>K1283</f>
        <v>运营中</v>
      </c>
      <c r="L1284" s="108"/>
      <c r="M1284" s="108"/>
      <c r="N1284" s="17"/>
      <c r="O1284" s="36">
        <v>42522</v>
      </c>
      <c r="P1284" s="12" t="s">
        <v>285</v>
      </c>
      <c r="Q1284" s="12" t="s">
        <v>276</v>
      </c>
      <c r="R1284" s="17" t="s">
        <v>4556</v>
      </c>
      <c r="S1284" s="108"/>
      <c r="T1284" s="108"/>
      <c r="U1284" s="111"/>
      <c r="V1284" s="108"/>
      <c r="W1284" s="108"/>
      <c r="X1284" s="108"/>
    </row>
    <row r="1285" spans="1:25" s="26" customFormat="1" ht="53.5" customHeight="1">
      <c r="A1285" s="11"/>
      <c r="B1285" s="108"/>
      <c r="C1285" s="108" t="s">
        <v>4557</v>
      </c>
      <c r="D1285" s="31" t="s">
        <v>135</v>
      </c>
      <c r="E1285" s="109" t="s">
        <v>135</v>
      </c>
      <c r="F1285" s="112" t="s">
        <v>4558</v>
      </c>
      <c r="G1285" s="108"/>
      <c r="H1285" s="108" t="s">
        <v>4559</v>
      </c>
      <c r="I1285" s="109" t="s">
        <v>3145</v>
      </c>
      <c r="J1285" s="109" t="s">
        <v>1725</v>
      </c>
      <c r="K1285" s="20" t="s">
        <v>1042</v>
      </c>
      <c r="L1285" s="109" t="s">
        <v>2711</v>
      </c>
      <c r="M1285" s="109" t="s">
        <v>4560</v>
      </c>
      <c r="N1285" s="13"/>
      <c r="O1285" s="24">
        <v>44550</v>
      </c>
      <c r="P1285" s="13" t="s">
        <v>4561</v>
      </c>
      <c r="Q1285" s="13" t="s">
        <v>4562</v>
      </c>
      <c r="R1285" s="13" t="s">
        <v>4563</v>
      </c>
      <c r="S1285" s="109" t="s">
        <v>4564</v>
      </c>
      <c r="T1285" s="109" t="s">
        <v>4565</v>
      </c>
      <c r="U1285" s="112" t="s">
        <v>4566</v>
      </c>
      <c r="V1285" s="108"/>
      <c r="W1285" s="108"/>
      <c r="X1285" s="108"/>
      <c r="Y1285" s="11"/>
    </row>
    <row r="1286" spans="1:25" s="26" customFormat="1" hidden="1">
      <c r="A1286" s="33"/>
      <c r="B1286" s="108"/>
      <c r="C1286" s="108"/>
      <c r="D1286" s="31" t="str">
        <f t="shared" ref="D1286:D1294" si="253">D1285</f>
        <v>CARS24</v>
      </c>
      <c r="E1286" s="108"/>
      <c r="F1286" s="111"/>
      <c r="G1286" s="108"/>
      <c r="H1286" s="108"/>
      <c r="I1286" s="108"/>
      <c r="J1286" s="108"/>
      <c r="K1286" s="31" t="str">
        <f t="shared" ref="K1286:K1294" si="254">K1285</f>
        <v>运营中</v>
      </c>
      <c r="L1286" s="108"/>
      <c r="M1286" s="108"/>
      <c r="N1286" s="17"/>
      <c r="O1286" s="36">
        <v>44464</v>
      </c>
      <c r="P1286" s="17" t="s">
        <v>303</v>
      </c>
      <c r="Q1286" s="17" t="s">
        <v>2122</v>
      </c>
      <c r="R1286" s="12" t="s">
        <v>4567</v>
      </c>
      <c r="S1286" s="108"/>
      <c r="T1286" s="108"/>
      <c r="U1286" s="111"/>
      <c r="V1286" s="108"/>
      <c r="W1286" s="108"/>
      <c r="X1286" s="108"/>
    </row>
    <row r="1287" spans="1:25" s="26" customFormat="1" hidden="1">
      <c r="A1287" s="33"/>
      <c r="B1287" s="108"/>
      <c r="C1287" s="108"/>
      <c r="D1287" s="31" t="str">
        <f t="shared" si="253"/>
        <v>CARS24</v>
      </c>
      <c r="E1287" s="108"/>
      <c r="F1287" s="111"/>
      <c r="G1287" s="108"/>
      <c r="H1287" s="108"/>
      <c r="I1287" s="108"/>
      <c r="J1287" s="108"/>
      <c r="K1287" s="31" t="str">
        <f t="shared" si="254"/>
        <v>运营中</v>
      </c>
      <c r="L1287" s="108"/>
      <c r="M1287" s="108"/>
      <c r="N1287" s="17"/>
      <c r="O1287" s="36">
        <v>44161</v>
      </c>
      <c r="P1287" s="17" t="s">
        <v>310</v>
      </c>
      <c r="Q1287" s="17" t="s">
        <v>792</v>
      </c>
      <c r="R1287" s="17" t="s">
        <v>4568</v>
      </c>
      <c r="S1287" s="108"/>
      <c r="T1287" s="108"/>
      <c r="U1287" s="111"/>
      <c r="V1287" s="108"/>
      <c r="W1287" s="108"/>
      <c r="X1287" s="108"/>
    </row>
    <row r="1288" spans="1:25" s="26" customFormat="1" hidden="1">
      <c r="A1288" s="33"/>
      <c r="B1288" s="108"/>
      <c r="C1288" s="108"/>
      <c r="D1288" s="31" t="str">
        <f t="shared" si="253"/>
        <v>CARS24</v>
      </c>
      <c r="E1288" s="108"/>
      <c r="F1288" s="111"/>
      <c r="G1288" s="108"/>
      <c r="H1288" s="108"/>
      <c r="I1288" s="108"/>
      <c r="J1288" s="108"/>
      <c r="K1288" s="31" t="str">
        <f t="shared" si="254"/>
        <v>运营中</v>
      </c>
      <c r="L1288" s="108"/>
      <c r="M1288" s="108"/>
      <c r="N1288" s="17"/>
      <c r="O1288" s="36">
        <v>44023</v>
      </c>
      <c r="P1288" s="12" t="s">
        <v>285</v>
      </c>
      <c r="Q1288" s="17" t="s">
        <v>4569</v>
      </c>
      <c r="R1288" s="17" t="s">
        <v>4570</v>
      </c>
      <c r="S1288" s="108"/>
      <c r="T1288" s="108"/>
      <c r="U1288" s="111"/>
      <c r="V1288" s="108"/>
      <c r="W1288" s="108"/>
      <c r="X1288" s="108"/>
    </row>
    <row r="1289" spans="1:25" s="26" customFormat="1" hidden="1">
      <c r="A1289" s="33"/>
      <c r="B1289" s="108"/>
      <c r="C1289" s="108"/>
      <c r="D1289" s="31" t="str">
        <f t="shared" si="253"/>
        <v>CARS24</v>
      </c>
      <c r="E1289" s="108"/>
      <c r="F1289" s="111"/>
      <c r="G1289" s="108"/>
      <c r="H1289" s="108"/>
      <c r="I1289" s="108"/>
      <c r="J1289" s="108"/>
      <c r="K1289" s="31" t="str">
        <f t="shared" si="254"/>
        <v>运营中</v>
      </c>
      <c r="L1289" s="108"/>
      <c r="M1289" s="108"/>
      <c r="N1289" s="17"/>
      <c r="O1289" s="36">
        <v>43778</v>
      </c>
      <c r="P1289" s="12" t="s">
        <v>285</v>
      </c>
      <c r="Q1289" s="17" t="s">
        <v>4571</v>
      </c>
      <c r="R1289" s="17" t="s">
        <v>4572</v>
      </c>
      <c r="S1289" s="108"/>
      <c r="T1289" s="108"/>
      <c r="U1289" s="111"/>
      <c r="V1289" s="108"/>
      <c r="W1289" s="108"/>
      <c r="X1289" s="108"/>
    </row>
    <row r="1290" spans="1:25" s="26" customFormat="1" hidden="1">
      <c r="A1290" s="33"/>
      <c r="B1290" s="108"/>
      <c r="C1290" s="108"/>
      <c r="D1290" s="31" t="str">
        <f t="shared" si="253"/>
        <v>CARS24</v>
      </c>
      <c r="E1290" s="108"/>
      <c r="F1290" s="111"/>
      <c r="G1290" s="108"/>
      <c r="H1290" s="108"/>
      <c r="I1290" s="108"/>
      <c r="J1290" s="108"/>
      <c r="K1290" s="31" t="str">
        <f t="shared" si="254"/>
        <v>运营中</v>
      </c>
      <c r="L1290" s="108"/>
      <c r="M1290" s="108"/>
      <c r="N1290" s="17"/>
      <c r="O1290" s="36">
        <v>43755</v>
      </c>
      <c r="P1290" s="17" t="s">
        <v>310</v>
      </c>
      <c r="Q1290" s="17" t="s">
        <v>320</v>
      </c>
      <c r="R1290" s="17" t="s">
        <v>4573</v>
      </c>
      <c r="S1290" s="108"/>
      <c r="T1290" s="108"/>
      <c r="U1290" s="111"/>
      <c r="V1290" s="108"/>
      <c r="W1290" s="108"/>
      <c r="X1290" s="108"/>
    </row>
    <row r="1291" spans="1:25" s="26" customFormat="1" hidden="1">
      <c r="A1291" s="33"/>
      <c r="B1291" s="108"/>
      <c r="C1291" s="108"/>
      <c r="D1291" s="31" t="str">
        <f t="shared" si="253"/>
        <v>CARS24</v>
      </c>
      <c r="E1291" s="108"/>
      <c r="F1291" s="111"/>
      <c r="G1291" s="108"/>
      <c r="H1291" s="108"/>
      <c r="I1291" s="108"/>
      <c r="J1291" s="108"/>
      <c r="K1291" s="31" t="str">
        <f t="shared" si="254"/>
        <v>运营中</v>
      </c>
      <c r="L1291" s="108"/>
      <c r="M1291" s="108"/>
      <c r="N1291" s="17"/>
      <c r="O1291" s="36">
        <v>43718</v>
      </c>
      <c r="P1291" s="17" t="s">
        <v>317</v>
      </c>
      <c r="Q1291" s="17" t="s">
        <v>4574</v>
      </c>
      <c r="R1291" s="17" t="s">
        <v>4575</v>
      </c>
      <c r="S1291" s="108"/>
      <c r="T1291" s="108"/>
      <c r="U1291" s="111"/>
      <c r="V1291" s="108"/>
      <c r="W1291" s="108"/>
      <c r="X1291" s="108"/>
    </row>
    <row r="1292" spans="1:25" s="26" customFormat="1" hidden="1">
      <c r="A1292" s="33"/>
      <c r="B1292" s="108"/>
      <c r="C1292" s="108"/>
      <c r="D1292" s="31" t="str">
        <f t="shared" si="253"/>
        <v>CARS24</v>
      </c>
      <c r="E1292" s="108"/>
      <c r="F1292" s="111"/>
      <c r="G1292" s="108"/>
      <c r="H1292" s="108"/>
      <c r="I1292" s="108"/>
      <c r="J1292" s="108"/>
      <c r="K1292" s="31" t="str">
        <f t="shared" si="254"/>
        <v>运营中</v>
      </c>
      <c r="L1292" s="108"/>
      <c r="M1292" s="108"/>
      <c r="N1292" s="17"/>
      <c r="O1292" s="36">
        <v>43300</v>
      </c>
      <c r="P1292" s="17" t="s">
        <v>251</v>
      </c>
      <c r="Q1292" s="17" t="s">
        <v>1032</v>
      </c>
      <c r="R1292" s="17" t="s">
        <v>4576</v>
      </c>
      <c r="S1292" s="108"/>
      <c r="T1292" s="108"/>
      <c r="U1292" s="111"/>
      <c r="V1292" s="108"/>
      <c r="W1292" s="108"/>
      <c r="X1292" s="108"/>
    </row>
    <row r="1293" spans="1:25" s="26" customFormat="1" hidden="1">
      <c r="A1293" s="33"/>
      <c r="B1293" s="108"/>
      <c r="C1293" s="108"/>
      <c r="D1293" s="31" t="str">
        <f t="shared" si="253"/>
        <v>CARS24</v>
      </c>
      <c r="E1293" s="108"/>
      <c r="F1293" s="111"/>
      <c r="G1293" s="108"/>
      <c r="H1293" s="108"/>
      <c r="I1293" s="108"/>
      <c r="J1293" s="108"/>
      <c r="K1293" s="31" t="str">
        <f t="shared" si="254"/>
        <v>运营中</v>
      </c>
      <c r="L1293" s="108"/>
      <c r="M1293" s="108"/>
      <c r="N1293" s="17"/>
      <c r="O1293" s="36">
        <v>42895</v>
      </c>
      <c r="P1293" s="17" t="s">
        <v>257</v>
      </c>
      <c r="Q1293" s="17" t="s">
        <v>1032</v>
      </c>
      <c r="R1293" s="17" t="s">
        <v>4577</v>
      </c>
      <c r="S1293" s="108"/>
      <c r="T1293" s="108"/>
      <c r="U1293" s="111"/>
      <c r="V1293" s="108"/>
      <c r="W1293" s="108"/>
      <c r="X1293" s="108"/>
    </row>
    <row r="1294" spans="1:25" s="26" customFormat="1" hidden="1">
      <c r="A1294" s="33"/>
      <c r="B1294" s="108"/>
      <c r="C1294" s="108"/>
      <c r="D1294" s="31" t="str">
        <f t="shared" si="253"/>
        <v>CARS24</v>
      </c>
      <c r="E1294" s="108"/>
      <c r="F1294" s="111"/>
      <c r="G1294" s="108"/>
      <c r="H1294" s="108"/>
      <c r="I1294" s="108"/>
      <c r="J1294" s="108"/>
      <c r="K1294" s="31" t="str">
        <f t="shared" si="254"/>
        <v>运营中</v>
      </c>
      <c r="L1294" s="108"/>
      <c r="M1294" s="108"/>
      <c r="N1294" s="17"/>
      <c r="O1294" s="36">
        <v>42114</v>
      </c>
      <c r="P1294" s="17" t="s">
        <v>262</v>
      </c>
      <c r="Q1294" s="12" t="s">
        <v>258</v>
      </c>
      <c r="R1294" s="17" t="s">
        <v>253</v>
      </c>
      <c r="S1294" s="108"/>
      <c r="T1294" s="108"/>
      <c r="U1294" s="111"/>
      <c r="V1294" s="108"/>
      <c r="W1294" s="108"/>
      <c r="X1294" s="108"/>
    </row>
    <row r="1295" spans="1:25" s="26" customFormat="1" hidden="1">
      <c r="A1295" s="33"/>
      <c r="B1295" s="108"/>
      <c r="C1295" s="108" t="s">
        <v>4578</v>
      </c>
      <c r="D1295" s="31" t="s">
        <v>4579</v>
      </c>
      <c r="E1295" s="107" t="s">
        <v>4579</v>
      </c>
      <c r="F1295" s="110" t="s">
        <v>4580</v>
      </c>
      <c r="G1295" s="107" t="s">
        <v>4581</v>
      </c>
      <c r="H1295" s="108" t="s">
        <v>4582</v>
      </c>
      <c r="I1295" s="108" t="s">
        <v>1482</v>
      </c>
      <c r="J1295" s="107" t="s">
        <v>385</v>
      </c>
      <c r="K1295" s="31" t="s">
        <v>272</v>
      </c>
      <c r="L1295" s="107" t="s">
        <v>386</v>
      </c>
      <c r="M1295" s="107" t="s">
        <v>1767</v>
      </c>
      <c r="N1295" s="12"/>
      <c r="O1295" s="36">
        <v>43277</v>
      </c>
      <c r="P1295" s="12" t="s">
        <v>285</v>
      </c>
      <c r="Q1295" s="17" t="s">
        <v>4583</v>
      </c>
      <c r="R1295" s="12" t="s">
        <v>4278</v>
      </c>
      <c r="S1295" s="108" t="s">
        <v>4584</v>
      </c>
      <c r="T1295" s="108" t="s">
        <v>4585</v>
      </c>
      <c r="U1295" s="110" t="s">
        <v>4586</v>
      </c>
      <c r="V1295" s="107" t="s">
        <v>4587</v>
      </c>
      <c r="W1295" s="108" t="s">
        <v>4588</v>
      </c>
      <c r="X1295" s="108" t="s">
        <v>4589</v>
      </c>
    </row>
    <row r="1296" spans="1:25" s="26" customFormat="1" hidden="1">
      <c r="A1296" s="33"/>
      <c r="B1296" s="108"/>
      <c r="C1296" s="108"/>
      <c r="D1296" s="31" t="str">
        <f>D1295</f>
        <v>万达影视</v>
      </c>
      <c r="E1296" s="108"/>
      <c r="F1296" s="111"/>
      <c r="G1296" s="108"/>
      <c r="H1296" s="108"/>
      <c r="I1296" s="108"/>
      <c r="J1296" s="108"/>
      <c r="K1296" s="31" t="str">
        <f t="shared" ref="K1296:K1298" si="255">K1295</f>
        <v>运营中</v>
      </c>
      <c r="L1296" s="108"/>
      <c r="M1296" s="108"/>
      <c r="N1296" s="17"/>
      <c r="O1296" s="36">
        <v>43173</v>
      </c>
      <c r="P1296" s="12" t="s">
        <v>285</v>
      </c>
      <c r="Q1296" s="12" t="s">
        <v>252</v>
      </c>
      <c r="R1296" s="12" t="s">
        <v>4293</v>
      </c>
      <c r="S1296" s="108"/>
      <c r="T1296" s="108"/>
      <c r="U1296" s="111"/>
      <c r="V1296" s="108"/>
      <c r="W1296" s="108"/>
      <c r="X1296" s="108"/>
    </row>
    <row r="1297" spans="1:24" s="26" customFormat="1" hidden="1">
      <c r="A1297" s="33"/>
      <c r="B1297" s="108"/>
      <c r="C1297" s="108"/>
      <c r="D1297" s="31" t="str">
        <f>D1296</f>
        <v>万达影视</v>
      </c>
      <c r="E1297" s="108"/>
      <c r="F1297" s="111"/>
      <c r="G1297" s="108"/>
      <c r="H1297" s="108"/>
      <c r="I1297" s="108"/>
      <c r="J1297" s="108"/>
      <c r="K1297" s="31" t="str">
        <f t="shared" si="255"/>
        <v>运营中</v>
      </c>
      <c r="L1297" s="108"/>
      <c r="M1297" s="108"/>
      <c r="N1297" s="17"/>
      <c r="O1297" s="36">
        <v>42444</v>
      </c>
      <c r="P1297" s="12" t="s">
        <v>285</v>
      </c>
      <c r="Q1297" s="17" t="s">
        <v>4294</v>
      </c>
      <c r="R1297" s="12" t="s">
        <v>4295</v>
      </c>
      <c r="S1297" s="108"/>
      <c r="T1297" s="108"/>
      <c r="U1297" s="111"/>
      <c r="V1297" s="108"/>
      <c r="W1297" s="108"/>
      <c r="X1297" s="108"/>
    </row>
    <row r="1298" spans="1:24" s="26" customFormat="1" hidden="1">
      <c r="A1298" s="33"/>
      <c r="B1298" s="108"/>
      <c r="C1298" s="108"/>
      <c r="D1298" s="31" t="str">
        <f>D1297</f>
        <v>万达影视</v>
      </c>
      <c r="E1298" s="108"/>
      <c r="F1298" s="111"/>
      <c r="G1298" s="108"/>
      <c r="H1298" s="108"/>
      <c r="I1298" s="108"/>
      <c r="J1298" s="108"/>
      <c r="K1298" s="31" t="str">
        <f t="shared" si="255"/>
        <v>运营中</v>
      </c>
      <c r="L1298" s="108"/>
      <c r="M1298" s="108"/>
      <c r="N1298" s="17"/>
      <c r="O1298" s="36">
        <v>42435</v>
      </c>
      <c r="P1298" s="12" t="s">
        <v>285</v>
      </c>
      <c r="Q1298" s="17" t="s">
        <v>4296</v>
      </c>
      <c r="R1298" s="12" t="s">
        <v>4297</v>
      </c>
      <c r="S1298" s="108"/>
      <c r="T1298" s="108"/>
      <c r="U1298" s="111"/>
      <c r="V1298" s="108"/>
      <c r="W1298" s="108"/>
      <c r="X1298" s="108"/>
    </row>
    <row r="1299" spans="1:24" s="26" customFormat="1" hidden="1">
      <c r="A1299" s="33"/>
      <c r="B1299" s="108"/>
      <c r="C1299" s="108" t="s">
        <v>4590</v>
      </c>
      <c r="D1299" s="31" t="s">
        <v>4591</v>
      </c>
      <c r="E1299" s="107" t="s">
        <v>4591</v>
      </c>
      <c r="F1299" s="110" t="s">
        <v>4592</v>
      </c>
      <c r="G1299" s="107" t="s">
        <v>4593</v>
      </c>
      <c r="H1299" s="108" t="s">
        <v>4594</v>
      </c>
      <c r="I1299" s="108" t="s">
        <v>2935</v>
      </c>
      <c r="J1299" s="107" t="s">
        <v>1192</v>
      </c>
      <c r="K1299" s="31" t="s">
        <v>272</v>
      </c>
      <c r="L1299" s="107" t="s">
        <v>944</v>
      </c>
      <c r="M1299" s="107" t="s">
        <v>1193</v>
      </c>
      <c r="N1299" s="12">
        <v>1</v>
      </c>
      <c r="O1299" s="36">
        <v>44221</v>
      </c>
      <c r="P1299" s="17" t="s">
        <v>687</v>
      </c>
      <c r="Q1299" s="17" t="s">
        <v>4595</v>
      </c>
      <c r="R1299" s="12" t="s">
        <v>240</v>
      </c>
      <c r="S1299" s="108" t="s">
        <v>4596</v>
      </c>
      <c r="T1299" s="108" t="s">
        <v>4597</v>
      </c>
      <c r="U1299" s="110" t="s">
        <v>4598</v>
      </c>
      <c r="V1299" s="107" t="s">
        <v>4599</v>
      </c>
      <c r="W1299" s="108" t="s">
        <v>4600</v>
      </c>
      <c r="X1299" s="108"/>
    </row>
    <row r="1300" spans="1:24" s="26" customFormat="1" hidden="1">
      <c r="A1300" s="33"/>
      <c r="B1300" s="108"/>
      <c r="C1300" s="108"/>
      <c r="D1300" s="31" t="str">
        <f>D1299</f>
        <v>爱施德</v>
      </c>
      <c r="E1300" s="108"/>
      <c r="F1300" s="111"/>
      <c r="G1300" s="108"/>
      <c r="H1300" s="108"/>
      <c r="I1300" s="108"/>
      <c r="J1300" s="108"/>
      <c r="K1300" s="31" t="str">
        <f t="shared" ref="K1300:K1301" si="256">K1299</f>
        <v>运营中</v>
      </c>
      <c r="L1300" s="108"/>
      <c r="M1300" s="108"/>
      <c r="N1300" s="12">
        <v>1</v>
      </c>
      <c r="O1300" s="36">
        <v>43948</v>
      </c>
      <c r="P1300" s="17" t="s">
        <v>687</v>
      </c>
      <c r="Q1300" s="17" t="s">
        <v>856</v>
      </c>
      <c r="R1300" s="12" t="s">
        <v>240</v>
      </c>
      <c r="S1300" s="108"/>
      <c r="T1300" s="108"/>
      <c r="U1300" s="111"/>
      <c r="V1300" s="108"/>
      <c r="W1300" s="108"/>
      <c r="X1300" s="108"/>
    </row>
    <row r="1301" spans="1:24" s="26" customFormat="1" hidden="1">
      <c r="A1301" s="33"/>
      <c r="B1301" s="108"/>
      <c r="C1301" s="108"/>
      <c r="D1301" s="31" t="str">
        <f>D1300</f>
        <v>爱施德</v>
      </c>
      <c r="E1301" s="108"/>
      <c r="F1301" s="111"/>
      <c r="G1301" s="108"/>
      <c r="H1301" s="108"/>
      <c r="I1301" s="108"/>
      <c r="J1301" s="108"/>
      <c r="K1301" s="31" t="str">
        <f t="shared" si="256"/>
        <v>运营中</v>
      </c>
      <c r="L1301" s="108"/>
      <c r="M1301" s="108"/>
      <c r="N1301" s="12">
        <v>1</v>
      </c>
      <c r="O1301" s="36">
        <v>40326</v>
      </c>
      <c r="P1301" s="17" t="s">
        <v>283</v>
      </c>
      <c r="Q1301" s="17" t="s">
        <v>4601</v>
      </c>
      <c r="R1301" s="17" t="s">
        <v>253</v>
      </c>
      <c r="S1301" s="108"/>
      <c r="T1301" s="108"/>
      <c r="U1301" s="111"/>
      <c r="V1301" s="108"/>
      <c r="W1301" s="108"/>
      <c r="X1301" s="108"/>
    </row>
    <row r="1302" spans="1:24" s="26" customFormat="1" hidden="1">
      <c r="A1302" s="33"/>
      <c r="B1302" s="108"/>
      <c r="C1302" s="108" t="s">
        <v>4602</v>
      </c>
      <c r="D1302" s="31" t="s">
        <v>4603</v>
      </c>
      <c r="E1302" s="108" t="s">
        <v>4603</v>
      </c>
      <c r="F1302" s="111" t="s">
        <v>4604</v>
      </c>
      <c r="G1302" s="108"/>
      <c r="H1302" s="108" t="s">
        <v>4605</v>
      </c>
      <c r="I1302" s="108" t="s">
        <v>1016</v>
      </c>
      <c r="J1302" s="107" t="s">
        <v>4606</v>
      </c>
      <c r="K1302" s="31" t="s">
        <v>272</v>
      </c>
      <c r="L1302" s="107" t="s">
        <v>350</v>
      </c>
      <c r="M1302" s="107" t="s">
        <v>1379</v>
      </c>
      <c r="N1302" s="12">
        <v>1</v>
      </c>
      <c r="O1302" s="36">
        <v>44307</v>
      </c>
      <c r="P1302" s="12" t="s">
        <v>285</v>
      </c>
      <c r="Q1302" s="17" t="s">
        <v>984</v>
      </c>
      <c r="R1302" s="12" t="s">
        <v>240</v>
      </c>
      <c r="S1302" s="108" t="s">
        <v>4607</v>
      </c>
      <c r="T1302" s="108" t="s">
        <v>4608</v>
      </c>
      <c r="U1302" s="111" t="s">
        <v>4609</v>
      </c>
      <c r="V1302" s="108"/>
      <c r="W1302" s="108"/>
      <c r="X1302" s="108"/>
    </row>
    <row r="1303" spans="1:24" s="26" customFormat="1" hidden="1">
      <c r="A1303" s="33"/>
      <c r="B1303" s="108"/>
      <c r="C1303" s="108"/>
      <c r="D1303" s="31" t="str">
        <f>D1302</f>
        <v>Trendyol Group</v>
      </c>
      <c r="E1303" s="108"/>
      <c r="F1303" s="111"/>
      <c r="G1303" s="108"/>
      <c r="H1303" s="108"/>
      <c r="I1303" s="108"/>
      <c r="J1303" s="108"/>
      <c r="K1303" s="31" t="str">
        <f t="shared" ref="K1303:K1307" si="257">K1302</f>
        <v>运营中</v>
      </c>
      <c r="L1303" s="108"/>
      <c r="M1303" s="108"/>
      <c r="N1303" s="12">
        <v>1</v>
      </c>
      <c r="O1303" s="36">
        <v>43327</v>
      </c>
      <c r="P1303" s="12" t="s">
        <v>471</v>
      </c>
      <c r="Q1303" s="17" t="s">
        <v>2798</v>
      </c>
      <c r="R1303" s="12" t="s">
        <v>240</v>
      </c>
      <c r="S1303" s="108"/>
      <c r="T1303" s="108"/>
      <c r="U1303" s="111"/>
      <c r="V1303" s="108"/>
      <c r="W1303" s="108"/>
      <c r="X1303" s="108"/>
    </row>
    <row r="1304" spans="1:24" s="26" customFormat="1" hidden="1">
      <c r="A1304" s="33"/>
      <c r="B1304" s="108"/>
      <c r="C1304" s="108"/>
      <c r="D1304" s="31" t="str">
        <f>D1303</f>
        <v>Trendyol Group</v>
      </c>
      <c r="E1304" s="108"/>
      <c r="F1304" s="111"/>
      <c r="G1304" s="108"/>
      <c r="H1304" s="108"/>
      <c r="I1304" s="108"/>
      <c r="J1304" s="108"/>
      <c r="K1304" s="31" t="str">
        <f t="shared" si="257"/>
        <v>运营中</v>
      </c>
      <c r="L1304" s="108"/>
      <c r="M1304" s="108"/>
      <c r="N1304" s="12">
        <v>1</v>
      </c>
      <c r="O1304" s="36">
        <v>43280</v>
      </c>
      <c r="P1304" s="17" t="s">
        <v>317</v>
      </c>
      <c r="Q1304" s="12" t="s">
        <v>276</v>
      </c>
      <c r="R1304" s="12" t="s">
        <v>240</v>
      </c>
      <c r="S1304" s="108"/>
      <c r="T1304" s="108"/>
      <c r="U1304" s="111"/>
      <c r="V1304" s="108"/>
      <c r="W1304" s="108"/>
      <c r="X1304" s="108"/>
    </row>
    <row r="1305" spans="1:24" s="26" customFormat="1" hidden="1">
      <c r="A1305" s="33"/>
      <c r="B1305" s="108"/>
      <c r="C1305" s="108"/>
      <c r="D1305" s="31" t="str">
        <f>D1304</f>
        <v>Trendyol Group</v>
      </c>
      <c r="E1305" s="108"/>
      <c r="F1305" s="111"/>
      <c r="G1305" s="108"/>
      <c r="H1305" s="108"/>
      <c r="I1305" s="108"/>
      <c r="J1305" s="108"/>
      <c r="K1305" s="31" t="str">
        <f t="shared" si="257"/>
        <v>运营中</v>
      </c>
      <c r="L1305" s="108"/>
      <c r="M1305" s="108"/>
      <c r="N1305" s="12">
        <v>1</v>
      </c>
      <c r="O1305" s="36">
        <v>40746</v>
      </c>
      <c r="P1305" s="17" t="s">
        <v>251</v>
      </c>
      <c r="Q1305" s="17" t="s">
        <v>987</v>
      </c>
      <c r="R1305" s="17" t="s">
        <v>4610</v>
      </c>
      <c r="S1305" s="108"/>
      <c r="T1305" s="108"/>
      <c r="U1305" s="111"/>
      <c r="V1305" s="108"/>
      <c r="W1305" s="108"/>
      <c r="X1305" s="108"/>
    </row>
    <row r="1306" spans="1:24" s="26" customFormat="1" hidden="1">
      <c r="A1306" s="33"/>
      <c r="B1306" s="108"/>
      <c r="C1306" s="108"/>
      <c r="D1306" s="31" t="str">
        <f>D1305</f>
        <v>Trendyol Group</v>
      </c>
      <c r="E1306" s="108"/>
      <c r="F1306" s="111"/>
      <c r="G1306" s="108"/>
      <c r="H1306" s="108"/>
      <c r="I1306" s="108"/>
      <c r="J1306" s="108"/>
      <c r="K1306" s="31" t="str">
        <f t="shared" si="257"/>
        <v>运营中</v>
      </c>
      <c r="L1306" s="108"/>
      <c r="M1306" s="108"/>
      <c r="N1306" s="12">
        <v>1</v>
      </c>
      <c r="O1306" s="36">
        <v>40507</v>
      </c>
      <c r="P1306" s="17" t="s">
        <v>257</v>
      </c>
      <c r="Q1306" s="17" t="s">
        <v>4611</v>
      </c>
      <c r="R1306" s="17" t="s">
        <v>4612</v>
      </c>
      <c r="S1306" s="108"/>
      <c r="T1306" s="108"/>
      <c r="U1306" s="111"/>
      <c r="V1306" s="108"/>
      <c r="W1306" s="108"/>
      <c r="X1306" s="108"/>
    </row>
    <row r="1307" spans="1:24" s="26" customFormat="1" hidden="1">
      <c r="A1307" s="33"/>
      <c r="B1307" s="108"/>
      <c r="C1307" s="108"/>
      <c r="D1307" s="31" t="str">
        <f>D1306</f>
        <v>Trendyol Group</v>
      </c>
      <c r="E1307" s="108"/>
      <c r="F1307" s="111"/>
      <c r="G1307" s="108"/>
      <c r="H1307" s="108"/>
      <c r="I1307" s="108"/>
      <c r="J1307" s="108"/>
      <c r="K1307" s="31" t="str">
        <f t="shared" si="257"/>
        <v>运营中</v>
      </c>
      <c r="L1307" s="108"/>
      <c r="M1307" s="108"/>
      <c r="N1307" s="12">
        <v>1</v>
      </c>
      <c r="O1307" s="36">
        <v>40382</v>
      </c>
      <c r="P1307" s="17" t="s">
        <v>262</v>
      </c>
      <c r="Q1307" s="17" t="s">
        <v>4613</v>
      </c>
      <c r="R1307" s="17" t="s">
        <v>253</v>
      </c>
      <c r="S1307" s="108"/>
      <c r="T1307" s="108"/>
      <c r="U1307" s="111"/>
      <c r="V1307" s="108"/>
      <c r="W1307" s="108"/>
      <c r="X1307" s="108"/>
    </row>
    <row r="1308" spans="1:24" s="26" customFormat="1" hidden="1">
      <c r="A1308" s="33"/>
      <c r="B1308" s="108"/>
      <c r="C1308" s="108" t="s">
        <v>4614</v>
      </c>
      <c r="D1308" s="31" t="s">
        <v>4615</v>
      </c>
      <c r="E1308" s="107" t="s">
        <v>4616</v>
      </c>
      <c r="F1308" s="110" t="s">
        <v>4617</v>
      </c>
      <c r="G1308" s="107" t="s">
        <v>4618</v>
      </c>
      <c r="H1308" s="108"/>
      <c r="I1308" s="108" t="s">
        <v>4424</v>
      </c>
      <c r="J1308" s="107" t="s">
        <v>349</v>
      </c>
      <c r="K1308" s="31" t="s">
        <v>272</v>
      </c>
      <c r="L1308" s="107" t="s">
        <v>386</v>
      </c>
      <c r="M1308" s="107" t="s">
        <v>387</v>
      </c>
      <c r="N1308" s="12"/>
      <c r="O1308" s="36">
        <v>43539</v>
      </c>
      <c r="P1308" s="17" t="s">
        <v>260</v>
      </c>
      <c r="Q1308" s="12" t="s">
        <v>252</v>
      </c>
      <c r="R1308" s="12" t="s">
        <v>4619</v>
      </c>
      <c r="S1308" s="108" t="s">
        <v>4620</v>
      </c>
      <c r="T1308" s="107" t="s">
        <v>255</v>
      </c>
      <c r="U1308" s="110" t="s">
        <v>4621</v>
      </c>
      <c r="V1308" s="107" t="s">
        <v>4622</v>
      </c>
      <c r="W1308" s="108"/>
      <c r="X1308" s="108"/>
    </row>
    <row r="1309" spans="1:24" s="26" customFormat="1" hidden="1">
      <c r="A1309" s="33"/>
      <c r="B1309" s="108"/>
      <c r="C1309" s="108"/>
      <c r="D1309" s="31" t="str">
        <f>D1308</f>
        <v>华人文化集团CMC</v>
      </c>
      <c r="E1309" s="108"/>
      <c r="F1309" s="111"/>
      <c r="G1309" s="108"/>
      <c r="H1309" s="108"/>
      <c r="I1309" s="108"/>
      <c r="J1309" s="108"/>
      <c r="K1309" s="31" t="str">
        <f>K1308</f>
        <v>运营中</v>
      </c>
      <c r="L1309" s="108"/>
      <c r="M1309" s="108"/>
      <c r="N1309" s="17"/>
      <c r="O1309" s="36">
        <v>43284</v>
      </c>
      <c r="P1309" s="17" t="s">
        <v>262</v>
      </c>
      <c r="Q1309" s="17" t="s">
        <v>3110</v>
      </c>
      <c r="R1309" s="12" t="s">
        <v>4623</v>
      </c>
      <c r="S1309" s="108"/>
      <c r="T1309" s="108"/>
      <c r="U1309" s="111"/>
      <c r="V1309" s="108"/>
      <c r="W1309" s="108"/>
      <c r="X1309" s="108"/>
    </row>
    <row r="1310" spans="1:24" s="26" customFormat="1" hidden="1">
      <c r="A1310" s="33"/>
      <c r="B1310" s="108"/>
      <c r="C1310" s="108" t="s">
        <v>4624</v>
      </c>
      <c r="D1310" s="31" t="s">
        <v>4625</v>
      </c>
      <c r="E1310" s="108" t="s">
        <v>4625</v>
      </c>
      <c r="F1310" s="111" t="s">
        <v>4626</v>
      </c>
      <c r="G1310" s="108"/>
      <c r="H1310" s="108" t="s">
        <v>4627</v>
      </c>
      <c r="I1310" s="108" t="s">
        <v>2887</v>
      </c>
      <c r="J1310" s="107" t="s">
        <v>1650</v>
      </c>
      <c r="K1310" s="31" t="s">
        <v>272</v>
      </c>
      <c r="L1310" s="107" t="s">
        <v>1859</v>
      </c>
      <c r="M1310" s="107" t="s">
        <v>4628</v>
      </c>
      <c r="N1310" s="12"/>
      <c r="O1310" s="36">
        <v>44655</v>
      </c>
      <c r="P1310" s="17" t="s">
        <v>317</v>
      </c>
      <c r="Q1310" s="17" t="s">
        <v>4629</v>
      </c>
      <c r="R1310" s="17" t="s">
        <v>4630</v>
      </c>
      <c r="S1310" s="108" t="s">
        <v>4631</v>
      </c>
      <c r="T1310" s="108" t="s">
        <v>4632</v>
      </c>
      <c r="U1310" s="111" t="s">
        <v>4633</v>
      </c>
      <c r="V1310" s="108"/>
      <c r="W1310" s="108"/>
      <c r="X1310" s="108"/>
    </row>
    <row r="1311" spans="1:24" s="26" customFormat="1" hidden="1">
      <c r="A1311" s="33"/>
      <c r="B1311" s="108"/>
      <c r="C1311" s="108"/>
      <c r="D1311" s="31" t="str">
        <f>D1310</f>
        <v>Moneybox</v>
      </c>
      <c r="E1311" s="108"/>
      <c r="F1311" s="111"/>
      <c r="G1311" s="108"/>
      <c r="H1311" s="108"/>
      <c r="I1311" s="108"/>
      <c r="J1311" s="108"/>
      <c r="K1311" s="31" t="str">
        <f t="shared" ref="K1311:K1314" si="258">K1310</f>
        <v>运营中</v>
      </c>
      <c r="L1311" s="108"/>
      <c r="M1311" s="108"/>
      <c r="N1311" s="17"/>
      <c r="O1311" s="36">
        <v>44029</v>
      </c>
      <c r="P1311" s="17" t="s">
        <v>251</v>
      </c>
      <c r="Q1311" s="17" t="s">
        <v>4634</v>
      </c>
      <c r="R1311" s="17" t="s">
        <v>4635</v>
      </c>
      <c r="S1311" s="108"/>
      <c r="T1311" s="108"/>
      <c r="U1311" s="111"/>
      <c r="V1311" s="108"/>
      <c r="W1311" s="108"/>
      <c r="X1311" s="108"/>
    </row>
    <row r="1312" spans="1:24" s="26" customFormat="1" hidden="1">
      <c r="A1312" s="33"/>
      <c r="B1312" s="108"/>
      <c r="C1312" s="108"/>
      <c r="D1312" s="31" t="str">
        <f>D1311</f>
        <v>Moneybox</v>
      </c>
      <c r="E1312" s="108"/>
      <c r="F1312" s="111"/>
      <c r="G1312" s="108"/>
      <c r="H1312" s="108"/>
      <c r="I1312" s="108"/>
      <c r="J1312" s="108"/>
      <c r="K1312" s="31" t="str">
        <f t="shared" si="258"/>
        <v>运营中</v>
      </c>
      <c r="L1312" s="108"/>
      <c r="M1312" s="108"/>
      <c r="N1312" s="17"/>
      <c r="O1312" s="36">
        <v>43290</v>
      </c>
      <c r="P1312" s="17" t="s">
        <v>257</v>
      </c>
      <c r="Q1312" s="17" t="s">
        <v>4636</v>
      </c>
      <c r="R1312" s="12" t="s">
        <v>4637</v>
      </c>
      <c r="S1312" s="108"/>
      <c r="T1312" s="108"/>
      <c r="U1312" s="111"/>
      <c r="V1312" s="108"/>
      <c r="W1312" s="108"/>
      <c r="X1312" s="108"/>
    </row>
    <row r="1313" spans="1:25" s="26" customFormat="1" hidden="1">
      <c r="A1313" s="33"/>
      <c r="B1313" s="108"/>
      <c r="C1313" s="108"/>
      <c r="D1313" s="31" t="str">
        <f>D1312</f>
        <v>Moneybox</v>
      </c>
      <c r="E1313" s="108"/>
      <c r="F1313" s="111"/>
      <c r="G1313" s="108"/>
      <c r="H1313" s="108"/>
      <c r="I1313" s="108"/>
      <c r="J1313" s="108"/>
      <c r="K1313" s="31" t="str">
        <f t="shared" si="258"/>
        <v>运营中</v>
      </c>
      <c r="L1313" s="108"/>
      <c r="M1313" s="108"/>
      <c r="N1313" s="17"/>
      <c r="O1313" s="36">
        <v>42562</v>
      </c>
      <c r="P1313" s="17" t="s">
        <v>262</v>
      </c>
      <c r="Q1313" s="17" t="s">
        <v>4638</v>
      </c>
      <c r="R1313" s="17" t="s">
        <v>4639</v>
      </c>
      <c r="S1313" s="108"/>
      <c r="T1313" s="108"/>
      <c r="U1313" s="111"/>
      <c r="V1313" s="108"/>
      <c r="W1313" s="108"/>
      <c r="X1313" s="108"/>
    </row>
    <row r="1314" spans="1:25" s="26" customFormat="1" hidden="1">
      <c r="A1314" s="33"/>
      <c r="B1314" s="108"/>
      <c r="C1314" s="108"/>
      <c r="D1314" s="31" t="str">
        <f>D1313</f>
        <v>Moneybox</v>
      </c>
      <c r="E1314" s="108"/>
      <c r="F1314" s="111"/>
      <c r="G1314" s="108"/>
      <c r="H1314" s="108"/>
      <c r="I1314" s="108"/>
      <c r="J1314" s="108"/>
      <c r="K1314" s="31" t="str">
        <f t="shared" si="258"/>
        <v>运营中</v>
      </c>
      <c r="L1314" s="108"/>
      <c r="M1314" s="108"/>
      <c r="N1314" s="17"/>
      <c r="O1314" s="36">
        <v>42382</v>
      </c>
      <c r="P1314" s="12" t="s">
        <v>326</v>
      </c>
      <c r="Q1314" s="17" t="s">
        <v>324</v>
      </c>
      <c r="R1314" s="17" t="s">
        <v>4640</v>
      </c>
      <c r="S1314" s="108"/>
      <c r="T1314" s="108"/>
      <c r="U1314" s="111"/>
      <c r="V1314" s="108"/>
      <c r="W1314" s="108"/>
      <c r="X1314" s="108"/>
    </row>
    <row r="1315" spans="1:25" s="26" customFormat="1" ht="57.5" hidden="1">
      <c r="A1315" s="33"/>
      <c r="B1315" s="108"/>
      <c r="C1315" s="17" t="s">
        <v>4641</v>
      </c>
      <c r="D1315" s="38" t="s">
        <v>4642</v>
      </c>
      <c r="E1315" s="17" t="s">
        <v>4642</v>
      </c>
      <c r="F1315" s="34" t="s">
        <v>4643</v>
      </c>
      <c r="G1315" s="17"/>
      <c r="H1315" s="17" t="s">
        <v>4644</v>
      </c>
      <c r="I1315" s="17" t="s">
        <v>3464</v>
      </c>
      <c r="J1315" s="12" t="s">
        <v>4645</v>
      </c>
      <c r="K1315" s="38" t="s">
        <v>272</v>
      </c>
      <c r="L1315" s="12" t="s">
        <v>944</v>
      </c>
      <c r="M1315" s="12" t="s">
        <v>2071</v>
      </c>
      <c r="N1315" s="12"/>
      <c r="O1315" s="36">
        <v>43291</v>
      </c>
      <c r="P1315" s="12" t="s">
        <v>326</v>
      </c>
      <c r="Q1315" s="12" t="s">
        <v>276</v>
      </c>
      <c r="R1315" s="12" t="s">
        <v>240</v>
      </c>
      <c r="S1315" s="17" t="s">
        <v>4485</v>
      </c>
      <c r="T1315" s="12" t="s">
        <v>255</v>
      </c>
      <c r="U1315" s="34" t="s">
        <v>4646</v>
      </c>
      <c r="V1315" s="17"/>
      <c r="W1315" s="17"/>
      <c r="X1315" s="17"/>
    </row>
    <row r="1316" spans="1:25" s="26" customFormat="1" ht="53.5" customHeight="1">
      <c r="A1316" s="11"/>
      <c r="B1316" s="108"/>
      <c r="C1316" s="108" t="s">
        <v>4647</v>
      </c>
      <c r="D1316" s="31" t="s">
        <v>4648</v>
      </c>
      <c r="E1316" s="109" t="s">
        <v>4649</v>
      </c>
      <c r="F1316" s="112" t="s">
        <v>4650</v>
      </c>
      <c r="G1316" s="107" t="s">
        <v>4651</v>
      </c>
      <c r="H1316" s="108"/>
      <c r="I1316" s="109" t="s">
        <v>4333</v>
      </c>
      <c r="J1316" s="109" t="s">
        <v>406</v>
      </c>
      <c r="K1316" s="20" t="s">
        <v>1042</v>
      </c>
      <c r="L1316" s="109" t="s">
        <v>3274</v>
      </c>
      <c r="M1316" s="109" t="s">
        <v>4652</v>
      </c>
      <c r="N1316" s="13"/>
      <c r="O1316" s="24">
        <v>44792</v>
      </c>
      <c r="P1316" s="13" t="s">
        <v>1045</v>
      </c>
      <c r="Q1316" s="13" t="s">
        <v>2030</v>
      </c>
      <c r="R1316" s="13" t="s">
        <v>1751</v>
      </c>
      <c r="S1316" s="109" t="s">
        <v>4653</v>
      </c>
      <c r="T1316" s="109" t="s">
        <v>3664</v>
      </c>
      <c r="U1316" s="112" t="s">
        <v>4654</v>
      </c>
      <c r="V1316" s="107" t="s">
        <v>4655</v>
      </c>
      <c r="W1316" s="108"/>
      <c r="X1316" s="108"/>
      <c r="Y1316" s="11"/>
    </row>
    <row r="1317" spans="1:25" s="26" customFormat="1" hidden="1">
      <c r="A1317" s="33"/>
      <c r="B1317" s="108"/>
      <c r="C1317" s="108"/>
      <c r="D1317" s="31" t="str">
        <f>D1316</f>
        <v>驿栈网络</v>
      </c>
      <c r="E1317" s="108"/>
      <c r="F1317" s="111"/>
      <c r="G1317" s="108"/>
      <c r="H1317" s="108"/>
      <c r="I1317" s="108"/>
      <c r="J1317" s="108"/>
      <c r="K1317" s="31" t="str">
        <f>K1316</f>
        <v>运营中</v>
      </c>
      <c r="L1317" s="108"/>
      <c r="M1317" s="108"/>
      <c r="N1317" s="17"/>
      <c r="O1317" s="36">
        <v>43249</v>
      </c>
      <c r="P1317" s="12" t="s">
        <v>285</v>
      </c>
      <c r="Q1317" s="17" t="s">
        <v>4656</v>
      </c>
      <c r="R1317" s="12" t="s">
        <v>4657</v>
      </c>
      <c r="S1317" s="108"/>
      <c r="T1317" s="108"/>
      <c r="U1317" s="111"/>
      <c r="V1317" s="108"/>
      <c r="W1317" s="108"/>
      <c r="X1317" s="108"/>
    </row>
    <row r="1318" spans="1:25" s="26" customFormat="1" ht="48" hidden="1">
      <c r="A1318" s="33"/>
      <c r="B1318" s="108"/>
      <c r="C1318" s="17" t="s">
        <v>4658</v>
      </c>
      <c r="D1318" s="38" t="s">
        <v>4659</v>
      </c>
      <c r="E1318" s="17" t="s">
        <v>4659</v>
      </c>
      <c r="F1318" s="34" t="s">
        <v>4660</v>
      </c>
      <c r="G1318" s="17"/>
      <c r="H1318" s="17"/>
      <c r="I1318" s="17" t="s">
        <v>2809</v>
      </c>
      <c r="J1318" s="12" t="s">
        <v>1502</v>
      </c>
      <c r="K1318" s="38" t="s">
        <v>272</v>
      </c>
      <c r="L1318" s="12" t="s">
        <v>407</v>
      </c>
      <c r="M1318" s="12" t="s">
        <v>4661</v>
      </c>
      <c r="N1318" s="12"/>
      <c r="O1318" s="36">
        <v>43306</v>
      </c>
      <c r="P1318" s="17" t="s">
        <v>721</v>
      </c>
      <c r="Q1318" s="12" t="s">
        <v>261</v>
      </c>
      <c r="R1318" s="12" t="s">
        <v>4662</v>
      </c>
      <c r="S1318" s="17" t="s">
        <v>3291</v>
      </c>
      <c r="T1318" s="17" t="s">
        <v>3292</v>
      </c>
      <c r="U1318" s="34"/>
      <c r="V1318" s="17"/>
      <c r="W1318" s="17"/>
      <c r="X1318" s="17"/>
    </row>
    <row r="1319" spans="1:25" s="26" customFormat="1" hidden="1">
      <c r="A1319" s="33"/>
      <c r="B1319" s="108"/>
      <c r="C1319" s="108" t="s">
        <v>4663</v>
      </c>
      <c r="D1319" s="31" t="s">
        <v>4664</v>
      </c>
      <c r="E1319" s="108" t="s">
        <v>4665</v>
      </c>
      <c r="F1319" s="111" t="s">
        <v>4666</v>
      </c>
      <c r="G1319" s="107" t="s">
        <v>4667</v>
      </c>
      <c r="H1319" s="108" t="s">
        <v>4668</v>
      </c>
      <c r="I1319" s="108" t="s">
        <v>576</v>
      </c>
      <c r="J1319" s="107" t="s">
        <v>271</v>
      </c>
      <c r="K1319" s="31" t="s">
        <v>272</v>
      </c>
      <c r="L1319" s="107" t="s">
        <v>273</v>
      </c>
      <c r="M1319" s="107" t="s">
        <v>274</v>
      </c>
      <c r="N1319" s="12"/>
      <c r="O1319" s="36">
        <v>43585</v>
      </c>
      <c r="P1319" s="17" t="s">
        <v>251</v>
      </c>
      <c r="Q1319" s="12" t="s">
        <v>252</v>
      </c>
      <c r="R1319" s="12" t="s">
        <v>4669</v>
      </c>
      <c r="S1319" s="108" t="s">
        <v>4670</v>
      </c>
      <c r="T1319" s="107" t="s">
        <v>255</v>
      </c>
      <c r="U1319" s="110" t="s">
        <v>4671</v>
      </c>
      <c r="V1319" s="107" t="s">
        <v>4672</v>
      </c>
      <c r="W1319" s="108" t="s">
        <v>4673</v>
      </c>
      <c r="X1319" s="108" t="s">
        <v>4674</v>
      </c>
    </row>
    <row r="1320" spans="1:25" s="26" customFormat="1" hidden="1">
      <c r="A1320" s="33"/>
      <c r="B1320" s="108"/>
      <c r="C1320" s="108"/>
      <c r="D1320" s="31" t="str">
        <f>D1319</f>
        <v>Bus365中国公路客票网</v>
      </c>
      <c r="E1320" s="108"/>
      <c r="F1320" s="111"/>
      <c r="G1320" s="108"/>
      <c r="H1320" s="108"/>
      <c r="I1320" s="108"/>
      <c r="J1320" s="108"/>
      <c r="K1320" s="31" t="str">
        <f t="shared" ref="K1320:K1322" si="259">K1319</f>
        <v>运营中</v>
      </c>
      <c r="L1320" s="108"/>
      <c r="M1320" s="108"/>
      <c r="N1320" s="17"/>
      <c r="O1320" s="36">
        <v>43325</v>
      </c>
      <c r="P1320" s="17" t="s">
        <v>257</v>
      </c>
      <c r="Q1320" s="12" t="s">
        <v>409</v>
      </c>
      <c r="R1320" s="12" t="s">
        <v>4675</v>
      </c>
      <c r="S1320" s="108"/>
      <c r="T1320" s="108"/>
      <c r="U1320" s="111"/>
      <c r="V1320" s="108"/>
      <c r="W1320" s="108"/>
      <c r="X1320" s="108"/>
    </row>
    <row r="1321" spans="1:25" s="26" customFormat="1" hidden="1">
      <c r="A1321" s="33"/>
      <c r="B1321" s="108"/>
      <c r="C1321" s="108"/>
      <c r="D1321" s="31" t="str">
        <f>D1320</f>
        <v>Bus365中国公路客票网</v>
      </c>
      <c r="E1321" s="108"/>
      <c r="F1321" s="111"/>
      <c r="G1321" s="108"/>
      <c r="H1321" s="108"/>
      <c r="I1321" s="108"/>
      <c r="J1321" s="108"/>
      <c r="K1321" s="31" t="str">
        <f t="shared" si="259"/>
        <v>运营中</v>
      </c>
      <c r="L1321" s="108"/>
      <c r="M1321" s="108"/>
      <c r="N1321" s="17"/>
      <c r="O1321" s="36">
        <v>42633</v>
      </c>
      <c r="P1321" s="17" t="s">
        <v>262</v>
      </c>
      <c r="Q1321" s="12" t="s">
        <v>341</v>
      </c>
      <c r="R1321" s="12" t="s">
        <v>4676</v>
      </c>
      <c r="S1321" s="108"/>
      <c r="T1321" s="108"/>
      <c r="U1321" s="111"/>
      <c r="V1321" s="108"/>
      <c r="W1321" s="108"/>
      <c r="X1321" s="108"/>
    </row>
    <row r="1322" spans="1:25" s="26" customFormat="1" hidden="1">
      <c r="A1322" s="33"/>
      <c r="B1322" s="108"/>
      <c r="C1322" s="108"/>
      <c r="D1322" s="31" t="str">
        <f>D1321</f>
        <v>Bus365中国公路客票网</v>
      </c>
      <c r="E1322" s="108"/>
      <c r="F1322" s="111"/>
      <c r="G1322" s="108"/>
      <c r="H1322" s="108"/>
      <c r="I1322" s="108"/>
      <c r="J1322" s="108"/>
      <c r="K1322" s="31" t="str">
        <f t="shared" si="259"/>
        <v>运营中</v>
      </c>
      <c r="L1322" s="108"/>
      <c r="M1322" s="108"/>
      <c r="N1322" s="17"/>
      <c r="O1322" s="36">
        <v>41253</v>
      </c>
      <c r="P1322" s="12" t="s">
        <v>326</v>
      </c>
      <c r="Q1322" s="12" t="s">
        <v>252</v>
      </c>
      <c r="R1322" s="12" t="s">
        <v>4677</v>
      </c>
      <c r="S1322" s="108"/>
      <c r="T1322" s="108"/>
      <c r="U1322" s="111"/>
      <c r="V1322" s="108"/>
      <c r="W1322" s="108"/>
      <c r="X1322" s="108"/>
    </row>
    <row r="1323" spans="1:25" s="26" customFormat="1" hidden="1">
      <c r="A1323" s="33"/>
      <c r="B1323" s="108"/>
      <c r="C1323" s="108" t="s">
        <v>4678</v>
      </c>
      <c r="D1323" s="31" t="s">
        <v>4679</v>
      </c>
      <c r="E1323" s="107" t="s">
        <v>4679</v>
      </c>
      <c r="F1323" s="110" t="s">
        <v>4680</v>
      </c>
      <c r="G1323" s="107" t="s">
        <v>4681</v>
      </c>
      <c r="H1323" s="108" t="s">
        <v>4682</v>
      </c>
      <c r="I1323" s="108" t="s">
        <v>4683</v>
      </c>
      <c r="J1323" s="107" t="s">
        <v>385</v>
      </c>
      <c r="K1323" s="35" t="s">
        <v>248</v>
      </c>
      <c r="L1323" s="107" t="s">
        <v>350</v>
      </c>
      <c r="M1323" s="107" t="s">
        <v>2107</v>
      </c>
      <c r="N1323" s="12">
        <v>1</v>
      </c>
      <c r="O1323" s="36">
        <v>44286</v>
      </c>
      <c r="P1323" s="17" t="s">
        <v>317</v>
      </c>
      <c r="Q1323" s="17" t="s">
        <v>2798</v>
      </c>
      <c r="R1323" s="17" t="s">
        <v>4684</v>
      </c>
      <c r="S1323" s="108" t="s">
        <v>4685</v>
      </c>
      <c r="T1323" s="108" t="s">
        <v>2482</v>
      </c>
      <c r="U1323" s="110" t="s">
        <v>4686</v>
      </c>
      <c r="V1323" s="107" t="s">
        <v>4687</v>
      </c>
      <c r="W1323" s="108" t="s">
        <v>4688</v>
      </c>
      <c r="X1323" s="108" t="s">
        <v>4689</v>
      </c>
    </row>
    <row r="1324" spans="1:25" s="26" customFormat="1" hidden="1">
      <c r="A1324" s="33"/>
      <c r="B1324" s="108"/>
      <c r="C1324" s="108"/>
      <c r="D1324" s="31" t="str">
        <f t="shared" ref="D1324:D1330" si="260">D1323</f>
        <v>十荟团</v>
      </c>
      <c r="E1324" s="108"/>
      <c r="F1324" s="111"/>
      <c r="G1324" s="108"/>
      <c r="H1324" s="108"/>
      <c r="I1324" s="108"/>
      <c r="J1324" s="108"/>
      <c r="K1324" s="37" t="str">
        <f t="shared" ref="K1324:K1330" si="261">K1323</f>
        <v>已关闭</v>
      </c>
      <c r="L1324" s="108"/>
      <c r="M1324" s="108"/>
      <c r="N1324" s="12">
        <v>1</v>
      </c>
      <c r="O1324" s="36">
        <v>44165</v>
      </c>
      <c r="P1324" s="17" t="s">
        <v>523</v>
      </c>
      <c r="Q1324" s="17" t="s">
        <v>4690</v>
      </c>
      <c r="R1324" s="12" t="s">
        <v>4691</v>
      </c>
      <c r="S1324" s="108"/>
      <c r="T1324" s="108"/>
      <c r="U1324" s="111"/>
      <c r="V1324" s="108"/>
      <c r="W1324" s="108"/>
      <c r="X1324" s="108"/>
    </row>
    <row r="1325" spans="1:25" s="26" customFormat="1" hidden="1">
      <c r="A1325" s="33"/>
      <c r="B1325" s="108"/>
      <c r="C1325" s="108"/>
      <c r="D1325" s="31" t="str">
        <f t="shared" si="260"/>
        <v>十荟团</v>
      </c>
      <c r="E1325" s="108"/>
      <c r="F1325" s="111"/>
      <c r="G1325" s="108"/>
      <c r="H1325" s="108"/>
      <c r="I1325" s="108"/>
      <c r="J1325" s="108"/>
      <c r="K1325" s="37" t="str">
        <f t="shared" si="261"/>
        <v>已关闭</v>
      </c>
      <c r="L1325" s="108"/>
      <c r="M1325" s="108"/>
      <c r="N1325" s="12">
        <v>1</v>
      </c>
      <c r="O1325" s="36">
        <v>44041</v>
      </c>
      <c r="P1325" s="17" t="s">
        <v>523</v>
      </c>
      <c r="Q1325" s="17" t="s">
        <v>897</v>
      </c>
      <c r="R1325" s="17" t="s">
        <v>4692</v>
      </c>
      <c r="S1325" s="108"/>
      <c r="T1325" s="108"/>
      <c r="U1325" s="111"/>
      <c r="V1325" s="108"/>
      <c r="W1325" s="108"/>
      <c r="X1325" s="108"/>
    </row>
    <row r="1326" spans="1:25" s="26" customFormat="1" hidden="1">
      <c r="A1326" s="33"/>
      <c r="B1326" s="108"/>
      <c r="C1326" s="108"/>
      <c r="D1326" s="31" t="str">
        <f t="shared" si="260"/>
        <v>十荟团</v>
      </c>
      <c r="E1326" s="108"/>
      <c r="F1326" s="111"/>
      <c r="G1326" s="108"/>
      <c r="H1326" s="108"/>
      <c r="I1326" s="108"/>
      <c r="J1326" s="108"/>
      <c r="K1326" s="37" t="str">
        <f t="shared" si="261"/>
        <v>已关闭</v>
      </c>
      <c r="L1326" s="108"/>
      <c r="M1326" s="108"/>
      <c r="N1326" s="12">
        <v>1</v>
      </c>
      <c r="O1326" s="36">
        <v>43981</v>
      </c>
      <c r="P1326" s="17" t="s">
        <v>251</v>
      </c>
      <c r="Q1326" s="17" t="s">
        <v>4693</v>
      </c>
      <c r="R1326" s="12" t="s">
        <v>4694</v>
      </c>
      <c r="S1326" s="108"/>
      <c r="T1326" s="108"/>
      <c r="U1326" s="111"/>
      <c r="V1326" s="108"/>
      <c r="W1326" s="108"/>
      <c r="X1326" s="108"/>
    </row>
    <row r="1327" spans="1:25" s="26" customFormat="1" hidden="1">
      <c r="A1327" s="33"/>
      <c r="B1327" s="108"/>
      <c r="C1327" s="108"/>
      <c r="D1327" s="31" t="str">
        <f t="shared" si="260"/>
        <v>十荟团</v>
      </c>
      <c r="E1327" s="108"/>
      <c r="F1327" s="111"/>
      <c r="G1327" s="108"/>
      <c r="H1327" s="108"/>
      <c r="I1327" s="108"/>
      <c r="J1327" s="108"/>
      <c r="K1327" s="37" t="str">
        <f t="shared" si="261"/>
        <v>已关闭</v>
      </c>
      <c r="L1327" s="108"/>
      <c r="M1327" s="108"/>
      <c r="N1327" s="12">
        <v>1</v>
      </c>
      <c r="O1327" s="36">
        <v>43839</v>
      </c>
      <c r="P1327" s="17" t="s">
        <v>257</v>
      </c>
      <c r="Q1327" s="17" t="s">
        <v>4695</v>
      </c>
      <c r="R1327" s="12" t="s">
        <v>4696</v>
      </c>
      <c r="S1327" s="108"/>
      <c r="T1327" s="108"/>
      <c r="U1327" s="111"/>
      <c r="V1327" s="108"/>
      <c r="W1327" s="108"/>
      <c r="X1327" s="108"/>
    </row>
    <row r="1328" spans="1:25" s="26" customFormat="1" hidden="1">
      <c r="A1328" s="33"/>
      <c r="B1328" s="108"/>
      <c r="C1328" s="108"/>
      <c r="D1328" s="31" t="str">
        <f t="shared" si="260"/>
        <v>十荟团</v>
      </c>
      <c r="E1328" s="108"/>
      <c r="F1328" s="111"/>
      <c r="G1328" s="108"/>
      <c r="H1328" s="108"/>
      <c r="I1328" s="108"/>
      <c r="J1328" s="108"/>
      <c r="K1328" s="37" t="str">
        <f t="shared" si="261"/>
        <v>已关闭</v>
      </c>
      <c r="L1328" s="108"/>
      <c r="M1328" s="108"/>
      <c r="N1328" s="12">
        <v>1</v>
      </c>
      <c r="O1328" s="36">
        <v>43707</v>
      </c>
      <c r="P1328" s="12" t="s">
        <v>313</v>
      </c>
      <c r="Q1328" s="12" t="s">
        <v>252</v>
      </c>
      <c r="R1328" s="12" t="s">
        <v>4697</v>
      </c>
      <c r="S1328" s="108"/>
      <c r="T1328" s="108"/>
      <c r="U1328" s="111"/>
      <c r="V1328" s="108"/>
      <c r="W1328" s="108"/>
      <c r="X1328" s="108"/>
    </row>
    <row r="1329" spans="1:25" s="26" customFormat="1" hidden="1">
      <c r="A1329" s="33"/>
      <c r="B1329" s="108"/>
      <c r="C1329" s="108"/>
      <c r="D1329" s="31" t="str">
        <f t="shared" si="260"/>
        <v>十荟团</v>
      </c>
      <c r="E1329" s="108"/>
      <c r="F1329" s="111"/>
      <c r="G1329" s="108"/>
      <c r="H1329" s="108"/>
      <c r="I1329" s="108"/>
      <c r="J1329" s="108"/>
      <c r="K1329" s="37" t="str">
        <f t="shared" si="261"/>
        <v>已关闭</v>
      </c>
      <c r="L1329" s="108"/>
      <c r="M1329" s="108"/>
      <c r="N1329" s="12">
        <v>1</v>
      </c>
      <c r="O1329" s="36">
        <v>43614</v>
      </c>
      <c r="P1329" s="17" t="s">
        <v>262</v>
      </c>
      <c r="Q1329" s="12" t="s">
        <v>258</v>
      </c>
      <c r="R1329" s="12" t="s">
        <v>240</v>
      </c>
      <c r="S1329" s="108"/>
      <c r="T1329" s="108"/>
      <c r="U1329" s="111"/>
      <c r="V1329" s="108"/>
      <c r="W1329" s="108"/>
      <c r="X1329" s="108"/>
    </row>
    <row r="1330" spans="1:25" s="26" customFormat="1" hidden="1">
      <c r="A1330" s="33"/>
      <c r="B1330" s="108"/>
      <c r="C1330" s="108"/>
      <c r="D1330" s="31" t="str">
        <f t="shared" si="260"/>
        <v>十荟团</v>
      </c>
      <c r="E1330" s="108"/>
      <c r="F1330" s="111"/>
      <c r="G1330" s="108"/>
      <c r="H1330" s="108"/>
      <c r="I1330" s="108"/>
      <c r="J1330" s="108"/>
      <c r="K1330" s="37" t="str">
        <f t="shared" si="261"/>
        <v>已关闭</v>
      </c>
      <c r="L1330" s="108"/>
      <c r="M1330" s="108"/>
      <c r="N1330" s="12">
        <v>1</v>
      </c>
      <c r="O1330" s="36">
        <v>43333</v>
      </c>
      <c r="P1330" s="12" t="s">
        <v>326</v>
      </c>
      <c r="Q1330" s="17" t="s">
        <v>637</v>
      </c>
      <c r="R1330" s="12" t="s">
        <v>4698</v>
      </c>
      <c r="S1330" s="108"/>
      <c r="T1330" s="108"/>
      <c r="U1330" s="111"/>
      <c r="V1330" s="108"/>
      <c r="W1330" s="108"/>
      <c r="X1330" s="108"/>
    </row>
    <row r="1331" spans="1:25" s="26" customFormat="1" hidden="1">
      <c r="A1331" s="33"/>
      <c r="B1331" s="108"/>
      <c r="C1331" s="108" t="s">
        <v>4699</v>
      </c>
      <c r="D1331" s="31" t="s">
        <v>4700</v>
      </c>
      <c r="E1331" s="107" t="s">
        <v>4700</v>
      </c>
      <c r="F1331" s="110" t="s">
        <v>4701</v>
      </c>
      <c r="G1331" s="107" t="s">
        <v>4702</v>
      </c>
      <c r="H1331" s="108" t="s">
        <v>4703</v>
      </c>
      <c r="I1331" s="108" t="s">
        <v>4704</v>
      </c>
      <c r="J1331" s="107" t="s">
        <v>1502</v>
      </c>
      <c r="K1331" s="31" t="s">
        <v>272</v>
      </c>
      <c r="L1331" s="107" t="s">
        <v>672</v>
      </c>
      <c r="M1331" s="107" t="s">
        <v>673</v>
      </c>
      <c r="N1331" s="12">
        <v>1</v>
      </c>
      <c r="O1331" s="36">
        <v>44123</v>
      </c>
      <c r="P1331" s="12" t="s">
        <v>471</v>
      </c>
      <c r="Q1331" s="17" t="s">
        <v>4705</v>
      </c>
      <c r="R1331" s="12" t="s">
        <v>240</v>
      </c>
      <c r="S1331" s="108" t="s">
        <v>4706</v>
      </c>
      <c r="T1331" s="108" t="s">
        <v>4707</v>
      </c>
      <c r="U1331" s="110" t="s">
        <v>4708</v>
      </c>
      <c r="V1331" s="107" t="s">
        <v>4709</v>
      </c>
      <c r="W1331" s="108" t="s">
        <v>4710</v>
      </c>
      <c r="X1331" s="108" t="s">
        <v>4711</v>
      </c>
    </row>
    <row r="1332" spans="1:25" s="26" customFormat="1" hidden="1">
      <c r="A1332" s="33"/>
      <c r="B1332" s="108"/>
      <c r="C1332" s="108"/>
      <c r="D1332" s="31" t="str">
        <f>D1331</f>
        <v>高鑫零售</v>
      </c>
      <c r="E1332" s="108"/>
      <c r="F1332" s="111"/>
      <c r="G1332" s="108"/>
      <c r="H1332" s="108"/>
      <c r="I1332" s="108"/>
      <c r="J1332" s="108"/>
      <c r="K1332" s="31" t="str">
        <f t="shared" ref="K1332:K1333" si="262">K1331</f>
        <v>运营中</v>
      </c>
      <c r="L1332" s="108"/>
      <c r="M1332" s="108"/>
      <c r="N1332" s="12">
        <v>1</v>
      </c>
      <c r="O1332" s="36">
        <v>43059</v>
      </c>
      <c r="P1332" s="17" t="s">
        <v>687</v>
      </c>
      <c r="Q1332" s="17" t="s">
        <v>4712</v>
      </c>
      <c r="R1332" s="12" t="s">
        <v>240</v>
      </c>
      <c r="S1332" s="108"/>
      <c r="T1332" s="108"/>
      <c r="U1332" s="111"/>
      <c r="V1332" s="108"/>
      <c r="W1332" s="108"/>
      <c r="X1332" s="108"/>
    </row>
    <row r="1333" spans="1:25" s="26" customFormat="1" hidden="1">
      <c r="A1333" s="33"/>
      <c r="B1333" s="108"/>
      <c r="C1333" s="108"/>
      <c r="D1333" s="31" t="str">
        <f>D1332</f>
        <v>高鑫零售</v>
      </c>
      <c r="E1333" s="108"/>
      <c r="F1333" s="111"/>
      <c r="G1333" s="108"/>
      <c r="H1333" s="108"/>
      <c r="I1333" s="108"/>
      <c r="J1333" s="108"/>
      <c r="K1333" s="31" t="str">
        <f t="shared" si="262"/>
        <v>运营中</v>
      </c>
      <c r="L1333" s="108"/>
      <c r="M1333" s="108"/>
      <c r="N1333" s="12">
        <v>1</v>
      </c>
      <c r="O1333" s="36">
        <v>40751</v>
      </c>
      <c r="P1333" s="17" t="s">
        <v>283</v>
      </c>
      <c r="Q1333" s="17" t="s">
        <v>4713</v>
      </c>
      <c r="R1333" s="17" t="s">
        <v>253</v>
      </c>
      <c r="S1333" s="108"/>
      <c r="T1333" s="108"/>
      <c r="U1333" s="111"/>
      <c r="V1333" s="108"/>
      <c r="W1333" s="108"/>
      <c r="X1333" s="108"/>
    </row>
    <row r="1334" spans="1:25" s="26" customFormat="1" ht="48" hidden="1">
      <c r="A1334" s="33"/>
      <c r="B1334" s="108"/>
      <c r="C1334" s="17" t="s">
        <v>4714</v>
      </c>
      <c r="D1334" s="38" t="s">
        <v>4715</v>
      </c>
      <c r="E1334" s="12" t="s">
        <v>4715</v>
      </c>
      <c r="F1334" s="32" t="s">
        <v>4716</v>
      </c>
      <c r="G1334" s="17"/>
      <c r="H1334" s="17"/>
      <c r="I1334" s="17" t="s">
        <v>4717</v>
      </c>
      <c r="J1334" s="12" t="s">
        <v>406</v>
      </c>
      <c r="K1334" s="38" t="s">
        <v>272</v>
      </c>
      <c r="L1334" s="12" t="s">
        <v>672</v>
      </c>
      <c r="M1334" s="12" t="s">
        <v>673</v>
      </c>
      <c r="N1334" s="12"/>
      <c r="O1334" s="36">
        <v>43496</v>
      </c>
      <c r="P1334" s="12" t="s">
        <v>285</v>
      </c>
      <c r="Q1334" s="17" t="s">
        <v>4718</v>
      </c>
      <c r="R1334" s="12" t="s">
        <v>4719</v>
      </c>
      <c r="S1334" s="17" t="s">
        <v>4720</v>
      </c>
      <c r="T1334" s="17" t="s">
        <v>4721</v>
      </c>
      <c r="U1334" s="32" t="s">
        <v>4722</v>
      </c>
      <c r="V1334" s="12" t="s">
        <v>4723</v>
      </c>
      <c r="W1334" s="17"/>
      <c r="X1334" s="17"/>
    </row>
    <row r="1335" spans="1:25" s="26" customFormat="1" ht="53.5" customHeight="1">
      <c r="A1335" s="11"/>
      <c r="B1335" s="108"/>
      <c r="C1335" s="108" t="s">
        <v>4724</v>
      </c>
      <c r="D1335" s="31" t="s">
        <v>4725</v>
      </c>
      <c r="E1335" s="109" t="s">
        <v>4726</v>
      </c>
      <c r="F1335" s="112" t="s">
        <v>4727</v>
      </c>
      <c r="G1335" s="107" t="s">
        <v>4728</v>
      </c>
      <c r="H1335" s="108" t="s">
        <v>4729</v>
      </c>
      <c r="I1335" s="109" t="s">
        <v>4730</v>
      </c>
      <c r="J1335" s="109" t="s">
        <v>385</v>
      </c>
      <c r="K1335" s="20" t="s">
        <v>1042</v>
      </c>
      <c r="L1335" s="109" t="s">
        <v>4472</v>
      </c>
      <c r="M1335" s="109" t="s">
        <v>4731</v>
      </c>
      <c r="N1335" s="13"/>
      <c r="O1335" s="24">
        <v>44542</v>
      </c>
      <c r="P1335" s="13" t="s">
        <v>3648</v>
      </c>
      <c r="Q1335" s="13" t="s">
        <v>4732</v>
      </c>
      <c r="R1335" s="13" t="s">
        <v>4733</v>
      </c>
      <c r="S1335" s="109" t="s">
        <v>4734</v>
      </c>
      <c r="T1335" s="109" t="s">
        <v>4735</v>
      </c>
      <c r="U1335" s="112" t="s">
        <v>4736</v>
      </c>
      <c r="V1335" s="107" t="s">
        <v>4737</v>
      </c>
      <c r="W1335" s="108" t="s">
        <v>4738</v>
      </c>
      <c r="X1335" s="108" t="s">
        <v>4739</v>
      </c>
      <c r="Y1335" s="11"/>
    </row>
    <row r="1336" spans="1:25" s="26" customFormat="1" hidden="1">
      <c r="A1336" s="33"/>
      <c r="B1336" s="108"/>
      <c r="C1336" s="108"/>
      <c r="D1336" s="31" t="str">
        <f>D1335</f>
        <v>T11生鲜超市</v>
      </c>
      <c r="E1336" s="108"/>
      <c r="F1336" s="111"/>
      <c r="G1336" s="108"/>
      <c r="H1336" s="108"/>
      <c r="I1336" s="108"/>
      <c r="J1336" s="108"/>
      <c r="K1336" s="31" t="str">
        <f t="shared" ref="K1336:K1337" si="263">K1335</f>
        <v>运营中</v>
      </c>
      <c r="L1336" s="108"/>
      <c r="M1336" s="108"/>
      <c r="N1336" s="17"/>
      <c r="O1336" s="36">
        <v>43948</v>
      </c>
      <c r="P1336" s="17" t="s">
        <v>262</v>
      </c>
      <c r="Q1336" s="12" t="s">
        <v>258</v>
      </c>
      <c r="R1336" s="12" t="s">
        <v>4740</v>
      </c>
      <c r="S1336" s="108"/>
      <c r="T1336" s="108"/>
      <c r="U1336" s="111"/>
      <c r="V1336" s="108"/>
      <c r="W1336" s="108"/>
      <c r="X1336" s="108"/>
    </row>
    <row r="1337" spans="1:25" s="26" customFormat="1" hidden="1">
      <c r="A1337" s="33"/>
      <c r="B1337" s="108"/>
      <c r="C1337" s="108"/>
      <c r="D1337" s="31" t="str">
        <f>D1336</f>
        <v>T11生鲜超市</v>
      </c>
      <c r="E1337" s="108"/>
      <c r="F1337" s="111"/>
      <c r="G1337" s="108"/>
      <c r="H1337" s="108"/>
      <c r="I1337" s="108"/>
      <c r="J1337" s="108"/>
      <c r="K1337" s="31" t="str">
        <f t="shared" si="263"/>
        <v>运营中</v>
      </c>
      <c r="L1337" s="108"/>
      <c r="M1337" s="108"/>
      <c r="N1337" s="17"/>
      <c r="O1337" s="36">
        <v>43619</v>
      </c>
      <c r="P1337" s="12" t="s">
        <v>326</v>
      </c>
      <c r="Q1337" s="12" t="s">
        <v>409</v>
      </c>
      <c r="R1337" s="17" t="s">
        <v>4741</v>
      </c>
      <c r="S1337" s="108"/>
      <c r="T1337" s="108"/>
      <c r="U1337" s="111"/>
      <c r="V1337" s="108"/>
      <c r="W1337" s="108"/>
      <c r="X1337" s="108"/>
    </row>
    <row r="1338" spans="1:25" s="26" customFormat="1" hidden="1">
      <c r="A1338" s="33"/>
      <c r="B1338" s="108"/>
      <c r="C1338" s="108" t="s">
        <v>4742</v>
      </c>
      <c r="D1338" s="31" t="s">
        <v>4743</v>
      </c>
      <c r="E1338" s="107" t="s">
        <v>4743</v>
      </c>
      <c r="F1338" s="110" t="s">
        <v>4744</v>
      </c>
      <c r="G1338" s="107" t="s">
        <v>4745</v>
      </c>
      <c r="H1338" s="108" t="s">
        <v>4746</v>
      </c>
      <c r="I1338" s="108" t="s">
        <v>4747</v>
      </c>
      <c r="J1338" s="107" t="s">
        <v>1215</v>
      </c>
      <c r="K1338" s="31" t="s">
        <v>272</v>
      </c>
      <c r="L1338" s="107" t="s">
        <v>273</v>
      </c>
      <c r="M1338" s="107" t="s">
        <v>274</v>
      </c>
      <c r="N1338" s="12"/>
      <c r="O1338" s="36">
        <v>44788</v>
      </c>
      <c r="P1338" s="17" t="s">
        <v>257</v>
      </c>
      <c r="Q1338" s="17" t="s">
        <v>1194</v>
      </c>
      <c r="R1338" s="17" t="s">
        <v>4748</v>
      </c>
      <c r="S1338" s="108" t="s">
        <v>4749</v>
      </c>
      <c r="T1338" s="108" t="s">
        <v>449</v>
      </c>
      <c r="U1338" s="110" t="s">
        <v>4750</v>
      </c>
      <c r="V1338" s="107" t="s">
        <v>4751</v>
      </c>
      <c r="W1338" s="108" t="s">
        <v>4752</v>
      </c>
      <c r="X1338" s="108" t="s">
        <v>4753</v>
      </c>
    </row>
    <row r="1339" spans="1:25" s="26" customFormat="1" ht="53.5" customHeight="1">
      <c r="A1339" s="11"/>
      <c r="B1339" s="108"/>
      <c r="C1339" s="108"/>
      <c r="D1339" s="31" t="str">
        <f>D1338</f>
        <v>享道出行</v>
      </c>
      <c r="E1339" s="109"/>
      <c r="F1339" s="112"/>
      <c r="G1339" s="108"/>
      <c r="H1339" s="108"/>
      <c r="I1339" s="109"/>
      <c r="J1339" s="109"/>
      <c r="K1339" s="20" t="str">
        <f t="shared" ref="K1339:K1340" si="264">K1338</f>
        <v>运营中</v>
      </c>
      <c r="L1339" s="109"/>
      <c r="M1339" s="109"/>
      <c r="N1339" s="13"/>
      <c r="O1339" s="24">
        <v>44180</v>
      </c>
      <c r="P1339" s="13" t="s">
        <v>3513</v>
      </c>
      <c r="Q1339" s="13" t="s">
        <v>4754</v>
      </c>
      <c r="R1339" s="13" t="s">
        <v>4755</v>
      </c>
      <c r="S1339" s="109"/>
      <c r="T1339" s="109"/>
      <c r="U1339" s="112"/>
      <c r="V1339" s="108"/>
      <c r="W1339" s="108"/>
      <c r="X1339" s="108"/>
      <c r="Y1339" s="11"/>
    </row>
    <row r="1340" spans="1:25" s="26" customFormat="1" hidden="1">
      <c r="A1340" s="33"/>
      <c r="B1340" s="108"/>
      <c r="C1340" s="108"/>
      <c r="D1340" s="31" t="str">
        <f>D1339</f>
        <v>享道出行</v>
      </c>
      <c r="E1340" s="108"/>
      <c r="F1340" s="111"/>
      <c r="G1340" s="108"/>
      <c r="H1340" s="108"/>
      <c r="I1340" s="108"/>
      <c r="J1340" s="108"/>
      <c r="K1340" s="31" t="str">
        <f t="shared" si="264"/>
        <v>运营中</v>
      </c>
      <c r="L1340" s="108"/>
      <c r="M1340" s="108"/>
      <c r="N1340" s="17"/>
      <c r="O1340" s="36">
        <v>43647</v>
      </c>
      <c r="P1340" s="12" t="s">
        <v>326</v>
      </c>
      <c r="Q1340" s="12" t="s">
        <v>341</v>
      </c>
      <c r="R1340" s="12" t="s">
        <v>4756</v>
      </c>
      <c r="S1340" s="108"/>
      <c r="T1340" s="108"/>
      <c r="U1340" s="111"/>
      <c r="V1340" s="108"/>
      <c r="W1340" s="108"/>
      <c r="X1340" s="108"/>
    </row>
    <row r="1341" spans="1:25" s="26" customFormat="1" ht="60" hidden="1">
      <c r="A1341" s="33"/>
      <c r="B1341" s="108"/>
      <c r="C1341" s="17" t="s">
        <v>4757</v>
      </c>
      <c r="D1341" s="38" t="s">
        <v>4758</v>
      </c>
      <c r="E1341" s="12" t="s">
        <v>4758</v>
      </c>
      <c r="F1341" s="32" t="s">
        <v>4759</v>
      </c>
      <c r="G1341" s="12" t="s">
        <v>4760</v>
      </c>
      <c r="H1341" s="17" t="s">
        <v>4761</v>
      </c>
      <c r="I1341" s="17" t="s">
        <v>4762</v>
      </c>
      <c r="J1341" s="12" t="s">
        <v>349</v>
      </c>
      <c r="K1341" s="38" t="s">
        <v>272</v>
      </c>
      <c r="L1341" s="12" t="s">
        <v>350</v>
      </c>
      <c r="M1341" s="12" t="s">
        <v>1238</v>
      </c>
      <c r="N1341" s="12"/>
      <c r="O1341" s="36">
        <v>43413</v>
      </c>
      <c r="P1341" s="12" t="s">
        <v>285</v>
      </c>
      <c r="Q1341" s="17" t="s">
        <v>773</v>
      </c>
      <c r="R1341" s="12" t="s">
        <v>240</v>
      </c>
      <c r="S1341" s="17" t="s">
        <v>4763</v>
      </c>
      <c r="T1341" s="17" t="s">
        <v>4764</v>
      </c>
      <c r="U1341" s="32" t="s">
        <v>4765</v>
      </c>
      <c r="V1341" s="12" t="s">
        <v>4766</v>
      </c>
      <c r="W1341" s="17"/>
      <c r="X1341" s="17"/>
    </row>
    <row r="1342" spans="1:25" s="26" customFormat="1" ht="60" hidden="1">
      <c r="A1342" s="33"/>
      <c r="B1342" s="108"/>
      <c r="C1342" s="17" t="s">
        <v>4767</v>
      </c>
      <c r="D1342" s="38" t="s">
        <v>4768</v>
      </c>
      <c r="E1342" s="12" t="s">
        <v>4768</v>
      </c>
      <c r="F1342" s="32" t="s">
        <v>4769</v>
      </c>
      <c r="G1342" s="12" t="s">
        <v>4770</v>
      </c>
      <c r="H1342" s="17"/>
      <c r="I1342" s="17" t="s">
        <v>4771</v>
      </c>
      <c r="J1342" s="12" t="s">
        <v>406</v>
      </c>
      <c r="K1342" s="38" t="s">
        <v>272</v>
      </c>
      <c r="L1342" s="12" t="s">
        <v>335</v>
      </c>
      <c r="M1342" s="12" t="s">
        <v>2397</v>
      </c>
      <c r="N1342" s="12">
        <v>1</v>
      </c>
      <c r="O1342" s="36">
        <v>38574</v>
      </c>
      <c r="P1342" s="12" t="s">
        <v>471</v>
      </c>
      <c r="Q1342" s="12" t="s">
        <v>252</v>
      </c>
      <c r="R1342" s="12" t="s">
        <v>240</v>
      </c>
      <c r="S1342" s="17" t="s">
        <v>253</v>
      </c>
      <c r="T1342" s="12" t="s">
        <v>255</v>
      </c>
      <c r="U1342" s="34"/>
      <c r="V1342" s="12" t="s">
        <v>4772</v>
      </c>
      <c r="W1342" s="17"/>
      <c r="X1342" s="17"/>
    </row>
    <row r="1343" spans="1:25" s="26" customFormat="1" hidden="1">
      <c r="A1343" s="33"/>
      <c r="B1343" s="108"/>
      <c r="C1343" s="108" t="s">
        <v>2170</v>
      </c>
      <c r="D1343" s="31" t="s">
        <v>4773</v>
      </c>
      <c r="E1343" s="107" t="s">
        <v>4773</v>
      </c>
      <c r="F1343" s="110" t="s">
        <v>4774</v>
      </c>
      <c r="G1343" s="107" t="s">
        <v>4775</v>
      </c>
      <c r="H1343" s="108" t="s">
        <v>4776</v>
      </c>
      <c r="I1343" s="108" t="s">
        <v>4777</v>
      </c>
      <c r="J1343" s="107" t="s">
        <v>1858</v>
      </c>
      <c r="K1343" s="31" t="s">
        <v>272</v>
      </c>
      <c r="L1343" s="107" t="s">
        <v>407</v>
      </c>
      <c r="M1343" s="107" t="s">
        <v>4661</v>
      </c>
      <c r="N1343" s="12"/>
      <c r="O1343" s="36">
        <v>44560</v>
      </c>
      <c r="P1343" s="17" t="s">
        <v>262</v>
      </c>
      <c r="Q1343" s="12" t="s">
        <v>409</v>
      </c>
      <c r="R1343" s="12" t="s">
        <v>4778</v>
      </c>
      <c r="S1343" s="108" t="s">
        <v>4125</v>
      </c>
      <c r="T1343" s="108" t="s">
        <v>412</v>
      </c>
      <c r="U1343" s="110" t="s">
        <v>4779</v>
      </c>
      <c r="V1343" s="107" t="s">
        <v>4780</v>
      </c>
      <c r="W1343" s="108"/>
      <c r="X1343" s="108"/>
    </row>
    <row r="1344" spans="1:25" s="26" customFormat="1" hidden="1">
      <c r="A1344" s="33"/>
      <c r="B1344" s="108"/>
      <c r="C1344" s="108"/>
      <c r="D1344" s="31" t="str">
        <f>D1343</f>
        <v>云粒智慧</v>
      </c>
      <c r="E1344" s="108"/>
      <c r="F1344" s="111"/>
      <c r="G1344" s="108"/>
      <c r="H1344" s="108"/>
      <c r="I1344" s="108"/>
      <c r="J1344" s="108"/>
      <c r="K1344" s="31" t="str">
        <f>K1343</f>
        <v>运营中</v>
      </c>
      <c r="L1344" s="108"/>
      <c r="M1344" s="108"/>
      <c r="N1344" s="17"/>
      <c r="O1344" s="36">
        <v>43280</v>
      </c>
      <c r="P1344" s="12" t="s">
        <v>285</v>
      </c>
      <c r="Q1344" s="12" t="s">
        <v>252</v>
      </c>
      <c r="R1344" s="12" t="s">
        <v>240</v>
      </c>
      <c r="S1344" s="108"/>
      <c r="T1344" s="108"/>
      <c r="U1344" s="111"/>
      <c r="V1344" s="108"/>
      <c r="W1344" s="108"/>
      <c r="X1344" s="108"/>
    </row>
    <row r="1345" spans="1:24" s="26" customFormat="1" ht="24" hidden="1">
      <c r="A1345" s="33"/>
      <c r="B1345" s="108"/>
      <c r="C1345" s="17" t="s">
        <v>4781</v>
      </c>
      <c r="D1345" s="38" t="s">
        <v>4782</v>
      </c>
      <c r="E1345" s="17" t="s">
        <v>4782</v>
      </c>
      <c r="F1345" s="34" t="s">
        <v>4783</v>
      </c>
      <c r="G1345" s="17"/>
      <c r="H1345" s="17" t="s">
        <v>4784</v>
      </c>
      <c r="I1345" s="17" t="s">
        <v>3970</v>
      </c>
      <c r="J1345" s="12" t="s">
        <v>1502</v>
      </c>
      <c r="K1345" s="38" t="s">
        <v>272</v>
      </c>
      <c r="L1345" s="12" t="s">
        <v>512</v>
      </c>
      <c r="M1345" s="12" t="s">
        <v>3002</v>
      </c>
      <c r="N1345" s="12"/>
      <c r="O1345" s="36">
        <v>43461</v>
      </c>
      <c r="P1345" s="17" t="s">
        <v>721</v>
      </c>
      <c r="Q1345" s="12" t="s">
        <v>252</v>
      </c>
      <c r="R1345" s="12" t="s">
        <v>4785</v>
      </c>
      <c r="S1345" s="17" t="s">
        <v>1683</v>
      </c>
      <c r="T1345" s="12" t="s">
        <v>255</v>
      </c>
      <c r="U1345" s="34" t="s">
        <v>4786</v>
      </c>
      <c r="V1345" s="17"/>
      <c r="W1345" s="17"/>
      <c r="X1345" s="17" t="s">
        <v>4787</v>
      </c>
    </row>
    <row r="1346" spans="1:24" s="26" customFormat="1" ht="36" hidden="1">
      <c r="A1346" s="33"/>
      <c r="B1346" s="108"/>
      <c r="C1346" s="17" t="s">
        <v>4788</v>
      </c>
      <c r="D1346" s="38" t="s">
        <v>4789</v>
      </c>
      <c r="E1346" s="12" t="s">
        <v>4789</v>
      </c>
      <c r="F1346" s="32" t="s">
        <v>4790</v>
      </c>
      <c r="G1346" s="12" t="s">
        <v>4791</v>
      </c>
      <c r="H1346" s="17"/>
      <c r="I1346" s="17" t="s">
        <v>4792</v>
      </c>
      <c r="J1346" s="12" t="s">
        <v>1215</v>
      </c>
      <c r="K1346" s="38" t="s">
        <v>272</v>
      </c>
      <c r="L1346" s="12" t="s">
        <v>350</v>
      </c>
      <c r="M1346" s="12" t="s">
        <v>1238</v>
      </c>
      <c r="N1346" s="12"/>
      <c r="O1346" s="36">
        <v>43432</v>
      </c>
      <c r="P1346" s="12" t="s">
        <v>285</v>
      </c>
      <c r="Q1346" s="17" t="s">
        <v>2967</v>
      </c>
      <c r="R1346" s="12" t="s">
        <v>240</v>
      </c>
      <c r="S1346" s="17" t="s">
        <v>4793</v>
      </c>
      <c r="T1346" s="17" t="s">
        <v>581</v>
      </c>
      <c r="U1346" s="32" t="s">
        <v>4794</v>
      </c>
      <c r="V1346" s="12" t="s">
        <v>4795</v>
      </c>
      <c r="W1346" s="17"/>
      <c r="X1346" s="17"/>
    </row>
    <row r="1347" spans="1:24" s="26" customFormat="1" hidden="1">
      <c r="A1347" s="33"/>
      <c r="B1347" s="108"/>
      <c r="C1347" s="108" t="s">
        <v>4796</v>
      </c>
      <c r="D1347" s="31" t="s">
        <v>4797</v>
      </c>
      <c r="E1347" s="107" t="s">
        <v>4797</v>
      </c>
      <c r="F1347" s="110" t="s">
        <v>4798</v>
      </c>
      <c r="G1347" s="107" t="s">
        <v>4799</v>
      </c>
      <c r="H1347" s="108"/>
      <c r="I1347" s="108" t="s">
        <v>4747</v>
      </c>
      <c r="J1347" s="107" t="s">
        <v>3382</v>
      </c>
      <c r="K1347" s="31" t="s">
        <v>272</v>
      </c>
      <c r="L1347" s="107" t="s">
        <v>386</v>
      </c>
      <c r="M1347" s="107" t="s">
        <v>4554</v>
      </c>
      <c r="N1347" s="12"/>
      <c r="O1347" s="36">
        <v>43340</v>
      </c>
      <c r="P1347" s="17" t="s">
        <v>262</v>
      </c>
      <c r="Q1347" s="12" t="s">
        <v>341</v>
      </c>
      <c r="R1347" s="12" t="s">
        <v>240</v>
      </c>
      <c r="S1347" s="108" t="s">
        <v>2954</v>
      </c>
      <c r="T1347" s="108" t="s">
        <v>3743</v>
      </c>
      <c r="U1347" s="110" t="s">
        <v>4800</v>
      </c>
      <c r="V1347" s="107" t="s">
        <v>4801</v>
      </c>
      <c r="W1347" s="108"/>
      <c r="X1347" s="108"/>
    </row>
    <row r="1348" spans="1:24" s="26" customFormat="1" hidden="1">
      <c r="A1348" s="33"/>
      <c r="B1348" s="108"/>
      <c r="C1348" s="108"/>
      <c r="D1348" s="31" t="str">
        <f>D1347</f>
        <v>呦吼互娱</v>
      </c>
      <c r="E1348" s="108"/>
      <c r="F1348" s="111"/>
      <c r="G1348" s="108"/>
      <c r="H1348" s="108"/>
      <c r="I1348" s="108"/>
      <c r="J1348" s="108"/>
      <c r="K1348" s="31" t="str">
        <f>K1347</f>
        <v>运营中</v>
      </c>
      <c r="L1348" s="108"/>
      <c r="M1348" s="108"/>
      <c r="N1348" s="17"/>
      <c r="O1348" s="36">
        <v>43263</v>
      </c>
      <c r="P1348" s="12" t="s">
        <v>326</v>
      </c>
      <c r="Q1348" s="12" t="s">
        <v>341</v>
      </c>
      <c r="R1348" s="12" t="s">
        <v>4802</v>
      </c>
      <c r="S1348" s="108"/>
      <c r="T1348" s="108"/>
      <c r="U1348" s="111"/>
      <c r="V1348" s="108"/>
      <c r="W1348" s="108"/>
      <c r="X1348" s="108"/>
    </row>
    <row r="1349" spans="1:24" s="26" customFormat="1" hidden="1">
      <c r="A1349" s="33"/>
      <c r="B1349" s="108"/>
      <c r="C1349" s="108" t="s">
        <v>4803</v>
      </c>
      <c r="D1349" s="31" t="s">
        <v>4804</v>
      </c>
      <c r="E1349" s="108" t="s">
        <v>4804</v>
      </c>
      <c r="F1349" s="111" t="s">
        <v>4805</v>
      </c>
      <c r="G1349" s="108"/>
      <c r="H1349" s="108" t="s">
        <v>4806</v>
      </c>
      <c r="I1349" s="108" t="s">
        <v>1944</v>
      </c>
      <c r="J1349" s="107" t="s">
        <v>2992</v>
      </c>
      <c r="K1349" s="31" t="s">
        <v>272</v>
      </c>
      <c r="L1349" s="107" t="s">
        <v>407</v>
      </c>
      <c r="M1349" s="107" t="s">
        <v>408</v>
      </c>
      <c r="N1349" s="12">
        <v>1</v>
      </c>
      <c r="O1349" s="36">
        <v>43473</v>
      </c>
      <c r="P1349" s="12" t="s">
        <v>471</v>
      </c>
      <c r="Q1349" s="17" t="s">
        <v>4807</v>
      </c>
      <c r="R1349" s="12" t="s">
        <v>240</v>
      </c>
      <c r="S1349" s="108" t="s">
        <v>4808</v>
      </c>
      <c r="T1349" s="108" t="s">
        <v>4809</v>
      </c>
      <c r="U1349" s="111" t="s">
        <v>4810</v>
      </c>
      <c r="V1349" s="108"/>
      <c r="W1349" s="108"/>
      <c r="X1349" s="108"/>
    </row>
    <row r="1350" spans="1:24" s="26" customFormat="1" hidden="1">
      <c r="A1350" s="33"/>
      <c r="B1350" s="108"/>
      <c r="C1350" s="108"/>
      <c r="D1350" s="31" t="str">
        <f>D1349</f>
        <v>DataArtisans</v>
      </c>
      <c r="E1350" s="108"/>
      <c r="F1350" s="111"/>
      <c r="G1350" s="108"/>
      <c r="H1350" s="108"/>
      <c r="I1350" s="108"/>
      <c r="J1350" s="108"/>
      <c r="K1350" s="31" t="str">
        <f t="shared" ref="K1350:K1351" si="265">K1349</f>
        <v>运营中</v>
      </c>
      <c r="L1350" s="108"/>
      <c r="M1350" s="108"/>
      <c r="N1350" s="12">
        <v>1</v>
      </c>
      <c r="O1350" s="36">
        <v>42459</v>
      </c>
      <c r="P1350" s="17" t="s">
        <v>262</v>
      </c>
      <c r="Q1350" s="17" t="s">
        <v>4811</v>
      </c>
      <c r="R1350" s="12" t="s">
        <v>3630</v>
      </c>
      <c r="S1350" s="108"/>
      <c r="T1350" s="108"/>
      <c r="U1350" s="111"/>
      <c r="V1350" s="108"/>
      <c r="W1350" s="108"/>
      <c r="X1350" s="108"/>
    </row>
    <row r="1351" spans="1:24" s="26" customFormat="1" hidden="1">
      <c r="A1351" s="33"/>
      <c r="B1351" s="108"/>
      <c r="C1351" s="108"/>
      <c r="D1351" s="31" t="str">
        <f>D1350</f>
        <v>DataArtisans</v>
      </c>
      <c r="E1351" s="108"/>
      <c r="F1351" s="111"/>
      <c r="G1351" s="108"/>
      <c r="H1351" s="108"/>
      <c r="I1351" s="108"/>
      <c r="J1351" s="108"/>
      <c r="K1351" s="31" t="str">
        <f t="shared" si="265"/>
        <v>运营中</v>
      </c>
      <c r="L1351" s="108"/>
      <c r="M1351" s="108"/>
      <c r="N1351" s="12">
        <v>1</v>
      </c>
      <c r="O1351" s="36">
        <v>41801</v>
      </c>
      <c r="P1351" s="12" t="s">
        <v>437</v>
      </c>
      <c r="Q1351" s="17" t="s">
        <v>4812</v>
      </c>
      <c r="R1351" s="17" t="s">
        <v>4813</v>
      </c>
      <c r="S1351" s="108"/>
      <c r="T1351" s="108"/>
      <c r="U1351" s="111"/>
      <c r="V1351" s="108"/>
      <c r="W1351" s="108"/>
      <c r="X1351" s="108"/>
    </row>
    <row r="1352" spans="1:24" s="26" customFormat="1" hidden="1">
      <c r="A1352" s="33"/>
      <c r="B1352" s="108"/>
      <c r="C1352" s="108" t="s">
        <v>4814</v>
      </c>
      <c r="D1352" s="31" t="s">
        <v>4815</v>
      </c>
      <c r="E1352" s="107" t="s">
        <v>4815</v>
      </c>
      <c r="F1352" s="110" t="s">
        <v>4816</v>
      </c>
      <c r="G1352" s="107" t="s">
        <v>4817</v>
      </c>
      <c r="H1352" s="108" t="s">
        <v>4818</v>
      </c>
      <c r="I1352" s="108" t="s">
        <v>4819</v>
      </c>
      <c r="J1352" s="107" t="s">
        <v>1126</v>
      </c>
      <c r="K1352" s="31" t="s">
        <v>272</v>
      </c>
      <c r="L1352" s="107" t="s">
        <v>350</v>
      </c>
      <c r="M1352" s="107" t="s">
        <v>617</v>
      </c>
      <c r="N1352" s="12">
        <v>1</v>
      </c>
      <c r="O1352" s="36">
        <v>44383</v>
      </c>
      <c r="P1352" s="17" t="s">
        <v>687</v>
      </c>
      <c r="Q1352" s="17" t="s">
        <v>4820</v>
      </c>
      <c r="R1352" s="12" t="s">
        <v>4821</v>
      </c>
      <c r="S1352" s="108" t="s">
        <v>4822</v>
      </c>
      <c r="T1352" s="108" t="s">
        <v>4823</v>
      </c>
      <c r="U1352" s="110" t="s">
        <v>4824</v>
      </c>
      <c r="V1352" s="107" t="s">
        <v>4825</v>
      </c>
      <c r="W1352" s="108"/>
      <c r="X1352" s="108"/>
    </row>
    <row r="1353" spans="1:24" s="26" customFormat="1" hidden="1">
      <c r="A1353" s="33"/>
      <c r="B1353" s="108"/>
      <c r="C1353" s="108"/>
      <c r="D1353" s="31" t="str">
        <f>D1352</f>
        <v>苏宁易购</v>
      </c>
      <c r="E1353" s="108"/>
      <c r="F1353" s="111"/>
      <c r="G1353" s="108"/>
      <c r="H1353" s="108"/>
      <c r="I1353" s="108"/>
      <c r="J1353" s="108"/>
      <c r="K1353" s="31" t="str">
        <f t="shared" ref="K1353:K1356" si="266">K1352</f>
        <v>运营中</v>
      </c>
      <c r="L1353" s="108"/>
      <c r="M1353" s="108"/>
      <c r="N1353" s="12">
        <v>1</v>
      </c>
      <c r="O1353" s="36">
        <v>44255</v>
      </c>
      <c r="P1353" s="17" t="s">
        <v>687</v>
      </c>
      <c r="Q1353" s="17" t="s">
        <v>4826</v>
      </c>
      <c r="R1353" s="12" t="s">
        <v>4827</v>
      </c>
      <c r="S1353" s="108"/>
      <c r="T1353" s="108"/>
      <c r="U1353" s="111"/>
      <c r="V1353" s="108"/>
      <c r="W1353" s="108"/>
      <c r="X1353" s="108"/>
    </row>
    <row r="1354" spans="1:24" s="26" customFormat="1" hidden="1">
      <c r="A1354" s="33"/>
      <c r="B1354" s="108"/>
      <c r="C1354" s="108"/>
      <c r="D1354" s="31" t="str">
        <f>D1353</f>
        <v>苏宁易购</v>
      </c>
      <c r="E1354" s="108"/>
      <c r="F1354" s="111"/>
      <c r="G1354" s="108"/>
      <c r="H1354" s="108"/>
      <c r="I1354" s="108"/>
      <c r="J1354" s="108"/>
      <c r="K1354" s="31" t="str">
        <f t="shared" si="266"/>
        <v>运营中</v>
      </c>
      <c r="L1354" s="108"/>
      <c r="M1354" s="108"/>
      <c r="N1354" s="12">
        <v>1</v>
      </c>
      <c r="O1354" s="36">
        <v>42523</v>
      </c>
      <c r="P1354" s="17" t="s">
        <v>687</v>
      </c>
      <c r="Q1354" s="17" t="s">
        <v>4828</v>
      </c>
      <c r="R1354" s="12" t="s">
        <v>240</v>
      </c>
      <c r="S1354" s="108"/>
      <c r="T1354" s="108"/>
      <c r="U1354" s="111"/>
      <c r="V1354" s="108"/>
      <c r="W1354" s="108"/>
      <c r="X1354" s="108"/>
    </row>
    <row r="1355" spans="1:24" s="26" customFormat="1" hidden="1">
      <c r="A1355" s="33"/>
      <c r="B1355" s="108"/>
      <c r="C1355" s="108"/>
      <c r="D1355" s="31" t="str">
        <f>D1354</f>
        <v>苏宁易购</v>
      </c>
      <c r="E1355" s="108"/>
      <c r="F1355" s="111"/>
      <c r="G1355" s="108"/>
      <c r="H1355" s="108"/>
      <c r="I1355" s="108"/>
      <c r="J1355" s="108"/>
      <c r="K1355" s="31" t="str">
        <f t="shared" si="266"/>
        <v>运营中</v>
      </c>
      <c r="L1355" s="108"/>
      <c r="M1355" s="108"/>
      <c r="N1355" s="12">
        <v>1</v>
      </c>
      <c r="O1355" s="36">
        <v>42226</v>
      </c>
      <c r="P1355" s="17" t="s">
        <v>687</v>
      </c>
      <c r="Q1355" s="17" t="s">
        <v>4829</v>
      </c>
      <c r="R1355" s="12" t="s">
        <v>240</v>
      </c>
      <c r="S1355" s="108"/>
      <c r="T1355" s="108"/>
      <c r="U1355" s="111"/>
      <c r="V1355" s="108"/>
      <c r="W1355" s="108"/>
      <c r="X1355" s="108"/>
    </row>
    <row r="1356" spans="1:24" s="26" customFormat="1" hidden="1">
      <c r="A1356" s="33"/>
      <c r="B1356" s="108"/>
      <c r="C1356" s="108"/>
      <c r="D1356" s="31" t="str">
        <f>D1355</f>
        <v>苏宁易购</v>
      </c>
      <c r="E1356" s="108"/>
      <c r="F1356" s="111"/>
      <c r="G1356" s="108"/>
      <c r="H1356" s="108"/>
      <c r="I1356" s="108"/>
      <c r="J1356" s="108"/>
      <c r="K1356" s="31" t="str">
        <f t="shared" si="266"/>
        <v>运营中</v>
      </c>
      <c r="L1356" s="108"/>
      <c r="M1356" s="108"/>
      <c r="N1356" s="12">
        <v>1</v>
      </c>
      <c r="O1356" s="36">
        <v>38189</v>
      </c>
      <c r="P1356" s="17" t="s">
        <v>283</v>
      </c>
      <c r="Q1356" s="17" t="s">
        <v>4830</v>
      </c>
      <c r="R1356" s="17" t="s">
        <v>253</v>
      </c>
      <c r="S1356" s="108"/>
      <c r="T1356" s="108"/>
      <c r="U1356" s="111"/>
      <c r="V1356" s="108"/>
      <c r="W1356" s="108"/>
      <c r="X1356" s="108"/>
    </row>
    <row r="1357" spans="1:24" s="26" customFormat="1" ht="48" hidden="1">
      <c r="A1357" s="33"/>
      <c r="B1357" s="108"/>
      <c r="C1357" s="17" t="s">
        <v>4781</v>
      </c>
      <c r="D1357" s="38" t="s">
        <v>4831</v>
      </c>
      <c r="E1357" s="17" t="s">
        <v>4831</v>
      </c>
      <c r="F1357" s="34" t="s">
        <v>4832</v>
      </c>
      <c r="G1357" s="12" t="s">
        <v>4833</v>
      </c>
      <c r="H1357" s="17"/>
      <c r="I1357" s="17" t="s">
        <v>2478</v>
      </c>
      <c r="J1357" s="12" t="s">
        <v>4834</v>
      </c>
      <c r="K1357" s="38" t="s">
        <v>272</v>
      </c>
      <c r="L1357" s="12" t="s">
        <v>944</v>
      </c>
      <c r="M1357" s="12" t="s">
        <v>3642</v>
      </c>
      <c r="N1357" s="12"/>
      <c r="O1357" s="36">
        <v>43461</v>
      </c>
      <c r="P1357" s="12" t="s">
        <v>285</v>
      </c>
      <c r="Q1357" s="12" t="s">
        <v>252</v>
      </c>
      <c r="R1357" s="12" t="s">
        <v>240</v>
      </c>
      <c r="S1357" s="17" t="s">
        <v>4335</v>
      </c>
      <c r="T1357" s="12" t="s">
        <v>255</v>
      </c>
      <c r="U1357" s="32" t="s">
        <v>4835</v>
      </c>
      <c r="V1357" s="12" t="s">
        <v>4836</v>
      </c>
      <c r="W1357" s="17"/>
      <c r="X1357" s="17"/>
    </row>
    <row r="1358" spans="1:24" s="26" customFormat="1" hidden="1">
      <c r="A1358" s="33"/>
      <c r="B1358" s="108"/>
      <c r="C1358" s="108" t="s">
        <v>4837</v>
      </c>
      <c r="D1358" s="31" t="s">
        <v>4838</v>
      </c>
      <c r="E1358" s="108" t="s">
        <v>4838</v>
      </c>
      <c r="F1358" s="111" t="s">
        <v>4839</v>
      </c>
      <c r="G1358" s="108"/>
      <c r="H1358" s="108" t="s">
        <v>4840</v>
      </c>
      <c r="I1358" s="108" t="s">
        <v>334</v>
      </c>
      <c r="J1358" s="107" t="s">
        <v>2156</v>
      </c>
      <c r="K1358" s="31" t="s">
        <v>272</v>
      </c>
      <c r="L1358" s="107" t="s">
        <v>350</v>
      </c>
      <c r="M1358" s="107" t="s">
        <v>617</v>
      </c>
      <c r="N1358" s="12">
        <v>1</v>
      </c>
      <c r="O1358" s="36">
        <v>44414</v>
      </c>
      <c r="P1358" s="17" t="s">
        <v>283</v>
      </c>
      <c r="Q1358" s="17" t="s">
        <v>1024</v>
      </c>
      <c r="R1358" s="17" t="s">
        <v>253</v>
      </c>
      <c r="S1358" s="108" t="s">
        <v>4841</v>
      </c>
      <c r="T1358" s="108" t="s">
        <v>4842</v>
      </c>
      <c r="U1358" s="111" t="s">
        <v>4843</v>
      </c>
      <c r="V1358" s="108"/>
      <c r="W1358" s="108"/>
      <c r="X1358" s="108"/>
    </row>
    <row r="1359" spans="1:24" s="26" customFormat="1" hidden="1">
      <c r="A1359" s="33"/>
      <c r="B1359" s="108"/>
      <c r="C1359" s="108"/>
      <c r="D1359" s="31" t="str">
        <f>D1358</f>
        <v>Bukalapak</v>
      </c>
      <c r="E1359" s="108"/>
      <c r="F1359" s="111"/>
      <c r="G1359" s="108"/>
      <c r="H1359" s="108"/>
      <c r="I1359" s="108"/>
      <c r="J1359" s="108"/>
      <c r="K1359" s="31" t="str">
        <f t="shared" ref="K1359:K1363" si="267">K1358</f>
        <v>运营中</v>
      </c>
      <c r="L1359" s="108"/>
      <c r="M1359" s="108"/>
      <c r="N1359" s="12">
        <v>1</v>
      </c>
      <c r="O1359" s="36">
        <v>44139</v>
      </c>
      <c r="P1359" s="12" t="s">
        <v>285</v>
      </c>
      <c r="Q1359" s="12" t="s">
        <v>258</v>
      </c>
      <c r="R1359" s="12" t="s">
        <v>2906</v>
      </c>
      <c r="S1359" s="108"/>
      <c r="T1359" s="108"/>
      <c r="U1359" s="111"/>
      <c r="V1359" s="108"/>
      <c r="W1359" s="108"/>
      <c r="X1359" s="108"/>
    </row>
    <row r="1360" spans="1:24" s="26" customFormat="1" hidden="1">
      <c r="A1360" s="33"/>
      <c r="B1360" s="108"/>
      <c r="C1360" s="108"/>
      <c r="D1360" s="31" t="str">
        <f>D1359</f>
        <v>Bukalapak</v>
      </c>
      <c r="E1360" s="108"/>
      <c r="F1360" s="111"/>
      <c r="G1360" s="108"/>
      <c r="H1360" s="108"/>
      <c r="I1360" s="108"/>
      <c r="J1360" s="108"/>
      <c r="K1360" s="31" t="str">
        <f t="shared" si="267"/>
        <v>运营中</v>
      </c>
      <c r="L1360" s="108"/>
      <c r="M1360" s="108"/>
      <c r="N1360" s="12">
        <v>1</v>
      </c>
      <c r="O1360" s="36">
        <v>43482</v>
      </c>
      <c r="P1360" s="17" t="s">
        <v>317</v>
      </c>
      <c r="Q1360" s="17" t="s">
        <v>1032</v>
      </c>
      <c r="R1360" s="17" t="s">
        <v>4844</v>
      </c>
      <c r="S1360" s="108"/>
      <c r="T1360" s="108"/>
      <c r="U1360" s="111"/>
      <c r="V1360" s="108"/>
      <c r="W1360" s="108"/>
      <c r="X1360" s="108"/>
    </row>
    <row r="1361" spans="1:25" s="26" customFormat="1" hidden="1">
      <c r="A1361" s="33"/>
      <c r="B1361" s="108"/>
      <c r="C1361" s="108"/>
      <c r="D1361" s="31" t="str">
        <f>D1360</f>
        <v>Bukalapak</v>
      </c>
      <c r="E1361" s="108"/>
      <c r="F1361" s="111"/>
      <c r="G1361" s="108"/>
      <c r="H1361" s="108"/>
      <c r="I1361" s="108"/>
      <c r="J1361" s="108"/>
      <c r="K1361" s="31" t="str">
        <f t="shared" si="267"/>
        <v>运营中</v>
      </c>
      <c r="L1361" s="108"/>
      <c r="M1361" s="108"/>
      <c r="N1361" s="12">
        <v>1</v>
      </c>
      <c r="O1361" s="36">
        <v>43056</v>
      </c>
      <c r="P1361" s="17" t="s">
        <v>251</v>
      </c>
      <c r="Q1361" s="12" t="s">
        <v>276</v>
      </c>
      <c r="R1361" s="12" t="s">
        <v>240</v>
      </c>
      <c r="S1361" s="108"/>
      <c r="T1361" s="108"/>
      <c r="U1361" s="111"/>
      <c r="V1361" s="108"/>
      <c r="W1361" s="108"/>
      <c r="X1361" s="108"/>
    </row>
    <row r="1362" spans="1:25" s="26" customFormat="1" hidden="1">
      <c r="A1362" s="33"/>
      <c r="B1362" s="108"/>
      <c r="C1362" s="108"/>
      <c r="D1362" s="31" t="str">
        <f>D1361</f>
        <v>Bukalapak</v>
      </c>
      <c r="E1362" s="108"/>
      <c r="F1362" s="111"/>
      <c r="G1362" s="108"/>
      <c r="H1362" s="108"/>
      <c r="I1362" s="108"/>
      <c r="J1362" s="108"/>
      <c r="K1362" s="31" t="str">
        <f t="shared" si="267"/>
        <v>运营中</v>
      </c>
      <c r="L1362" s="108"/>
      <c r="M1362" s="108"/>
      <c r="N1362" s="12">
        <v>1</v>
      </c>
      <c r="O1362" s="36">
        <v>42039</v>
      </c>
      <c r="P1362" s="17" t="s">
        <v>257</v>
      </c>
      <c r="Q1362" s="12" t="s">
        <v>258</v>
      </c>
      <c r="R1362" s="17" t="s">
        <v>4845</v>
      </c>
      <c r="S1362" s="108"/>
      <c r="T1362" s="108"/>
      <c r="U1362" s="111"/>
      <c r="V1362" s="108"/>
      <c r="W1362" s="108"/>
      <c r="X1362" s="108"/>
    </row>
    <row r="1363" spans="1:25" s="26" customFormat="1" hidden="1">
      <c r="A1363" s="33"/>
      <c r="B1363" s="108"/>
      <c r="C1363" s="108"/>
      <c r="D1363" s="31" t="str">
        <f>D1362</f>
        <v>Bukalapak</v>
      </c>
      <c r="E1363" s="108"/>
      <c r="F1363" s="111"/>
      <c r="G1363" s="108"/>
      <c r="H1363" s="108"/>
      <c r="I1363" s="108"/>
      <c r="J1363" s="108"/>
      <c r="K1363" s="31" t="str">
        <f t="shared" si="267"/>
        <v>运营中</v>
      </c>
      <c r="L1363" s="108"/>
      <c r="M1363" s="108"/>
      <c r="N1363" s="12">
        <v>1</v>
      </c>
      <c r="O1363" s="36">
        <v>41683</v>
      </c>
      <c r="P1363" s="17" t="s">
        <v>262</v>
      </c>
      <c r="Q1363" s="12" t="s">
        <v>276</v>
      </c>
      <c r="R1363" s="17" t="s">
        <v>4846</v>
      </c>
      <c r="S1363" s="108"/>
      <c r="T1363" s="108"/>
      <c r="U1363" s="111"/>
      <c r="V1363" s="108"/>
      <c r="W1363" s="108"/>
      <c r="X1363" s="108"/>
    </row>
    <row r="1364" spans="1:25" s="26" customFormat="1" hidden="1">
      <c r="A1364" s="33"/>
      <c r="B1364" s="108"/>
      <c r="C1364" s="108" t="s">
        <v>4847</v>
      </c>
      <c r="D1364" s="31" t="s">
        <v>4848</v>
      </c>
      <c r="E1364" s="107" t="s">
        <v>4848</v>
      </c>
      <c r="F1364" s="110" t="s">
        <v>4849</v>
      </c>
      <c r="G1364" s="107" t="s">
        <v>4850</v>
      </c>
      <c r="H1364" s="108" t="s">
        <v>4851</v>
      </c>
      <c r="I1364" s="108" t="s">
        <v>2773</v>
      </c>
      <c r="J1364" s="107" t="s">
        <v>630</v>
      </c>
      <c r="K1364" s="31" t="s">
        <v>272</v>
      </c>
      <c r="L1364" s="107" t="s">
        <v>350</v>
      </c>
      <c r="M1364" s="107" t="s">
        <v>4852</v>
      </c>
      <c r="N1364" s="12">
        <v>1</v>
      </c>
      <c r="O1364" s="36">
        <v>43488</v>
      </c>
      <c r="P1364" s="12" t="s">
        <v>471</v>
      </c>
      <c r="Q1364" s="17" t="s">
        <v>4853</v>
      </c>
      <c r="R1364" s="12" t="s">
        <v>4854</v>
      </c>
      <c r="S1364" s="108" t="s">
        <v>4855</v>
      </c>
      <c r="T1364" s="108" t="s">
        <v>4856</v>
      </c>
      <c r="U1364" s="111"/>
      <c r="V1364" s="107" t="s">
        <v>4857</v>
      </c>
      <c r="W1364" s="108"/>
      <c r="X1364" s="108"/>
    </row>
    <row r="1365" spans="1:25" s="26" customFormat="1" hidden="1">
      <c r="A1365" s="33"/>
      <c r="B1365" s="108"/>
      <c r="C1365" s="108"/>
      <c r="D1365" s="31" t="str">
        <f>D1364</f>
        <v>居然新零售</v>
      </c>
      <c r="E1365" s="108"/>
      <c r="F1365" s="111"/>
      <c r="G1365" s="108"/>
      <c r="H1365" s="108"/>
      <c r="I1365" s="108"/>
      <c r="J1365" s="108"/>
      <c r="K1365" s="31" t="str">
        <f>K1364</f>
        <v>运营中</v>
      </c>
      <c r="L1365" s="108"/>
      <c r="M1365" s="108"/>
      <c r="N1365" s="12">
        <v>1</v>
      </c>
      <c r="O1365" s="36">
        <v>43142</v>
      </c>
      <c r="P1365" s="12" t="s">
        <v>285</v>
      </c>
      <c r="Q1365" s="17" t="s">
        <v>4858</v>
      </c>
      <c r="R1365" s="12" t="s">
        <v>4859</v>
      </c>
      <c r="S1365" s="108"/>
      <c r="T1365" s="108"/>
      <c r="U1365" s="111"/>
      <c r="V1365" s="108"/>
      <c r="W1365" s="108"/>
      <c r="X1365" s="108"/>
    </row>
    <row r="1366" spans="1:25" s="26" customFormat="1" ht="53.5" customHeight="1">
      <c r="A1366" s="11"/>
      <c r="B1366" s="108"/>
      <c r="C1366" s="108" t="s">
        <v>4860</v>
      </c>
      <c r="D1366" s="31" t="s">
        <v>178</v>
      </c>
      <c r="E1366" s="109" t="s">
        <v>178</v>
      </c>
      <c r="F1366" s="112" t="s">
        <v>4861</v>
      </c>
      <c r="G1366" s="108"/>
      <c r="H1366" s="108" t="s">
        <v>4862</v>
      </c>
      <c r="I1366" s="109" t="s">
        <v>4160</v>
      </c>
      <c r="J1366" s="109" t="s">
        <v>1502</v>
      </c>
      <c r="K1366" s="20" t="s">
        <v>1042</v>
      </c>
      <c r="L1366" s="109" t="s">
        <v>3661</v>
      </c>
      <c r="M1366" s="109" t="s">
        <v>4305</v>
      </c>
      <c r="N1366" s="13"/>
      <c r="O1366" s="24">
        <v>44511</v>
      </c>
      <c r="P1366" s="13" t="s">
        <v>3648</v>
      </c>
      <c r="Q1366" s="13" t="s">
        <v>4863</v>
      </c>
      <c r="R1366" s="13" t="s">
        <v>4864</v>
      </c>
      <c r="S1366" s="109" t="s">
        <v>4865</v>
      </c>
      <c r="T1366" s="109" t="s">
        <v>4866</v>
      </c>
      <c r="U1366" s="112"/>
      <c r="V1366" s="108"/>
      <c r="W1366" s="108"/>
      <c r="X1366" s="108"/>
      <c r="Y1366" s="11"/>
    </row>
    <row r="1367" spans="1:25" s="26" customFormat="1" hidden="1">
      <c r="A1367" s="33"/>
      <c r="B1367" s="108"/>
      <c r="C1367" s="108"/>
      <c r="D1367" s="31" t="str">
        <f>D1366</f>
        <v>Sandbox VR</v>
      </c>
      <c r="E1367" s="108"/>
      <c r="F1367" s="111"/>
      <c r="G1367" s="108"/>
      <c r="H1367" s="108"/>
      <c r="I1367" s="108"/>
      <c r="J1367" s="108"/>
      <c r="K1367" s="31" t="str">
        <f t="shared" ref="K1367:K1368" si="268">K1366</f>
        <v>运营中</v>
      </c>
      <c r="L1367" s="108"/>
      <c r="M1367" s="108"/>
      <c r="N1367" s="17"/>
      <c r="O1367" s="36">
        <v>43761</v>
      </c>
      <c r="P1367" s="12" t="s">
        <v>285</v>
      </c>
      <c r="Q1367" s="17" t="s">
        <v>2993</v>
      </c>
      <c r="R1367" s="17" t="s">
        <v>4867</v>
      </c>
      <c r="S1367" s="108"/>
      <c r="T1367" s="108"/>
      <c r="U1367" s="111"/>
      <c r="V1367" s="108"/>
      <c r="W1367" s="108"/>
      <c r="X1367" s="108"/>
    </row>
    <row r="1368" spans="1:25" s="26" customFormat="1" hidden="1">
      <c r="A1368" s="33"/>
      <c r="B1368" s="108"/>
      <c r="C1368" s="108"/>
      <c r="D1368" s="31" t="str">
        <f>D1367</f>
        <v>Sandbox VR</v>
      </c>
      <c r="E1368" s="108"/>
      <c r="F1368" s="111"/>
      <c r="G1368" s="108"/>
      <c r="H1368" s="108"/>
      <c r="I1368" s="108"/>
      <c r="J1368" s="108"/>
      <c r="K1368" s="31" t="str">
        <f t="shared" si="268"/>
        <v>运营中</v>
      </c>
      <c r="L1368" s="108"/>
      <c r="M1368" s="108"/>
      <c r="N1368" s="17"/>
      <c r="O1368" s="36">
        <v>43494</v>
      </c>
      <c r="P1368" s="17" t="s">
        <v>262</v>
      </c>
      <c r="Q1368" s="17" t="s">
        <v>4868</v>
      </c>
      <c r="R1368" s="12" t="s">
        <v>4869</v>
      </c>
      <c r="S1368" s="108"/>
      <c r="T1368" s="108"/>
      <c r="U1368" s="111"/>
      <c r="V1368" s="108"/>
      <c r="W1368" s="108"/>
      <c r="X1368" s="108"/>
    </row>
    <row r="1369" spans="1:25" s="26" customFormat="1" ht="48" hidden="1">
      <c r="A1369" s="33"/>
      <c r="B1369" s="108"/>
      <c r="C1369" s="17" t="s">
        <v>4870</v>
      </c>
      <c r="D1369" s="38" t="s">
        <v>4871</v>
      </c>
      <c r="E1369" s="12" t="s">
        <v>4871</v>
      </c>
      <c r="F1369" s="32" t="s">
        <v>4872</v>
      </c>
      <c r="G1369" s="12" t="s">
        <v>4873</v>
      </c>
      <c r="H1369" s="17" t="s">
        <v>4874</v>
      </c>
      <c r="I1369" s="17" t="s">
        <v>4683</v>
      </c>
      <c r="J1369" s="12" t="s">
        <v>4875</v>
      </c>
      <c r="K1369" s="38" t="s">
        <v>272</v>
      </c>
      <c r="L1369" s="12" t="s">
        <v>1966</v>
      </c>
      <c r="M1369" s="12" t="s">
        <v>1967</v>
      </c>
      <c r="N1369" s="12"/>
      <c r="O1369" s="36">
        <v>43542</v>
      </c>
      <c r="P1369" s="17" t="s">
        <v>262</v>
      </c>
      <c r="Q1369" s="12" t="s">
        <v>252</v>
      </c>
      <c r="R1369" s="12" t="s">
        <v>240</v>
      </c>
      <c r="S1369" s="17" t="s">
        <v>1683</v>
      </c>
      <c r="T1369" s="12" t="s">
        <v>255</v>
      </c>
      <c r="U1369" s="34"/>
      <c r="V1369" s="12" t="s">
        <v>4876</v>
      </c>
      <c r="W1369" s="17" t="s">
        <v>4877</v>
      </c>
      <c r="X1369" s="17" t="s">
        <v>4878</v>
      </c>
    </row>
    <row r="1370" spans="1:25" s="26" customFormat="1" ht="53.5" customHeight="1">
      <c r="A1370" s="11"/>
      <c r="B1370" s="108"/>
      <c r="C1370" s="108" t="s">
        <v>4879</v>
      </c>
      <c r="D1370" s="31" t="s">
        <v>4880</v>
      </c>
      <c r="E1370" s="109" t="s">
        <v>4881</v>
      </c>
      <c r="F1370" s="112" t="s">
        <v>4882</v>
      </c>
      <c r="G1370" s="107" t="s">
        <v>4883</v>
      </c>
      <c r="H1370" s="108"/>
      <c r="I1370" s="109" t="s">
        <v>4683</v>
      </c>
      <c r="J1370" s="109" t="s">
        <v>406</v>
      </c>
      <c r="K1370" s="20" t="s">
        <v>1042</v>
      </c>
      <c r="L1370" s="109" t="s">
        <v>4472</v>
      </c>
      <c r="M1370" s="109" t="s">
        <v>4731</v>
      </c>
      <c r="N1370" s="13"/>
      <c r="O1370" s="24">
        <v>44253</v>
      </c>
      <c r="P1370" s="13" t="s">
        <v>1045</v>
      </c>
      <c r="Q1370" s="13" t="s">
        <v>3514</v>
      </c>
      <c r="R1370" s="13" t="s">
        <v>1751</v>
      </c>
      <c r="S1370" s="109" t="s">
        <v>4884</v>
      </c>
      <c r="T1370" s="109" t="s">
        <v>4885</v>
      </c>
      <c r="U1370" s="112" t="s">
        <v>4886</v>
      </c>
      <c r="V1370" s="107" t="s">
        <v>4887</v>
      </c>
      <c r="W1370" s="108"/>
      <c r="X1370" s="108"/>
      <c r="Y1370" s="11"/>
    </row>
    <row r="1371" spans="1:25" s="26" customFormat="1" hidden="1">
      <c r="A1371" s="33"/>
      <c r="B1371" s="108"/>
      <c r="C1371" s="108"/>
      <c r="D1371" s="31" t="str">
        <f>D1370</f>
        <v>菜划算</v>
      </c>
      <c r="E1371" s="108"/>
      <c r="F1371" s="111"/>
      <c r="G1371" s="108"/>
      <c r="H1371" s="108"/>
      <c r="I1371" s="108"/>
      <c r="J1371" s="108"/>
      <c r="K1371" s="31" t="str">
        <f>K1370</f>
        <v>运营中</v>
      </c>
      <c r="L1371" s="108"/>
      <c r="M1371" s="108"/>
      <c r="N1371" s="17"/>
      <c r="O1371" s="36">
        <v>43613</v>
      </c>
      <c r="P1371" s="17" t="s">
        <v>262</v>
      </c>
      <c r="Q1371" s="12" t="s">
        <v>341</v>
      </c>
      <c r="R1371" s="12" t="s">
        <v>4888</v>
      </c>
      <c r="S1371" s="108"/>
      <c r="T1371" s="108"/>
      <c r="U1371" s="111"/>
      <c r="V1371" s="108"/>
      <c r="W1371" s="108"/>
      <c r="X1371" s="108"/>
    </row>
    <row r="1372" spans="1:25" s="26" customFormat="1" ht="72" hidden="1">
      <c r="A1372" s="33"/>
      <c r="B1372" s="108"/>
      <c r="C1372" s="17" t="s">
        <v>4889</v>
      </c>
      <c r="D1372" s="38" t="s">
        <v>4890</v>
      </c>
      <c r="E1372" s="12" t="s">
        <v>4890</v>
      </c>
      <c r="F1372" s="32" t="s">
        <v>4891</v>
      </c>
      <c r="G1372" s="12" t="s">
        <v>4892</v>
      </c>
      <c r="H1372" s="17" t="s">
        <v>4893</v>
      </c>
      <c r="I1372" s="17" t="s">
        <v>4683</v>
      </c>
      <c r="J1372" s="12" t="s">
        <v>406</v>
      </c>
      <c r="K1372" s="38" t="s">
        <v>272</v>
      </c>
      <c r="L1372" s="12" t="s">
        <v>350</v>
      </c>
      <c r="M1372" s="12" t="s">
        <v>617</v>
      </c>
      <c r="N1372" s="12">
        <v>1</v>
      </c>
      <c r="O1372" s="36">
        <v>43734</v>
      </c>
      <c r="P1372" s="12" t="s">
        <v>471</v>
      </c>
      <c r="Q1372" s="12" t="s">
        <v>252</v>
      </c>
      <c r="R1372" s="12" t="s">
        <v>240</v>
      </c>
      <c r="S1372" s="17" t="s">
        <v>253</v>
      </c>
      <c r="T1372" s="12" t="s">
        <v>255</v>
      </c>
      <c r="U1372" s="32" t="s">
        <v>4894</v>
      </c>
      <c r="V1372" s="12" t="s">
        <v>4895</v>
      </c>
      <c r="W1372" s="17"/>
      <c r="X1372" s="17" t="s">
        <v>4896</v>
      </c>
    </row>
    <row r="1373" spans="1:25" s="26" customFormat="1" ht="60">
      <c r="A1373" s="11"/>
      <c r="B1373" s="108"/>
      <c r="C1373" s="17" t="s">
        <v>4897</v>
      </c>
      <c r="D1373" s="38" t="s">
        <v>4898</v>
      </c>
      <c r="E1373" s="13" t="s">
        <v>4899</v>
      </c>
      <c r="F1373" s="18" t="s">
        <v>4900</v>
      </c>
      <c r="G1373" s="12" t="s">
        <v>4901</v>
      </c>
      <c r="H1373" s="17" t="s">
        <v>4902</v>
      </c>
      <c r="I1373" s="13" t="s">
        <v>3332</v>
      </c>
      <c r="J1373" s="13" t="s">
        <v>428</v>
      </c>
      <c r="K1373" s="25" t="s">
        <v>1042</v>
      </c>
      <c r="L1373" s="13" t="s">
        <v>2711</v>
      </c>
      <c r="M1373" s="13" t="s">
        <v>4903</v>
      </c>
      <c r="N1373" s="13"/>
      <c r="O1373" s="24">
        <v>44517</v>
      </c>
      <c r="P1373" s="13" t="s">
        <v>1045</v>
      </c>
      <c r="Q1373" s="13" t="s">
        <v>4904</v>
      </c>
      <c r="R1373" s="13" t="s">
        <v>1751</v>
      </c>
      <c r="S1373" s="13" t="s">
        <v>4905</v>
      </c>
      <c r="T1373" s="13" t="s">
        <v>4906</v>
      </c>
      <c r="U1373" s="18" t="s">
        <v>4907</v>
      </c>
      <c r="V1373" s="12" t="s">
        <v>4908</v>
      </c>
      <c r="W1373" s="17" t="s">
        <v>4909</v>
      </c>
      <c r="X1373" s="17" t="s">
        <v>4910</v>
      </c>
      <c r="Y1373" s="11"/>
    </row>
    <row r="1374" spans="1:25" s="26" customFormat="1" hidden="1">
      <c r="A1374" s="33"/>
      <c r="B1374" s="108"/>
      <c r="C1374" s="108" t="s">
        <v>4911</v>
      </c>
      <c r="D1374" s="31" t="s">
        <v>4912</v>
      </c>
      <c r="E1374" s="107" t="s">
        <v>4912</v>
      </c>
      <c r="F1374" s="110" t="s">
        <v>4913</v>
      </c>
      <c r="G1374" s="107" t="s">
        <v>4914</v>
      </c>
      <c r="H1374" s="108" t="s">
        <v>4915</v>
      </c>
      <c r="I1374" s="108" t="s">
        <v>4916</v>
      </c>
      <c r="J1374" s="107" t="s">
        <v>3971</v>
      </c>
      <c r="K1374" s="31" t="s">
        <v>272</v>
      </c>
      <c r="L1374" s="107" t="s">
        <v>350</v>
      </c>
      <c r="M1374" s="107" t="s">
        <v>728</v>
      </c>
      <c r="N1374" s="12">
        <v>1</v>
      </c>
      <c r="O1374" s="36">
        <v>44809</v>
      </c>
      <c r="P1374" s="17" t="s">
        <v>283</v>
      </c>
      <c r="Q1374" s="17" t="s">
        <v>4917</v>
      </c>
      <c r="R1374" s="17" t="s">
        <v>253</v>
      </c>
      <c r="S1374" s="108" t="s">
        <v>4918</v>
      </c>
      <c r="T1374" s="108" t="s">
        <v>4919</v>
      </c>
      <c r="U1374" s="110" t="s">
        <v>4920</v>
      </c>
      <c r="V1374" s="107" t="s">
        <v>4921</v>
      </c>
      <c r="W1374" s="108" t="s">
        <v>4922</v>
      </c>
      <c r="X1374" s="108"/>
    </row>
    <row r="1375" spans="1:25" s="26" customFormat="1" hidden="1">
      <c r="A1375" s="33"/>
      <c r="B1375" s="108"/>
      <c r="C1375" s="108"/>
      <c r="D1375" s="31" t="str">
        <f>D1374</f>
        <v>洪九果品</v>
      </c>
      <c r="E1375" s="108"/>
      <c r="F1375" s="111"/>
      <c r="G1375" s="108"/>
      <c r="H1375" s="108"/>
      <c r="I1375" s="108"/>
      <c r="J1375" s="108"/>
      <c r="K1375" s="31" t="str">
        <f t="shared" ref="K1375:K1379" si="269">K1374</f>
        <v>运营中</v>
      </c>
      <c r="L1375" s="108"/>
      <c r="M1375" s="108"/>
      <c r="N1375" s="12">
        <v>1</v>
      </c>
      <c r="O1375" s="36">
        <v>44798</v>
      </c>
      <c r="P1375" s="12" t="s">
        <v>654</v>
      </c>
      <c r="Q1375" s="17" t="s">
        <v>4923</v>
      </c>
      <c r="R1375" s="12" t="s">
        <v>4924</v>
      </c>
      <c r="S1375" s="108"/>
      <c r="T1375" s="108"/>
      <c r="U1375" s="111"/>
      <c r="V1375" s="108"/>
      <c r="W1375" s="108"/>
      <c r="X1375" s="108"/>
    </row>
    <row r="1376" spans="1:25" s="26" customFormat="1" hidden="1">
      <c r="A1376" s="33"/>
      <c r="B1376" s="108"/>
      <c r="C1376" s="108"/>
      <c r="D1376" s="31" t="str">
        <f>D1375</f>
        <v>洪九果品</v>
      </c>
      <c r="E1376" s="108"/>
      <c r="F1376" s="111"/>
      <c r="G1376" s="108"/>
      <c r="H1376" s="108"/>
      <c r="I1376" s="108"/>
      <c r="J1376" s="108"/>
      <c r="K1376" s="31" t="str">
        <f t="shared" si="269"/>
        <v>运营中</v>
      </c>
      <c r="L1376" s="108"/>
      <c r="M1376" s="108"/>
      <c r="N1376" s="12">
        <v>1</v>
      </c>
      <c r="O1376" s="36">
        <v>43789</v>
      </c>
      <c r="P1376" s="17" t="s">
        <v>251</v>
      </c>
      <c r="Q1376" s="17" t="s">
        <v>773</v>
      </c>
      <c r="R1376" s="12" t="s">
        <v>4925</v>
      </c>
      <c r="S1376" s="108"/>
      <c r="T1376" s="108"/>
      <c r="U1376" s="111"/>
      <c r="V1376" s="108"/>
      <c r="W1376" s="108"/>
      <c r="X1376" s="108"/>
    </row>
    <row r="1377" spans="1:25" s="26" customFormat="1" hidden="1">
      <c r="A1377" s="33"/>
      <c r="B1377" s="108"/>
      <c r="C1377" s="108"/>
      <c r="D1377" s="31" t="str">
        <f>D1376</f>
        <v>洪九果品</v>
      </c>
      <c r="E1377" s="108"/>
      <c r="F1377" s="111"/>
      <c r="G1377" s="108"/>
      <c r="H1377" s="108"/>
      <c r="I1377" s="108"/>
      <c r="J1377" s="108"/>
      <c r="K1377" s="31" t="str">
        <f t="shared" si="269"/>
        <v>运营中</v>
      </c>
      <c r="L1377" s="108"/>
      <c r="M1377" s="108"/>
      <c r="N1377" s="12">
        <v>1</v>
      </c>
      <c r="O1377" s="36">
        <v>43593</v>
      </c>
      <c r="P1377" s="12" t="s">
        <v>285</v>
      </c>
      <c r="Q1377" s="12" t="s">
        <v>409</v>
      </c>
      <c r="R1377" s="12" t="s">
        <v>4926</v>
      </c>
      <c r="S1377" s="108"/>
      <c r="T1377" s="108"/>
      <c r="U1377" s="111"/>
      <c r="V1377" s="108"/>
      <c r="W1377" s="108"/>
      <c r="X1377" s="108"/>
    </row>
    <row r="1378" spans="1:25" s="26" customFormat="1" hidden="1">
      <c r="A1378" s="33"/>
      <c r="B1378" s="108"/>
      <c r="C1378" s="108"/>
      <c r="D1378" s="31" t="str">
        <f>D1377</f>
        <v>洪九果品</v>
      </c>
      <c r="E1378" s="108"/>
      <c r="F1378" s="111"/>
      <c r="G1378" s="108"/>
      <c r="H1378" s="108"/>
      <c r="I1378" s="108"/>
      <c r="J1378" s="108"/>
      <c r="K1378" s="31" t="str">
        <f t="shared" si="269"/>
        <v>运营中</v>
      </c>
      <c r="L1378" s="108"/>
      <c r="M1378" s="108"/>
      <c r="N1378" s="12">
        <v>1</v>
      </c>
      <c r="O1378" s="36">
        <v>43461</v>
      </c>
      <c r="P1378" s="17" t="s">
        <v>257</v>
      </c>
      <c r="Q1378" s="12" t="s">
        <v>409</v>
      </c>
      <c r="R1378" s="12" t="s">
        <v>4927</v>
      </c>
      <c r="S1378" s="108"/>
      <c r="T1378" s="108"/>
      <c r="U1378" s="111"/>
      <c r="V1378" s="108"/>
      <c r="W1378" s="108"/>
      <c r="X1378" s="108"/>
    </row>
    <row r="1379" spans="1:25" s="26" customFormat="1" hidden="1">
      <c r="A1379" s="33"/>
      <c r="B1379" s="108"/>
      <c r="C1379" s="108"/>
      <c r="D1379" s="31" t="str">
        <f>D1378</f>
        <v>洪九果品</v>
      </c>
      <c r="E1379" s="108"/>
      <c r="F1379" s="111"/>
      <c r="G1379" s="108"/>
      <c r="H1379" s="108"/>
      <c r="I1379" s="108"/>
      <c r="J1379" s="108"/>
      <c r="K1379" s="31" t="str">
        <f t="shared" si="269"/>
        <v>运营中</v>
      </c>
      <c r="L1379" s="108"/>
      <c r="M1379" s="108"/>
      <c r="N1379" s="12">
        <v>1</v>
      </c>
      <c r="O1379" s="36">
        <v>43214</v>
      </c>
      <c r="P1379" s="17" t="s">
        <v>262</v>
      </c>
      <c r="Q1379" s="12" t="s">
        <v>341</v>
      </c>
      <c r="R1379" s="12" t="s">
        <v>4928</v>
      </c>
      <c r="S1379" s="108"/>
      <c r="T1379" s="108"/>
      <c r="U1379" s="111"/>
      <c r="V1379" s="108"/>
      <c r="W1379" s="108"/>
      <c r="X1379" s="108"/>
    </row>
    <row r="1380" spans="1:25" s="26" customFormat="1" ht="36" hidden="1">
      <c r="A1380" s="33"/>
      <c r="B1380" s="108"/>
      <c r="C1380" s="17" t="s">
        <v>4929</v>
      </c>
      <c r="D1380" s="38" t="s">
        <v>4930</v>
      </c>
      <c r="E1380" s="17" t="s">
        <v>4930</v>
      </c>
      <c r="F1380" s="34" t="s">
        <v>4931</v>
      </c>
      <c r="G1380" s="17"/>
      <c r="H1380" s="17" t="s">
        <v>4932</v>
      </c>
      <c r="I1380" s="17" t="s">
        <v>4160</v>
      </c>
      <c r="J1380" s="12" t="s">
        <v>1725</v>
      </c>
      <c r="K1380" s="38" t="s">
        <v>272</v>
      </c>
      <c r="L1380" s="12" t="s">
        <v>386</v>
      </c>
      <c r="M1380" s="12" t="s">
        <v>929</v>
      </c>
      <c r="N1380" s="12"/>
      <c r="O1380" s="36">
        <v>43613</v>
      </c>
      <c r="P1380" s="12" t="s">
        <v>285</v>
      </c>
      <c r="Q1380" s="12" t="s">
        <v>299</v>
      </c>
      <c r="R1380" s="12" t="s">
        <v>240</v>
      </c>
      <c r="S1380" s="17" t="s">
        <v>4933</v>
      </c>
      <c r="T1380" s="17" t="s">
        <v>731</v>
      </c>
      <c r="U1380" s="34" t="s">
        <v>4934</v>
      </c>
      <c r="V1380" s="17"/>
      <c r="W1380" s="17"/>
      <c r="X1380" s="17"/>
    </row>
    <row r="1381" spans="1:25" s="26" customFormat="1" hidden="1">
      <c r="A1381" s="33"/>
      <c r="B1381" s="108"/>
      <c r="C1381" s="108" t="s">
        <v>4935</v>
      </c>
      <c r="D1381" s="31" t="s">
        <v>4936</v>
      </c>
      <c r="E1381" s="107" t="s">
        <v>4936</v>
      </c>
      <c r="F1381" s="110" t="s">
        <v>4937</v>
      </c>
      <c r="G1381" s="107" t="s">
        <v>4938</v>
      </c>
      <c r="H1381" s="108" t="s">
        <v>4939</v>
      </c>
      <c r="I1381" s="108" t="s">
        <v>4940</v>
      </c>
      <c r="J1381" s="107" t="s">
        <v>1126</v>
      </c>
      <c r="K1381" s="31" t="s">
        <v>272</v>
      </c>
      <c r="L1381" s="107" t="s">
        <v>1859</v>
      </c>
      <c r="M1381" s="107" t="s">
        <v>4173</v>
      </c>
      <c r="N1381" s="12">
        <v>1</v>
      </c>
      <c r="O1381" s="36">
        <v>43639</v>
      </c>
      <c r="P1381" s="17" t="s">
        <v>283</v>
      </c>
      <c r="Q1381" s="17" t="s">
        <v>4941</v>
      </c>
      <c r="R1381" s="17" t="s">
        <v>253</v>
      </c>
      <c r="S1381" s="108" t="s">
        <v>4942</v>
      </c>
      <c r="T1381" s="108" t="s">
        <v>4943</v>
      </c>
      <c r="U1381" s="110" t="s">
        <v>4944</v>
      </c>
      <c r="V1381" s="107" t="s">
        <v>4945</v>
      </c>
      <c r="W1381" s="108" t="s">
        <v>4946</v>
      </c>
      <c r="X1381" s="108" t="s">
        <v>4947</v>
      </c>
    </row>
    <row r="1382" spans="1:25" s="26" customFormat="1" hidden="1">
      <c r="A1382" s="33"/>
      <c r="B1382" s="108"/>
      <c r="C1382" s="108"/>
      <c r="D1382" s="31" t="str">
        <f t="shared" ref="D1382:D1389" si="270">D1381</f>
        <v>华泰证券</v>
      </c>
      <c r="E1382" s="108"/>
      <c r="F1382" s="111"/>
      <c r="G1382" s="108"/>
      <c r="H1382" s="108"/>
      <c r="I1382" s="108"/>
      <c r="J1382" s="108"/>
      <c r="K1382" s="31" t="str">
        <f t="shared" ref="K1382:K1389" si="271">K1381</f>
        <v>运营中</v>
      </c>
      <c r="L1382" s="108"/>
      <c r="M1382" s="108"/>
      <c r="N1382" s="12">
        <v>1</v>
      </c>
      <c r="O1382" s="36">
        <v>43315</v>
      </c>
      <c r="P1382" s="17" t="s">
        <v>687</v>
      </c>
      <c r="Q1382" s="17" t="s">
        <v>4948</v>
      </c>
      <c r="R1382" s="12" t="s">
        <v>4949</v>
      </c>
      <c r="S1382" s="108"/>
      <c r="T1382" s="108"/>
      <c r="U1382" s="111"/>
      <c r="V1382" s="108"/>
      <c r="W1382" s="108"/>
      <c r="X1382" s="108"/>
    </row>
    <row r="1383" spans="1:25" s="26" customFormat="1" hidden="1">
      <c r="A1383" s="33"/>
      <c r="B1383" s="108"/>
      <c r="C1383" s="108"/>
      <c r="D1383" s="31" t="str">
        <f t="shared" si="270"/>
        <v>华泰证券</v>
      </c>
      <c r="E1383" s="108"/>
      <c r="F1383" s="111"/>
      <c r="G1383" s="108"/>
      <c r="H1383" s="108"/>
      <c r="I1383" s="108"/>
      <c r="J1383" s="108"/>
      <c r="K1383" s="31" t="str">
        <f t="shared" si="271"/>
        <v>运营中</v>
      </c>
      <c r="L1383" s="108"/>
      <c r="M1383" s="108"/>
      <c r="N1383" s="12">
        <v>1</v>
      </c>
      <c r="O1383" s="36">
        <v>42430</v>
      </c>
      <c r="P1383" s="17" t="s">
        <v>687</v>
      </c>
      <c r="Q1383" s="12" t="s">
        <v>252</v>
      </c>
      <c r="R1383" s="12" t="s">
        <v>4950</v>
      </c>
      <c r="S1383" s="108"/>
      <c r="T1383" s="108"/>
      <c r="U1383" s="111"/>
      <c r="V1383" s="108"/>
      <c r="W1383" s="108"/>
      <c r="X1383" s="108"/>
    </row>
    <row r="1384" spans="1:25" s="26" customFormat="1" hidden="1">
      <c r="A1384" s="33"/>
      <c r="B1384" s="108"/>
      <c r="C1384" s="108"/>
      <c r="D1384" s="31" t="str">
        <f t="shared" si="270"/>
        <v>华泰证券</v>
      </c>
      <c r="E1384" s="108"/>
      <c r="F1384" s="111"/>
      <c r="G1384" s="108"/>
      <c r="H1384" s="108"/>
      <c r="I1384" s="108"/>
      <c r="J1384" s="108"/>
      <c r="K1384" s="31" t="str">
        <f t="shared" si="271"/>
        <v>运营中</v>
      </c>
      <c r="L1384" s="108"/>
      <c r="M1384" s="108"/>
      <c r="N1384" s="12">
        <v>1</v>
      </c>
      <c r="O1384" s="36">
        <v>42156</v>
      </c>
      <c r="P1384" s="17" t="s">
        <v>283</v>
      </c>
      <c r="Q1384" s="17" t="s">
        <v>4951</v>
      </c>
      <c r="R1384" s="17" t="s">
        <v>253</v>
      </c>
      <c r="S1384" s="108"/>
      <c r="T1384" s="108"/>
      <c r="U1384" s="111"/>
      <c r="V1384" s="108"/>
      <c r="W1384" s="108"/>
      <c r="X1384" s="108"/>
    </row>
    <row r="1385" spans="1:25" s="26" customFormat="1" hidden="1">
      <c r="A1385" s="33"/>
      <c r="B1385" s="108"/>
      <c r="C1385" s="108"/>
      <c r="D1385" s="31" t="str">
        <f t="shared" si="270"/>
        <v>华泰证券</v>
      </c>
      <c r="E1385" s="108"/>
      <c r="F1385" s="111"/>
      <c r="G1385" s="108"/>
      <c r="H1385" s="108"/>
      <c r="I1385" s="108"/>
      <c r="J1385" s="108"/>
      <c r="K1385" s="31" t="str">
        <f t="shared" si="271"/>
        <v>运营中</v>
      </c>
      <c r="L1385" s="108"/>
      <c r="M1385" s="108"/>
      <c r="N1385" s="12">
        <v>1</v>
      </c>
      <c r="O1385" s="36">
        <v>42144</v>
      </c>
      <c r="P1385" s="12" t="s">
        <v>654</v>
      </c>
      <c r="Q1385" s="12" t="s">
        <v>299</v>
      </c>
      <c r="R1385" s="12" t="s">
        <v>4952</v>
      </c>
      <c r="S1385" s="108"/>
      <c r="T1385" s="108"/>
      <c r="U1385" s="111"/>
      <c r="V1385" s="108"/>
      <c r="W1385" s="108"/>
      <c r="X1385" s="108"/>
    </row>
    <row r="1386" spans="1:25" s="26" customFormat="1" hidden="1">
      <c r="A1386" s="33"/>
      <c r="B1386" s="108"/>
      <c r="C1386" s="108"/>
      <c r="D1386" s="31" t="str">
        <f t="shared" si="270"/>
        <v>华泰证券</v>
      </c>
      <c r="E1386" s="108"/>
      <c r="F1386" s="111"/>
      <c r="G1386" s="108"/>
      <c r="H1386" s="108"/>
      <c r="I1386" s="108"/>
      <c r="J1386" s="108"/>
      <c r="K1386" s="31" t="str">
        <f t="shared" si="271"/>
        <v>运营中</v>
      </c>
      <c r="L1386" s="108"/>
      <c r="M1386" s="108"/>
      <c r="N1386" s="12">
        <v>1</v>
      </c>
      <c r="O1386" s="36">
        <v>42125</v>
      </c>
      <c r="P1386" s="12" t="s">
        <v>654</v>
      </c>
      <c r="Q1386" s="17" t="s">
        <v>458</v>
      </c>
      <c r="R1386" s="12" t="s">
        <v>4953</v>
      </c>
      <c r="S1386" s="108"/>
      <c r="T1386" s="108"/>
      <c r="U1386" s="111"/>
      <c r="V1386" s="108"/>
      <c r="W1386" s="108"/>
      <c r="X1386" s="108"/>
    </row>
    <row r="1387" spans="1:25" s="26" customFormat="1" hidden="1">
      <c r="A1387" s="33"/>
      <c r="B1387" s="108"/>
      <c r="C1387" s="108"/>
      <c r="D1387" s="31" t="str">
        <f t="shared" si="270"/>
        <v>华泰证券</v>
      </c>
      <c r="E1387" s="108"/>
      <c r="F1387" s="111"/>
      <c r="G1387" s="108"/>
      <c r="H1387" s="108"/>
      <c r="I1387" s="108"/>
      <c r="J1387" s="108"/>
      <c r="K1387" s="31" t="str">
        <f t="shared" si="271"/>
        <v>运营中</v>
      </c>
      <c r="L1387" s="108"/>
      <c r="M1387" s="108"/>
      <c r="N1387" s="12">
        <v>1</v>
      </c>
      <c r="O1387" s="36">
        <v>40235</v>
      </c>
      <c r="P1387" s="17" t="s">
        <v>283</v>
      </c>
      <c r="Q1387" s="17" t="s">
        <v>4954</v>
      </c>
      <c r="R1387" s="17" t="s">
        <v>253</v>
      </c>
      <c r="S1387" s="108"/>
      <c r="T1387" s="108"/>
      <c r="U1387" s="111"/>
      <c r="V1387" s="108"/>
      <c r="W1387" s="108"/>
      <c r="X1387" s="108"/>
    </row>
    <row r="1388" spans="1:25" s="26" customFormat="1" hidden="1">
      <c r="A1388" s="33"/>
      <c r="B1388" s="108"/>
      <c r="C1388" s="108"/>
      <c r="D1388" s="31" t="str">
        <f t="shared" si="270"/>
        <v>华泰证券</v>
      </c>
      <c r="E1388" s="108"/>
      <c r="F1388" s="111"/>
      <c r="G1388" s="108"/>
      <c r="H1388" s="108"/>
      <c r="I1388" s="108"/>
      <c r="J1388" s="108"/>
      <c r="K1388" s="31" t="str">
        <f t="shared" si="271"/>
        <v>运营中</v>
      </c>
      <c r="L1388" s="108"/>
      <c r="M1388" s="108"/>
      <c r="N1388" s="12">
        <v>1</v>
      </c>
      <c r="O1388" s="36">
        <v>40179</v>
      </c>
      <c r="P1388" s="12" t="s">
        <v>285</v>
      </c>
      <c r="Q1388" s="12" t="s">
        <v>252</v>
      </c>
      <c r="R1388" s="12" t="s">
        <v>4955</v>
      </c>
      <c r="S1388" s="108"/>
      <c r="T1388" s="108"/>
      <c r="U1388" s="111"/>
      <c r="V1388" s="108"/>
      <c r="W1388" s="108"/>
      <c r="X1388" s="108"/>
    </row>
    <row r="1389" spans="1:25" s="26" customFormat="1" hidden="1">
      <c r="A1389" s="33"/>
      <c r="B1389" s="108"/>
      <c r="C1389" s="108"/>
      <c r="D1389" s="31" t="str">
        <f t="shared" si="270"/>
        <v>华泰证券</v>
      </c>
      <c r="E1389" s="108"/>
      <c r="F1389" s="111"/>
      <c r="G1389" s="108"/>
      <c r="H1389" s="108"/>
      <c r="I1389" s="108"/>
      <c r="J1389" s="108"/>
      <c r="K1389" s="31" t="str">
        <f t="shared" si="271"/>
        <v>运营中</v>
      </c>
      <c r="L1389" s="108"/>
      <c r="M1389" s="108"/>
      <c r="N1389" s="12">
        <v>1</v>
      </c>
      <c r="O1389" s="36">
        <v>33359</v>
      </c>
      <c r="P1389" s="12" t="s">
        <v>326</v>
      </c>
      <c r="Q1389" s="12" t="s">
        <v>252</v>
      </c>
      <c r="R1389" s="12" t="s">
        <v>4956</v>
      </c>
      <c r="S1389" s="108"/>
      <c r="T1389" s="108"/>
      <c r="U1389" s="111"/>
      <c r="V1389" s="108"/>
      <c r="W1389" s="108"/>
      <c r="X1389" s="108"/>
    </row>
    <row r="1390" spans="1:25" s="26" customFormat="1" hidden="1">
      <c r="A1390" s="33"/>
      <c r="B1390" s="108"/>
      <c r="C1390" s="108" t="s">
        <v>4957</v>
      </c>
      <c r="D1390" s="31" t="s">
        <v>4958</v>
      </c>
      <c r="E1390" s="108" t="s">
        <v>4959</v>
      </c>
      <c r="F1390" s="111" t="s">
        <v>4960</v>
      </c>
      <c r="G1390" s="107" t="s">
        <v>4961</v>
      </c>
      <c r="H1390" s="108" t="s">
        <v>4962</v>
      </c>
      <c r="I1390" s="108" t="s">
        <v>4963</v>
      </c>
      <c r="J1390" s="107" t="s">
        <v>1126</v>
      </c>
      <c r="K1390" s="31" t="s">
        <v>272</v>
      </c>
      <c r="L1390" s="107" t="s">
        <v>273</v>
      </c>
      <c r="M1390" s="107" t="s">
        <v>274</v>
      </c>
      <c r="N1390" s="12"/>
      <c r="O1390" s="36">
        <v>45135</v>
      </c>
      <c r="P1390" s="17" t="s">
        <v>260</v>
      </c>
      <c r="Q1390" s="12" t="s">
        <v>409</v>
      </c>
      <c r="R1390" s="12" t="s">
        <v>4964</v>
      </c>
      <c r="S1390" s="108" t="s">
        <v>4965</v>
      </c>
      <c r="T1390" s="108" t="s">
        <v>4966</v>
      </c>
      <c r="U1390" s="110" t="s">
        <v>4967</v>
      </c>
      <c r="V1390" s="107" t="s">
        <v>4968</v>
      </c>
      <c r="W1390" s="108" t="s">
        <v>4969</v>
      </c>
      <c r="X1390" s="108" t="s">
        <v>4970</v>
      </c>
    </row>
    <row r="1391" spans="1:25" s="26" customFormat="1" ht="54.5" customHeight="1">
      <c r="A1391" s="11"/>
      <c r="B1391" s="108"/>
      <c r="C1391" s="108"/>
      <c r="D1391" s="31" t="str">
        <f>D1390</f>
        <v>T3出行</v>
      </c>
      <c r="E1391" s="109"/>
      <c r="F1391" s="112"/>
      <c r="G1391" s="108"/>
      <c r="H1391" s="108"/>
      <c r="I1391" s="109"/>
      <c r="J1391" s="109"/>
      <c r="K1391" s="20" t="str">
        <f t="shared" ref="K1391:K1392" si="272">K1390</f>
        <v>运营中</v>
      </c>
      <c r="L1391" s="109"/>
      <c r="M1391" s="109"/>
      <c r="N1391" s="13"/>
      <c r="O1391" s="24">
        <v>44495</v>
      </c>
      <c r="P1391" s="13" t="s">
        <v>3513</v>
      </c>
      <c r="Q1391" s="13" t="s">
        <v>4971</v>
      </c>
      <c r="R1391" s="13" t="s">
        <v>4972</v>
      </c>
      <c r="S1391" s="109"/>
      <c r="T1391" s="109"/>
      <c r="U1391" s="112"/>
      <c r="V1391" s="108"/>
      <c r="W1391" s="108"/>
      <c r="X1391" s="108"/>
      <c r="Y1391" s="11"/>
    </row>
    <row r="1392" spans="1:25" s="26" customFormat="1" hidden="1">
      <c r="A1392" s="33"/>
      <c r="B1392" s="108"/>
      <c r="C1392" s="108"/>
      <c r="D1392" s="31" t="str">
        <f>D1391</f>
        <v>T3出行</v>
      </c>
      <c r="E1392" s="108"/>
      <c r="F1392" s="111"/>
      <c r="G1392" s="108"/>
      <c r="H1392" s="108"/>
      <c r="I1392" s="108"/>
      <c r="J1392" s="108"/>
      <c r="K1392" s="31" t="str">
        <f t="shared" si="272"/>
        <v>运营中</v>
      </c>
      <c r="L1392" s="108"/>
      <c r="M1392" s="108"/>
      <c r="N1392" s="17"/>
      <c r="O1392" s="36">
        <v>43549</v>
      </c>
      <c r="P1392" s="12" t="s">
        <v>285</v>
      </c>
      <c r="Q1392" s="12" t="s">
        <v>252</v>
      </c>
      <c r="R1392" s="12" t="s">
        <v>4973</v>
      </c>
      <c r="S1392" s="108"/>
      <c r="T1392" s="108"/>
      <c r="U1392" s="111"/>
      <c r="V1392" s="108"/>
      <c r="W1392" s="108"/>
      <c r="X1392" s="108"/>
    </row>
    <row r="1393" spans="1:25" s="26" customFormat="1" ht="72" hidden="1">
      <c r="A1393" s="33"/>
      <c r="B1393" s="108"/>
      <c r="C1393" s="17" t="s">
        <v>4974</v>
      </c>
      <c r="D1393" s="38" t="s">
        <v>4975</v>
      </c>
      <c r="E1393" s="12" t="s">
        <v>4975</v>
      </c>
      <c r="F1393" s="32" t="s">
        <v>4976</v>
      </c>
      <c r="G1393" s="12" t="s">
        <v>4977</v>
      </c>
      <c r="H1393" s="17" t="s">
        <v>4978</v>
      </c>
      <c r="I1393" s="17" t="s">
        <v>4717</v>
      </c>
      <c r="J1393" s="12" t="s">
        <v>406</v>
      </c>
      <c r="K1393" s="38" t="s">
        <v>272</v>
      </c>
      <c r="L1393" s="12" t="s">
        <v>944</v>
      </c>
      <c r="M1393" s="12" t="s">
        <v>1423</v>
      </c>
      <c r="N1393" s="12"/>
      <c r="O1393" s="36">
        <v>43404</v>
      </c>
      <c r="P1393" s="12" t="s">
        <v>285</v>
      </c>
      <c r="Q1393" s="12" t="s">
        <v>252</v>
      </c>
      <c r="R1393" s="12" t="s">
        <v>240</v>
      </c>
      <c r="S1393" s="17" t="s">
        <v>4335</v>
      </c>
      <c r="T1393" s="12" t="s">
        <v>255</v>
      </c>
      <c r="U1393" s="34"/>
      <c r="V1393" s="12" t="s">
        <v>4979</v>
      </c>
      <c r="W1393" s="17"/>
      <c r="X1393" s="17" t="s">
        <v>4980</v>
      </c>
    </row>
    <row r="1394" spans="1:25" s="26" customFormat="1" ht="54.5" customHeight="1">
      <c r="A1394" s="11"/>
      <c r="B1394" s="108"/>
      <c r="C1394" s="108" t="s">
        <v>4981</v>
      </c>
      <c r="D1394" s="31" t="s">
        <v>4982</v>
      </c>
      <c r="E1394" s="109" t="s">
        <v>4983</v>
      </c>
      <c r="F1394" s="112" t="s">
        <v>4984</v>
      </c>
      <c r="G1394" s="107" t="s">
        <v>4985</v>
      </c>
      <c r="H1394" s="108" t="s">
        <v>4986</v>
      </c>
      <c r="I1394" s="109" t="s">
        <v>3889</v>
      </c>
      <c r="J1394" s="109" t="s">
        <v>1192</v>
      </c>
      <c r="K1394" s="20" t="s">
        <v>1042</v>
      </c>
      <c r="L1394" s="109" t="s">
        <v>1825</v>
      </c>
      <c r="M1394" s="109" t="s">
        <v>4987</v>
      </c>
      <c r="N1394" s="13"/>
      <c r="O1394" s="24">
        <v>44349</v>
      </c>
      <c r="P1394" s="13" t="s">
        <v>1045</v>
      </c>
      <c r="Q1394" s="13" t="s">
        <v>2030</v>
      </c>
      <c r="R1394" s="13" t="s">
        <v>1751</v>
      </c>
      <c r="S1394" s="109" t="s">
        <v>4988</v>
      </c>
      <c r="T1394" s="109" t="s">
        <v>3664</v>
      </c>
      <c r="U1394" s="112" t="s">
        <v>4989</v>
      </c>
      <c r="V1394" s="107" t="s">
        <v>4990</v>
      </c>
      <c r="W1394" s="108" t="s">
        <v>4991</v>
      </c>
      <c r="X1394" s="108" t="s">
        <v>4992</v>
      </c>
      <c r="Y1394" s="11"/>
    </row>
    <row r="1395" spans="1:25" s="26" customFormat="1" hidden="1">
      <c r="A1395" s="33"/>
      <c r="B1395" s="108"/>
      <c r="C1395" s="108"/>
      <c r="D1395" s="31" t="str">
        <f>D1394</f>
        <v>行云创新</v>
      </c>
      <c r="E1395" s="108"/>
      <c r="F1395" s="111"/>
      <c r="G1395" s="108"/>
      <c r="H1395" s="108"/>
      <c r="I1395" s="108"/>
      <c r="J1395" s="108"/>
      <c r="K1395" s="31" t="str">
        <f t="shared" ref="K1395:K1396" si="273">K1394</f>
        <v>运营中</v>
      </c>
      <c r="L1395" s="108"/>
      <c r="M1395" s="108"/>
      <c r="N1395" s="17"/>
      <c r="O1395" s="36">
        <v>43684</v>
      </c>
      <c r="P1395" s="17" t="s">
        <v>262</v>
      </c>
      <c r="Q1395" s="17" t="s">
        <v>639</v>
      </c>
      <c r="R1395" s="12" t="s">
        <v>4993</v>
      </c>
      <c r="S1395" s="108"/>
      <c r="T1395" s="108"/>
      <c r="U1395" s="111"/>
      <c r="V1395" s="108"/>
      <c r="W1395" s="108"/>
      <c r="X1395" s="108"/>
    </row>
    <row r="1396" spans="1:25" s="26" customFormat="1" hidden="1">
      <c r="A1396" s="33"/>
      <c r="B1396" s="108"/>
      <c r="C1396" s="108"/>
      <c r="D1396" s="31" t="str">
        <f>D1395</f>
        <v>行云创新</v>
      </c>
      <c r="E1396" s="108"/>
      <c r="F1396" s="111"/>
      <c r="G1396" s="108"/>
      <c r="H1396" s="108"/>
      <c r="I1396" s="108"/>
      <c r="J1396" s="108"/>
      <c r="K1396" s="31" t="str">
        <f t="shared" si="273"/>
        <v>运营中</v>
      </c>
      <c r="L1396" s="108"/>
      <c r="M1396" s="108"/>
      <c r="N1396" s="17"/>
      <c r="O1396" s="36">
        <v>42981</v>
      </c>
      <c r="P1396" s="12" t="s">
        <v>326</v>
      </c>
      <c r="Q1396" s="12" t="s">
        <v>252</v>
      </c>
      <c r="R1396" s="12" t="s">
        <v>4994</v>
      </c>
      <c r="S1396" s="108"/>
      <c r="T1396" s="108"/>
      <c r="U1396" s="111"/>
      <c r="V1396" s="108"/>
      <c r="W1396" s="108"/>
      <c r="X1396" s="108"/>
    </row>
    <row r="1397" spans="1:25" s="26" customFormat="1" ht="54.5" customHeight="1">
      <c r="A1397" s="11"/>
      <c r="B1397" s="108"/>
      <c r="C1397" s="108" t="s">
        <v>4995</v>
      </c>
      <c r="D1397" s="31" t="s">
        <v>34</v>
      </c>
      <c r="E1397" s="109" t="s">
        <v>34</v>
      </c>
      <c r="F1397" s="112" t="s">
        <v>4996</v>
      </c>
      <c r="G1397" s="107" t="s">
        <v>4997</v>
      </c>
      <c r="H1397" s="108" t="s">
        <v>4998</v>
      </c>
      <c r="I1397" s="109" t="s">
        <v>4792</v>
      </c>
      <c r="J1397" s="109" t="s">
        <v>385</v>
      </c>
      <c r="K1397" s="20" t="s">
        <v>1042</v>
      </c>
      <c r="L1397" s="109" t="s">
        <v>4472</v>
      </c>
      <c r="M1397" s="109" t="s">
        <v>4999</v>
      </c>
      <c r="N1397" s="13"/>
      <c r="O1397" s="24">
        <v>44768</v>
      </c>
      <c r="P1397" s="13" t="s">
        <v>4306</v>
      </c>
      <c r="Q1397" s="13" t="s">
        <v>5000</v>
      </c>
      <c r="R1397" s="13" t="s">
        <v>5001</v>
      </c>
      <c r="S1397" s="109" t="s">
        <v>5002</v>
      </c>
      <c r="T1397" s="109" t="s">
        <v>4309</v>
      </c>
      <c r="U1397" s="112"/>
      <c r="V1397" s="107" t="s">
        <v>5003</v>
      </c>
      <c r="W1397" s="108"/>
      <c r="X1397" s="108" t="s">
        <v>5004</v>
      </c>
      <c r="Y1397" s="11"/>
    </row>
    <row r="1398" spans="1:25" s="26" customFormat="1" hidden="1">
      <c r="A1398" s="33"/>
      <c r="B1398" s="108"/>
      <c r="C1398" s="108"/>
      <c r="D1398" s="31" t="str">
        <f>D1397</f>
        <v>Cabana</v>
      </c>
      <c r="E1398" s="108"/>
      <c r="F1398" s="111"/>
      <c r="G1398" s="108"/>
      <c r="H1398" s="108"/>
      <c r="I1398" s="108"/>
      <c r="J1398" s="108"/>
      <c r="K1398" s="31" t="str">
        <f t="shared" ref="K1398:K1401" si="274">K1397</f>
        <v>运营中</v>
      </c>
      <c r="L1398" s="108"/>
      <c r="M1398" s="108"/>
      <c r="N1398" s="17"/>
      <c r="O1398" s="36">
        <v>44495</v>
      </c>
      <c r="P1398" s="17" t="s">
        <v>262</v>
      </c>
      <c r="Q1398" s="17" t="s">
        <v>637</v>
      </c>
      <c r="R1398" s="12" t="s">
        <v>5005</v>
      </c>
      <c r="S1398" s="108"/>
      <c r="T1398" s="108"/>
      <c r="U1398" s="111"/>
      <c r="V1398" s="108"/>
      <c r="W1398" s="108"/>
      <c r="X1398" s="108"/>
    </row>
    <row r="1399" spans="1:25" s="26" customFormat="1" hidden="1">
      <c r="A1399" s="33"/>
      <c r="B1399" s="108"/>
      <c r="C1399" s="108"/>
      <c r="D1399" s="31" t="str">
        <f>D1398</f>
        <v>Cabana</v>
      </c>
      <c r="E1399" s="108"/>
      <c r="F1399" s="111"/>
      <c r="G1399" s="108"/>
      <c r="H1399" s="108"/>
      <c r="I1399" s="108"/>
      <c r="J1399" s="108"/>
      <c r="K1399" s="31" t="str">
        <f t="shared" si="274"/>
        <v>运营中</v>
      </c>
      <c r="L1399" s="108"/>
      <c r="M1399" s="108"/>
      <c r="N1399" s="17"/>
      <c r="O1399" s="36">
        <v>43983</v>
      </c>
      <c r="P1399" s="12" t="s">
        <v>326</v>
      </c>
      <c r="Q1399" s="17" t="s">
        <v>1938</v>
      </c>
      <c r="R1399" s="17" t="s">
        <v>5006</v>
      </c>
      <c r="S1399" s="108"/>
      <c r="T1399" s="108"/>
      <c r="U1399" s="111"/>
      <c r="V1399" s="108"/>
      <c r="W1399" s="108"/>
      <c r="X1399" s="108"/>
    </row>
    <row r="1400" spans="1:25" s="26" customFormat="1" hidden="1">
      <c r="A1400" s="33"/>
      <c r="B1400" s="108"/>
      <c r="C1400" s="108"/>
      <c r="D1400" s="31" t="str">
        <f>D1399</f>
        <v>Cabana</v>
      </c>
      <c r="E1400" s="108"/>
      <c r="F1400" s="111"/>
      <c r="G1400" s="108"/>
      <c r="H1400" s="108"/>
      <c r="I1400" s="108"/>
      <c r="J1400" s="108"/>
      <c r="K1400" s="31" t="str">
        <f t="shared" si="274"/>
        <v>运营中</v>
      </c>
      <c r="L1400" s="108"/>
      <c r="M1400" s="108"/>
      <c r="N1400" s="17"/>
      <c r="O1400" s="36">
        <v>43886</v>
      </c>
      <c r="P1400" s="12" t="s">
        <v>326</v>
      </c>
      <c r="Q1400" s="12" t="s">
        <v>252</v>
      </c>
      <c r="R1400" s="12" t="s">
        <v>5007</v>
      </c>
      <c r="S1400" s="108"/>
      <c r="T1400" s="108"/>
      <c r="U1400" s="111"/>
      <c r="V1400" s="108"/>
      <c r="W1400" s="108"/>
      <c r="X1400" s="108"/>
    </row>
    <row r="1401" spans="1:25" s="26" customFormat="1" hidden="1">
      <c r="A1401" s="33"/>
      <c r="B1401" s="108"/>
      <c r="C1401" s="108"/>
      <c r="D1401" s="31" t="str">
        <f>D1400</f>
        <v>Cabana</v>
      </c>
      <c r="E1401" s="108"/>
      <c r="F1401" s="111"/>
      <c r="G1401" s="108"/>
      <c r="H1401" s="108"/>
      <c r="I1401" s="108"/>
      <c r="J1401" s="108"/>
      <c r="K1401" s="31" t="str">
        <f t="shared" si="274"/>
        <v>运营中</v>
      </c>
      <c r="L1401" s="108"/>
      <c r="M1401" s="108"/>
      <c r="N1401" s="17"/>
      <c r="O1401" s="36">
        <v>43466</v>
      </c>
      <c r="P1401" s="12" t="s">
        <v>437</v>
      </c>
      <c r="Q1401" s="12" t="s">
        <v>252</v>
      </c>
      <c r="R1401" s="12" t="s">
        <v>5008</v>
      </c>
      <c r="S1401" s="108"/>
      <c r="T1401" s="108"/>
      <c r="U1401" s="111"/>
      <c r="V1401" s="108"/>
      <c r="W1401" s="108"/>
      <c r="X1401" s="108"/>
    </row>
    <row r="1402" spans="1:25" s="26" customFormat="1" hidden="1">
      <c r="A1402" s="33"/>
      <c r="B1402" s="108"/>
      <c r="C1402" s="108" t="s">
        <v>5009</v>
      </c>
      <c r="D1402" s="31" t="s">
        <v>5010</v>
      </c>
      <c r="E1402" s="107" t="s">
        <v>5010</v>
      </c>
      <c r="F1402" s="110" t="s">
        <v>5011</v>
      </c>
      <c r="G1402" s="107" t="s">
        <v>5012</v>
      </c>
      <c r="H1402" s="108" t="s">
        <v>5013</v>
      </c>
      <c r="I1402" s="108" t="s">
        <v>5014</v>
      </c>
      <c r="J1402" s="107" t="s">
        <v>1192</v>
      </c>
      <c r="K1402" s="31" t="s">
        <v>272</v>
      </c>
      <c r="L1402" s="107" t="s">
        <v>273</v>
      </c>
      <c r="M1402" s="107" t="s">
        <v>3788</v>
      </c>
      <c r="N1402" s="12"/>
      <c r="O1402" s="36">
        <v>45023</v>
      </c>
      <c r="P1402" s="17" t="s">
        <v>565</v>
      </c>
      <c r="Q1402" s="12" t="s">
        <v>276</v>
      </c>
      <c r="R1402" s="12" t="s">
        <v>5015</v>
      </c>
      <c r="S1402" s="108" t="s">
        <v>2408</v>
      </c>
      <c r="T1402" s="108" t="s">
        <v>2384</v>
      </c>
      <c r="U1402" s="110" t="s">
        <v>5016</v>
      </c>
      <c r="V1402" s="107" t="s">
        <v>5017</v>
      </c>
      <c r="W1402" s="108"/>
      <c r="X1402" s="108" t="s">
        <v>5018</v>
      </c>
    </row>
    <row r="1403" spans="1:25" s="26" customFormat="1" ht="54.5" customHeight="1">
      <c r="A1403" s="11"/>
      <c r="B1403" s="108"/>
      <c r="C1403" s="108"/>
      <c r="D1403" s="31" t="str">
        <f>D1402</f>
        <v>元戎启行</v>
      </c>
      <c r="E1403" s="109"/>
      <c r="F1403" s="112"/>
      <c r="G1403" s="108"/>
      <c r="H1403" s="108"/>
      <c r="I1403" s="109"/>
      <c r="J1403" s="109"/>
      <c r="K1403" s="20" t="str">
        <f t="shared" ref="K1403:K1405" si="275">K1402</f>
        <v>运营中</v>
      </c>
      <c r="L1403" s="109"/>
      <c r="M1403" s="109"/>
      <c r="N1403" s="13"/>
      <c r="O1403" s="24">
        <v>44453</v>
      </c>
      <c r="P1403" s="13" t="s">
        <v>3648</v>
      </c>
      <c r="Q1403" s="13" t="s">
        <v>5019</v>
      </c>
      <c r="R1403" s="13" t="s">
        <v>5020</v>
      </c>
      <c r="S1403" s="109"/>
      <c r="T1403" s="109"/>
      <c r="U1403" s="112"/>
      <c r="V1403" s="108"/>
      <c r="W1403" s="108"/>
      <c r="X1403" s="108"/>
      <c r="Y1403" s="11"/>
    </row>
    <row r="1404" spans="1:25" s="26" customFormat="1" hidden="1">
      <c r="A1404" s="33"/>
      <c r="B1404" s="108"/>
      <c r="C1404" s="108"/>
      <c r="D1404" s="31" t="str">
        <f>D1403</f>
        <v>元戎启行</v>
      </c>
      <c r="E1404" s="108"/>
      <c r="F1404" s="111"/>
      <c r="G1404" s="108"/>
      <c r="H1404" s="108"/>
      <c r="I1404" s="108"/>
      <c r="J1404" s="108"/>
      <c r="K1404" s="31" t="str">
        <f t="shared" si="275"/>
        <v>运营中</v>
      </c>
      <c r="L1404" s="108"/>
      <c r="M1404" s="108"/>
      <c r="N1404" s="17"/>
      <c r="O1404" s="36">
        <v>44162</v>
      </c>
      <c r="P1404" s="17" t="s">
        <v>262</v>
      </c>
      <c r="Q1404" s="12" t="s">
        <v>276</v>
      </c>
      <c r="R1404" s="12" t="s">
        <v>5021</v>
      </c>
      <c r="S1404" s="108"/>
      <c r="T1404" s="108"/>
      <c r="U1404" s="111"/>
      <c r="V1404" s="108"/>
      <c r="W1404" s="108"/>
      <c r="X1404" s="108"/>
    </row>
    <row r="1405" spans="1:25" s="26" customFormat="1" hidden="1">
      <c r="A1405" s="33"/>
      <c r="B1405" s="108"/>
      <c r="C1405" s="108"/>
      <c r="D1405" s="31" t="str">
        <f>D1404</f>
        <v>元戎启行</v>
      </c>
      <c r="E1405" s="108"/>
      <c r="F1405" s="111"/>
      <c r="G1405" s="108"/>
      <c r="H1405" s="108"/>
      <c r="I1405" s="108"/>
      <c r="J1405" s="108"/>
      <c r="K1405" s="31" t="str">
        <f t="shared" si="275"/>
        <v>运营中</v>
      </c>
      <c r="L1405" s="108"/>
      <c r="M1405" s="108"/>
      <c r="N1405" s="17"/>
      <c r="O1405" s="36">
        <v>43732</v>
      </c>
      <c r="P1405" s="17" t="s">
        <v>721</v>
      </c>
      <c r="Q1405" s="17" t="s">
        <v>1032</v>
      </c>
      <c r="R1405" s="17" t="s">
        <v>5022</v>
      </c>
      <c r="S1405" s="108"/>
      <c r="T1405" s="108"/>
      <c r="U1405" s="111"/>
      <c r="V1405" s="108"/>
      <c r="W1405" s="108"/>
      <c r="X1405" s="108"/>
    </row>
    <row r="1406" spans="1:25" s="26" customFormat="1" ht="54.5" customHeight="1">
      <c r="A1406" s="11"/>
      <c r="B1406" s="108"/>
      <c r="C1406" s="108" t="s">
        <v>5023</v>
      </c>
      <c r="D1406" s="31" t="s">
        <v>5024</v>
      </c>
      <c r="E1406" s="109" t="s">
        <v>5025</v>
      </c>
      <c r="F1406" s="112" t="s">
        <v>5026</v>
      </c>
      <c r="G1406" s="107" t="s">
        <v>5027</v>
      </c>
      <c r="H1406" s="108" t="s">
        <v>5028</v>
      </c>
      <c r="I1406" s="109" t="s">
        <v>5029</v>
      </c>
      <c r="J1406" s="109" t="s">
        <v>5030</v>
      </c>
      <c r="K1406" s="20" t="s">
        <v>1042</v>
      </c>
      <c r="L1406" s="109" t="s">
        <v>3661</v>
      </c>
      <c r="M1406" s="109" t="s">
        <v>5031</v>
      </c>
      <c r="N1406" s="13"/>
      <c r="O1406" s="24">
        <v>44609</v>
      </c>
      <c r="P1406" s="13" t="s">
        <v>1045</v>
      </c>
      <c r="Q1406" s="13" t="s">
        <v>2030</v>
      </c>
      <c r="R1406" s="13" t="s">
        <v>5032</v>
      </c>
      <c r="S1406" s="109" t="s">
        <v>5033</v>
      </c>
      <c r="T1406" s="109" t="s">
        <v>5034</v>
      </c>
      <c r="U1406" s="112" t="s">
        <v>5035</v>
      </c>
      <c r="V1406" s="107" t="s">
        <v>5036</v>
      </c>
      <c r="W1406" s="108"/>
      <c r="X1406" s="108" t="s">
        <v>5037</v>
      </c>
      <c r="Y1406" s="11"/>
    </row>
    <row r="1407" spans="1:25" s="26" customFormat="1" hidden="1">
      <c r="A1407" s="33"/>
      <c r="B1407" s="108"/>
      <c r="C1407" s="108"/>
      <c r="D1407" s="31" t="str">
        <f>D1406</f>
        <v>长鑫存储</v>
      </c>
      <c r="E1407" s="108"/>
      <c r="F1407" s="111"/>
      <c r="G1407" s="108"/>
      <c r="H1407" s="108"/>
      <c r="I1407" s="108"/>
      <c r="J1407" s="108"/>
      <c r="K1407" s="31" t="str">
        <f t="shared" ref="K1407:K1408" si="276">K1406</f>
        <v>运营中</v>
      </c>
      <c r="L1407" s="108"/>
      <c r="M1407" s="108"/>
      <c r="N1407" s="17"/>
      <c r="O1407" s="36">
        <v>44467</v>
      </c>
      <c r="P1407" s="12" t="s">
        <v>285</v>
      </c>
      <c r="Q1407" s="12" t="s">
        <v>409</v>
      </c>
      <c r="R1407" s="12" t="s">
        <v>5038</v>
      </c>
      <c r="S1407" s="108"/>
      <c r="T1407" s="108"/>
      <c r="U1407" s="111"/>
      <c r="V1407" s="108"/>
      <c r="W1407" s="108"/>
      <c r="X1407" s="108"/>
    </row>
    <row r="1408" spans="1:25" s="26" customFormat="1" hidden="1">
      <c r="A1408" s="33"/>
      <c r="B1408" s="108"/>
      <c r="C1408" s="108"/>
      <c r="D1408" s="31" t="str">
        <f>D1407</f>
        <v>长鑫存储</v>
      </c>
      <c r="E1408" s="108"/>
      <c r="F1408" s="111"/>
      <c r="G1408" s="108"/>
      <c r="H1408" s="108"/>
      <c r="I1408" s="108"/>
      <c r="J1408" s="108"/>
      <c r="K1408" s="31" t="str">
        <f t="shared" si="276"/>
        <v>运营中</v>
      </c>
      <c r="L1408" s="108"/>
      <c r="M1408" s="108"/>
      <c r="N1408" s="17"/>
      <c r="O1408" s="36">
        <v>44181</v>
      </c>
      <c r="P1408" s="12" t="s">
        <v>285</v>
      </c>
      <c r="Q1408" s="17" t="s">
        <v>5039</v>
      </c>
      <c r="R1408" s="12" t="s">
        <v>5040</v>
      </c>
      <c r="S1408" s="108"/>
      <c r="T1408" s="108"/>
      <c r="U1408" s="111"/>
      <c r="V1408" s="108"/>
      <c r="W1408" s="108"/>
      <c r="X1408" s="108"/>
    </row>
    <row r="1409" spans="1:25" s="26" customFormat="1" ht="84" hidden="1">
      <c r="A1409" s="33"/>
      <c r="B1409" s="108"/>
      <c r="C1409" s="17" t="s">
        <v>5041</v>
      </c>
      <c r="D1409" s="38" t="s">
        <v>5042</v>
      </c>
      <c r="E1409" s="12" t="s">
        <v>5042</v>
      </c>
      <c r="F1409" s="32" t="s">
        <v>5043</v>
      </c>
      <c r="G1409" s="12" t="s">
        <v>5044</v>
      </c>
      <c r="H1409" s="17" t="s">
        <v>5045</v>
      </c>
      <c r="I1409" s="17" t="s">
        <v>5046</v>
      </c>
      <c r="J1409" s="12" t="s">
        <v>5047</v>
      </c>
      <c r="K1409" s="38" t="s">
        <v>272</v>
      </c>
      <c r="L1409" s="12" t="s">
        <v>512</v>
      </c>
      <c r="M1409" s="12" t="s">
        <v>513</v>
      </c>
      <c r="N1409" s="12"/>
      <c r="O1409" s="36">
        <v>43789</v>
      </c>
      <c r="P1409" s="12" t="s">
        <v>285</v>
      </c>
      <c r="Q1409" s="12" t="s">
        <v>409</v>
      </c>
      <c r="R1409" s="12" t="s">
        <v>240</v>
      </c>
      <c r="S1409" s="17" t="s">
        <v>1484</v>
      </c>
      <c r="T1409" s="17" t="s">
        <v>412</v>
      </c>
      <c r="U1409" s="32" t="s">
        <v>5048</v>
      </c>
      <c r="V1409" s="12" t="s">
        <v>5049</v>
      </c>
      <c r="W1409" s="17" t="s">
        <v>5050</v>
      </c>
      <c r="X1409" s="17"/>
    </row>
    <row r="1410" spans="1:25" s="26" customFormat="1" ht="47.5" hidden="1">
      <c r="A1410" s="33"/>
      <c r="B1410" s="108"/>
      <c r="C1410" s="17" t="s">
        <v>5051</v>
      </c>
      <c r="D1410" s="38" t="s">
        <v>5052</v>
      </c>
      <c r="E1410" s="17" t="s">
        <v>5052</v>
      </c>
      <c r="F1410" s="34" t="s">
        <v>5053</v>
      </c>
      <c r="G1410" s="17"/>
      <c r="H1410" s="17" t="s">
        <v>5054</v>
      </c>
      <c r="I1410" s="17" t="s">
        <v>4160</v>
      </c>
      <c r="J1410" s="12" t="s">
        <v>1502</v>
      </c>
      <c r="K1410" s="38" t="s">
        <v>272</v>
      </c>
      <c r="L1410" s="12" t="s">
        <v>996</v>
      </c>
      <c r="M1410" s="12" t="s">
        <v>997</v>
      </c>
      <c r="N1410" s="12"/>
      <c r="O1410" s="36">
        <v>43805</v>
      </c>
      <c r="P1410" s="12" t="s">
        <v>437</v>
      </c>
      <c r="Q1410" s="17" t="s">
        <v>5055</v>
      </c>
      <c r="R1410" s="12" t="s">
        <v>5056</v>
      </c>
      <c r="S1410" s="17" t="s">
        <v>5057</v>
      </c>
      <c r="T1410" s="17" t="s">
        <v>5058</v>
      </c>
      <c r="U1410" s="34"/>
      <c r="V1410" s="17"/>
      <c r="W1410" s="17"/>
      <c r="X1410" s="17"/>
    </row>
    <row r="1411" spans="1:25" s="26" customFormat="1" ht="36" hidden="1">
      <c r="A1411" s="33"/>
      <c r="B1411" s="108"/>
      <c r="C1411" s="17" t="s">
        <v>5059</v>
      </c>
      <c r="D1411" s="38" t="s">
        <v>5060</v>
      </c>
      <c r="E1411" s="12" t="s">
        <v>5060</v>
      </c>
      <c r="F1411" s="32" t="s">
        <v>5061</v>
      </c>
      <c r="G1411" s="12" t="s">
        <v>5062</v>
      </c>
      <c r="H1411" s="17"/>
      <c r="I1411" s="17" t="s">
        <v>5063</v>
      </c>
      <c r="J1411" s="12" t="s">
        <v>547</v>
      </c>
      <c r="K1411" s="38" t="s">
        <v>272</v>
      </c>
      <c r="L1411" s="12" t="s">
        <v>273</v>
      </c>
      <c r="M1411" s="12" t="s">
        <v>274</v>
      </c>
      <c r="N1411" s="12"/>
      <c r="O1411" s="36">
        <v>43826</v>
      </c>
      <c r="P1411" s="12" t="s">
        <v>285</v>
      </c>
      <c r="Q1411" s="17" t="s">
        <v>2494</v>
      </c>
      <c r="R1411" s="12" t="s">
        <v>240</v>
      </c>
      <c r="S1411" s="17" t="s">
        <v>5064</v>
      </c>
      <c r="T1411" s="17" t="s">
        <v>2674</v>
      </c>
      <c r="U1411" s="32" t="s">
        <v>5065</v>
      </c>
      <c r="V1411" s="12" t="s">
        <v>5066</v>
      </c>
      <c r="W1411" s="17"/>
      <c r="X1411" s="17"/>
    </row>
    <row r="1412" spans="1:25" s="26" customFormat="1" hidden="1">
      <c r="A1412" s="33"/>
      <c r="B1412" s="108"/>
      <c r="C1412" s="108" t="s">
        <v>2521</v>
      </c>
      <c r="D1412" s="31" t="s">
        <v>5067</v>
      </c>
      <c r="E1412" s="108" t="s">
        <v>5067</v>
      </c>
      <c r="F1412" s="111" t="s">
        <v>5068</v>
      </c>
      <c r="G1412" s="108"/>
      <c r="H1412" s="108" t="s">
        <v>5069</v>
      </c>
      <c r="I1412" s="108" t="s">
        <v>5070</v>
      </c>
      <c r="J1412" s="107" t="s">
        <v>1564</v>
      </c>
      <c r="K1412" s="31" t="s">
        <v>272</v>
      </c>
      <c r="L1412" s="107" t="s">
        <v>386</v>
      </c>
      <c r="M1412" s="107" t="s">
        <v>929</v>
      </c>
      <c r="N1412" s="12">
        <v>1</v>
      </c>
      <c r="O1412" s="36">
        <v>44201</v>
      </c>
      <c r="P1412" s="12" t="s">
        <v>471</v>
      </c>
      <c r="Q1412" s="12" t="s">
        <v>276</v>
      </c>
      <c r="R1412" s="17" t="s">
        <v>5071</v>
      </c>
      <c r="S1412" s="108" t="s">
        <v>5072</v>
      </c>
      <c r="T1412" s="107" t="s">
        <v>255</v>
      </c>
      <c r="U1412" s="111" t="s">
        <v>5073</v>
      </c>
      <c r="V1412" s="108"/>
      <c r="W1412" s="108"/>
      <c r="X1412" s="108"/>
    </row>
    <row r="1413" spans="1:25" s="26" customFormat="1" hidden="1">
      <c r="A1413" s="33"/>
      <c r="B1413" s="108"/>
      <c r="C1413" s="108"/>
      <c r="D1413" s="31" t="str">
        <f>D1412</f>
        <v>Quibi</v>
      </c>
      <c r="E1413" s="108"/>
      <c r="F1413" s="111"/>
      <c r="G1413" s="108"/>
      <c r="H1413" s="108"/>
      <c r="I1413" s="108"/>
      <c r="J1413" s="108"/>
      <c r="K1413" s="31" t="str">
        <f t="shared" ref="K1413:K1416" si="277">K1412</f>
        <v>运营中</v>
      </c>
      <c r="L1413" s="108"/>
      <c r="M1413" s="108"/>
      <c r="N1413" s="12">
        <v>1</v>
      </c>
      <c r="O1413" s="36">
        <v>43895</v>
      </c>
      <c r="P1413" s="12" t="s">
        <v>285</v>
      </c>
      <c r="Q1413" s="17" t="s">
        <v>2798</v>
      </c>
      <c r="R1413" s="12" t="s">
        <v>5074</v>
      </c>
      <c r="S1413" s="108"/>
      <c r="T1413" s="108"/>
      <c r="U1413" s="111"/>
      <c r="V1413" s="108"/>
      <c r="W1413" s="108"/>
      <c r="X1413" s="108"/>
    </row>
    <row r="1414" spans="1:25" s="26" customFormat="1" hidden="1">
      <c r="A1414" s="33"/>
      <c r="B1414" s="108"/>
      <c r="C1414" s="108"/>
      <c r="D1414" s="31" t="str">
        <f>D1413</f>
        <v>Quibi</v>
      </c>
      <c r="E1414" s="108"/>
      <c r="F1414" s="111"/>
      <c r="G1414" s="108"/>
      <c r="H1414" s="108"/>
      <c r="I1414" s="108"/>
      <c r="J1414" s="108"/>
      <c r="K1414" s="31" t="str">
        <f t="shared" si="277"/>
        <v>运营中</v>
      </c>
      <c r="L1414" s="108"/>
      <c r="M1414" s="108"/>
      <c r="N1414" s="12">
        <v>1</v>
      </c>
      <c r="O1414" s="36">
        <v>43839</v>
      </c>
      <c r="P1414" s="12" t="s">
        <v>285</v>
      </c>
      <c r="Q1414" s="17" t="s">
        <v>301</v>
      </c>
      <c r="R1414" s="17" t="s">
        <v>253</v>
      </c>
      <c r="S1414" s="108"/>
      <c r="T1414" s="108"/>
      <c r="U1414" s="111"/>
      <c r="V1414" s="108"/>
      <c r="W1414" s="108"/>
      <c r="X1414" s="108"/>
    </row>
    <row r="1415" spans="1:25" s="26" customFormat="1" hidden="1">
      <c r="A1415" s="33"/>
      <c r="B1415" s="108"/>
      <c r="C1415" s="108"/>
      <c r="D1415" s="31" t="str">
        <f>D1414</f>
        <v>Quibi</v>
      </c>
      <c r="E1415" s="108"/>
      <c r="F1415" s="111"/>
      <c r="G1415" s="108"/>
      <c r="H1415" s="108"/>
      <c r="I1415" s="108"/>
      <c r="J1415" s="108"/>
      <c r="K1415" s="31" t="str">
        <f t="shared" si="277"/>
        <v>运营中</v>
      </c>
      <c r="L1415" s="108"/>
      <c r="M1415" s="108"/>
      <c r="N1415" s="12">
        <v>1</v>
      </c>
      <c r="O1415" s="36">
        <v>43319</v>
      </c>
      <c r="P1415" s="12" t="s">
        <v>285</v>
      </c>
      <c r="Q1415" s="17" t="s">
        <v>306</v>
      </c>
      <c r="R1415" s="12" t="s">
        <v>4544</v>
      </c>
      <c r="S1415" s="108"/>
      <c r="T1415" s="108"/>
      <c r="U1415" s="111"/>
      <c r="V1415" s="108"/>
      <c r="W1415" s="108"/>
      <c r="X1415" s="108"/>
    </row>
    <row r="1416" spans="1:25" s="26" customFormat="1" hidden="1">
      <c r="A1416" s="33"/>
      <c r="B1416" s="108"/>
      <c r="C1416" s="108"/>
      <c r="D1416" s="31" t="str">
        <f>D1415</f>
        <v>Quibi</v>
      </c>
      <c r="E1416" s="108"/>
      <c r="F1416" s="111"/>
      <c r="G1416" s="108"/>
      <c r="H1416" s="108"/>
      <c r="I1416" s="108"/>
      <c r="J1416" s="108"/>
      <c r="K1416" s="31" t="str">
        <f t="shared" si="277"/>
        <v>运营中</v>
      </c>
      <c r="L1416" s="108"/>
      <c r="M1416" s="108"/>
      <c r="N1416" s="12">
        <v>1</v>
      </c>
      <c r="O1416" s="36">
        <v>43232</v>
      </c>
      <c r="P1416" s="12" t="s">
        <v>285</v>
      </c>
      <c r="Q1416" s="17" t="s">
        <v>4547</v>
      </c>
      <c r="R1416" s="17" t="s">
        <v>5075</v>
      </c>
      <c r="S1416" s="108"/>
      <c r="T1416" s="108"/>
      <c r="U1416" s="111"/>
      <c r="V1416" s="108"/>
      <c r="W1416" s="108"/>
      <c r="X1416" s="108"/>
    </row>
    <row r="1417" spans="1:25" s="26" customFormat="1" ht="54.5" customHeight="1">
      <c r="A1417" s="11"/>
      <c r="B1417" s="108"/>
      <c r="C1417" s="108" t="s">
        <v>4557</v>
      </c>
      <c r="D1417" s="31" t="s">
        <v>5076</v>
      </c>
      <c r="E1417" s="109" t="s">
        <v>5077</v>
      </c>
      <c r="F1417" s="112" t="s">
        <v>5078</v>
      </c>
      <c r="G1417" s="107" t="s">
        <v>5079</v>
      </c>
      <c r="H1417" s="108" t="s">
        <v>5080</v>
      </c>
      <c r="I1417" s="109" t="s">
        <v>5081</v>
      </c>
      <c r="J1417" s="109" t="s">
        <v>428</v>
      </c>
      <c r="K1417" s="20" t="s">
        <v>1042</v>
      </c>
      <c r="L1417" s="109" t="s">
        <v>3661</v>
      </c>
      <c r="M1417" s="109" t="s">
        <v>5031</v>
      </c>
      <c r="N1417" s="13"/>
      <c r="O1417" s="24">
        <v>44550</v>
      </c>
      <c r="P1417" s="13" t="s">
        <v>3648</v>
      </c>
      <c r="Q1417" s="13" t="s">
        <v>5082</v>
      </c>
      <c r="R1417" s="13" t="s">
        <v>5083</v>
      </c>
      <c r="S1417" s="109" t="s">
        <v>5084</v>
      </c>
      <c r="T1417" s="109" t="s">
        <v>5085</v>
      </c>
      <c r="U1417" s="112" t="s">
        <v>5086</v>
      </c>
      <c r="V1417" s="107" t="s">
        <v>5087</v>
      </c>
      <c r="W1417" s="108" t="s">
        <v>5088</v>
      </c>
      <c r="X1417" s="108" t="s">
        <v>5089</v>
      </c>
      <c r="Y1417" s="11"/>
    </row>
    <row r="1418" spans="1:25" s="26" customFormat="1" hidden="1">
      <c r="A1418" s="33"/>
      <c r="B1418" s="108"/>
      <c r="C1418" s="108"/>
      <c r="D1418" s="31" t="str">
        <f>D1417</f>
        <v>瀚博半导体</v>
      </c>
      <c r="E1418" s="108"/>
      <c r="F1418" s="111"/>
      <c r="G1418" s="108"/>
      <c r="H1418" s="108"/>
      <c r="I1418" s="108"/>
      <c r="J1418" s="108"/>
      <c r="K1418" s="31" t="str">
        <f t="shared" ref="K1418:K1419" si="278">K1417</f>
        <v>运营中</v>
      </c>
      <c r="L1418" s="108"/>
      <c r="M1418" s="108"/>
      <c r="N1418" s="17"/>
      <c r="O1418" s="36">
        <v>44314</v>
      </c>
      <c r="P1418" s="17" t="s">
        <v>260</v>
      </c>
      <c r="Q1418" s="17" t="s">
        <v>773</v>
      </c>
      <c r="R1418" s="12" t="s">
        <v>5090</v>
      </c>
      <c r="S1418" s="108"/>
      <c r="T1418" s="108"/>
      <c r="U1418" s="111"/>
      <c r="V1418" s="108"/>
      <c r="W1418" s="108"/>
      <c r="X1418" s="108"/>
    </row>
    <row r="1419" spans="1:25" s="26" customFormat="1" hidden="1">
      <c r="A1419" s="33"/>
      <c r="B1419" s="108"/>
      <c r="C1419" s="108"/>
      <c r="D1419" s="31" t="str">
        <f>D1418</f>
        <v>瀚博半导体</v>
      </c>
      <c r="E1419" s="108"/>
      <c r="F1419" s="111"/>
      <c r="G1419" s="108"/>
      <c r="H1419" s="108"/>
      <c r="I1419" s="108"/>
      <c r="J1419" s="108"/>
      <c r="K1419" s="31" t="str">
        <f t="shared" si="278"/>
        <v>运营中</v>
      </c>
      <c r="L1419" s="108"/>
      <c r="M1419" s="108"/>
      <c r="N1419" s="17"/>
      <c r="O1419" s="36">
        <v>44165</v>
      </c>
      <c r="P1419" s="17" t="s">
        <v>262</v>
      </c>
      <c r="Q1419" s="17" t="s">
        <v>1032</v>
      </c>
      <c r="R1419" s="12" t="s">
        <v>5091</v>
      </c>
      <c r="S1419" s="108"/>
      <c r="T1419" s="108"/>
      <c r="U1419" s="111"/>
      <c r="V1419" s="108"/>
      <c r="W1419" s="108"/>
      <c r="X1419" s="108"/>
    </row>
    <row r="1420" spans="1:25" s="26" customFormat="1" ht="72" hidden="1">
      <c r="A1420" s="33"/>
      <c r="B1420" s="108"/>
      <c r="C1420" s="17" t="s">
        <v>4781</v>
      </c>
      <c r="D1420" s="38" t="s">
        <v>5092</v>
      </c>
      <c r="E1420" s="12" t="s">
        <v>5092</v>
      </c>
      <c r="F1420" s="32" t="s">
        <v>5093</v>
      </c>
      <c r="G1420" s="12" t="s">
        <v>5094</v>
      </c>
      <c r="H1420" s="17" t="s">
        <v>5095</v>
      </c>
      <c r="I1420" s="17" t="s">
        <v>2887</v>
      </c>
      <c r="J1420" s="12" t="s">
        <v>1192</v>
      </c>
      <c r="K1420" s="38" t="s">
        <v>272</v>
      </c>
      <c r="L1420" s="12" t="s">
        <v>944</v>
      </c>
      <c r="M1420" s="12" t="s">
        <v>5096</v>
      </c>
      <c r="N1420" s="12"/>
      <c r="O1420" s="36">
        <v>43461</v>
      </c>
      <c r="P1420" s="12" t="s">
        <v>285</v>
      </c>
      <c r="Q1420" s="12" t="s">
        <v>252</v>
      </c>
      <c r="R1420" s="12" t="s">
        <v>240</v>
      </c>
      <c r="S1420" s="17" t="s">
        <v>4335</v>
      </c>
      <c r="T1420" s="12" t="s">
        <v>255</v>
      </c>
      <c r="U1420" s="32" t="s">
        <v>5097</v>
      </c>
      <c r="V1420" s="12" t="s">
        <v>5098</v>
      </c>
      <c r="W1420" s="17" t="s">
        <v>5099</v>
      </c>
      <c r="X1420" s="17" t="s">
        <v>5100</v>
      </c>
    </row>
    <row r="1421" spans="1:25" s="26" customFormat="1" hidden="1">
      <c r="A1421" s="33"/>
      <c r="B1421" s="108"/>
      <c r="C1421" s="108" t="s">
        <v>5101</v>
      </c>
      <c r="D1421" s="31" t="s">
        <v>5102</v>
      </c>
      <c r="E1421" s="108" t="s">
        <v>5102</v>
      </c>
      <c r="F1421" s="111" t="s">
        <v>5103</v>
      </c>
      <c r="G1421" s="108"/>
      <c r="H1421" s="108" t="s">
        <v>5104</v>
      </c>
      <c r="I1421" s="108" t="s">
        <v>2887</v>
      </c>
      <c r="J1421" s="107" t="s">
        <v>1780</v>
      </c>
      <c r="K1421" s="31" t="s">
        <v>272</v>
      </c>
      <c r="L1421" s="107" t="s">
        <v>1101</v>
      </c>
      <c r="M1421" s="107" t="s">
        <v>5105</v>
      </c>
      <c r="N1421" s="12"/>
      <c r="O1421" s="36">
        <v>43886</v>
      </c>
      <c r="P1421" s="17" t="s">
        <v>257</v>
      </c>
      <c r="Q1421" s="17" t="s">
        <v>337</v>
      </c>
      <c r="R1421" s="12" t="s">
        <v>5106</v>
      </c>
      <c r="S1421" s="108" t="s">
        <v>965</v>
      </c>
      <c r="T1421" s="108" t="s">
        <v>339</v>
      </c>
      <c r="U1421" s="111" t="s">
        <v>5107</v>
      </c>
      <c r="V1421" s="108"/>
      <c r="W1421" s="108"/>
      <c r="X1421" s="108"/>
    </row>
    <row r="1422" spans="1:25" s="26" customFormat="1" hidden="1">
      <c r="A1422" s="33"/>
      <c r="B1422" s="108"/>
      <c r="C1422" s="108"/>
      <c r="D1422" s="31" t="str">
        <f>D1421</f>
        <v>Amwise Diagnostics</v>
      </c>
      <c r="E1422" s="108"/>
      <c r="F1422" s="111"/>
      <c r="G1422" s="108"/>
      <c r="H1422" s="108"/>
      <c r="I1422" s="108"/>
      <c r="J1422" s="108"/>
      <c r="K1422" s="31" t="str">
        <f>K1421</f>
        <v>运营中</v>
      </c>
      <c r="L1422" s="108"/>
      <c r="M1422" s="108"/>
      <c r="N1422" s="17"/>
      <c r="O1422" s="36">
        <v>42370</v>
      </c>
      <c r="P1422" s="17" t="s">
        <v>262</v>
      </c>
      <c r="Q1422" s="12" t="s">
        <v>276</v>
      </c>
      <c r="R1422" s="12" t="s">
        <v>5108</v>
      </c>
      <c r="S1422" s="108"/>
      <c r="T1422" s="108"/>
      <c r="U1422" s="111"/>
      <c r="V1422" s="108"/>
      <c r="W1422" s="108"/>
      <c r="X1422" s="108"/>
    </row>
    <row r="1423" spans="1:25" s="26" customFormat="1" ht="54.5" customHeight="1">
      <c r="A1423" s="11"/>
      <c r="B1423" s="108"/>
      <c r="C1423" s="108" t="s">
        <v>3271</v>
      </c>
      <c r="D1423" s="31" t="s">
        <v>5109</v>
      </c>
      <c r="E1423" s="109" t="s">
        <v>5110</v>
      </c>
      <c r="F1423" s="112" t="s">
        <v>5111</v>
      </c>
      <c r="G1423" s="107" t="s">
        <v>5112</v>
      </c>
      <c r="H1423" s="108" t="s">
        <v>5113</v>
      </c>
      <c r="I1423" s="109" t="s">
        <v>5014</v>
      </c>
      <c r="J1423" s="109" t="s">
        <v>406</v>
      </c>
      <c r="K1423" s="20" t="s">
        <v>1042</v>
      </c>
      <c r="L1423" s="109" t="s">
        <v>3548</v>
      </c>
      <c r="M1423" s="109" t="s">
        <v>3549</v>
      </c>
      <c r="N1423" s="13"/>
      <c r="O1423" s="24">
        <v>44465</v>
      </c>
      <c r="P1423" s="13" t="s">
        <v>1045</v>
      </c>
      <c r="Q1423" s="13" t="s">
        <v>1750</v>
      </c>
      <c r="R1423" s="13" t="s">
        <v>5114</v>
      </c>
      <c r="S1423" s="109" t="s">
        <v>5115</v>
      </c>
      <c r="T1423" s="109" t="s">
        <v>5116</v>
      </c>
      <c r="U1423" s="112" t="s">
        <v>5117</v>
      </c>
      <c r="V1423" s="107" t="s">
        <v>5118</v>
      </c>
      <c r="W1423" s="108"/>
      <c r="X1423" s="108"/>
      <c r="Y1423" s="11"/>
    </row>
    <row r="1424" spans="1:25" s="26" customFormat="1" hidden="1">
      <c r="A1424" s="33"/>
      <c r="B1424" s="108"/>
      <c r="C1424" s="108"/>
      <c r="D1424" s="31" t="str">
        <f>D1423</f>
        <v>杰毅生物</v>
      </c>
      <c r="E1424" s="108"/>
      <c r="F1424" s="111"/>
      <c r="G1424" s="108"/>
      <c r="H1424" s="108"/>
      <c r="I1424" s="108"/>
      <c r="J1424" s="108"/>
      <c r="K1424" s="31" t="str">
        <f t="shared" ref="K1424:K1426" si="279">K1423</f>
        <v>运营中</v>
      </c>
      <c r="L1424" s="108"/>
      <c r="M1424" s="108"/>
      <c r="N1424" s="17"/>
      <c r="O1424" s="36">
        <v>44216</v>
      </c>
      <c r="P1424" s="17" t="s">
        <v>257</v>
      </c>
      <c r="Q1424" s="17" t="s">
        <v>578</v>
      </c>
      <c r="R1424" s="12" t="s">
        <v>5119</v>
      </c>
      <c r="S1424" s="108"/>
      <c r="T1424" s="108"/>
      <c r="U1424" s="111"/>
      <c r="V1424" s="108"/>
      <c r="W1424" s="108"/>
      <c r="X1424" s="108"/>
    </row>
    <row r="1425" spans="1:25" s="26" customFormat="1" hidden="1">
      <c r="A1425" s="33"/>
      <c r="B1425" s="108"/>
      <c r="C1425" s="108"/>
      <c r="D1425" s="31" t="str">
        <f>D1424</f>
        <v>杰毅生物</v>
      </c>
      <c r="E1425" s="108"/>
      <c r="F1425" s="111"/>
      <c r="G1425" s="108"/>
      <c r="H1425" s="108"/>
      <c r="I1425" s="108"/>
      <c r="J1425" s="108"/>
      <c r="K1425" s="31" t="str">
        <f t="shared" si="279"/>
        <v>运营中</v>
      </c>
      <c r="L1425" s="108"/>
      <c r="M1425" s="108"/>
      <c r="N1425" s="17"/>
      <c r="O1425" s="36">
        <v>44046</v>
      </c>
      <c r="P1425" s="17" t="s">
        <v>262</v>
      </c>
      <c r="Q1425" s="12" t="s">
        <v>252</v>
      </c>
      <c r="R1425" s="12" t="s">
        <v>5120</v>
      </c>
      <c r="S1425" s="108"/>
      <c r="T1425" s="108"/>
      <c r="U1425" s="111"/>
      <c r="V1425" s="108"/>
      <c r="W1425" s="108"/>
      <c r="X1425" s="108"/>
    </row>
    <row r="1426" spans="1:25" s="26" customFormat="1" hidden="1">
      <c r="A1426" s="33"/>
      <c r="B1426" s="108"/>
      <c r="C1426" s="108"/>
      <c r="D1426" s="31" t="str">
        <f>D1425</f>
        <v>杰毅生物</v>
      </c>
      <c r="E1426" s="108"/>
      <c r="F1426" s="111"/>
      <c r="G1426" s="108"/>
      <c r="H1426" s="108"/>
      <c r="I1426" s="108"/>
      <c r="J1426" s="108"/>
      <c r="K1426" s="31" t="str">
        <f t="shared" si="279"/>
        <v>运营中</v>
      </c>
      <c r="L1426" s="108"/>
      <c r="M1426" s="108"/>
      <c r="N1426" s="17"/>
      <c r="O1426" s="36">
        <v>43907</v>
      </c>
      <c r="P1426" s="17" t="s">
        <v>721</v>
      </c>
      <c r="Q1426" s="12" t="s">
        <v>252</v>
      </c>
      <c r="R1426" s="12" t="s">
        <v>5121</v>
      </c>
      <c r="S1426" s="108"/>
      <c r="T1426" s="108"/>
      <c r="U1426" s="111"/>
      <c r="V1426" s="108"/>
      <c r="W1426" s="108"/>
      <c r="X1426" s="108"/>
    </row>
    <row r="1427" spans="1:25" s="26" customFormat="1" hidden="1">
      <c r="A1427" s="33"/>
      <c r="B1427" s="108"/>
      <c r="C1427" s="108" t="s">
        <v>5122</v>
      </c>
      <c r="D1427" s="31" t="s">
        <v>96</v>
      </c>
      <c r="E1427" s="108" t="s">
        <v>96</v>
      </c>
      <c r="F1427" s="111" t="s">
        <v>5123</v>
      </c>
      <c r="G1427" s="108"/>
      <c r="H1427" s="108" t="s">
        <v>5124</v>
      </c>
      <c r="I1427" s="108" t="s">
        <v>2070</v>
      </c>
      <c r="J1427" s="107" t="s">
        <v>1931</v>
      </c>
      <c r="K1427" s="31" t="s">
        <v>272</v>
      </c>
      <c r="L1427" s="107" t="s">
        <v>249</v>
      </c>
      <c r="M1427" s="107" t="s">
        <v>1677</v>
      </c>
      <c r="N1427" s="12"/>
      <c r="O1427" s="36">
        <v>44938</v>
      </c>
      <c r="P1427" s="17" t="s">
        <v>565</v>
      </c>
      <c r="Q1427" s="17" t="s">
        <v>567</v>
      </c>
      <c r="R1427" s="17" t="s">
        <v>5125</v>
      </c>
      <c r="S1427" s="108" t="s">
        <v>5126</v>
      </c>
      <c r="T1427" s="108" t="s">
        <v>5127</v>
      </c>
      <c r="U1427" s="111" t="s">
        <v>5128</v>
      </c>
      <c r="V1427" s="108"/>
      <c r="W1427" s="108"/>
      <c r="X1427" s="108"/>
    </row>
    <row r="1428" spans="1:25" s="26" customFormat="1" ht="54.5" customHeight="1">
      <c r="A1428" s="11"/>
      <c r="B1428" s="108"/>
      <c r="C1428" s="108"/>
      <c r="D1428" s="31" t="str">
        <f>D1427</f>
        <v>Hotelmize</v>
      </c>
      <c r="E1428" s="109"/>
      <c r="F1428" s="112"/>
      <c r="G1428" s="108"/>
      <c r="H1428" s="108"/>
      <c r="I1428" s="109"/>
      <c r="J1428" s="109"/>
      <c r="K1428" s="20" t="str">
        <f t="shared" ref="K1428:K1429" si="280">K1427</f>
        <v>运营中</v>
      </c>
      <c r="L1428" s="109"/>
      <c r="M1428" s="109"/>
      <c r="N1428" s="13"/>
      <c r="O1428" s="24">
        <v>43923</v>
      </c>
      <c r="P1428" s="13" t="s">
        <v>3648</v>
      </c>
      <c r="Q1428" s="13" t="s">
        <v>5129</v>
      </c>
      <c r="R1428" s="13" t="s">
        <v>5130</v>
      </c>
      <c r="S1428" s="109"/>
      <c r="T1428" s="109"/>
      <c r="U1428" s="112"/>
      <c r="V1428" s="108"/>
      <c r="W1428" s="108"/>
      <c r="X1428" s="108"/>
      <c r="Y1428" s="11"/>
    </row>
    <row r="1429" spans="1:25" s="26" customFormat="1" hidden="1">
      <c r="A1429" s="33"/>
      <c r="B1429" s="108"/>
      <c r="C1429" s="108"/>
      <c r="D1429" s="31" t="str">
        <f>D1428</f>
        <v>Hotelmize</v>
      </c>
      <c r="E1429" s="108"/>
      <c r="F1429" s="111"/>
      <c r="G1429" s="108"/>
      <c r="H1429" s="108"/>
      <c r="I1429" s="108"/>
      <c r="J1429" s="108"/>
      <c r="K1429" s="31" t="str">
        <f t="shared" si="280"/>
        <v>运营中</v>
      </c>
      <c r="L1429" s="108"/>
      <c r="M1429" s="108"/>
      <c r="N1429" s="17"/>
      <c r="O1429" s="36">
        <v>43416</v>
      </c>
      <c r="P1429" s="17" t="s">
        <v>262</v>
      </c>
      <c r="Q1429" s="17" t="s">
        <v>2401</v>
      </c>
      <c r="R1429" s="17" t="s">
        <v>5131</v>
      </c>
      <c r="S1429" s="108"/>
      <c r="T1429" s="108"/>
      <c r="U1429" s="111"/>
      <c r="V1429" s="108"/>
      <c r="W1429" s="108"/>
      <c r="X1429" s="108"/>
    </row>
    <row r="1430" spans="1:25" s="26" customFormat="1" ht="54.5" customHeight="1">
      <c r="A1430" s="11"/>
      <c r="B1430" s="108"/>
      <c r="C1430" s="108" t="s">
        <v>5132</v>
      </c>
      <c r="D1430" s="31" t="s">
        <v>5133</v>
      </c>
      <c r="E1430" s="109" t="s">
        <v>5134</v>
      </c>
      <c r="F1430" s="112" t="s">
        <v>5135</v>
      </c>
      <c r="G1430" s="107" t="s">
        <v>5136</v>
      </c>
      <c r="H1430" s="108" t="s">
        <v>5137</v>
      </c>
      <c r="I1430" s="109" t="s">
        <v>4730</v>
      </c>
      <c r="J1430" s="109" t="s">
        <v>3382</v>
      </c>
      <c r="K1430" s="20" t="s">
        <v>1042</v>
      </c>
      <c r="L1430" s="109" t="s">
        <v>3548</v>
      </c>
      <c r="M1430" s="109" t="s">
        <v>5138</v>
      </c>
      <c r="N1430" s="13"/>
      <c r="O1430" s="24">
        <v>44648</v>
      </c>
      <c r="P1430" s="13" t="s">
        <v>3513</v>
      </c>
      <c r="Q1430" s="13" t="s">
        <v>2030</v>
      </c>
      <c r="R1430" s="13" t="s">
        <v>5139</v>
      </c>
      <c r="S1430" s="109" t="s">
        <v>5140</v>
      </c>
      <c r="T1430" s="109" t="s">
        <v>3664</v>
      </c>
      <c r="U1430" s="112" t="s">
        <v>5141</v>
      </c>
      <c r="V1430" s="107" t="s">
        <v>5142</v>
      </c>
      <c r="W1430" s="108" t="s">
        <v>5143</v>
      </c>
      <c r="X1430" s="108" t="s">
        <v>5144</v>
      </c>
      <c r="Y1430" s="11"/>
    </row>
    <row r="1431" spans="1:25" s="26" customFormat="1" hidden="1">
      <c r="A1431" s="33"/>
      <c r="B1431" s="108"/>
      <c r="C1431" s="108"/>
      <c r="D1431" s="31" t="str">
        <f>D1430</f>
        <v>中科微针</v>
      </c>
      <c r="E1431" s="108"/>
      <c r="F1431" s="111"/>
      <c r="G1431" s="108"/>
      <c r="H1431" s="108"/>
      <c r="I1431" s="108"/>
      <c r="J1431" s="108"/>
      <c r="K1431" s="31" t="str">
        <f t="shared" ref="K1431:K1432" si="281">K1430</f>
        <v>运营中</v>
      </c>
      <c r="L1431" s="108"/>
      <c r="M1431" s="108"/>
      <c r="N1431" s="17"/>
      <c r="O1431" s="36">
        <v>43942</v>
      </c>
      <c r="P1431" s="17" t="s">
        <v>721</v>
      </c>
      <c r="Q1431" s="12" t="s">
        <v>341</v>
      </c>
      <c r="R1431" s="12" t="s">
        <v>5145</v>
      </c>
      <c r="S1431" s="108"/>
      <c r="T1431" s="108"/>
      <c r="U1431" s="111"/>
      <c r="V1431" s="108"/>
      <c r="W1431" s="108"/>
      <c r="X1431" s="108"/>
    </row>
    <row r="1432" spans="1:25" s="26" customFormat="1" hidden="1">
      <c r="A1432" s="33"/>
      <c r="B1432" s="108"/>
      <c r="C1432" s="108"/>
      <c r="D1432" s="31" t="str">
        <f>D1431</f>
        <v>中科微针</v>
      </c>
      <c r="E1432" s="108"/>
      <c r="F1432" s="111"/>
      <c r="G1432" s="108"/>
      <c r="H1432" s="108"/>
      <c r="I1432" s="108"/>
      <c r="J1432" s="108"/>
      <c r="K1432" s="31" t="str">
        <f t="shared" si="281"/>
        <v>运营中</v>
      </c>
      <c r="L1432" s="108"/>
      <c r="M1432" s="108"/>
      <c r="N1432" s="17"/>
      <c r="O1432" s="36">
        <v>43404</v>
      </c>
      <c r="P1432" s="12" t="s">
        <v>326</v>
      </c>
      <c r="Q1432" s="12" t="s">
        <v>341</v>
      </c>
      <c r="R1432" s="12" t="s">
        <v>5146</v>
      </c>
      <c r="S1432" s="108"/>
      <c r="T1432" s="108"/>
      <c r="U1432" s="111"/>
      <c r="V1432" s="108"/>
      <c r="W1432" s="108"/>
      <c r="X1432" s="108"/>
    </row>
    <row r="1433" spans="1:25" s="26" customFormat="1" ht="48">
      <c r="A1433" s="11"/>
      <c r="B1433" s="108"/>
      <c r="C1433" s="17" t="s">
        <v>5147</v>
      </c>
      <c r="D1433" s="38" t="s">
        <v>5148</v>
      </c>
      <c r="E1433" s="13" t="s">
        <v>5149</v>
      </c>
      <c r="F1433" s="18" t="s">
        <v>5150</v>
      </c>
      <c r="G1433" s="12" t="s">
        <v>5151</v>
      </c>
      <c r="H1433" s="17" t="s">
        <v>5152</v>
      </c>
      <c r="I1433" s="13" t="s">
        <v>1606</v>
      </c>
      <c r="J1433" s="13" t="s">
        <v>5153</v>
      </c>
      <c r="K1433" s="25" t="s">
        <v>1042</v>
      </c>
      <c r="L1433" s="13" t="s">
        <v>3661</v>
      </c>
      <c r="M1433" s="13" t="s">
        <v>5154</v>
      </c>
      <c r="N1433" s="13"/>
      <c r="O1433" s="24">
        <v>43964</v>
      </c>
      <c r="P1433" s="13" t="s">
        <v>1045</v>
      </c>
      <c r="Q1433" s="13" t="s">
        <v>5155</v>
      </c>
      <c r="R1433" s="13" t="s">
        <v>1751</v>
      </c>
      <c r="S1433" s="13" t="s">
        <v>5156</v>
      </c>
      <c r="T1433" s="13" t="s">
        <v>5157</v>
      </c>
      <c r="U1433" s="18"/>
      <c r="V1433" s="12" t="s">
        <v>5158</v>
      </c>
      <c r="W1433" s="17" t="s">
        <v>5159</v>
      </c>
      <c r="X1433" s="17" t="s">
        <v>5160</v>
      </c>
      <c r="Y1433" s="11"/>
    </row>
    <row r="1434" spans="1:25" s="26" customFormat="1" ht="132">
      <c r="A1434" s="11"/>
      <c r="B1434" s="108"/>
      <c r="C1434" s="17" t="s">
        <v>5161</v>
      </c>
      <c r="D1434" s="38" t="s">
        <v>5162</v>
      </c>
      <c r="E1434" s="13" t="s">
        <v>5163</v>
      </c>
      <c r="F1434" s="18" t="s">
        <v>5164</v>
      </c>
      <c r="G1434" s="12" t="s">
        <v>5165</v>
      </c>
      <c r="H1434" s="17" t="s">
        <v>5166</v>
      </c>
      <c r="I1434" s="13" t="s">
        <v>727</v>
      </c>
      <c r="J1434" s="13" t="s">
        <v>4226</v>
      </c>
      <c r="K1434" s="25" t="s">
        <v>1042</v>
      </c>
      <c r="L1434" s="13" t="s">
        <v>4162</v>
      </c>
      <c r="M1434" s="13" t="s">
        <v>5167</v>
      </c>
      <c r="N1434" s="13"/>
      <c r="O1434" s="24">
        <v>44005</v>
      </c>
      <c r="P1434" s="13" t="s">
        <v>1045</v>
      </c>
      <c r="Q1434" s="13" t="s">
        <v>3514</v>
      </c>
      <c r="R1434" s="13" t="s">
        <v>5168</v>
      </c>
      <c r="S1434" s="13" t="s">
        <v>5169</v>
      </c>
      <c r="T1434" s="13" t="s">
        <v>3517</v>
      </c>
      <c r="U1434" s="18"/>
      <c r="V1434" s="12" t="s">
        <v>5170</v>
      </c>
      <c r="W1434" s="17" t="s">
        <v>5171</v>
      </c>
      <c r="X1434" s="17" t="s">
        <v>5172</v>
      </c>
      <c r="Y1434" s="11"/>
    </row>
    <row r="1435" spans="1:25" s="26" customFormat="1" ht="53.5" customHeight="1">
      <c r="A1435" s="11"/>
      <c r="B1435" s="108"/>
      <c r="C1435" s="108" t="s">
        <v>5173</v>
      </c>
      <c r="D1435" s="31" t="s">
        <v>5174</v>
      </c>
      <c r="E1435" s="109" t="s">
        <v>5175</v>
      </c>
      <c r="F1435" s="112" t="s">
        <v>5176</v>
      </c>
      <c r="G1435" s="107" t="s">
        <v>5177</v>
      </c>
      <c r="H1435" s="108" t="s">
        <v>5178</v>
      </c>
      <c r="I1435" s="109" t="s">
        <v>2176</v>
      </c>
      <c r="J1435" s="109" t="s">
        <v>5179</v>
      </c>
      <c r="K1435" s="20" t="s">
        <v>1042</v>
      </c>
      <c r="L1435" s="109" t="s">
        <v>3661</v>
      </c>
      <c r="M1435" s="109" t="s">
        <v>5031</v>
      </c>
      <c r="N1435" s="13"/>
      <c r="O1435" s="24">
        <v>44477</v>
      </c>
      <c r="P1435" s="13" t="s">
        <v>1045</v>
      </c>
      <c r="Q1435" s="13" t="s">
        <v>2030</v>
      </c>
      <c r="R1435" s="13" t="s">
        <v>5180</v>
      </c>
      <c r="S1435" s="109" t="s">
        <v>5181</v>
      </c>
      <c r="T1435" s="109" t="s">
        <v>3664</v>
      </c>
      <c r="U1435" s="112"/>
      <c r="V1435" s="107" t="s">
        <v>5182</v>
      </c>
      <c r="W1435" s="108" t="s">
        <v>5183</v>
      </c>
      <c r="X1435" s="108" t="s">
        <v>5184</v>
      </c>
      <c r="Y1435" s="11"/>
    </row>
    <row r="1436" spans="1:25" s="26" customFormat="1" hidden="1">
      <c r="A1436" s="33"/>
      <c r="B1436" s="108"/>
      <c r="C1436" s="108"/>
      <c r="D1436" s="31" t="str">
        <f>D1435</f>
        <v>飞腾信息</v>
      </c>
      <c r="E1436" s="108"/>
      <c r="F1436" s="111"/>
      <c r="G1436" s="108"/>
      <c r="H1436" s="108"/>
      <c r="I1436" s="108"/>
      <c r="J1436" s="108"/>
      <c r="K1436" s="31" t="str">
        <f t="shared" ref="K1436:K1437" si="282">K1435</f>
        <v>运营中</v>
      </c>
      <c r="L1436" s="108"/>
      <c r="M1436" s="108"/>
      <c r="N1436" s="17"/>
      <c r="O1436" s="36">
        <v>44299</v>
      </c>
      <c r="P1436" s="17" t="s">
        <v>257</v>
      </c>
      <c r="Q1436" s="12" t="s">
        <v>252</v>
      </c>
      <c r="R1436" s="12" t="s">
        <v>5185</v>
      </c>
      <c r="S1436" s="108"/>
      <c r="T1436" s="108"/>
      <c r="U1436" s="111"/>
      <c r="V1436" s="108"/>
      <c r="W1436" s="108"/>
      <c r="X1436" s="108"/>
    </row>
    <row r="1437" spans="1:25" s="26" customFormat="1" hidden="1">
      <c r="A1437" s="33"/>
      <c r="B1437" s="108"/>
      <c r="C1437" s="108"/>
      <c r="D1437" s="31" t="str">
        <f>D1436</f>
        <v>飞腾信息</v>
      </c>
      <c r="E1437" s="108"/>
      <c r="F1437" s="111"/>
      <c r="G1437" s="108"/>
      <c r="H1437" s="108"/>
      <c r="I1437" s="108"/>
      <c r="J1437" s="108"/>
      <c r="K1437" s="31" t="str">
        <f t="shared" si="282"/>
        <v>运营中</v>
      </c>
      <c r="L1437" s="108"/>
      <c r="M1437" s="108"/>
      <c r="N1437" s="17"/>
      <c r="O1437" s="36">
        <v>43910</v>
      </c>
      <c r="P1437" s="17" t="s">
        <v>262</v>
      </c>
      <c r="Q1437" s="12" t="s">
        <v>252</v>
      </c>
      <c r="R1437" s="12" t="s">
        <v>5186</v>
      </c>
      <c r="S1437" s="108"/>
      <c r="T1437" s="108"/>
      <c r="U1437" s="111"/>
      <c r="V1437" s="108"/>
      <c r="W1437" s="108"/>
      <c r="X1437" s="108"/>
    </row>
    <row r="1438" spans="1:25" s="26" customFormat="1" hidden="1">
      <c r="A1438" s="33"/>
      <c r="B1438" s="108"/>
      <c r="C1438" s="108" t="s">
        <v>5187</v>
      </c>
      <c r="D1438" s="31" t="s">
        <v>5188</v>
      </c>
      <c r="E1438" s="107" t="s">
        <v>5188</v>
      </c>
      <c r="F1438" s="110" t="s">
        <v>5189</v>
      </c>
      <c r="G1438" s="107" t="s">
        <v>5190</v>
      </c>
      <c r="H1438" s="108" t="s">
        <v>5191</v>
      </c>
      <c r="I1438" s="108" t="s">
        <v>5070</v>
      </c>
      <c r="J1438" s="107" t="s">
        <v>406</v>
      </c>
      <c r="K1438" s="31" t="s">
        <v>272</v>
      </c>
      <c r="L1438" s="107" t="s">
        <v>407</v>
      </c>
      <c r="M1438" s="107" t="s">
        <v>560</v>
      </c>
      <c r="N1438" s="12"/>
      <c r="O1438" s="36">
        <v>44081</v>
      </c>
      <c r="P1438" s="17" t="s">
        <v>262</v>
      </c>
      <c r="Q1438" s="17" t="s">
        <v>637</v>
      </c>
      <c r="R1438" s="12" t="s">
        <v>5192</v>
      </c>
      <c r="S1438" s="108" t="s">
        <v>1092</v>
      </c>
      <c r="T1438" s="108" t="s">
        <v>1078</v>
      </c>
      <c r="U1438" s="111"/>
      <c r="V1438" s="107" t="s">
        <v>5193</v>
      </c>
      <c r="W1438" s="108" t="s">
        <v>5194</v>
      </c>
      <c r="X1438" s="108" t="s">
        <v>5195</v>
      </c>
    </row>
    <row r="1439" spans="1:25" s="26" customFormat="1" hidden="1">
      <c r="A1439" s="33"/>
      <c r="B1439" s="108"/>
      <c r="C1439" s="108"/>
      <c r="D1439" s="31" t="str">
        <f>D1438</f>
        <v>鑫蜂维</v>
      </c>
      <c r="E1439" s="108"/>
      <c r="F1439" s="111"/>
      <c r="G1439" s="108"/>
      <c r="H1439" s="108"/>
      <c r="I1439" s="108"/>
      <c r="J1439" s="108"/>
      <c r="K1439" s="31" t="str">
        <f>K1438</f>
        <v>运营中</v>
      </c>
      <c r="L1439" s="108"/>
      <c r="M1439" s="108"/>
      <c r="N1439" s="17"/>
      <c r="O1439" s="36">
        <v>43137</v>
      </c>
      <c r="P1439" s="12" t="s">
        <v>326</v>
      </c>
      <c r="Q1439" s="17" t="s">
        <v>1206</v>
      </c>
      <c r="R1439" s="12" t="s">
        <v>240</v>
      </c>
      <c r="S1439" s="108"/>
      <c r="T1439" s="108"/>
      <c r="U1439" s="111"/>
      <c r="V1439" s="108"/>
      <c r="W1439" s="108"/>
      <c r="X1439" s="108"/>
    </row>
    <row r="1440" spans="1:25" s="26" customFormat="1" hidden="1">
      <c r="A1440" s="33"/>
      <c r="B1440" s="108"/>
      <c r="C1440" s="108" t="s">
        <v>5196</v>
      </c>
      <c r="D1440" s="31" t="s">
        <v>5197</v>
      </c>
      <c r="E1440" s="107" t="s">
        <v>5197</v>
      </c>
      <c r="F1440" s="110" t="s">
        <v>5198</v>
      </c>
      <c r="G1440" s="107" t="s">
        <v>5199</v>
      </c>
      <c r="H1440" s="108" t="s">
        <v>5200</v>
      </c>
      <c r="I1440" s="108" t="s">
        <v>5201</v>
      </c>
      <c r="J1440" s="107" t="s">
        <v>3842</v>
      </c>
      <c r="K1440" s="31" t="s">
        <v>272</v>
      </c>
      <c r="L1440" s="107" t="s">
        <v>944</v>
      </c>
      <c r="M1440" s="107" t="s">
        <v>3642</v>
      </c>
      <c r="N1440" s="12">
        <v>1</v>
      </c>
      <c r="O1440" s="36">
        <v>41837</v>
      </c>
      <c r="P1440" s="17" t="s">
        <v>687</v>
      </c>
      <c r="Q1440" s="17" t="s">
        <v>5202</v>
      </c>
      <c r="R1440" s="17" t="s">
        <v>1573</v>
      </c>
      <c r="S1440" s="108" t="s">
        <v>5203</v>
      </c>
      <c r="T1440" s="108" t="s">
        <v>5204</v>
      </c>
      <c r="U1440" s="110" t="s">
        <v>5205</v>
      </c>
      <c r="V1440" s="107" t="s">
        <v>5206</v>
      </c>
      <c r="W1440" s="108" t="s">
        <v>5207</v>
      </c>
      <c r="X1440" s="108" t="s">
        <v>5208</v>
      </c>
    </row>
    <row r="1441" spans="1:25" s="26" customFormat="1" hidden="1">
      <c r="A1441" s="33"/>
      <c r="B1441" s="108"/>
      <c r="C1441" s="108"/>
      <c r="D1441" s="31" t="str">
        <f>D1440</f>
        <v>海尔智家</v>
      </c>
      <c r="E1441" s="108"/>
      <c r="F1441" s="111"/>
      <c r="G1441" s="108"/>
      <c r="H1441" s="108"/>
      <c r="I1441" s="108"/>
      <c r="J1441" s="108"/>
      <c r="K1441" s="31" t="str">
        <f t="shared" ref="K1441:K1442" si="283">K1440</f>
        <v>运营中</v>
      </c>
      <c r="L1441" s="108"/>
      <c r="M1441" s="108"/>
      <c r="N1441" s="12">
        <v>1</v>
      </c>
      <c r="O1441" s="36">
        <v>36526</v>
      </c>
      <c r="P1441" s="17" t="s">
        <v>687</v>
      </c>
      <c r="Q1441" s="12" t="s">
        <v>252</v>
      </c>
      <c r="R1441" s="12" t="s">
        <v>240</v>
      </c>
      <c r="S1441" s="108"/>
      <c r="T1441" s="108"/>
      <c r="U1441" s="111"/>
      <c r="V1441" s="108"/>
      <c r="W1441" s="108"/>
      <c r="X1441" s="108"/>
    </row>
    <row r="1442" spans="1:25" s="26" customFormat="1" hidden="1">
      <c r="A1442" s="33"/>
      <c r="B1442" s="108"/>
      <c r="C1442" s="108"/>
      <c r="D1442" s="31" t="str">
        <f>D1441</f>
        <v>海尔智家</v>
      </c>
      <c r="E1442" s="108"/>
      <c r="F1442" s="111"/>
      <c r="G1442" s="108"/>
      <c r="H1442" s="108"/>
      <c r="I1442" s="108"/>
      <c r="J1442" s="108"/>
      <c r="K1442" s="31" t="str">
        <f t="shared" si="283"/>
        <v>运营中</v>
      </c>
      <c r="L1442" s="108"/>
      <c r="M1442" s="108"/>
      <c r="N1442" s="12">
        <v>1</v>
      </c>
      <c r="O1442" s="36">
        <v>34292</v>
      </c>
      <c r="P1442" s="17" t="s">
        <v>283</v>
      </c>
      <c r="Q1442" s="17" t="s">
        <v>5209</v>
      </c>
      <c r="R1442" s="17" t="s">
        <v>253</v>
      </c>
      <c r="S1442" s="108"/>
      <c r="T1442" s="108"/>
      <c r="U1442" s="111"/>
      <c r="V1442" s="108"/>
      <c r="W1442" s="108"/>
      <c r="X1442" s="108"/>
    </row>
    <row r="1443" spans="1:25" s="26" customFormat="1" hidden="1">
      <c r="A1443" s="33"/>
      <c r="B1443" s="108"/>
      <c r="C1443" s="108" t="s">
        <v>5210</v>
      </c>
      <c r="D1443" s="31" t="s">
        <v>5211</v>
      </c>
      <c r="E1443" s="107" t="s">
        <v>5211</v>
      </c>
      <c r="F1443" s="110" t="s">
        <v>5212</v>
      </c>
      <c r="G1443" s="107" t="s">
        <v>5213</v>
      </c>
      <c r="H1443" s="108" t="s">
        <v>5214</v>
      </c>
      <c r="I1443" s="108" t="s">
        <v>5215</v>
      </c>
      <c r="J1443" s="107" t="s">
        <v>428</v>
      </c>
      <c r="K1443" s="31" t="s">
        <v>272</v>
      </c>
      <c r="L1443" s="107" t="s">
        <v>273</v>
      </c>
      <c r="M1443" s="107" t="s">
        <v>3013</v>
      </c>
      <c r="N1443" s="12"/>
      <c r="O1443" s="36">
        <v>44775</v>
      </c>
      <c r="P1443" s="17" t="s">
        <v>262</v>
      </c>
      <c r="Q1443" s="12" t="s">
        <v>252</v>
      </c>
      <c r="R1443" s="12" t="s">
        <v>5216</v>
      </c>
      <c r="S1443" s="108" t="s">
        <v>4620</v>
      </c>
      <c r="T1443" s="108" t="s">
        <v>5217</v>
      </c>
      <c r="U1443" s="111"/>
      <c r="V1443" s="107" t="s">
        <v>5218</v>
      </c>
      <c r="W1443" s="108"/>
      <c r="X1443" s="108"/>
    </row>
    <row r="1444" spans="1:25" s="26" customFormat="1" ht="49.5" customHeight="1">
      <c r="A1444" s="11"/>
      <c r="B1444" s="108"/>
      <c r="C1444" s="108"/>
      <c r="D1444" s="31" t="str">
        <f>D1443</f>
        <v>智己汽车</v>
      </c>
      <c r="E1444" s="109"/>
      <c r="F1444" s="112"/>
      <c r="G1444" s="108"/>
      <c r="H1444" s="108"/>
      <c r="I1444" s="109"/>
      <c r="J1444" s="109"/>
      <c r="K1444" s="20" t="str">
        <f>K1443</f>
        <v>运营中</v>
      </c>
      <c r="L1444" s="109"/>
      <c r="M1444" s="109"/>
      <c r="N1444" s="13"/>
      <c r="O1444" s="24">
        <v>44161</v>
      </c>
      <c r="P1444" s="13" t="s">
        <v>1045</v>
      </c>
      <c r="Q1444" s="13" t="s">
        <v>5219</v>
      </c>
      <c r="R1444" s="13" t="s">
        <v>5220</v>
      </c>
      <c r="S1444" s="109"/>
      <c r="T1444" s="109"/>
      <c r="U1444" s="112"/>
      <c r="V1444" s="108"/>
      <c r="W1444" s="108"/>
      <c r="X1444" s="108"/>
      <c r="Y1444" s="11"/>
    </row>
    <row r="1445" spans="1:25" s="26" customFormat="1" ht="45.5" customHeight="1">
      <c r="A1445" s="11"/>
      <c r="B1445" s="108"/>
      <c r="C1445" s="108" t="s">
        <v>2376</v>
      </c>
      <c r="D1445" s="31" t="s">
        <v>5221</v>
      </c>
      <c r="E1445" s="109" t="s">
        <v>5222</v>
      </c>
      <c r="F1445" s="112" t="s">
        <v>5223</v>
      </c>
      <c r="G1445" s="107" t="s">
        <v>5224</v>
      </c>
      <c r="H1445" s="108"/>
      <c r="I1445" s="109" t="s">
        <v>4717</v>
      </c>
      <c r="J1445" s="109" t="s">
        <v>5030</v>
      </c>
      <c r="K1445" s="20" t="s">
        <v>1042</v>
      </c>
      <c r="L1445" s="109" t="s">
        <v>4472</v>
      </c>
      <c r="M1445" s="109" t="s">
        <v>5225</v>
      </c>
      <c r="N1445" s="13"/>
      <c r="O1445" s="24">
        <v>44334</v>
      </c>
      <c r="P1445" s="13" t="s">
        <v>4306</v>
      </c>
      <c r="Q1445" s="13" t="s">
        <v>2030</v>
      </c>
      <c r="R1445" s="13" t="s">
        <v>5226</v>
      </c>
      <c r="S1445" s="109" t="s">
        <v>5227</v>
      </c>
      <c r="T1445" s="109" t="s">
        <v>3664</v>
      </c>
      <c r="U1445" s="112"/>
      <c r="V1445" s="107" t="s">
        <v>5228</v>
      </c>
      <c r="W1445" s="108" t="s">
        <v>5229</v>
      </c>
      <c r="X1445" s="108" t="s">
        <v>5230</v>
      </c>
      <c r="Y1445" s="11"/>
    </row>
    <row r="1446" spans="1:25" s="26" customFormat="1" hidden="1">
      <c r="A1446" s="33"/>
      <c r="B1446" s="108"/>
      <c r="C1446" s="108"/>
      <c r="D1446" s="31" t="str">
        <f>D1445</f>
        <v>及时格子</v>
      </c>
      <c r="E1446" s="108"/>
      <c r="F1446" s="111"/>
      <c r="G1446" s="108"/>
      <c r="H1446" s="108"/>
      <c r="I1446" s="108"/>
      <c r="J1446" s="108"/>
      <c r="K1446" s="31" t="str">
        <f>K1445</f>
        <v>运营中</v>
      </c>
      <c r="L1446" s="108"/>
      <c r="M1446" s="108"/>
      <c r="N1446" s="17"/>
      <c r="O1446" s="36">
        <v>44166</v>
      </c>
      <c r="P1446" s="17" t="s">
        <v>262</v>
      </c>
      <c r="Q1446" s="17" t="s">
        <v>5231</v>
      </c>
      <c r="R1446" s="12" t="s">
        <v>5232</v>
      </c>
      <c r="S1446" s="108"/>
      <c r="T1446" s="108"/>
      <c r="U1446" s="111"/>
      <c r="V1446" s="108"/>
      <c r="W1446" s="108"/>
      <c r="X1446" s="108"/>
    </row>
    <row r="1447" spans="1:25" s="26" customFormat="1" ht="60" hidden="1">
      <c r="A1447" s="33"/>
      <c r="B1447" s="108"/>
      <c r="C1447" s="17" t="s">
        <v>5233</v>
      </c>
      <c r="D1447" s="38" t="s">
        <v>5234</v>
      </c>
      <c r="E1447" s="12" t="s">
        <v>5234</v>
      </c>
      <c r="F1447" s="32" t="s">
        <v>5235</v>
      </c>
      <c r="G1447" s="12" t="s">
        <v>5236</v>
      </c>
      <c r="H1447" s="17"/>
      <c r="I1447" s="17" t="s">
        <v>593</v>
      </c>
      <c r="J1447" s="12" t="s">
        <v>2431</v>
      </c>
      <c r="K1447" s="38" t="s">
        <v>272</v>
      </c>
      <c r="L1447" s="12" t="s">
        <v>4061</v>
      </c>
      <c r="M1447" s="12" t="s">
        <v>4062</v>
      </c>
      <c r="N1447" s="12"/>
      <c r="O1447" s="36">
        <v>43110</v>
      </c>
      <c r="P1447" s="12" t="s">
        <v>285</v>
      </c>
      <c r="Q1447" s="12" t="s">
        <v>252</v>
      </c>
      <c r="R1447" s="12" t="s">
        <v>240</v>
      </c>
      <c r="S1447" s="17" t="s">
        <v>4335</v>
      </c>
      <c r="T1447" s="12" t="s">
        <v>255</v>
      </c>
      <c r="U1447" s="34"/>
      <c r="V1447" s="12" t="s">
        <v>5237</v>
      </c>
      <c r="W1447" s="17" t="s">
        <v>5238</v>
      </c>
      <c r="X1447" s="17"/>
    </row>
    <row r="1448" spans="1:25" s="26" customFormat="1" hidden="1">
      <c r="A1448" s="33"/>
      <c r="B1448" s="108"/>
      <c r="C1448" s="108" t="s">
        <v>5239</v>
      </c>
      <c r="D1448" s="31" t="s">
        <v>5240</v>
      </c>
      <c r="E1448" s="107" t="s">
        <v>5240</v>
      </c>
      <c r="F1448" s="110" t="s">
        <v>5241</v>
      </c>
      <c r="G1448" s="107" t="s">
        <v>5242</v>
      </c>
      <c r="H1448" s="108"/>
      <c r="I1448" s="108" t="s">
        <v>4777</v>
      </c>
      <c r="J1448" s="107" t="s">
        <v>349</v>
      </c>
      <c r="K1448" s="31" t="s">
        <v>272</v>
      </c>
      <c r="L1448" s="107" t="s">
        <v>350</v>
      </c>
      <c r="M1448" s="107" t="s">
        <v>1238</v>
      </c>
      <c r="N1448" s="12">
        <v>1</v>
      </c>
      <c r="O1448" s="36">
        <v>44211</v>
      </c>
      <c r="P1448" s="12" t="s">
        <v>471</v>
      </c>
      <c r="Q1448" s="17" t="s">
        <v>5243</v>
      </c>
      <c r="R1448" s="12" t="s">
        <v>4700</v>
      </c>
      <c r="S1448" s="108" t="s">
        <v>5244</v>
      </c>
      <c r="T1448" s="108" t="s">
        <v>5245</v>
      </c>
      <c r="U1448" s="111"/>
      <c r="V1448" s="107" t="s">
        <v>5246</v>
      </c>
      <c r="W1448" s="108" t="s">
        <v>5247</v>
      </c>
      <c r="X1448" s="108" t="s">
        <v>5248</v>
      </c>
    </row>
    <row r="1449" spans="1:25" s="26" customFormat="1" hidden="1">
      <c r="A1449" s="33"/>
      <c r="B1449" s="108"/>
      <c r="C1449" s="108"/>
      <c r="D1449" s="31" t="str">
        <f>D1448</f>
        <v>盒小马</v>
      </c>
      <c r="E1449" s="108"/>
      <c r="F1449" s="111"/>
      <c r="G1449" s="108"/>
      <c r="H1449" s="108"/>
      <c r="I1449" s="108"/>
      <c r="J1449" s="108"/>
      <c r="K1449" s="31" t="str">
        <f>K1448</f>
        <v>运营中</v>
      </c>
      <c r="L1449" s="108"/>
      <c r="M1449" s="108"/>
      <c r="N1449" s="12">
        <v>1</v>
      </c>
      <c r="O1449" s="36">
        <v>43280</v>
      </c>
      <c r="P1449" s="12" t="s">
        <v>285</v>
      </c>
      <c r="Q1449" s="17" t="s">
        <v>5243</v>
      </c>
      <c r="R1449" s="12" t="s">
        <v>5249</v>
      </c>
      <c r="S1449" s="108"/>
      <c r="T1449" s="108"/>
      <c r="U1449" s="111"/>
      <c r="V1449" s="108"/>
      <c r="W1449" s="108"/>
      <c r="X1449" s="108"/>
    </row>
    <row r="1450" spans="1:25" s="26" customFormat="1" ht="45.5" customHeight="1">
      <c r="A1450" s="11"/>
      <c r="B1450" s="108"/>
      <c r="C1450" s="108" t="s">
        <v>5250</v>
      </c>
      <c r="D1450" s="31" t="s">
        <v>5251</v>
      </c>
      <c r="E1450" s="109" t="s">
        <v>5252</v>
      </c>
      <c r="F1450" s="112" t="s">
        <v>5253</v>
      </c>
      <c r="G1450" s="107" t="s">
        <v>5254</v>
      </c>
      <c r="H1450" s="108" t="s">
        <v>5255</v>
      </c>
      <c r="I1450" s="109" t="s">
        <v>5256</v>
      </c>
      <c r="J1450" s="109" t="s">
        <v>385</v>
      </c>
      <c r="K1450" s="20" t="s">
        <v>1042</v>
      </c>
      <c r="L1450" s="109" t="s">
        <v>5257</v>
      </c>
      <c r="M1450" s="109" t="s">
        <v>5258</v>
      </c>
      <c r="N1450" s="13"/>
      <c r="O1450" s="24">
        <v>44634</v>
      </c>
      <c r="P1450" s="13" t="s">
        <v>3648</v>
      </c>
      <c r="Q1450" s="13" t="s">
        <v>3514</v>
      </c>
      <c r="R1450" s="13" t="s">
        <v>5259</v>
      </c>
      <c r="S1450" s="109" t="s">
        <v>5260</v>
      </c>
      <c r="T1450" s="109" t="s">
        <v>3517</v>
      </c>
      <c r="U1450" s="112" t="s">
        <v>5261</v>
      </c>
      <c r="V1450" s="107" t="s">
        <v>5262</v>
      </c>
      <c r="W1450" s="108" t="s">
        <v>5263</v>
      </c>
      <c r="X1450" s="108" t="s">
        <v>5264</v>
      </c>
      <c r="Y1450" s="11"/>
    </row>
    <row r="1451" spans="1:25" s="26" customFormat="1" hidden="1">
      <c r="A1451" s="33"/>
      <c r="B1451" s="108"/>
      <c r="C1451" s="108"/>
      <c r="D1451" s="31" t="str">
        <f>D1450</f>
        <v>喜屏传媒</v>
      </c>
      <c r="E1451" s="108"/>
      <c r="F1451" s="111"/>
      <c r="G1451" s="108"/>
      <c r="H1451" s="108"/>
      <c r="I1451" s="108"/>
      <c r="J1451" s="108"/>
      <c r="K1451" s="31" t="str">
        <f t="shared" ref="K1451:K1454" si="284">K1450</f>
        <v>运营中</v>
      </c>
      <c r="L1451" s="108"/>
      <c r="M1451" s="108"/>
      <c r="N1451" s="17"/>
      <c r="O1451" s="36">
        <v>44397</v>
      </c>
      <c r="P1451" s="17" t="s">
        <v>260</v>
      </c>
      <c r="Q1451" s="12" t="s">
        <v>252</v>
      </c>
      <c r="R1451" s="12" t="s">
        <v>5265</v>
      </c>
      <c r="S1451" s="108"/>
      <c r="T1451" s="108"/>
      <c r="U1451" s="111"/>
      <c r="V1451" s="108"/>
      <c r="W1451" s="108"/>
      <c r="X1451" s="108"/>
    </row>
    <row r="1452" spans="1:25" s="26" customFormat="1" hidden="1">
      <c r="A1452" s="33"/>
      <c r="B1452" s="108"/>
      <c r="C1452" s="108"/>
      <c r="D1452" s="31" t="str">
        <f>D1451</f>
        <v>喜屏传媒</v>
      </c>
      <c r="E1452" s="108"/>
      <c r="F1452" s="111"/>
      <c r="G1452" s="108"/>
      <c r="H1452" s="108"/>
      <c r="I1452" s="108"/>
      <c r="J1452" s="108"/>
      <c r="K1452" s="31" t="str">
        <f t="shared" si="284"/>
        <v>运营中</v>
      </c>
      <c r="L1452" s="108"/>
      <c r="M1452" s="108"/>
      <c r="N1452" s="17"/>
      <c r="O1452" s="36">
        <v>43971</v>
      </c>
      <c r="P1452" s="17" t="s">
        <v>260</v>
      </c>
      <c r="Q1452" s="12" t="s">
        <v>252</v>
      </c>
      <c r="R1452" s="12" t="s">
        <v>5266</v>
      </c>
      <c r="S1452" s="108"/>
      <c r="T1452" s="108"/>
      <c r="U1452" s="111"/>
      <c r="V1452" s="108"/>
      <c r="W1452" s="108"/>
      <c r="X1452" s="108"/>
    </row>
    <row r="1453" spans="1:25" s="26" customFormat="1" hidden="1">
      <c r="A1453" s="33"/>
      <c r="B1453" s="108"/>
      <c r="C1453" s="108"/>
      <c r="D1453" s="31" t="str">
        <f>D1452</f>
        <v>喜屏传媒</v>
      </c>
      <c r="E1453" s="108"/>
      <c r="F1453" s="111"/>
      <c r="G1453" s="108"/>
      <c r="H1453" s="108"/>
      <c r="I1453" s="108"/>
      <c r="J1453" s="108"/>
      <c r="K1453" s="31" t="str">
        <f t="shared" si="284"/>
        <v>运营中</v>
      </c>
      <c r="L1453" s="108"/>
      <c r="M1453" s="108"/>
      <c r="N1453" s="17"/>
      <c r="O1453" s="36">
        <v>43660</v>
      </c>
      <c r="P1453" s="17" t="s">
        <v>262</v>
      </c>
      <c r="Q1453" s="17" t="s">
        <v>1164</v>
      </c>
      <c r="R1453" s="12" t="s">
        <v>5267</v>
      </c>
      <c r="S1453" s="108"/>
      <c r="T1453" s="108"/>
      <c r="U1453" s="111"/>
      <c r="V1453" s="108"/>
      <c r="W1453" s="108"/>
      <c r="X1453" s="108"/>
    </row>
    <row r="1454" spans="1:25" s="26" customFormat="1" hidden="1">
      <c r="A1454" s="33"/>
      <c r="B1454" s="108"/>
      <c r="C1454" s="108"/>
      <c r="D1454" s="31" t="str">
        <f>D1453</f>
        <v>喜屏传媒</v>
      </c>
      <c r="E1454" s="108"/>
      <c r="F1454" s="111"/>
      <c r="G1454" s="108"/>
      <c r="H1454" s="108"/>
      <c r="I1454" s="108"/>
      <c r="J1454" s="108"/>
      <c r="K1454" s="31" t="str">
        <f t="shared" si="284"/>
        <v>运营中</v>
      </c>
      <c r="L1454" s="108"/>
      <c r="M1454" s="108"/>
      <c r="N1454" s="17"/>
      <c r="O1454" s="36">
        <v>43391</v>
      </c>
      <c r="P1454" s="17" t="s">
        <v>721</v>
      </c>
      <c r="Q1454" s="17" t="s">
        <v>3740</v>
      </c>
      <c r="R1454" s="12" t="s">
        <v>5268</v>
      </c>
      <c r="S1454" s="108"/>
      <c r="T1454" s="108"/>
      <c r="U1454" s="111"/>
      <c r="V1454" s="108"/>
      <c r="W1454" s="108"/>
      <c r="X1454" s="108"/>
    </row>
    <row r="1455" spans="1:25" s="26" customFormat="1" ht="45.5" customHeight="1">
      <c r="A1455" s="11"/>
      <c r="B1455" s="108"/>
      <c r="C1455" s="17" t="s">
        <v>4590</v>
      </c>
      <c r="D1455" s="38" t="s">
        <v>5269</v>
      </c>
      <c r="E1455" s="13" t="s">
        <v>5270</v>
      </c>
      <c r="F1455" s="18" t="s">
        <v>5271</v>
      </c>
      <c r="G1455" s="12" t="s">
        <v>5272</v>
      </c>
      <c r="H1455" s="17"/>
      <c r="I1455" s="13" t="s">
        <v>4160</v>
      </c>
      <c r="J1455" s="13" t="s">
        <v>406</v>
      </c>
      <c r="K1455" s="25" t="s">
        <v>1042</v>
      </c>
      <c r="L1455" s="13" t="s">
        <v>3661</v>
      </c>
      <c r="M1455" s="13" t="s">
        <v>4305</v>
      </c>
      <c r="N1455" s="13"/>
      <c r="O1455" s="24">
        <v>44221</v>
      </c>
      <c r="P1455" s="13" t="s">
        <v>1045</v>
      </c>
      <c r="Q1455" s="13" t="s">
        <v>3514</v>
      </c>
      <c r="R1455" s="13" t="s">
        <v>1751</v>
      </c>
      <c r="S1455" s="13" t="s">
        <v>5169</v>
      </c>
      <c r="T1455" s="13" t="s">
        <v>5273</v>
      </c>
      <c r="U1455" s="18"/>
      <c r="V1455" s="12" t="s">
        <v>5274</v>
      </c>
      <c r="W1455" s="17" t="s">
        <v>5275</v>
      </c>
      <c r="X1455" s="17" t="s">
        <v>5276</v>
      </c>
      <c r="Y1455" s="11"/>
    </row>
    <row r="1456" spans="1:25" s="26" customFormat="1" hidden="1">
      <c r="A1456" s="33"/>
      <c r="B1456" s="108"/>
      <c r="C1456" s="108" t="s">
        <v>5277</v>
      </c>
      <c r="D1456" s="31" t="s">
        <v>5278</v>
      </c>
      <c r="E1456" s="107" t="s">
        <v>5278</v>
      </c>
      <c r="F1456" s="110" t="s">
        <v>5279</v>
      </c>
      <c r="G1456" s="107" t="s">
        <v>5280</v>
      </c>
      <c r="H1456" s="108" t="s">
        <v>5281</v>
      </c>
      <c r="I1456" s="108" t="s">
        <v>3332</v>
      </c>
      <c r="J1456" s="107" t="s">
        <v>5179</v>
      </c>
      <c r="K1456" s="31" t="s">
        <v>272</v>
      </c>
      <c r="L1456" s="107" t="s">
        <v>1101</v>
      </c>
      <c r="M1456" s="107" t="s">
        <v>3396</v>
      </c>
      <c r="N1456" s="12"/>
      <c r="O1456" s="36">
        <v>45125</v>
      </c>
      <c r="P1456" s="17" t="s">
        <v>523</v>
      </c>
      <c r="Q1456" s="17" t="s">
        <v>637</v>
      </c>
      <c r="R1456" s="12" t="s">
        <v>5282</v>
      </c>
      <c r="S1456" s="108" t="s">
        <v>5283</v>
      </c>
      <c r="T1456" s="108" t="s">
        <v>1078</v>
      </c>
      <c r="U1456" s="111"/>
      <c r="V1456" s="107" t="s">
        <v>5284</v>
      </c>
      <c r="W1456" s="108" t="s">
        <v>5285</v>
      </c>
      <c r="X1456" s="108" t="s">
        <v>5286</v>
      </c>
    </row>
    <row r="1457" spans="1:25" s="26" customFormat="1" ht="45.5" customHeight="1">
      <c r="A1457" s="11"/>
      <c r="B1457" s="108"/>
      <c r="C1457" s="108"/>
      <c r="D1457" s="31" t="str">
        <f>D1456</f>
        <v>恒宇医疗</v>
      </c>
      <c r="E1457" s="109"/>
      <c r="F1457" s="112"/>
      <c r="G1457" s="108"/>
      <c r="H1457" s="108"/>
      <c r="I1457" s="109"/>
      <c r="J1457" s="109"/>
      <c r="K1457" s="20" t="str">
        <f t="shared" ref="K1457:K1460" si="285">K1456</f>
        <v>运营中</v>
      </c>
      <c r="L1457" s="109"/>
      <c r="M1457" s="109"/>
      <c r="N1457" s="13"/>
      <c r="O1457" s="24">
        <v>45047</v>
      </c>
      <c r="P1457" s="13" t="s">
        <v>2029</v>
      </c>
      <c r="Q1457" s="13" t="s">
        <v>2030</v>
      </c>
      <c r="R1457" s="13" t="s">
        <v>5287</v>
      </c>
      <c r="S1457" s="109"/>
      <c r="T1457" s="109"/>
      <c r="U1457" s="112"/>
      <c r="V1457" s="108"/>
      <c r="W1457" s="108"/>
      <c r="X1457" s="108"/>
      <c r="Y1457" s="11"/>
    </row>
    <row r="1458" spans="1:25" s="26" customFormat="1" hidden="1">
      <c r="A1458" s="33"/>
      <c r="B1458" s="108"/>
      <c r="C1458" s="108"/>
      <c r="D1458" s="31" t="str">
        <f>D1457</f>
        <v>恒宇医疗</v>
      </c>
      <c r="E1458" s="108"/>
      <c r="F1458" s="111"/>
      <c r="G1458" s="108"/>
      <c r="H1458" s="108"/>
      <c r="I1458" s="108"/>
      <c r="J1458" s="108"/>
      <c r="K1458" s="31" t="str">
        <f t="shared" si="285"/>
        <v>运营中</v>
      </c>
      <c r="L1458" s="108"/>
      <c r="M1458" s="108"/>
      <c r="N1458" s="17"/>
      <c r="O1458" s="36">
        <v>44568</v>
      </c>
      <c r="P1458" s="17" t="s">
        <v>251</v>
      </c>
      <c r="Q1458" s="12" t="s">
        <v>252</v>
      </c>
      <c r="R1458" s="12" t="s">
        <v>3562</v>
      </c>
      <c r="S1458" s="108"/>
      <c r="T1458" s="108"/>
      <c r="U1458" s="111"/>
      <c r="V1458" s="108"/>
      <c r="W1458" s="108"/>
      <c r="X1458" s="108"/>
    </row>
    <row r="1459" spans="1:25" s="26" customFormat="1" hidden="1">
      <c r="A1459" s="33"/>
      <c r="B1459" s="108"/>
      <c r="C1459" s="108"/>
      <c r="D1459" s="31" t="str">
        <f>D1458</f>
        <v>恒宇医疗</v>
      </c>
      <c r="E1459" s="108"/>
      <c r="F1459" s="111"/>
      <c r="G1459" s="108"/>
      <c r="H1459" s="108"/>
      <c r="I1459" s="108"/>
      <c r="J1459" s="108"/>
      <c r="K1459" s="31" t="str">
        <f t="shared" si="285"/>
        <v>运营中</v>
      </c>
      <c r="L1459" s="108"/>
      <c r="M1459" s="108"/>
      <c r="N1459" s="17"/>
      <c r="O1459" s="36">
        <v>43796</v>
      </c>
      <c r="P1459" s="17" t="s">
        <v>257</v>
      </c>
      <c r="Q1459" s="12" t="s">
        <v>252</v>
      </c>
      <c r="R1459" s="12" t="s">
        <v>5288</v>
      </c>
      <c r="S1459" s="108"/>
      <c r="T1459" s="108"/>
      <c r="U1459" s="111"/>
      <c r="V1459" s="108"/>
      <c r="W1459" s="108"/>
      <c r="X1459" s="108"/>
    </row>
    <row r="1460" spans="1:25" s="26" customFormat="1" hidden="1">
      <c r="A1460" s="33"/>
      <c r="B1460" s="108"/>
      <c r="C1460" s="108"/>
      <c r="D1460" s="31" t="str">
        <f>D1459</f>
        <v>恒宇医疗</v>
      </c>
      <c r="E1460" s="108"/>
      <c r="F1460" s="111"/>
      <c r="G1460" s="108"/>
      <c r="H1460" s="108"/>
      <c r="I1460" s="108"/>
      <c r="J1460" s="108"/>
      <c r="K1460" s="31" t="str">
        <f t="shared" si="285"/>
        <v>运营中</v>
      </c>
      <c r="L1460" s="108"/>
      <c r="M1460" s="108"/>
      <c r="N1460" s="17"/>
      <c r="O1460" s="36">
        <v>42543</v>
      </c>
      <c r="P1460" s="17" t="s">
        <v>262</v>
      </c>
      <c r="Q1460" s="12" t="s">
        <v>252</v>
      </c>
      <c r="R1460" s="12" t="s">
        <v>5289</v>
      </c>
      <c r="S1460" s="108"/>
      <c r="T1460" s="108"/>
      <c r="U1460" s="111"/>
      <c r="V1460" s="108"/>
      <c r="W1460" s="108"/>
      <c r="X1460" s="108"/>
    </row>
    <row r="1461" spans="1:25" s="26" customFormat="1" ht="45.5" customHeight="1">
      <c r="A1461" s="11"/>
      <c r="B1461" s="108"/>
      <c r="C1461" s="108" t="s">
        <v>5290</v>
      </c>
      <c r="D1461" s="31" t="s">
        <v>5291</v>
      </c>
      <c r="E1461" s="109" t="s">
        <v>5292</v>
      </c>
      <c r="F1461" s="112" t="s">
        <v>5293</v>
      </c>
      <c r="G1461" s="107" t="s">
        <v>5294</v>
      </c>
      <c r="H1461" s="108" t="s">
        <v>5295</v>
      </c>
      <c r="I1461" s="109" t="s">
        <v>4424</v>
      </c>
      <c r="J1461" s="109" t="s">
        <v>5296</v>
      </c>
      <c r="K1461" s="20" t="s">
        <v>1042</v>
      </c>
      <c r="L1461" s="109" t="s">
        <v>3661</v>
      </c>
      <c r="M1461" s="109" t="s">
        <v>5031</v>
      </c>
      <c r="N1461" s="13"/>
      <c r="O1461" s="24">
        <v>45089</v>
      </c>
      <c r="P1461" s="13" t="s">
        <v>4306</v>
      </c>
      <c r="Q1461" s="13" t="s">
        <v>1750</v>
      </c>
      <c r="R1461" s="13" t="s">
        <v>5297</v>
      </c>
      <c r="S1461" s="109" t="s">
        <v>5298</v>
      </c>
      <c r="T1461" s="109" t="s">
        <v>1829</v>
      </c>
      <c r="U1461" s="112"/>
      <c r="V1461" s="107" t="s">
        <v>5299</v>
      </c>
      <c r="W1461" s="108" t="s">
        <v>5300</v>
      </c>
      <c r="X1461" s="108" t="s">
        <v>5301</v>
      </c>
      <c r="Y1461" s="11"/>
    </row>
    <row r="1462" spans="1:25" s="26" customFormat="1" hidden="1">
      <c r="A1462" s="33"/>
      <c r="B1462" s="108"/>
      <c r="C1462" s="108"/>
      <c r="D1462" s="31" t="str">
        <f>D1461</f>
        <v>JBD显耀显示</v>
      </c>
      <c r="E1462" s="108"/>
      <c r="F1462" s="111"/>
      <c r="G1462" s="108"/>
      <c r="H1462" s="108"/>
      <c r="I1462" s="108"/>
      <c r="J1462" s="108"/>
      <c r="K1462" s="31" t="str">
        <f t="shared" ref="K1462:K1466" si="286">K1461</f>
        <v>运营中</v>
      </c>
      <c r="L1462" s="108"/>
      <c r="M1462" s="108"/>
      <c r="N1462" s="17"/>
      <c r="O1462" s="36">
        <v>44880</v>
      </c>
      <c r="P1462" s="17" t="s">
        <v>260</v>
      </c>
      <c r="Q1462" s="12" t="s">
        <v>252</v>
      </c>
      <c r="R1462" s="12" t="s">
        <v>5302</v>
      </c>
      <c r="S1462" s="108"/>
      <c r="T1462" s="108"/>
      <c r="U1462" s="111"/>
      <c r="V1462" s="108"/>
      <c r="W1462" s="108"/>
      <c r="X1462" s="108"/>
    </row>
    <row r="1463" spans="1:25" s="26" customFormat="1" hidden="1">
      <c r="A1463" s="33"/>
      <c r="B1463" s="108"/>
      <c r="C1463" s="108"/>
      <c r="D1463" s="31" t="str">
        <f>D1462</f>
        <v>JBD显耀显示</v>
      </c>
      <c r="E1463" s="108"/>
      <c r="F1463" s="111"/>
      <c r="G1463" s="108"/>
      <c r="H1463" s="108"/>
      <c r="I1463" s="108"/>
      <c r="J1463" s="108"/>
      <c r="K1463" s="31" t="str">
        <f t="shared" si="286"/>
        <v>运营中</v>
      </c>
      <c r="L1463" s="108"/>
      <c r="M1463" s="108"/>
      <c r="N1463" s="17"/>
      <c r="O1463" s="36">
        <v>44783</v>
      </c>
      <c r="P1463" s="17" t="s">
        <v>260</v>
      </c>
      <c r="Q1463" s="12" t="s">
        <v>409</v>
      </c>
      <c r="R1463" s="12" t="s">
        <v>5303</v>
      </c>
      <c r="S1463" s="108"/>
      <c r="T1463" s="108"/>
      <c r="U1463" s="111"/>
      <c r="V1463" s="108"/>
      <c r="W1463" s="108"/>
      <c r="X1463" s="108"/>
    </row>
    <row r="1464" spans="1:25" s="26" customFormat="1" hidden="1">
      <c r="A1464" s="33"/>
      <c r="B1464" s="108"/>
      <c r="C1464" s="108"/>
      <c r="D1464" s="31" t="str">
        <f>D1463</f>
        <v>JBD显耀显示</v>
      </c>
      <c r="E1464" s="108"/>
      <c r="F1464" s="111"/>
      <c r="G1464" s="108"/>
      <c r="H1464" s="108"/>
      <c r="I1464" s="108"/>
      <c r="J1464" s="108"/>
      <c r="K1464" s="31" t="str">
        <f t="shared" si="286"/>
        <v>运营中</v>
      </c>
      <c r="L1464" s="108"/>
      <c r="M1464" s="108"/>
      <c r="N1464" s="17"/>
      <c r="O1464" s="36">
        <v>44524</v>
      </c>
      <c r="P1464" s="17" t="s">
        <v>262</v>
      </c>
      <c r="Q1464" s="12" t="s">
        <v>409</v>
      </c>
      <c r="R1464" s="12" t="s">
        <v>1186</v>
      </c>
      <c r="S1464" s="108"/>
      <c r="T1464" s="108"/>
      <c r="U1464" s="111"/>
      <c r="V1464" s="108"/>
      <c r="W1464" s="108"/>
      <c r="X1464" s="108"/>
    </row>
    <row r="1465" spans="1:25" s="26" customFormat="1" hidden="1">
      <c r="A1465" s="33"/>
      <c r="B1465" s="108"/>
      <c r="C1465" s="108"/>
      <c r="D1465" s="31" t="str">
        <f>D1464</f>
        <v>JBD显耀显示</v>
      </c>
      <c r="E1465" s="108"/>
      <c r="F1465" s="111"/>
      <c r="G1465" s="108"/>
      <c r="H1465" s="108"/>
      <c r="I1465" s="108"/>
      <c r="J1465" s="108"/>
      <c r="K1465" s="31" t="str">
        <f t="shared" si="286"/>
        <v>运营中</v>
      </c>
      <c r="L1465" s="108"/>
      <c r="M1465" s="108"/>
      <c r="N1465" s="17"/>
      <c r="O1465" s="36">
        <v>44427</v>
      </c>
      <c r="P1465" s="17" t="s">
        <v>721</v>
      </c>
      <c r="Q1465" s="12" t="s">
        <v>409</v>
      </c>
      <c r="R1465" s="17" t="s">
        <v>5304</v>
      </c>
      <c r="S1465" s="108"/>
      <c r="T1465" s="108"/>
      <c r="U1465" s="111"/>
      <c r="V1465" s="108"/>
      <c r="W1465" s="108"/>
      <c r="X1465" s="108"/>
    </row>
    <row r="1466" spans="1:25" s="26" customFormat="1" hidden="1">
      <c r="A1466" s="33"/>
      <c r="B1466" s="108"/>
      <c r="C1466" s="108"/>
      <c r="D1466" s="31" t="str">
        <f>D1465</f>
        <v>JBD显耀显示</v>
      </c>
      <c r="E1466" s="108"/>
      <c r="F1466" s="111"/>
      <c r="G1466" s="108"/>
      <c r="H1466" s="108"/>
      <c r="I1466" s="108"/>
      <c r="J1466" s="108"/>
      <c r="K1466" s="31" t="str">
        <f t="shared" si="286"/>
        <v>运营中</v>
      </c>
      <c r="L1466" s="108"/>
      <c r="M1466" s="108"/>
      <c r="N1466" s="17"/>
      <c r="O1466" s="36">
        <v>44418</v>
      </c>
      <c r="P1466" s="12" t="s">
        <v>285</v>
      </c>
      <c r="Q1466" s="12" t="s">
        <v>252</v>
      </c>
      <c r="R1466" s="12" t="s">
        <v>5305</v>
      </c>
      <c r="S1466" s="108"/>
      <c r="T1466" s="108"/>
      <c r="U1466" s="111"/>
      <c r="V1466" s="108"/>
      <c r="W1466" s="108"/>
      <c r="X1466" s="108"/>
    </row>
    <row r="1467" spans="1:25" s="26" customFormat="1" ht="57.5" hidden="1">
      <c r="A1467" s="33"/>
      <c r="B1467" s="108"/>
      <c r="C1467" s="17" t="s">
        <v>5306</v>
      </c>
      <c r="D1467" s="38" t="s">
        <v>5307</v>
      </c>
      <c r="E1467" s="17" t="s">
        <v>5307</v>
      </c>
      <c r="F1467" s="34" t="s">
        <v>5308</v>
      </c>
      <c r="G1467" s="17"/>
      <c r="H1467" s="17" t="s">
        <v>5309</v>
      </c>
      <c r="I1467" s="17" t="s">
        <v>2022</v>
      </c>
      <c r="J1467" s="12" t="s">
        <v>5310</v>
      </c>
      <c r="K1467" s="38" t="s">
        <v>272</v>
      </c>
      <c r="L1467" s="12" t="s">
        <v>672</v>
      </c>
      <c r="M1467" s="12" t="s">
        <v>909</v>
      </c>
      <c r="N1467" s="12">
        <v>1</v>
      </c>
      <c r="O1467" s="36">
        <v>44263</v>
      </c>
      <c r="P1467" s="12" t="s">
        <v>471</v>
      </c>
      <c r="Q1467" s="12" t="s">
        <v>2879</v>
      </c>
      <c r="R1467" s="12" t="s">
        <v>240</v>
      </c>
      <c r="S1467" s="17" t="s">
        <v>253</v>
      </c>
      <c r="T1467" s="12" t="s">
        <v>255</v>
      </c>
      <c r="U1467" s="34" t="s">
        <v>5311</v>
      </c>
      <c r="V1467" s="17"/>
      <c r="W1467" s="17"/>
      <c r="X1467" s="17"/>
    </row>
    <row r="1468" spans="1:25" s="26" customFormat="1" hidden="1">
      <c r="A1468" s="33"/>
      <c r="B1468" s="108"/>
      <c r="C1468" s="108" t="s">
        <v>5312</v>
      </c>
      <c r="D1468" s="31" t="s">
        <v>5313</v>
      </c>
      <c r="E1468" s="107" t="s">
        <v>5313</v>
      </c>
      <c r="F1468" s="110" t="s">
        <v>5314</v>
      </c>
      <c r="G1468" s="107" t="s">
        <v>5315</v>
      </c>
      <c r="H1468" s="108" t="s">
        <v>5316</v>
      </c>
      <c r="I1468" s="108" t="s">
        <v>5317</v>
      </c>
      <c r="J1468" s="107" t="s">
        <v>406</v>
      </c>
      <c r="K1468" s="31" t="s">
        <v>272</v>
      </c>
      <c r="L1468" s="107" t="s">
        <v>512</v>
      </c>
      <c r="M1468" s="107" t="s">
        <v>513</v>
      </c>
      <c r="N1468" s="12">
        <v>1</v>
      </c>
      <c r="O1468" s="36">
        <v>44544</v>
      </c>
      <c r="P1468" s="17" t="s">
        <v>283</v>
      </c>
      <c r="Q1468" s="17" t="s">
        <v>5318</v>
      </c>
      <c r="R1468" s="17" t="s">
        <v>253</v>
      </c>
      <c r="S1468" s="108" t="s">
        <v>5319</v>
      </c>
      <c r="T1468" s="108" t="s">
        <v>5320</v>
      </c>
      <c r="U1468" s="110" t="s">
        <v>5321</v>
      </c>
      <c r="V1468" s="107" t="s">
        <v>5322</v>
      </c>
      <c r="W1468" s="108"/>
      <c r="X1468" s="108"/>
    </row>
    <row r="1469" spans="1:25" s="26" customFormat="1" hidden="1">
      <c r="A1469" s="33"/>
      <c r="B1469" s="108"/>
      <c r="C1469" s="108"/>
      <c r="D1469" s="31" t="str">
        <f>D1468</f>
        <v>顺丰同城</v>
      </c>
      <c r="E1469" s="108"/>
      <c r="F1469" s="111"/>
      <c r="G1469" s="108"/>
      <c r="H1469" s="108"/>
      <c r="I1469" s="108"/>
      <c r="J1469" s="108"/>
      <c r="K1469" s="31" t="str">
        <f t="shared" ref="K1469:K1472" si="287">K1468</f>
        <v>运营中</v>
      </c>
      <c r="L1469" s="108"/>
      <c r="M1469" s="108"/>
      <c r="N1469" s="12">
        <v>1</v>
      </c>
      <c r="O1469" s="36">
        <v>44530</v>
      </c>
      <c r="P1469" s="12" t="s">
        <v>654</v>
      </c>
      <c r="Q1469" s="17" t="s">
        <v>5323</v>
      </c>
      <c r="R1469" s="12" t="s">
        <v>5324</v>
      </c>
      <c r="S1469" s="108"/>
      <c r="T1469" s="108"/>
      <c r="U1469" s="111"/>
      <c r="V1469" s="108"/>
      <c r="W1469" s="108"/>
      <c r="X1469" s="108"/>
    </row>
    <row r="1470" spans="1:25" s="26" customFormat="1" hidden="1">
      <c r="A1470" s="33"/>
      <c r="B1470" s="108"/>
      <c r="C1470" s="108"/>
      <c r="D1470" s="31" t="str">
        <f>D1469</f>
        <v>顺丰同城</v>
      </c>
      <c r="E1470" s="108"/>
      <c r="F1470" s="111"/>
      <c r="G1470" s="108"/>
      <c r="H1470" s="108"/>
      <c r="I1470" s="108"/>
      <c r="J1470" s="108"/>
      <c r="K1470" s="31" t="str">
        <f t="shared" si="287"/>
        <v>运营中</v>
      </c>
      <c r="L1470" s="108"/>
      <c r="M1470" s="108"/>
      <c r="N1470" s="12">
        <v>1</v>
      </c>
      <c r="O1470" s="36">
        <v>44273</v>
      </c>
      <c r="P1470" s="12" t="s">
        <v>285</v>
      </c>
      <c r="Q1470" s="17" t="s">
        <v>5325</v>
      </c>
      <c r="R1470" s="12" t="s">
        <v>5326</v>
      </c>
      <c r="S1470" s="108"/>
      <c r="T1470" s="108"/>
      <c r="U1470" s="111"/>
      <c r="V1470" s="108"/>
      <c r="W1470" s="108"/>
      <c r="X1470" s="108"/>
    </row>
    <row r="1471" spans="1:25" s="26" customFormat="1" hidden="1">
      <c r="A1471" s="33"/>
      <c r="B1471" s="108"/>
      <c r="C1471" s="108"/>
      <c r="D1471" s="31" t="str">
        <f>D1470</f>
        <v>顺丰同城</v>
      </c>
      <c r="E1471" s="108"/>
      <c r="F1471" s="111"/>
      <c r="G1471" s="108"/>
      <c r="H1471" s="108"/>
      <c r="I1471" s="108"/>
      <c r="J1471" s="108"/>
      <c r="K1471" s="31" t="str">
        <f t="shared" si="287"/>
        <v>运营中</v>
      </c>
      <c r="L1471" s="108"/>
      <c r="M1471" s="108"/>
      <c r="N1471" s="12">
        <v>1</v>
      </c>
      <c r="O1471" s="36">
        <v>44222</v>
      </c>
      <c r="P1471" s="17" t="s">
        <v>257</v>
      </c>
      <c r="Q1471" s="12" t="s">
        <v>409</v>
      </c>
      <c r="R1471" s="12" t="s">
        <v>5327</v>
      </c>
      <c r="S1471" s="108"/>
      <c r="T1471" s="108"/>
      <c r="U1471" s="111"/>
      <c r="V1471" s="108"/>
      <c r="W1471" s="108"/>
      <c r="X1471" s="108"/>
    </row>
    <row r="1472" spans="1:25" s="26" customFormat="1" hidden="1">
      <c r="A1472" s="33"/>
      <c r="B1472" s="108"/>
      <c r="C1472" s="108"/>
      <c r="D1472" s="31" t="str">
        <f>D1471</f>
        <v>顺丰同城</v>
      </c>
      <c r="E1472" s="108"/>
      <c r="F1472" s="111"/>
      <c r="G1472" s="108"/>
      <c r="H1472" s="108"/>
      <c r="I1472" s="108"/>
      <c r="J1472" s="108"/>
      <c r="K1472" s="31" t="str">
        <f t="shared" si="287"/>
        <v>运营中</v>
      </c>
      <c r="L1472" s="108"/>
      <c r="M1472" s="108"/>
      <c r="N1472" s="12">
        <v>1</v>
      </c>
      <c r="O1472" s="36">
        <v>43762</v>
      </c>
      <c r="P1472" s="17" t="s">
        <v>262</v>
      </c>
      <c r="Q1472" s="12" t="s">
        <v>258</v>
      </c>
      <c r="R1472" s="12" t="s">
        <v>5328</v>
      </c>
      <c r="S1472" s="108"/>
      <c r="T1472" s="108"/>
      <c r="U1472" s="111"/>
      <c r="V1472" s="108"/>
      <c r="W1472" s="108"/>
      <c r="X1472" s="108"/>
    </row>
    <row r="1473" spans="1:25" s="26" customFormat="1" ht="45.5" customHeight="1">
      <c r="A1473" s="11"/>
      <c r="B1473" s="108"/>
      <c r="C1473" s="17" t="s">
        <v>5329</v>
      </c>
      <c r="D1473" s="38" t="s">
        <v>5330</v>
      </c>
      <c r="E1473" s="13" t="s">
        <v>5331</v>
      </c>
      <c r="F1473" s="18" t="s">
        <v>5332</v>
      </c>
      <c r="G1473" s="12" t="s">
        <v>5333</v>
      </c>
      <c r="H1473" s="17" t="s">
        <v>5334</v>
      </c>
      <c r="I1473" s="13" t="s">
        <v>5335</v>
      </c>
      <c r="J1473" s="13" t="s">
        <v>5336</v>
      </c>
      <c r="K1473" s="25" t="s">
        <v>1042</v>
      </c>
      <c r="L1473" s="13" t="s">
        <v>1825</v>
      </c>
      <c r="M1473" s="13" t="s">
        <v>470</v>
      </c>
      <c r="N1473" s="13"/>
      <c r="O1473" s="24">
        <v>44281</v>
      </c>
      <c r="P1473" s="13" t="s">
        <v>1045</v>
      </c>
      <c r="Q1473" s="13" t="s">
        <v>2030</v>
      </c>
      <c r="R1473" s="13" t="s">
        <v>1751</v>
      </c>
      <c r="S1473" s="13" t="s">
        <v>4215</v>
      </c>
      <c r="T1473" s="13" t="s">
        <v>3664</v>
      </c>
      <c r="U1473" s="18"/>
      <c r="V1473" s="12" t="s">
        <v>5337</v>
      </c>
      <c r="W1473" s="17" t="s">
        <v>5338</v>
      </c>
      <c r="X1473" s="17" t="s">
        <v>5339</v>
      </c>
      <c r="Y1473" s="11"/>
    </row>
    <row r="1474" spans="1:25" s="26" customFormat="1" ht="45.5" customHeight="1">
      <c r="A1474" s="11"/>
      <c r="B1474" s="108"/>
      <c r="C1474" s="108" t="s">
        <v>5340</v>
      </c>
      <c r="D1474" s="31" t="s">
        <v>5341</v>
      </c>
      <c r="E1474" s="109" t="s">
        <v>5342</v>
      </c>
      <c r="F1474" s="112" t="s">
        <v>5343</v>
      </c>
      <c r="G1474" s="107" t="s">
        <v>5344</v>
      </c>
      <c r="H1474" s="108" t="s">
        <v>5345</v>
      </c>
      <c r="I1474" s="109" t="s">
        <v>5346</v>
      </c>
      <c r="J1474" s="109" t="s">
        <v>973</v>
      </c>
      <c r="K1474" s="20" t="s">
        <v>1042</v>
      </c>
      <c r="L1474" s="109" t="s">
        <v>4472</v>
      </c>
      <c r="M1474" s="109" t="s">
        <v>5347</v>
      </c>
      <c r="N1474" s="13"/>
      <c r="O1474" s="24">
        <v>44553</v>
      </c>
      <c r="P1474" s="13" t="s">
        <v>1045</v>
      </c>
      <c r="Q1474" s="13" t="s">
        <v>1750</v>
      </c>
      <c r="R1474" s="13" t="s">
        <v>5348</v>
      </c>
      <c r="S1474" s="109" t="s">
        <v>5349</v>
      </c>
      <c r="T1474" s="109" t="s">
        <v>1829</v>
      </c>
      <c r="U1474" s="112"/>
      <c r="V1474" s="107" t="s">
        <v>5350</v>
      </c>
      <c r="W1474" s="108" t="s">
        <v>5351</v>
      </c>
      <c r="X1474" s="108"/>
      <c r="Y1474" s="11"/>
    </row>
    <row r="1475" spans="1:25" s="26" customFormat="1" hidden="1">
      <c r="A1475" s="33"/>
      <c r="B1475" s="108"/>
      <c r="C1475" s="108"/>
      <c r="D1475" s="31" t="str">
        <f>D1474</f>
        <v>KNOWIN潮流实验室</v>
      </c>
      <c r="E1475" s="108"/>
      <c r="F1475" s="111"/>
      <c r="G1475" s="108"/>
      <c r="H1475" s="108"/>
      <c r="I1475" s="108"/>
      <c r="J1475" s="108"/>
      <c r="K1475" s="31" t="str">
        <f t="shared" ref="K1475:K1476" si="288">K1474</f>
        <v>运营中</v>
      </c>
      <c r="L1475" s="108"/>
      <c r="M1475" s="108"/>
      <c r="N1475" s="17"/>
      <c r="O1475" s="36">
        <v>44334</v>
      </c>
      <c r="P1475" s="17" t="s">
        <v>262</v>
      </c>
      <c r="Q1475" s="17" t="s">
        <v>578</v>
      </c>
      <c r="R1475" s="12" t="s">
        <v>5352</v>
      </c>
      <c r="S1475" s="108"/>
      <c r="T1475" s="108"/>
      <c r="U1475" s="111"/>
      <c r="V1475" s="108"/>
      <c r="W1475" s="108"/>
      <c r="X1475" s="108"/>
    </row>
    <row r="1476" spans="1:25" s="26" customFormat="1" hidden="1">
      <c r="A1476" s="33"/>
      <c r="B1476" s="108"/>
      <c r="C1476" s="108"/>
      <c r="D1476" s="31" t="str">
        <f>D1475</f>
        <v>KNOWIN潮流实验室</v>
      </c>
      <c r="E1476" s="108"/>
      <c r="F1476" s="111"/>
      <c r="G1476" s="108"/>
      <c r="H1476" s="108"/>
      <c r="I1476" s="108"/>
      <c r="J1476" s="108"/>
      <c r="K1476" s="31" t="str">
        <f t="shared" si="288"/>
        <v>运营中</v>
      </c>
      <c r="L1476" s="108"/>
      <c r="M1476" s="108"/>
      <c r="N1476" s="17"/>
      <c r="O1476" s="36">
        <v>44167</v>
      </c>
      <c r="P1476" s="12" t="s">
        <v>285</v>
      </c>
      <c r="Q1476" s="12" t="s">
        <v>252</v>
      </c>
      <c r="R1476" s="12" t="s">
        <v>813</v>
      </c>
      <c r="S1476" s="108"/>
      <c r="T1476" s="108"/>
      <c r="U1476" s="111"/>
      <c r="V1476" s="108"/>
      <c r="W1476" s="108"/>
      <c r="X1476" s="108"/>
    </row>
    <row r="1477" spans="1:25" s="26" customFormat="1" ht="45.5" customHeight="1">
      <c r="A1477" s="11"/>
      <c r="B1477" s="108"/>
      <c r="C1477" s="108" t="s">
        <v>5353</v>
      </c>
      <c r="D1477" s="31" t="s">
        <v>5354</v>
      </c>
      <c r="E1477" s="109" t="s">
        <v>5355</v>
      </c>
      <c r="F1477" s="112" t="s">
        <v>5356</v>
      </c>
      <c r="G1477" s="107" t="s">
        <v>5357</v>
      </c>
      <c r="H1477" s="108" t="s">
        <v>5358</v>
      </c>
      <c r="I1477" s="109" t="s">
        <v>4963</v>
      </c>
      <c r="J1477" s="109" t="s">
        <v>761</v>
      </c>
      <c r="K1477" s="20" t="s">
        <v>1042</v>
      </c>
      <c r="L1477" s="109" t="s">
        <v>3661</v>
      </c>
      <c r="M1477" s="109" t="s">
        <v>5359</v>
      </c>
      <c r="N1477" s="13"/>
      <c r="O1477" s="24">
        <v>44629</v>
      </c>
      <c r="P1477" s="13" t="s">
        <v>3648</v>
      </c>
      <c r="Q1477" s="13" t="s">
        <v>5360</v>
      </c>
      <c r="R1477" s="13" t="s">
        <v>5361</v>
      </c>
      <c r="S1477" s="109" t="s">
        <v>5362</v>
      </c>
      <c r="T1477" s="109" t="s">
        <v>5363</v>
      </c>
      <c r="U1477" s="112" t="s">
        <v>5364</v>
      </c>
      <c r="V1477" s="107" t="s">
        <v>5365</v>
      </c>
      <c r="W1477" s="108" t="s">
        <v>5366</v>
      </c>
      <c r="X1477" s="108" t="s">
        <v>5367</v>
      </c>
      <c r="Y1477" s="11"/>
    </row>
    <row r="1478" spans="1:25" s="26" customFormat="1" hidden="1">
      <c r="A1478" s="33"/>
      <c r="B1478" s="108"/>
      <c r="C1478" s="108"/>
      <c r="D1478" s="31" t="str">
        <f>D1477</f>
        <v>法奥FAIR</v>
      </c>
      <c r="E1478" s="108"/>
      <c r="F1478" s="111"/>
      <c r="G1478" s="108"/>
      <c r="H1478" s="108"/>
      <c r="I1478" s="108"/>
      <c r="J1478" s="108"/>
      <c r="K1478" s="31" t="str">
        <f t="shared" ref="K1478:K1479" si="289">K1477</f>
        <v>运营中</v>
      </c>
      <c r="L1478" s="108"/>
      <c r="M1478" s="108"/>
      <c r="N1478" s="17"/>
      <c r="O1478" s="36">
        <v>44372</v>
      </c>
      <c r="P1478" s="17" t="s">
        <v>260</v>
      </c>
      <c r="Q1478" s="17" t="s">
        <v>805</v>
      </c>
      <c r="R1478" s="12" t="s">
        <v>5368</v>
      </c>
      <c r="S1478" s="108"/>
      <c r="T1478" s="108"/>
      <c r="U1478" s="111"/>
      <c r="V1478" s="108"/>
      <c r="W1478" s="108"/>
      <c r="X1478" s="108"/>
    </row>
    <row r="1479" spans="1:25" s="26" customFormat="1" hidden="1">
      <c r="A1479" s="33"/>
      <c r="B1479" s="108"/>
      <c r="C1479" s="108"/>
      <c r="D1479" s="31" t="str">
        <f>D1478</f>
        <v>法奥FAIR</v>
      </c>
      <c r="E1479" s="108"/>
      <c r="F1479" s="111"/>
      <c r="G1479" s="108"/>
      <c r="H1479" s="108"/>
      <c r="I1479" s="108"/>
      <c r="J1479" s="108"/>
      <c r="K1479" s="31" t="str">
        <f t="shared" si="289"/>
        <v>运营中</v>
      </c>
      <c r="L1479" s="108"/>
      <c r="M1479" s="108"/>
      <c r="N1479" s="17"/>
      <c r="O1479" s="36">
        <v>44326</v>
      </c>
      <c r="P1479" s="17" t="s">
        <v>262</v>
      </c>
      <c r="Q1479" s="12" t="s">
        <v>276</v>
      </c>
      <c r="R1479" s="12" t="s">
        <v>5369</v>
      </c>
      <c r="S1479" s="108"/>
      <c r="T1479" s="108"/>
      <c r="U1479" s="111"/>
      <c r="V1479" s="108"/>
      <c r="W1479" s="108"/>
      <c r="X1479" s="108"/>
    </row>
    <row r="1480" spans="1:25" s="26" customFormat="1" hidden="1">
      <c r="A1480" s="33"/>
      <c r="B1480" s="108"/>
      <c r="C1480" s="108" t="s">
        <v>5370</v>
      </c>
      <c r="D1480" s="31" t="s">
        <v>5371</v>
      </c>
      <c r="E1480" s="108" t="s">
        <v>5371</v>
      </c>
      <c r="F1480" s="111" t="s">
        <v>5372</v>
      </c>
      <c r="G1480" s="108"/>
      <c r="H1480" s="108" t="s">
        <v>5373</v>
      </c>
      <c r="I1480" s="108" t="s">
        <v>5374</v>
      </c>
      <c r="J1480" s="107" t="s">
        <v>2156</v>
      </c>
      <c r="K1480" s="31" t="s">
        <v>272</v>
      </c>
      <c r="L1480" s="107" t="s">
        <v>672</v>
      </c>
      <c r="M1480" s="107" t="s">
        <v>673</v>
      </c>
      <c r="N1480" s="12">
        <v>1</v>
      </c>
      <c r="O1480" s="36">
        <v>44662</v>
      </c>
      <c r="P1480" s="17" t="s">
        <v>283</v>
      </c>
      <c r="Q1480" s="17" t="s">
        <v>2161</v>
      </c>
      <c r="R1480" s="17" t="s">
        <v>253</v>
      </c>
      <c r="S1480" s="108" t="s">
        <v>5375</v>
      </c>
      <c r="T1480" s="108" t="s">
        <v>5376</v>
      </c>
      <c r="U1480" s="111" t="s">
        <v>5377</v>
      </c>
      <c r="V1480" s="108"/>
      <c r="W1480" s="108"/>
      <c r="X1480" s="108"/>
    </row>
    <row r="1481" spans="1:25" s="26" customFormat="1" hidden="1">
      <c r="A1481" s="33"/>
      <c r="B1481" s="108"/>
      <c r="C1481" s="108"/>
      <c r="D1481" s="31" t="str">
        <f>D1480</f>
        <v>GoTo</v>
      </c>
      <c r="E1481" s="108"/>
      <c r="F1481" s="111"/>
      <c r="G1481" s="108"/>
      <c r="H1481" s="108"/>
      <c r="I1481" s="108"/>
      <c r="J1481" s="108"/>
      <c r="K1481" s="31" t="str">
        <f t="shared" ref="K1481:K1483" si="290">K1480</f>
        <v>运营中</v>
      </c>
      <c r="L1481" s="108"/>
      <c r="M1481" s="108"/>
      <c r="N1481" s="12">
        <v>1</v>
      </c>
      <c r="O1481" s="36">
        <v>44511</v>
      </c>
      <c r="P1481" s="12" t="s">
        <v>285</v>
      </c>
      <c r="Q1481" s="17" t="s">
        <v>5378</v>
      </c>
      <c r="R1481" s="17" t="s">
        <v>5379</v>
      </c>
      <c r="S1481" s="108"/>
      <c r="T1481" s="108"/>
      <c r="U1481" s="111"/>
      <c r="V1481" s="108"/>
      <c r="W1481" s="108"/>
      <c r="X1481" s="108"/>
    </row>
    <row r="1482" spans="1:25" s="26" customFormat="1" hidden="1">
      <c r="A1482" s="33"/>
      <c r="B1482" s="108"/>
      <c r="C1482" s="108"/>
      <c r="D1482" s="31" t="str">
        <f>D1481</f>
        <v>GoTo</v>
      </c>
      <c r="E1482" s="108"/>
      <c r="F1482" s="111"/>
      <c r="G1482" s="108"/>
      <c r="H1482" s="108"/>
      <c r="I1482" s="108"/>
      <c r="J1482" s="108"/>
      <c r="K1482" s="31" t="str">
        <f t="shared" si="290"/>
        <v>运营中</v>
      </c>
      <c r="L1482" s="108"/>
      <c r="M1482" s="108"/>
      <c r="N1482" s="12">
        <v>1</v>
      </c>
      <c r="O1482" s="36">
        <v>44489</v>
      </c>
      <c r="P1482" s="17" t="s">
        <v>763</v>
      </c>
      <c r="Q1482" s="17" t="s">
        <v>301</v>
      </c>
      <c r="R1482" s="12" t="s">
        <v>5380</v>
      </c>
      <c r="S1482" s="108"/>
      <c r="T1482" s="108"/>
      <c r="U1482" s="111"/>
      <c r="V1482" s="108"/>
      <c r="W1482" s="108"/>
      <c r="X1482" s="108"/>
    </row>
    <row r="1483" spans="1:25" s="26" customFormat="1" hidden="1">
      <c r="A1483" s="33"/>
      <c r="B1483" s="108"/>
      <c r="C1483" s="108"/>
      <c r="D1483" s="31" t="str">
        <f>D1482</f>
        <v>GoTo</v>
      </c>
      <c r="E1483" s="108"/>
      <c r="F1483" s="111"/>
      <c r="G1483" s="108"/>
      <c r="H1483" s="108"/>
      <c r="I1483" s="108"/>
      <c r="J1483" s="108"/>
      <c r="K1483" s="31" t="str">
        <f t="shared" si="290"/>
        <v>运营中</v>
      </c>
      <c r="L1483" s="108"/>
      <c r="M1483" s="108"/>
      <c r="N1483" s="12">
        <v>1</v>
      </c>
      <c r="O1483" s="36">
        <v>44333</v>
      </c>
      <c r="P1483" s="12" t="s">
        <v>285</v>
      </c>
      <c r="Q1483" s="12" t="s">
        <v>276</v>
      </c>
      <c r="R1483" s="12" t="s">
        <v>5381</v>
      </c>
      <c r="S1483" s="108"/>
      <c r="T1483" s="108"/>
      <c r="U1483" s="111"/>
      <c r="V1483" s="108"/>
      <c r="W1483" s="108"/>
      <c r="X1483" s="108"/>
    </row>
    <row r="1484" spans="1:25" s="26" customFormat="1" ht="45.5" customHeight="1">
      <c r="A1484" s="11"/>
      <c r="B1484" s="108"/>
      <c r="C1484" s="108" t="s">
        <v>5382</v>
      </c>
      <c r="D1484" s="31" t="s">
        <v>217</v>
      </c>
      <c r="E1484" s="109" t="s">
        <v>217</v>
      </c>
      <c r="F1484" s="112" t="s">
        <v>5383</v>
      </c>
      <c r="G1484" s="107" t="s">
        <v>5384</v>
      </c>
      <c r="H1484" s="108" t="s">
        <v>5385</v>
      </c>
      <c r="I1484" s="109" t="s">
        <v>5386</v>
      </c>
      <c r="J1484" s="109" t="s">
        <v>4471</v>
      </c>
      <c r="K1484" s="20" t="s">
        <v>1042</v>
      </c>
      <c r="L1484" s="109" t="s">
        <v>5387</v>
      </c>
      <c r="M1484" s="109" t="s">
        <v>5388</v>
      </c>
      <c r="N1484" s="13"/>
      <c r="O1484" s="24">
        <v>44880</v>
      </c>
      <c r="P1484" s="13" t="s">
        <v>4306</v>
      </c>
      <c r="Q1484" s="13" t="s">
        <v>5389</v>
      </c>
      <c r="R1484" s="13" t="s">
        <v>5390</v>
      </c>
      <c r="S1484" s="109" t="s">
        <v>5349</v>
      </c>
      <c r="T1484" s="109" t="s">
        <v>5391</v>
      </c>
      <c r="U1484" s="112" t="s">
        <v>5392</v>
      </c>
      <c r="V1484" s="107" t="s">
        <v>5393</v>
      </c>
      <c r="W1484" s="108" t="s">
        <v>5394</v>
      </c>
      <c r="X1484" s="108" t="s">
        <v>5395</v>
      </c>
      <c r="Y1484" s="11"/>
    </row>
    <row r="1485" spans="1:25" s="26" customFormat="1" hidden="1">
      <c r="A1485" s="33"/>
      <c r="B1485" s="108"/>
      <c r="C1485" s="108"/>
      <c r="D1485" s="31" t="str">
        <f>D1484</f>
        <v>Yahaha</v>
      </c>
      <c r="E1485" s="108"/>
      <c r="F1485" s="111"/>
      <c r="G1485" s="108"/>
      <c r="H1485" s="108"/>
      <c r="I1485" s="108"/>
      <c r="J1485" s="108"/>
      <c r="K1485" s="31" t="str">
        <f t="shared" ref="K1485:K1487" si="291">K1484</f>
        <v>运营中</v>
      </c>
      <c r="L1485" s="108"/>
      <c r="M1485" s="108"/>
      <c r="N1485" s="17"/>
      <c r="O1485" s="36">
        <v>44372</v>
      </c>
      <c r="P1485" s="17" t="s">
        <v>260</v>
      </c>
      <c r="Q1485" s="12" t="s">
        <v>409</v>
      </c>
      <c r="R1485" s="12" t="s">
        <v>5396</v>
      </c>
      <c r="S1485" s="108"/>
      <c r="T1485" s="108"/>
      <c r="U1485" s="111"/>
      <c r="V1485" s="108"/>
      <c r="W1485" s="108"/>
      <c r="X1485" s="108"/>
    </row>
    <row r="1486" spans="1:25" s="26" customFormat="1" hidden="1">
      <c r="A1486" s="33"/>
      <c r="B1486" s="108"/>
      <c r="C1486" s="108"/>
      <c r="D1486" s="31" t="str">
        <f>D1485</f>
        <v>Yahaha</v>
      </c>
      <c r="E1486" s="108"/>
      <c r="F1486" s="111"/>
      <c r="G1486" s="108"/>
      <c r="H1486" s="108"/>
      <c r="I1486" s="108"/>
      <c r="J1486" s="108"/>
      <c r="K1486" s="31" t="str">
        <f t="shared" si="291"/>
        <v>运营中</v>
      </c>
      <c r="L1486" s="108"/>
      <c r="M1486" s="108"/>
      <c r="N1486" s="17"/>
      <c r="O1486" s="36">
        <v>44286</v>
      </c>
      <c r="P1486" s="17" t="s">
        <v>260</v>
      </c>
      <c r="Q1486" s="12" t="s">
        <v>341</v>
      </c>
      <c r="R1486" s="12" t="s">
        <v>5397</v>
      </c>
      <c r="S1486" s="108"/>
      <c r="T1486" s="108"/>
      <c r="U1486" s="111"/>
      <c r="V1486" s="108"/>
      <c r="W1486" s="108"/>
      <c r="X1486" s="108"/>
    </row>
    <row r="1487" spans="1:25" s="26" customFormat="1" hidden="1">
      <c r="A1487" s="33"/>
      <c r="B1487" s="108"/>
      <c r="C1487" s="108"/>
      <c r="D1487" s="31" t="str">
        <f>D1486</f>
        <v>Yahaha</v>
      </c>
      <c r="E1487" s="108"/>
      <c r="F1487" s="111"/>
      <c r="G1487" s="108"/>
      <c r="H1487" s="108"/>
      <c r="I1487" s="108"/>
      <c r="J1487" s="108"/>
      <c r="K1487" s="31" t="str">
        <f t="shared" si="291"/>
        <v>运营中</v>
      </c>
      <c r="L1487" s="108"/>
      <c r="M1487" s="108"/>
      <c r="N1487" s="17"/>
      <c r="O1487" s="36">
        <v>44197</v>
      </c>
      <c r="P1487" s="17" t="s">
        <v>262</v>
      </c>
      <c r="Q1487" s="12" t="s">
        <v>252</v>
      </c>
      <c r="R1487" s="12" t="s">
        <v>5398</v>
      </c>
      <c r="S1487" s="108"/>
      <c r="T1487" s="108"/>
      <c r="U1487" s="111"/>
      <c r="V1487" s="108"/>
      <c r="W1487" s="108"/>
      <c r="X1487" s="108"/>
    </row>
    <row r="1488" spans="1:25" s="26" customFormat="1" ht="48">
      <c r="A1488" s="11"/>
      <c r="B1488" s="108"/>
      <c r="C1488" s="17" t="s">
        <v>5399</v>
      </c>
      <c r="D1488" s="38" t="s">
        <v>5400</v>
      </c>
      <c r="E1488" s="13" t="s">
        <v>5401</v>
      </c>
      <c r="F1488" s="18" t="s">
        <v>5402</v>
      </c>
      <c r="G1488" s="12" t="s">
        <v>5403</v>
      </c>
      <c r="H1488" s="17"/>
      <c r="I1488" s="13" t="s">
        <v>2518</v>
      </c>
      <c r="J1488" s="13" t="s">
        <v>406</v>
      </c>
      <c r="K1488" s="25" t="s">
        <v>1042</v>
      </c>
      <c r="L1488" s="13" t="s">
        <v>5257</v>
      </c>
      <c r="M1488" s="13" t="s">
        <v>5404</v>
      </c>
      <c r="N1488" s="13"/>
      <c r="O1488" s="24">
        <v>44385</v>
      </c>
      <c r="P1488" s="13" t="s">
        <v>1045</v>
      </c>
      <c r="Q1488" s="13" t="s">
        <v>2030</v>
      </c>
      <c r="R1488" s="13" t="s">
        <v>1217</v>
      </c>
      <c r="S1488" s="13" t="s">
        <v>4215</v>
      </c>
      <c r="T1488" s="13" t="s">
        <v>3664</v>
      </c>
      <c r="U1488" s="18"/>
      <c r="V1488" s="12" t="s">
        <v>5405</v>
      </c>
      <c r="W1488" s="17" t="s">
        <v>5406</v>
      </c>
      <c r="X1488" s="17"/>
      <c r="Y1488" s="11"/>
    </row>
    <row r="1489" spans="1:25" s="26" customFormat="1" ht="36">
      <c r="A1489" s="11"/>
      <c r="B1489" s="108"/>
      <c r="C1489" s="17" t="s">
        <v>1084</v>
      </c>
      <c r="D1489" s="38" t="s">
        <v>5407</v>
      </c>
      <c r="E1489" s="13" t="s">
        <v>5408</v>
      </c>
      <c r="F1489" s="18" t="s">
        <v>5409</v>
      </c>
      <c r="G1489" s="12" t="s">
        <v>5410</v>
      </c>
      <c r="H1489" s="17"/>
      <c r="I1489" s="13" t="s">
        <v>3584</v>
      </c>
      <c r="J1489" s="13" t="s">
        <v>406</v>
      </c>
      <c r="K1489" s="25" t="s">
        <v>1042</v>
      </c>
      <c r="L1489" s="13" t="s">
        <v>4472</v>
      </c>
      <c r="M1489" s="13" t="s">
        <v>5411</v>
      </c>
      <c r="N1489" s="13"/>
      <c r="O1489" s="24">
        <v>44389</v>
      </c>
      <c r="P1489" s="13" t="s">
        <v>1045</v>
      </c>
      <c r="Q1489" s="13" t="s">
        <v>2030</v>
      </c>
      <c r="R1489" s="13" t="s">
        <v>5412</v>
      </c>
      <c r="S1489" s="13" t="s">
        <v>4215</v>
      </c>
      <c r="T1489" s="13" t="s">
        <v>3664</v>
      </c>
      <c r="U1489" s="18" t="s">
        <v>5413</v>
      </c>
      <c r="V1489" s="12" t="s">
        <v>5414</v>
      </c>
      <c r="W1489" s="17" t="s">
        <v>5406</v>
      </c>
      <c r="X1489" s="17" t="s">
        <v>5415</v>
      </c>
      <c r="Y1489" s="11"/>
    </row>
    <row r="1490" spans="1:25" s="26" customFormat="1" hidden="1">
      <c r="A1490" s="33"/>
      <c r="B1490" s="108"/>
      <c r="C1490" s="108" t="s">
        <v>5416</v>
      </c>
      <c r="D1490" s="31" t="s">
        <v>5417</v>
      </c>
      <c r="E1490" s="107" t="s">
        <v>5417</v>
      </c>
      <c r="F1490" s="110" t="s">
        <v>5418</v>
      </c>
      <c r="G1490" s="107" t="s">
        <v>5419</v>
      </c>
      <c r="H1490" s="108" t="s">
        <v>5420</v>
      </c>
      <c r="I1490" s="108" t="s">
        <v>5215</v>
      </c>
      <c r="J1490" s="107" t="s">
        <v>428</v>
      </c>
      <c r="K1490" s="31" t="s">
        <v>272</v>
      </c>
      <c r="L1490" s="107" t="s">
        <v>407</v>
      </c>
      <c r="M1490" s="107" t="s">
        <v>762</v>
      </c>
      <c r="N1490" s="12"/>
      <c r="O1490" s="36">
        <v>45035</v>
      </c>
      <c r="P1490" s="17" t="s">
        <v>260</v>
      </c>
      <c r="Q1490" s="12" t="s">
        <v>341</v>
      </c>
      <c r="R1490" s="12" t="s">
        <v>5421</v>
      </c>
      <c r="S1490" s="108" t="s">
        <v>5422</v>
      </c>
      <c r="T1490" s="108" t="s">
        <v>2562</v>
      </c>
      <c r="U1490" s="110" t="s">
        <v>5423</v>
      </c>
      <c r="V1490" s="107" t="s">
        <v>5424</v>
      </c>
      <c r="W1490" s="108" t="s">
        <v>5425</v>
      </c>
      <c r="X1490" s="108" t="s">
        <v>5426</v>
      </c>
    </row>
    <row r="1491" spans="1:25" s="26" customFormat="1">
      <c r="A1491" s="11"/>
      <c r="B1491" s="108"/>
      <c r="C1491" s="108"/>
      <c r="D1491" s="31" t="str">
        <f>D1490</f>
        <v>随幻科技</v>
      </c>
      <c r="E1491" s="109"/>
      <c r="F1491" s="112"/>
      <c r="G1491" s="108"/>
      <c r="H1491" s="108"/>
      <c r="I1491" s="109"/>
      <c r="J1491" s="109"/>
      <c r="K1491" s="20" t="str">
        <f t="shared" ref="K1491:K1493" si="292">K1490</f>
        <v>运营中</v>
      </c>
      <c r="L1491" s="109"/>
      <c r="M1491" s="109"/>
      <c r="N1491" s="13"/>
      <c r="O1491" s="24">
        <v>44862</v>
      </c>
      <c r="P1491" s="13" t="s">
        <v>3513</v>
      </c>
      <c r="Q1491" s="13" t="s">
        <v>5427</v>
      </c>
      <c r="R1491" s="13" t="s">
        <v>1751</v>
      </c>
      <c r="S1491" s="109"/>
      <c r="T1491" s="109"/>
      <c r="U1491" s="112"/>
      <c r="V1491" s="108"/>
      <c r="W1491" s="108"/>
      <c r="X1491" s="108"/>
      <c r="Y1491" s="11"/>
    </row>
    <row r="1492" spans="1:25" s="26" customFormat="1" hidden="1">
      <c r="A1492" s="33"/>
      <c r="B1492" s="108"/>
      <c r="C1492" s="108"/>
      <c r="D1492" s="31" t="str">
        <f>D1491</f>
        <v>随幻科技</v>
      </c>
      <c r="E1492" s="108"/>
      <c r="F1492" s="111"/>
      <c r="G1492" s="108"/>
      <c r="H1492" s="108"/>
      <c r="I1492" s="108"/>
      <c r="J1492" s="108"/>
      <c r="K1492" s="31" t="str">
        <f t="shared" si="292"/>
        <v>运营中</v>
      </c>
      <c r="L1492" s="108"/>
      <c r="M1492" s="108"/>
      <c r="N1492" s="17"/>
      <c r="O1492" s="36">
        <v>44410</v>
      </c>
      <c r="P1492" s="17" t="s">
        <v>721</v>
      </c>
      <c r="Q1492" s="12" t="s">
        <v>258</v>
      </c>
      <c r="R1492" s="17" t="s">
        <v>5428</v>
      </c>
      <c r="S1492" s="108"/>
      <c r="T1492" s="108"/>
      <c r="U1492" s="111"/>
      <c r="V1492" s="108"/>
      <c r="W1492" s="108"/>
      <c r="X1492" s="108"/>
    </row>
    <row r="1493" spans="1:25" s="26" customFormat="1" hidden="1">
      <c r="A1493" s="33"/>
      <c r="B1493" s="108"/>
      <c r="C1493" s="108"/>
      <c r="D1493" s="31" t="str">
        <f>D1492</f>
        <v>随幻科技</v>
      </c>
      <c r="E1493" s="108"/>
      <c r="F1493" s="111"/>
      <c r="G1493" s="108"/>
      <c r="H1493" s="108"/>
      <c r="I1493" s="108"/>
      <c r="J1493" s="108"/>
      <c r="K1493" s="31" t="str">
        <f t="shared" si="292"/>
        <v>运营中</v>
      </c>
      <c r="L1493" s="108"/>
      <c r="M1493" s="108"/>
      <c r="N1493" s="17"/>
      <c r="O1493" s="36">
        <v>44257</v>
      </c>
      <c r="P1493" s="12" t="s">
        <v>326</v>
      </c>
      <c r="Q1493" s="12" t="s">
        <v>252</v>
      </c>
      <c r="R1493" s="12" t="s">
        <v>5429</v>
      </c>
      <c r="S1493" s="108"/>
      <c r="T1493" s="108"/>
      <c r="U1493" s="111"/>
      <c r="V1493" s="108"/>
      <c r="W1493" s="108"/>
      <c r="X1493" s="108"/>
    </row>
    <row r="1494" spans="1:25" s="26" customFormat="1">
      <c r="A1494" s="11"/>
      <c r="B1494" s="108"/>
      <c r="C1494" s="108" t="s">
        <v>5430</v>
      </c>
      <c r="D1494" s="31" t="s">
        <v>5431</v>
      </c>
      <c r="E1494" s="109" t="s">
        <v>5432</v>
      </c>
      <c r="F1494" s="112" t="s">
        <v>5433</v>
      </c>
      <c r="G1494" s="107" t="s">
        <v>5434</v>
      </c>
      <c r="H1494" s="108" t="s">
        <v>5435</v>
      </c>
      <c r="I1494" s="109" t="s">
        <v>3771</v>
      </c>
      <c r="J1494" s="109" t="s">
        <v>5436</v>
      </c>
      <c r="K1494" s="20" t="s">
        <v>1042</v>
      </c>
      <c r="L1494" s="109" t="s">
        <v>5437</v>
      </c>
      <c r="M1494" s="109" t="s">
        <v>5438</v>
      </c>
      <c r="N1494" s="13"/>
      <c r="O1494" s="24">
        <v>44978</v>
      </c>
      <c r="P1494" s="13" t="s">
        <v>4306</v>
      </c>
      <c r="Q1494" s="13" t="s">
        <v>5427</v>
      </c>
      <c r="R1494" s="13" t="s">
        <v>5439</v>
      </c>
      <c r="S1494" s="109" t="s">
        <v>5440</v>
      </c>
      <c r="T1494" s="109" t="s">
        <v>5441</v>
      </c>
      <c r="U1494" s="112"/>
      <c r="V1494" s="107" t="s">
        <v>5442</v>
      </c>
      <c r="W1494" s="108" t="s">
        <v>5443</v>
      </c>
      <c r="X1494" s="108" t="s">
        <v>5444</v>
      </c>
      <c r="Y1494" s="11"/>
    </row>
    <row r="1495" spans="1:25" s="26" customFormat="1" hidden="1">
      <c r="A1495" s="33"/>
      <c r="B1495" s="108"/>
      <c r="C1495" s="108"/>
      <c r="D1495" s="31" t="str">
        <f>D1494</f>
        <v>博瑞迪生物</v>
      </c>
      <c r="E1495" s="108"/>
      <c r="F1495" s="111"/>
      <c r="G1495" s="108"/>
      <c r="H1495" s="108"/>
      <c r="I1495" s="108"/>
      <c r="J1495" s="108"/>
      <c r="K1495" s="31" t="str">
        <f t="shared" ref="K1495:K1497" si="293">K1494</f>
        <v>运营中</v>
      </c>
      <c r="L1495" s="108"/>
      <c r="M1495" s="108"/>
      <c r="N1495" s="17"/>
      <c r="O1495" s="36">
        <v>44726</v>
      </c>
      <c r="P1495" s="17" t="s">
        <v>260</v>
      </c>
      <c r="Q1495" s="12" t="s">
        <v>252</v>
      </c>
      <c r="R1495" s="12" t="s">
        <v>5445</v>
      </c>
      <c r="S1495" s="108"/>
      <c r="T1495" s="108"/>
      <c r="U1495" s="111"/>
      <c r="V1495" s="108"/>
      <c r="W1495" s="108"/>
      <c r="X1495" s="108"/>
    </row>
    <row r="1496" spans="1:25" s="26" customFormat="1" hidden="1">
      <c r="A1496" s="33"/>
      <c r="B1496" s="108"/>
      <c r="C1496" s="108"/>
      <c r="D1496" s="31" t="str">
        <f>D1495</f>
        <v>博瑞迪生物</v>
      </c>
      <c r="E1496" s="108"/>
      <c r="F1496" s="111"/>
      <c r="G1496" s="108"/>
      <c r="H1496" s="108"/>
      <c r="I1496" s="108"/>
      <c r="J1496" s="108"/>
      <c r="K1496" s="31" t="str">
        <f t="shared" si="293"/>
        <v>运营中</v>
      </c>
      <c r="L1496" s="108"/>
      <c r="M1496" s="108"/>
      <c r="N1496" s="17"/>
      <c r="O1496" s="36">
        <v>44454</v>
      </c>
      <c r="P1496" s="17" t="s">
        <v>262</v>
      </c>
      <c r="Q1496" s="12" t="s">
        <v>341</v>
      </c>
      <c r="R1496" s="12" t="s">
        <v>5446</v>
      </c>
      <c r="S1496" s="108"/>
      <c r="T1496" s="108"/>
      <c r="U1496" s="111"/>
      <c r="V1496" s="108"/>
      <c r="W1496" s="108"/>
      <c r="X1496" s="108"/>
    </row>
    <row r="1497" spans="1:25" s="26" customFormat="1" hidden="1">
      <c r="A1497" s="33"/>
      <c r="B1497" s="108"/>
      <c r="C1497" s="108"/>
      <c r="D1497" s="31" t="str">
        <f>D1496</f>
        <v>博瑞迪生物</v>
      </c>
      <c r="E1497" s="108"/>
      <c r="F1497" s="111"/>
      <c r="G1497" s="108"/>
      <c r="H1497" s="108"/>
      <c r="I1497" s="108"/>
      <c r="J1497" s="108"/>
      <c r="K1497" s="31" t="str">
        <f t="shared" si="293"/>
        <v>运营中</v>
      </c>
      <c r="L1497" s="108"/>
      <c r="M1497" s="108"/>
      <c r="N1497" s="17"/>
      <c r="O1497" s="36">
        <v>43949</v>
      </c>
      <c r="P1497" s="12" t="s">
        <v>326</v>
      </c>
      <c r="Q1497" s="12" t="s">
        <v>252</v>
      </c>
      <c r="R1497" s="12" t="s">
        <v>5447</v>
      </c>
      <c r="S1497" s="108"/>
      <c r="T1497" s="108"/>
      <c r="U1497" s="111"/>
      <c r="V1497" s="108"/>
      <c r="W1497" s="108"/>
      <c r="X1497" s="108"/>
    </row>
    <row r="1498" spans="1:25" s="26" customFormat="1" ht="60">
      <c r="A1498" s="11"/>
      <c r="B1498" s="108"/>
      <c r="C1498" s="17" t="s">
        <v>5448</v>
      </c>
      <c r="D1498" s="38" t="s">
        <v>5449</v>
      </c>
      <c r="E1498" s="13" t="s">
        <v>5450</v>
      </c>
      <c r="F1498" s="18" t="s">
        <v>5451</v>
      </c>
      <c r="G1498" s="12" t="s">
        <v>5452</v>
      </c>
      <c r="H1498" s="17" t="s">
        <v>5453</v>
      </c>
      <c r="I1498" s="13" t="s">
        <v>5386</v>
      </c>
      <c r="J1498" s="13" t="s">
        <v>428</v>
      </c>
      <c r="K1498" s="25" t="s">
        <v>1042</v>
      </c>
      <c r="L1498" s="13" t="s">
        <v>3661</v>
      </c>
      <c r="M1498" s="13" t="s">
        <v>5031</v>
      </c>
      <c r="N1498" s="13"/>
      <c r="O1498" s="24">
        <v>44469</v>
      </c>
      <c r="P1498" s="13" t="s">
        <v>5454</v>
      </c>
      <c r="Q1498" s="13" t="s">
        <v>2030</v>
      </c>
      <c r="R1498" s="13" t="s">
        <v>5455</v>
      </c>
      <c r="S1498" s="13" t="s">
        <v>5456</v>
      </c>
      <c r="T1498" s="13" t="s">
        <v>3664</v>
      </c>
      <c r="U1498" s="18"/>
      <c r="V1498" s="12" t="s">
        <v>5457</v>
      </c>
      <c r="W1498" s="17" t="s">
        <v>5458</v>
      </c>
      <c r="X1498" s="17" t="s">
        <v>5459</v>
      </c>
      <c r="Y1498" s="11"/>
    </row>
    <row r="1499" spans="1:25" s="26" customFormat="1" ht="83.5">
      <c r="A1499" s="11"/>
      <c r="B1499" s="108"/>
      <c r="C1499" s="17" t="s">
        <v>5173</v>
      </c>
      <c r="D1499" s="38" t="s">
        <v>162</v>
      </c>
      <c r="E1499" s="13" t="s">
        <v>162</v>
      </c>
      <c r="F1499" s="18" t="s">
        <v>5460</v>
      </c>
      <c r="G1499" s="17"/>
      <c r="H1499" s="17" t="s">
        <v>5461</v>
      </c>
      <c r="I1499" s="13" t="s">
        <v>5462</v>
      </c>
      <c r="J1499" s="13" t="s">
        <v>5463</v>
      </c>
      <c r="K1499" s="25" t="s">
        <v>1042</v>
      </c>
      <c r="L1499" s="13" t="s">
        <v>4162</v>
      </c>
      <c r="M1499" s="13" t="s">
        <v>5464</v>
      </c>
      <c r="N1499" s="13"/>
      <c r="O1499" s="24">
        <v>44477</v>
      </c>
      <c r="P1499" s="13" t="s">
        <v>1045</v>
      </c>
      <c r="Q1499" s="13" t="s">
        <v>5000</v>
      </c>
      <c r="R1499" s="13" t="s">
        <v>1751</v>
      </c>
      <c r="S1499" s="13" t="s">
        <v>5362</v>
      </c>
      <c r="T1499" s="13" t="s">
        <v>3664</v>
      </c>
      <c r="U1499" s="18"/>
      <c r="V1499" s="12" t="s">
        <v>5465</v>
      </c>
      <c r="W1499" s="17"/>
      <c r="X1499" s="17"/>
      <c r="Y1499" s="11"/>
    </row>
    <row r="1500" spans="1:25" s="26" customFormat="1" ht="36">
      <c r="A1500" s="11"/>
      <c r="B1500" s="108"/>
      <c r="C1500" s="17" t="s">
        <v>5466</v>
      </c>
      <c r="D1500" s="38" t="s">
        <v>5467</v>
      </c>
      <c r="E1500" s="13" t="s">
        <v>5468</v>
      </c>
      <c r="F1500" s="18" t="s">
        <v>5469</v>
      </c>
      <c r="G1500" s="12" t="s">
        <v>5470</v>
      </c>
      <c r="H1500" s="17"/>
      <c r="I1500" s="13" t="s">
        <v>5471</v>
      </c>
      <c r="J1500" s="13" t="s">
        <v>943</v>
      </c>
      <c r="K1500" s="25" t="s">
        <v>1042</v>
      </c>
      <c r="L1500" s="13" t="s">
        <v>5472</v>
      </c>
      <c r="M1500" s="13" t="s">
        <v>5473</v>
      </c>
      <c r="N1500" s="13"/>
      <c r="O1500" s="24">
        <v>44505</v>
      </c>
      <c r="P1500" s="13" t="s">
        <v>5474</v>
      </c>
      <c r="Q1500" s="13" t="s">
        <v>5427</v>
      </c>
      <c r="R1500" s="13" t="s">
        <v>1751</v>
      </c>
      <c r="S1500" s="13" t="s">
        <v>4215</v>
      </c>
      <c r="T1500" s="13" t="s">
        <v>5441</v>
      </c>
      <c r="U1500" s="18" t="s">
        <v>5475</v>
      </c>
      <c r="V1500" s="12" t="s">
        <v>5476</v>
      </c>
      <c r="W1500" s="17"/>
      <c r="X1500" s="17" t="s">
        <v>5477</v>
      </c>
      <c r="Y1500" s="11"/>
    </row>
    <row r="1501" spans="1:25" s="26" customFormat="1" hidden="1">
      <c r="A1501" s="33"/>
      <c r="B1501" s="108"/>
      <c r="C1501" s="108" t="s">
        <v>5478</v>
      </c>
      <c r="D1501" s="31" t="s">
        <v>45</v>
      </c>
      <c r="E1501" s="108" t="s">
        <v>45</v>
      </c>
      <c r="F1501" s="111" t="s">
        <v>5479</v>
      </c>
      <c r="G1501" s="108"/>
      <c r="H1501" s="108"/>
      <c r="I1501" s="108" t="s">
        <v>4282</v>
      </c>
      <c r="J1501" s="107" t="s">
        <v>5480</v>
      </c>
      <c r="K1501" s="31" t="s">
        <v>272</v>
      </c>
      <c r="L1501" s="107" t="s">
        <v>350</v>
      </c>
      <c r="M1501" s="107" t="s">
        <v>617</v>
      </c>
      <c r="N1501" s="12"/>
      <c r="O1501" s="36">
        <v>44543</v>
      </c>
      <c r="P1501" s="12" t="s">
        <v>285</v>
      </c>
      <c r="Q1501" s="17" t="s">
        <v>984</v>
      </c>
      <c r="R1501" s="17" t="s">
        <v>5481</v>
      </c>
      <c r="S1501" s="108" t="s">
        <v>5482</v>
      </c>
      <c r="T1501" s="108" t="s">
        <v>5483</v>
      </c>
      <c r="U1501" s="111" t="s">
        <v>5484</v>
      </c>
      <c r="V1501" s="108"/>
      <c r="W1501" s="108"/>
      <c r="X1501" s="108"/>
    </row>
    <row r="1502" spans="1:25" s="26" customFormat="1">
      <c r="A1502" s="11"/>
      <c r="B1502" s="108"/>
      <c r="C1502" s="108"/>
      <c r="D1502" s="31" t="str">
        <f>D1501</f>
        <v>CrownX</v>
      </c>
      <c r="E1502" s="109"/>
      <c r="F1502" s="112"/>
      <c r="G1502" s="108"/>
      <c r="H1502" s="108"/>
      <c r="I1502" s="109"/>
      <c r="J1502" s="109"/>
      <c r="K1502" s="20" t="str">
        <f>K1501</f>
        <v>运营中</v>
      </c>
      <c r="L1502" s="109"/>
      <c r="M1502" s="109"/>
      <c r="N1502" s="13"/>
      <c r="O1502" s="24">
        <v>44334</v>
      </c>
      <c r="P1502" s="13" t="s">
        <v>1045</v>
      </c>
      <c r="Q1502" s="13" t="s">
        <v>4562</v>
      </c>
      <c r="R1502" s="13" t="s">
        <v>1751</v>
      </c>
      <c r="S1502" s="109"/>
      <c r="T1502" s="109"/>
      <c r="U1502" s="112"/>
      <c r="V1502" s="108"/>
      <c r="W1502" s="108"/>
      <c r="X1502" s="108"/>
      <c r="Y1502" s="11"/>
    </row>
    <row r="1503" spans="1:25" s="26" customFormat="1" ht="47.5">
      <c r="A1503" s="11"/>
      <c r="B1503" s="108"/>
      <c r="C1503" s="17" t="s">
        <v>5485</v>
      </c>
      <c r="D1503" s="38" t="s">
        <v>5486</v>
      </c>
      <c r="E1503" s="13" t="s">
        <v>5487</v>
      </c>
      <c r="F1503" s="18" t="s">
        <v>5488</v>
      </c>
      <c r="G1503" s="12" t="s">
        <v>5489</v>
      </c>
      <c r="H1503" s="17" t="s">
        <v>5490</v>
      </c>
      <c r="I1503" s="13" t="s">
        <v>5491</v>
      </c>
      <c r="J1503" s="13" t="s">
        <v>943</v>
      </c>
      <c r="K1503" s="25" t="s">
        <v>1042</v>
      </c>
      <c r="L1503" s="13" t="s">
        <v>2711</v>
      </c>
      <c r="M1503" s="13" t="s">
        <v>4903</v>
      </c>
      <c r="N1503" s="13"/>
      <c r="O1503" s="24">
        <v>44571</v>
      </c>
      <c r="P1503" s="13" t="s">
        <v>1045</v>
      </c>
      <c r="Q1503" s="13" t="s">
        <v>3514</v>
      </c>
      <c r="R1503" s="13" t="s">
        <v>1751</v>
      </c>
      <c r="S1503" s="13" t="s">
        <v>5169</v>
      </c>
      <c r="T1503" s="13" t="s">
        <v>5273</v>
      </c>
      <c r="U1503" s="18" t="s">
        <v>5492</v>
      </c>
      <c r="V1503" s="12" t="s">
        <v>5493</v>
      </c>
      <c r="W1503" s="17">
        <v>15221455702</v>
      </c>
      <c r="X1503" s="17" t="s">
        <v>5494</v>
      </c>
      <c r="Y1503" s="11"/>
    </row>
    <row r="1504" spans="1:25" s="26" customFormat="1" ht="36">
      <c r="A1504" s="11"/>
      <c r="B1504" s="108"/>
      <c r="C1504" s="17" t="s">
        <v>5495</v>
      </c>
      <c r="D1504" s="38" t="s">
        <v>5496</v>
      </c>
      <c r="E1504" s="13" t="s">
        <v>5497</v>
      </c>
      <c r="F1504" s="18" t="s">
        <v>5498</v>
      </c>
      <c r="G1504" s="12" t="s">
        <v>5499</v>
      </c>
      <c r="H1504" s="17"/>
      <c r="I1504" s="13" t="s">
        <v>942</v>
      </c>
      <c r="J1504" s="13" t="s">
        <v>5500</v>
      </c>
      <c r="K1504" s="25" t="s">
        <v>1042</v>
      </c>
      <c r="L1504" s="13" t="s">
        <v>5501</v>
      </c>
      <c r="M1504" s="13" t="s">
        <v>5502</v>
      </c>
      <c r="N1504" s="13"/>
      <c r="O1504" s="24">
        <v>44600</v>
      </c>
      <c r="P1504" s="13" t="s">
        <v>3513</v>
      </c>
      <c r="Q1504" s="13" t="s">
        <v>1750</v>
      </c>
      <c r="R1504" s="13" t="s">
        <v>5503</v>
      </c>
      <c r="S1504" s="13" t="s">
        <v>5504</v>
      </c>
      <c r="T1504" s="13" t="s">
        <v>1829</v>
      </c>
      <c r="U1504" s="18" t="s">
        <v>5505</v>
      </c>
      <c r="V1504" s="12" t="s">
        <v>5506</v>
      </c>
      <c r="W1504" s="17" t="s">
        <v>5507</v>
      </c>
      <c r="X1504" s="17" t="s">
        <v>5508</v>
      </c>
      <c r="Y1504" s="11"/>
    </row>
    <row r="1505" spans="1:25" s="26" customFormat="1">
      <c r="A1505" s="11"/>
      <c r="B1505" s="108"/>
      <c r="C1505" s="108" t="s">
        <v>5509</v>
      </c>
      <c r="D1505" s="31" t="s">
        <v>5510</v>
      </c>
      <c r="E1505" s="109" t="s">
        <v>5511</v>
      </c>
      <c r="F1505" s="112" t="s">
        <v>5512</v>
      </c>
      <c r="G1505" s="107" t="s">
        <v>5513</v>
      </c>
      <c r="H1505" s="108" t="s">
        <v>5514</v>
      </c>
      <c r="I1505" s="109" t="s">
        <v>246</v>
      </c>
      <c r="J1505" s="109" t="s">
        <v>1192</v>
      </c>
      <c r="K1505" s="20" t="s">
        <v>1042</v>
      </c>
      <c r="L1505" s="109" t="s">
        <v>3661</v>
      </c>
      <c r="M1505" s="109" t="s">
        <v>3662</v>
      </c>
      <c r="N1505" s="13"/>
      <c r="O1505" s="24">
        <v>45000</v>
      </c>
      <c r="P1505" s="13" t="s">
        <v>3648</v>
      </c>
      <c r="Q1505" s="13" t="s">
        <v>1750</v>
      </c>
      <c r="R1505" s="13" t="s">
        <v>5515</v>
      </c>
      <c r="S1505" s="109" t="s">
        <v>5349</v>
      </c>
      <c r="T1505" s="109" t="s">
        <v>5116</v>
      </c>
      <c r="U1505" s="112" t="s">
        <v>5516</v>
      </c>
      <c r="V1505" s="107" t="s">
        <v>5517</v>
      </c>
      <c r="W1505" s="108" t="s">
        <v>5518</v>
      </c>
      <c r="X1505" s="108" t="s">
        <v>5519</v>
      </c>
      <c r="Y1505" s="11"/>
    </row>
    <row r="1506" spans="1:25" s="26" customFormat="1" hidden="1">
      <c r="A1506" s="33"/>
      <c r="B1506" s="108"/>
      <c r="C1506" s="108"/>
      <c r="D1506" s="31" t="str">
        <f>D1505</f>
        <v>杰成新能源</v>
      </c>
      <c r="E1506" s="108"/>
      <c r="F1506" s="111"/>
      <c r="G1506" s="108"/>
      <c r="H1506" s="108"/>
      <c r="I1506" s="108"/>
      <c r="J1506" s="108"/>
      <c r="K1506" s="31" t="str">
        <f>K1505</f>
        <v>运营中</v>
      </c>
      <c r="L1506" s="108"/>
      <c r="M1506" s="108"/>
      <c r="N1506" s="17"/>
      <c r="O1506" s="36">
        <v>44767</v>
      </c>
      <c r="P1506" s="17" t="s">
        <v>262</v>
      </c>
      <c r="Q1506" s="12" t="s">
        <v>409</v>
      </c>
      <c r="R1506" s="12" t="s">
        <v>5520</v>
      </c>
      <c r="S1506" s="108"/>
      <c r="T1506" s="108"/>
      <c r="U1506" s="111"/>
      <c r="V1506" s="108"/>
      <c r="W1506" s="108"/>
      <c r="X1506" s="108"/>
    </row>
    <row r="1507" spans="1:25" s="26" customFormat="1" ht="60">
      <c r="A1507" s="11"/>
      <c r="B1507" s="108"/>
      <c r="C1507" s="17" t="s">
        <v>5521</v>
      </c>
      <c r="D1507" s="38" t="s">
        <v>5522</v>
      </c>
      <c r="E1507" s="13" t="s">
        <v>5523</v>
      </c>
      <c r="F1507" s="18" t="s">
        <v>5524</v>
      </c>
      <c r="G1507" s="12" t="s">
        <v>5525</v>
      </c>
      <c r="H1507" s="17" t="s">
        <v>5526</v>
      </c>
      <c r="I1507" s="13" t="s">
        <v>5527</v>
      </c>
      <c r="J1507" s="13" t="s">
        <v>4471</v>
      </c>
      <c r="K1507" s="25" t="s">
        <v>1042</v>
      </c>
      <c r="L1507" s="13" t="s">
        <v>5472</v>
      </c>
      <c r="M1507" s="13" t="s">
        <v>5528</v>
      </c>
      <c r="N1507" s="13"/>
      <c r="O1507" s="24">
        <v>44783</v>
      </c>
      <c r="P1507" s="13" t="s">
        <v>1045</v>
      </c>
      <c r="Q1507" s="13" t="s">
        <v>5529</v>
      </c>
      <c r="R1507" s="13" t="s">
        <v>5530</v>
      </c>
      <c r="S1507" s="13" t="s">
        <v>5531</v>
      </c>
      <c r="T1507" s="13" t="s">
        <v>4735</v>
      </c>
      <c r="U1507" s="18"/>
      <c r="V1507" s="12" t="s">
        <v>5532</v>
      </c>
      <c r="W1507" s="17" t="s">
        <v>5533</v>
      </c>
      <c r="X1507" s="17" t="s">
        <v>5534</v>
      </c>
      <c r="Y1507" s="11"/>
    </row>
    <row r="1508" spans="1:25" s="26" customFormat="1" hidden="1">
      <c r="A1508" s="33"/>
      <c r="B1508" s="108"/>
      <c r="C1508" s="108" t="s">
        <v>5535</v>
      </c>
      <c r="D1508" s="31" t="s">
        <v>5536</v>
      </c>
      <c r="E1508" s="108" t="s">
        <v>5536</v>
      </c>
      <c r="F1508" s="111" t="s">
        <v>5537</v>
      </c>
      <c r="G1508" s="108" t="s">
        <v>5536</v>
      </c>
      <c r="H1508" s="108"/>
      <c r="I1508" s="108" t="s">
        <v>2787</v>
      </c>
      <c r="J1508" s="107" t="s">
        <v>1564</v>
      </c>
      <c r="K1508" s="31" t="s">
        <v>272</v>
      </c>
      <c r="L1508" s="107" t="s">
        <v>350</v>
      </c>
      <c r="M1508" s="107" t="s">
        <v>1379</v>
      </c>
      <c r="N1508" s="12"/>
      <c r="O1508" s="36">
        <v>43400</v>
      </c>
      <c r="P1508" s="12" t="s">
        <v>437</v>
      </c>
      <c r="Q1508" s="17" t="s">
        <v>539</v>
      </c>
      <c r="R1508" s="17" t="s">
        <v>5538</v>
      </c>
      <c r="S1508" s="108" t="s">
        <v>5539</v>
      </c>
      <c r="T1508" s="108" t="s">
        <v>5540</v>
      </c>
      <c r="U1508" s="111" t="s">
        <v>5541</v>
      </c>
      <c r="V1508" s="108"/>
      <c r="W1508" s="108"/>
      <c r="X1508" s="108"/>
    </row>
    <row r="1509" spans="1:25" s="26" customFormat="1" hidden="1">
      <c r="A1509" s="33"/>
      <c r="B1509" s="108"/>
      <c r="C1509" s="108"/>
      <c r="D1509" s="31" t="str">
        <f>D1508</f>
        <v>WearLively</v>
      </c>
      <c r="E1509" s="108"/>
      <c r="F1509" s="111"/>
      <c r="G1509" s="108"/>
      <c r="H1509" s="108"/>
      <c r="I1509" s="108"/>
      <c r="J1509" s="108"/>
      <c r="K1509" s="31" t="str">
        <f>K1508</f>
        <v>运营中</v>
      </c>
      <c r="L1509" s="108"/>
      <c r="M1509" s="108"/>
      <c r="N1509" s="17"/>
      <c r="O1509" s="36">
        <v>43160</v>
      </c>
      <c r="P1509" s="12" t="s">
        <v>326</v>
      </c>
      <c r="Q1509" s="17" t="s">
        <v>324</v>
      </c>
      <c r="R1509" s="17" t="s">
        <v>5542</v>
      </c>
      <c r="S1509" s="108"/>
      <c r="T1509" s="108"/>
      <c r="U1509" s="111"/>
      <c r="V1509" s="108"/>
      <c r="W1509" s="108"/>
      <c r="X1509" s="108"/>
    </row>
    <row r="1510" spans="1:25" s="26" customFormat="1" hidden="1">
      <c r="A1510" s="33"/>
      <c r="B1510" s="108"/>
      <c r="C1510" s="108" t="s">
        <v>5543</v>
      </c>
      <c r="D1510" s="31" t="s">
        <v>5544</v>
      </c>
      <c r="E1510" s="107" t="s">
        <v>5545</v>
      </c>
      <c r="F1510" s="110" t="s">
        <v>5546</v>
      </c>
      <c r="G1510" s="107" t="s">
        <v>5547</v>
      </c>
      <c r="H1510" s="108" t="s">
        <v>5548</v>
      </c>
      <c r="I1510" s="108" t="s">
        <v>5374</v>
      </c>
      <c r="J1510" s="107" t="s">
        <v>1192</v>
      </c>
      <c r="K1510" s="31" t="s">
        <v>272</v>
      </c>
      <c r="L1510" s="107" t="s">
        <v>273</v>
      </c>
      <c r="M1510" s="107" t="s">
        <v>274</v>
      </c>
      <c r="N1510" s="12"/>
      <c r="O1510" s="36">
        <v>44935</v>
      </c>
      <c r="P1510" s="17" t="s">
        <v>260</v>
      </c>
      <c r="Q1510" s="17" t="s">
        <v>1115</v>
      </c>
      <c r="R1510" s="12" t="s">
        <v>5549</v>
      </c>
      <c r="S1510" s="108" t="s">
        <v>5550</v>
      </c>
      <c r="T1510" s="108" t="s">
        <v>5551</v>
      </c>
      <c r="U1510" s="110" t="s">
        <v>5552</v>
      </c>
      <c r="V1510" s="107" t="s">
        <v>5553</v>
      </c>
      <c r="W1510" s="108" t="s">
        <v>5554</v>
      </c>
      <c r="X1510" s="108" t="s">
        <v>5555</v>
      </c>
    </row>
    <row r="1511" spans="1:25" s="26" customFormat="1">
      <c r="A1511" s="11"/>
      <c r="B1511" s="108"/>
      <c r="C1511" s="108"/>
      <c r="D1511" s="31" t="str">
        <f>D1510</f>
        <v>十方运动TENWAYS</v>
      </c>
      <c r="E1511" s="109"/>
      <c r="F1511" s="112"/>
      <c r="G1511" s="108"/>
      <c r="H1511" s="108"/>
      <c r="I1511" s="109"/>
      <c r="J1511" s="109"/>
      <c r="K1511" s="20" t="str">
        <f t="shared" ref="K1511:K1513" si="294">K1510</f>
        <v>运营中</v>
      </c>
      <c r="L1511" s="109"/>
      <c r="M1511" s="109"/>
      <c r="N1511" s="13"/>
      <c r="O1511" s="24">
        <v>44918</v>
      </c>
      <c r="P1511" s="13" t="s">
        <v>4306</v>
      </c>
      <c r="Q1511" s="13" t="s">
        <v>2030</v>
      </c>
      <c r="R1511" s="13" t="s">
        <v>1751</v>
      </c>
      <c r="S1511" s="109"/>
      <c r="T1511" s="109"/>
      <c r="U1511" s="112"/>
      <c r="V1511" s="108"/>
      <c r="W1511" s="108"/>
      <c r="X1511" s="108"/>
      <c r="Y1511" s="11"/>
    </row>
    <row r="1512" spans="1:25" s="26" customFormat="1" hidden="1">
      <c r="A1512" s="33"/>
      <c r="B1512" s="108"/>
      <c r="C1512" s="108"/>
      <c r="D1512" s="31" t="str">
        <f>D1511</f>
        <v>十方运动TENWAYS</v>
      </c>
      <c r="E1512" s="108"/>
      <c r="F1512" s="111"/>
      <c r="G1512" s="108"/>
      <c r="H1512" s="108"/>
      <c r="I1512" s="108"/>
      <c r="J1512" s="108"/>
      <c r="K1512" s="31" t="str">
        <f t="shared" si="294"/>
        <v>运营中</v>
      </c>
      <c r="L1512" s="108"/>
      <c r="M1512" s="108"/>
      <c r="N1512" s="17"/>
      <c r="O1512" s="36">
        <v>44869</v>
      </c>
      <c r="P1512" s="17" t="s">
        <v>262</v>
      </c>
      <c r="Q1512" s="12" t="s">
        <v>341</v>
      </c>
      <c r="R1512" s="12" t="s">
        <v>5556</v>
      </c>
      <c r="S1512" s="108"/>
      <c r="T1512" s="108"/>
      <c r="U1512" s="111"/>
      <c r="V1512" s="108"/>
      <c r="W1512" s="108"/>
      <c r="X1512" s="108"/>
    </row>
    <row r="1513" spans="1:25" s="26" customFormat="1" hidden="1">
      <c r="A1513" s="33"/>
      <c r="B1513" s="108"/>
      <c r="C1513" s="108"/>
      <c r="D1513" s="31" t="str">
        <f>D1512</f>
        <v>十方运动TENWAYS</v>
      </c>
      <c r="E1513" s="108"/>
      <c r="F1513" s="111"/>
      <c r="G1513" s="108"/>
      <c r="H1513" s="108"/>
      <c r="I1513" s="108"/>
      <c r="J1513" s="108"/>
      <c r="K1513" s="31" t="str">
        <f t="shared" si="294"/>
        <v>运营中</v>
      </c>
      <c r="L1513" s="108"/>
      <c r="M1513" s="108"/>
      <c r="N1513" s="17"/>
      <c r="O1513" s="36">
        <v>44559</v>
      </c>
      <c r="P1513" s="17" t="s">
        <v>721</v>
      </c>
      <c r="Q1513" s="12" t="s">
        <v>252</v>
      </c>
      <c r="R1513" s="12" t="s">
        <v>5557</v>
      </c>
      <c r="S1513" s="108"/>
      <c r="T1513" s="108"/>
      <c r="U1513" s="111"/>
      <c r="V1513" s="108"/>
      <c r="W1513" s="108"/>
      <c r="X1513" s="108"/>
    </row>
    <row r="1514" spans="1:25" s="26" customFormat="1">
      <c r="A1514" s="11"/>
      <c r="B1514" s="108"/>
      <c r="C1514" s="108" t="s">
        <v>5558</v>
      </c>
      <c r="D1514" s="31" t="s">
        <v>5559</v>
      </c>
      <c r="E1514" s="109" t="s">
        <v>5560</v>
      </c>
      <c r="F1514" s="112" t="s">
        <v>5561</v>
      </c>
      <c r="G1514" s="107" t="s">
        <v>5562</v>
      </c>
      <c r="H1514" s="108" t="s">
        <v>5563</v>
      </c>
      <c r="I1514" s="109" t="s">
        <v>5564</v>
      </c>
      <c r="J1514" s="109" t="s">
        <v>1192</v>
      </c>
      <c r="K1514" s="20" t="s">
        <v>1042</v>
      </c>
      <c r="L1514" s="109" t="s">
        <v>3661</v>
      </c>
      <c r="M1514" s="109" t="s">
        <v>5565</v>
      </c>
      <c r="N1514" s="13"/>
      <c r="O1514" s="24">
        <v>44872</v>
      </c>
      <c r="P1514" s="13" t="s">
        <v>3513</v>
      </c>
      <c r="Q1514" s="13" t="s">
        <v>2030</v>
      </c>
      <c r="R1514" s="13" t="s">
        <v>5566</v>
      </c>
      <c r="S1514" s="109" t="s">
        <v>5567</v>
      </c>
      <c r="T1514" s="109" t="s">
        <v>3664</v>
      </c>
      <c r="U1514" s="112"/>
      <c r="V1514" s="107" t="s">
        <v>5568</v>
      </c>
      <c r="W1514" s="108" t="s">
        <v>5569</v>
      </c>
      <c r="X1514" s="108" t="s">
        <v>5570</v>
      </c>
      <c r="Y1514" s="11"/>
    </row>
    <row r="1515" spans="1:25" s="26" customFormat="1" hidden="1">
      <c r="A1515" s="33"/>
      <c r="B1515" s="108"/>
      <c r="C1515" s="108"/>
      <c r="D1515" s="31" t="str">
        <f>D1514</f>
        <v>徕芬科技</v>
      </c>
      <c r="E1515" s="108"/>
      <c r="F1515" s="111"/>
      <c r="G1515" s="108"/>
      <c r="H1515" s="108"/>
      <c r="I1515" s="108"/>
      <c r="J1515" s="108"/>
      <c r="K1515" s="31" t="str">
        <f>K1514</f>
        <v>运营中</v>
      </c>
      <c r="L1515" s="108"/>
      <c r="M1515" s="108"/>
      <c r="N1515" s="17"/>
      <c r="O1515" s="36">
        <v>44586</v>
      </c>
      <c r="P1515" s="12" t="s">
        <v>326</v>
      </c>
      <c r="Q1515" s="12" t="s">
        <v>252</v>
      </c>
      <c r="R1515" s="12" t="s">
        <v>5571</v>
      </c>
      <c r="S1515" s="108"/>
      <c r="T1515" s="108"/>
      <c r="U1515" s="111"/>
      <c r="V1515" s="108"/>
      <c r="W1515" s="108"/>
      <c r="X1515" s="108"/>
    </row>
    <row r="1516" spans="1:25" s="26" customFormat="1">
      <c r="A1516" s="11"/>
      <c r="B1516" s="108"/>
      <c r="C1516" s="108" t="s">
        <v>5416</v>
      </c>
      <c r="D1516" s="31" t="s">
        <v>40</v>
      </c>
      <c r="E1516" s="109" t="s">
        <v>40</v>
      </c>
      <c r="F1516" s="112" t="s">
        <v>5572</v>
      </c>
      <c r="G1516" s="108"/>
      <c r="H1516" s="108" t="s">
        <v>5573</v>
      </c>
      <c r="I1516" s="109" t="s">
        <v>5574</v>
      </c>
      <c r="J1516" s="109" t="s">
        <v>5310</v>
      </c>
      <c r="K1516" s="20" t="s">
        <v>1042</v>
      </c>
      <c r="L1516" s="109" t="s">
        <v>4472</v>
      </c>
      <c r="M1516" s="109" t="s">
        <v>5575</v>
      </c>
      <c r="N1516" s="13"/>
      <c r="O1516" s="24">
        <v>45035</v>
      </c>
      <c r="P1516" s="13" t="s">
        <v>3648</v>
      </c>
      <c r="Q1516" s="13" t="s">
        <v>5576</v>
      </c>
      <c r="R1516" s="13" t="s">
        <v>5577</v>
      </c>
      <c r="S1516" s="109" t="s">
        <v>5578</v>
      </c>
      <c r="T1516" s="109" t="s">
        <v>5579</v>
      </c>
      <c r="U1516" s="112"/>
      <c r="V1516" s="107" t="s">
        <v>5580</v>
      </c>
      <c r="W1516" s="108"/>
      <c r="X1516" s="108"/>
      <c r="Y1516" s="11"/>
    </row>
    <row r="1517" spans="1:25" s="26" customFormat="1" hidden="1">
      <c r="A1517" s="33"/>
      <c r="B1517" s="108"/>
      <c r="C1517" s="108"/>
      <c r="D1517" s="31" t="str">
        <f>D1516</f>
        <v>COFE App</v>
      </c>
      <c r="E1517" s="108"/>
      <c r="F1517" s="111"/>
      <c r="G1517" s="108"/>
      <c r="H1517" s="108"/>
      <c r="I1517" s="108"/>
      <c r="J1517" s="108"/>
      <c r="K1517" s="31" t="str">
        <f t="shared" ref="K1517:K1518" si="295">K1516</f>
        <v>运营中</v>
      </c>
      <c r="L1517" s="108"/>
      <c r="M1517" s="108"/>
      <c r="N1517" s="17"/>
      <c r="O1517" s="36">
        <v>44306</v>
      </c>
      <c r="P1517" s="17" t="s">
        <v>262</v>
      </c>
      <c r="Q1517" s="17" t="s">
        <v>337</v>
      </c>
      <c r="R1517" s="17" t="s">
        <v>5581</v>
      </c>
      <c r="S1517" s="108"/>
      <c r="T1517" s="108"/>
      <c r="U1517" s="111"/>
      <c r="V1517" s="108"/>
      <c r="W1517" s="108"/>
      <c r="X1517" s="108"/>
    </row>
    <row r="1518" spans="1:25" s="26" customFormat="1" hidden="1">
      <c r="A1518" s="33"/>
      <c r="B1518" s="108"/>
      <c r="C1518" s="108"/>
      <c r="D1518" s="31" t="str">
        <f>D1517</f>
        <v>COFE App</v>
      </c>
      <c r="E1518" s="108"/>
      <c r="F1518" s="111"/>
      <c r="G1518" s="108"/>
      <c r="H1518" s="108"/>
      <c r="I1518" s="108"/>
      <c r="J1518" s="108"/>
      <c r="K1518" s="31" t="str">
        <f t="shared" si="295"/>
        <v>运营中</v>
      </c>
      <c r="L1518" s="108"/>
      <c r="M1518" s="108"/>
      <c r="N1518" s="17"/>
      <c r="O1518" s="36">
        <v>43509</v>
      </c>
      <c r="P1518" s="12" t="s">
        <v>437</v>
      </c>
      <c r="Q1518" s="17" t="s">
        <v>5582</v>
      </c>
      <c r="R1518" s="17" t="s">
        <v>5583</v>
      </c>
      <c r="S1518" s="108"/>
      <c r="T1518" s="108"/>
      <c r="U1518" s="111"/>
      <c r="V1518" s="108"/>
      <c r="W1518" s="108"/>
      <c r="X1518" s="108"/>
    </row>
    <row r="1519" spans="1:25" ht="72">
      <c r="B1519" s="108"/>
      <c r="C1519" s="17" t="s">
        <v>5584</v>
      </c>
      <c r="D1519" s="38" t="s">
        <v>5585</v>
      </c>
      <c r="E1519" s="13" t="s">
        <v>5586</v>
      </c>
      <c r="F1519" s="18" t="s">
        <v>5587</v>
      </c>
      <c r="G1519" s="12" t="s">
        <v>5588</v>
      </c>
      <c r="H1519" s="17" t="s">
        <v>5589</v>
      </c>
      <c r="I1519" s="13" t="s">
        <v>5590</v>
      </c>
      <c r="J1519" s="13" t="s">
        <v>271</v>
      </c>
      <c r="K1519" s="25" t="s">
        <v>1042</v>
      </c>
      <c r="L1519" s="13" t="s">
        <v>3661</v>
      </c>
      <c r="M1519" s="13" t="s">
        <v>4305</v>
      </c>
      <c r="N1519" s="13"/>
      <c r="O1519" s="24">
        <v>45124</v>
      </c>
      <c r="P1519" s="13" t="s">
        <v>5474</v>
      </c>
      <c r="Q1519" s="13" t="s">
        <v>5591</v>
      </c>
      <c r="R1519" s="13" t="s">
        <v>5592</v>
      </c>
      <c r="S1519" s="13" t="s">
        <v>5593</v>
      </c>
      <c r="T1519" s="13" t="s">
        <v>5594</v>
      </c>
      <c r="U1519" s="18" t="s">
        <v>5595</v>
      </c>
      <c r="V1519" s="12" t="s">
        <v>5596</v>
      </c>
      <c r="W1519" s="17" t="s">
        <v>5597</v>
      </c>
      <c r="X1519" s="17" t="s">
        <v>5598</v>
      </c>
    </row>
  </sheetData>
  <sheetProtection formatCells="0" formatColumns="0" formatRows="0" insertColumns="0" insertRows="0" insertHyperlinks="0" deleteColumns="0" deleteRows="0" sort="0" autoFilter="0" pivotTables="0"/>
  <autoFilter ref="B1:X1519" xr:uid="{00000000-0009-0000-0000-000001000000}">
    <filterColumn colId="9">
      <filters>
        <filter val="运营中"/>
      </filters>
    </filterColumn>
    <filterColumn colId="12">
      <filters blank="1"/>
    </filterColumn>
    <filterColumn colId="13">
      <filters>
        <dateGroupItem year="2023" dateTimeGrouping="year"/>
        <dateGroupItem year="2022" dateTimeGrouping="year"/>
        <dateGroupItem year="2021" dateTimeGrouping="year"/>
        <dateGroupItem year="2020" dateTimeGrouping="year"/>
      </filters>
    </filterColumn>
    <filterColumn colId="16">
      <customFilters>
        <customFilter val="*阿里*"/>
      </customFilters>
    </filterColumn>
  </autoFilter>
  <mergeCells count="4396">
    <mergeCell ref="X1508:X1509"/>
    <mergeCell ref="X1510:X1513"/>
    <mergeCell ref="X1514:X1515"/>
    <mergeCell ref="X1516:X1518"/>
    <mergeCell ref="X1438:X1439"/>
    <mergeCell ref="X1440:X1442"/>
    <mergeCell ref="X1443:X1444"/>
    <mergeCell ref="X1445:X1446"/>
    <mergeCell ref="X1448:X1449"/>
    <mergeCell ref="X1450:X1454"/>
    <mergeCell ref="X1456:X1460"/>
    <mergeCell ref="X1461:X1466"/>
    <mergeCell ref="X1468:X1472"/>
    <mergeCell ref="X1474:X1476"/>
    <mergeCell ref="X1477:X1479"/>
    <mergeCell ref="X1480:X1483"/>
    <mergeCell ref="X1484:X1487"/>
    <mergeCell ref="X1490:X1493"/>
    <mergeCell ref="X1494:X1497"/>
    <mergeCell ref="X1501:X1502"/>
    <mergeCell ref="X1505:X1506"/>
    <mergeCell ref="X1364:X1365"/>
    <mergeCell ref="X1366:X1368"/>
    <mergeCell ref="X1370:X1371"/>
    <mergeCell ref="X1374:X1379"/>
    <mergeCell ref="X1381:X1389"/>
    <mergeCell ref="X1390:X1392"/>
    <mergeCell ref="X1394:X1396"/>
    <mergeCell ref="X1397:X1401"/>
    <mergeCell ref="X1402:X1405"/>
    <mergeCell ref="X1406:X1408"/>
    <mergeCell ref="X1412:X1416"/>
    <mergeCell ref="X1417:X1419"/>
    <mergeCell ref="X1421:X1422"/>
    <mergeCell ref="X1423:X1426"/>
    <mergeCell ref="X1427:X1429"/>
    <mergeCell ref="X1430:X1432"/>
    <mergeCell ref="X1435:X1437"/>
    <mergeCell ref="X1285:X1294"/>
    <mergeCell ref="X1295:X1298"/>
    <mergeCell ref="X1299:X1301"/>
    <mergeCell ref="X1302:X1307"/>
    <mergeCell ref="X1308:X1309"/>
    <mergeCell ref="X1310:X1314"/>
    <mergeCell ref="X1316:X1317"/>
    <mergeCell ref="X1319:X1322"/>
    <mergeCell ref="X1323:X1330"/>
    <mergeCell ref="X1331:X1333"/>
    <mergeCell ref="X1335:X1337"/>
    <mergeCell ref="X1338:X1340"/>
    <mergeCell ref="X1343:X1344"/>
    <mergeCell ref="X1347:X1348"/>
    <mergeCell ref="X1349:X1351"/>
    <mergeCell ref="X1352:X1356"/>
    <mergeCell ref="X1358:X1363"/>
    <mergeCell ref="X1203:X1211"/>
    <mergeCell ref="X1212:X1220"/>
    <mergeCell ref="X1221:X1226"/>
    <mergeCell ref="X1227:X1231"/>
    <mergeCell ref="X1233:X1234"/>
    <mergeCell ref="X1235:X1239"/>
    <mergeCell ref="X1240:X1241"/>
    <mergeCell ref="X1242:X1245"/>
    <mergeCell ref="X1246:X1248"/>
    <mergeCell ref="X1249:X1250"/>
    <mergeCell ref="X1253:X1260"/>
    <mergeCell ref="X1263:X1265"/>
    <mergeCell ref="X1267:X1270"/>
    <mergeCell ref="X1271:X1275"/>
    <mergeCell ref="X1276:X1279"/>
    <mergeCell ref="X1281:X1282"/>
    <mergeCell ref="X1283:X1284"/>
    <mergeCell ref="X1126:X1127"/>
    <mergeCell ref="X1128:X1130"/>
    <mergeCell ref="X1131:X1135"/>
    <mergeCell ref="X1137:X1140"/>
    <mergeCell ref="X1141:X1144"/>
    <mergeCell ref="X1152:X1154"/>
    <mergeCell ref="X1155:X1156"/>
    <mergeCell ref="X1158:X1165"/>
    <mergeCell ref="X1166:X1172"/>
    <mergeCell ref="X1173:X1175"/>
    <mergeCell ref="X1176:X1179"/>
    <mergeCell ref="X1180:X1184"/>
    <mergeCell ref="X1186:X1189"/>
    <mergeCell ref="X1190:X1194"/>
    <mergeCell ref="X1195:X1196"/>
    <mergeCell ref="X1197:X1199"/>
    <mergeCell ref="X1201:X1202"/>
    <mergeCell ref="X1053:X1054"/>
    <mergeCell ref="X1055:X1056"/>
    <mergeCell ref="X1057:X1059"/>
    <mergeCell ref="X1060:X1065"/>
    <mergeCell ref="X1066:X1068"/>
    <mergeCell ref="X1069:X1072"/>
    <mergeCell ref="X1073:X1077"/>
    <mergeCell ref="X1078:X1082"/>
    <mergeCell ref="X1083:X1085"/>
    <mergeCell ref="X1087:X1094"/>
    <mergeCell ref="X1095:X1102"/>
    <mergeCell ref="X1103:X1107"/>
    <mergeCell ref="X1108:X1109"/>
    <mergeCell ref="X1110:X1112"/>
    <mergeCell ref="X1113:X1119"/>
    <mergeCell ref="X1120:X1121"/>
    <mergeCell ref="X1122:X1124"/>
    <mergeCell ref="X965:X967"/>
    <mergeCell ref="X968:X969"/>
    <mergeCell ref="X971:X972"/>
    <mergeCell ref="X973:X977"/>
    <mergeCell ref="X978:X981"/>
    <mergeCell ref="X982:X984"/>
    <mergeCell ref="X985:X991"/>
    <mergeCell ref="X992:X996"/>
    <mergeCell ref="X997:X998"/>
    <mergeCell ref="X1000:X1003"/>
    <mergeCell ref="X1005:X1012"/>
    <mergeCell ref="X1013:X1019"/>
    <mergeCell ref="X1020:X1022"/>
    <mergeCell ref="X1023:X1029"/>
    <mergeCell ref="X1030:X1036"/>
    <mergeCell ref="X1037:X1041"/>
    <mergeCell ref="X1042:X1052"/>
    <mergeCell ref="X889:X890"/>
    <mergeCell ref="X891:X893"/>
    <mergeCell ref="X894:X898"/>
    <mergeCell ref="X899:X903"/>
    <mergeCell ref="X905:X906"/>
    <mergeCell ref="X907:X912"/>
    <mergeCell ref="X913:X917"/>
    <mergeCell ref="X919:X920"/>
    <mergeCell ref="X922:X932"/>
    <mergeCell ref="X933:X934"/>
    <mergeCell ref="X935:X939"/>
    <mergeCell ref="X940:X947"/>
    <mergeCell ref="X948:X949"/>
    <mergeCell ref="X951:X954"/>
    <mergeCell ref="X955:X956"/>
    <mergeCell ref="X957:X961"/>
    <mergeCell ref="X963:X964"/>
    <mergeCell ref="X776:X781"/>
    <mergeCell ref="X783:X790"/>
    <mergeCell ref="X792:X797"/>
    <mergeCell ref="X798:X799"/>
    <mergeCell ref="X802:X809"/>
    <mergeCell ref="X811:X819"/>
    <mergeCell ref="X821:X826"/>
    <mergeCell ref="X827:X828"/>
    <mergeCell ref="X829:X830"/>
    <mergeCell ref="X831:X836"/>
    <mergeCell ref="X837:X848"/>
    <mergeCell ref="X849:X850"/>
    <mergeCell ref="X854:X855"/>
    <mergeCell ref="X856:X864"/>
    <mergeCell ref="X865:X869"/>
    <mergeCell ref="X871:X873"/>
    <mergeCell ref="X874:X888"/>
    <mergeCell ref="X691:X695"/>
    <mergeCell ref="X696:X698"/>
    <mergeCell ref="X699:X708"/>
    <mergeCell ref="X709:X720"/>
    <mergeCell ref="X721:X725"/>
    <mergeCell ref="X727:X730"/>
    <mergeCell ref="X731:X733"/>
    <mergeCell ref="X734:X736"/>
    <mergeCell ref="X737:X742"/>
    <mergeCell ref="X743:X744"/>
    <mergeCell ref="X745:X747"/>
    <mergeCell ref="X748:X754"/>
    <mergeCell ref="X755:X757"/>
    <mergeCell ref="X758:X760"/>
    <mergeCell ref="X761:X768"/>
    <mergeCell ref="X769:X772"/>
    <mergeCell ref="X773:X775"/>
    <mergeCell ref="X573:X585"/>
    <mergeCell ref="X586:X589"/>
    <mergeCell ref="X590:X599"/>
    <mergeCell ref="X600:X611"/>
    <mergeCell ref="X612:X616"/>
    <mergeCell ref="X617:X636"/>
    <mergeCell ref="X637:X642"/>
    <mergeCell ref="X645:X654"/>
    <mergeCell ref="X655:X657"/>
    <mergeCell ref="X659:X664"/>
    <mergeCell ref="X665:X666"/>
    <mergeCell ref="X667:X669"/>
    <mergeCell ref="X670:X677"/>
    <mergeCell ref="X678:X681"/>
    <mergeCell ref="X682:X686"/>
    <mergeCell ref="X687:X688"/>
    <mergeCell ref="X689:X690"/>
    <mergeCell ref="X494:X496"/>
    <mergeCell ref="X498:X501"/>
    <mergeCell ref="X502:X508"/>
    <mergeCell ref="X509:X512"/>
    <mergeCell ref="X514:X518"/>
    <mergeCell ref="X519:X523"/>
    <mergeCell ref="X524:X525"/>
    <mergeCell ref="X526:X530"/>
    <mergeCell ref="X531:X532"/>
    <mergeCell ref="X533:X544"/>
    <mergeCell ref="X546:X551"/>
    <mergeCell ref="X552:X554"/>
    <mergeCell ref="X555:X559"/>
    <mergeCell ref="X560:X562"/>
    <mergeCell ref="X563:X567"/>
    <mergeCell ref="X568:X569"/>
    <mergeCell ref="X570:X572"/>
    <mergeCell ref="X391:X392"/>
    <mergeCell ref="X394:X402"/>
    <mergeCell ref="X403:X417"/>
    <mergeCell ref="X418:X421"/>
    <mergeCell ref="X423:X430"/>
    <mergeCell ref="X431:X440"/>
    <mergeCell ref="X441:X451"/>
    <mergeCell ref="X453:X454"/>
    <mergeCell ref="X455:X456"/>
    <mergeCell ref="X457:X458"/>
    <mergeCell ref="X459:X460"/>
    <mergeCell ref="X461:X471"/>
    <mergeCell ref="X472:X477"/>
    <mergeCell ref="X478:X479"/>
    <mergeCell ref="X480:X481"/>
    <mergeCell ref="X484:X486"/>
    <mergeCell ref="X487:X493"/>
    <mergeCell ref="X291:X298"/>
    <mergeCell ref="X299:X306"/>
    <mergeCell ref="X307:X312"/>
    <mergeCell ref="X313:X321"/>
    <mergeCell ref="X322:X325"/>
    <mergeCell ref="X326:X330"/>
    <mergeCell ref="X331:X336"/>
    <mergeCell ref="X338:X343"/>
    <mergeCell ref="X344:X347"/>
    <mergeCell ref="X348:X351"/>
    <mergeCell ref="X352:X358"/>
    <mergeCell ref="X359:X360"/>
    <mergeCell ref="X361:X364"/>
    <mergeCell ref="X365:X369"/>
    <mergeCell ref="X370:X373"/>
    <mergeCell ref="X375:X382"/>
    <mergeCell ref="X387:X389"/>
    <mergeCell ref="X199:X201"/>
    <mergeCell ref="X202:X209"/>
    <mergeCell ref="X210:X211"/>
    <mergeCell ref="X212:X219"/>
    <mergeCell ref="X221:X231"/>
    <mergeCell ref="X232:X234"/>
    <mergeCell ref="X236:X246"/>
    <mergeCell ref="X247:X252"/>
    <mergeCell ref="X253:X256"/>
    <mergeCell ref="X257:X259"/>
    <mergeCell ref="X260:X262"/>
    <mergeCell ref="X263:X270"/>
    <mergeCell ref="X271:X272"/>
    <mergeCell ref="X273:X276"/>
    <mergeCell ref="X277:X280"/>
    <mergeCell ref="X281:X285"/>
    <mergeCell ref="X287:X290"/>
    <mergeCell ref="X99:X104"/>
    <mergeCell ref="X105:X107"/>
    <mergeCell ref="X108:X111"/>
    <mergeCell ref="X112:X121"/>
    <mergeCell ref="X122:X125"/>
    <mergeCell ref="X126:X134"/>
    <mergeCell ref="X135:X138"/>
    <mergeCell ref="X139:X144"/>
    <mergeCell ref="X145:X147"/>
    <mergeCell ref="X148:X154"/>
    <mergeCell ref="X155:X160"/>
    <mergeCell ref="X161:X164"/>
    <mergeCell ref="X165:X175"/>
    <mergeCell ref="X176:X179"/>
    <mergeCell ref="X180:X186"/>
    <mergeCell ref="X187:X191"/>
    <mergeCell ref="X192:X198"/>
    <mergeCell ref="X2:X5"/>
    <mergeCell ref="X6:X27"/>
    <mergeCell ref="X28:X30"/>
    <mergeCell ref="X31:X37"/>
    <mergeCell ref="X38:X39"/>
    <mergeCell ref="X40:X45"/>
    <mergeCell ref="X46:X50"/>
    <mergeCell ref="X51:X54"/>
    <mergeCell ref="X55:X60"/>
    <mergeCell ref="X61:X64"/>
    <mergeCell ref="X65:X67"/>
    <mergeCell ref="X68:X70"/>
    <mergeCell ref="X71:X78"/>
    <mergeCell ref="X79:X85"/>
    <mergeCell ref="X86:X89"/>
    <mergeCell ref="X90:X95"/>
    <mergeCell ref="X96:X98"/>
    <mergeCell ref="W1448:W1449"/>
    <mergeCell ref="W1450:W1454"/>
    <mergeCell ref="W1456:W1460"/>
    <mergeCell ref="W1461:W1466"/>
    <mergeCell ref="W1468:W1472"/>
    <mergeCell ref="W1474:W1476"/>
    <mergeCell ref="W1477:W1479"/>
    <mergeCell ref="W1480:W1483"/>
    <mergeCell ref="W1484:W1487"/>
    <mergeCell ref="W1490:W1493"/>
    <mergeCell ref="W1494:W1497"/>
    <mergeCell ref="W1501:W1502"/>
    <mergeCell ref="W1505:W1506"/>
    <mergeCell ref="W1508:W1509"/>
    <mergeCell ref="W1510:W1513"/>
    <mergeCell ref="W1514:W1515"/>
    <mergeCell ref="W1516:W1518"/>
    <mergeCell ref="W1381:W1389"/>
    <mergeCell ref="W1390:W1392"/>
    <mergeCell ref="W1394:W1396"/>
    <mergeCell ref="W1397:W1401"/>
    <mergeCell ref="W1402:W1405"/>
    <mergeCell ref="W1406:W1408"/>
    <mergeCell ref="W1412:W1416"/>
    <mergeCell ref="W1417:W1419"/>
    <mergeCell ref="W1421:W1422"/>
    <mergeCell ref="W1423:W1426"/>
    <mergeCell ref="W1427:W1429"/>
    <mergeCell ref="W1430:W1432"/>
    <mergeCell ref="W1435:W1437"/>
    <mergeCell ref="W1438:W1439"/>
    <mergeCell ref="W1440:W1442"/>
    <mergeCell ref="W1443:W1444"/>
    <mergeCell ref="W1445:W1446"/>
    <mergeCell ref="W1308:W1309"/>
    <mergeCell ref="W1310:W1314"/>
    <mergeCell ref="W1316:W1317"/>
    <mergeCell ref="W1319:W1322"/>
    <mergeCell ref="W1323:W1330"/>
    <mergeCell ref="W1331:W1333"/>
    <mergeCell ref="W1335:W1337"/>
    <mergeCell ref="W1338:W1340"/>
    <mergeCell ref="W1343:W1344"/>
    <mergeCell ref="W1347:W1348"/>
    <mergeCell ref="W1349:W1351"/>
    <mergeCell ref="W1352:W1356"/>
    <mergeCell ref="W1358:W1363"/>
    <mergeCell ref="W1364:W1365"/>
    <mergeCell ref="W1366:W1368"/>
    <mergeCell ref="W1370:W1371"/>
    <mergeCell ref="W1374:W1379"/>
    <mergeCell ref="W1233:W1234"/>
    <mergeCell ref="W1235:W1239"/>
    <mergeCell ref="W1240:W1241"/>
    <mergeCell ref="W1242:W1245"/>
    <mergeCell ref="W1246:W1248"/>
    <mergeCell ref="W1249:W1250"/>
    <mergeCell ref="W1253:W1260"/>
    <mergeCell ref="W1263:W1265"/>
    <mergeCell ref="W1267:W1270"/>
    <mergeCell ref="W1271:W1275"/>
    <mergeCell ref="W1276:W1279"/>
    <mergeCell ref="W1281:W1282"/>
    <mergeCell ref="W1283:W1284"/>
    <mergeCell ref="W1285:W1294"/>
    <mergeCell ref="W1295:W1298"/>
    <mergeCell ref="W1299:W1301"/>
    <mergeCell ref="W1302:W1307"/>
    <mergeCell ref="W1141:W1144"/>
    <mergeCell ref="W1152:W1154"/>
    <mergeCell ref="W1155:W1156"/>
    <mergeCell ref="W1158:W1165"/>
    <mergeCell ref="W1166:W1172"/>
    <mergeCell ref="W1173:W1175"/>
    <mergeCell ref="W1176:W1179"/>
    <mergeCell ref="W1180:W1184"/>
    <mergeCell ref="W1186:W1189"/>
    <mergeCell ref="W1190:W1194"/>
    <mergeCell ref="W1195:W1196"/>
    <mergeCell ref="W1197:W1199"/>
    <mergeCell ref="W1201:W1202"/>
    <mergeCell ref="W1203:W1211"/>
    <mergeCell ref="W1212:W1220"/>
    <mergeCell ref="W1221:W1226"/>
    <mergeCell ref="W1227:W1231"/>
    <mergeCell ref="W1066:W1068"/>
    <mergeCell ref="W1069:W1072"/>
    <mergeCell ref="W1073:W1077"/>
    <mergeCell ref="W1078:W1082"/>
    <mergeCell ref="W1083:W1085"/>
    <mergeCell ref="W1087:W1094"/>
    <mergeCell ref="W1095:W1102"/>
    <mergeCell ref="W1103:W1107"/>
    <mergeCell ref="W1108:W1109"/>
    <mergeCell ref="W1110:W1112"/>
    <mergeCell ref="W1113:W1119"/>
    <mergeCell ref="W1120:W1121"/>
    <mergeCell ref="W1122:W1124"/>
    <mergeCell ref="W1126:W1127"/>
    <mergeCell ref="W1128:W1130"/>
    <mergeCell ref="W1131:W1135"/>
    <mergeCell ref="W1137:W1140"/>
    <mergeCell ref="W978:W981"/>
    <mergeCell ref="W982:W984"/>
    <mergeCell ref="W985:W991"/>
    <mergeCell ref="W992:W996"/>
    <mergeCell ref="W997:W998"/>
    <mergeCell ref="W1000:W1003"/>
    <mergeCell ref="W1005:W1012"/>
    <mergeCell ref="W1013:W1019"/>
    <mergeCell ref="W1020:W1022"/>
    <mergeCell ref="W1023:W1029"/>
    <mergeCell ref="W1030:W1036"/>
    <mergeCell ref="W1037:W1041"/>
    <mergeCell ref="W1042:W1052"/>
    <mergeCell ref="W1053:W1054"/>
    <mergeCell ref="W1055:W1056"/>
    <mergeCell ref="W1057:W1059"/>
    <mergeCell ref="W1060:W1065"/>
    <mergeCell ref="W905:W906"/>
    <mergeCell ref="W907:W912"/>
    <mergeCell ref="W913:W917"/>
    <mergeCell ref="W919:W920"/>
    <mergeCell ref="W922:W932"/>
    <mergeCell ref="W933:W934"/>
    <mergeCell ref="W935:W939"/>
    <mergeCell ref="W940:W947"/>
    <mergeCell ref="W948:W949"/>
    <mergeCell ref="W951:W954"/>
    <mergeCell ref="W955:W956"/>
    <mergeCell ref="W957:W961"/>
    <mergeCell ref="W963:W964"/>
    <mergeCell ref="W965:W967"/>
    <mergeCell ref="W968:W969"/>
    <mergeCell ref="W971:W972"/>
    <mergeCell ref="W973:W977"/>
    <mergeCell ref="W802:W809"/>
    <mergeCell ref="W811:W819"/>
    <mergeCell ref="W821:W826"/>
    <mergeCell ref="W827:W828"/>
    <mergeCell ref="W829:W830"/>
    <mergeCell ref="W831:W836"/>
    <mergeCell ref="W837:W848"/>
    <mergeCell ref="W849:W850"/>
    <mergeCell ref="W854:W855"/>
    <mergeCell ref="W856:W864"/>
    <mergeCell ref="W865:W869"/>
    <mergeCell ref="W871:W873"/>
    <mergeCell ref="W874:W888"/>
    <mergeCell ref="W889:W890"/>
    <mergeCell ref="W891:W893"/>
    <mergeCell ref="W894:W898"/>
    <mergeCell ref="W899:W903"/>
    <mergeCell ref="W721:W725"/>
    <mergeCell ref="W727:W730"/>
    <mergeCell ref="W731:W733"/>
    <mergeCell ref="W734:W736"/>
    <mergeCell ref="W737:W742"/>
    <mergeCell ref="W743:W744"/>
    <mergeCell ref="W745:W747"/>
    <mergeCell ref="W748:W754"/>
    <mergeCell ref="W755:W757"/>
    <mergeCell ref="W758:W760"/>
    <mergeCell ref="W761:W768"/>
    <mergeCell ref="W769:W772"/>
    <mergeCell ref="W773:W775"/>
    <mergeCell ref="W776:W781"/>
    <mergeCell ref="W783:W790"/>
    <mergeCell ref="W792:W797"/>
    <mergeCell ref="W798:W799"/>
    <mergeCell ref="W612:W616"/>
    <mergeCell ref="W617:W636"/>
    <mergeCell ref="W637:W642"/>
    <mergeCell ref="W645:W654"/>
    <mergeCell ref="W655:W657"/>
    <mergeCell ref="W659:W664"/>
    <mergeCell ref="W665:W666"/>
    <mergeCell ref="W667:W669"/>
    <mergeCell ref="W670:W677"/>
    <mergeCell ref="W678:W681"/>
    <mergeCell ref="W682:W686"/>
    <mergeCell ref="W687:W688"/>
    <mergeCell ref="W689:W690"/>
    <mergeCell ref="W691:W695"/>
    <mergeCell ref="W696:W698"/>
    <mergeCell ref="W699:W708"/>
    <mergeCell ref="W709:W720"/>
    <mergeCell ref="W514:W518"/>
    <mergeCell ref="W519:W523"/>
    <mergeCell ref="W524:W525"/>
    <mergeCell ref="W526:W530"/>
    <mergeCell ref="W531:W532"/>
    <mergeCell ref="W533:W544"/>
    <mergeCell ref="W546:W551"/>
    <mergeCell ref="W552:W554"/>
    <mergeCell ref="W555:W559"/>
    <mergeCell ref="W560:W562"/>
    <mergeCell ref="W563:W567"/>
    <mergeCell ref="W568:W569"/>
    <mergeCell ref="W570:W572"/>
    <mergeCell ref="W573:W585"/>
    <mergeCell ref="W586:W589"/>
    <mergeCell ref="W590:W599"/>
    <mergeCell ref="W600:W611"/>
    <mergeCell ref="W423:W430"/>
    <mergeCell ref="W431:W440"/>
    <mergeCell ref="W441:W451"/>
    <mergeCell ref="W453:W454"/>
    <mergeCell ref="W455:W456"/>
    <mergeCell ref="W457:W458"/>
    <mergeCell ref="W459:W460"/>
    <mergeCell ref="W461:W471"/>
    <mergeCell ref="W472:W477"/>
    <mergeCell ref="W478:W479"/>
    <mergeCell ref="W480:W481"/>
    <mergeCell ref="W484:W486"/>
    <mergeCell ref="W487:W493"/>
    <mergeCell ref="W494:W496"/>
    <mergeCell ref="W498:W501"/>
    <mergeCell ref="W502:W508"/>
    <mergeCell ref="W509:W512"/>
    <mergeCell ref="W322:W325"/>
    <mergeCell ref="W326:W330"/>
    <mergeCell ref="W331:W336"/>
    <mergeCell ref="W338:W343"/>
    <mergeCell ref="W344:W347"/>
    <mergeCell ref="W348:W351"/>
    <mergeCell ref="W352:W358"/>
    <mergeCell ref="W359:W360"/>
    <mergeCell ref="W361:W364"/>
    <mergeCell ref="W365:W369"/>
    <mergeCell ref="W370:W373"/>
    <mergeCell ref="W375:W382"/>
    <mergeCell ref="W387:W389"/>
    <mergeCell ref="W391:W392"/>
    <mergeCell ref="W394:W402"/>
    <mergeCell ref="W403:W417"/>
    <mergeCell ref="W418:W421"/>
    <mergeCell ref="W221:W231"/>
    <mergeCell ref="W232:W234"/>
    <mergeCell ref="W236:W246"/>
    <mergeCell ref="W247:W252"/>
    <mergeCell ref="W253:W256"/>
    <mergeCell ref="W257:W259"/>
    <mergeCell ref="W260:W262"/>
    <mergeCell ref="W263:W270"/>
    <mergeCell ref="W271:W272"/>
    <mergeCell ref="W273:W276"/>
    <mergeCell ref="W277:W280"/>
    <mergeCell ref="W281:W285"/>
    <mergeCell ref="W287:W290"/>
    <mergeCell ref="W291:W298"/>
    <mergeCell ref="W299:W306"/>
    <mergeCell ref="W307:W312"/>
    <mergeCell ref="W313:W321"/>
    <mergeCell ref="W122:W125"/>
    <mergeCell ref="W126:W134"/>
    <mergeCell ref="W135:W138"/>
    <mergeCell ref="W139:W144"/>
    <mergeCell ref="W145:W147"/>
    <mergeCell ref="W148:W154"/>
    <mergeCell ref="W155:W160"/>
    <mergeCell ref="W161:W164"/>
    <mergeCell ref="W165:W175"/>
    <mergeCell ref="W176:W179"/>
    <mergeCell ref="W180:W186"/>
    <mergeCell ref="W187:W191"/>
    <mergeCell ref="W192:W198"/>
    <mergeCell ref="W199:W201"/>
    <mergeCell ref="W202:W209"/>
    <mergeCell ref="W210:W211"/>
    <mergeCell ref="W212:W219"/>
    <mergeCell ref="V1477:V1479"/>
    <mergeCell ref="V1480:V1483"/>
    <mergeCell ref="V1484:V1487"/>
    <mergeCell ref="V1490:V1493"/>
    <mergeCell ref="V1494:V1497"/>
    <mergeCell ref="V1501:V1502"/>
    <mergeCell ref="V1505:V1506"/>
    <mergeCell ref="V1508:V1509"/>
    <mergeCell ref="V1510:V1513"/>
    <mergeCell ref="V1514:V1515"/>
    <mergeCell ref="V1516:V1518"/>
    <mergeCell ref="W2:W5"/>
    <mergeCell ref="W6:W27"/>
    <mergeCell ref="W28:W30"/>
    <mergeCell ref="W31:W37"/>
    <mergeCell ref="W38:W39"/>
    <mergeCell ref="W40:W45"/>
    <mergeCell ref="W46:W50"/>
    <mergeCell ref="W51:W54"/>
    <mergeCell ref="W55:W60"/>
    <mergeCell ref="W61:W64"/>
    <mergeCell ref="W65:W67"/>
    <mergeCell ref="W68:W70"/>
    <mergeCell ref="W71:W78"/>
    <mergeCell ref="W79:W85"/>
    <mergeCell ref="W86:W89"/>
    <mergeCell ref="W90:W95"/>
    <mergeCell ref="W96:W98"/>
    <mergeCell ref="W99:W104"/>
    <mergeCell ref="W105:W107"/>
    <mergeCell ref="W108:W111"/>
    <mergeCell ref="W112:W121"/>
    <mergeCell ref="V1412:V1416"/>
    <mergeCell ref="V1417:V1419"/>
    <mergeCell ref="V1421:V1422"/>
    <mergeCell ref="V1423:V1426"/>
    <mergeCell ref="V1427:V1429"/>
    <mergeCell ref="V1430:V1432"/>
    <mergeCell ref="V1435:V1437"/>
    <mergeCell ref="V1438:V1439"/>
    <mergeCell ref="V1440:V1442"/>
    <mergeCell ref="V1443:V1444"/>
    <mergeCell ref="V1445:V1446"/>
    <mergeCell ref="V1448:V1449"/>
    <mergeCell ref="V1450:V1454"/>
    <mergeCell ref="V1456:V1460"/>
    <mergeCell ref="V1461:V1466"/>
    <mergeCell ref="V1468:V1472"/>
    <mergeCell ref="V1474:V1476"/>
    <mergeCell ref="V1335:V1337"/>
    <mergeCell ref="V1338:V1340"/>
    <mergeCell ref="V1343:V1344"/>
    <mergeCell ref="V1347:V1348"/>
    <mergeCell ref="V1349:V1351"/>
    <mergeCell ref="V1352:V1356"/>
    <mergeCell ref="V1358:V1363"/>
    <mergeCell ref="V1364:V1365"/>
    <mergeCell ref="V1366:V1368"/>
    <mergeCell ref="V1370:V1371"/>
    <mergeCell ref="V1374:V1379"/>
    <mergeCell ref="V1381:V1389"/>
    <mergeCell ref="V1390:V1392"/>
    <mergeCell ref="V1394:V1396"/>
    <mergeCell ref="V1397:V1401"/>
    <mergeCell ref="V1402:V1405"/>
    <mergeCell ref="V1406:V1408"/>
    <mergeCell ref="V1253:V1260"/>
    <mergeCell ref="V1263:V1265"/>
    <mergeCell ref="V1267:V1270"/>
    <mergeCell ref="V1271:V1275"/>
    <mergeCell ref="V1276:V1279"/>
    <mergeCell ref="V1281:V1282"/>
    <mergeCell ref="V1283:V1284"/>
    <mergeCell ref="V1285:V1294"/>
    <mergeCell ref="V1295:V1298"/>
    <mergeCell ref="V1299:V1301"/>
    <mergeCell ref="V1302:V1307"/>
    <mergeCell ref="V1308:V1309"/>
    <mergeCell ref="V1310:V1314"/>
    <mergeCell ref="V1316:V1317"/>
    <mergeCell ref="V1319:V1322"/>
    <mergeCell ref="V1323:V1330"/>
    <mergeCell ref="V1331:V1333"/>
    <mergeCell ref="V1176:V1179"/>
    <mergeCell ref="V1180:V1184"/>
    <mergeCell ref="V1186:V1189"/>
    <mergeCell ref="V1190:V1194"/>
    <mergeCell ref="V1195:V1196"/>
    <mergeCell ref="V1197:V1199"/>
    <mergeCell ref="V1201:V1202"/>
    <mergeCell ref="V1203:V1211"/>
    <mergeCell ref="V1212:V1220"/>
    <mergeCell ref="V1221:V1226"/>
    <mergeCell ref="V1227:V1231"/>
    <mergeCell ref="V1233:V1234"/>
    <mergeCell ref="V1235:V1239"/>
    <mergeCell ref="V1240:V1241"/>
    <mergeCell ref="V1242:V1245"/>
    <mergeCell ref="V1246:V1248"/>
    <mergeCell ref="V1249:V1250"/>
    <mergeCell ref="V1095:V1102"/>
    <mergeCell ref="V1103:V1107"/>
    <mergeCell ref="V1108:V1109"/>
    <mergeCell ref="V1110:V1112"/>
    <mergeCell ref="V1113:V1119"/>
    <mergeCell ref="V1120:V1121"/>
    <mergeCell ref="V1122:V1124"/>
    <mergeCell ref="V1126:V1127"/>
    <mergeCell ref="V1128:V1130"/>
    <mergeCell ref="V1131:V1135"/>
    <mergeCell ref="V1137:V1140"/>
    <mergeCell ref="V1141:V1144"/>
    <mergeCell ref="V1152:V1154"/>
    <mergeCell ref="V1155:V1156"/>
    <mergeCell ref="V1158:V1165"/>
    <mergeCell ref="V1166:V1172"/>
    <mergeCell ref="V1173:V1175"/>
    <mergeCell ref="V1005:V1012"/>
    <mergeCell ref="V1013:V1019"/>
    <mergeCell ref="V1020:V1022"/>
    <mergeCell ref="V1023:V1029"/>
    <mergeCell ref="V1030:V1036"/>
    <mergeCell ref="V1037:V1041"/>
    <mergeCell ref="V1042:V1052"/>
    <mergeCell ref="V1053:V1054"/>
    <mergeCell ref="V1055:V1056"/>
    <mergeCell ref="V1057:V1059"/>
    <mergeCell ref="V1060:V1065"/>
    <mergeCell ref="V1066:V1068"/>
    <mergeCell ref="V1069:V1072"/>
    <mergeCell ref="V1073:V1077"/>
    <mergeCell ref="V1078:V1082"/>
    <mergeCell ref="V1083:V1085"/>
    <mergeCell ref="V1087:V1094"/>
    <mergeCell ref="V935:V939"/>
    <mergeCell ref="V940:V947"/>
    <mergeCell ref="V948:V949"/>
    <mergeCell ref="V951:V954"/>
    <mergeCell ref="V955:V956"/>
    <mergeCell ref="V957:V961"/>
    <mergeCell ref="V963:V964"/>
    <mergeCell ref="V965:V967"/>
    <mergeCell ref="V968:V969"/>
    <mergeCell ref="V971:V972"/>
    <mergeCell ref="V973:V977"/>
    <mergeCell ref="V978:V981"/>
    <mergeCell ref="V982:V984"/>
    <mergeCell ref="V985:V991"/>
    <mergeCell ref="V992:V996"/>
    <mergeCell ref="V997:V998"/>
    <mergeCell ref="V1000:V1003"/>
    <mergeCell ref="V837:V848"/>
    <mergeCell ref="V849:V850"/>
    <mergeCell ref="V854:V855"/>
    <mergeCell ref="V856:V864"/>
    <mergeCell ref="V865:V869"/>
    <mergeCell ref="V871:V873"/>
    <mergeCell ref="V874:V888"/>
    <mergeCell ref="V889:V890"/>
    <mergeCell ref="V891:V893"/>
    <mergeCell ref="V894:V898"/>
    <mergeCell ref="V899:V903"/>
    <mergeCell ref="V905:V906"/>
    <mergeCell ref="V907:V912"/>
    <mergeCell ref="V913:V917"/>
    <mergeCell ref="V919:V920"/>
    <mergeCell ref="V922:V932"/>
    <mergeCell ref="V933:V934"/>
    <mergeCell ref="V745:V747"/>
    <mergeCell ref="V748:V754"/>
    <mergeCell ref="V755:V757"/>
    <mergeCell ref="V758:V760"/>
    <mergeCell ref="V761:V768"/>
    <mergeCell ref="V769:V772"/>
    <mergeCell ref="V773:V775"/>
    <mergeCell ref="V776:V781"/>
    <mergeCell ref="V783:V790"/>
    <mergeCell ref="V792:V797"/>
    <mergeCell ref="V798:V799"/>
    <mergeCell ref="V802:V809"/>
    <mergeCell ref="V811:V819"/>
    <mergeCell ref="V821:V826"/>
    <mergeCell ref="V827:V828"/>
    <mergeCell ref="V829:V830"/>
    <mergeCell ref="V831:V836"/>
    <mergeCell ref="V665:V666"/>
    <mergeCell ref="V667:V669"/>
    <mergeCell ref="V670:V677"/>
    <mergeCell ref="V678:V681"/>
    <mergeCell ref="V682:V686"/>
    <mergeCell ref="V687:V688"/>
    <mergeCell ref="V689:V690"/>
    <mergeCell ref="V691:V695"/>
    <mergeCell ref="V696:V698"/>
    <mergeCell ref="V699:V708"/>
    <mergeCell ref="V709:V720"/>
    <mergeCell ref="V721:V725"/>
    <mergeCell ref="V727:V730"/>
    <mergeCell ref="V731:V733"/>
    <mergeCell ref="V734:V736"/>
    <mergeCell ref="V737:V742"/>
    <mergeCell ref="V743:V744"/>
    <mergeCell ref="V546:V551"/>
    <mergeCell ref="V552:V554"/>
    <mergeCell ref="V555:V559"/>
    <mergeCell ref="V560:V562"/>
    <mergeCell ref="V563:V567"/>
    <mergeCell ref="V568:V569"/>
    <mergeCell ref="V570:V572"/>
    <mergeCell ref="V573:V585"/>
    <mergeCell ref="V586:V589"/>
    <mergeCell ref="V590:V599"/>
    <mergeCell ref="V600:V611"/>
    <mergeCell ref="V612:V616"/>
    <mergeCell ref="V617:V636"/>
    <mergeCell ref="V637:V642"/>
    <mergeCell ref="V645:V654"/>
    <mergeCell ref="V655:V657"/>
    <mergeCell ref="V659:V664"/>
    <mergeCell ref="V459:V460"/>
    <mergeCell ref="V461:V471"/>
    <mergeCell ref="V472:V477"/>
    <mergeCell ref="V478:V479"/>
    <mergeCell ref="V480:V481"/>
    <mergeCell ref="V484:V486"/>
    <mergeCell ref="V487:V493"/>
    <mergeCell ref="V494:V496"/>
    <mergeCell ref="V498:V501"/>
    <mergeCell ref="V502:V508"/>
    <mergeCell ref="V509:V512"/>
    <mergeCell ref="V514:V518"/>
    <mergeCell ref="V519:V523"/>
    <mergeCell ref="V524:V525"/>
    <mergeCell ref="V526:V530"/>
    <mergeCell ref="V531:V532"/>
    <mergeCell ref="V533:V544"/>
    <mergeCell ref="V352:V358"/>
    <mergeCell ref="V359:V360"/>
    <mergeCell ref="V361:V364"/>
    <mergeCell ref="V365:V369"/>
    <mergeCell ref="V370:V373"/>
    <mergeCell ref="V375:V382"/>
    <mergeCell ref="V387:V389"/>
    <mergeCell ref="V391:V392"/>
    <mergeCell ref="V394:V402"/>
    <mergeCell ref="V403:V417"/>
    <mergeCell ref="V418:V421"/>
    <mergeCell ref="V423:V430"/>
    <mergeCell ref="V431:V440"/>
    <mergeCell ref="V441:V451"/>
    <mergeCell ref="V453:V454"/>
    <mergeCell ref="V455:V456"/>
    <mergeCell ref="V457:V458"/>
    <mergeCell ref="V260:V262"/>
    <mergeCell ref="V263:V270"/>
    <mergeCell ref="V271:V272"/>
    <mergeCell ref="V273:V276"/>
    <mergeCell ref="V277:V280"/>
    <mergeCell ref="V281:V285"/>
    <mergeCell ref="V287:V290"/>
    <mergeCell ref="V291:V298"/>
    <mergeCell ref="V299:V306"/>
    <mergeCell ref="V307:V312"/>
    <mergeCell ref="V313:V321"/>
    <mergeCell ref="V322:V325"/>
    <mergeCell ref="V326:V330"/>
    <mergeCell ref="V331:V336"/>
    <mergeCell ref="V338:V343"/>
    <mergeCell ref="V344:V347"/>
    <mergeCell ref="V348:V351"/>
    <mergeCell ref="V155:V160"/>
    <mergeCell ref="V161:V164"/>
    <mergeCell ref="V165:V175"/>
    <mergeCell ref="V176:V179"/>
    <mergeCell ref="V180:V186"/>
    <mergeCell ref="V187:V191"/>
    <mergeCell ref="V192:V198"/>
    <mergeCell ref="V199:V201"/>
    <mergeCell ref="V202:V209"/>
    <mergeCell ref="V210:V211"/>
    <mergeCell ref="V212:V219"/>
    <mergeCell ref="V221:V231"/>
    <mergeCell ref="V232:V234"/>
    <mergeCell ref="V236:V246"/>
    <mergeCell ref="V247:V252"/>
    <mergeCell ref="V253:V256"/>
    <mergeCell ref="V257:V259"/>
    <mergeCell ref="U1505:U1506"/>
    <mergeCell ref="U1508:U1509"/>
    <mergeCell ref="U1510:U1513"/>
    <mergeCell ref="U1514:U1515"/>
    <mergeCell ref="U1516:U1518"/>
    <mergeCell ref="V2:V5"/>
    <mergeCell ref="V6:V27"/>
    <mergeCell ref="V28:V30"/>
    <mergeCell ref="V31:V37"/>
    <mergeCell ref="V38:V39"/>
    <mergeCell ref="V40:V45"/>
    <mergeCell ref="V46:V50"/>
    <mergeCell ref="V51:V54"/>
    <mergeCell ref="V55:V60"/>
    <mergeCell ref="V61:V64"/>
    <mergeCell ref="V65:V67"/>
    <mergeCell ref="V68:V70"/>
    <mergeCell ref="V71:V78"/>
    <mergeCell ref="V79:V85"/>
    <mergeCell ref="V86:V89"/>
    <mergeCell ref="V90:V95"/>
    <mergeCell ref="V96:V98"/>
    <mergeCell ref="V99:V104"/>
    <mergeCell ref="V105:V107"/>
    <mergeCell ref="V108:V111"/>
    <mergeCell ref="V112:V121"/>
    <mergeCell ref="V122:V125"/>
    <mergeCell ref="V126:V134"/>
    <mergeCell ref="V135:V138"/>
    <mergeCell ref="V139:V144"/>
    <mergeCell ref="V145:V147"/>
    <mergeCell ref="V148:V154"/>
    <mergeCell ref="U1435:U1437"/>
    <mergeCell ref="U1438:U1439"/>
    <mergeCell ref="U1440:U1442"/>
    <mergeCell ref="U1443:U1444"/>
    <mergeCell ref="U1445:U1446"/>
    <mergeCell ref="U1448:U1449"/>
    <mergeCell ref="U1450:U1454"/>
    <mergeCell ref="U1456:U1460"/>
    <mergeCell ref="U1461:U1466"/>
    <mergeCell ref="U1468:U1472"/>
    <mergeCell ref="U1474:U1476"/>
    <mergeCell ref="U1477:U1479"/>
    <mergeCell ref="U1480:U1483"/>
    <mergeCell ref="U1484:U1487"/>
    <mergeCell ref="U1490:U1493"/>
    <mergeCell ref="U1494:U1497"/>
    <mergeCell ref="U1501:U1502"/>
    <mergeCell ref="U1358:U1363"/>
    <mergeCell ref="U1364:U1365"/>
    <mergeCell ref="U1366:U1368"/>
    <mergeCell ref="U1370:U1371"/>
    <mergeCell ref="U1374:U1379"/>
    <mergeCell ref="U1381:U1389"/>
    <mergeCell ref="U1390:U1392"/>
    <mergeCell ref="U1394:U1396"/>
    <mergeCell ref="U1397:U1401"/>
    <mergeCell ref="U1402:U1405"/>
    <mergeCell ref="U1406:U1408"/>
    <mergeCell ref="U1412:U1416"/>
    <mergeCell ref="U1417:U1419"/>
    <mergeCell ref="U1421:U1422"/>
    <mergeCell ref="U1423:U1426"/>
    <mergeCell ref="U1427:U1429"/>
    <mergeCell ref="U1430:U1432"/>
    <mergeCell ref="U1283:U1284"/>
    <mergeCell ref="U1285:U1294"/>
    <mergeCell ref="U1295:U1298"/>
    <mergeCell ref="U1299:U1301"/>
    <mergeCell ref="U1302:U1307"/>
    <mergeCell ref="U1308:U1309"/>
    <mergeCell ref="U1310:U1314"/>
    <mergeCell ref="U1316:U1317"/>
    <mergeCell ref="U1319:U1322"/>
    <mergeCell ref="U1323:U1330"/>
    <mergeCell ref="U1331:U1333"/>
    <mergeCell ref="U1335:U1337"/>
    <mergeCell ref="U1338:U1340"/>
    <mergeCell ref="U1343:U1344"/>
    <mergeCell ref="U1347:U1348"/>
    <mergeCell ref="U1349:U1351"/>
    <mergeCell ref="U1352:U1356"/>
    <mergeCell ref="U1201:U1202"/>
    <mergeCell ref="U1203:U1211"/>
    <mergeCell ref="U1212:U1220"/>
    <mergeCell ref="U1221:U1226"/>
    <mergeCell ref="U1227:U1231"/>
    <mergeCell ref="U1233:U1234"/>
    <mergeCell ref="U1235:U1239"/>
    <mergeCell ref="U1240:U1241"/>
    <mergeCell ref="U1242:U1245"/>
    <mergeCell ref="U1246:U1248"/>
    <mergeCell ref="U1249:U1250"/>
    <mergeCell ref="U1253:U1260"/>
    <mergeCell ref="U1263:U1265"/>
    <mergeCell ref="U1267:U1270"/>
    <mergeCell ref="U1271:U1275"/>
    <mergeCell ref="U1276:U1279"/>
    <mergeCell ref="U1281:U1282"/>
    <mergeCell ref="U1122:U1124"/>
    <mergeCell ref="U1126:U1127"/>
    <mergeCell ref="U1128:U1130"/>
    <mergeCell ref="U1131:U1135"/>
    <mergeCell ref="U1137:U1140"/>
    <mergeCell ref="U1141:U1144"/>
    <mergeCell ref="U1152:U1154"/>
    <mergeCell ref="U1155:U1156"/>
    <mergeCell ref="U1158:U1165"/>
    <mergeCell ref="U1166:U1172"/>
    <mergeCell ref="U1173:U1175"/>
    <mergeCell ref="U1176:U1179"/>
    <mergeCell ref="U1180:U1184"/>
    <mergeCell ref="U1186:U1189"/>
    <mergeCell ref="U1190:U1194"/>
    <mergeCell ref="U1195:U1196"/>
    <mergeCell ref="U1197:U1199"/>
    <mergeCell ref="U1042:U1052"/>
    <mergeCell ref="U1053:U1054"/>
    <mergeCell ref="U1055:U1056"/>
    <mergeCell ref="U1057:U1059"/>
    <mergeCell ref="U1060:U1065"/>
    <mergeCell ref="U1066:U1068"/>
    <mergeCell ref="U1069:U1072"/>
    <mergeCell ref="U1073:U1077"/>
    <mergeCell ref="U1078:U1082"/>
    <mergeCell ref="U1083:U1085"/>
    <mergeCell ref="U1087:U1094"/>
    <mergeCell ref="U1095:U1102"/>
    <mergeCell ref="U1103:U1107"/>
    <mergeCell ref="U1108:U1109"/>
    <mergeCell ref="U1110:U1112"/>
    <mergeCell ref="U1113:U1119"/>
    <mergeCell ref="U1120:U1121"/>
    <mergeCell ref="U963:U964"/>
    <mergeCell ref="U965:U967"/>
    <mergeCell ref="U968:U969"/>
    <mergeCell ref="U971:U972"/>
    <mergeCell ref="U973:U977"/>
    <mergeCell ref="U978:U981"/>
    <mergeCell ref="U982:U984"/>
    <mergeCell ref="U985:U991"/>
    <mergeCell ref="U992:U996"/>
    <mergeCell ref="U997:U998"/>
    <mergeCell ref="U1000:U1003"/>
    <mergeCell ref="U1005:U1012"/>
    <mergeCell ref="U1013:U1019"/>
    <mergeCell ref="U1020:U1022"/>
    <mergeCell ref="U1023:U1029"/>
    <mergeCell ref="U1030:U1036"/>
    <mergeCell ref="U1037:U1041"/>
    <mergeCell ref="U874:U888"/>
    <mergeCell ref="U889:U890"/>
    <mergeCell ref="U891:U893"/>
    <mergeCell ref="U894:U898"/>
    <mergeCell ref="U899:U903"/>
    <mergeCell ref="U905:U906"/>
    <mergeCell ref="U907:U912"/>
    <mergeCell ref="U913:U917"/>
    <mergeCell ref="U919:U920"/>
    <mergeCell ref="U922:U932"/>
    <mergeCell ref="U933:U934"/>
    <mergeCell ref="U935:U939"/>
    <mergeCell ref="U940:U947"/>
    <mergeCell ref="U948:U949"/>
    <mergeCell ref="U951:U954"/>
    <mergeCell ref="U955:U956"/>
    <mergeCell ref="U957:U961"/>
    <mergeCell ref="U773:U775"/>
    <mergeCell ref="U776:U781"/>
    <mergeCell ref="U783:U790"/>
    <mergeCell ref="U792:U797"/>
    <mergeCell ref="U798:U799"/>
    <mergeCell ref="U802:U809"/>
    <mergeCell ref="U811:U819"/>
    <mergeCell ref="U821:U826"/>
    <mergeCell ref="U827:U828"/>
    <mergeCell ref="U829:U830"/>
    <mergeCell ref="U831:U836"/>
    <mergeCell ref="U837:U848"/>
    <mergeCell ref="U849:U850"/>
    <mergeCell ref="U854:U855"/>
    <mergeCell ref="U856:U864"/>
    <mergeCell ref="U865:U869"/>
    <mergeCell ref="U871:U873"/>
    <mergeCell ref="U689:U690"/>
    <mergeCell ref="U691:U695"/>
    <mergeCell ref="U696:U698"/>
    <mergeCell ref="U699:U708"/>
    <mergeCell ref="U709:U720"/>
    <mergeCell ref="U721:U725"/>
    <mergeCell ref="U727:U730"/>
    <mergeCell ref="U731:U733"/>
    <mergeCell ref="U734:U736"/>
    <mergeCell ref="U737:U742"/>
    <mergeCell ref="U743:U744"/>
    <mergeCell ref="U745:U747"/>
    <mergeCell ref="U748:U754"/>
    <mergeCell ref="U755:U757"/>
    <mergeCell ref="U758:U760"/>
    <mergeCell ref="U761:U768"/>
    <mergeCell ref="U769:U772"/>
    <mergeCell ref="U570:U572"/>
    <mergeCell ref="U573:U585"/>
    <mergeCell ref="U586:U589"/>
    <mergeCell ref="U590:U599"/>
    <mergeCell ref="U600:U611"/>
    <mergeCell ref="U612:U616"/>
    <mergeCell ref="U617:U636"/>
    <mergeCell ref="U637:U642"/>
    <mergeCell ref="U645:U654"/>
    <mergeCell ref="U655:U657"/>
    <mergeCell ref="U659:U664"/>
    <mergeCell ref="U665:U666"/>
    <mergeCell ref="U667:U669"/>
    <mergeCell ref="U670:U677"/>
    <mergeCell ref="U678:U681"/>
    <mergeCell ref="U682:U686"/>
    <mergeCell ref="U687:U688"/>
    <mergeCell ref="U487:U493"/>
    <mergeCell ref="U494:U496"/>
    <mergeCell ref="U498:U501"/>
    <mergeCell ref="U502:U508"/>
    <mergeCell ref="U509:U512"/>
    <mergeCell ref="U514:U518"/>
    <mergeCell ref="U519:U523"/>
    <mergeCell ref="U524:U525"/>
    <mergeCell ref="U526:U530"/>
    <mergeCell ref="U531:U532"/>
    <mergeCell ref="U533:U544"/>
    <mergeCell ref="U546:U551"/>
    <mergeCell ref="U552:U554"/>
    <mergeCell ref="U555:U559"/>
    <mergeCell ref="U560:U562"/>
    <mergeCell ref="U563:U567"/>
    <mergeCell ref="U568:U569"/>
    <mergeCell ref="U387:U389"/>
    <mergeCell ref="U391:U392"/>
    <mergeCell ref="U394:U402"/>
    <mergeCell ref="U403:U417"/>
    <mergeCell ref="U418:U421"/>
    <mergeCell ref="U423:U430"/>
    <mergeCell ref="U431:U440"/>
    <mergeCell ref="U441:U451"/>
    <mergeCell ref="U453:U454"/>
    <mergeCell ref="U455:U456"/>
    <mergeCell ref="U457:U458"/>
    <mergeCell ref="U459:U460"/>
    <mergeCell ref="U461:U471"/>
    <mergeCell ref="U472:U477"/>
    <mergeCell ref="U478:U479"/>
    <mergeCell ref="U480:U481"/>
    <mergeCell ref="U484:U486"/>
    <mergeCell ref="U287:U290"/>
    <mergeCell ref="U291:U298"/>
    <mergeCell ref="U299:U306"/>
    <mergeCell ref="U307:U312"/>
    <mergeCell ref="U313:U321"/>
    <mergeCell ref="U322:U325"/>
    <mergeCell ref="U326:U330"/>
    <mergeCell ref="U331:U336"/>
    <mergeCell ref="U338:U343"/>
    <mergeCell ref="U344:U347"/>
    <mergeCell ref="U348:U351"/>
    <mergeCell ref="U352:U358"/>
    <mergeCell ref="U359:U360"/>
    <mergeCell ref="U361:U364"/>
    <mergeCell ref="U365:U369"/>
    <mergeCell ref="U370:U373"/>
    <mergeCell ref="U375:U382"/>
    <mergeCell ref="U192:U198"/>
    <mergeCell ref="U199:U201"/>
    <mergeCell ref="U202:U209"/>
    <mergeCell ref="U210:U211"/>
    <mergeCell ref="U212:U219"/>
    <mergeCell ref="U221:U231"/>
    <mergeCell ref="U232:U234"/>
    <mergeCell ref="U236:U246"/>
    <mergeCell ref="U247:U252"/>
    <mergeCell ref="U253:U256"/>
    <mergeCell ref="U257:U259"/>
    <mergeCell ref="U260:U262"/>
    <mergeCell ref="U263:U270"/>
    <mergeCell ref="U271:U272"/>
    <mergeCell ref="U273:U276"/>
    <mergeCell ref="U277:U280"/>
    <mergeCell ref="U281:U285"/>
    <mergeCell ref="U96:U98"/>
    <mergeCell ref="U99:U104"/>
    <mergeCell ref="U105:U107"/>
    <mergeCell ref="U108:U111"/>
    <mergeCell ref="U112:U121"/>
    <mergeCell ref="U122:U125"/>
    <mergeCell ref="U126:U134"/>
    <mergeCell ref="U135:U138"/>
    <mergeCell ref="U139:U144"/>
    <mergeCell ref="U145:U147"/>
    <mergeCell ref="U148:U154"/>
    <mergeCell ref="U155:U160"/>
    <mergeCell ref="U161:U164"/>
    <mergeCell ref="U165:U175"/>
    <mergeCell ref="U176:U179"/>
    <mergeCell ref="U180:U186"/>
    <mergeCell ref="U187:U191"/>
    <mergeCell ref="T1450:T1454"/>
    <mergeCell ref="T1456:T1460"/>
    <mergeCell ref="T1461:T1466"/>
    <mergeCell ref="T1468:T1472"/>
    <mergeCell ref="T1474:T1476"/>
    <mergeCell ref="T1477:T1479"/>
    <mergeCell ref="T1480:T1483"/>
    <mergeCell ref="T1484:T1487"/>
    <mergeCell ref="T1490:T1493"/>
    <mergeCell ref="T1494:T1497"/>
    <mergeCell ref="T1501:T1502"/>
    <mergeCell ref="T1505:T1506"/>
    <mergeCell ref="T1508:T1509"/>
    <mergeCell ref="T1510:T1513"/>
    <mergeCell ref="T1514:T1515"/>
    <mergeCell ref="T1516:T1518"/>
    <mergeCell ref="U2:U5"/>
    <mergeCell ref="U6:U27"/>
    <mergeCell ref="U28:U30"/>
    <mergeCell ref="U31:U37"/>
    <mergeCell ref="U38:U39"/>
    <mergeCell ref="U40:U45"/>
    <mergeCell ref="U46:U50"/>
    <mergeCell ref="U51:U54"/>
    <mergeCell ref="U55:U60"/>
    <mergeCell ref="U61:U64"/>
    <mergeCell ref="U65:U67"/>
    <mergeCell ref="U68:U70"/>
    <mergeCell ref="U71:U78"/>
    <mergeCell ref="U79:U85"/>
    <mergeCell ref="U86:U89"/>
    <mergeCell ref="U90:U95"/>
    <mergeCell ref="T1390:T1392"/>
    <mergeCell ref="T1394:T1396"/>
    <mergeCell ref="T1397:T1401"/>
    <mergeCell ref="T1402:T1405"/>
    <mergeCell ref="T1406:T1408"/>
    <mergeCell ref="T1412:T1416"/>
    <mergeCell ref="T1417:T1419"/>
    <mergeCell ref="T1421:T1422"/>
    <mergeCell ref="T1423:T1426"/>
    <mergeCell ref="T1427:T1429"/>
    <mergeCell ref="T1430:T1432"/>
    <mergeCell ref="T1435:T1437"/>
    <mergeCell ref="T1438:T1439"/>
    <mergeCell ref="T1440:T1442"/>
    <mergeCell ref="T1443:T1444"/>
    <mergeCell ref="T1445:T1446"/>
    <mergeCell ref="T1448:T1449"/>
    <mergeCell ref="T1310:T1314"/>
    <mergeCell ref="T1316:T1317"/>
    <mergeCell ref="T1319:T1322"/>
    <mergeCell ref="T1323:T1330"/>
    <mergeCell ref="T1331:T1333"/>
    <mergeCell ref="T1335:T1337"/>
    <mergeCell ref="T1338:T1340"/>
    <mergeCell ref="T1343:T1344"/>
    <mergeCell ref="T1347:T1348"/>
    <mergeCell ref="T1349:T1351"/>
    <mergeCell ref="T1352:T1356"/>
    <mergeCell ref="T1358:T1363"/>
    <mergeCell ref="T1364:T1365"/>
    <mergeCell ref="T1366:T1368"/>
    <mergeCell ref="T1370:T1371"/>
    <mergeCell ref="T1374:T1379"/>
    <mergeCell ref="T1381:T1389"/>
    <mergeCell ref="T1235:T1239"/>
    <mergeCell ref="T1240:T1241"/>
    <mergeCell ref="T1242:T1245"/>
    <mergeCell ref="T1246:T1248"/>
    <mergeCell ref="T1249:T1250"/>
    <mergeCell ref="T1253:T1260"/>
    <mergeCell ref="T1263:T1265"/>
    <mergeCell ref="T1267:T1270"/>
    <mergeCell ref="T1271:T1275"/>
    <mergeCell ref="T1276:T1279"/>
    <mergeCell ref="T1281:T1282"/>
    <mergeCell ref="T1283:T1284"/>
    <mergeCell ref="T1285:T1294"/>
    <mergeCell ref="T1295:T1298"/>
    <mergeCell ref="T1299:T1301"/>
    <mergeCell ref="T1302:T1307"/>
    <mergeCell ref="T1308:T1309"/>
    <mergeCell ref="T1152:T1154"/>
    <mergeCell ref="T1155:T1156"/>
    <mergeCell ref="T1158:T1165"/>
    <mergeCell ref="T1166:T1172"/>
    <mergeCell ref="T1173:T1175"/>
    <mergeCell ref="T1176:T1179"/>
    <mergeCell ref="T1180:T1184"/>
    <mergeCell ref="T1186:T1189"/>
    <mergeCell ref="T1190:T1194"/>
    <mergeCell ref="T1195:T1196"/>
    <mergeCell ref="T1197:T1199"/>
    <mergeCell ref="T1201:T1202"/>
    <mergeCell ref="T1203:T1211"/>
    <mergeCell ref="T1212:T1220"/>
    <mergeCell ref="T1221:T1226"/>
    <mergeCell ref="T1227:T1231"/>
    <mergeCell ref="T1233:T1234"/>
    <mergeCell ref="T1069:T1072"/>
    <mergeCell ref="T1073:T1077"/>
    <mergeCell ref="T1078:T1082"/>
    <mergeCell ref="T1083:T1085"/>
    <mergeCell ref="T1087:T1094"/>
    <mergeCell ref="T1095:T1102"/>
    <mergeCell ref="T1103:T1107"/>
    <mergeCell ref="T1108:T1109"/>
    <mergeCell ref="T1110:T1112"/>
    <mergeCell ref="T1113:T1119"/>
    <mergeCell ref="T1120:T1121"/>
    <mergeCell ref="T1122:T1124"/>
    <mergeCell ref="T1126:T1127"/>
    <mergeCell ref="T1128:T1130"/>
    <mergeCell ref="T1131:T1135"/>
    <mergeCell ref="T1137:T1140"/>
    <mergeCell ref="T1141:T1144"/>
    <mergeCell ref="T982:T984"/>
    <mergeCell ref="T985:T991"/>
    <mergeCell ref="T992:T996"/>
    <mergeCell ref="T997:T998"/>
    <mergeCell ref="T1000:T1003"/>
    <mergeCell ref="T1005:T1012"/>
    <mergeCell ref="T1013:T1019"/>
    <mergeCell ref="T1020:T1022"/>
    <mergeCell ref="T1023:T1029"/>
    <mergeCell ref="T1030:T1036"/>
    <mergeCell ref="T1037:T1041"/>
    <mergeCell ref="T1042:T1052"/>
    <mergeCell ref="T1053:T1054"/>
    <mergeCell ref="T1055:T1056"/>
    <mergeCell ref="T1057:T1059"/>
    <mergeCell ref="T1060:T1065"/>
    <mergeCell ref="T1066:T1068"/>
    <mergeCell ref="T907:T912"/>
    <mergeCell ref="T913:T917"/>
    <mergeCell ref="T919:T920"/>
    <mergeCell ref="T922:T932"/>
    <mergeCell ref="T933:T934"/>
    <mergeCell ref="T935:T939"/>
    <mergeCell ref="T940:T947"/>
    <mergeCell ref="T948:T949"/>
    <mergeCell ref="T951:T954"/>
    <mergeCell ref="T955:T956"/>
    <mergeCell ref="T957:T961"/>
    <mergeCell ref="T963:T964"/>
    <mergeCell ref="T965:T967"/>
    <mergeCell ref="T968:T969"/>
    <mergeCell ref="T971:T972"/>
    <mergeCell ref="T973:T977"/>
    <mergeCell ref="T978:T981"/>
    <mergeCell ref="T811:T819"/>
    <mergeCell ref="T821:T826"/>
    <mergeCell ref="T827:T828"/>
    <mergeCell ref="T829:T830"/>
    <mergeCell ref="T831:T836"/>
    <mergeCell ref="T837:T848"/>
    <mergeCell ref="T849:T850"/>
    <mergeCell ref="T854:T855"/>
    <mergeCell ref="T856:T864"/>
    <mergeCell ref="T865:T869"/>
    <mergeCell ref="T871:T873"/>
    <mergeCell ref="T874:T888"/>
    <mergeCell ref="T889:T890"/>
    <mergeCell ref="T891:T893"/>
    <mergeCell ref="T894:T898"/>
    <mergeCell ref="T899:T903"/>
    <mergeCell ref="T905:T906"/>
    <mergeCell ref="T727:T730"/>
    <mergeCell ref="T731:T733"/>
    <mergeCell ref="T734:T736"/>
    <mergeCell ref="T737:T742"/>
    <mergeCell ref="T743:T744"/>
    <mergeCell ref="T745:T747"/>
    <mergeCell ref="T748:T754"/>
    <mergeCell ref="T755:T757"/>
    <mergeCell ref="T758:T760"/>
    <mergeCell ref="T761:T768"/>
    <mergeCell ref="T769:T772"/>
    <mergeCell ref="T773:T775"/>
    <mergeCell ref="T776:T781"/>
    <mergeCell ref="T783:T790"/>
    <mergeCell ref="T792:T797"/>
    <mergeCell ref="T798:T799"/>
    <mergeCell ref="T802:T809"/>
    <mergeCell ref="T617:T636"/>
    <mergeCell ref="T637:T642"/>
    <mergeCell ref="T645:T654"/>
    <mergeCell ref="T655:T657"/>
    <mergeCell ref="T659:T664"/>
    <mergeCell ref="T665:T666"/>
    <mergeCell ref="T667:T669"/>
    <mergeCell ref="T670:T677"/>
    <mergeCell ref="T678:T681"/>
    <mergeCell ref="T682:T686"/>
    <mergeCell ref="T687:T688"/>
    <mergeCell ref="T689:T690"/>
    <mergeCell ref="T691:T695"/>
    <mergeCell ref="T696:T698"/>
    <mergeCell ref="T699:T708"/>
    <mergeCell ref="T709:T720"/>
    <mergeCell ref="T721:T725"/>
    <mergeCell ref="T519:T523"/>
    <mergeCell ref="T524:T525"/>
    <mergeCell ref="T526:T530"/>
    <mergeCell ref="T531:T532"/>
    <mergeCell ref="T533:T544"/>
    <mergeCell ref="T546:T551"/>
    <mergeCell ref="T552:T554"/>
    <mergeCell ref="T555:T559"/>
    <mergeCell ref="T560:T562"/>
    <mergeCell ref="T563:T567"/>
    <mergeCell ref="T568:T569"/>
    <mergeCell ref="T570:T572"/>
    <mergeCell ref="T573:T585"/>
    <mergeCell ref="T586:T589"/>
    <mergeCell ref="T590:T599"/>
    <mergeCell ref="T600:T611"/>
    <mergeCell ref="T612:T616"/>
    <mergeCell ref="T431:T440"/>
    <mergeCell ref="T441:T451"/>
    <mergeCell ref="T453:T454"/>
    <mergeCell ref="T455:T456"/>
    <mergeCell ref="T457:T458"/>
    <mergeCell ref="T459:T460"/>
    <mergeCell ref="T461:T471"/>
    <mergeCell ref="T472:T477"/>
    <mergeCell ref="T478:T479"/>
    <mergeCell ref="T480:T481"/>
    <mergeCell ref="T484:T486"/>
    <mergeCell ref="T487:T493"/>
    <mergeCell ref="T494:T496"/>
    <mergeCell ref="T498:T501"/>
    <mergeCell ref="T502:T508"/>
    <mergeCell ref="T509:T512"/>
    <mergeCell ref="T514:T518"/>
    <mergeCell ref="T326:T330"/>
    <mergeCell ref="T331:T336"/>
    <mergeCell ref="T338:T343"/>
    <mergeCell ref="T344:T347"/>
    <mergeCell ref="T348:T351"/>
    <mergeCell ref="T352:T358"/>
    <mergeCell ref="T359:T360"/>
    <mergeCell ref="T361:T364"/>
    <mergeCell ref="T365:T369"/>
    <mergeCell ref="T370:T373"/>
    <mergeCell ref="T375:T382"/>
    <mergeCell ref="T387:T389"/>
    <mergeCell ref="T391:T392"/>
    <mergeCell ref="T394:T402"/>
    <mergeCell ref="T403:T417"/>
    <mergeCell ref="T418:T421"/>
    <mergeCell ref="T423:T430"/>
    <mergeCell ref="T232:T234"/>
    <mergeCell ref="T236:T246"/>
    <mergeCell ref="T247:T252"/>
    <mergeCell ref="T253:T256"/>
    <mergeCell ref="T257:T259"/>
    <mergeCell ref="T260:T262"/>
    <mergeCell ref="T263:T270"/>
    <mergeCell ref="T271:T272"/>
    <mergeCell ref="T273:T276"/>
    <mergeCell ref="T277:T280"/>
    <mergeCell ref="T281:T285"/>
    <mergeCell ref="T287:T290"/>
    <mergeCell ref="T291:T298"/>
    <mergeCell ref="T299:T306"/>
    <mergeCell ref="T307:T312"/>
    <mergeCell ref="T313:T321"/>
    <mergeCell ref="T322:T325"/>
    <mergeCell ref="T126:T134"/>
    <mergeCell ref="T135:T138"/>
    <mergeCell ref="T139:T144"/>
    <mergeCell ref="T145:T147"/>
    <mergeCell ref="T148:T154"/>
    <mergeCell ref="T155:T160"/>
    <mergeCell ref="T161:T164"/>
    <mergeCell ref="T165:T175"/>
    <mergeCell ref="T176:T179"/>
    <mergeCell ref="T180:T186"/>
    <mergeCell ref="T187:T191"/>
    <mergeCell ref="T192:T198"/>
    <mergeCell ref="T199:T201"/>
    <mergeCell ref="T202:T209"/>
    <mergeCell ref="T210:T211"/>
    <mergeCell ref="T212:T219"/>
    <mergeCell ref="T221:T231"/>
    <mergeCell ref="S1480:S1483"/>
    <mergeCell ref="S1484:S1487"/>
    <mergeCell ref="S1490:S1493"/>
    <mergeCell ref="S1494:S1497"/>
    <mergeCell ref="S1501:S1502"/>
    <mergeCell ref="S1505:S1506"/>
    <mergeCell ref="S1508:S1509"/>
    <mergeCell ref="S1510:S1513"/>
    <mergeCell ref="S1514:S1515"/>
    <mergeCell ref="S1516:S1518"/>
    <mergeCell ref="T2:T5"/>
    <mergeCell ref="T6:T27"/>
    <mergeCell ref="T28:T30"/>
    <mergeCell ref="T31:T37"/>
    <mergeCell ref="T38:T39"/>
    <mergeCell ref="T40:T45"/>
    <mergeCell ref="T46:T50"/>
    <mergeCell ref="T51:T54"/>
    <mergeCell ref="T55:T60"/>
    <mergeCell ref="T61:T64"/>
    <mergeCell ref="T65:T67"/>
    <mergeCell ref="T68:T70"/>
    <mergeCell ref="T71:T78"/>
    <mergeCell ref="T79:T85"/>
    <mergeCell ref="T86:T89"/>
    <mergeCell ref="T90:T95"/>
    <mergeCell ref="T96:T98"/>
    <mergeCell ref="T99:T104"/>
    <mergeCell ref="T105:T107"/>
    <mergeCell ref="T108:T111"/>
    <mergeCell ref="T112:T121"/>
    <mergeCell ref="T122:T125"/>
    <mergeCell ref="S1417:S1419"/>
    <mergeCell ref="S1421:S1422"/>
    <mergeCell ref="S1423:S1426"/>
    <mergeCell ref="S1427:S1429"/>
    <mergeCell ref="S1430:S1432"/>
    <mergeCell ref="S1435:S1437"/>
    <mergeCell ref="S1438:S1439"/>
    <mergeCell ref="S1440:S1442"/>
    <mergeCell ref="S1443:S1444"/>
    <mergeCell ref="S1445:S1446"/>
    <mergeCell ref="S1448:S1449"/>
    <mergeCell ref="S1450:S1454"/>
    <mergeCell ref="S1456:S1460"/>
    <mergeCell ref="S1461:S1466"/>
    <mergeCell ref="S1468:S1472"/>
    <mergeCell ref="S1474:S1476"/>
    <mergeCell ref="S1477:S1479"/>
    <mergeCell ref="S1338:S1340"/>
    <mergeCell ref="S1343:S1344"/>
    <mergeCell ref="S1347:S1348"/>
    <mergeCell ref="S1349:S1351"/>
    <mergeCell ref="S1352:S1356"/>
    <mergeCell ref="S1358:S1363"/>
    <mergeCell ref="S1364:S1365"/>
    <mergeCell ref="S1366:S1368"/>
    <mergeCell ref="S1370:S1371"/>
    <mergeCell ref="S1374:S1379"/>
    <mergeCell ref="S1381:S1389"/>
    <mergeCell ref="S1390:S1392"/>
    <mergeCell ref="S1394:S1396"/>
    <mergeCell ref="S1397:S1401"/>
    <mergeCell ref="S1402:S1405"/>
    <mergeCell ref="S1406:S1408"/>
    <mergeCell ref="S1412:S1416"/>
    <mergeCell ref="S1263:S1265"/>
    <mergeCell ref="S1267:S1270"/>
    <mergeCell ref="S1271:S1275"/>
    <mergeCell ref="S1276:S1279"/>
    <mergeCell ref="S1281:S1282"/>
    <mergeCell ref="S1283:S1284"/>
    <mergeCell ref="S1285:S1294"/>
    <mergeCell ref="S1295:S1298"/>
    <mergeCell ref="S1299:S1301"/>
    <mergeCell ref="S1302:S1307"/>
    <mergeCell ref="S1308:S1309"/>
    <mergeCell ref="S1310:S1314"/>
    <mergeCell ref="S1316:S1317"/>
    <mergeCell ref="S1319:S1322"/>
    <mergeCell ref="S1323:S1330"/>
    <mergeCell ref="S1331:S1333"/>
    <mergeCell ref="S1335:S1337"/>
    <mergeCell ref="S1180:S1184"/>
    <mergeCell ref="S1186:S1189"/>
    <mergeCell ref="S1190:S1194"/>
    <mergeCell ref="S1195:S1196"/>
    <mergeCell ref="S1197:S1199"/>
    <mergeCell ref="S1201:S1202"/>
    <mergeCell ref="S1203:S1211"/>
    <mergeCell ref="S1212:S1220"/>
    <mergeCell ref="S1221:S1226"/>
    <mergeCell ref="S1227:S1231"/>
    <mergeCell ref="S1233:S1234"/>
    <mergeCell ref="S1235:S1239"/>
    <mergeCell ref="S1240:S1241"/>
    <mergeCell ref="S1242:S1245"/>
    <mergeCell ref="S1246:S1248"/>
    <mergeCell ref="S1249:S1250"/>
    <mergeCell ref="S1253:S1260"/>
    <mergeCell ref="S1103:S1107"/>
    <mergeCell ref="S1108:S1109"/>
    <mergeCell ref="S1110:S1112"/>
    <mergeCell ref="S1113:S1119"/>
    <mergeCell ref="S1120:S1121"/>
    <mergeCell ref="S1122:S1124"/>
    <mergeCell ref="S1126:S1127"/>
    <mergeCell ref="S1128:S1130"/>
    <mergeCell ref="S1131:S1135"/>
    <mergeCell ref="S1137:S1140"/>
    <mergeCell ref="S1141:S1144"/>
    <mergeCell ref="S1152:S1154"/>
    <mergeCell ref="S1155:S1156"/>
    <mergeCell ref="S1158:S1165"/>
    <mergeCell ref="S1166:S1172"/>
    <mergeCell ref="S1173:S1175"/>
    <mergeCell ref="S1176:S1179"/>
    <mergeCell ref="S1013:S1019"/>
    <mergeCell ref="S1020:S1022"/>
    <mergeCell ref="S1023:S1029"/>
    <mergeCell ref="S1030:S1036"/>
    <mergeCell ref="S1037:S1041"/>
    <mergeCell ref="S1042:S1052"/>
    <mergeCell ref="S1053:S1054"/>
    <mergeCell ref="S1055:S1056"/>
    <mergeCell ref="S1057:S1059"/>
    <mergeCell ref="S1060:S1065"/>
    <mergeCell ref="S1066:S1068"/>
    <mergeCell ref="S1069:S1072"/>
    <mergeCell ref="S1073:S1077"/>
    <mergeCell ref="S1078:S1082"/>
    <mergeCell ref="S1083:S1085"/>
    <mergeCell ref="S1087:S1094"/>
    <mergeCell ref="S1095:S1102"/>
    <mergeCell ref="S940:S947"/>
    <mergeCell ref="S948:S949"/>
    <mergeCell ref="S951:S954"/>
    <mergeCell ref="S955:S956"/>
    <mergeCell ref="S957:S961"/>
    <mergeCell ref="S963:S964"/>
    <mergeCell ref="S965:S967"/>
    <mergeCell ref="S968:S969"/>
    <mergeCell ref="S971:S972"/>
    <mergeCell ref="S973:S977"/>
    <mergeCell ref="S978:S981"/>
    <mergeCell ref="S982:S984"/>
    <mergeCell ref="S985:S991"/>
    <mergeCell ref="S992:S996"/>
    <mergeCell ref="S997:S998"/>
    <mergeCell ref="S1000:S1003"/>
    <mergeCell ref="S1005:S1012"/>
    <mergeCell ref="S849:S850"/>
    <mergeCell ref="S854:S855"/>
    <mergeCell ref="S856:S864"/>
    <mergeCell ref="S865:S869"/>
    <mergeCell ref="S871:S873"/>
    <mergeCell ref="S874:S888"/>
    <mergeCell ref="S889:S890"/>
    <mergeCell ref="S891:S893"/>
    <mergeCell ref="S894:S898"/>
    <mergeCell ref="S899:S903"/>
    <mergeCell ref="S905:S906"/>
    <mergeCell ref="S907:S912"/>
    <mergeCell ref="S913:S917"/>
    <mergeCell ref="S919:S920"/>
    <mergeCell ref="S922:S932"/>
    <mergeCell ref="S933:S934"/>
    <mergeCell ref="S935:S939"/>
    <mergeCell ref="S748:S754"/>
    <mergeCell ref="S755:S757"/>
    <mergeCell ref="S758:S760"/>
    <mergeCell ref="S761:S768"/>
    <mergeCell ref="S769:S772"/>
    <mergeCell ref="S773:S775"/>
    <mergeCell ref="S776:S781"/>
    <mergeCell ref="S783:S790"/>
    <mergeCell ref="S792:S797"/>
    <mergeCell ref="S798:S799"/>
    <mergeCell ref="S802:S809"/>
    <mergeCell ref="S811:S819"/>
    <mergeCell ref="S821:S826"/>
    <mergeCell ref="S827:S828"/>
    <mergeCell ref="S829:S830"/>
    <mergeCell ref="S831:S836"/>
    <mergeCell ref="S837:S848"/>
    <mergeCell ref="S667:S669"/>
    <mergeCell ref="S670:S677"/>
    <mergeCell ref="S678:S681"/>
    <mergeCell ref="S682:S686"/>
    <mergeCell ref="S687:S688"/>
    <mergeCell ref="S689:S690"/>
    <mergeCell ref="S691:S695"/>
    <mergeCell ref="S696:S698"/>
    <mergeCell ref="S699:S708"/>
    <mergeCell ref="S709:S720"/>
    <mergeCell ref="S721:S725"/>
    <mergeCell ref="S727:S730"/>
    <mergeCell ref="S731:S733"/>
    <mergeCell ref="S734:S736"/>
    <mergeCell ref="S737:S742"/>
    <mergeCell ref="S743:S744"/>
    <mergeCell ref="S745:S747"/>
    <mergeCell ref="S552:S554"/>
    <mergeCell ref="S555:S559"/>
    <mergeCell ref="S560:S562"/>
    <mergeCell ref="S563:S567"/>
    <mergeCell ref="S568:S569"/>
    <mergeCell ref="S570:S572"/>
    <mergeCell ref="S573:S585"/>
    <mergeCell ref="S586:S589"/>
    <mergeCell ref="S590:S599"/>
    <mergeCell ref="S600:S611"/>
    <mergeCell ref="S612:S616"/>
    <mergeCell ref="S617:S636"/>
    <mergeCell ref="S637:S642"/>
    <mergeCell ref="S645:S654"/>
    <mergeCell ref="S655:S657"/>
    <mergeCell ref="S659:S664"/>
    <mergeCell ref="S665:S666"/>
    <mergeCell ref="S461:S471"/>
    <mergeCell ref="S472:S477"/>
    <mergeCell ref="S478:S479"/>
    <mergeCell ref="S480:S481"/>
    <mergeCell ref="S484:S486"/>
    <mergeCell ref="S487:S493"/>
    <mergeCell ref="S494:S496"/>
    <mergeCell ref="S498:S501"/>
    <mergeCell ref="S502:S508"/>
    <mergeCell ref="S509:S512"/>
    <mergeCell ref="S514:S518"/>
    <mergeCell ref="S519:S523"/>
    <mergeCell ref="S524:S525"/>
    <mergeCell ref="S526:S530"/>
    <mergeCell ref="S531:S532"/>
    <mergeCell ref="S533:S544"/>
    <mergeCell ref="S546:S551"/>
    <mergeCell ref="S359:S360"/>
    <mergeCell ref="S361:S364"/>
    <mergeCell ref="S365:S369"/>
    <mergeCell ref="S370:S373"/>
    <mergeCell ref="S375:S382"/>
    <mergeCell ref="S387:S389"/>
    <mergeCell ref="S391:S392"/>
    <mergeCell ref="S394:S402"/>
    <mergeCell ref="S403:S417"/>
    <mergeCell ref="S418:S421"/>
    <mergeCell ref="S423:S430"/>
    <mergeCell ref="S431:S440"/>
    <mergeCell ref="S441:S451"/>
    <mergeCell ref="S453:S454"/>
    <mergeCell ref="S455:S456"/>
    <mergeCell ref="S457:S458"/>
    <mergeCell ref="S459:S460"/>
    <mergeCell ref="S263:S270"/>
    <mergeCell ref="S271:S272"/>
    <mergeCell ref="S273:S276"/>
    <mergeCell ref="S277:S280"/>
    <mergeCell ref="S281:S285"/>
    <mergeCell ref="S287:S290"/>
    <mergeCell ref="S291:S298"/>
    <mergeCell ref="S299:S306"/>
    <mergeCell ref="S307:S312"/>
    <mergeCell ref="S313:S321"/>
    <mergeCell ref="S322:S325"/>
    <mergeCell ref="S326:S330"/>
    <mergeCell ref="S331:S336"/>
    <mergeCell ref="S338:S343"/>
    <mergeCell ref="S344:S347"/>
    <mergeCell ref="S348:S351"/>
    <mergeCell ref="S352:S358"/>
    <mergeCell ref="S161:S164"/>
    <mergeCell ref="S165:S175"/>
    <mergeCell ref="S176:S179"/>
    <mergeCell ref="S180:S186"/>
    <mergeCell ref="S187:S191"/>
    <mergeCell ref="S192:S198"/>
    <mergeCell ref="S199:S201"/>
    <mergeCell ref="S202:S209"/>
    <mergeCell ref="S210:S211"/>
    <mergeCell ref="S212:S219"/>
    <mergeCell ref="S221:S231"/>
    <mergeCell ref="S232:S234"/>
    <mergeCell ref="S236:S246"/>
    <mergeCell ref="S247:S252"/>
    <mergeCell ref="S253:S256"/>
    <mergeCell ref="S257:S259"/>
    <mergeCell ref="S260:S262"/>
    <mergeCell ref="M1508:M1509"/>
    <mergeCell ref="M1510:M1513"/>
    <mergeCell ref="M1514:M1515"/>
    <mergeCell ref="M1516:M1518"/>
    <mergeCell ref="S2:S5"/>
    <mergeCell ref="S6:S27"/>
    <mergeCell ref="S28:S30"/>
    <mergeCell ref="S31:S37"/>
    <mergeCell ref="S38:S39"/>
    <mergeCell ref="S40:S45"/>
    <mergeCell ref="S46:S50"/>
    <mergeCell ref="S51:S54"/>
    <mergeCell ref="S55:S60"/>
    <mergeCell ref="S61:S64"/>
    <mergeCell ref="S65:S67"/>
    <mergeCell ref="S68:S70"/>
    <mergeCell ref="S71:S78"/>
    <mergeCell ref="S79:S85"/>
    <mergeCell ref="S86:S89"/>
    <mergeCell ref="S90:S95"/>
    <mergeCell ref="S96:S98"/>
    <mergeCell ref="S99:S104"/>
    <mergeCell ref="S105:S107"/>
    <mergeCell ref="S108:S111"/>
    <mergeCell ref="S112:S121"/>
    <mergeCell ref="S122:S125"/>
    <mergeCell ref="S126:S134"/>
    <mergeCell ref="S135:S138"/>
    <mergeCell ref="S139:S144"/>
    <mergeCell ref="S145:S147"/>
    <mergeCell ref="S148:S154"/>
    <mergeCell ref="S155:S160"/>
    <mergeCell ref="M1438:M1439"/>
    <mergeCell ref="M1440:M1442"/>
    <mergeCell ref="M1443:M1444"/>
    <mergeCell ref="M1445:M1446"/>
    <mergeCell ref="M1448:M1449"/>
    <mergeCell ref="M1450:M1454"/>
    <mergeCell ref="M1456:M1460"/>
    <mergeCell ref="M1461:M1466"/>
    <mergeCell ref="M1468:M1472"/>
    <mergeCell ref="M1474:M1476"/>
    <mergeCell ref="M1477:M1479"/>
    <mergeCell ref="M1480:M1483"/>
    <mergeCell ref="M1484:M1487"/>
    <mergeCell ref="M1490:M1493"/>
    <mergeCell ref="M1494:M1497"/>
    <mergeCell ref="M1501:M1502"/>
    <mergeCell ref="M1505:M1506"/>
    <mergeCell ref="M1364:M1365"/>
    <mergeCell ref="M1366:M1368"/>
    <mergeCell ref="M1370:M1371"/>
    <mergeCell ref="M1374:M1379"/>
    <mergeCell ref="M1381:M1389"/>
    <mergeCell ref="M1390:M1392"/>
    <mergeCell ref="M1394:M1396"/>
    <mergeCell ref="M1397:M1401"/>
    <mergeCell ref="M1402:M1405"/>
    <mergeCell ref="M1406:M1408"/>
    <mergeCell ref="M1412:M1416"/>
    <mergeCell ref="M1417:M1419"/>
    <mergeCell ref="M1421:M1422"/>
    <mergeCell ref="M1423:M1426"/>
    <mergeCell ref="M1427:M1429"/>
    <mergeCell ref="M1430:M1432"/>
    <mergeCell ref="M1435:M1437"/>
    <mergeCell ref="M1285:M1294"/>
    <mergeCell ref="M1295:M1298"/>
    <mergeCell ref="M1299:M1301"/>
    <mergeCell ref="M1302:M1307"/>
    <mergeCell ref="M1308:M1309"/>
    <mergeCell ref="M1310:M1314"/>
    <mergeCell ref="M1316:M1317"/>
    <mergeCell ref="M1319:M1322"/>
    <mergeCell ref="M1323:M1330"/>
    <mergeCell ref="M1331:M1333"/>
    <mergeCell ref="M1335:M1337"/>
    <mergeCell ref="M1338:M1340"/>
    <mergeCell ref="M1343:M1344"/>
    <mergeCell ref="M1347:M1348"/>
    <mergeCell ref="M1349:M1351"/>
    <mergeCell ref="M1352:M1356"/>
    <mergeCell ref="M1358:M1363"/>
    <mergeCell ref="M1203:M1211"/>
    <mergeCell ref="M1212:M1220"/>
    <mergeCell ref="M1221:M1226"/>
    <mergeCell ref="M1227:M1231"/>
    <mergeCell ref="M1233:M1234"/>
    <mergeCell ref="M1235:M1239"/>
    <mergeCell ref="M1240:M1241"/>
    <mergeCell ref="M1242:M1245"/>
    <mergeCell ref="M1246:M1248"/>
    <mergeCell ref="M1249:M1250"/>
    <mergeCell ref="M1253:M1260"/>
    <mergeCell ref="M1263:M1265"/>
    <mergeCell ref="M1267:M1270"/>
    <mergeCell ref="M1271:M1275"/>
    <mergeCell ref="M1276:M1279"/>
    <mergeCell ref="M1281:M1282"/>
    <mergeCell ref="M1283:M1284"/>
    <mergeCell ref="M1126:M1127"/>
    <mergeCell ref="M1128:M1130"/>
    <mergeCell ref="M1131:M1135"/>
    <mergeCell ref="M1137:M1140"/>
    <mergeCell ref="M1141:M1144"/>
    <mergeCell ref="M1152:M1154"/>
    <mergeCell ref="M1155:M1156"/>
    <mergeCell ref="M1158:M1165"/>
    <mergeCell ref="M1166:M1172"/>
    <mergeCell ref="M1173:M1175"/>
    <mergeCell ref="M1176:M1179"/>
    <mergeCell ref="M1180:M1184"/>
    <mergeCell ref="M1186:M1189"/>
    <mergeCell ref="M1190:M1194"/>
    <mergeCell ref="M1195:M1196"/>
    <mergeCell ref="M1197:M1199"/>
    <mergeCell ref="M1201:M1202"/>
    <mergeCell ref="M1053:M1054"/>
    <mergeCell ref="M1055:M1056"/>
    <mergeCell ref="M1057:M1059"/>
    <mergeCell ref="M1060:M1065"/>
    <mergeCell ref="M1066:M1068"/>
    <mergeCell ref="M1069:M1072"/>
    <mergeCell ref="M1073:M1077"/>
    <mergeCell ref="M1078:M1082"/>
    <mergeCell ref="M1083:M1085"/>
    <mergeCell ref="M1087:M1094"/>
    <mergeCell ref="M1095:M1102"/>
    <mergeCell ref="M1103:M1107"/>
    <mergeCell ref="M1108:M1109"/>
    <mergeCell ref="M1110:M1112"/>
    <mergeCell ref="M1113:M1119"/>
    <mergeCell ref="M1120:M1121"/>
    <mergeCell ref="M1122:M1124"/>
    <mergeCell ref="M965:M967"/>
    <mergeCell ref="M968:M969"/>
    <mergeCell ref="M971:M972"/>
    <mergeCell ref="M973:M977"/>
    <mergeCell ref="M978:M981"/>
    <mergeCell ref="M982:M984"/>
    <mergeCell ref="M985:M991"/>
    <mergeCell ref="M992:M996"/>
    <mergeCell ref="M997:M998"/>
    <mergeCell ref="M1000:M1003"/>
    <mergeCell ref="M1005:M1012"/>
    <mergeCell ref="M1013:M1019"/>
    <mergeCell ref="M1020:M1022"/>
    <mergeCell ref="M1023:M1029"/>
    <mergeCell ref="M1030:M1036"/>
    <mergeCell ref="M1037:M1041"/>
    <mergeCell ref="M1042:M1052"/>
    <mergeCell ref="M889:M890"/>
    <mergeCell ref="M891:M893"/>
    <mergeCell ref="M894:M898"/>
    <mergeCell ref="M899:M903"/>
    <mergeCell ref="M905:M906"/>
    <mergeCell ref="M907:M912"/>
    <mergeCell ref="M913:M917"/>
    <mergeCell ref="M919:M920"/>
    <mergeCell ref="M922:M932"/>
    <mergeCell ref="M933:M934"/>
    <mergeCell ref="M935:M939"/>
    <mergeCell ref="M940:M947"/>
    <mergeCell ref="M948:M949"/>
    <mergeCell ref="M951:M954"/>
    <mergeCell ref="M955:M956"/>
    <mergeCell ref="M957:M961"/>
    <mergeCell ref="M963:M964"/>
    <mergeCell ref="M776:M781"/>
    <mergeCell ref="M783:M790"/>
    <mergeCell ref="M792:M797"/>
    <mergeCell ref="M798:M799"/>
    <mergeCell ref="M802:M809"/>
    <mergeCell ref="M811:M819"/>
    <mergeCell ref="M821:M826"/>
    <mergeCell ref="M827:M828"/>
    <mergeCell ref="M829:M830"/>
    <mergeCell ref="M831:M836"/>
    <mergeCell ref="M837:M848"/>
    <mergeCell ref="M849:M850"/>
    <mergeCell ref="M854:M855"/>
    <mergeCell ref="M856:M864"/>
    <mergeCell ref="M865:M869"/>
    <mergeCell ref="M871:M873"/>
    <mergeCell ref="M874:M888"/>
    <mergeCell ref="M691:M695"/>
    <mergeCell ref="M696:M698"/>
    <mergeCell ref="M699:M708"/>
    <mergeCell ref="M709:M720"/>
    <mergeCell ref="M721:M725"/>
    <mergeCell ref="M727:M730"/>
    <mergeCell ref="M731:M733"/>
    <mergeCell ref="M734:M736"/>
    <mergeCell ref="M737:M742"/>
    <mergeCell ref="M743:M744"/>
    <mergeCell ref="M745:M747"/>
    <mergeCell ref="M748:M754"/>
    <mergeCell ref="M755:M757"/>
    <mergeCell ref="M758:M760"/>
    <mergeCell ref="M761:M768"/>
    <mergeCell ref="M769:M772"/>
    <mergeCell ref="M773:M775"/>
    <mergeCell ref="M573:M585"/>
    <mergeCell ref="M586:M589"/>
    <mergeCell ref="M590:M599"/>
    <mergeCell ref="M600:M611"/>
    <mergeCell ref="M612:M616"/>
    <mergeCell ref="M617:M636"/>
    <mergeCell ref="M637:M642"/>
    <mergeCell ref="M645:M654"/>
    <mergeCell ref="M655:M657"/>
    <mergeCell ref="M659:M664"/>
    <mergeCell ref="M665:M666"/>
    <mergeCell ref="M667:M669"/>
    <mergeCell ref="M670:M677"/>
    <mergeCell ref="M678:M681"/>
    <mergeCell ref="M682:M686"/>
    <mergeCell ref="M687:M688"/>
    <mergeCell ref="M689:M690"/>
    <mergeCell ref="M494:M496"/>
    <mergeCell ref="M498:M501"/>
    <mergeCell ref="M502:M508"/>
    <mergeCell ref="M509:M512"/>
    <mergeCell ref="M514:M518"/>
    <mergeCell ref="M519:M523"/>
    <mergeCell ref="M524:M525"/>
    <mergeCell ref="M526:M530"/>
    <mergeCell ref="M531:M532"/>
    <mergeCell ref="M533:M544"/>
    <mergeCell ref="M546:M551"/>
    <mergeCell ref="M552:M554"/>
    <mergeCell ref="M555:M559"/>
    <mergeCell ref="M560:M562"/>
    <mergeCell ref="M563:M567"/>
    <mergeCell ref="M568:M569"/>
    <mergeCell ref="M570:M572"/>
    <mergeCell ref="M391:M392"/>
    <mergeCell ref="M394:M402"/>
    <mergeCell ref="M403:M417"/>
    <mergeCell ref="M418:M421"/>
    <mergeCell ref="M423:M430"/>
    <mergeCell ref="M431:M440"/>
    <mergeCell ref="M441:M451"/>
    <mergeCell ref="M453:M454"/>
    <mergeCell ref="M455:M456"/>
    <mergeCell ref="M457:M458"/>
    <mergeCell ref="M459:M460"/>
    <mergeCell ref="M461:M471"/>
    <mergeCell ref="M472:M477"/>
    <mergeCell ref="M478:M479"/>
    <mergeCell ref="M480:M481"/>
    <mergeCell ref="M484:M486"/>
    <mergeCell ref="M487:M493"/>
    <mergeCell ref="M291:M298"/>
    <mergeCell ref="M299:M306"/>
    <mergeCell ref="M307:M312"/>
    <mergeCell ref="M313:M321"/>
    <mergeCell ref="M322:M325"/>
    <mergeCell ref="M326:M330"/>
    <mergeCell ref="M331:M336"/>
    <mergeCell ref="M338:M343"/>
    <mergeCell ref="M344:M347"/>
    <mergeCell ref="M348:M351"/>
    <mergeCell ref="M352:M358"/>
    <mergeCell ref="M359:M360"/>
    <mergeCell ref="M361:M364"/>
    <mergeCell ref="M365:M369"/>
    <mergeCell ref="M370:M373"/>
    <mergeCell ref="M375:M382"/>
    <mergeCell ref="M387:M389"/>
    <mergeCell ref="M199:M201"/>
    <mergeCell ref="M202:M209"/>
    <mergeCell ref="M210:M211"/>
    <mergeCell ref="M212:M219"/>
    <mergeCell ref="M221:M231"/>
    <mergeCell ref="M232:M234"/>
    <mergeCell ref="M236:M246"/>
    <mergeCell ref="M247:M252"/>
    <mergeCell ref="M253:M256"/>
    <mergeCell ref="M257:M259"/>
    <mergeCell ref="M260:M262"/>
    <mergeCell ref="M263:M270"/>
    <mergeCell ref="M271:M272"/>
    <mergeCell ref="M273:M276"/>
    <mergeCell ref="M277:M280"/>
    <mergeCell ref="M281:M285"/>
    <mergeCell ref="M287:M290"/>
    <mergeCell ref="M99:M104"/>
    <mergeCell ref="M105:M107"/>
    <mergeCell ref="M108:M111"/>
    <mergeCell ref="M112:M121"/>
    <mergeCell ref="M122:M125"/>
    <mergeCell ref="M126:M134"/>
    <mergeCell ref="M135:M138"/>
    <mergeCell ref="M139:M144"/>
    <mergeCell ref="M145:M147"/>
    <mergeCell ref="M148:M154"/>
    <mergeCell ref="M155:M160"/>
    <mergeCell ref="M161:M164"/>
    <mergeCell ref="M165:M175"/>
    <mergeCell ref="M176:M179"/>
    <mergeCell ref="M180:M186"/>
    <mergeCell ref="M187:M191"/>
    <mergeCell ref="M192:M198"/>
    <mergeCell ref="L1456:L1460"/>
    <mergeCell ref="L1461:L1466"/>
    <mergeCell ref="L1468:L1472"/>
    <mergeCell ref="L1474:L1476"/>
    <mergeCell ref="L1477:L1479"/>
    <mergeCell ref="L1480:L1483"/>
    <mergeCell ref="L1484:L1487"/>
    <mergeCell ref="L1490:L1493"/>
    <mergeCell ref="L1494:L1497"/>
    <mergeCell ref="L1501:L1502"/>
    <mergeCell ref="L1505:L1506"/>
    <mergeCell ref="L1508:L1509"/>
    <mergeCell ref="L1510:L1513"/>
    <mergeCell ref="L1514:L1515"/>
    <mergeCell ref="L1516:L1518"/>
    <mergeCell ref="M2:M5"/>
    <mergeCell ref="M6:M27"/>
    <mergeCell ref="M28:M30"/>
    <mergeCell ref="M31:M37"/>
    <mergeCell ref="M38:M39"/>
    <mergeCell ref="M40:M45"/>
    <mergeCell ref="M46:M50"/>
    <mergeCell ref="M51:M54"/>
    <mergeCell ref="M55:M60"/>
    <mergeCell ref="M61:M64"/>
    <mergeCell ref="M65:M67"/>
    <mergeCell ref="M68:M70"/>
    <mergeCell ref="M71:M78"/>
    <mergeCell ref="M79:M85"/>
    <mergeCell ref="M86:M89"/>
    <mergeCell ref="M90:M95"/>
    <mergeCell ref="M96:M98"/>
    <mergeCell ref="L1394:L1396"/>
    <mergeCell ref="L1397:L1401"/>
    <mergeCell ref="L1402:L1405"/>
    <mergeCell ref="L1406:L1408"/>
    <mergeCell ref="L1412:L1416"/>
    <mergeCell ref="L1417:L1419"/>
    <mergeCell ref="L1421:L1422"/>
    <mergeCell ref="L1423:L1426"/>
    <mergeCell ref="L1427:L1429"/>
    <mergeCell ref="L1430:L1432"/>
    <mergeCell ref="L1435:L1437"/>
    <mergeCell ref="L1438:L1439"/>
    <mergeCell ref="L1440:L1442"/>
    <mergeCell ref="L1443:L1444"/>
    <mergeCell ref="L1445:L1446"/>
    <mergeCell ref="L1448:L1449"/>
    <mergeCell ref="L1450:L1454"/>
    <mergeCell ref="L1316:L1317"/>
    <mergeCell ref="L1319:L1322"/>
    <mergeCell ref="L1323:L1330"/>
    <mergeCell ref="L1331:L1333"/>
    <mergeCell ref="L1335:L1337"/>
    <mergeCell ref="L1338:L1340"/>
    <mergeCell ref="L1343:L1344"/>
    <mergeCell ref="L1347:L1348"/>
    <mergeCell ref="L1349:L1351"/>
    <mergeCell ref="L1352:L1356"/>
    <mergeCell ref="L1358:L1363"/>
    <mergeCell ref="L1364:L1365"/>
    <mergeCell ref="L1366:L1368"/>
    <mergeCell ref="L1370:L1371"/>
    <mergeCell ref="L1374:L1379"/>
    <mergeCell ref="L1381:L1389"/>
    <mergeCell ref="L1390:L1392"/>
    <mergeCell ref="L1240:L1241"/>
    <mergeCell ref="L1242:L1245"/>
    <mergeCell ref="L1246:L1248"/>
    <mergeCell ref="L1249:L1250"/>
    <mergeCell ref="L1253:L1260"/>
    <mergeCell ref="L1263:L1265"/>
    <mergeCell ref="L1267:L1270"/>
    <mergeCell ref="L1271:L1275"/>
    <mergeCell ref="L1276:L1279"/>
    <mergeCell ref="L1281:L1282"/>
    <mergeCell ref="L1283:L1284"/>
    <mergeCell ref="L1285:L1294"/>
    <mergeCell ref="L1295:L1298"/>
    <mergeCell ref="L1299:L1301"/>
    <mergeCell ref="L1302:L1307"/>
    <mergeCell ref="L1308:L1309"/>
    <mergeCell ref="L1310:L1314"/>
    <mergeCell ref="L1155:L1156"/>
    <mergeCell ref="L1158:L1165"/>
    <mergeCell ref="L1166:L1172"/>
    <mergeCell ref="L1173:L1175"/>
    <mergeCell ref="L1176:L1179"/>
    <mergeCell ref="L1180:L1184"/>
    <mergeCell ref="L1186:L1189"/>
    <mergeCell ref="L1190:L1194"/>
    <mergeCell ref="L1195:L1196"/>
    <mergeCell ref="L1197:L1199"/>
    <mergeCell ref="L1201:L1202"/>
    <mergeCell ref="L1203:L1211"/>
    <mergeCell ref="L1212:L1220"/>
    <mergeCell ref="L1221:L1226"/>
    <mergeCell ref="L1227:L1231"/>
    <mergeCell ref="L1233:L1234"/>
    <mergeCell ref="L1235:L1239"/>
    <mergeCell ref="L1073:L1077"/>
    <mergeCell ref="L1078:L1082"/>
    <mergeCell ref="L1083:L1085"/>
    <mergeCell ref="L1087:L1094"/>
    <mergeCell ref="L1095:L1102"/>
    <mergeCell ref="L1103:L1107"/>
    <mergeCell ref="L1108:L1109"/>
    <mergeCell ref="L1110:L1112"/>
    <mergeCell ref="L1113:L1119"/>
    <mergeCell ref="L1120:L1121"/>
    <mergeCell ref="L1122:L1124"/>
    <mergeCell ref="L1126:L1127"/>
    <mergeCell ref="L1128:L1130"/>
    <mergeCell ref="L1131:L1135"/>
    <mergeCell ref="L1137:L1140"/>
    <mergeCell ref="L1141:L1144"/>
    <mergeCell ref="L1152:L1154"/>
    <mergeCell ref="L985:L991"/>
    <mergeCell ref="L992:L996"/>
    <mergeCell ref="L997:L998"/>
    <mergeCell ref="L1000:L1003"/>
    <mergeCell ref="L1005:L1012"/>
    <mergeCell ref="L1013:L1019"/>
    <mergeCell ref="L1020:L1022"/>
    <mergeCell ref="L1023:L1029"/>
    <mergeCell ref="L1030:L1036"/>
    <mergeCell ref="L1037:L1041"/>
    <mergeCell ref="L1042:L1052"/>
    <mergeCell ref="L1053:L1054"/>
    <mergeCell ref="L1055:L1056"/>
    <mergeCell ref="L1057:L1059"/>
    <mergeCell ref="L1060:L1065"/>
    <mergeCell ref="L1066:L1068"/>
    <mergeCell ref="L1069:L1072"/>
    <mergeCell ref="L913:L917"/>
    <mergeCell ref="L919:L920"/>
    <mergeCell ref="L922:L932"/>
    <mergeCell ref="L933:L934"/>
    <mergeCell ref="L935:L939"/>
    <mergeCell ref="L940:L947"/>
    <mergeCell ref="L948:L949"/>
    <mergeCell ref="L951:L954"/>
    <mergeCell ref="L955:L956"/>
    <mergeCell ref="L957:L961"/>
    <mergeCell ref="L963:L964"/>
    <mergeCell ref="L965:L967"/>
    <mergeCell ref="L968:L969"/>
    <mergeCell ref="L971:L972"/>
    <mergeCell ref="L973:L977"/>
    <mergeCell ref="L978:L981"/>
    <mergeCell ref="L982:L984"/>
    <mergeCell ref="L821:L826"/>
    <mergeCell ref="L827:L828"/>
    <mergeCell ref="L829:L830"/>
    <mergeCell ref="L831:L836"/>
    <mergeCell ref="L837:L848"/>
    <mergeCell ref="L849:L850"/>
    <mergeCell ref="L854:L855"/>
    <mergeCell ref="L856:L864"/>
    <mergeCell ref="L865:L869"/>
    <mergeCell ref="L871:L873"/>
    <mergeCell ref="L874:L888"/>
    <mergeCell ref="L889:L890"/>
    <mergeCell ref="L891:L893"/>
    <mergeCell ref="L894:L898"/>
    <mergeCell ref="L899:L903"/>
    <mergeCell ref="L905:L906"/>
    <mergeCell ref="L907:L912"/>
    <mergeCell ref="L731:L733"/>
    <mergeCell ref="L734:L736"/>
    <mergeCell ref="L737:L742"/>
    <mergeCell ref="L743:L744"/>
    <mergeCell ref="L745:L747"/>
    <mergeCell ref="L748:L754"/>
    <mergeCell ref="L755:L757"/>
    <mergeCell ref="L758:L760"/>
    <mergeCell ref="L761:L768"/>
    <mergeCell ref="L769:L772"/>
    <mergeCell ref="L773:L775"/>
    <mergeCell ref="L776:L781"/>
    <mergeCell ref="L783:L790"/>
    <mergeCell ref="L792:L797"/>
    <mergeCell ref="L798:L799"/>
    <mergeCell ref="L802:L809"/>
    <mergeCell ref="L811:L819"/>
    <mergeCell ref="L637:L642"/>
    <mergeCell ref="L645:L654"/>
    <mergeCell ref="L655:L657"/>
    <mergeCell ref="L659:L664"/>
    <mergeCell ref="L665:L666"/>
    <mergeCell ref="L667:L669"/>
    <mergeCell ref="L670:L677"/>
    <mergeCell ref="L678:L681"/>
    <mergeCell ref="L682:L686"/>
    <mergeCell ref="L687:L688"/>
    <mergeCell ref="L689:L690"/>
    <mergeCell ref="L691:L695"/>
    <mergeCell ref="L696:L698"/>
    <mergeCell ref="L699:L708"/>
    <mergeCell ref="L709:L720"/>
    <mergeCell ref="L721:L725"/>
    <mergeCell ref="L727:L730"/>
    <mergeCell ref="L524:L525"/>
    <mergeCell ref="L526:L530"/>
    <mergeCell ref="L531:L532"/>
    <mergeCell ref="L533:L544"/>
    <mergeCell ref="L546:L551"/>
    <mergeCell ref="L552:L554"/>
    <mergeCell ref="L555:L559"/>
    <mergeCell ref="L560:L562"/>
    <mergeCell ref="L563:L567"/>
    <mergeCell ref="L568:L569"/>
    <mergeCell ref="L570:L572"/>
    <mergeCell ref="L573:L585"/>
    <mergeCell ref="L586:L589"/>
    <mergeCell ref="L590:L599"/>
    <mergeCell ref="L600:L611"/>
    <mergeCell ref="L612:L616"/>
    <mergeCell ref="L617:L636"/>
    <mergeCell ref="L441:L451"/>
    <mergeCell ref="L453:L454"/>
    <mergeCell ref="L455:L456"/>
    <mergeCell ref="L457:L458"/>
    <mergeCell ref="L459:L460"/>
    <mergeCell ref="L461:L471"/>
    <mergeCell ref="L472:L477"/>
    <mergeCell ref="L478:L479"/>
    <mergeCell ref="L480:L481"/>
    <mergeCell ref="L484:L486"/>
    <mergeCell ref="L487:L493"/>
    <mergeCell ref="L494:L496"/>
    <mergeCell ref="L498:L501"/>
    <mergeCell ref="L502:L508"/>
    <mergeCell ref="L509:L512"/>
    <mergeCell ref="L514:L518"/>
    <mergeCell ref="L519:L523"/>
    <mergeCell ref="L331:L336"/>
    <mergeCell ref="L338:L343"/>
    <mergeCell ref="L344:L347"/>
    <mergeCell ref="L348:L351"/>
    <mergeCell ref="L352:L358"/>
    <mergeCell ref="L359:L360"/>
    <mergeCell ref="L361:L364"/>
    <mergeCell ref="L365:L369"/>
    <mergeCell ref="L370:L373"/>
    <mergeCell ref="L375:L382"/>
    <mergeCell ref="L387:L389"/>
    <mergeCell ref="L391:L392"/>
    <mergeCell ref="L394:L402"/>
    <mergeCell ref="L403:L417"/>
    <mergeCell ref="L418:L421"/>
    <mergeCell ref="L423:L430"/>
    <mergeCell ref="L431:L440"/>
    <mergeCell ref="L236:L246"/>
    <mergeCell ref="L247:L252"/>
    <mergeCell ref="L253:L256"/>
    <mergeCell ref="L257:L259"/>
    <mergeCell ref="L260:L262"/>
    <mergeCell ref="L263:L270"/>
    <mergeCell ref="L271:L272"/>
    <mergeCell ref="L273:L276"/>
    <mergeCell ref="L277:L280"/>
    <mergeCell ref="L281:L285"/>
    <mergeCell ref="L287:L290"/>
    <mergeCell ref="L291:L298"/>
    <mergeCell ref="L299:L306"/>
    <mergeCell ref="L307:L312"/>
    <mergeCell ref="L313:L321"/>
    <mergeCell ref="L322:L325"/>
    <mergeCell ref="L326:L330"/>
    <mergeCell ref="L135:L138"/>
    <mergeCell ref="L139:L144"/>
    <mergeCell ref="L145:L147"/>
    <mergeCell ref="L148:L154"/>
    <mergeCell ref="L155:L160"/>
    <mergeCell ref="L161:L164"/>
    <mergeCell ref="L165:L175"/>
    <mergeCell ref="L176:L179"/>
    <mergeCell ref="L180:L186"/>
    <mergeCell ref="L187:L191"/>
    <mergeCell ref="L192:L198"/>
    <mergeCell ref="L199:L201"/>
    <mergeCell ref="L202:L209"/>
    <mergeCell ref="L210:L211"/>
    <mergeCell ref="L212:L219"/>
    <mergeCell ref="L221:L231"/>
    <mergeCell ref="L232:L234"/>
    <mergeCell ref="J1484:J1487"/>
    <mergeCell ref="J1490:J1493"/>
    <mergeCell ref="J1494:J1497"/>
    <mergeCell ref="J1501:J1502"/>
    <mergeCell ref="J1505:J1506"/>
    <mergeCell ref="J1508:J1509"/>
    <mergeCell ref="J1510:J1513"/>
    <mergeCell ref="J1514:J1515"/>
    <mergeCell ref="J1516:J1518"/>
    <mergeCell ref="L2:L5"/>
    <mergeCell ref="L6:L27"/>
    <mergeCell ref="L28:L30"/>
    <mergeCell ref="L31:L37"/>
    <mergeCell ref="L38:L39"/>
    <mergeCell ref="L40:L45"/>
    <mergeCell ref="L46:L50"/>
    <mergeCell ref="L51:L54"/>
    <mergeCell ref="L55:L60"/>
    <mergeCell ref="L61:L64"/>
    <mergeCell ref="L65:L67"/>
    <mergeCell ref="L68:L70"/>
    <mergeCell ref="L71:L78"/>
    <mergeCell ref="L79:L85"/>
    <mergeCell ref="L86:L89"/>
    <mergeCell ref="L90:L95"/>
    <mergeCell ref="L96:L98"/>
    <mergeCell ref="L99:L104"/>
    <mergeCell ref="L105:L107"/>
    <mergeCell ref="L108:L111"/>
    <mergeCell ref="L112:L121"/>
    <mergeCell ref="L122:L125"/>
    <mergeCell ref="L126:L134"/>
    <mergeCell ref="J1421:J1422"/>
    <mergeCell ref="J1423:J1426"/>
    <mergeCell ref="J1427:J1429"/>
    <mergeCell ref="J1430:J1432"/>
    <mergeCell ref="J1435:J1437"/>
    <mergeCell ref="J1438:J1439"/>
    <mergeCell ref="J1440:J1442"/>
    <mergeCell ref="J1443:J1444"/>
    <mergeCell ref="J1445:J1446"/>
    <mergeCell ref="J1448:J1449"/>
    <mergeCell ref="J1450:J1454"/>
    <mergeCell ref="J1456:J1460"/>
    <mergeCell ref="J1461:J1466"/>
    <mergeCell ref="J1468:J1472"/>
    <mergeCell ref="J1474:J1476"/>
    <mergeCell ref="J1477:J1479"/>
    <mergeCell ref="J1480:J1483"/>
    <mergeCell ref="J1343:J1344"/>
    <mergeCell ref="J1347:J1348"/>
    <mergeCell ref="J1349:J1351"/>
    <mergeCell ref="J1352:J1356"/>
    <mergeCell ref="J1358:J1363"/>
    <mergeCell ref="J1364:J1365"/>
    <mergeCell ref="J1366:J1368"/>
    <mergeCell ref="J1370:J1371"/>
    <mergeCell ref="J1374:J1379"/>
    <mergeCell ref="J1381:J1389"/>
    <mergeCell ref="J1390:J1392"/>
    <mergeCell ref="J1394:J1396"/>
    <mergeCell ref="J1397:J1401"/>
    <mergeCell ref="J1402:J1405"/>
    <mergeCell ref="J1406:J1408"/>
    <mergeCell ref="J1412:J1416"/>
    <mergeCell ref="J1417:J1419"/>
    <mergeCell ref="J1267:J1270"/>
    <mergeCell ref="J1271:J1275"/>
    <mergeCell ref="J1276:J1279"/>
    <mergeCell ref="J1281:J1282"/>
    <mergeCell ref="J1283:J1284"/>
    <mergeCell ref="J1285:J1294"/>
    <mergeCell ref="J1295:J1298"/>
    <mergeCell ref="J1299:J1301"/>
    <mergeCell ref="J1302:J1307"/>
    <mergeCell ref="J1308:J1309"/>
    <mergeCell ref="J1310:J1314"/>
    <mergeCell ref="J1316:J1317"/>
    <mergeCell ref="J1319:J1322"/>
    <mergeCell ref="J1323:J1330"/>
    <mergeCell ref="J1331:J1333"/>
    <mergeCell ref="J1335:J1337"/>
    <mergeCell ref="J1338:J1340"/>
    <mergeCell ref="J1186:J1189"/>
    <mergeCell ref="J1190:J1194"/>
    <mergeCell ref="J1195:J1196"/>
    <mergeCell ref="J1197:J1199"/>
    <mergeCell ref="J1201:J1202"/>
    <mergeCell ref="J1203:J1211"/>
    <mergeCell ref="J1212:J1220"/>
    <mergeCell ref="J1221:J1226"/>
    <mergeCell ref="J1227:J1231"/>
    <mergeCell ref="J1233:J1234"/>
    <mergeCell ref="J1235:J1239"/>
    <mergeCell ref="J1240:J1241"/>
    <mergeCell ref="J1242:J1245"/>
    <mergeCell ref="J1246:J1248"/>
    <mergeCell ref="J1249:J1250"/>
    <mergeCell ref="J1253:J1260"/>
    <mergeCell ref="J1263:J1265"/>
    <mergeCell ref="J1108:J1109"/>
    <mergeCell ref="J1110:J1112"/>
    <mergeCell ref="J1113:J1119"/>
    <mergeCell ref="J1120:J1121"/>
    <mergeCell ref="J1122:J1124"/>
    <mergeCell ref="J1126:J1127"/>
    <mergeCell ref="J1128:J1130"/>
    <mergeCell ref="J1131:J1135"/>
    <mergeCell ref="J1137:J1140"/>
    <mergeCell ref="J1141:J1144"/>
    <mergeCell ref="J1152:J1154"/>
    <mergeCell ref="J1155:J1156"/>
    <mergeCell ref="J1158:J1165"/>
    <mergeCell ref="J1166:J1172"/>
    <mergeCell ref="J1173:J1175"/>
    <mergeCell ref="J1176:J1179"/>
    <mergeCell ref="J1180:J1184"/>
    <mergeCell ref="J1020:J1022"/>
    <mergeCell ref="J1023:J1029"/>
    <mergeCell ref="J1030:J1036"/>
    <mergeCell ref="J1037:J1041"/>
    <mergeCell ref="J1042:J1052"/>
    <mergeCell ref="J1053:J1054"/>
    <mergeCell ref="J1055:J1056"/>
    <mergeCell ref="J1057:J1059"/>
    <mergeCell ref="J1060:J1065"/>
    <mergeCell ref="J1066:J1068"/>
    <mergeCell ref="J1069:J1072"/>
    <mergeCell ref="J1073:J1077"/>
    <mergeCell ref="J1078:J1082"/>
    <mergeCell ref="J1083:J1085"/>
    <mergeCell ref="J1087:J1094"/>
    <mergeCell ref="J1095:J1102"/>
    <mergeCell ref="J1103:J1107"/>
    <mergeCell ref="J948:J949"/>
    <mergeCell ref="J951:J954"/>
    <mergeCell ref="J955:J956"/>
    <mergeCell ref="J957:J961"/>
    <mergeCell ref="J963:J964"/>
    <mergeCell ref="J965:J967"/>
    <mergeCell ref="J968:J969"/>
    <mergeCell ref="J971:J972"/>
    <mergeCell ref="J973:J977"/>
    <mergeCell ref="J978:J981"/>
    <mergeCell ref="J982:J984"/>
    <mergeCell ref="J985:J991"/>
    <mergeCell ref="J992:J996"/>
    <mergeCell ref="J997:J998"/>
    <mergeCell ref="J1000:J1003"/>
    <mergeCell ref="J1005:J1012"/>
    <mergeCell ref="J1013:J1019"/>
    <mergeCell ref="J854:J855"/>
    <mergeCell ref="J856:J864"/>
    <mergeCell ref="J865:J869"/>
    <mergeCell ref="J871:J873"/>
    <mergeCell ref="J874:J888"/>
    <mergeCell ref="J889:J890"/>
    <mergeCell ref="J891:J893"/>
    <mergeCell ref="J894:J898"/>
    <mergeCell ref="J899:J903"/>
    <mergeCell ref="J905:J906"/>
    <mergeCell ref="J907:J912"/>
    <mergeCell ref="J913:J917"/>
    <mergeCell ref="J919:J920"/>
    <mergeCell ref="J922:J932"/>
    <mergeCell ref="J933:J934"/>
    <mergeCell ref="J935:J939"/>
    <mergeCell ref="J940:J947"/>
    <mergeCell ref="J755:J757"/>
    <mergeCell ref="J758:J760"/>
    <mergeCell ref="J761:J768"/>
    <mergeCell ref="J769:J772"/>
    <mergeCell ref="J773:J775"/>
    <mergeCell ref="J776:J781"/>
    <mergeCell ref="J783:J790"/>
    <mergeCell ref="J792:J797"/>
    <mergeCell ref="J798:J799"/>
    <mergeCell ref="J802:J809"/>
    <mergeCell ref="J811:J819"/>
    <mergeCell ref="J821:J826"/>
    <mergeCell ref="J827:J828"/>
    <mergeCell ref="J829:J830"/>
    <mergeCell ref="J831:J836"/>
    <mergeCell ref="J837:J848"/>
    <mergeCell ref="J849:J850"/>
    <mergeCell ref="J670:J677"/>
    <mergeCell ref="J678:J681"/>
    <mergeCell ref="J682:J686"/>
    <mergeCell ref="J687:J688"/>
    <mergeCell ref="J689:J690"/>
    <mergeCell ref="J691:J695"/>
    <mergeCell ref="J696:J698"/>
    <mergeCell ref="J699:J708"/>
    <mergeCell ref="J709:J720"/>
    <mergeCell ref="J721:J725"/>
    <mergeCell ref="J727:J730"/>
    <mergeCell ref="J731:J733"/>
    <mergeCell ref="J734:J736"/>
    <mergeCell ref="J737:J742"/>
    <mergeCell ref="J743:J744"/>
    <mergeCell ref="J745:J747"/>
    <mergeCell ref="J748:J754"/>
    <mergeCell ref="J555:J559"/>
    <mergeCell ref="J560:J562"/>
    <mergeCell ref="J563:J567"/>
    <mergeCell ref="J568:J569"/>
    <mergeCell ref="J570:J572"/>
    <mergeCell ref="J573:J585"/>
    <mergeCell ref="J586:J589"/>
    <mergeCell ref="J590:J599"/>
    <mergeCell ref="J600:J611"/>
    <mergeCell ref="J612:J616"/>
    <mergeCell ref="J617:J636"/>
    <mergeCell ref="J637:J642"/>
    <mergeCell ref="J645:J654"/>
    <mergeCell ref="J655:J657"/>
    <mergeCell ref="J659:J664"/>
    <mergeCell ref="J665:J666"/>
    <mergeCell ref="J667:J669"/>
    <mergeCell ref="J472:J477"/>
    <mergeCell ref="J478:J479"/>
    <mergeCell ref="J480:J481"/>
    <mergeCell ref="J484:J486"/>
    <mergeCell ref="J487:J493"/>
    <mergeCell ref="J494:J496"/>
    <mergeCell ref="J498:J501"/>
    <mergeCell ref="J502:J508"/>
    <mergeCell ref="J509:J512"/>
    <mergeCell ref="J514:J518"/>
    <mergeCell ref="J519:J523"/>
    <mergeCell ref="J524:J525"/>
    <mergeCell ref="J526:J530"/>
    <mergeCell ref="J531:J532"/>
    <mergeCell ref="J533:J544"/>
    <mergeCell ref="J546:J551"/>
    <mergeCell ref="J552:J554"/>
    <mergeCell ref="J361:J364"/>
    <mergeCell ref="J365:J369"/>
    <mergeCell ref="J370:J373"/>
    <mergeCell ref="J375:J382"/>
    <mergeCell ref="J387:J389"/>
    <mergeCell ref="J391:J392"/>
    <mergeCell ref="J394:J402"/>
    <mergeCell ref="J403:J417"/>
    <mergeCell ref="J418:J421"/>
    <mergeCell ref="J423:J430"/>
    <mergeCell ref="J431:J440"/>
    <mergeCell ref="J441:J451"/>
    <mergeCell ref="J453:J454"/>
    <mergeCell ref="J455:J456"/>
    <mergeCell ref="J457:J458"/>
    <mergeCell ref="J459:J460"/>
    <mergeCell ref="J461:J471"/>
    <mergeCell ref="J271:J272"/>
    <mergeCell ref="J273:J276"/>
    <mergeCell ref="J277:J280"/>
    <mergeCell ref="J281:J285"/>
    <mergeCell ref="J287:J290"/>
    <mergeCell ref="J291:J298"/>
    <mergeCell ref="J299:J306"/>
    <mergeCell ref="J307:J312"/>
    <mergeCell ref="J313:J321"/>
    <mergeCell ref="J322:J325"/>
    <mergeCell ref="J326:J330"/>
    <mergeCell ref="J331:J336"/>
    <mergeCell ref="J338:J343"/>
    <mergeCell ref="J344:J347"/>
    <mergeCell ref="J348:J351"/>
    <mergeCell ref="J352:J358"/>
    <mergeCell ref="J359:J360"/>
    <mergeCell ref="J165:J175"/>
    <mergeCell ref="J176:J179"/>
    <mergeCell ref="J180:J186"/>
    <mergeCell ref="J187:J191"/>
    <mergeCell ref="J192:J198"/>
    <mergeCell ref="J199:J201"/>
    <mergeCell ref="J202:J209"/>
    <mergeCell ref="J210:J211"/>
    <mergeCell ref="J212:J219"/>
    <mergeCell ref="J221:J231"/>
    <mergeCell ref="J232:J234"/>
    <mergeCell ref="J236:J246"/>
    <mergeCell ref="J247:J252"/>
    <mergeCell ref="J253:J256"/>
    <mergeCell ref="J257:J259"/>
    <mergeCell ref="J260:J262"/>
    <mergeCell ref="J263:J270"/>
    <mergeCell ref="I1510:I1513"/>
    <mergeCell ref="I1514:I1515"/>
    <mergeCell ref="I1516:I1518"/>
    <mergeCell ref="J2:J5"/>
    <mergeCell ref="J6:J27"/>
    <mergeCell ref="J28:J30"/>
    <mergeCell ref="J31:J37"/>
    <mergeCell ref="J38:J39"/>
    <mergeCell ref="J40:J45"/>
    <mergeCell ref="J46:J50"/>
    <mergeCell ref="J51:J54"/>
    <mergeCell ref="J55:J60"/>
    <mergeCell ref="J61:J64"/>
    <mergeCell ref="J65:J67"/>
    <mergeCell ref="J68:J70"/>
    <mergeCell ref="J71:J78"/>
    <mergeCell ref="J79:J85"/>
    <mergeCell ref="J86:J89"/>
    <mergeCell ref="J90:J95"/>
    <mergeCell ref="J96:J98"/>
    <mergeCell ref="J99:J104"/>
    <mergeCell ref="J105:J107"/>
    <mergeCell ref="J108:J111"/>
    <mergeCell ref="J112:J121"/>
    <mergeCell ref="J122:J125"/>
    <mergeCell ref="J126:J134"/>
    <mergeCell ref="J135:J138"/>
    <mergeCell ref="J139:J144"/>
    <mergeCell ref="J145:J147"/>
    <mergeCell ref="J148:J154"/>
    <mergeCell ref="J155:J160"/>
    <mergeCell ref="J161:J164"/>
    <mergeCell ref="I1440:I1442"/>
    <mergeCell ref="I1443:I1444"/>
    <mergeCell ref="I1445:I1446"/>
    <mergeCell ref="I1448:I1449"/>
    <mergeCell ref="I1450:I1454"/>
    <mergeCell ref="I1456:I1460"/>
    <mergeCell ref="I1461:I1466"/>
    <mergeCell ref="I1468:I1472"/>
    <mergeCell ref="I1474:I1476"/>
    <mergeCell ref="I1477:I1479"/>
    <mergeCell ref="I1480:I1483"/>
    <mergeCell ref="I1484:I1487"/>
    <mergeCell ref="I1490:I1493"/>
    <mergeCell ref="I1494:I1497"/>
    <mergeCell ref="I1501:I1502"/>
    <mergeCell ref="I1505:I1506"/>
    <mergeCell ref="I1508:I1509"/>
    <mergeCell ref="I1366:I1368"/>
    <mergeCell ref="I1370:I1371"/>
    <mergeCell ref="I1374:I1379"/>
    <mergeCell ref="I1381:I1389"/>
    <mergeCell ref="I1390:I1392"/>
    <mergeCell ref="I1394:I1396"/>
    <mergeCell ref="I1397:I1401"/>
    <mergeCell ref="I1402:I1405"/>
    <mergeCell ref="I1406:I1408"/>
    <mergeCell ref="I1412:I1416"/>
    <mergeCell ref="I1417:I1419"/>
    <mergeCell ref="I1421:I1422"/>
    <mergeCell ref="I1423:I1426"/>
    <mergeCell ref="I1427:I1429"/>
    <mergeCell ref="I1430:I1432"/>
    <mergeCell ref="I1435:I1437"/>
    <mergeCell ref="I1438:I1439"/>
    <mergeCell ref="I1295:I1298"/>
    <mergeCell ref="I1299:I1301"/>
    <mergeCell ref="I1302:I1307"/>
    <mergeCell ref="I1308:I1309"/>
    <mergeCell ref="I1310:I1314"/>
    <mergeCell ref="I1316:I1317"/>
    <mergeCell ref="I1319:I1322"/>
    <mergeCell ref="I1323:I1330"/>
    <mergeCell ref="I1331:I1333"/>
    <mergeCell ref="I1335:I1337"/>
    <mergeCell ref="I1338:I1340"/>
    <mergeCell ref="I1343:I1344"/>
    <mergeCell ref="I1347:I1348"/>
    <mergeCell ref="I1349:I1351"/>
    <mergeCell ref="I1352:I1356"/>
    <mergeCell ref="I1358:I1363"/>
    <mergeCell ref="I1364:I1365"/>
    <mergeCell ref="I1212:I1220"/>
    <mergeCell ref="I1221:I1226"/>
    <mergeCell ref="I1227:I1231"/>
    <mergeCell ref="I1233:I1234"/>
    <mergeCell ref="I1235:I1239"/>
    <mergeCell ref="I1240:I1241"/>
    <mergeCell ref="I1242:I1245"/>
    <mergeCell ref="I1246:I1248"/>
    <mergeCell ref="I1249:I1250"/>
    <mergeCell ref="I1253:I1260"/>
    <mergeCell ref="I1263:I1265"/>
    <mergeCell ref="I1267:I1270"/>
    <mergeCell ref="I1271:I1275"/>
    <mergeCell ref="I1276:I1279"/>
    <mergeCell ref="I1281:I1282"/>
    <mergeCell ref="I1283:I1284"/>
    <mergeCell ref="I1285:I1294"/>
    <mergeCell ref="I1128:I1130"/>
    <mergeCell ref="I1131:I1135"/>
    <mergeCell ref="I1137:I1140"/>
    <mergeCell ref="I1141:I1144"/>
    <mergeCell ref="I1152:I1154"/>
    <mergeCell ref="I1155:I1156"/>
    <mergeCell ref="I1158:I1165"/>
    <mergeCell ref="I1166:I1172"/>
    <mergeCell ref="I1173:I1175"/>
    <mergeCell ref="I1176:I1179"/>
    <mergeCell ref="I1180:I1184"/>
    <mergeCell ref="I1186:I1189"/>
    <mergeCell ref="I1190:I1194"/>
    <mergeCell ref="I1195:I1196"/>
    <mergeCell ref="I1197:I1199"/>
    <mergeCell ref="I1201:I1202"/>
    <mergeCell ref="I1203:I1211"/>
    <mergeCell ref="I1055:I1056"/>
    <mergeCell ref="I1057:I1059"/>
    <mergeCell ref="I1060:I1065"/>
    <mergeCell ref="I1066:I1068"/>
    <mergeCell ref="I1069:I1072"/>
    <mergeCell ref="I1073:I1077"/>
    <mergeCell ref="I1078:I1082"/>
    <mergeCell ref="I1083:I1085"/>
    <mergeCell ref="I1087:I1094"/>
    <mergeCell ref="I1095:I1102"/>
    <mergeCell ref="I1103:I1107"/>
    <mergeCell ref="I1108:I1109"/>
    <mergeCell ref="I1110:I1112"/>
    <mergeCell ref="I1113:I1119"/>
    <mergeCell ref="I1120:I1121"/>
    <mergeCell ref="I1122:I1124"/>
    <mergeCell ref="I1126:I1127"/>
    <mergeCell ref="I968:I969"/>
    <mergeCell ref="I971:I972"/>
    <mergeCell ref="I973:I977"/>
    <mergeCell ref="I978:I981"/>
    <mergeCell ref="I982:I984"/>
    <mergeCell ref="I985:I991"/>
    <mergeCell ref="I992:I996"/>
    <mergeCell ref="I997:I998"/>
    <mergeCell ref="I1000:I1003"/>
    <mergeCell ref="I1005:I1012"/>
    <mergeCell ref="I1013:I1019"/>
    <mergeCell ref="I1020:I1022"/>
    <mergeCell ref="I1023:I1029"/>
    <mergeCell ref="I1030:I1036"/>
    <mergeCell ref="I1037:I1041"/>
    <mergeCell ref="I1042:I1052"/>
    <mergeCell ref="I1053:I1054"/>
    <mergeCell ref="I891:I893"/>
    <mergeCell ref="I894:I898"/>
    <mergeCell ref="I899:I903"/>
    <mergeCell ref="I905:I906"/>
    <mergeCell ref="I907:I912"/>
    <mergeCell ref="I913:I917"/>
    <mergeCell ref="I919:I920"/>
    <mergeCell ref="I922:I932"/>
    <mergeCell ref="I933:I934"/>
    <mergeCell ref="I935:I939"/>
    <mergeCell ref="I940:I947"/>
    <mergeCell ref="I948:I949"/>
    <mergeCell ref="I951:I954"/>
    <mergeCell ref="I955:I956"/>
    <mergeCell ref="I957:I961"/>
    <mergeCell ref="I963:I964"/>
    <mergeCell ref="I965:I967"/>
    <mergeCell ref="I783:I790"/>
    <mergeCell ref="I792:I797"/>
    <mergeCell ref="I798:I799"/>
    <mergeCell ref="I802:I809"/>
    <mergeCell ref="I811:I819"/>
    <mergeCell ref="I821:I826"/>
    <mergeCell ref="I827:I828"/>
    <mergeCell ref="I829:I830"/>
    <mergeCell ref="I831:I836"/>
    <mergeCell ref="I837:I848"/>
    <mergeCell ref="I849:I850"/>
    <mergeCell ref="I854:I855"/>
    <mergeCell ref="I856:I864"/>
    <mergeCell ref="I865:I869"/>
    <mergeCell ref="I871:I873"/>
    <mergeCell ref="I874:I888"/>
    <mergeCell ref="I889:I890"/>
    <mergeCell ref="I696:I698"/>
    <mergeCell ref="I699:I708"/>
    <mergeCell ref="I709:I720"/>
    <mergeCell ref="I721:I725"/>
    <mergeCell ref="I727:I730"/>
    <mergeCell ref="I731:I733"/>
    <mergeCell ref="I734:I736"/>
    <mergeCell ref="I737:I742"/>
    <mergeCell ref="I743:I744"/>
    <mergeCell ref="I745:I747"/>
    <mergeCell ref="I748:I754"/>
    <mergeCell ref="I755:I757"/>
    <mergeCell ref="I758:I760"/>
    <mergeCell ref="I761:I768"/>
    <mergeCell ref="I769:I772"/>
    <mergeCell ref="I773:I775"/>
    <mergeCell ref="I776:I781"/>
    <mergeCell ref="I586:I589"/>
    <mergeCell ref="I590:I599"/>
    <mergeCell ref="I600:I611"/>
    <mergeCell ref="I612:I616"/>
    <mergeCell ref="I617:I636"/>
    <mergeCell ref="I637:I642"/>
    <mergeCell ref="I645:I654"/>
    <mergeCell ref="I655:I657"/>
    <mergeCell ref="I659:I664"/>
    <mergeCell ref="I665:I666"/>
    <mergeCell ref="I667:I669"/>
    <mergeCell ref="I670:I677"/>
    <mergeCell ref="I678:I681"/>
    <mergeCell ref="I682:I686"/>
    <mergeCell ref="I687:I688"/>
    <mergeCell ref="I689:I690"/>
    <mergeCell ref="I691:I695"/>
    <mergeCell ref="I498:I501"/>
    <mergeCell ref="I502:I508"/>
    <mergeCell ref="I509:I512"/>
    <mergeCell ref="I514:I518"/>
    <mergeCell ref="I519:I523"/>
    <mergeCell ref="I524:I525"/>
    <mergeCell ref="I526:I530"/>
    <mergeCell ref="I531:I532"/>
    <mergeCell ref="I533:I544"/>
    <mergeCell ref="I546:I551"/>
    <mergeCell ref="I552:I554"/>
    <mergeCell ref="I555:I559"/>
    <mergeCell ref="I560:I562"/>
    <mergeCell ref="I563:I567"/>
    <mergeCell ref="I568:I569"/>
    <mergeCell ref="I570:I572"/>
    <mergeCell ref="I573:I585"/>
    <mergeCell ref="I394:I402"/>
    <mergeCell ref="I403:I417"/>
    <mergeCell ref="I418:I421"/>
    <mergeCell ref="I423:I430"/>
    <mergeCell ref="I431:I440"/>
    <mergeCell ref="I441:I451"/>
    <mergeCell ref="I453:I454"/>
    <mergeCell ref="I455:I456"/>
    <mergeCell ref="I457:I458"/>
    <mergeCell ref="I459:I460"/>
    <mergeCell ref="I461:I471"/>
    <mergeCell ref="I472:I477"/>
    <mergeCell ref="I478:I479"/>
    <mergeCell ref="I480:I481"/>
    <mergeCell ref="I484:I486"/>
    <mergeCell ref="I487:I493"/>
    <mergeCell ref="I494:I496"/>
    <mergeCell ref="I299:I306"/>
    <mergeCell ref="I307:I312"/>
    <mergeCell ref="I313:I321"/>
    <mergeCell ref="I322:I325"/>
    <mergeCell ref="I326:I330"/>
    <mergeCell ref="I331:I336"/>
    <mergeCell ref="I338:I343"/>
    <mergeCell ref="I344:I347"/>
    <mergeCell ref="I348:I351"/>
    <mergeCell ref="I352:I358"/>
    <mergeCell ref="I359:I360"/>
    <mergeCell ref="I361:I364"/>
    <mergeCell ref="I365:I369"/>
    <mergeCell ref="I370:I373"/>
    <mergeCell ref="I375:I382"/>
    <mergeCell ref="I387:I389"/>
    <mergeCell ref="I391:I392"/>
    <mergeCell ref="I202:I209"/>
    <mergeCell ref="I210:I211"/>
    <mergeCell ref="I212:I219"/>
    <mergeCell ref="I221:I231"/>
    <mergeCell ref="I232:I234"/>
    <mergeCell ref="I236:I246"/>
    <mergeCell ref="I247:I252"/>
    <mergeCell ref="I253:I256"/>
    <mergeCell ref="I257:I259"/>
    <mergeCell ref="I260:I262"/>
    <mergeCell ref="I263:I270"/>
    <mergeCell ref="I271:I272"/>
    <mergeCell ref="I273:I276"/>
    <mergeCell ref="I277:I280"/>
    <mergeCell ref="I281:I285"/>
    <mergeCell ref="I287:I290"/>
    <mergeCell ref="I291:I298"/>
    <mergeCell ref="I105:I107"/>
    <mergeCell ref="I108:I111"/>
    <mergeCell ref="I112:I121"/>
    <mergeCell ref="I122:I125"/>
    <mergeCell ref="I126:I134"/>
    <mergeCell ref="I135:I138"/>
    <mergeCell ref="I139:I144"/>
    <mergeCell ref="I145:I147"/>
    <mergeCell ref="I148:I154"/>
    <mergeCell ref="I155:I160"/>
    <mergeCell ref="I161:I164"/>
    <mergeCell ref="I165:I175"/>
    <mergeCell ref="I176:I179"/>
    <mergeCell ref="I180:I186"/>
    <mergeCell ref="I187:I191"/>
    <mergeCell ref="I192:I198"/>
    <mergeCell ref="I199:I201"/>
    <mergeCell ref="H1461:H1466"/>
    <mergeCell ref="H1468:H1472"/>
    <mergeCell ref="H1474:H1476"/>
    <mergeCell ref="H1477:H1479"/>
    <mergeCell ref="H1480:H1483"/>
    <mergeCell ref="H1484:H1487"/>
    <mergeCell ref="H1490:H1493"/>
    <mergeCell ref="H1494:H1497"/>
    <mergeCell ref="H1501:H1502"/>
    <mergeCell ref="H1505:H1506"/>
    <mergeCell ref="H1508:H1509"/>
    <mergeCell ref="H1510:H1513"/>
    <mergeCell ref="H1514:H1515"/>
    <mergeCell ref="H1516:H1518"/>
    <mergeCell ref="I2:I5"/>
    <mergeCell ref="I6:I27"/>
    <mergeCell ref="I28:I30"/>
    <mergeCell ref="I31:I37"/>
    <mergeCell ref="I38:I39"/>
    <mergeCell ref="I40:I45"/>
    <mergeCell ref="I46:I50"/>
    <mergeCell ref="I51:I54"/>
    <mergeCell ref="I55:I60"/>
    <mergeCell ref="I61:I64"/>
    <mergeCell ref="I65:I67"/>
    <mergeCell ref="I68:I70"/>
    <mergeCell ref="I71:I78"/>
    <mergeCell ref="I79:I85"/>
    <mergeCell ref="I86:I89"/>
    <mergeCell ref="I90:I95"/>
    <mergeCell ref="I96:I98"/>
    <mergeCell ref="I99:I104"/>
    <mergeCell ref="H1397:H1401"/>
    <mergeCell ref="H1402:H1405"/>
    <mergeCell ref="H1406:H1408"/>
    <mergeCell ref="H1412:H1416"/>
    <mergeCell ref="H1417:H1419"/>
    <mergeCell ref="H1421:H1422"/>
    <mergeCell ref="H1423:H1426"/>
    <mergeCell ref="H1427:H1429"/>
    <mergeCell ref="H1430:H1432"/>
    <mergeCell ref="H1435:H1437"/>
    <mergeCell ref="H1438:H1439"/>
    <mergeCell ref="H1440:H1442"/>
    <mergeCell ref="H1443:H1444"/>
    <mergeCell ref="H1445:H1446"/>
    <mergeCell ref="H1448:H1449"/>
    <mergeCell ref="H1450:H1454"/>
    <mergeCell ref="H1456:H1460"/>
    <mergeCell ref="H1319:H1322"/>
    <mergeCell ref="H1323:H1330"/>
    <mergeCell ref="H1331:H1333"/>
    <mergeCell ref="H1335:H1337"/>
    <mergeCell ref="H1338:H1340"/>
    <mergeCell ref="H1343:H1344"/>
    <mergeCell ref="H1347:H1348"/>
    <mergeCell ref="H1349:H1351"/>
    <mergeCell ref="H1352:H1356"/>
    <mergeCell ref="H1358:H1363"/>
    <mergeCell ref="H1364:H1365"/>
    <mergeCell ref="H1366:H1368"/>
    <mergeCell ref="H1370:H1371"/>
    <mergeCell ref="H1374:H1379"/>
    <mergeCell ref="H1381:H1389"/>
    <mergeCell ref="H1390:H1392"/>
    <mergeCell ref="H1394:H1396"/>
    <mergeCell ref="H1242:H1245"/>
    <mergeCell ref="H1246:H1248"/>
    <mergeCell ref="H1249:H1250"/>
    <mergeCell ref="H1253:H1260"/>
    <mergeCell ref="H1263:H1265"/>
    <mergeCell ref="H1267:H1270"/>
    <mergeCell ref="H1271:H1275"/>
    <mergeCell ref="H1276:H1279"/>
    <mergeCell ref="H1281:H1282"/>
    <mergeCell ref="H1283:H1284"/>
    <mergeCell ref="H1285:H1294"/>
    <mergeCell ref="H1295:H1298"/>
    <mergeCell ref="H1299:H1301"/>
    <mergeCell ref="H1302:H1307"/>
    <mergeCell ref="H1308:H1309"/>
    <mergeCell ref="H1310:H1314"/>
    <mergeCell ref="H1316:H1317"/>
    <mergeCell ref="H1158:H1165"/>
    <mergeCell ref="H1166:H1172"/>
    <mergeCell ref="H1173:H1175"/>
    <mergeCell ref="H1176:H1179"/>
    <mergeCell ref="H1180:H1184"/>
    <mergeCell ref="H1186:H1189"/>
    <mergeCell ref="H1190:H1194"/>
    <mergeCell ref="H1195:H1196"/>
    <mergeCell ref="H1197:H1199"/>
    <mergeCell ref="H1201:H1202"/>
    <mergeCell ref="H1203:H1211"/>
    <mergeCell ref="H1212:H1220"/>
    <mergeCell ref="H1221:H1226"/>
    <mergeCell ref="H1227:H1231"/>
    <mergeCell ref="H1233:H1234"/>
    <mergeCell ref="H1235:H1239"/>
    <mergeCell ref="H1240:H1241"/>
    <mergeCell ref="H1078:H1082"/>
    <mergeCell ref="H1083:H1085"/>
    <mergeCell ref="H1087:H1094"/>
    <mergeCell ref="H1095:H1102"/>
    <mergeCell ref="H1103:H1107"/>
    <mergeCell ref="H1108:H1109"/>
    <mergeCell ref="H1110:H1112"/>
    <mergeCell ref="H1113:H1119"/>
    <mergeCell ref="H1120:H1121"/>
    <mergeCell ref="H1122:H1124"/>
    <mergeCell ref="H1126:H1127"/>
    <mergeCell ref="H1128:H1130"/>
    <mergeCell ref="H1131:H1135"/>
    <mergeCell ref="H1137:H1140"/>
    <mergeCell ref="H1141:H1144"/>
    <mergeCell ref="H1152:H1154"/>
    <mergeCell ref="H1155:H1156"/>
    <mergeCell ref="H992:H996"/>
    <mergeCell ref="H997:H998"/>
    <mergeCell ref="H1000:H1003"/>
    <mergeCell ref="H1005:H1012"/>
    <mergeCell ref="H1013:H1019"/>
    <mergeCell ref="H1020:H1022"/>
    <mergeCell ref="H1023:H1029"/>
    <mergeCell ref="H1030:H1036"/>
    <mergeCell ref="H1037:H1041"/>
    <mergeCell ref="H1042:H1052"/>
    <mergeCell ref="H1053:H1054"/>
    <mergeCell ref="H1055:H1056"/>
    <mergeCell ref="H1057:H1059"/>
    <mergeCell ref="H1060:H1065"/>
    <mergeCell ref="H1066:H1068"/>
    <mergeCell ref="H1069:H1072"/>
    <mergeCell ref="H1073:H1077"/>
    <mergeCell ref="H919:H920"/>
    <mergeCell ref="H922:H932"/>
    <mergeCell ref="H933:H934"/>
    <mergeCell ref="H935:H939"/>
    <mergeCell ref="H940:H947"/>
    <mergeCell ref="H948:H949"/>
    <mergeCell ref="H951:H954"/>
    <mergeCell ref="H955:H956"/>
    <mergeCell ref="H957:H961"/>
    <mergeCell ref="H963:H964"/>
    <mergeCell ref="H965:H967"/>
    <mergeCell ref="H968:H969"/>
    <mergeCell ref="H971:H972"/>
    <mergeCell ref="H973:H977"/>
    <mergeCell ref="H978:H981"/>
    <mergeCell ref="H982:H984"/>
    <mergeCell ref="H985:H991"/>
    <mergeCell ref="H827:H828"/>
    <mergeCell ref="H829:H830"/>
    <mergeCell ref="H831:H836"/>
    <mergeCell ref="H837:H848"/>
    <mergeCell ref="H849:H850"/>
    <mergeCell ref="H854:H855"/>
    <mergeCell ref="H856:H864"/>
    <mergeCell ref="H865:H869"/>
    <mergeCell ref="H871:H873"/>
    <mergeCell ref="H874:H888"/>
    <mergeCell ref="H889:H890"/>
    <mergeCell ref="H891:H893"/>
    <mergeCell ref="H894:H898"/>
    <mergeCell ref="H899:H903"/>
    <mergeCell ref="H905:H906"/>
    <mergeCell ref="H907:H912"/>
    <mergeCell ref="H913:H917"/>
    <mergeCell ref="H734:H736"/>
    <mergeCell ref="H737:H742"/>
    <mergeCell ref="H743:H744"/>
    <mergeCell ref="H745:H747"/>
    <mergeCell ref="H748:H754"/>
    <mergeCell ref="H755:H757"/>
    <mergeCell ref="H758:H760"/>
    <mergeCell ref="H761:H768"/>
    <mergeCell ref="H769:H772"/>
    <mergeCell ref="H773:H775"/>
    <mergeCell ref="H776:H781"/>
    <mergeCell ref="H783:H790"/>
    <mergeCell ref="H792:H797"/>
    <mergeCell ref="H798:H799"/>
    <mergeCell ref="H802:H809"/>
    <mergeCell ref="H811:H819"/>
    <mergeCell ref="H821:H826"/>
    <mergeCell ref="H645:H654"/>
    <mergeCell ref="H655:H657"/>
    <mergeCell ref="H659:H664"/>
    <mergeCell ref="H665:H666"/>
    <mergeCell ref="H667:H669"/>
    <mergeCell ref="H670:H677"/>
    <mergeCell ref="H678:H681"/>
    <mergeCell ref="H682:H686"/>
    <mergeCell ref="H687:H688"/>
    <mergeCell ref="H689:H690"/>
    <mergeCell ref="H691:H695"/>
    <mergeCell ref="H696:H698"/>
    <mergeCell ref="H699:H708"/>
    <mergeCell ref="H709:H720"/>
    <mergeCell ref="H721:H725"/>
    <mergeCell ref="H727:H730"/>
    <mergeCell ref="H731:H733"/>
    <mergeCell ref="H526:H530"/>
    <mergeCell ref="H531:H532"/>
    <mergeCell ref="H533:H544"/>
    <mergeCell ref="H546:H551"/>
    <mergeCell ref="H552:H554"/>
    <mergeCell ref="H555:H559"/>
    <mergeCell ref="H560:H562"/>
    <mergeCell ref="H563:H567"/>
    <mergeCell ref="H568:H569"/>
    <mergeCell ref="H570:H572"/>
    <mergeCell ref="H573:H585"/>
    <mergeCell ref="H586:H589"/>
    <mergeCell ref="H590:H599"/>
    <mergeCell ref="H600:H611"/>
    <mergeCell ref="H612:H616"/>
    <mergeCell ref="H617:H636"/>
    <mergeCell ref="H637:H642"/>
    <mergeCell ref="H453:H454"/>
    <mergeCell ref="H455:H456"/>
    <mergeCell ref="H457:H458"/>
    <mergeCell ref="H459:H460"/>
    <mergeCell ref="H461:H471"/>
    <mergeCell ref="H472:H477"/>
    <mergeCell ref="H478:H479"/>
    <mergeCell ref="H480:H481"/>
    <mergeCell ref="H484:H486"/>
    <mergeCell ref="H487:H493"/>
    <mergeCell ref="H494:H496"/>
    <mergeCell ref="H498:H501"/>
    <mergeCell ref="H502:H508"/>
    <mergeCell ref="H509:H512"/>
    <mergeCell ref="H514:H518"/>
    <mergeCell ref="H519:H523"/>
    <mergeCell ref="H524:H525"/>
    <mergeCell ref="H338:H343"/>
    <mergeCell ref="H344:H347"/>
    <mergeCell ref="H348:H351"/>
    <mergeCell ref="H352:H358"/>
    <mergeCell ref="H359:H360"/>
    <mergeCell ref="H361:H364"/>
    <mergeCell ref="H365:H369"/>
    <mergeCell ref="H370:H373"/>
    <mergeCell ref="H375:H382"/>
    <mergeCell ref="H387:H389"/>
    <mergeCell ref="H391:H392"/>
    <mergeCell ref="H394:H402"/>
    <mergeCell ref="H403:H417"/>
    <mergeCell ref="H418:H421"/>
    <mergeCell ref="H423:H430"/>
    <mergeCell ref="H431:H440"/>
    <mergeCell ref="H441:H451"/>
    <mergeCell ref="H247:H252"/>
    <mergeCell ref="H253:H256"/>
    <mergeCell ref="H257:H259"/>
    <mergeCell ref="H260:H262"/>
    <mergeCell ref="H263:H270"/>
    <mergeCell ref="H271:H272"/>
    <mergeCell ref="H273:H276"/>
    <mergeCell ref="H277:H280"/>
    <mergeCell ref="H281:H285"/>
    <mergeCell ref="H287:H290"/>
    <mergeCell ref="H291:H298"/>
    <mergeCell ref="H299:H306"/>
    <mergeCell ref="H307:H312"/>
    <mergeCell ref="H313:H321"/>
    <mergeCell ref="H322:H325"/>
    <mergeCell ref="H326:H330"/>
    <mergeCell ref="H331:H336"/>
    <mergeCell ref="H139:H144"/>
    <mergeCell ref="H145:H147"/>
    <mergeCell ref="H148:H154"/>
    <mergeCell ref="H155:H160"/>
    <mergeCell ref="H161:H164"/>
    <mergeCell ref="H165:H175"/>
    <mergeCell ref="H176:H179"/>
    <mergeCell ref="H180:H186"/>
    <mergeCell ref="H187:H191"/>
    <mergeCell ref="H192:H198"/>
    <mergeCell ref="H199:H201"/>
    <mergeCell ref="H202:H209"/>
    <mergeCell ref="H210:H211"/>
    <mergeCell ref="H212:H219"/>
    <mergeCell ref="H221:H231"/>
    <mergeCell ref="H232:H234"/>
    <mergeCell ref="H236:H246"/>
    <mergeCell ref="G1490:G1493"/>
    <mergeCell ref="G1494:G1497"/>
    <mergeCell ref="G1501:G1502"/>
    <mergeCell ref="G1505:G1506"/>
    <mergeCell ref="G1508:G1509"/>
    <mergeCell ref="G1510:G1513"/>
    <mergeCell ref="G1514:G1515"/>
    <mergeCell ref="G1516:G1518"/>
    <mergeCell ref="H2:H5"/>
    <mergeCell ref="H6:H27"/>
    <mergeCell ref="H28:H30"/>
    <mergeCell ref="H31:H37"/>
    <mergeCell ref="H38:H39"/>
    <mergeCell ref="H40:H45"/>
    <mergeCell ref="H46:H50"/>
    <mergeCell ref="H51:H54"/>
    <mergeCell ref="H55:H60"/>
    <mergeCell ref="H61:H64"/>
    <mergeCell ref="H65:H67"/>
    <mergeCell ref="H68:H70"/>
    <mergeCell ref="H71:H78"/>
    <mergeCell ref="H79:H85"/>
    <mergeCell ref="H86:H89"/>
    <mergeCell ref="H90:H95"/>
    <mergeCell ref="H96:H98"/>
    <mergeCell ref="H99:H104"/>
    <mergeCell ref="H105:H107"/>
    <mergeCell ref="H108:H111"/>
    <mergeCell ref="H112:H121"/>
    <mergeCell ref="H122:H125"/>
    <mergeCell ref="H126:H134"/>
    <mergeCell ref="H135:H138"/>
    <mergeCell ref="G1423:G1426"/>
    <mergeCell ref="G1427:G1429"/>
    <mergeCell ref="G1430:G1432"/>
    <mergeCell ref="G1435:G1437"/>
    <mergeCell ref="G1438:G1439"/>
    <mergeCell ref="G1440:G1442"/>
    <mergeCell ref="G1443:G1444"/>
    <mergeCell ref="G1445:G1446"/>
    <mergeCell ref="G1448:G1449"/>
    <mergeCell ref="G1450:G1454"/>
    <mergeCell ref="G1456:G1460"/>
    <mergeCell ref="G1461:G1466"/>
    <mergeCell ref="G1468:G1472"/>
    <mergeCell ref="G1474:G1476"/>
    <mergeCell ref="G1477:G1479"/>
    <mergeCell ref="G1480:G1483"/>
    <mergeCell ref="G1484:G1487"/>
    <mergeCell ref="G1347:G1348"/>
    <mergeCell ref="G1349:G1351"/>
    <mergeCell ref="G1352:G1356"/>
    <mergeCell ref="G1358:G1363"/>
    <mergeCell ref="G1364:G1365"/>
    <mergeCell ref="G1366:G1368"/>
    <mergeCell ref="G1370:G1371"/>
    <mergeCell ref="G1374:G1379"/>
    <mergeCell ref="G1381:G1389"/>
    <mergeCell ref="G1390:G1392"/>
    <mergeCell ref="G1394:G1396"/>
    <mergeCell ref="G1397:G1401"/>
    <mergeCell ref="G1402:G1405"/>
    <mergeCell ref="G1406:G1408"/>
    <mergeCell ref="G1412:G1416"/>
    <mergeCell ref="G1417:G1419"/>
    <mergeCell ref="G1421:G1422"/>
    <mergeCell ref="G1271:G1275"/>
    <mergeCell ref="G1276:G1279"/>
    <mergeCell ref="G1281:G1282"/>
    <mergeCell ref="G1283:G1284"/>
    <mergeCell ref="G1285:G1294"/>
    <mergeCell ref="G1295:G1298"/>
    <mergeCell ref="G1299:G1301"/>
    <mergeCell ref="G1302:G1307"/>
    <mergeCell ref="G1308:G1309"/>
    <mergeCell ref="G1310:G1314"/>
    <mergeCell ref="G1316:G1317"/>
    <mergeCell ref="G1319:G1322"/>
    <mergeCell ref="G1323:G1330"/>
    <mergeCell ref="G1331:G1333"/>
    <mergeCell ref="G1335:G1337"/>
    <mergeCell ref="G1338:G1340"/>
    <mergeCell ref="G1343:G1344"/>
    <mergeCell ref="G1190:G1194"/>
    <mergeCell ref="G1195:G1196"/>
    <mergeCell ref="G1197:G1199"/>
    <mergeCell ref="G1201:G1202"/>
    <mergeCell ref="G1203:G1211"/>
    <mergeCell ref="G1212:G1220"/>
    <mergeCell ref="G1221:G1226"/>
    <mergeCell ref="G1227:G1231"/>
    <mergeCell ref="G1233:G1234"/>
    <mergeCell ref="G1235:G1239"/>
    <mergeCell ref="G1240:G1241"/>
    <mergeCell ref="G1242:G1245"/>
    <mergeCell ref="G1246:G1248"/>
    <mergeCell ref="G1249:G1250"/>
    <mergeCell ref="G1253:G1260"/>
    <mergeCell ref="G1263:G1265"/>
    <mergeCell ref="G1267:G1270"/>
    <mergeCell ref="G1110:G1112"/>
    <mergeCell ref="G1113:G1119"/>
    <mergeCell ref="G1120:G1121"/>
    <mergeCell ref="G1122:G1124"/>
    <mergeCell ref="G1126:G1127"/>
    <mergeCell ref="G1128:G1130"/>
    <mergeCell ref="G1131:G1135"/>
    <mergeCell ref="G1137:G1140"/>
    <mergeCell ref="G1141:G1144"/>
    <mergeCell ref="G1152:G1154"/>
    <mergeCell ref="G1155:G1156"/>
    <mergeCell ref="G1158:G1165"/>
    <mergeCell ref="G1166:G1172"/>
    <mergeCell ref="G1173:G1175"/>
    <mergeCell ref="G1176:G1179"/>
    <mergeCell ref="G1180:G1184"/>
    <mergeCell ref="G1186:G1189"/>
    <mergeCell ref="G1023:G1029"/>
    <mergeCell ref="G1030:G1036"/>
    <mergeCell ref="G1037:G1041"/>
    <mergeCell ref="G1042:G1052"/>
    <mergeCell ref="G1053:G1054"/>
    <mergeCell ref="G1055:G1056"/>
    <mergeCell ref="G1057:G1059"/>
    <mergeCell ref="G1060:G1065"/>
    <mergeCell ref="G1066:G1068"/>
    <mergeCell ref="G1069:G1072"/>
    <mergeCell ref="G1073:G1077"/>
    <mergeCell ref="G1078:G1082"/>
    <mergeCell ref="G1083:G1085"/>
    <mergeCell ref="G1087:G1094"/>
    <mergeCell ref="G1095:G1102"/>
    <mergeCell ref="G1103:G1107"/>
    <mergeCell ref="G1108:G1109"/>
    <mergeCell ref="G951:G954"/>
    <mergeCell ref="G955:G956"/>
    <mergeCell ref="G957:G961"/>
    <mergeCell ref="G963:G964"/>
    <mergeCell ref="G965:G967"/>
    <mergeCell ref="G968:G969"/>
    <mergeCell ref="G971:G972"/>
    <mergeCell ref="G973:G977"/>
    <mergeCell ref="G978:G981"/>
    <mergeCell ref="G982:G984"/>
    <mergeCell ref="G985:G991"/>
    <mergeCell ref="G992:G996"/>
    <mergeCell ref="G997:G998"/>
    <mergeCell ref="G1000:G1003"/>
    <mergeCell ref="G1005:G1012"/>
    <mergeCell ref="G1013:G1019"/>
    <mergeCell ref="G1020:G1022"/>
    <mergeCell ref="G856:G864"/>
    <mergeCell ref="G865:G869"/>
    <mergeCell ref="G871:G873"/>
    <mergeCell ref="G874:G888"/>
    <mergeCell ref="G889:G890"/>
    <mergeCell ref="G891:G893"/>
    <mergeCell ref="G894:G898"/>
    <mergeCell ref="G899:G903"/>
    <mergeCell ref="G905:G906"/>
    <mergeCell ref="G907:G912"/>
    <mergeCell ref="G913:G917"/>
    <mergeCell ref="G919:G920"/>
    <mergeCell ref="G922:G932"/>
    <mergeCell ref="G933:G934"/>
    <mergeCell ref="G935:G939"/>
    <mergeCell ref="G940:G947"/>
    <mergeCell ref="G948:G949"/>
    <mergeCell ref="G758:G760"/>
    <mergeCell ref="G761:G768"/>
    <mergeCell ref="G769:G772"/>
    <mergeCell ref="G773:G775"/>
    <mergeCell ref="G776:G781"/>
    <mergeCell ref="G783:G790"/>
    <mergeCell ref="G792:G797"/>
    <mergeCell ref="G798:G799"/>
    <mergeCell ref="G802:G809"/>
    <mergeCell ref="G811:G819"/>
    <mergeCell ref="G821:G826"/>
    <mergeCell ref="G827:G828"/>
    <mergeCell ref="G829:G830"/>
    <mergeCell ref="G831:G836"/>
    <mergeCell ref="G837:G848"/>
    <mergeCell ref="G849:G850"/>
    <mergeCell ref="G854:G855"/>
    <mergeCell ref="G678:G681"/>
    <mergeCell ref="G682:G686"/>
    <mergeCell ref="G687:G688"/>
    <mergeCell ref="G689:G690"/>
    <mergeCell ref="G691:G695"/>
    <mergeCell ref="G696:G698"/>
    <mergeCell ref="G699:G708"/>
    <mergeCell ref="G709:G720"/>
    <mergeCell ref="G721:G725"/>
    <mergeCell ref="G727:G730"/>
    <mergeCell ref="G731:G733"/>
    <mergeCell ref="G734:G736"/>
    <mergeCell ref="G737:G742"/>
    <mergeCell ref="G743:G744"/>
    <mergeCell ref="G745:G747"/>
    <mergeCell ref="G748:G754"/>
    <mergeCell ref="G755:G757"/>
    <mergeCell ref="G560:G562"/>
    <mergeCell ref="G563:G567"/>
    <mergeCell ref="G568:G569"/>
    <mergeCell ref="G570:G572"/>
    <mergeCell ref="G573:G585"/>
    <mergeCell ref="G586:G589"/>
    <mergeCell ref="G590:G599"/>
    <mergeCell ref="G600:G611"/>
    <mergeCell ref="G612:G616"/>
    <mergeCell ref="G617:G636"/>
    <mergeCell ref="G637:G642"/>
    <mergeCell ref="G645:G654"/>
    <mergeCell ref="G655:G657"/>
    <mergeCell ref="G659:G664"/>
    <mergeCell ref="G665:G666"/>
    <mergeCell ref="G667:G669"/>
    <mergeCell ref="G670:G677"/>
    <mergeCell ref="G478:G479"/>
    <mergeCell ref="G480:G481"/>
    <mergeCell ref="G484:G486"/>
    <mergeCell ref="G487:G493"/>
    <mergeCell ref="G494:G496"/>
    <mergeCell ref="G498:G501"/>
    <mergeCell ref="G502:G508"/>
    <mergeCell ref="G509:G512"/>
    <mergeCell ref="G514:G518"/>
    <mergeCell ref="G519:G523"/>
    <mergeCell ref="G524:G525"/>
    <mergeCell ref="G526:G530"/>
    <mergeCell ref="G531:G532"/>
    <mergeCell ref="G533:G544"/>
    <mergeCell ref="G546:G551"/>
    <mergeCell ref="G552:G554"/>
    <mergeCell ref="G555:G559"/>
    <mergeCell ref="G365:G369"/>
    <mergeCell ref="G370:G373"/>
    <mergeCell ref="G375:G382"/>
    <mergeCell ref="G387:G389"/>
    <mergeCell ref="G391:G392"/>
    <mergeCell ref="G394:G402"/>
    <mergeCell ref="G403:G417"/>
    <mergeCell ref="G418:G421"/>
    <mergeCell ref="G423:G430"/>
    <mergeCell ref="G431:G440"/>
    <mergeCell ref="G441:G451"/>
    <mergeCell ref="G453:G454"/>
    <mergeCell ref="G455:G456"/>
    <mergeCell ref="G457:G458"/>
    <mergeCell ref="G459:G460"/>
    <mergeCell ref="G461:G471"/>
    <mergeCell ref="G472:G477"/>
    <mergeCell ref="G273:G276"/>
    <mergeCell ref="G277:G280"/>
    <mergeCell ref="G281:G285"/>
    <mergeCell ref="G287:G290"/>
    <mergeCell ref="G291:G298"/>
    <mergeCell ref="G299:G306"/>
    <mergeCell ref="G307:G312"/>
    <mergeCell ref="G313:G321"/>
    <mergeCell ref="G322:G325"/>
    <mergeCell ref="G326:G330"/>
    <mergeCell ref="G331:G336"/>
    <mergeCell ref="G338:G343"/>
    <mergeCell ref="G344:G347"/>
    <mergeCell ref="G348:G351"/>
    <mergeCell ref="G352:G358"/>
    <mergeCell ref="G359:G360"/>
    <mergeCell ref="G361:G364"/>
    <mergeCell ref="G176:G179"/>
    <mergeCell ref="G180:G186"/>
    <mergeCell ref="G187:G191"/>
    <mergeCell ref="G192:G198"/>
    <mergeCell ref="G199:G201"/>
    <mergeCell ref="G202:G209"/>
    <mergeCell ref="G210:G211"/>
    <mergeCell ref="G212:G219"/>
    <mergeCell ref="G221:G231"/>
    <mergeCell ref="G232:G234"/>
    <mergeCell ref="G236:G246"/>
    <mergeCell ref="G247:G252"/>
    <mergeCell ref="G253:G256"/>
    <mergeCell ref="G257:G259"/>
    <mergeCell ref="G260:G262"/>
    <mergeCell ref="G263:G270"/>
    <mergeCell ref="G271:G272"/>
    <mergeCell ref="F1514:F1515"/>
    <mergeCell ref="F1516:F1518"/>
    <mergeCell ref="G2:G5"/>
    <mergeCell ref="G6:G27"/>
    <mergeCell ref="G28:G30"/>
    <mergeCell ref="G31:G37"/>
    <mergeCell ref="G38:G39"/>
    <mergeCell ref="G40:G45"/>
    <mergeCell ref="G46:G50"/>
    <mergeCell ref="G51:G54"/>
    <mergeCell ref="G55:G60"/>
    <mergeCell ref="G61:G64"/>
    <mergeCell ref="G65:G67"/>
    <mergeCell ref="G68:G70"/>
    <mergeCell ref="G71:G78"/>
    <mergeCell ref="G79:G85"/>
    <mergeCell ref="G86:G89"/>
    <mergeCell ref="G90:G95"/>
    <mergeCell ref="G96:G98"/>
    <mergeCell ref="G99:G104"/>
    <mergeCell ref="G105:G107"/>
    <mergeCell ref="G108:G111"/>
    <mergeCell ref="G112:G121"/>
    <mergeCell ref="G122:G125"/>
    <mergeCell ref="G126:G134"/>
    <mergeCell ref="G135:G138"/>
    <mergeCell ref="G139:G144"/>
    <mergeCell ref="G145:G147"/>
    <mergeCell ref="G148:G154"/>
    <mergeCell ref="G155:G160"/>
    <mergeCell ref="G161:G164"/>
    <mergeCell ref="G165:G175"/>
    <mergeCell ref="F1443:F1444"/>
    <mergeCell ref="F1445:F1446"/>
    <mergeCell ref="F1448:F1449"/>
    <mergeCell ref="F1450:F1454"/>
    <mergeCell ref="F1456:F1460"/>
    <mergeCell ref="F1461:F1466"/>
    <mergeCell ref="F1468:F1472"/>
    <mergeCell ref="F1474:F1476"/>
    <mergeCell ref="F1477:F1479"/>
    <mergeCell ref="F1480:F1483"/>
    <mergeCell ref="F1484:F1487"/>
    <mergeCell ref="F1490:F1493"/>
    <mergeCell ref="F1494:F1497"/>
    <mergeCell ref="F1501:F1502"/>
    <mergeCell ref="F1505:F1506"/>
    <mergeCell ref="F1508:F1509"/>
    <mergeCell ref="F1510:F1513"/>
    <mergeCell ref="F1370:F1371"/>
    <mergeCell ref="F1374:F1379"/>
    <mergeCell ref="F1381:F1389"/>
    <mergeCell ref="F1390:F1392"/>
    <mergeCell ref="F1394:F1396"/>
    <mergeCell ref="F1397:F1401"/>
    <mergeCell ref="F1402:F1405"/>
    <mergeCell ref="F1406:F1408"/>
    <mergeCell ref="F1412:F1416"/>
    <mergeCell ref="F1417:F1419"/>
    <mergeCell ref="F1421:F1422"/>
    <mergeCell ref="F1423:F1426"/>
    <mergeCell ref="F1427:F1429"/>
    <mergeCell ref="F1430:F1432"/>
    <mergeCell ref="F1435:F1437"/>
    <mergeCell ref="F1438:F1439"/>
    <mergeCell ref="F1440:F1442"/>
    <mergeCell ref="F1299:F1301"/>
    <mergeCell ref="F1302:F1307"/>
    <mergeCell ref="F1308:F1309"/>
    <mergeCell ref="F1310:F1314"/>
    <mergeCell ref="F1316:F1317"/>
    <mergeCell ref="F1319:F1322"/>
    <mergeCell ref="F1323:F1330"/>
    <mergeCell ref="F1331:F1333"/>
    <mergeCell ref="F1335:F1337"/>
    <mergeCell ref="F1338:F1340"/>
    <mergeCell ref="F1343:F1344"/>
    <mergeCell ref="F1347:F1348"/>
    <mergeCell ref="F1349:F1351"/>
    <mergeCell ref="F1352:F1356"/>
    <mergeCell ref="F1358:F1363"/>
    <mergeCell ref="F1364:F1365"/>
    <mergeCell ref="F1366:F1368"/>
    <mergeCell ref="F1221:F1226"/>
    <mergeCell ref="F1227:F1231"/>
    <mergeCell ref="F1233:F1234"/>
    <mergeCell ref="F1235:F1239"/>
    <mergeCell ref="F1240:F1241"/>
    <mergeCell ref="F1242:F1245"/>
    <mergeCell ref="F1246:F1248"/>
    <mergeCell ref="F1249:F1250"/>
    <mergeCell ref="F1253:F1260"/>
    <mergeCell ref="F1263:F1265"/>
    <mergeCell ref="F1267:F1270"/>
    <mergeCell ref="F1271:F1275"/>
    <mergeCell ref="F1276:F1279"/>
    <mergeCell ref="F1281:F1282"/>
    <mergeCell ref="F1283:F1284"/>
    <mergeCell ref="F1285:F1294"/>
    <mergeCell ref="F1295:F1298"/>
    <mergeCell ref="F1131:F1135"/>
    <mergeCell ref="F1137:F1140"/>
    <mergeCell ref="F1141:F1144"/>
    <mergeCell ref="F1152:F1154"/>
    <mergeCell ref="F1155:F1156"/>
    <mergeCell ref="F1158:F1165"/>
    <mergeCell ref="F1166:F1172"/>
    <mergeCell ref="F1173:F1175"/>
    <mergeCell ref="F1176:F1179"/>
    <mergeCell ref="F1180:F1184"/>
    <mergeCell ref="F1186:F1189"/>
    <mergeCell ref="F1190:F1194"/>
    <mergeCell ref="F1195:F1196"/>
    <mergeCell ref="F1197:F1199"/>
    <mergeCell ref="F1201:F1202"/>
    <mergeCell ref="F1203:F1211"/>
    <mergeCell ref="F1212:F1220"/>
    <mergeCell ref="F1057:F1059"/>
    <mergeCell ref="F1060:F1065"/>
    <mergeCell ref="F1066:F1068"/>
    <mergeCell ref="F1069:F1072"/>
    <mergeCell ref="F1073:F1077"/>
    <mergeCell ref="F1078:F1082"/>
    <mergeCell ref="F1083:F1085"/>
    <mergeCell ref="F1087:F1094"/>
    <mergeCell ref="F1095:F1102"/>
    <mergeCell ref="F1103:F1107"/>
    <mergeCell ref="F1108:F1109"/>
    <mergeCell ref="F1110:F1112"/>
    <mergeCell ref="F1113:F1119"/>
    <mergeCell ref="F1120:F1121"/>
    <mergeCell ref="F1122:F1124"/>
    <mergeCell ref="F1126:F1127"/>
    <mergeCell ref="F1128:F1130"/>
    <mergeCell ref="F971:F972"/>
    <mergeCell ref="F973:F977"/>
    <mergeCell ref="F978:F981"/>
    <mergeCell ref="F982:F984"/>
    <mergeCell ref="F985:F991"/>
    <mergeCell ref="F992:F996"/>
    <mergeCell ref="F997:F998"/>
    <mergeCell ref="F1000:F1003"/>
    <mergeCell ref="F1005:F1012"/>
    <mergeCell ref="F1013:F1019"/>
    <mergeCell ref="F1020:F1022"/>
    <mergeCell ref="F1023:F1029"/>
    <mergeCell ref="F1030:F1036"/>
    <mergeCell ref="F1037:F1041"/>
    <mergeCell ref="F1042:F1052"/>
    <mergeCell ref="F1053:F1054"/>
    <mergeCell ref="F1055:F1056"/>
    <mergeCell ref="F894:F898"/>
    <mergeCell ref="F899:F903"/>
    <mergeCell ref="F905:F906"/>
    <mergeCell ref="F907:F912"/>
    <mergeCell ref="F913:F917"/>
    <mergeCell ref="F919:F920"/>
    <mergeCell ref="F922:F932"/>
    <mergeCell ref="F933:F934"/>
    <mergeCell ref="F935:F939"/>
    <mergeCell ref="F940:F947"/>
    <mergeCell ref="F948:F949"/>
    <mergeCell ref="F951:F954"/>
    <mergeCell ref="F955:F956"/>
    <mergeCell ref="F957:F961"/>
    <mergeCell ref="F963:F964"/>
    <mergeCell ref="F965:F967"/>
    <mergeCell ref="F968:F969"/>
    <mergeCell ref="F792:F797"/>
    <mergeCell ref="F798:F799"/>
    <mergeCell ref="F802:F809"/>
    <mergeCell ref="F811:F819"/>
    <mergeCell ref="F821:F826"/>
    <mergeCell ref="F827:F828"/>
    <mergeCell ref="F829:F830"/>
    <mergeCell ref="F831:F836"/>
    <mergeCell ref="F837:F848"/>
    <mergeCell ref="F849:F850"/>
    <mergeCell ref="F854:F855"/>
    <mergeCell ref="F856:F864"/>
    <mergeCell ref="F865:F869"/>
    <mergeCell ref="F871:F873"/>
    <mergeCell ref="F874:F888"/>
    <mergeCell ref="F889:F890"/>
    <mergeCell ref="F891:F893"/>
    <mergeCell ref="F699:F708"/>
    <mergeCell ref="F709:F720"/>
    <mergeCell ref="F721:F725"/>
    <mergeCell ref="F727:F730"/>
    <mergeCell ref="F731:F733"/>
    <mergeCell ref="F734:F736"/>
    <mergeCell ref="F737:F742"/>
    <mergeCell ref="F743:F744"/>
    <mergeCell ref="F745:F747"/>
    <mergeCell ref="F748:F754"/>
    <mergeCell ref="F755:F757"/>
    <mergeCell ref="F758:F760"/>
    <mergeCell ref="F761:F768"/>
    <mergeCell ref="F769:F772"/>
    <mergeCell ref="F773:F775"/>
    <mergeCell ref="F776:F781"/>
    <mergeCell ref="F783:F790"/>
    <mergeCell ref="F590:F599"/>
    <mergeCell ref="F600:F611"/>
    <mergeCell ref="F612:F616"/>
    <mergeCell ref="F617:F636"/>
    <mergeCell ref="F637:F642"/>
    <mergeCell ref="F645:F654"/>
    <mergeCell ref="F655:F657"/>
    <mergeCell ref="F659:F664"/>
    <mergeCell ref="F665:F666"/>
    <mergeCell ref="F667:F669"/>
    <mergeCell ref="F670:F677"/>
    <mergeCell ref="F678:F681"/>
    <mergeCell ref="F682:F686"/>
    <mergeCell ref="F687:F688"/>
    <mergeCell ref="F689:F690"/>
    <mergeCell ref="F691:F695"/>
    <mergeCell ref="F696:F698"/>
    <mergeCell ref="F502:F508"/>
    <mergeCell ref="F509:F512"/>
    <mergeCell ref="F514:F518"/>
    <mergeCell ref="F519:F523"/>
    <mergeCell ref="F524:F525"/>
    <mergeCell ref="F526:F530"/>
    <mergeCell ref="F531:F532"/>
    <mergeCell ref="F533:F544"/>
    <mergeCell ref="F546:F551"/>
    <mergeCell ref="F552:F554"/>
    <mergeCell ref="F555:F559"/>
    <mergeCell ref="F560:F562"/>
    <mergeCell ref="F563:F567"/>
    <mergeCell ref="F568:F569"/>
    <mergeCell ref="F570:F572"/>
    <mergeCell ref="F573:F585"/>
    <mergeCell ref="F586:F589"/>
    <mergeCell ref="F403:F417"/>
    <mergeCell ref="F418:F421"/>
    <mergeCell ref="F423:F430"/>
    <mergeCell ref="F431:F440"/>
    <mergeCell ref="F441:F451"/>
    <mergeCell ref="F453:F454"/>
    <mergeCell ref="F455:F456"/>
    <mergeCell ref="F457:F458"/>
    <mergeCell ref="F459:F460"/>
    <mergeCell ref="F461:F471"/>
    <mergeCell ref="F472:F477"/>
    <mergeCell ref="F478:F479"/>
    <mergeCell ref="F480:F481"/>
    <mergeCell ref="F484:F486"/>
    <mergeCell ref="F487:F493"/>
    <mergeCell ref="F494:F496"/>
    <mergeCell ref="F498:F501"/>
    <mergeCell ref="F307:F312"/>
    <mergeCell ref="F313:F321"/>
    <mergeCell ref="F322:F325"/>
    <mergeCell ref="F326:F330"/>
    <mergeCell ref="F331:F336"/>
    <mergeCell ref="F338:F343"/>
    <mergeCell ref="F344:F347"/>
    <mergeCell ref="F348:F351"/>
    <mergeCell ref="F352:F358"/>
    <mergeCell ref="F359:F360"/>
    <mergeCell ref="F361:F364"/>
    <mergeCell ref="F365:F369"/>
    <mergeCell ref="F370:F373"/>
    <mergeCell ref="F375:F382"/>
    <mergeCell ref="F387:F389"/>
    <mergeCell ref="F391:F392"/>
    <mergeCell ref="F394:F402"/>
    <mergeCell ref="F210:F211"/>
    <mergeCell ref="F212:F219"/>
    <mergeCell ref="F221:F231"/>
    <mergeCell ref="F232:F234"/>
    <mergeCell ref="F236:F246"/>
    <mergeCell ref="F247:F252"/>
    <mergeCell ref="F253:F256"/>
    <mergeCell ref="F257:F259"/>
    <mergeCell ref="F260:F262"/>
    <mergeCell ref="F263:F270"/>
    <mergeCell ref="F271:F272"/>
    <mergeCell ref="F273:F276"/>
    <mergeCell ref="F277:F280"/>
    <mergeCell ref="F281:F285"/>
    <mergeCell ref="F287:F290"/>
    <mergeCell ref="F291:F298"/>
    <mergeCell ref="F299:F306"/>
    <mergeCell ref="F108:F111"/>
    <mergeCell ref="F112:F121"/>
    <mergeCell ref="F122:F125"/>
    <mergeCell ref="F126:F134"/>
    <mergeCell ref="F135:F138"/>
    <mergeCell ref="F139:F144"/>
    <mergeCell ref="F145:F147"/>
    <mergeCell ref="F148:F154"/>
    <mergeCell ref="F155:F160"/>
    <mergeCell ref="F161:F164"/>
    <mergeCell ref="F165:F175"/>
    <mergeCell ref="F176:F179"/>
    <mergeCell ref="F180:F186"/>
    <mergeCell ref="F187:F191"/>
    <mergeCell ref="F192:F198"/>
    <mergeCell ref="F199:F201"/>
    <mergeCell ref="F202:F209"/>
    <mergeCell ref="E1468:E1472"/>
    <mergeCell ref="E1474:E1476"/>
    <mergeCell ref="E1477:E1479"/>
    <mergeCell ref="E1480:E1483"/>
    <mergeCell ref="E1484:E1487"/>
    <mergeCell ref="E1490:E1493"/>
    <mergeCell ref="E1494:E1497"/>
    <mergeCell ref="E1501:E1502"/>
    <mergeCell ref="E1505:E1506"/>
    <mergeCell ref="E1508:E1509"/>
    <mergeCell ref="E1510:E1513"/>
    <mergeCell ref="E1514:E1515"/>
    <mergeCell ref="E1516:E1518"/>
    <mergeCell ref="F2:F5"/>
    <mergeCell ref="F6:F27"/>
    <mergeCell ref="F28:F30"/>
    <mergeCell ref="F31:F37"/>
    <mergeCell ref="F38:F39"/>
    <mergeCell ref="F40:F45"/>
    <mergeCell ref="F46:F50"/>
    <mergeCell ref="F51:F54"/>
    <mergeCell ref="F55:F60"/>
    <mergeCell ref="F61:F64"/>
    <mergeCell ref="F65:F67"/>
    <mergeCell ref="F68:F70"/>
    <mergeCell ref="F71:F78"/>
    <mergeCell ref="F79:F85"/>
    <mergeCell ref="F86:F89"/>
    <mergeCell ref="F90:F95"/>
    <mergeCell ref="F96:F98"/>
    <mergeCell ref="F99:F104"/>
    <mergeCell ref="F105:F107"/>
    <mergeCell ref="E1402:E1405"/>
    <mergeCell ref="E1406:E1408"/>
    <mergeCell ref="E1412:E1416"/>
    <mergeCell ref="E1417:E1419"/>
    <mergeCell ref="E1421:E1422"/>
    <mergeCell ref="E1423:E1426"/>
    <mergeCell ref="E1427:E1429"/>
    <mergeCell ref="E1430:E1432"/>
    <mergeCell ref="E1435:E1437"/>
    <mergeCell ref="E1438:E1439"/>
    <mergeCell ref="E1440:E1442"/>
    <mergeCell ref="E1443:E1444"/>
    <mergeCell ref="E1445:E1446"/>
    <mergeCell ref="E1448:E1449"/>
    <mergeCell ref="E1450:E1454"/>
    <mergeCell ref="E1456:E1460"/>
    <mergeCell ref="E1461:E1466"/>
    <mergeCell ref="E1323:E1330"/>
    <mergeCell ref="E1331:E1333"/>
    <mergeCell ref="E1335:E1337"/>
    <mergeCell ref="E1338:E1340"/>
    <mergeCell ref="E1343:E1344"/>
    <mergeCell ref="E1347:E1348"/>
    <mergeCell ref="E1349:E1351"/>
    <mergeCell ref="E1352:E1356"/>
    <mergeCell ref="E1358:E1363"/>
    <mergeCell ref="E1364:E1365"/>
    <mergeCell ref="E1366:E1368"/>
    <mergeCell ref="E1370:E1371"/>
    <mergeCell ref="E1374:E1379"/>
    <mergeCell ref="E1381:E1389"/>
    <mergeCell ref="E1390:E1392"/>
    <mergeCell ref="E1394:E1396"/>
    <mergeCell ref="E1397:E1401"/>
    <mergeCell ref="E1246:E1248"/>
    <mergeCell ref="E1249:E1250"/>
    <mergeCell ref="E1253:E1260"/>
    <mergeCell ref="E1263:E1265"/>
    <mergeCell ref="E1267:E1270"/>
    <mergeCell ref="E1271:E1275"/>
    <mergeCell ref="E1276:E1279"/>
    <mergeCell ref="E1281:E1282"/>
    <mergeCell ref="E1283:E1284"/>
    <mergeCell ref="E1285:E1294"/>
    <mergeCell ref="E1295:E1298"/>
    <mergeCell ref="E1299:E1301"/>
    <mergeCell ref="E1302:E1307"/>
    <mergeCell ref="E1308:E1309"/>
    <mergeCell ref="E1310:E1314"/>
    <mergeCell ref="E1316:E1317"/>
    <mergeCell ref="E1319:E1322"/>
    <mergeCell ref="E1166:E1172"/>
    <mergeCell ref="E1173:E1175"/>
    <mergeCell ref="E1176:E1179"/>
    <mergeCell ref="E1180:E1184"/>
    <mergeCell ref="E1186:E1189"/>
    <mergeCell ref="E1190:E1194"/>
    <mergeCell ref="E1195:E1196"/>
    <mergeCell ref="E1197:E1199"/>
    <mergeCell ref="E1201:E1202"/>
    <mergeCell ref="E1203:E1211"/>
    <mergeCell ref="E1212:E1220"/>
    <mergeCell ref="E1221:E1226"/>
    <mergeCell ref="E1227:E1231"/>
    <mergeCell ref="E1233:E1234"/>
    <mergeCell ref="E1235:E1239"/>
    <mergeCell ref="E1240:E1241"/>
    <mergeCell ref="E1242:E1245"/>
    <mergeCell ref="E1083:E1085"/>
    <mergeCell ref="E1087:E1094"/>
    <mergeCell ref="E1095:E1102"/>
    <mergeCell ref="E1103:E1107"/>
    <mergeCell ref="E1108:E1109"/>
    <mergeCell ref="E1110:E1112"/>
    <mergeCell ref="E1113:E1119"/>
    <mergeCell ref="E1120:E1121"/>
    <mergeCell ref="E1122:E1124"/>
    <mergeCell ref="E1126:E1127"/>
    <mergeCell ref="E1128:E1130"/>
    <mergeCell ref="E1131:E1135"/>
    <mergeCell ref="E1137:E1140"/>
    <mergeCell ref="E1141:E1144"/>
    <mergeCell ref="E1152:E1154"/>
    <mergeCell ref="E1155:E1156"/>
    <mergeCell ref="E1158:E1165"/>
    <mergeCell ref="E997:E998"/>
    <mergeCell ref="E1000:E1003"/>
    <mergeCell ref="E1005:E1012"/>
    <mergeCell ref="E1013:E1019"/>
    <mergeCell ref="E1020:E1022"/>
    <mergeCell ref="E1023:E1029"/>
    <mergeCell ref="E1030:E1036"/>
    <mergeCell ref="E1037:E1041"/>
    <mergeCell ref="E1042:E1052"/>
    <mergeCell ref="E1053:E1054"/>
    <mergeCell ref="E1055:E1056"/>
    <mergeCell ref="E1057:E1059"/>
    <mergeCell ref="E1060:E1065"/>
    <mergeCell ref="E1066:E1068"/>
    <mergeCell ref="E1069:E1072"/>
    <mergeCell ref="E1073:E1077"/>
    <mergeCell ref="E1078:E1082"/>
    <mergeCell ref="E922:E932"/>
    <mergeCell ref="E933:E934"/>
    <mergeCell ref="E935:E939"/>
    <mergeCell ref="E940:E947"/>
    <mergeCell ref="E948:E949"/>
    <mergeCell ref="E951:E954"/>
    <mergeCell ref="E955:E956"/>
    <mergeCell ref="E957:E961"/>
    <mergeCell ref="E963:E964"/>
    <mergeCell ref="E965:E967"/>
    <mergeCell ref="E968:E969"/>
    <mergeCell ref="E971:E972"/>
    <mergeCell ref="E973:E977"/>
    <mergeCell ref="E978:E981"/>
    <mergeCell ref="E982:E984"/>
    <mergeCell ref="E985:E991"/>
    <mergeCell ref="E992:E996"/>
    <mergeCell ref="E829:E830"/>
    <mergeCell ref="E831:E836"/>
    <mergeCell ref="E837:E848"/>
    <mergeCell ref="E849:E850"/>
    <mergeCell ref="E854:E855"/>
    <mergeCell ref="E856:E864"/>
    <mergeCell ref="E865:E869"/>
    <mergeCell ref="E871:E873"/>
    <mergeCell ref="E874:E888"/>
    <mergeCell ref="E889:E890"/>
    <mergeCell ref="E891:E893"/>
    <mergeCell ref="E894:E898"/>
    <mergeCell ref="E899:E903"/>
    <mergeCell ref="E905:E906"/>
    <mergeCell ref="E907:E912"/>
    <mergeCell ref="E913:E917"/>
    <mergeCell ref="E919:E920"/>
    <mergeCell ref="E737:E742"/>
    <mergeCell ref="E743:E744"/>
    <mergeCell ref="E745:E747"/>
    <mergeCell ref="E748:E754"/>
    <mergeCell ref="E755:E757"/>
    <mergeCell ref="E758:E760"/>
    <mergeCell ref="E761:E768"/>
    <mergeCell ref="E769:E772"/>
    <mergeCell ref="E773:E775"/>
    <mergeCell ref="E776:E781"/>
    <mergeCell ref="E783:E790"/>
    <mergeCell ref="E792:E797"/>
    <mergeCell ref="E798:E799"/>
    <mergeCell ref="E802:E809"/>
    <mergeCell ref="E811:E819"/>
    <mergeCell ref="E821:E826"/>
    <mergeCell ref="E827:E828"/>
    <mergeCell ref="E655:E657"/>
    <mergeCell ref="E659:E664"/>
    <mergeCell ref="E665:E666"/>
    <mergeCell ref="E667:E669"/>
    <mergeCell ref="E670:E677"/>
    <mergeCell ref="E678:E681"/>
    <mergeCell ref="E682:E686"/>
    <mergeCell ref="E687:E688"/>
    <mergeCell ref="E689:E690"/>
    <mergeCell ref="E691:E695"/>
    <mergeCell ref="E696:E698"/>
    <mergeCell ref="E699:E708"/>
    <mergeCell ref="E709:E720"/>
    <mergeCell ref="E721:E725"/>
    <mergeCell ref="E727:E730"/>
    <mergeCell ref="E731:E733"/>
    <mergeCell ref="E734:E736"/>
    <mergeCell ref="E531:E532"/>
    <mergeCell ref="E533:E544"/>
    <mergeCell ref="E546:E551"/>
    <mergeCell ref="E552:E554"/>
    <mergeCell ref="E555:E559"/>
    <mergeCell ref="E560:E562"/>
    <mergeCell ref="E563:E567"/>
    <mergeCell ref="E568:E569"/>
    <mergeCell ref="E570:E572"/>
    <mergeCell ref="E573:E585"/>
    <mergeCell ref="E586:E589"/>
    <mergeCell ref="E590:E599"/>
    <mergeCell ref="E600:E611"/>
    <mergeCell ref="E612:E616"/>
    <mergeCell ref="E617:E636"/>
    <mergeCell ref="E637:E642"/>
    <mergeCell ref="E645:E654"/>
    <mergeCell ref="E455:E456"/>
    <mergeCell ref="E457:E458"/>
    <mergeCell ref="E459:E460"/>
    <mergeCell ref="E461:E471"/>
    <mergeCell ref="E472:E477"/>
    <mergeCell ref="E478:E479"/>
    <mergeCell ref="E480:E481"/>
    <mergeCell ref="E484:E486"/>
    <mergeCell ref="E487:E493"/>
    <mergeCell ref="E494:E496"/>
    <mergeCell ref="E498:E501"/>
    <mergeCell ref="E502:E508"/>
    <mergeCell ref="E509:E512"/>
    <mergeCell ref="E514:E518"/>
    <mergeCell ref="E519:E523"/>
    <mergeCell ref="E524:E525"/>
    <mergeCell ref="E526:E530"/>
    <mergeCell ref="E344:E347"/>
    <mergeCell ref="E348:E351"/>
    <mergeCell ref="E352:E358"/>
    <mergeCell ref="E359:E360"/>
    <mergeCell ref="E361:E364"/>
    <mergeCell ref="E365:E369"/>
    <mergeCell ref="E370:E373"/>
    <mergeCell ref="E375:E382"/>
    <mergeCell ref="E387:E389"/>
    <mergeCell ref="E391:E392"/>
    <mergeCell ref="E394:E402"/>
    <mergeCell ref="E403:E417"/>
    <mergeCell ref="E418:E421"/>
    <mergeCell ref="E423:E430"/>
    <mergeCell ref="E431:E440"/>
    <mergeCell ref="E441:E451"/>
    <mergeCell ref="E453:E454"/>
    <mergeCell ref="E253:E256"/>
    <mergeCell ref="E257:E259"/>
    <mergeCell ref="E260:E262"/>
    <mergeCell ref="E263:E270"/>
    <mergeCell ref="E271:E272"/>
    <mergeCell ref="E273:E276"/>
    <mergeCell ref="E277:E280"/>
    <mergeCell ref="E281:E285"/>
    <mergeCell ref="E287:E290"/>
    <mergeCell ref="E291:E298"/>
    <mergeCell ref="E299:E306"/>
    <mergeCell ref="E307:E312"/>
    <mergeCell ref="E313:E321"/>
    <mergeCell ref="E322:E325"/>
    <mergeCell ref="E326:E330"/>
    <mergeCell ref="E331:E336"/>
    <mergeCell ref="E338:E343"/>
    <mergeCell ref="E145:E147"/>
    <mergeCell ref="E148:E154"/>
    <mergeCell ref="E155:E160"/>
    <mergeCell ref="E161:E164"/>
    <mergeCell ref="E165:E175"/>
    <mergeCell ref="E176:E179"/>
    <mergeCell ref="E180:E186"/>
    <mergeCell ref="E187:E191"/>
    <mergeCell ref="E192:E198"/>
    <mergeCell ref="E199:E201"/>
    <mergeCell ref="E202:E209"/>
    <mergeCell ref="E210:E211"/>
    <mergeCell ref="E212:E219"/>
    <mergeCell ref="E221:E231"/>
    <mergeCell ref="E232:E234"/>
    <mergeCell ref="E236:E246"/>
    <mergeCell ref="E247:E252"/>
    <mergeCell ref="C1494:C1497"/>
    <mergeCell ref="C1501:C1502"/>
    <mergeCell ref="C1505:C1506"/>
    <mergeCell ref="C1508:C1509"/>
    <mergeCell ref="C1510:C1513"/>
    <mergeCell ref="C1514:C1515"/>
    <mergeCell ref="C1516:C1518"/>
    <mergeCell ref="E2:E5"/>
    <mergeCell ref="E6:E27"/>
    <mergeCell ref="E28:E30"/>
    <mergeCell ref="E31:E37"/>
    <mergeCell ref="E38:E39"/>
    <mergeCell ref="E40:E45"/>
    <mergeCell ref="E46:E50"/>
    <mergeCell ref="E51:E54"/>
    <mergeCell ref="E55:E60"/>
    <mergeCell ref="E61:E64"/>
    <mergeCell ref="E65:E67"/>
    <mergeCell ref="E68:E70"/>
    <mergeCell ref="E71:E78"/>
    <mergeCell ref="E79:E85"/>
    <mergeCell ref="E86:E89"/>
    <mergeCell ref="E90:E95"/>
    <mergeCell ref="E96:E98"/>
    <mergeCell ref="E99:E104"/>
    <mergeCell ref="E105:E107"/>
    <mergeCell ref="E108:E111"/>
    <mergeCell ref="E112:E121"/>
    <mergeCell ref="E122:E125"/>
    <mergeCell ref="E126:E134"/>
    <mergeCell ref="E135:E138"/>
    <mergeCell ref="E139:E144"/>
    <mergeCell ref="C1427:C1429"/>
    <mergeCell ref="C1430:C1432"/>
    <mergeCell ref="C1435:C1437"/>
    <mergeCell ref="C1438:C1439"/>
    <mergeCell ref="C1440:C1442"/>
    <mergeCell ref="C1443:C1444"/>
    <mergeCell ref="C1445:C1446"/>
    <mergeCell ref="C1448:C1449"/>
    <mergeCell ref="C1450:C1454"/>
    <mergeCell ref="C1456:C1460"/>
    <mergeCell ref="C1461:C1466"/>
    <mergeCell ref="C1468:C1472"/>
    <mergeCell ref="C1474:C1476"/>
    <mergeCell ref="C1477:C1479"/>
    <mergeCell ref="C1480:C1483"/>
    <mergeCell ref="C1484:C1487"/>
    <mergeCell ref="C1490:C1493"/>
    <mergeCell ref="C1349:C1351"/>
    <mergeCell ref="C1352:C1356"/>
    <mergeCell ref="C1358:C1363"/>
    <mergeCell ref="C1364:C1365"/>
    <mergeCell ref="C1366:C1368"/>
    <mergeCell ref="C1370:C1371"/>
    <mergeCell ref="C1374:C1379"/>
    <mergeCell ref="C1381:C1389"/>
    <mergeCell ref="C1390:C1392"/>
    <mergeCell ref="C1394:C1396"/>
    <mergeCell ref="C1397:C1401"/>
    <mergeCell ref="C1402:C1405"/>
    <mergeCell ref="C1406:C1408"/>
    <mergeCell ref="C1412:C1416"/>
    <mergeCell ref="C1417:C1419"/>
    <mergeCell ref="C1421:C1422"/>
    <mergeCell ref="C1423:C1426"/>
    <mergeCell ref="C1276:C1279"/>
    <mergeCell ref="C1281:C1282"/>
    <mergeCell ref="C1283:C1284"/>
    <mergeCell ref="C1285:C1294"/>
    <mergeCell ref="C1295:C1298"/>
    <mergeCell ref="C1299:C1301"/>
    <mergeCell ref="C1302:C1307"/>
    <mergeCell ref="C1308:C1309"/>
    <mergeCell ref="C1310:C1314"/>
    <mergeCell ref="C1316:C1317"/>
    <mergeCell ref="C1319:C1322"/>
    <mergeCell ref="C1323:C1330"/>
    <mergeCell ref="C1331:C1333"/>
    <mergeCell ref="C1335:C1337"/>
    <mergeCell ref="C1338:C1340"/>
    <mergeCell ref="C1343:C1344"/>
    <mergeCell ref="C1347:C1348"/>
    <mergeCell ref="C1195:C1196"/>
    <mergeCell ref="C1197:C1199"/>
    <mergeCell ref="C1201:C1202"/>
    <mergeCell ref="C1203:C1211"/>
    <mergeCell ref="C1212:C1220"/>
    <mergeCell ref="C1221:C1226"/>
    <mergeCell ref="C1227:C1231"/>
    <mergeCell ref="C1233:C1234"/>
    <mergeCell ref="C1235:C1239"/>
    <mergeCell ref="C1240:C1241"/>
    <mergeCell ref="C1242:C1245"/>
    <mergeCell ref="C1246:C1248"/>
    <mergeCell ref="C1249:C1250"/>
    <mergeCell ref="C1253:C1260"/>
    <mergeCell ref="C1263:C1265"/>
    <mergeCell ref="C1267:C1270"/>
    <mergeCell ref="C1271:C1275"/>
    <mergeCell ref="C1113:C1119"/>
    <mergeCell ref="C1120:C1121"/>
    <mergeCell ref="C1122:C1124"/>
    <mergeCell ref="C1126:C1127"/>
    <mergeCell ref="C1128:C1130"/>
    <mergeCell ref="C1131:C1135"/>
    <mergeCell ref="C1137:C1140"/>
    <mergeCell ref="C1141:C1144"/>
    <mergeCell ref="C1152:C1154"/>
    <mergeCell ref="C1155:C1156"/>
    <mergeCell ref="C1158:C1165"/>
    <mergeCell ref="C1166:C1172"/>
    <mergeCell ref="C1173:C1175"/>
    <mergeCell ref="C1176:C1179"/>
    <mergeCell ref="C1180:C1184"/>
    <mergeCell ref="C1186:C1189"/>
    <mergeCell ref="C1190:C1194"/>
    <mergeCell ref="C1030:C1036"/>
    <mergeCell ref="C1037:C1041"/>
    <mergeCell ref="C1042:C1052"/>
    <mergeCell ref="C1053:C1054"/>
    <mergeCell ref="C1055:C1056"/>
    <mergeCell ref="C1057:C1059"/>
    <mergeCell ref="C1060:C1065"/>
    <mergeCell ref="C1066:C1068"/>
    <mergeCell ref="C1069:C1072"/>
    <mergeCell ref="C1073:C1077"/>
    <mergeCell ref="C1078:C1082"/>
    <mergeCell ref="C1083:C1085"/>
    <mergeCell ref="C1087:C1094"/>
    <mergeCell ref="C1095:C1102"/>
    <mergeCell ref="C1103:C1107"/>
    <mergeCell ref="C1108:C1109"/>
    <mergeCell ref="C1110:C1112"/>
    <mergeCell ref="C955:C956"/>
    <mergeCell ref="C957:C961"/>
    <mergeCell ref="C963:C964"/>
    <mergeCell ref="C965:C967"/>
    <mergeCell ref="C968:C969"/>
    <mergeCell ref="C971:C972"/>
    <mergeCell ref="C973:C977"/>
    <mergeCell ref="C978:C981"/>
    <mergeCell ref="C982:C984"/>
    <mergeCell ref="C985:C991"/>
    <mergeCell ref="C992:C996"/>
    <mergeCell ref="C997:C998"/>
    <mergeCell ref="C1000:C1003"/>
    <mergeCell ref="C1005:C1012"/>
    <mergeCell ref="C1013:C1019"/>
    <mergeCell ref="C1020:C1022"/>
    <mergeCell ref="C1023:C1029"/>
    <mergeCell ref="C865:C869"/>
    <mergeCell ref="C871:C873"/>
    <mergeCell ref="C874:C888"/>
    <mergeCell ref="C889:C890"/>
    <mergeCell ref="C891:C893"/>
    <mergeCell ref="C894:C898"/>
    <mergeCell ref="C899:C903"/>
    <mergeCell ref="C905:C906"/>
    <mergeCell ref="C907:C912"/>
    <mergeCell ref="C913:C917"/>
    <mergeCell ref="C919:C920"/>
    <mergeCell ref="C922:C932"/>
    <mergeCell ref="C933:C934"/>
    <mergeCell ref="C935:C939"/>
    <mergeCell ref="C940:C947"/>
    <mergeCell ref="C948:C949"/>
    <mergeCell ref="C951:C954"/>
    <mergeCell ref="C761:C768"/>
    <mergeCell ref="C769:C772"/>
    <mergeCell ref="C773:C775"/>
    <mergeCell ref="C776:C781"/>
    <mergeCell ref="C783:C790"/>
    <mergeCell ref="C792:C797"/>
    <mergeCell ref="C798:C799"/>
    <mergeCell ref="C802:C809"/>
    <mergeCell ref="C811:C819"/>
    <mergeCell ref="C821:C826"/>
    <mergeCell ref="C827:C828"/>
    <mergeCell ref="C829:C830"/>
    <mergeCell ref="C831:C836"/>
    <mergeCell ref="C837:C848"/>
    <mergeCell ref="C849:C850"/>
    <mergeCell ref="C854:C855"/>
    <mergeCell ref="C856:C864"/>
    <mergeCell ref="C682:C686"/>
    <mergeCell ref="C687:C688"/>
    <mergeCell ref="C689:C690"/>
    <mergeCell ref="C691:C695"/>
    <mergeCell ref="C696:C698"/>
    <mergeCell ref="C699:C708"/>
    <mergeCell ref="C709:C720"/>
    <mergeCell ref="C721:C725"/>
    <mergeCell ref="C727:C730"/>
    <mergeCell ref="C731:C733"/>
    <mergeCell ref="C734:C736"/>
    <mergeCell ref="C737:C742"/>
    <mergeCell ref="C743:C744"/>
    <mergeCell ref="C745:C747"/>
    <mergeCell ref="C748:C754"/>
    <mergeCell ref="C755:C757"/>
    <mergeCell ref="C758:C760"/>
    <mergeCell ref="C563:C567"/>
    <mergeCell ref="C568:C569"/>
    <mergeCell ref="C570:C572"/>
    <mergeCell ref="C573:C585"/>
    <mergeCell ref="C586:C589"/>
    <mergeCell ref="C590:C599"/>
    <mergeCell ref="C600:C611"/>
    <mergeCell ref="C612:C616"/>
    <mergeCell ref="C617:C636"/>
    <mergeCell ref="C637:C642"/>
    <mergeCell ref="C645:C654"/>
    <mergeCell ref="C655:C657"/>
    <mergeCell ref="C659:C664"/>
    <mergeCell ref="C665:C666"/>
    <mergeCell ref="C667:C669"/>
    <mergeCell ref="C670:C677"/>
    <mergeCell ref="C678:C681"/>
    <mergeCell ref="C480:C481"/>
    <mergeCell ref="C484:C486"/>
    <mergeCell ref="C487:C493"/>
    <mergeCell ref="C494:C496"/>
    <mergeCell ref="C498:C501"/>
    <mergeCell ref="C502:C508"/>
    <mergeCell ref="C509:C512"/>
    <mergeCell ref="C514:C518"/>
    <mergeCell ref="C519:C523"/>
    <mergeCell ref="C524:C525"/>
    <mergeCell ref="C526:C530"/>
    <mergeCell ref="C531:C532"/>
    <mergeCell ref="C533:C544"/>
    <mergeCell ref="C546:C551"/>
    <mergeCell ref="C552:C554"/>
    <mergeCell ref="C555:C559"/>
    <mergeCell ref="C560:C562"/>
    <mergeCell ref="C370:C373"/>
    <mergeCell ref="C375:C382"/>
    <mergeCell ref="C387:C389"/>
    <mergeCell ref="C391:C392"/>
    <mergeCell ref="C394:C402"/>
    <mergeCell ref="C403:C417"/>
    <mergeCell ref="C418:C421"/>
    <mergeCell ref="C423:C430"/>
    <mergeCell ref="C431:C440"/>
    <mergeCell ref="C441:C451"/>
    <mergeCell ref="C453:C454"/>
    <mergeCell ref="C455:C456"/>
    <mergeCell ref="C457:C458"/>
    <mergeCell ref="C459:C460"/>
    <mergeCell ref="C461:C471"/>
    <mergeCell ref="C472:C477"/>
    <mergeCell ref="C478:C479"/>
    <mergeCell ref="C277:C280"/>
    <mergeCell ref="C281:C285"/>
    <mergeCell ref="C287:C290"/>
    <mergeCell ref="C291:C298"/>
    <mergeCell ref="C299:C306"/>
    <mergeCell ref="C307:C312"/>
    <mergeCell ref="C313:C321"/>
    <mergeCell ref="C322:C325"/>
    <mergeCell ref="C326:C330"/>
    <mergeCell ref="C331:C336"/>
    <mergeCell ref="C338:C343"/>
    <mergeCell ref="C344:C347"/>
    <mergeCell ref="C348:C351"/>
    <mergeCell ref="C352:C358"/>
    <mergeCell ref="C359:C360"/>
    <mergeCell ref="C361:C364"/>
    <mergeCell ref="C365:C369"/>
    <mergeCell ref="C180:C186"/>
    <mergeCell ref="C187:C191"/>
    <mergeCell ref="C192:C198"/>
    <mergeCell ref="C199:C201"/>
    <mergeCell ref="C202:C209"/>
    <mergeCell ref="C210:C211"/>
    <mergeCell ref="C212:C219"/>
    <mergeCell ref="C221:C231"/>
    <mergeCell ref="C232:C234"/>
    <mergeCell ref="C236:C246"/>
    <mergeCell ref="C247:C252"/>
    <mergeCell ref="C253:C256"/>
    <mergeCell ref="C257:C259"/>
    <mergeCell ref="C260:C262"/>
    <mergeCell ref="C263:C270"/>
    <mergeCell ref="C271:C272"/>
    <mergeCell ref="C273:C276"/>
    <mergeCell ref="B2:B1519"/>
    <mergeCell ref="C2:C5"/>
    <mergeCell ref="C6:C27"/>
    <mergeCell ref="C28:C30"/>
    <mergeCell ref="C31:C37"/>
    <mergeCell ref="C38:C39"/>
    <mergeCell ref="C40:C45"/>
    <mergeCell ref="C46:C50"/>
    <mergeCell ref="C51:C54"/>
    <mergeCell ref="C55:C60"/>
    <mergeCell ref="C61:C64"/>
    <mergeCell ref="C65:C67"/>
    <mergeCell ref="C68:C70"/>
    <mergeCell ref="C71:C78"/>
    <mergeCell ref="C79:C85"/>
    <mergeCell ref="C86:C89"/>
    <mergeCell ref="C90:C95"/>
    <mergeCell ref="C96:C98"/>
    <mergeCell ref="C99:C104"/>
    <mergeCell ref="C105:C107"/>
    <mergeCell ref="C108:C111"/>
    <mergeCell ref="C112:C121"/>
    <mergeCell ref="C122:C125"/>
    <mergeCell ref="C126:C134"/>
    <mergeCell ref="C135:C138"/>
    <mergeCell ref="C139:C144"/>
    <mergeCell ref="C145:C147"/>
    <mergeCell ref="C148:C154"/>
    <mergeCell ref="C155:C160"/>
    <mergeCell ref="C161:C164"/>
    <mergeCell ref="C165:C175"/>
    <mergeCell ref="C176:C179"/>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519"/>
  <sheetViews>
    <sheetView workbookViewId="0">
      <pane ySplit="1" topLeftCell="A2" activePane="bottomLeft" state="frozen"/>
      <selection pane="bottomLeft" activeCell="L6" sqref="L6:L27"/>
    </sheetView>
  </sheetViews>
  <sheetFormatPr defaultColWidth="0" defaultRowHeight="12"/>
  <cols>
    <col min="1" max="1" width="2.6328125" style="11" customWidth="1"/>
    <col min="2" max="3" width="9" style="2" hidden="1" customWidth="1"/>
    <col min="4" max="4" width="9" style="20" hidden="1" customWidth="1"/>
    <col min="5" max="5" width="10.453125" style="2" customWidth="1"/>
    <col min="6" max="6" width="47.453125" style="21" customWidth="1"/>
    <col min="7" max="8" width="0" style="2" hidden="1" customWidth="1"/>
    <col min="9" max="9" width="9" style="2" customWidth="1"/>
    <col min="10" max="10" width="10.54296875" style="2" customWidth="1"/>
    <col min="11" max="11" width="9" style="14" customWidth="1"/>
    <col min="12" max="12" width="11.453125" style="2" customWidth="1"/>
    <col min="13" max="13" width="13.08984375" style="2" customWidth="1"/>
    <col min="14" max="14" width="14.26953125" style="2" customWidth="1"/>
    <col min="15" max="15" width="10.08984375" style="2" customWidth="1"/>
    <col min="16" max="16" width="9" style="2" customWidth="1"/>
    <col min="17" max="17" width="14.81640625" style="2" customWidth="1"/>
    <col min="18" max="18" width="19.26953125" style="2" customWidth="1"/>
    <col min="19" max="19" width="16.26953125" style="2" customWidth="1"/>
    <col min="20" max="20" width="15.26953125" style="2" customWidth="1"/>
    <col min="21" max="21" width="22.6328125" style="21" customWidth="1"/>
    <col min="22" max="24" width="0" style="2" hidden="1" customWidth="1"/>
    <col min="25" max="25" width="9" style="11" customWidth="1"/>
    <col min="26" max="16384" width="9" style="2" hidden="1"/>
  </cols>
  <sheetData>
    <row r="1" spans="2:24">
      <c r="B1" s="22" t="s">
        <v>5599</v>
      </c>
      <c r="C1" s="22" t="s">
        <v>5600</v>
      </c>
      <c r="D1" s="22" t="s">
        <v>6</v>
      </c>
      <c r="E1" s="22" t="s">
        <v>6</v>
      </c>
      <c r="F1" s="23" t="s">
        <v>223</v>
      </c>
      <c r="G1" s="22" t="s">
        <v>5601</v>
      </c>
      <c r="H1" s="22" t="s">
        <v>5602</v>
      </c>
      <c r="I1" s="22" t="s">
        <v>226</v>
      </c>
      <c r="J1" s="22" t="s">
        <v>227</v>
      </c>
      <c r="K1" s="9" t="s">
        <v>5603</v>
      </c>
      <c r="L1" s="22" t="s">
        <v>7</v>
      </c>
      <c r="M1" s="22" t="s">
        <v>8</v>
      </c>
      <c r="N1" s="22" t="s">
        <v>229</v>
      </c>
      <c r="O1" s="22" t="s">
        <v>230</v>
      </c>
      <c r="P1" s="22" t="s">
        <v>231</v>
      </c>
      <c r="Q1" s="22" t="s">
        <v>232</v>
      </c>
      <c r="R1" s="22" t="s">
        <v>233</v>
      </c>
      <c r="S1" s="22" t="s">
        <v>234</v>
      </c>
      <c r="T1" s="22" t="s">
        <v>235</v>
      </c>
      <c r="U1" s="23" t="s">
        <v>236</v>
      </c>
      <c r="V1" s="22" t="s">
        <v>5604</v>
      </c>
      <c r="W1" s="22" t="s">
        <v>5605</v>
      </c>
      <c r="X1" s="22" t="s">
        <v>5606</v>
      </c>
    </row>
    <row r="2" spans="2:24">
      <c r="B2" s="109" t="s">
        <v>1751</v>
      </c>
      <c r="C2" s="109" t="s">
        <v>241</v>
      </c>
      <c r="D2" s="20" t="s">
        <v>5607</v>
      </c>
      <c r="E2" s="109" t="s">
        <v>5608</v>
      </c>
      <c r="F2" s="112" t="s">
        <v>5609</v>
      </c>
      <c r="G2" s="109" t="s">
        <v>5610</v>
      </c>
      <c r="H2" s="109" t="s">
        <v>245</v>
      </c>
      <c r="I2" s="109" t="s">
        <v>246</v>
      </c>
      <c r="J2" s="109" t="s">
        <v>247</v>
      </c>
      <c r="K2" s="14" t="s">
        <v>248</v>
      </c>
      <c r="L2" s="109" t="s">
        <v>5611</v>
      </c>
      <c r="M2" s="109" t="s">
        <v>5612</v>
      </c>
      <c r="N2" s="13"/>
      <c r="O2" s="24">
        <v>42471</v>
      </c>
      <c r="P2" s="13" t="s">
        <v>5613</v>
      </c>
      <c r="Q2" s="13" t="s">
        <v>2030</v>
      </c>
      <c r="R2" s="13" t="s">
        <v>253</v>
      </c>
      <c r="S2" s="109" t="s">
        <v>5614</v>
      </c>
      <c r="T2" s="109" t="s">
        <v>3664</v>
      </c>
      <c r="U2" s="112" t="s">
        <v>256</v>
      </c>
      <c r="V2" s="109"/>
      <c r="W2" s="109"/>
      <c r="X2" s="109"/>
    </row>
    <row r="3" spans="2:24">
      <c r="B3" s="109"/>
      <c r="C3" s="109"/>
      <c r="D3" s="20" t="str">
        <f>D2</f>
        <v>在路上</v>
      </c>
      <c r="E3" s="109"/>
      <c r="F3" s="112"/>
      <c r="G3" s="109"/>
      <c r="H3" s="109"/>
      <c r="I3" s="109"/>
      <c r="J3" s="109"/>
      <c r="K3" s="14" t="str">
        <f>K2</f>
        <v>已关闭</v>
      </c>
      <c r="L3" s="109"/>
      <c r="M3" s="109"/>
      <c r="N3" s="13"/>
      <c r="O3" s="24">
        <v>42003</v>
      </c>
      <c r="P3" s="13" t="s">
        <v>3648</v>
      </c>
      <c r="Q3" s="13" t="s">
        <v>5129</v>
      </c>
      <c r="R3" s="13" t="s">
        <v>5615</v>
      </c>
      <c r="S3" s="109"/>
      <c r="T3" s="109"/>
      <c r="U3" s="112"/>
      <c r="V3" s="109"/>
      <c r="W3" s="109"/>
      <c r="X3" s="109"/>
    </row>
    <row r="4" spans="2:24">
      <c r="B4" s="109"/>
      <c r="C4" s="109"/>
      <c r="D4" s="20" t="str">
        <f>D3</f>
        <v>在路上</v>
      </c>
      <c r="E4" s="109"/>
      <c r="F4" s="112"/>
      <c r="G4" s="109"/>
      <c r="H4" s="109"/>
      <c r="I4" s="109"/>
      <c r="J4" s="109"/>
      <c r="K4" s="14" t="str">
        <f t="shared" ref="K4:K5" si="0">K3</f>
        <v>已关闭</v>
      </c>
      <c r="L4" s="109"/>
      <c r="M4" s="109"/>
      <c r="N4" s="13"/>
      <c r="O4" s="24">
        <v>41365</v>
      </c>
      <c r="P4" s="13" t="s">
        <v>4306</v>
      </c>
      <c r="Q4" s="13" t="s">
        <v>5616</v>
      </c>
      <c r="R4" s="13" t="s">
        <v>1751</v>
      </c>
      <c r="S4" s="109"/>
      <c r="T4" s="109"/>
      <c r="U4" s="112"/>
      <c r="V4" s="109"/>
      <c r="W4" s="109"/>
      <c r="X4" s="109"/>
    </row>
    <row r="5" spans="2:24">
      <c r="B5" s="109"/>
      <c r="C5" s="109"/>
      <c r="D5" s="20" t="str">
        <f>D4</f>
        <v>在路上</v>
      </c>
      <c r="E5" s="109"/>
      <c r="F5" s="112"/>
      <c r="G5" s="109"/>
      <c r="H5" s="109"/>
      <c r="I5" s="109"/>
      <c r="J5" s="109"/>
      <c r="K5" s="14" t="str">
        <f t="shared" si="0"/>
        <v>已关闭</v>
      </c>
      <c r="L5" s="109"/>
      <c r="M5" s="109"/>
      <c r="N5" s="13"/>
      <c r="O5" s="24">
        <v>41091</v>
      </c>
      <c r="P5" s="13" t="s">
        <v>3513</v>
      </c>
      <c r="Q5" s="13" t="s">
        <v>5617</v>
      </c>
      <c r="R5" s="13" t="s">
        <v>5618</v>
      </c>
      <c r="S5" s="109"/>
      <c r="T5" s="109"/>
      <c r="U5" s="112"/>
      <c r="V5" s="109"/>
      <c r="W5" s="109"/>
      <c r="X5" s="109"/>
    </row>
    <row r="6" spans="2:24">
      <c r="B6" s="109"/>
      <c r="C6" s="109" t="s">
        <v>265</v>
      </c>
      <c r="D6" s="20" t="s">
        <v>5619</v>
      </c>
      <c r="E6" s="109" t="s">
        <v>5620</v>
      </c>
      <c r="F6" s="112" t="s">
        <v>267</v>
      </c>
      <c r="G6" s="109" t="s">
        <v>5621</v>
      </c>
      <c r="H6" s="109" t="s">
        <v>269</v>
      </c>
      <c r="I6" s="109" t="s">
        <v>270</v>
      </c>
      <c r="J6" s="109" t="s">
        <v>271</v>
      </c>
      <c r="K6" s="14" t="s">
        <v>272</v>
      </c>
      <c r="L6" s="109" t="s">
        <v>2711</v>
      </c>
      <c r="M6" s="109" t="s">
        <v>4903</v>
      </c>
      <c r="N6" s="13">
        <v>1</v>
      </c>
      <c r="O6" s="24">
        <v>44724</v>
      </c>
      <c r="P6" s="13" t="s">
        <v>5622</v>
      </c>
      <c r="Q6" s="13" t="s">
        <v>5000</v>
      </c>
      <c r="R6" s="13" t="s">
        <v>253</v>
      </c>
      <c r="S6" s="109" t="s">
        <v>5623</v>
      </c>
      <c r="T6" s="109" t="s">
        <v>5624</v>
      </c>
      <c r="U6" s="112" t="s">
        <v>279</v>
      </c>
      <c r="V6" s="109" t="s">
        <v>280</v>
      </c>
      <c r="W6" s="109" t="s">
        <v>281</v>
      </c>
      <c r="X6" s="109" t="s">
        <v>282</v>
      </c>
    </row>
    <row r="7" spans="2:24">
      <c r="B7" s="109"/>
      <c r="C7" s="109"/>
      <c r="D7" s="20" t="str">
        <f t="shared" ref="D7:D27" si="1">D6</f>
        <v>滴滴出行</v>
      </c>
      <c r="E7" s="109"/>
      <c r="F7" s="112"/>
      <c r="G7" s="109"/>
      <c r="H7" s="109"/>
      <c r="I7" s="109"/>
      <c r="J7" s="109"/>
      <c r="K7" s="14" t="str">
        <f t="shared" ref="K7:K27" si="2">K6</f>
        <v>运营中</v>
      </c>
      <c r="L7" s="109"/>
      <c r="M7" s="109"/>
      <c r="N7" s="13">
        <v>1</v>
      </c>
      <c r="O7" s="24">
        <v>44377</v>
      </c>
      <c r="P7" s="13" t="s">
        <v>5625</v>
      </c>
      <c r="Q7" s="13" t="s">
        <v>5626</v>
      </c>
      <c r="R7" s="13" t="s">
        <v>253</v>
      </c>
      <c r="S7" s="109"/>
      <c r="T7" s="109"/>
      <c r="U7" s="112"/>
      <c r="V7" s="109"/>
      <c r="W7" s="109"/>
      <c r="X7" s="109"/>
    </row>
    <row r="8" spans="2:24">
      <c r="B8" s="109"/>
      <c r="C8" s="109"/>
      <c r="D8" s="20" t="str">
        <f t="shared" si="1"/>
        <v>滴滴出行</v>
      </c>
      <c r="E8" s="109"/>
      <c r="F8" s="112"/>
      <c r="G8" s="109"/>
      <c r="H8" s="109"/>
      <c r="I8" s="109"/>
      <c r="J8" s="109"/>
      <c r="K8" s="14" t="str">
        <f t="shared" si="2"/>
        <v>运营中</v>
      </c>
      <c r="L8" s="109"/>
      <c r="M8" s="109"/>
      <c r="N8" s="13">
        <v>1</v>
      </c>
      <c r="O8" s="24">
        <v>43671</v>
      </c>
      <c r="P8" s="13" t="s">
        <v>1045</v>
      </c>
      <c r="Q8" s="13" t="s">
        <v>5627</v>
      </c>
      <c r="R8" s="13" t="s">
        <v>5628</v>
      </c>
      <c r="S8" s="109"/>
      <c r="T8" s="109"/>
      <c r="U8" s="112"/>
      <c r="V8" s="109"/>
      <c r="W8" s="109"/>
      <c r="X8" s="109"/>
    </row>
    <row r="9" spans="2:24">
      <c r="B9" s="109"/>
      <c r="C9" s="109"/>
      <c r="D9" s="20" t="str">
        <f t="shared" si="1"/>
        <v>滴滴出行</v>
      </c>
      <c r="E9" s="109"/>
      <c r="F9" s="112"/>
      <c r="G9" s="109"/>
      <c r="H9" s="109"/>
      <c r="I9" s="109"/>
      <c r="J9" s="109"/>
      <c r="K9" s="14" t="str">
        <f t="shared" si="2"/>
        <v>运营中</v>
      </c>
      <c r="L9" s="109"/>
      <c r="M9" s="109"/>
      <c r="N9" s="13">
        <v>1</v>
      </c>
      <c r="O9" s="24">
        <v>43298</v>
      </c>
      <c r="P9" s="13" t="s">
        <v>1045</v>
      </c>
      <c r="Q9" s="13" t="s">
        <v>1046</v>
      </c>
      <c r="R9" s="13" t="s">
        <v>289</v>
      </c>
      <c r="S9" s="109"/>
      <c r="T9" s="109"/>
      <c r="U9" s="112"/>
      <c r="V9" s="109"/>
      <c r="W9" s="109"/>
      <c r="X9" s="109"/>
    </row>
    <row r="10" spans="2:24">
      <c r="B10" s="109"/>
      <c r="C10" s="109"/>
      <c r="D10" s="20" t="str">
        <f t="shared" si="1"/>
        <v>滴滴出行</v>
      </c>
      <c r="E10" s="109"/>
      <c r="F10" s="112"/>
      <c r="G10" s="109"/>
      <c r="H10" s="109"/>
      <c r="I10" s="109"/>
      <c r="J10" s="109"/>
      <c r="K10" s="14" t="str">
        <f t="shared" si="2"/>
        <v>运营中</v>
      </c>
      <c r="L10" s="109"/>
      <c r="M10" s="109"/>
      <c r="N10" s="13">
        <v>1</v>
      </c>
      <c r="O10" s="24">
        <v>43195</v>
      </c>
      <c r="P10" s="13" t="s">
        <v>1045</v>
      </c>
      <c r="Q10" s="13" t="s">
        <v>5629</v>
      </c>
      <c r="R10" s="13" t="s">
        <v>291</v>
      </c>
      <c r="S10" s="109"/>
      <c r="T10" s="109"/>
      <c r="U10" s="112"/>
      <c r="V10" s="109"/>
      <c r="W10" s="109"/>
      <c r="X10" s="109"/>
    </row>
    <row r="11" spans="2:24">
      <c r="B11" s="109"/>
      <c r="C11" s="109"/>
      <c r="D11" s="20" t="str">
        <f t="shared" si="1"/>
        <v>滴滴出行</v>
      </c>
      <c r="E11" s="109"/>
      <c r="F11" s="112"/>
      <c r="G11" s="109"/>
      <c r="H11" s="109"/>
      <c r="I11" s="109"/>
      <c r="J11" s="109"/>
      <c r="K11" s="14" t="str">
        <f t="shared" si="2"/>
        <v>运营中</v>
      </c>
      <c r="L11" s="109"/>
      <c r="M11" s="109"/>
      <c r="N11" s="13">
        <v>1</v>
      </c>
      <c r="O11" s="24">
        <v>43090</v>
      </c>
      <c r="P11" s="13" t="s">
        <v>1045</v>
      </c>
      <c r="Q11" s="13" t="s">
        <v>5630</v>
      </c>
      <c r="R11" s="13" t="s">
        <v>293</v>
      </c>
      <c r="S11" s="109"/>
      <c r="T11" s="109"/>
      <c r="U11" s="112"/>
      <c r="V11" s="109"/>
      <c r="W11" s="109"/>
      <c r="X11" s="109"/>
    </row>
    <row r="12" spans="2:24">
      <c r="B12" s="109"/>
      <c r="C12" s="109"/>
      <c r="D12" s="20" t="str">
        <f t="shared" si="1"/>
        <v>滴滴出行</v>
      </c>
      <c r="E12" s="109"/>
      <c r="F12" s="112"/>
      <c r="G12" s="109"/>
      <c r="H12" s="109"/>
      <c r="I12" s="109"/>
      <c r="J12" s="109"/>
      <c r="K12" s="14" t="str">
        <f t="shared" si="2"/>
        <v>运营中</v>
      </c>
      <c r="L12" s="109"/>
      <c r="M12" s="109"/>
      <c r="N12" s="13">
        <v>1</v>
      </c>
      <c r="O12" s="24">
        <v>42853</v>
      </c>
      <c r="P12" s="13" t="s">
        <v>1045</v>
      </c>
      <c r="Q12" s="13" t="s">
        <v>5631</v>
      </c>
      <c r="R12" s="13" t="s">
        <v>295</v>
      </c>
      <c r="S12" s="109"/>
      <c r="T12" s="109"/>
      <c r="U12" s="112"/>
      <c r="V12" s="109"/>
      <c r="W12" s="109"/>
      <c r="X12" s="109"/>
    </row>
    <row r="13" spans="2:24">
      <c r="B13" s="109"/>
      <c r="C13" s="109"/>
      <c r="D13" s="20" t="str">
        <f t="shared" si="1"/>
        <v>滴滴出行</v>
      </c>
      <c r="E13" s="109"/>
      <c r="F13" s="112"/>
      <c r="G13" s="109"/>
      <c r="H13" s="109"/>
      <c r="I13" s="109"/>
      <c r="J13" s="109"/>
      <c r="K13" s="14" t="str">
        <f t="shared" si="2"/>
        <v>运营中</v>
      </c>
      <c r="L13" s="109"/>
      <c r="M13" s="109"/>
      <c r="N13" s="13">
        <v>1</v>
      </c>
      <c r="O13" s="24">
        <v>42717</v>
      </c>
      <c r="P13" s="13" t="s">
        <v>1045</v>
      </c>
      <c r="Q13" s="13" t="s">
        <v>5129</v>
      </c>
      <c r="R13" s="13" t="s">
        <v>5632</v>
      </c>
      <c r="S13" s="109"/>
      <c r="T13" s="109"/>
      <c r="U13" s="112"/>
      <c r="V13" s="109"/>
      <c r="W13" s="109"/>
      <c r="X13" s="109"/>
    </row>
    <row r="14" spans="2:24">
      <c r="B14" s="109"/>
      <c r="C14" s="109"/>
      <c r="D14" s="20" t="str">
        <f t="shared" si="1"/>
        <v>滴滴出行</v>
      </c>
      <c r="E14" s="109"/>
      <c r="F14" s="112"/>
      <c r="G14" s="109"/>
      <c r="H14" s="109"/>
      <c r="I14" s="109"/>
      <c r="J14" s="109"/>
      <c r="K14" s="14" t="str">
        <f t="shared" si="2"/>
        <v>运营中</v>
      </c>
      <c r="L14" s="109"/>
      <c r="M14" s="109"/>
      <c r="N14" s="13">
        <v>1</v>
      </c>
      <c r="O14" s="24">
        <v>42622</v>
      </c>
      <c r="P14" s="13" t="s">
        <v>1045</v>
      </c>
      <c r="Q14" s="13" t="s">
        <v>5633</v>
      </c>
      <c r="R14" s="13" t="s">
        <v>298</v>
      </c>
      <c r="S14" s="109"/>
      <c r="T14" s="109"/>
      <c r="U14" s="112"/>
      <c r="V14" s="109"/>
      <c r="W14" s="109"/>
      <c r="X14" s="109"/>
    </row>
    <row r="15" spans="2:24">
      <c r="B15" s="109"/>
      <c r="C15" s="109"/>
      <c r="D15" s="20" t="str">
        <f t="shared" si="1"/>
        <v>滴滴出行</v>
      </c>
      <c r="E15" s="109"/>
      <c r="F15" s="112"/>
      <c r="G15" s="109"/>
      <c r="H15" s="109"/>
      <c r="I15" s="109"/>
      <c r="J15" s="109"/>
      <c r="K15" s="14" t="str">
        <f t="shared" si="2"/>
        <v>运营中</v>
      </c>
      <c r="L15" s="109"/>
      <c r="M15" s="109"/>
      <c r="N15" s="13">
        <v>1</v>
      </c>
      <c r="O15" s="24">
        <v>42598</v>
      </c>
      <c r="P15" s="13" t="s">
        <v>1045</v>
      </c>
      <c r="Q15" s="13" t="s">
        <v>5529</v>
      </c>
      <c r="R15" s="13" t="s">
        <v>300</v>
      </c>
      <c r="S15" s="109"/>
      <c r="T15" s="109"/>
      <c r="U15" s="112"/>
      <c r="V15" s="109"/>
      <c r="W15" s="109"/>
      <c r="X15" s="109"/>
    </row>
    <row r="16" spans="2:24">
      <c r="B16" s="109"/>
      <c r="C16" s="109"/>
      <c r="D16" s="20" t="str">
        <f t="shared" si="1"/>
        <v>滴滴出行</v>
      </c>
      <c r="E16" s="109"/>
      <c r="F16" s="112"/>
      <c r="G16" s="109"/>
      <c r="H16" s="109"/>
      <c r="I16" s="109"/>
      <c r="J16" s="109"/>
      <c r="K16" s="14" t="str">
        <f t="shared" si="2"/>
        <v>运营中</v>
      </c>
      <c r="L16" s="109"/>
      <c r="M16" s="109"/>
      <c r="N16" s="13">
        <v>1</v>
      </c>
      <c r="O16" s="24">
        <v>42543</v>
      </c>
      <c r="P16" s="13" t="s">
        <v>1045</v>
      </c>
      <c r="Q16" s="13" t="s">
        <v>4562</v>
      </c>
      <c r="R16" s="13" t="s">
        <v>5634</v>
      </c>
      <c r="S16" s="109"/>
      <c r="T16" s="109"/>
      <c r="U16" s="112"/>
      <c r="V16" s="109"/>
      <c r="W16" s="109"/>
      <c r="X16" s="109"/>
    </row>
    <row r="17" spans="2:24">
      <c r="B17" s="109"/>
      <c r="C17" s="109"/>
      <c r="D17" s="20" t="str">
        <f t="shared" si="1"/>
        <v>滴滴出行</v>
      </c>
      <c r="E17" s="109"/>
      <c r="F17" s="112"/>
      <c r="G17" s="109"/>
      <c r="H17" s="109"/>
      <c r="I17" s="109"/>
      <c r="J17" s="109"/>
      <c r="K17" s="14" t="str">
        <f t="shared" si="2"/>
        <v>运营中</v>
      </c>
      <c r="L17" s="109"/>
      <c r="M17" s="109"/>
      <c r="N17" s="13">
        <v>1</v>
      </c>
      <c r="O17" s="24">
        <v>42537</v>
      </c>
      <c r="P17" s="13" t="s">
        <v>5635</v>
      </c>
      <c r="Q17" s="13" t="s">
        <v>5636</v>
      </c>
      <c r="R17" s="13" t="s">
        <v>305</v>
      </c>
      <c r="S17" s="109"/>
      <c r="T17" s="109"/>
      <c r="U17" s="112"/>
      <c r="V17" s="109"/>
      <c r="W17" s="109"/>
      <c r="X17" s="109"/>
    </row>
    <row r="18" spans="2:24">
      <c r="B18" s="109"/>
      <c r="C18" s="109"/>
      <c r="D18" s="20" t="str">
        <f t="shared" si="1"/>
        <v>滴滴出行</v>
      </c>
      <c r="E18" s="109"/>
      <c r="F18" s="112"/>
      <c r="G18" s="109"/>
      <c r="H18" s="109"/>
      <c r="I18" s="109"/>
      <c r="J18" s="109"/>
      <c r="K18" s="14" t="str">
        <f t="shared" si="2"/>
        <v>运营中</v>
      </c>
      <c r="L18" s="109"/>
      <c r="M18" s="109"/>
      <c r="N18" s="13">
        <v>1</v>
      </c>
      <c r="O18" s="24">
        <v>42424</v>
      </c>
      <c r="P18" s="13" t="s">
        <v>5635</v>
      </c>
      <c r="Q18" s="13" t="s">
        <v>5637</v>
      </c>
      <c r="R18" s="13" t="s">
        <v>307</v>
      </c>
      <c r="S18" s="109"/>
      <c r="T18" s="109"/>
      <c r="U18" s="112"/>
      <c r="V18" s="109"/>
      <c r="W18" s="109"/>
      <c r="X18" s="109"/>
    </row>
    <row r="19" spans="2:24">
      <c r="B19" s="109"/>
      <c r="C19" s="109"/>
      <c r="D19" s="20" t="str">
        <f t="shared" si="1"/>
        <v>滴滴出行</v>
      </c>
      <c r="E19" s="109"/>
      <c r="F19" s="112"/>
      <c r="G19" s="109"/>
      <c r="H19" s="109"/>
      <c r="I19" s="109"/>
      <c r="J19" s="109"/>
      <c r="K19" s="14" t="str">
        <f t="shared" si="2"/>
        <v>运营中</v>
      </c>
      <c r="L19" s="109"/>
      <c r="M19" s="109"/>
      <c r="N19" s="13">
        <v>1</v>
      </c>
      <c r="O19" s="24">
        <v>42193</v>
      </c>
      <c r="P19" s="13" t="s">
        <v>5635</v>
      </c>
      <c r="Q19" s="13" t="s">
        <v>5638</v>
      </c>
      <c r="R19" s="13" t="s">
        <v>309</v>
      </c>
      <c r="S19" s="109"/>
      <c r="T19" s="109"/>
      <c r="U19" s="112"/>
      <c r="V19" s="109"/>
      <c r="W19" s="109"/>
      <c r="X19" s="109"/>
    </row>
    <row r="20" spans="2:24">
      <c r="B20" s="109"/>
      <c r="C20" s="109"/>
      <c r="D20" s="20" t="str">
        <f t="shared" si="1"/>
        <v>滴滴出行</v>
      </c>
      <c r="E20" s="109"/>
      <c r="F20" s="112"/>
      <c r="G20" s="109"/>
      <c r="H20" s="109"/>
      <c r="I20" s="109"/>
      <c r="J20" s="109"/>
      <c r="K20" s="14" t="str">
        <f t="shared" si="2"/>
        <v>运营中</v>
      </c>
      <c r="L20" s="109"/>
      <c r="M20" s="109"/>
      <c r="N20" s="13">
        <v>1</v>
      </c>
      <c r="O20" s="24">
        <v>42151</v>
      </c>
      <c r="P20" s="13" t="s">
        <v>3276</v>
      </c>
      <c r="Q20" s="13" t="s">
        <v>5639</v>
      </c>
      <c r="R20" s="13" t="s">
        <v>5640</v>
      </c>
      <c r="S20" s="109"/>
      <c r="T20" s="109"/>
      <c r="U20" s="112"/>
      <c r="V20" s="109"/>
      <c r="W20" s="109"/>
      <c r="X20" s="109"/>
    </row>
    <row r="21" spans="2:24">
      <c r="B21" s="109"/>
      <c r="C21" s="109"/>
      <c r="D21" s="20" t="str">
        <f t="shared" si="1"/>
        <v>滴滴出行</v>
      </c>
      <c r="E21" s="109"/>
      <c r="F21" s="112"/>
      <c r="G21" s="109"/>
      <c r="H21" s="109"/>
      <c r="I21" s="109"/>
      <c r="J21" s="109"/>
      <c r="K21" s="14" t="str">
        <f t="shared" si="2"/>
        <v>运营中</v>
      </c>
      <c r="L21" s="109"/>
      <c r="M21" s="109"/>
      <c r="N21" s="13">
        <v>1</v>
      </c>
      <c r="O21" s="24">
        <v>42049</v>
      </c>
      <c r="P21" s="13" t="s">
        <v>5641</v>
      </c>
      <c r="Q21" s="13" t="s">
        <v>2030</v>
      </c>
      <c r="R21" s="13" t="s">
        <v>5642</v>
      </c>
      <c r="S21" s="109"/>
      <c r="T21" s="109"/>
      <c r="U21" s="112"/>
      <c r="V21" s="109"/>
      <c r="W21" s="109"/>
      <c r="X21" s="109"/>
    </row>
    <row r="22" spans="2:24">
      <c r="B22" s="109"/>
      <c r="C22" s="109"/>
      <c r="D22" s="20" t="str">
        <f t="shared" si="1"/>
        <v>滴滴出行</v>
      </c>
      <c r="E22" s="109"/>
      <c r="F22" s="112"/>
      <c r="G22" s="109"/>
      <c r="H22" s="109"/>
      <c r="I22" s="109"/>
      <c r="J22" s="109"/>
      <c r="K22" s="14" t="str">
        <f t="shared" si="2"/>
        <v>运营中</v>
      </c>
      <c r="L22" s="109"/>
      <c r="M22" s="109"/>
      <c r="N22" s="13">
        <v>1</v>
      </c>
      <c r="O22" s="24">
        <v>42005</v>
      </c>
      <c r="P22" s="13" t="s">
        <v>2713</v>
      </c>
      <c r="Q22" s="13" t="s">
        <v>5000</v>
      </c>
      <c r="R22" s="13" t="s">
        <v>316</v>
      </c>
      <c r="S22" s="109"/>
      <c r="T22" s="109"/>
      <c r="U22" s="112"/>
      <c r="V22" s="109"/>
      <c r="W22" s="109"/>
      <c r="X22" s="109"/>
    </row>
    <row r="23" spans="2:24">
      <c r="B23" s="109"/>
      <c r="C23" s="109"/>
      <c r="D23" s="20" t="str">
        <f t="shared" si="1"/>
        <v>滴滴出行</v>
      </c>
      <c r="E23" s="109"/>
      <c r="F23" s="112"/>
      <c r="G23" s="109"/>
      <c r="H23" s="109"/>
      <c r="I23" s="109"/>
      <c r="J23" s="109"/>
      <c r="K23" s="14" t="str">
        <f t="shared" si="2"/>
        <v>运营中</v>
      </c>
      <c r="L23" s="109"/>
      <c r="M23" s="109"/>
      <c r="N23" s="13">
        <v>1</v>
      </c>
      <c r="O23" s="24">
        <v>41982</v>
      </c>
      <c r="P23" s="13" t="s">
        <v>1827</v>
      </c>
      <c r="Q23" s="13" t="s">
        <v>5643</v>
      </c>
      <c r="R23" s="13" t="s">
        <v>319</v>
      </c>
      <c r="S23" s="109"/>
      <c r="T23" s="109"/>
      <c r="U23" s="112"/>
      <c r="V23" s="109"/>
      <c r="W23" s="109"/>
      <c r="X23" s="109"/>
    </row>
    <row r="24" spans="2:24">
      <c r="B24" s="109"/>
      <c r="C24" s="109"/>
      <c r="D24" s="20" t="str">
        <f t="shared" si="1"/>
        <v>滴滴出行</v>
      </c>
      <c r="E24" s="109"/>
      <c r="F24" s="112"/>
      <c r="G24" s="109"/>
      <c r="H24" s="109"/>
      <c r="I24" s="109"/>
      <c r="J24" s="109"/>
      <c r="K24" s="14" t="str">
        <f t="shared" si="2"/>
        <v>运营中</v>
      </c>
      <c r="L24" s="109"/>
      <c r="M24" s="109"/>
      <c r="N24" s="13">
        <v>1</v>
      </c>
      <c r="O24" s="24">
        <v>41640</v>
      </c>
      <c r="P24" s="13" t="s">
        <v>5613</v>
      </c>
      <c r="Q24" s="13" t="s">
        <v>4732</v>
      </c>
      <c r="R24" s="13" t="s">
        <v>321</v>
      </c>
      <c r="S24" s="109"/>
      <c r="T24" s="109"/>
      <c r="U24" s="112"/>
      <c r="V24" s="109"/>
      <c r="W24" s="109"/>
      <c r="X24" s="109"/>
    </row>
    <row r="25" spans="2:24">
      <c r="B25" s="109"/>
      <c r="C25" s="109"/>
      <c r="D25" s="20" t="str">
        <f t="shared" si="1"/>
        <v>滴滴出行</v>
      </c>
      <c r="E25" s="109"/>
      <c r="F25" s="112"/>
      <c r="G25" s="109"/>
      <c r="H25" s="109"/>
      <c r="I25" s="109"/>
      <c r="J25" s="109"/>
      <c r="K25" s="14" t="str">
        <f t="shared" si="2"/>
        <v>运营中</v>
      </c>
      <c r="L25" s="109"/>
      <c r="M25" s="109"/>
      <c r="N25" s="13">
        <v>1</v>
      </c>
      <c r="O25" s="24">
        <v>41365</v>
      </c>
      <c r="P25" s="13" t="s">
        <v>3648</v>
      </c>
      <c r="Q25" s="13" t="s">
        <v>5576</v>
      </c>
      <c r="R25" s="13" t="s">
        <v>323</v>
      </c>
      <c r="S25" s="109"/>
      <c r="T25" s="109"/>
      <c r="U25" s="112"/>
      <c r="V25" s="109"/>
      <c r="W25" s="109"/>
      <c r="X25" s="109"/>
    </row>
    <row r="26" spans="2:24">
      <c r="B26" s="109"/>
      <c r="C26" s="109"/>
      <c r="D26" s="20" t="str">
        <f t="shared" si="1"/>
        <v>滴滴出行</v>
      </c>
      <c r="E26" s="109"/>
      <c r="F26" s="112"/>
      <c r="G26" s="109"/>
      <c r="H26" s="109"/>
      <c r="I26" s="109"/>
      <c r="J26" s="109"/>
      <c r="K26" s="14" t="str">
        <f t="shared" si="2"/>
        <v>运营中</v>
      </c>
      <c r="L26" s="109"/>
      <c r="M26" s="109"/>
      <c r="N26" s="13">
        <v>1</v>
      </c>
      <c r="O26" s="24">
        <v>41153</v>
      </c>
      <c r="P26" s="13" t="s">
        <v>3513</v>
      </c>
      <c r="Q26" s="13" t="s">
        <v>5644</v>
      </c>
      <c r="R26" s="13" t="s">
        <v>5645</v>
      </c>
      <c r="S26" s="109"/>
      <c r="T26" s="109"/>
      <c r="U26" s="112"/>
      <c r="V26" s="109"/>
      <c r="W26" s="109"/>
      <c r="X26" s="109"/>
    </row>
    <row r="27" spans="2:24">
      <c r="B27" s="109"/>
      <c r="C27" s="109"/>
      <c r="D27" s="20" t="str">
        <f t="shared" si="1"/>
        <v>滴滴出行</v>
      </c>
      <c r="E27" s="109"/>
      <c r="F27" s="112"/>
      <c r="G27" s="109"/>
      <c r="H27" s="109"/>
      <c r="I27" s="109"/>
      <c r="J27" s="109"/>
      <c r="K27" s="14" t="str">
        <f t="shared" si="2"/>
        <v>运营中</v>
      </c>
      <c r="L27" s="109"/>
      <c r="M27" s="109"/>
      <c r="N27" s="13">
        <v>1</v>
      </c>
      <c r="O27" s="24">
        <v>41091</v>
      </c>
      <c r="P27" s="13" t="s">
        <v>5474</v>
      </c>
      <c r="Q27" s="13" t="s">
        <v>5646</v>
      </c>
      <c r="R27" s="13" t="s">
        <v>5647</v>
      </c>
      <c r="S27" s="109"/>
      <c r="T27" s="109"/>
      <c r="U27" s="112"/>
      <c r="V27" s="109"/>
      <c r="W27" s="109"/>
      <c r="X27" s="109"/>
    </row>
    <row r="28" spans="2:24">
      <c r="B28" s="109"/>
      <c r="C28" s="109" t="s">
        <v>329</v>
      </c>
      <c r="D28" s="20" t="s">
        <v>5648</v>
      </c>
      <c r="E28" s="109" t="s">
        <v>5649</v>
      </c>
      <c r="F28" s="112" t="s">
        <v>331</v>
      </c>
      <c r="G28" s="109" t="s">
        <v>5650</v>
      </c>
      <c r="H28" s="109" t="s">
        <v>333</v>
      </c>
      <c r="I28" s="109" t="s">
        <v>334</v>
      </c>
      <c r="J28" s="109" t="s">
        <v>271</v>
      </c>
      <c r="K28" s="14" t="s">
        <v>272</v>
      </c>
      <c r="L28" s="109" t="s">
        <v>5651</v>
      </c>
      <c r="M28" s="109" t="s">
        <v>5652</v>
      </c>
      <c r="N28" s="13"/>
      <c r="O28" s="24">
        <v>41365</v>
      </c>
      <c r="P28" s="13" t="s">
        <v>3648</v>
      </c>
      <c r="Q28" s="13" t="s">
        <v>5591</v>
      </c>
      <c r="R28" s="13" t="s">
        <v>1751</v>
      </c>
      <c r="S28" s="109" t="s">
        <v>5653</v>
      </c>
      <c r="T28" s="109" t="s">
        <v>5594</v>
      </c>
      <c r="U28" s="112" t="s">
        <v>340</v>
      </c>
      <c r="V28" s="109"/>
      <c r="W28" s="109"/>
      <c r="X28" s="109"/>
    </row>
    <row r="29" spans="2:24">
      <c r="B29" s="109"/>
      <c r="C29" s="109"/>
      <c r="D29" s="20" t="str">
        <f>D28</f>
        <v>卓大师</v>
      </c>
      <c r="E29" s="109"/>
      <c r="F29" s="112"/>
      <c r="G29" s="109"/>
      <c r="H29" s="109"/>
      <c r="I29" s="109"/>
      <c r="J29" s="109"/>
      <c r="K29" s="14" t="str">
        <f t="shared" ref="K29:K30" si="3">K28</f>
        <v>运营中</v>
      </c>
      <c r="L29" s="109"/>
      <c r="M29" s="109"/>
      <c r="N29" s="13"/>
      <c r="O29" s="24">
        <v>41214</v>
      </c>
      <c r="P29" s="13" t="s">
        <v>1045</v>
      </c>
      <c r="Q29" s="13" t="s">
        <v>3514</v>
      </c>
      <c r="R29" s="13" t="s">
        <v>5654</v>
      </c>
      <c r="S29" s="109"/>
      <c r="T29" s="109"/>
      <c r="U29" s="112"/>
      <c r="V29" s="109"/>
      <c r="W29" s="109"/>
      <c r="X29" s="109"/>
    </row>
    <row r="30" spans="2:24">
      <c r="B30" s="109"/>
      <c r="C30" s="109"/>
      <c r="D30" s="20" t="str">
        <f>D29</f>
        <v>卓大师</v>
      </c>
      <c r="E30" s="109"/>
      <c r="F30" s="112"/>
      <c r="G30" s="109"/>
      <c r="H30" s="109"/>
      <c r="I30" s="109"/>
      <c r="J30" s="109"/>
      <c r="K30" s="14" t="str">
        <f t="shared" si="3"/>
        <v>运营中</v>
      </c>
      <c r="L30" s="109"/>
      <c r="M30" s="109"/>
      <c r="N30" s="13"/>
      <c r="O30" s="24">
        <v>40817</v>
      </c>
      <c r="P30" s="13" t="s">
        <v>3513</v>
      </c>
      <c r="Q30" s="13" t="s">
        <v>5646</v>
      </c>
      <c r="R30" s="13" t="s">
        <v>5655</v>
      </c>
      <c r="S30" s="109"/>
      <c r="T30" s="109"/>
      <c r="U30" s="112"/>
      <c r="V30" s="109"/>
      <c r="W30" s="109"/>
      <c r="X30" s="109"/>
    </row>
    <row r="31" spans="2:24">
      <c r="B31" s="109"/>
      <c r="C31" s="109" t="s">
        <v>344</v>
      </c>
      <c r="D31" s="20" t="s">
        <v>5656</v>
      </c>
      <c r="E31" s="109" t="s">
        <v>5657</v>
      </c>
      <c r="F31" s="112" t="s">
        <v>346</v>
      </c>
      <c r="G31" s="109" t="s">
        <v>5658</v>
      </c>
      <c r="H31" s="109" t="s">
        <v>348</v>
      </c>
      <c r="I31" s="109" t="s">
        <v>270</v>
      </c>
      <c r="J31" s="109" t="s">
        <v>349</v>
      </c>
      <c r="K31" s="14" t="s">
        <v>272</v>
      </c>
      <c r="L31" s="109" t="s">
        <v>4472</v>
      </c>
      <c r="M31" s="109" t="s">
        <v>5575</v>
      </c>
      <c r="N31" s="13"/>
      <c r="O31" s="24">
        <v>43283</v>
      </c>
      <c r="P31" s="13" t="s">
        <v>5613</v>
      </c>
      <c r="Q31" s="13" t="s">
        <v>5659</v>
      </c>
      <c r="R31" s="13" t="s">
        <v>1751</v>
      </c>
      <c r="S31" s="109" t="s">
        <v>5660</v>
      </c>
      <c r="T31" s="109" t="s">
        <v>5661</v>
      </c>
      <c r="U31" s="112" t="s">
        <v>355</v>
      </c>
      <c r="V31" s="109" t="s">
        <v>356</v>
      </c>
      <c r="W31" s="109" t="s">
        <v>357</v>
      </c>
      <c r="X31" s="109" t="s">
        <v>358</v>
      </c>
    </row>
    <row r="32" spans="2:24">
      <c r="B32" s="109"/>
      <c r="C32" s="109"/>
      <c r="D32" s="20" t="str">
        <f t="shared" ref="D32:D37" si="4">D31</f>
        <v>好食期</v>
      </c>
      <c r="E32" s="109"/>
      <c r="F32" s="112"/>
      <c r="G32" s="109"/>
      <c r="H32" s="109"/>
      <c r="I32" s="109"/>
      <c r="J32" s="109"/>
      <c r="K32" s="14" t="str">
        <f t="shared" ref="K32:K37" si="5">K31</f>
        <v>运营中</v>
      </c>
      <c r="L32" s="109"/>
      <c r="M32" s="109"/>
      <c r="N32" s="13"/>
      <c r="O32" s="24">
        <v>43273</v>
      </c>
      <c r="P32" s="13" t="s">
        <v>5622</v>
      </c>
      <c r="Q32" s="13" t="s">
        <v>2030</v>
      </c>
      <c r="R32" s="13" t="s">
        <v>253</v>
      </c>
      <c r="S32" s="109"/>
      <c r="T32" s="109"/>
      <c r="U32" s="112"/>
      <c r="V32" s="109"/>
      <c r="W32" s="109"/>
      <c r="X32" s="109"/>
    </row>
    <row r="33" spans="2:24">
      <c r="B33" s="109"/>
      <c r="C33" s="109"/>
      <c r="D33" s="20" t="str">
        <f t="shared" si="4"/>
        <v>好食期</v>
      </c>
      <c r="E33" s="109"/>
      <c r="F33" s="112"/>
      <c r="G33" s="109"/>
      <c r="H33" s="109"/>
      <c r="I33" s="109"/>
      <c r="J33" s="109"/>
      <c r="K33" s="14" t="str">
        <f t="shared" si="5"/>
        <v>运营中</v>
      </c>
      <c r="L33" s="109"/>
      <c r="M33" s="109"/>
      <c r="N33" s="13"/>
      <c r="O33" s="24">
        <v>42793</v>
      </c>
      <c r="P33" s="13" t="s">
        <v>4401</v>
      </c>
      <c r="Q33" s="13" t="s">
        <v>5662</v>
      </c>
      <c r="R33" s="13" t="s">
        <v>5663</v>
      </c>
      <c r="S33" s="109"/>
      <c r="T33" s="109"/>
      <c r="U33" s="112"/>
      <c r="V33" s="109"/>
      <c r="W33" s="109"/>
      <c r="X33" s="109"/>
    </row>
    <row r="34" spans="2:24">
      <c r="B34" s="109"/>
      <c r="C34" s="109"/>
      <c r="D34" s="20" t="str">
        <f t="shared" si="4"/>
        <v>好食期</v>
      </c>
      <c r="E34" s="109"/>
      <c r="F34" s="112"/>
      <c r="G34" s="109"/>
      <c r="H34" s="109"/>
      <c r="I34" s="109"/>
      <c r="J34" s="109"/>
      <c r="K34" s="14" t="str">
        <f t="shared" si="5"/>
        <v>运营中</v>
      </c>
      <c r="L34" s="109"/>
      <c r="M34" s="109"/>
      <c r="N34" s="13"/>
      <c r="O34" s="24">
        <v>42326</v>
      </c>
      <c r="P34" s="13" t="s">
        <v>5664</v>
      </c>
      <c r="Q34" s="13" t="s">
        <v>2030</v>
      </c>
      <c r="R34" s="13" t="s">
        <v>253</v>
      </c>
      <c r="S34" s="109"/>
      <c r="T34" s="109"/>
      <c r="U34" s="112"/>
      <c r="V34" s="109"/>
      <c r="W34" s="109"/>
      <c r="X34" s="109"/>
    </row>
    <row r="35" spans="2:24">
      <c r="B35" s="109"/>
      <c r="C35" s="109"/>
      <c r="D35" s="20" t="str">
        <f t="shared" si="4"/>
        <v>好食期</v>
      </c>
      <c r="E35" s="109"/>
      <c r="F35" s="112"/>
      <c r="G35" s="109"/>
      <c r="H35" s="109"/>
      <c r="I35" s="109"/>
      <c r="J35" s="109"/>
      <c r="K35" s="14" t="str">
        <f t="shared" si="5"/>
        <v>运营中</v>
      </c>
      <c r="L35" s="109"/>
      <c r="M35" s="109"/>
      <c r="N35" s="13"/>
      <c r="O35" s="24">
        <v>42116</v>
      </c>
      <c r="P35" s="13" t="s">
        <v>3648</v>
      </c>
      <c r="Q35" s="13" t="s">
        <v>3514</v>
      </c>
      <c r="R35" s="13" t="s">
        <v>1751</v>
      </c>
      <c r="S35" s="109"/>
      <c r="T35" s="109"/>
      <c r="U35" s="112"/>
      <c r="V35" s="109"/>
      <c r="W35" s="109"/>
      <c r="X35" s="109"/>
    </row>
    <row r="36" spans="2:24">
      <c r="B36" s="109"/>
      <c r="C36" s="109"/>
      <c r="D36" s="20" t="str">
        <f t="shared" si="4"/>
        <v>好食期</v>
      </c>
      <c r="E36" s="109"/>
      <c r="F36" s="112"/>
      <c r="G36" s="109"/>
      <c r="H36" s="109"/>
      <c r="I36" s="109"/>
      <c r="J36" s="109"/>
      <c r="K36" s="14" t="str">
        <f t="shared" si="5"/>
        <v>运营中</v>
      </c>
      <c r="L36" s="109"/>
      <c r="M36" s="109"/>
      <c r="N36" s="13"/>
      <c r="O36" s="24">
        <v>41895</v>
      </c>
      <c r="P36" s="13" t="s">
        <v>3513</v>
      </c>
      <c r="Q36" s="13" t="s">
        <v>3514</v>
      </c>
      <c r="R36" s="13" t="s">
        <v>363</v>
      </c>
      <c r="S36" s="109"/>
      <c r="T36" s="109"/>
      <c r="U36" s="112"/>
      <c r="V36" s="109"/>
      <c r="W36" s="109"/>
      <c r="X36" s="109"/>
    </row>
    <row r="37" spans="2:24">
      <c r="B37" s="109"/>
      <c r="C37" s="109"/>
      <c r="D37" s="20" t="str">
        <f t="shared" si="4"/>
        <v>好食期</v>
      </c>
      <c r="E37" s="109"/>
      <c r="F37" s="112"/>
      <c r="G37" s="109"/>
      <c r="H37" s="109"/>
      <c r="I37" s="109"/>
      <c r="J37" s="109"/>
      <c r="K37" s="14" t="str">
        <f t="shared" si="5"/>
        <v>运营中</v>
      </c>
      <c r="L37" s="109"/>
      <c r="M37" s="109"/>
      <c r="N37" s="13"/>
      <c r="O37" s="24">
        <v>41381</v>
      </c>
      <c r="P37" s="13" t="s">
        <v>5474</v>
      </c>
      <c r="Q37" s="13" t="s">
        <v>5646</v>
      </c>
      <c r="R37" s="13" t="s">
        <v>364</v>
      </c>
      <c r="S37" s="109"/>
      <c r="T37" s="109"/>
      <c r="U37" s="112"/>
      <c r="V37" s="109"/>
      <c r="W37" s="109"/>
      <c r="X37" s="109"/>
    </row>
    <row r="38" spans="2:24">
      <c r="B38" s="109"/>
      <c r="C38" s="109" t="s">
        <v>365</v>
      </c>
      <c r="D38" s="20" t="s">
        <v>5665</v>
      </c>
      <c r="E38" s="109" t="s">
        <v>5666</v>
      </c>
      <c r="F38" s="112" t="s">
        <v>5667</v>
      </c>
      <c r="G38" s="109" t="s">
        <v>5668</v>
      </c>
      <c r="H38" s="109" t="s">
        <v>370</v>
      </c>
      <c r="I38" s="109" t="s">
        <v>371</v>
      </c>
      <c r="J38" s="109" t="s">
        <v>372</v>
      </c>
      <c r="K38" s="14" t="s">
        <v>272</v>
      </c>
      <c r="L38" s="109" t="s">
        <v>5651</v>
      </c>
      <c r="M38" s="109" t="s">
        <v>5669</v>
      </c>
      <c r="N38" s="13"/>
      <c r="O38" s="24">
        <v>41929</v>
      </c>
      <c r="P38" s="13" t="s">
        <v>3513</v>
      </c>
      <c r="Q38" s="13" t="s">
        <v>5616</v>
      </c>
      <c r="R38" s="13" t="s">
        <v>374</v>
      </c>
      <c r="S38" s="109" t="s">
        <v>5670</v>
      </c>
      <c r="T38" s="109" t="s">
        <v>5671</v>
      </c>
      <c r="U38" s="112" t="s">
        <v>377</v>
      </c>
      <c r="V38" s="109"/>
      <c r="W38" s="109"/>
      <c r="X38" s="109"/>
    </row>
    <row r="39" spans="2:24">
      <c r="B39" s="109"/>
      <c r="C39" s="109"/>
      <c r="D39" s="20" t="str">
        <f>D38</f>
        <v>TimeHut时光小屋</v>
      </c>
      <c r="E39" s="109"/>
      <c r="F39" s="112"/>
      <c r="G39" s="109"/>
      <c r="H39" s="109"/>
      <c r="I39" s="109"/>
      <c r="J39" s="109"/>
      <c r="K39" s="14" t="str">
        <f>K38</f>
        <v>运营中</v>
      </c>
      <c r="L39" s="109"/>
      <c r="M39" s="109"/>
      <c r="N39" s="13"/>
      <c r="O39" s="24">
        <v>41275</v>
      </c>
      <c r="P39" s="13" t="s">
        <v>5474</v>
      </c>
      <c r="Q39" s="13" t="s">
        <v>5646</v>
      </c>
      <c r="R39" s="13" t="s">
        <v>5672</v>
      </c>
      <c r="S39" s="109"/>
      <c r="T39" s="109"/>
      <c r="U39" s="112"/>
      <c r="V39" s="109"/>
      <c r="W39" s="109"/>
      <c r="X39" s="109"/>
    </row>
    <row r="40" spans="2:24">
      <c r="B40" s="109"/>
      <c r="C40" s="109" t="s">
        <v>379</v>
      </c>
      <c r="D40" s="20" t="s">
        <v>5673</v>
      </c>
      <c r="E40" s="109" t="s">
        <v>5674</v>
      </c>
      <c r="F40" s="112" t="s">
        <v>381</v>
      </c>
      <c r="G40" s="109" t="s">
        <v>5675</v>
      </c>
      <c r="H40" s="109" t="s">
        <v>383</v>
      </c>
      <c r="I40" s="109" t="s">
        <v>384</v>
      </c>
      <c r="J40" s="109" t="s">
        <v>385</v>
      </c>
      <c r="K40" s="14" t="s">
        <v>272</v>
      </c>
      <c r="L40" s="109" t="s">
        <v>4162</v>
      </c>
      <c r="M40" s="109" t="s">
        <v>5676</v>
      </c>
      <c r="N40" s="13"/>
      <c r="O40" s="24">
        <v>42955</v>
      </c>
      <c r="P40" s="13" t="s">
        <v>4401</v>
      </c>
      <c r="Q40" s="13" t="s">
        <v>5677</v>
      </c>
      <c r="R40" s="13" t="s">
        <v>389</v>
      </c>
      <c r="S40" s="109" t="s">
        <v>5678</v>
      </c>
      <c r="T40" s="109" t="s">
        <v>5679</v>
      </c>
      <c r="U40" s="112" t="s">
        <v>392</v>
      </c>
      <c r="V40" s="109"/>
      <c r="W40" s="109" t="s">
        <v>393</v>
      </c>
      <c r="X40" s="109" t="s">
        <v>394</v>
      </c>
    </row>
    <row r="41" spans="2:24">
      <c r="B41" s="109"/>
      <c r="C41" s="109"/>
      <c r="D41" s="20" t="str">
        <f>D40</f>
        <v>新片场</v>
      </c>
      <c r="E41" s="109"/>
      <c r="F41" s="112"/>
      <c r="G41" s="109"/>
      <c r="H41" s="109"/>
      <c r="I41" s="109"/>
      <c r="J41" s="109"/>
      <c r="K41" s="14" t="str">
        <f t="shared" ref="K41:K45" si="6">K40</f>
        <v>运营中</v>
      </c>
      <c r="L41" s="109"/>
      <c r="M41" s="109"/>
      <c r="N41" s="13"/>
      <c r="O41" s="24">
        <v>42618</v>
      </c>
      <c r="P41" s="13" t="s">
        <v>4401</v>
      </c>
      <c r="Q41" s="13" t="s">
        <v>5680</v>
      </c>
      <c r="R41" s="13" t="s">
        <v>396</v>
      </c>
      <c r="S41" s="109"/>
      <c r="T41" s="109"/>
      <c r="U41" s="112"/>
      <c r="V41" s="109"/>
      <c r="W41" s="109"/>
      <c r="X41" s="109"/>
    </row>
    <row r="42" spans="2:24">
      <c r="B42" s="109"/>
      <c r="C42" s="109"/>
      <c r="D42" s="20" t="str">
        <f>D41</f>
        <v>新片场</v>
      </c>
      <c r="E42" s="109"/>
      <c r="F42" s="112"/>
      <c r="G42" s="109"/>
      <c r="H42" s="109"/>
      <c r="I42" s="109"/>
      <c r="J42" s="109"/>
      <c r="K42" s="14" t="str">
        <f t="shared" si="6"/>
        <v>运营中</v>
      </c>
      <c r="L42" s="109"/>
      <c r="M42" s="109"/>
      <c r="N42" s="13"/>
      <c r="O42" s="24">
        <v>42342</v>
      </c>
      <c r="P42" s="13" t="s">
        <v>5664</v>
      </c>
      <c r="Q42" s="13" t="s">
        <v>2030</v>
      </c>
      <c r="R42" s="13" t="s">
        <v>253</v>
      </c>
      <c r="S42" s="109"/>
      <c r="T42" s="109"/>
      <c r="U42" s="112"/>
      <c r="V42" s="109"/>
      <c r="W42" s="109"/>
      <c r="X42" s="109"/>
    </row>
    <row r="43" spans="2:24">
      <c r="B43" s="109"/>
      <c r="C43" s="109"/>
      <c r="D43" s="20" t="str">
        <f>D42</f>
        <v>新片场</v>
      </c>
      <c r="E43" s="109"/>
      <c r="F43" s="112"/>
      <c r="G43" s="109"/>
      <c r="H43" s="109"/>
      <c r="I43" s="109"/>
      <c r="J43" s="109"/>
      <c r="K43" s="14" t="str">
        <f t="shared" si="6"/>
        <v>运营中</v>
      </c>
      <c r="L43" s="109"/>
      <c r="M43" s="109"/>
      <c r="N43" s="13"/>
      <c r="O43" s="24">
        <v>42037</v>
      </c>
      <c r="P43" s="13" t="s">
        <v>3648</v>
      </c>
      <c r="Q43" s="13" t="s">
        <v>3514</v>
      </c>
      <c r="R43" s="13" t="s">
        <v>397</v>
      </c>
      <c r="S43" s="109"/>
      <c r="T43" s="109"/>
      <c r="U43" s="112"/>
      <c r="V43" s="109"/>
      <c r="W43" s="109"/>
      <c r="X43" s="109"/>
    </row>
    <row r="44" spans="2:24">
      <c r="B44" s="109"/>
      <c r="C44" s="109"/>
      <c r="D44" s="20" t="str">
        <f>D43</f>
        <v>新片场</v>
      </c>
      <c r="E44" s="109"/>
      <c r="F44" s="112"/>
      <c r="G44" s="109"/>
      <c r="H44" s="109"/>
      <c r="I44" s="109"/>
      <c r="J44" s="109"/>
      <c r="K44" s="14" t="str">
        <f t="shared" si="6"/>
        <v>运营中</v>
      </c>
      <c r="L44" s="109"/>
      <c r="M44" s="109"/>
      <c r="N44" s="13"/>
      <c r="O44" s="24">
        <v>41730</v>
      </c>
      <c r="P44" s="13" t="s">
        <v>3513</v>
      </c>
      <c r="Q44" s="13" t="s">
        <v>3514</v>
      </c>
      <c r="R44" s="13" t="s">
        <v>1751</v>
      </c>
      <c r="S44" s="109"/>
      <c r="T44" s="109"/>
      <c r="U44" s="112"/>
      <c r="V44" s="109"/>
      <c r="W44" s="109"/>
      <c r="X44" s="109"/>
    </row>
    <row r="45" spans="2:24">
      <c r="B45" s="109"/>
      <c r="C45" s="109"/>
      <c r="D45" s="20" t="str">
        <f>D44</f>
        <v>新片场</v>
      </c>
      <c r="E45" s="109"/>
      <c r="F45" s="112"/>
      <c r="G45" s="109"/>
      <c r="H45" s="109"/>
      <c r="I45" s="109"/>
      <c r="J45" s="109"/>
      <c r="K45" s="14" t="str">
        <f t="shared" si="6"/>
        <v>运营中</v>
      </c>
      <c r="L45" s="109"/>
      <c r="M45" s="109"/>
      <c r="N45" s="13"/>
      <c r="O45" s="24">
        <v>41061</v>
      </c>
      <c r="P45" s="13" t="s">
        <v>5474</v>
      </c>
      <c r="Q45" s="13" t="s">
        <v>5681</v>
      </c>
      <c r="R45" s="13" t="s">
        <v>5682</v>
      </c>
      <c r="S45" s="109"/>
      <c r="T45" s="109"/>
      <c r="U45" s="112"/>
      <c r="V45" s="109"/>
      <c r="W45" s="109"/>
      <c r="X45" s="109"/>
    </row>
    <row r="46" spans="2:24">
      <c r="B46" s="109"/>
      <c r="C46" s="109" t="s">
        <v>400</v>
      </c>
      <c r="D46" s="20" t="s">
        <v>5683</v>
      </c>
      <c r="E46" s="109" t="s">
        <v>5684</v>
      </c>
      <c r="F46" s="112" t="s">
        <v>402</v>
      </c>
      <c r="G46" s="109" t="s">
        <v>5685</v>
      </c>
      <c r="H46" s="109" t="s">
        <v>404</v>
      </c>
      <c r="I46" s="109" t="s">
        <v>405</v>
      </c>
      <c r="J46" s="109" t="s">
        <v>406</v>
      </c>
      <c r="K46" s="14" t="s">
        <v>272</v>
      </c>
      <c r="L46" s="109" t="s">
        <v>1825</v>
      </c>
      <c r="M46" s="109" t="s">
        <v>5686</v>
      </c>
      <c r="N46" s="13"/>
      <c r="O46" s="24">
        <v>44299</v>
      </c>
      <c r="P46" s="13" t="s">
        <v>3276</v>
      </c>
      <c r="Q46" s="13" t="s">
        <v>1750</v>
      </c>
      <c r="R46" s="13" t="s">
        <v>410</v>
      </c>
      <c r="S46" s="109" t="s">
        <v>5687</v>
      </c>
      <c r="T46" s="109" t="s">
        <v>1829</v>
      </c>
      <c r="U46" s="112" t="s">
        <v>413</v>
      </c>
      <c r="V46" s="109" t="s">
        <v>414</v>
      </c>
      <c r="W46" s="109" t="s">
        <v>415</v>
      </c>
      <c r="X46" s="109" t="s">
        <v>416</v>
      </c>
    </row>
    <row r="47" spans="2:24">
      <c r="B47" s="109"/>
      <c r="C47" s="109"/>
      <c r="D47" s="20" t="str">
        <f>D46</f>
        <v>数云</v>
      </c>
      <c r="E47" s="109"/>
      <c r="F47" s="112"/>
      <c r="G47" s="109"/>
      <c r="H47" s="109"/>
      <c r="I47" s="109"/>
      <c r="J47" s="109"/>
      <c r="K47" s="14" t="str">
        <f t="shared" ref="K47:K50" si="7">K46</f>
        <v>运营中</v>
      </c>
      <c r="L47" s="109"/>
      <c r="M47" s="109"/>
      <c r="N47" s="13"/>
      <c r="O47" s="24">
        <v>42851</v>
      </c>
      <c r="P47" s="13" t="s">
        <v>1827</v>
      </c>
      <c r="Q47" s="13" t="s">
        <v>3514</v>
      </c>
      <c r="R47" s="13" t="s">
        <v>417</v>
      </c>
      <c r="S47" s="109"/>
      <c r="T47" s="109"/>
      <c r="U47" s="112"/>
      <c r="V47" s="109"/>
      <c r="W47" s="109"/>
      <c r="X47" s="109"/>
    </row>
    <row r="48" spans="2:24">
      <c r="B48" s="109"/>
      <c r="C48" s="109"/>
      <c r="D48" s="20" t="str">
        <f>D47</f>
        <v>数云</v>
      </c>
      <c r="E48" s="109"/>
      <c r="F48" s="112"/>
      <c r="G48" s="109"/>
      <c r="H48" s="109"/>
      <c r="I48" s="109"/>
      <c r="J48" s="109"/>
      <c r="K48" s="14" t="str">
        <f t="shared" si="7"/>
        <v>运营中</v>
      </c>
      <c r="L48" s="109"/>
      <c r="M48" s="109"/>
      <c r="N48" s="13"/>
      <c r="O48" s="24">
        <v>42050</v>
      </c>
      <c r="P48" s="13" t="s">
        <v>5613</v>
      </c>
      <c r="Q48" s="13" t="s">
        <v>5688</v>
      </c>
      <c r="R48" s="13" t="s">
        <v>419</v>
      </c>
      <c r="S48" s="109"/>
      <c r="T48" s="109"/>
      <c r="U48" s="112"/>
      <c r="V48" s="109"/>
      <c r="W48" s="109"/>
      <c r="X48" s="109"/>
    </row>
    <row r="49" spans="2:24">
      <c r="B49" s="109"/>
      <c r="C49" s="109"/>
      <c r="D49" s="20" t="str">
        <f>D48</f>
        <v>数云</v>
      </c>
      <c r="E49" s="109"/>
      <c r="F49" s="112"/>
      <c r="G49" s="109"/>
      <c r="H49" s="109"/>
      <c r="I49" s="109"/>
      <c r="J49" s="109"/>
      <c r="K49" s="14" t="str">
        <f t="shared" si="7"/>
        <v>运营中</v>
      </c>
      <c r="L49" s="109"/>
      <c r="M49" s="109"/>
      <c r="N49" s="13"/>
      <c r="O49" s="24">
        <v>41764</v>
      </c>
      <c r="P49" s="13" t="s">
        <v>3648</v>
      </c>
      <c r="Q49" s="13" t="s">
        <v>3514</v>
      </c>
      <c r="R49" s="13" t="s">
        <v>420</v>
      </c>
      <c r="S49" s="109"/>
      <c r="T49" s="109"/>
      <c r="U49" s="112"/>
      <c r="V49" s="109"/>
      <c r="W49" s="109"/>
      <c r="X49" s="109"/>
    </row>
    <row r="50" spans="2:24">
      <c r="B50" s="109"/>
      <c r="C50" s="109"/>
      <c r="D50" s="20" t="str">
        <f>D49</f>
        <v>数云</v>
      </c>
      <c r="E50" s="109"/>
      <c r="F50" s="112"/>
      <c r="G50" s="109"/>
      <c r="H50" s="109"/>
      <c r="I50" s="109"/>
      <c r="J50" s="109"/>
      <c r="K50" s="14" t="str">
        <f t="shared" si="7"/>
        <v>运营中</v>
      </c>
      <c r="L50" s="109"/>
      <c r="M50" s="109"/>
      <c r="N50" s="13"/>
      <c r="O50" s="24">
        <v>41153</v>
      </c>
      <c r="P50" s="13" t="s">
        <v>3513</v>
      </c>
      <c r="Q50" s="13" t="s">
        <v>5616</v>
      </c>
      <c r="R50" s="13" t="s">
        <v>5689</v>
      </c>
      <c r="S50" s="109"/>
      <c r="T50" s="109"/>
      <c r="U50" s="112"/>
      <c r="V50" s="109"/>
      <c r="W50" s="109"/>
      <c r="X50" s="109"/>
    </row>
    <row r="51" spans="2:24">
      <c r="B51" s="109"/>
      <c r="C51" s="109" t="s">
        <v>422</v>
      </c>
      <c r="D51" s="20" t="s">
        <v>5690</v>
      </c>
      <c r="E51" s="109" t="s">
        <v>5691</v>
      </c>
      <c r="F51" s="112" t="s">
        <v>424</v>
      </c>
      <c r="G51" s="109" t="s">
        <v>5692</v>
      </c>
      <c r="H51" s="109" t="s">
        <v>426</v>
      </c>
      <c r="I51" s="109" t="s">
        <v>427</v>
      </c>
      <c r="J51" s="109" t="s">
        <v>428</v>
      </c>
      <c r="K51" s="14" t="s">
        <v>272</v>
      </c>
      <c r="L51" s="109" t="s">
        <v>5611</v>
      </c>
      <c r="M51" s="109" t="s">
        <v>5693</v>
      </c>
      <c r="N51" s="13"/>
      <c r="O51" s="24">
        <v>42027</v>
      </c>
      <c r="P51" s="13" t="s">
        <v>3648</v>
      </c>
      <c r="Q51" s="13" t="s">
        <v>3514</v>
      </c>
      <c r="R51" s="13" t="s">
        <v>430</v>
      </c>
      <c r="S51" s="109" t="s">
        <v>5694</v>
      </c>
      <c r="T51" s="109" t="s">
        <v>3517</v>
      </c>
      <c r="U51" s="112" t="s">
        <v>433</v>
      </c>
      <c r="V51" s="109"/>
      <c r="W51" s="109"/>
      <c r="X51" s="109"/>
    </row>
    <row r="52" spans="2:24">
      <c r="B52" s="109"/>
      <c r="C52" s="109"/>
      <c r="D52" s="20" t="str">
        <f>D51</f>
        <v>游友移动</v>
      </c>
      <c r="E52" s="109"/>
      <c r="F52" s="112"/>
      <c r="G52" s="109"/>
      <c r="H52" s="109"/>
      <c r="I52" s="109"/>
      <c r="J52" s="109"/>
      <c r="K52" s="14" t="str">
        <f t="shared" ref="K52:K54" si="8">K51</f>
        <v>运营中</v>
      </c>
      <c r="L52" s="109"/>
      <c r="M52" s="109"/>
      <c r="N52" s="13"/>
      <c r="O52" s="24">
        <v>41640</v>
      </c>
      <c r="P52" s="13" t="s">
        <v>3513</v>
      </c>
      <c r="Q52" s="13" t="s">
        <v>5646</v>
      </c>
      <c r="R52" s="13" t="s">
        <v>5695</v>
      </c>
      <c r="S52" s="109"/>
      <c r="T52" s="109"/>
      <c r="U52" s="112"/>
      <c r="V52" s="109"/>
      <c r="W52" s="109"/>
      <c r="X52" s="109"/>
    </row>
    <row r="53" spans="2:24">
      <c r="B53" s="109"/>
      <c r="C53" s="109"/>
      <c r="D53" s="20" t="str">
        <f>D52</f>
        <v>游友移动</v>
      </c>
      <c r="E53" s="109"/>
      <c r="F53" s="112"/>
      <c r="G53" s="109"/>
      <c r="H53" s="109"/>
      <c r="I53" s="109"/>
      <c r="J53" s="109"/>
      <c r="K53" s="14" t="str">
        <f t="shared" si="8"/>
        <v>运营中</v>
      </c>
      <c r="L53" s="109"/>
      <c r="M53" s="109"/>
      <c r="N53" s="13"/>
      <c r="O53" s="24">
        <v>41518</v>
      </c>
      <c r="P53" s="13" t="s">
        <v>5474</v>
      </c>
      <c r="Q53" s="13" t="s">
        <v>5696</v>
      </c>
      <c r="R53" s="13" t="s">
        <v>436</v>
      </c>
      <c r="S53" s="109"/>
      <c r="T53" s="109"/>
      <c r="U53" s="112"/>
      <c r="V53" s="109"/>
      <c r="W53" s="109"/>
      <c r="X53" s="109"/>
    </row>
    <row r="54" spans="2:24">
      <c r="B54" s="109"/>
      <c r="C54" s="109"/>
      <c r="D54" s="20" t="str">
        <f>D53</f>
        <v>游友移动</v>
      </c>
      <c r="E54" s="109"/>
      <c r="F54" s="112"/>
      <c r="G54" s="109"/>
      <c r="H54" s="109"/>
      <c r="I54" s="109"/>
      <c r="J54" s="109"/>
      <c r="K54" s="14" t="str">
        <f t="shared" si="8"/>
        <v>运营中</v>
      </c>
      <c r="L54" s="109"/>
      <c r="M54" s="109"/>
      <c r="N54" s="13"/>
      <c r="O54" s="24">
        <v>41306</v>
      </c>
      <c r="P54" s="13" t="s">
        <v>5697</v>
      </c>
      <c r="Q54" s="13" t="s">
        <v>2030</v>
      </c>
      <c r="R54" s="13" t="s">
        <v>438</v>
      </c>
      <c r="S54" s="109"/>
      <c r="T54" s="109"/>
      <c r="U54" s="112"/>
      <c r="V54" s="109"/>
      <c r="W54" s="109"/>
      <c r="X54" s="109"/>
    </row>
    <row r="55" spans="2:24">
      <c r="B55" s="109"/>
      <c r="C55" s="109" t="s">
        <v>439</v>
      </c>
      <c r="D55" s="20" t="s">
        <v>5698</v>
      </c>
      <c r="E55" s="109" t="s">
        <v>5699</v>
      </c>
      <c r="F55" s="112" t="s">
        <v>441</v>
      </c>
      <c r="G55" s="109" t="s">
        <v>5700</v>
      </c>
      <c r="H55" s="109" t="s">
        <v>443</v>
      </c>
      <c r="I55" s="109" t="s">
        <v>444</v>
      </c>
      <c r="J55" s="109" t="s">
        <v>428</v>
      </c>
      <c r="K55" s="14" t="s">
        <v>272</v>
      </c>
      <c r="L55" s="109" t="s">
        <v>1825</v>
      </c>
      <c r="M55" s="109" t="s">
        <v>3711</v>
      </c>
      <c r="N55" s="13"/>
      <c r="O55" s="24">
        <v>43998</v>
      </c>
      <c r="P55" s="13" t="s">
        <v>5635</v>
      </c>
      <c r="Q55" s="13" t="s">
        <v>5701</v>
      </c>
      <c r="R55" s="13" t="s">
        <v>447</v>
      </c>
      <c r="S55" s="109" t="s">
        <v>5702</v>
      </c>
      <c r="T55" s="109" t="s">
        <v>4735</v>
      </c>
      <c r="U55" s="112" t="s">
        <v>450</v>
      </c>
      <c r="V55" s="109" t="s">
        <v>451</v>
      </c>
      <c r="W55" s="109" t="s">
        <v>452</v>
      </c>
      <c r="X55" s="109" t="s">
        <v>453</v>
      </c>
    </row>
    <row r="56" spans="2:24">
      <c r="B56" s="109"/>
      <c r="C56" s="109"/>
      <c r="D56" s="20" t="str">
        <f>D55</f>
        <v>七牛云</v>
      </c>
      <c r="E56" s="109"/>
      <c r="F56" s="112"/>
      <c r="G56" s="109"/>
      <c r="H56" s="109"/>
      <c r="I56" s="109"/>
      <c r="J56" s="109"/>
      <c r="K56" s="14" t="str">
        <f t="shared" ref="K56:K60" si="9">K55</f>
        <v>运营中</v>
      </c>
      <c r="L56" s="109"/>
      <c r="M56" s="109"/>
      <c r="N56" s="13"/>
      <c r="O56" s="24">
        <v>43075</v>
      </c>
      <c r="P56" s="13" t="s">
        <v>3276</v>
      </c>
      <c r="Q56" s="13" t="s">
        <v>5703</v>
      </c>
      <c r="R56" s="13" t="s">
        <v>455</v>
      </c>
      <c r="S56" s="109"/>
      <c r="T56" s="109"/>
      <c r="U56" s="112"/>
      <c r="V56" s="109"/>
      <c r="W56" s="109"/>
      <c r="X56" s="109"/>
    </row>
    <row r="57" spans="2:24">
      <c r="B57" s="109"/>
      <c r="C57" s="109"/>
      <c r="D57" s="20" t="str">
        <f>D56</f>
        <v>七牛云</v>
      </c>
      <c r="E57" s="109"/>
      <c r="F57" s="112"/>
      <c r="G57" s="109"/>
      <c r="H57" s="109"/>
      <c r="I57" s="109"/>
      <c r="J57" s="109"/>
      <c r="K57" s="14" t="str">
        <f t="shared" si="9"/>
        <v>运营中</v>
      </c>
      <c r="L57" s="109"/>
      <c r="M57" s="109"/>
      <c r="N57" s="13"/>
      <c r="O57" s="24">
        <v>42395</v>
      </c>
      <c r="P57" s="13" t="s">
        <v>1827</v>
      </c>
      <c r="Q57" s="13" t="s">
        <v>5704</v>
      </c>
      <c r="R57" s="13" t="s">
        <v>457</v>
      </c>
      <c r="S57" s="109"/>
      <c r="T57" s="109"/>
      <c r="U57" s="112"/>
      <c r="V57" s="109"/>
      <c r="W57" s="109"/>
      <c r="X57" s="109"/>
    </row>
    <row r="58" spans="2:24">
      <c r="B58" s="109"/>
      <c r="C58" s="109"/>
      <c r="D58" s="20" t="str">
        <f>D57</f>
        <v>七牛云</v>
      </c>
      <c r="E58" s="109"/>
      <c r="F58" s="112"/>
      <c r="G58" s="109"/>
      <c r="H58" s="109"/>
      <c r="I58" s="109"/>
      <c r="J58" s="109"/>
      <c r="K58" s="14" t="str">
        <f t="shared" si="9"/>
        <v>运营中</v>
      </c>
      <c r="L58" s="109"/>
      <c r="M58" s="109"/>
      <c r="N58" s="13"/>
      <c r="O58" s="24">
        <v>41949</v>
      </c>
      <c r="P58" s="13" t="s">
        <v>5613</v>
      </c>
      <c r="Q58" s="13" t="s">
        <v>4307</v>
      </c>
      <c r="R58" s="13" t="s">
        <v>459</v>
      </c>
      <c r="S58" s="109"/>
      <c r="T58" s="109"/>
      <c r="U58" s="112"/>
      <c r="V58" s="109"/>
      <c r="W58" s="109"/>
      <c r="X58" s="109"/>
    </row>
    <row r="59" spans="2:24">
      <c r="B59" s="109"/>
      <c r="C59" s="109"/>
      <c r="D59" s="20" t="str">
        <f>D58</f>
        <v>七牛云</v>
      </c>
      <c r="E59" s="109"/>
      <c r="F59" s="112"/>
      <c r="G59" s="109"/>
      <c r="H59" s="109"/>
      <c r="I59" s="109"/>
      <c r="J59" s="109"/>
      <c r="K59" s="14" t="str">
        <f t="shared" si="9"/>
        <v>运营中</v>
      </c>
      <c r="L59" s="109"/>
      <c r="M59" s="109"/>
      <c r="N59" s="13"/>
      <c r="O59" s="24">
        <v>41311</v>
      </c>
      <c r="P59" s="13" t="s">
        <v>3648</v>
      </c>
      <c r="Q59" s="13" t="s">
        <v>5705</v>
      </c>
      <c r="R59" s="13" t="s">
        <v>461</v>
      </c>
      <c r="S59" s="109"/>
      <c r="T59" s="109"/>
      <c r="U59" s="112"/>
      <c r="V59" s="109"/>
      <c r="W59" s="109"/>
      <c r="X59" s="109"/>
    </row>
    <row r="60" spans="2:24">
      <c r="B60" s="109"/>
      <c r="C60" s="109"/>
      <c r="D60" s="20" t="str">
        <f>D59</f>
        <v>七牛云</v>
      </c>
      <c r="E60" s="109"/>
      <c r="F60" s="112"/>
      <c r="G60" s="109"/>
      <c r="H60" s="109"/>
      <c r="I60" s="109"/>
      <c r="J60" s="109"/>
      <c r="K60" s="14" t="str">
        <f t="shared" si="9"/>
        <v>运营中</v>
      </c>
      <c r="L60" s="109"/>
      <c r="M60" s="109"/>
      <c r="N60" s="13"/>
      <c r="O60" s="24">
        <v>40951</v>
      </c>
      <c r="P60" s="13" t="s">
        <v>3513</v>
      </c>
      <c r="Q60" s="13" t="s">
        <v>5617</v>
      </c>
      <c r="R60" s="13" t="s">
        <v>5706</v>
      </c>
      <c r="S60" s="109"/>
      <c r="T60" s="109"/>
      <c r="U60" s="112"/>
      <c r="V60" s="109"/>
      <c r="W60" s="109"/>
      <c r="X60" s="109"/>
    </row>
    <row r="61" spans="2:24">
      <c r="B61" s="109"/>
      <c r="C61" s="109" t="s">
        <v>463</v>
      </c>
      <c r="D61" s="20" t="s">
        <v>5707</v>
      </c>
      <c r="E61" s="109" t="s">
        <v>465</v>
      </c>
      <c r="F61" s="112" t="s">
        <v>466</v>
      </c>
      <c r="G61" s="109" t="s">
        <v>5708</v>
      </c>
      <c r="H61" s="109" t="s">
        <v>468</v>
      </c>
      <c r="I61" s="109" t="s">
        <v>469</v>
      </c>
      <c r="J61" s="109" t="s">
        <v>385</v>
      </c>
      <c r="K61" s="14" t="s">
        <v>248</v>
      </c>
      <c r="L61" s="109" t="s">
        <v>1825</v>
      </c>
      <c r="M61" s="109" t="s">
        <v>470</v>
      </c>
      <c r="N61" s="13">
        <v>1</v>
      </c>
      <c r="O61" s="24">
        <v>41518</v>
      </c>
      <c r="P61" s="13" t="s">
        <v>5709</v>
      </c>
      <c r="Q61" s="13" t="s">
        <v>2030</v>
      </c>
      <c r="R61" s="13" t="s">
        <v>1751</v>
      </c>
      <c r="S61" s="109" t="s">
        <v>5710</v>
      </c>
      <c r="T61" s="109" t="s">
        <v>3664</v>
      </c>
      <c r="U61" s="112" t="s">
        <v>473</v>
      </c>
      <c r="V61" s="109"/>
      <c r="W61" s="109"/>
      <c r="X61" s="109"/>
    </row>
    <row r="62" spans="2:24">
      <c r="B62" s="109"/>
      <c r="C62" s="109"/>
      <c r="D62" s="20" t="str">
        <f>D61</f>
        <v>酷盘Kanbox</v>
      </c>
      <c r="E62" s="109"/>
      <c r="F62" s="112"/>
      <c r="G62" s="109"/>
      <c r="H62" s="109"/>
      <c r="I62" s="109"/>
      <c r="J62" s="109"/>
      <c r="K62" s="14" t="str">
        <f t="shared" ref="K62:K64" si="10">K61</f>
        <v>已关闭</v>
      </c>
      <c r="L62" s="109"/>
      <c r="M62" s="109"/>
      <c r="N62" s="13">
        <v>1</v>
      </c>
      <c r="O62" s="24">
        <v>40846</v>
      </c>
      <c r="P62" s="13" t="s">
        <v>3648</v>
      </c>
      <c r="Q62" s="13" t="s">
        <v>4307</v>
      </c>
      <c r="R62" s="13" t="s">
        <v>5711</v>
      </c>
      <c r="S62" s="109"/>
      <c r="T62" s="109"/>
      <c r="U62" s="112"/>
      <c r="V62" s="109"/>
      <c r="W62" s="109"/>
      <c r="X62" s="109"/>
    </row>
    <row r="63" spans="2:24">
      <c r="B63" s="109"/>
      <c r="C63" s="109"/>
      <c r="D63" s="20" t="str">
        <f>D62</f>
        <v>酷盘Kanbox</v>
      </c>
      <c r="E63" s="109"/>
      <c r="F63" s="112"/>
      <c r="G63" s="109"/>
      <c r="H63" s="109"/>
      <c r="I63" s="109"/>
      <c r="J63" s="109"/>
      <c r="K63" s="14" t="str">
        <f t="shared" si="10"/>
        <v>已关闭</v>
      </c>
      <c r="L63" s="109"/>
      <c r="M63" s="109"/>
      <c r="N63" s="13">
        <v>1</v>
      </c>
      <c r="O63" s="24">
        <v>40544</v>
      </c>
      <c r="P63" s="13" t="s">
        <v>3513</v>
      </c>
      <c r="Q63" s="13" t="s">
        <v>5705</v>
      </c>
      <c r="R63" s="13" t="s">
        <v>5712</v>
      </c>
      <c r="S63" s="109"/>
      <c r="T63" s="109"/>
      <c r="U63" s="112"/>
      <c r="V63" s="109"/>
      <c r="W63" s="109"/>
      <c r="X63" s="109"/>
    </row>
    <row r="64" spans="2:24">
      <c r="B64" s="109"/>
      <c r="C64" s="109"/>
      <c r="D64" s="20" t="str">
        <f>D63</f>
        <v>酷盘Kanbox</v>
      </c>
      <c r="E64" s="109"/>
      <c r="F64" s="112"/>
      <c r="G64" s="109"/>
      <c r="H64" s="109"/>
      <c r="I64" s="109"/>
      <c r="J64" s="109"/>
      <c r="K64" s="14" t="str">
        <f t="shared" si="10"/>
        <v>已关闭</v>
      </c>
      <c r="L64" s="109"/>
      <c r="M64" s="109"/>
      <c r="N64" s="13">
        <v>1</v>
      </c>
      <c r="O64" s="24">
        <v>40422</v>
      </c>
      <c r="P64" s="13" t="s">
        <v>5474</v>
      </c>
      <c r="Q64" s="13" t="s">
        <v>5646</v>
      </c>
      <c r="R64" s="13" t="s">
        <v>476</v>
      </c>
      <c r="S64" s="109"/>
      <c r="T64" s="109"/>
      <c r="U64" s="112"/>
      <c r="V64" s="109"/>
      <c r="W64" s="109"/>
      <c r="X64" s="109"/>
    </row>
    <row r="65" spans="2:24">
      <c r="B65" s="109"/>
      <c r="C65" s="109" t="s">
        <v>477</v>
      </c>
      <c r="D65" s="20" t="s">
        <v>5713</v>
      </c>
      <c r="E65" s="109" t="s">
        <v>5714</v>
      </c>
      <c r="F65" s="112" t="s">
        <v>5715</v>
      </c>
      <c r="G65" s="109" t="s">
        <v>5716</v>
      </c>
      <c r="H65" s="109" t="s">
        <v>482</v>
      </c>
      <c r="I65" s="109" t="s">
        <v>483</v>
      </c>
      <c r="J65" s="109" t="s">
        <v>484</v>
      </c>
      <c r="K65" s="14" t="s">
        <v>248</v>
      </c>
      <c r="L65" s="109" t="s">
        <v>2788</v>
      </c>
      <c r="M65" s="109" t="s">
        <v>5717</v>
      </c>
      <c r="N65" s="13">
        <v>1</v>
      </c>
      <c r="O65" s="24">
        <v>42236</v>
      </c>
      <c r="P65" s="13" t="s">
        <v>5709</v>
      </c>
      <c r="Q65" s="13" t="s">
        <v>2030</v>
      </c>
      <c r="R65" s="13" t="s">
        <v>1751</v>
      </c>
      <c r="S65" s="109" t="s">
        <v>5718</v>
      </c>
      <c r="T65" s="109" t="s">
        <v>3664</v>
      </c>
      <c r="U65" s="112" t="s">
        <v>488</v>
      </c>
      <c r="V65" s="109"/>
      <c r="W65" s="109"/>
      <c r="X65" s="109"/>
    </row>
    <row r="66" spans="2:24">
      <c r="B66" s="109"/>
      <c r="C66" s="109"/>
      <c r="D66" s="20" t="str">
        <f>D65</f>
        <v>365翻译</v>
      </c>
      <c r="E66" s="109"/>
      <c r="F66" s="112"/>
      <c r="G66" s="109"/>
      <c r="H66" s="109"/>
      <c r="I66" s="109"/>
      <c r="J66" s="109"/>
      <c r="K66" s="14" t="str">
        <f t="shared" ref="K66:K67" si="11">K65</f>
        <v>已关闭</v>
      </c>
      <c r="L66" s="109"/>
      <c r="M66" s="109"/>
      <c r="N66" s="13">
        <v>1</v>
      </c>
      <c r="O66" s="24">
        <v>41244</v>
      </c>
      <c r="P66" s="13" t="s">
        <v>3513</v>
      </c>
      <c r="Q66" s="13" t="s">
        <v>5616</v>
      </c>
      <c r="R66" s="13" t="s">
        <v>489</v>
      </c>
      <c r="S66" s="109"/>
      <c r="T66" s="109"/>
      <c r="U66" s="112"/>
      <c r="V66" s="109"/>
      <c r="W66" s="109"/>
      <c r="X66" s="109"/>
    </row>
    <row r="67" spans="2:24">
      <c r="B67" s="109"/>
      <c r="C67" s="109"/>
      <c r="D67" s="20" t="str">
        <f>D66</f>
        <v>365翻译</v>
      </c>
      <c r="E67" s="109"/>
      <c r="F67" s="112"/>
      <c r="G67" s="109"/>
      <c r="H67" s="109"/>
      <c r="I67" s="109"/>
      <c r="J67" s="109"/>
      <c r="K67" s="14" t="str">
        <f t="shared" si="11"/>
        <v>已关闭</v>
      </c>
      <c r="L67" s="109"/>
      <c r="M67" s="109"/>
      <c r="N67" s="13">
        <v>1</v>
      </c>
      <c r="O67" s="24">
        <v>40878</v>
      </c>
      <c r="P67" s="13" t="s">
        <v>5474</v>
      </c>
      <c r="Q67" s="13" t="s">
        <v>5616</v>
      </c>
      <c r="R67" s="13" t="s">
        <v>490</v>
      </c>
      <c r="S67" s="109"/>
      <c r="T67" s="109"/>
      <c r="U67" s="112"/>
      <c r="V67" s="109"/>
      <c r="W67" s="109"/>
      <c r="X67" s="109"/>
    </row>
    <row r="68" spans="2:24">
      <c r="B68" s="109"/>
      <c r="C68" s="109" t="s">
        <v>491</v>
      </c>
      <c r="D68" s="20" t="s">
        <v>5719</v>
      </c>
      <c r="E68" s="109" t="s">
        <v>5720</v>
      </c>
      <c r="F68" s="112" t="s">
        <v>493</v>
      </c>
      <c r="G68" s="109" t="s">
        <v>5721</v>
      </c>
      <c r="H68" s="109" t="s">
        <v>495</v>
      </c>
      <c r="I68" s="109" t="s">
        <v>496</v>
      </c>
      <c r="J68" s="109" t="s">
        <v>497</v>
      </c>
      <c r="K68" s="14" t="s">
        <v>272</v>
      </c>
      <c r="L68" s="109" t="s">
        <v>5611</v>
      </c>
      <c r="M68" s="109" t="s">
        <v>5693</v>
      </c>
      <c r="N68" s="13"/>
      <c r="O68" s="24">
        <v>42398</v>
      </c>
      <c r="P68" s="13" t="s">
        <v>3513</v>
      </c>
      <c r="Q68" s="13" t="s">
        <v>3514</v>
      </c>
      <c r="R68" s="13" t="s">
        <v>498</v>
      </c>
      <c r="S68" s="109" t="s">
        <v>5722</v>
      </c>
      <c r="T68" s="109" t="s">
        <v>3517</v>
      </c>
      <c r="U68" s="112" t="s">
        <v>500</v>
      </c>
      <c r="V68" s="109" t="s">
        <v>501</v>
      </c>
      <c r="W68" s="109" t="s">
        <v>502</v>
      </c>
      <c r="X68" s="109" t="s">
        <v>503</v>
      </c>
    </row>
    <row r="69" spans="2:24">
      <c r="B69" s="109"/>
      <c r="C69" s="109"/>
      <c r="D69" s="20" t="str">
        <f>D68</f>
        <v>丸子地球</v>
      </c>
      <c r="E69" s="109"/>
      <c r="F69" s="112"/>
      <c r="G69" s="109"/>
      <c r="H69" s="109"/>
      <c r="I69" s="109"/>
      <c r="J69" s="109"/>
      <c r="K69" s="14" t="str">
        <f t="shared" ref="K69:K70" si="12">K68</f>
        <v>运营中</v>
      </c>
      <c r="L69" s="109"/>
      <c r="M69" s="109"/>
      <c r="N69" s="13"/>
      <c r="O69" s="24">
        <v>41864</v>
      </c>
      <c r="P69" s="13" t="s">
        <v>5474</v>
      </c>
      <c r="Q69" s="13" t="s">
        <v>2030</v>
      </c>
      <c r="R69" s="13" t="s">
        <v>5723</v>
      </c>
      <c r="S69" s="109"/>
      <c r="T69" s="109"/>
      <c r="U69" s="112"/>
      <c r="V69" s="109"/>
      <c r="W69" s="109"/>
      <c r="X69" s="109"/>
    </row>
    <row r="70" spans="2:24">
      <c r="B70" s="109"/>
      <c r="C70" s="109"/>
      <c r="D70" s="20" t="str">
        <f>D69</f>
        <v>丸子地球</v>
      </c>
      <c r="E70" s="109"/>
      <c r="F70" s="112"/>
      <c r="G70" s="109"/>
      <c r="H70" s="109"/>
      <c r="I70" s="109"/>
      <c r="J70" s="109"/>
      <c r="K70" s="14" t="str">
        <f t="shared" si="12"/>
        <v>运营中</v>
      </c>
      <c r="L70" s="109"/>
      <c r="M70" s="109"/>
      <c r="N70" s="13"/>
      <c r="O70" s="24">
        <v>41183</v>
      </c>
      <c r="P70" s="13" t="s">
        <v>5697</v>
      </c>
      <c r="Q70" s="13" t="s">
        <v>5681</v>
      </c>
      <c r="R70" s="13" t="s">
        <v>5724</v>
      </c>
      <c r="S70" s="109"/>
      <c r="T70" s="109"/>
      <c r="U70" s="112"/>
      <c r="V70" s="109"/>
      <c r="W70" s="109"/>
      <c r="X70" s="109"/>
    </row>
    <row r="71" spans="2:24">
      <c r="B71" s="109"/>
      <c r="C71" s="109" t="s">
        <v>506</v>
      </c>
      <c r="D71" s="20" t="s">
        <v>5725</v>
      </c>
      <c r="E71" s="109" t="s">
        <v>5726</v>
      </c>
      <c r="F71" s="112" t="s">
        <v>5727</v>
      </c>
      <c r="G71" s="109" t="s">
        <v>5728</v>
      </c>
      <c r="H71" s="109" t="s">
        <v>510</v>
      </c>
      <c r="I71" s="109" t="s">
        <v>511</v>
      </c>
      <c r="J71" s="109" t="s">
        <v>406</v>
      </c>
      <c r="K71" s="14" t="s">
        <v>272</v>
      </c>
      <c r="L71" s="109" t="s">
        <v>3274</v>
      </c>
      <c r="M71" s="109" t="s">
        <v>5729</v>
      </c>
      <c r="N71" s="13">
        <v>1</v>
      </c>
      <c r="O71" s="24">
        <v>43913</v>
      </c>
      <c r="P71" s="13" t="s">
        <v>5709</v>
      </c>
      <c r="Q71" s="13" t="s">
        <v>5000</v>
      </c>
      <c r="R71" s="13" t="s">
        <v>514</v>
      </c>
      <c r="S71" s="109" t="s">
        <v>5730</v>
      </c>
      <c r="T71" s="109" t="s">
        <v>3664</v>
      </c>
      <c r="U71" s="112" t="s">
        <v>516</v>
      </c>
      <c r="V71" s="109" t="s">
        <v>517</v>
      </c>
      <c r="W71" s="109" t="s">
        <v>518</v>
      </c>
      <c r="X71" s="109" t="s">
        <v>519</v>
      </c>
    </row>
    <row r="72" spans="2:24">
      <c r="B72" s="109"/>
      <c r="C72" s="109"/>
      <c r="D72" s="20" t="str">
        <f t="shared" ref="D72:D78" si="13">D71</f>
        <v>点我达</v>
      </c>
      <c r="E72" s="109"/>
      <c r="F72" s="112"/>
      <c r="G72" s="109"/>
      <c r="H72" s="109"/>
      <c r="I72" s="109"/>
      <c r="J72" s="109"/>
      <c r="K72" s="14" t="str">
        <f t="shared" ref="K72:K78" si="14">K71</f>
        <v>运营中</v>
      </c>
      <c r="L72" s="109"/>
      <c r="M72" s="109"/>
      <c r="N72" s="13">
        <v>1</v>
      </c>
      <c r="O72" s="24">
        <v>43292</v>
      </c>
      <c r="P72" s="13" t="s">
        <v>1045</v>
      </c>
      <c r="Q72" s="13" t="s">
        <v>5731</v>
      </c>
      <c r="R72" s="13" t="s">
        <v>514</v>
      </c>
      <c r="S72" s="109"/>
      <c r="T72" s="109"/>
      <c r="U72" s="112"/>
      <c r="V72" s="109"/>
      <c r="W72" s="109"/>
      <c r="X72" s="109"/>
    </row>
    <row r="73" spans="2:24">
      <c r="B73" s="109"/>
      <c r="C73" s="109"/>
      <c r="D73" s="20" t="str">
        <f t="shared" si="13"/>
        <v>点我达</v>
      </c>
      <c r="E73" s="109"/>
      <c r="F73" s="112"/>
      <c r="G73" s="109"/>
      <c r="H73" s="109"/>
      <c r="I73" s="109"/>
      <c r="J73" s="109"/>
      <c r="K73" s="14" t="str">
        <f t="shared" si="14"/>
        <v>运营中</v>
      </c>
      <c r="L73" s="109"/>
      <c r="M73" s="109"/>
      <c r="N73" s="13">
        <v>1</v>
      </c>
      <c r="O73" s="24">
        <v>43189</v>
      </c>
      <c r="P73" s="13" t="s">
        <v>1045</v>
      </c>
      <c r="Q73" s="13" t="s">
        <v>5129</v>
      </c>
      <c r="R73" s="13" t="s">
        <v>5732</v>
      </c>
      <c r="S73" s="109"/>
      <c r="T73" s="109"/>
      <c r="U73" s="112"/>
      <c r="V73" s="109"/>
      <c r="W73" s="109"/>
      <c r="X73" s="109"/>
    </row>
    <row r="74" spans="2:24">
      <c r="B74" s="109"/>
      <c r="C74" s="109"/>
      <c r="D74" s="20" t="str">
        <f t="shared" si="13"/>
        <v>点我达</v>
      </c>
      <c r="E74" s="109"/>
      <c r="F74" s="112"/>
      <c r="G74" s="109"/>
      <c r="H74" s="109"/>
      <c r="I74" s="109"/>
      <c r="J74" s="109"/>
      <c r="K74" s="14" t="str">
        <f t="shared" si="14"/>
        <v>运营中</v>
      </c>
      <c r="L74" s="109"/>
      <c r="M74" s="109"/>
      <c r="N74" s="13">
        <v>1</v>
      </c>
      <c r="O74" s="24">
        <v>42573</v>
      </c>
      <c r="P74" s="13" t="s">
        <v>1827</v>
      </c>
      <c r="Q74" s="13" t="s">
        <v>3811</v>
      </c>
      <c r="R74" s="13" t="s">
        <v>1751</v>
      </c>
      <c r="S74" s="109"/>
      <c r="T74" s="109"/>
      <c r="U74" s="112"/>
      <c r="V74" s="109"/>
      <c r="W74" s="109"/>
      <c r="X74" s="109"/>
    </row>
    <row r="75" spans="2:24">
      <c r="B75" s="109"/>
      <c r="C75" s="109"/>
      <c r="D75" s="20" t="str">
        <f t="shared" si="13"/>
        <v>点我达</v>
      </c>
      <c r="E75" s="109"/>
      <c r="F75" s="112"/>
      <c r="G75" s="109"/>
      <c r="H75" s="109"/>
      <c r="I75" s="109"/>
      <c r="J75" s="109"/>
      <c r="K75" s="14" t="str">
        <f t="shared" si="14"/>
        <v>运营中</v>
      </c>
      <c r="L75" s="109"/>
      <c r="M75" s="109"/>
      <c r="N75" s="13">
        <v>1</v>
      </c>
      <c r="O75" s="24">
        <v>42296</v>
      </c>
      <c r="P75" s="13" t="s">
        <v>2029</v>
      </c>
      <c r="Q75" s="13" t="s">
        <v>3514</v>
      </c>
      <c r="R75" s="13" t="s">
        <v>5733</v>
      </c>
      <c r="S75" s="109"/>
      <c r="T75" s="109"/>
      <c r="U75" s="112"/>
      <c r="V75" s="109"/>
      <c r="W75" s="109"/>
      <c r="X75" s="109"/>
    </row>
    <row r="76" spans="2:24">
      <c r="B76" s="109"/>
      <c r="C76" s="109"/>
      <c r="D76" s="20" t="str">
        <f t="shared" si="13"/>
        <v>点我达</v>
      </c>
      <c r="E76" s="109"/>
      <c r="F76" s="112"/>
      <c r="G76" s="109"/>
      <c r="H76" s="109"/>
      <c r="I76" s="109"/>
      <c r="J76" s="109"/>
      <c r="K76" s="14" t="str">
        <f t="shared" si="14"/>
        <v>运营中</v>
      </c>
      <c r="L76" s="109"/>
      <c r="M76" s="109"/>
      <c r="N76" s="13">
        <v>1</v>
      </c>
      <c r="O76" s="24">
        <v>42265</v>
      </c>
      <c r="P76" s="13" t="s">
        <v>5613</v>
      </c>
      <c r="Q76" s="13" t="s">
        <v>1750</v>
      </c>
      <c r="R76" s="13" t="s">
        <v>5734</v>
      </c>
      <c r="S76" s="109"/>
      <c r="T76" s="109"/>
      <c r="U76" s="112"/>
      <c r="V76" s="109"/>
      <c r="W76" s="109"/>
      <c r="X76" s="109"/>
    </row>
    <row r="77" spans="2:24">
      <c r="B77" s="109"/>
      <c r="C77" s="109"/>
      <c r="D77" s="20" t="str">
        <f t="shared" si="13"/>
        <v>点我达</v>
      </c>
      <c r="E77" s="109"/>
      <c r="F77" s="112"/>
      <c r="G77" s="109"/>
      <c r="H77" s="109"/>
      <c r="I77" s="109"/>
      <c r="J77" s="109"/>
      <c r="K77" s="14" t="str">
        <f t="shared" si="14"/>
        <v>运营中</v>
      </c>
      <c r="L77" s="109"/>
      <c r="M77" s="109"/>
      <c r="N77" s="13">
        <v>1</v>
      </c>
      <c r="O77" s="24">
        <v>41821</v>
      </c>
      <c r="P77" s="13" t="s">
        <v>3648</v>
      </c>
      <c r="Q77" s="13" t="s">
        <v>5576</v>
      </c>
      <c r="R77" s="13" t="s">
        <v>526</v>
      </c>
      <c r="S77" s="109"/>
      <c r="T77" s="109"/>
      <c r="U77" s="112"/>
      <c r="V77" s="109"/>
      <c r="W77" s="109"/>
      <c r="X77" s="109"/>
    </row>
    <row r="78" spans="2:24">
      <c r="B78" s="109"/>
      <c r="C78" s="109"/>
      <c r="D78" s="20" t="str">
        <f t="shared" si="13"/>
        <v>点我达</v>
      </c>
      <c r="E78" s="109"/>
      <c r="F78" s="112"/>
      <c r="G78" s="109"/>
      <c r="H78" s="109"/>
      <c r="I78" s="109"/>
      <c r="J78" s="109"/>
      <c r="K78" s="14" t="str">
        <f t="shared" si="14"/>
        <v>运营中</v>
      </c>
      <c r="L78" s="109"/>
      <c r="M78" s="109"/>
      <c r="N78" s="13">
        <v>1</v>
      </c>
      <c r="O78" s="24">
        <v>40922</v>
      </c>
      <c r="P78" s="13" t="s">
        <v>3513</v>
      </c>
      <c r="Q78" s="13" t="s">
        <v>5735</v>
      </c>
      <c r="R78" s="13" t="s">
        <v>5736</v>
      </c>
      <c r="S78" s="109"/>
      <c r="T78" s="109"/>
      <c r="U78" s="112"/>
      <c r="V78" s="109"/>
      <c r="W78" s="109"/>
      <c r="X78" s="109"/>
    </row>
    <row r="79" spans="2:24">
      <c r="B79" s="109"/>
      <c r="C79" s="109" t="s">
        <v>529</v>
      </c>
      <c r="D79" s="20" t="s">
        <v>5737</v>
      </c>
      <c r="E79" s="109" t="s">
        <v>5642</v>
      </c>
      <c r="F79" s="112" t="s">
        <v>5738</v>
      </c>
      <c r="G79" s="109" t="s">
        <v>5739</v>
      </c>
      <c r="H79" s="109" t="s">
        <v>532</v>
      </c>
      <c r="I79" s="109" t="s">
        <v>533</v>
      </c>
      <c r="J79" s="109" t="s">
        <v>406</v>
      </c>
      <c r="K79" s="14" t="s">
        <v>272</v>
      </c>
      <c r="L79" s="109" t="s">
        <v>2711</v>
      </c>
      <c r="M79" s="109" t="s">
        <v>4903</v>
      </c>
      <c r="N79" s="13">
        <v>1</v>
      </c>
      <c r="O79" s="24">
        <v>42049</v>
      </c>
      <c r="P79" s="13" t="s">
        <v>5641</v>
      </c>
      <c r="Q79" s="13" t="s">
        <v>2030</v>
      </c>
      <c r="R79" s="13" t="s">
        <v>5620</v>
      </c>
      <c r="S79" s="109" t="s">
        <v>5740</v>
      </c>
      <c r="T79" s="109" t="s">
        <v>3664</v>
      </c>
      <c r="U79" s="112" t="s">
        <v>535</v>
      </c>
      <c r="V79" s="109"/>
      <c r="W79" s="109"/>
      <c r="X79" s="109"/>
    </row>
    <row r="80" spans="2:24">
      <c r="B80" s="109"/>
      <c r="C80" s="109"/>
      <c r="D80" s="20" t="str">
        <f t="shared" ref="D80:D85" si="15">D79</f>
        <v>快的打车</v>
      </c>
      <c r="E80" s="109"/>
      <c r="F80" s="112"/>
      <c r="G80" s="109"/>
      <c r="H80" s="109"/>
      <c r="I80" s="109"/>
      <c r="J80" s="109"/>
      <c r="K80" s="14" t="str">
        <f t="shared" ref="K80:K85" si="16">K79</f>
        <v>运营中</v>
      </c>
      <c r="L80" s="109"/>
      <c r="M80" s="109"/>
      <c r="N80" s="13">
        <v>1</v>
      </c>
      <c r="O80" s="24">
        <v>42019</v>
      </c>
      <c r="P80" s="13" t="s">
        <v>1827</v>
      </c>
      <c r="Q80" s="13" t="s">
        <v>5627</v>
      </c>
      <c r="R80" s="13" t="s">
        <v>536</v>
      </c>
      <c r="S80" s="109"/>
      <c r="T80" s="109"/>
      <c r="U80" s="112"/>
      <c r="V80" s="109"/>
      <c r="W80" s="109"/>
      <c r="X80" s="109"/>
    </row>
    <row r="81" spans="2:24">
      <c r="B81" s="109"/>
      <c r="C81" s="109"/>
      <c r="D81" s="20" t="str">
        <f t="shared" si="15"/>
        <v>快的打车</v>
      </c>
      <c r="E81" s="109"/>
      <c r="F81" s="112"/>
      <c r="G81" s="109"/>
      <c r="H81" s="109"/>
      <c r="I81" s="109"/>
      <c r="J81" s="109"/>
      <c r="K81" s="14" t="str">
        <f t="shared" si="16"/>
        <v>运营中</v>
      </c>
      <c r="L81" s="109"/>
      <c r="M81" s="109"/>
      <c r="N81" s="13">
        <v>1</v>
      </c>
      <c r="O81" s="24">
        <v>41930</v>
      </c>
      <c r="P81" s="13" t="s">
        <v>5613</v>
      </c>
      <c r="Q81" s="13" t="s">
        <v>4732</v>
      </c>
      <c r="R81" s="13" t="s">
        <v>5741</v>
      </c>
      <c r="S81" s="109"/>
      <c r="T81" s="109"/>
      <c r="U81" s="112"/>
      <c r="V81" s="109"/>
      <c r="W81" s="109"/>
      <c r="X81" s="109"/>
    </row>
    <row r="82" spans="2:24">
      <c r="B82" s="109"/>
      <c r="C82" s="109"/>
      <c r="D82" s="20" t="str">
        <f t="shared" si="15"/>
        <v>快的打车</v>
      </c>
      <c r="E82" s="109"/>
      <c r="F82" s="112"/>
      <c r="G82" s="109"/>
      <c r="H82" s="109"/>
      <c r="I82" s="109"/>
      <c r="J82" s="109"/>
      <c r="K82" s="14" t="str">
        <f t="shared" si="16"/>
        <v>运营中</v>
      </c>
      <c r="L82" s="109"/>
      <c r="M82" s="109"/>
      <c r="N82" s="13">
        <v>1</v>
      </c>
      <c r="O82" s="24">
        <v>41741</v>
      </c>
      <c r="P82" s="13" t="s">
        <v>3648</v>
      </c>
      <c r="Q82" s="13" t="s">
        <v>5129</v>
      </c>
      <c r="R82" s="13" t="s">
        <v>538</v>
      </c>
      <c r="S82" s="109"/>
      <c r="T82" s="109"/>
      <c r="U82" s="112"/>
      <c r="V82" s="109"/>
      <c r="W82" s="109"/>
      <c r="X82" s="109"/>
    </row>
    <row r="83" spans="2:24">
      <c r="B83" s="109"/>
      <c r="C83" s="109"/>
      <c r="D83" s="20" t="str">
        <f t="shared" si="15"/>
        <v>快的打车</v>
      </c>
      <c r="E83" s="109"/>
      <c r="F83" s="112"/>
      <c r="G83" s="109"/>
      <c r="H83" s="109"/>
      <c r="I83" s="109"/>
      <c r="J83" s="109"/>
      <c r="K83" s="14" t="str">
        <f t="shared" si="16"/>
        <v>运营中</v>
      </c>
      <c r="L83" s="109"/>
      <c r="M83" s="109"/>
      <c r="N83" s="13">
        <v>1</v>
      </c>
      <c r="O83" s="24">
        <v>41560</v>
      </c>
      <c r="P83" s="13" t="s">
        <v>4306</v>
      </c>
      <c r="Q83" s="13" t="s">
        <v>5742</v>
      </c>
      <c r="R83" s="13" t="s">
        <v>5706</v>
      </c>
      <c r="S83" s="109"/>
      <c r="T83" s="109"/>
      <c r="U83" s="112"/>
      <c r="V83" s="109"/>
      <c r="W83" s="109"/>
      <c r="X83" s="109"/>
    </row>
    <row r="84" spans="2:24">
      <c r="B84" s="109"/>
      <c r="C84" s="109"/>
      <c r="D84" s="20" t="str">
        <f t="shared" si="15"/>
        <v>快的打车</v>
      </c>
      <c r="E84" s="109"/>
      <c r="F84" s="112"/>
      <c r="G84" s="109"/>
      <c r="H84" s="109"/>
      <c r="I84" s="109"/>
      <c r="J84" s="109"/>
      <c r="K84" s="14" t="str">
        <f t="shared" si="16"/>
        <v>运营中</v>
      </c>
      <c r="L84" s="109"/>
      <c r="M84" s="109"/>
      <c r="N84" s="13">
        <v>1</v>
      </c>
      <c r="O84" s="24">
        <v>41365</v>
      </c>
      <c r="P84" s="13" t="s">
        <v>3513</v>
      </c>
      <c r="Q84" s="13" t="s">
        <v>5742</v>
      </c>
      <c r="R84" s="13" t="s">
        <v>1751</v>
      </c>
      <c r="S84" s="109"/>
      <c r="T84" s="109"/>
      <c r="U84" s="112"/>
      <c r="V84" s="109"/>
      <c r="W84" s="109"/>
      <c r="X84" s="109"/>
    </row>
    <row r="85" spans="2:24">
      <c r="B85" s="109"/>
      <c r="C85" s="109"/>
      <c r="D85" s="20" t="str">
        <f t="shared" si="15"/>
        <v>快的打车</v>
      </c>
      <c r="E85" s="109"/>
      <c r="F85" s="112"/>
      <c r="G85" s="109"/>
      <c r="H85" s="109"/>
      <c r="I85" s="109"/>
      <c r="J85" s="109"/>
      <c r="K85" s="14" t="str">
        <f t="shared" si="16"/>
        <v>运营中</v>
      </c>
      <c r="L85" s="109"/>
      <c r="M85" s="109"/>
      <c r="N85" s="13">
        <v>1</v>
      </c>
      <c r="O85" s="24">
        <v>41244</v>
      </c>
      <c r="P85" s="13" t="s">
        <v>5474</v>
      </c>
      <c r="Q85" s="13" t="s">
        <v>5646</v>
      </c>
      <c r="R85" s="13" t="s">
        <v>5743</v>
      </c>
      <c r="S85" s="109"/>
      <c r="T85" s="109"/>
      <c r="U85" s="112"/>
      <c r="V85" s="109"/>
      <c r="W85" s="109"/>
      <c r="X85" s="109"/>
    </row>
    <row r="86" spans="2:24">
      <c r="B86" s="109"/>
      <c r="C86" s="109" t="s">
        <v>541</v>
      </c>
      <c r="D86" s="20" t="s">
        <v>5744</v>
      </c>
      <c r="E86" s="109" t="s">
        <v>5745</v>
      </c>
      <c r="F86" s="112" t="s">
        <v>5746</v>
      </c>
      <c r="G86" s="109" t="s">
        <v>5747</v>
      </c>
      <c r="H86" s="109" t="s">
        <v>545</v>
      </c>
      <c r="I86" s="109" t="s">
        <v>546</v>
      </c>
      <c r="J86" s="109" t="s">
        <v>547</v>
      </c>
      <c r="K86" s="14" t="s">
        <v>272</v>
      </c>
      <c r="L86" s="109" t="s">
        <v>2788</v>
      </c>
      <c r="M86" s="109" t="s">
        <v>5748</v>
      </c>
      <c r="N86" s="13"/>
      <c r="O86" s="24">
        <v>41873</v>
      </c>
      <c r="P86" s="13" t="s">
        <v>3648</v>
      </c>
      <c r="Q86" s="13" t="s">
        <v>5129</v>
      </c>
      <c r="R86" s="13" t="s">
        <v>549</v>
      </c>
      <c r="S86" s="109" t="s">
        <v>5749</v>
      </c>
      <c r="T86" s="109" t="s">
        <v>5750</v>
      </c>
      <c r="U86" s="112" t="s">
        <v>552</v>
      </c>
      <c r="V86" s="109"/>
      <c r="W86" s="109"/>
      <c r="X86" s="109"/>
    </row>
    <row r="87" spans="2:24">
      <c r="B87" s="109"/>
      <c r="C87" s="109"/>
      <c r="D87" s="20" t="str">
        <f>D86</f>
        <v>超级课程表</v>
      </c>
      <c r="E87" s="109"/>
      <c r="F87" s="112"/>
      <c r="G87" s="109"/>
      <c r="H87" s="109"/>
      <c r="I87" s="109"/>
      <c r="J87" s="109"/>
      <c r="K87" s="14" t="str">
        <f t="shared" ref="K87:K89" si="17">K86</f>
        <v>运营中</v>
      </c>
      <c r="L87" s="109"/>
      <c r="M87" s="109"/>
      <c r="N87" s="13"/>
      <c r="O87" s="24">
        <v>41548</v>
      </c>
      <c r="P87" s="13" t="s">
        <v>3513</v>
      </c>
      <c r="Q87" s="13" t="s">
        <v>5662</v>
      </c>
      <c r="R87" s="13" t="s">
        <v>553</v>
      </c>
      <c r="S87" s="109"/>
      <c r="T87" s="109"/>
      <c r="U87" s="112"/>
      <c r="V87" s="109"/>
      <c r="W87" s="109"/>
      <c r="X87" s="109"/>
    </row>
    <row r="88" spans="2:24">
      <c r="B88" s="109"/>
      <c r="C88" s="109"/>
      <c r="D88" s="20" t="str">
        <f>D87</f>
        <v>超级课程表</v>
      </c>
      <c r="E88" s="109"/>
      <c r="F88" s="112"/>
      <c r="G88" s="109"/>
      <c r="H88" s="109"/>
      <c r="I88" s="109"/>
      <c r="J88" s="109"/>
      <c r="K88" s="14" t="str">
        <f t="shared" si="17"/>
        <v>运营中</v>
      </c>
      <c r="L88" s="109"/>
      <c r="M88" s="109"/>
      <c r="N88" s="13"/>
      <c r="O88" s="24">
        <v>41487</v>
      </c>
      <c r="P88" s="13" t="s">
        <v>5474</v>
      </c>
      <c r="Q88" s="13" t="s">
        <v>5646</v>
      </c>
      <c r="R88" s="13" t="s">
        <v>490</v>
      </c>
      <c r="S88" s="109"/>
      <c r="T88" s="109"/>
      <c r="U88" s="112"/>
      <c r="V88" s="109"/>
      <c r="W88" s="109"/>
      <c r="X88" s="109"/>
    </row>
    <row r="89" spans="2:24">
      <c r="B89" s="109"/>
      <c r="C89" s="109"/>
      <c r="D89" s="20" t="str">
        <f>D88</f>
        <v>超级课程表</v>
      </c>
      <c r="E89" s="109"/>
      <c r="F89" s="112"/>
      <c r="G89" s="109"/>
      <c r="H89" s="109"/>
      <c r="I89" s="109"/>
      <c r="J89" s="109"/>
      <c r="K89" s="14" t="str">
        <f t="shared" si="17"/>
        <v>运营中</v>
      </c>
      <c r="L89" s="109"/>
      <c r="M89" s="109"/>
      <c r="N89" s="13"/>
      <c r="O89" s="24">
        <v>41244</v>
      </c>
      <c r="P89" s="13" t="s">
        <v>5697</v>
      </c>
      <c r="Q89" s="13" t="s">
        <v>5681</v>
      </c>
      <c r="R89" s="13" t="s">
        <v>554</v>
      </c>
      <c r="S89" s="109"/>
      <c r="T89" s="109"/>
      <c r="U89" s="112"/>
      <c r="V89" s="109"/>
      <c r="W89" s="109"/>
      <c r="X89" s="109"/>
    </row>
    <row r="90" spans="2:24">
      <c r="B90" s="109"/>
      <c r="C90" s="109" t="s">
        <v>555</v>
      </c>
      <c r="D90" s="20" t="s">
        <v>556</v>
      </c>
      <c r="E90" s="109" t="s">
        <v>556</v>
      </c>
      <c r="F90" s="112" t="s">
        <v>5751</v>
      </c>
      <c r="G90" s="109" t="s">
        <v>5752</v>
      </c>
      <c r="H90" s="109" t="s">
        <v>559</v>
      </c>
      <c r="I90" s="109" t="s">
        <v>405</v>
      </c>
      <c r="J90" s="109" t="s">
        <v>428</v>
      </c>
      <c r="K90" s="14" t="s">
        <v>272</v>
      </c>
      <c r="L90" s="109" t="s">
        <v>1825</v>
      </c>
      <c r="M90" s="109" t="s">
        <v>560</v>
      </c>
      <c r="N90" s="13">
        <v>1</v>
      </c>
      <c r="O90" s="24">
        <v>43552</v>
      </c>
      <c r="P90" s="13" t="s">
        <v>5709</v>
      </c>
      <c r="Q90" s="13" t="s">
        <v>5000</v>
      </c>
      <c r="R90" s="13" t="s">
        <v>1751</v>
      </c>
      <c r="S90" s="109" t="s">
        <v>5753</v>
      </c>
      <c r="T90" s="109" t="s">
        <v>3664</v>
      </c>
      <c r="U90" s="112" t="s">
        <v>562</v>
      </c>
      <c r="V90" s="109"/>
      <c r="W90" s="109" t="s">
        <v>563</v>
      </c>
      <c r="X90" s="109" t="s">
        <v>564</v>
      </c>
    </row>
    <row r="91" spans="2:24">
      <c r="B91" s="109"/>
      <c r="C91" s="109"/>
      <c r="D91" s="20" t="str">
        <f>D90</f>
        <v>Teambition</v>
      </c>
      <c r="E91" s="109"/>
      <c r="F91" s="112"/>
      <c r="G91" s="109"/>
      <c r="H91" s="109"/>
      <c r="I91" s="109"/>
      <c r="J91" s="109"/>
      <c r="K91" s="14" t="str">
        <f t="shared" ref="K91:K95" si="18">K90</f>
        <v>运营中</v>
      </c>
      <c r="L91" s="109"/>
      <c r="M91" s="109"/>
      <c r="N91" s="13">
        <v>1</v>
      </c>
      <c r="O91" s="24">
        <v>42600</v>
      </c>
      <c r="P91" s="13" t="s">
        <v>5754</v>
      </c>
      <c r="Q91" s="13" t="s">
        <v>5000</v>
      </c>
      <c r="R91" s="13" t="s">
        <v>5755</v>
      </c>
      <c r="S91" s="109"/>
      <c r="T91" s="109"/>
      <c r="U91" s="112"/>
      <c r="V91" s="109"/>
      <c r="W91" s="109"/>
      <c r="X91" s="109"/>
    </row>
    <row r="92" spans="2:24">
      <c r="B92" s="109"/>
      <c r="C92" s="109"/>
      <c r="D92" s="20" t="str">
        <f>D91</f>
        <v>Teambition</v>
      </c>
      <c r="E92" s="109"/>
      <c r="F92" s="112"/>
      <c r="G92" s="109"/>
      <c r="H92" s="109"/>
      <c r="I92" s="109"/>
      <c r="J92" s="109"/>
      <c r="K92" s="14" t="str">
        <f t="shared" si="18"/>
        <v>运营中</v>
      </c>
      <c r="L92" s="109"/>
      <c r="M92" s="109"/>
      <c r="N92" s="13">
        <v>1</v>
      </c>
      <c r="O92" s="24">
        <v>42268</v>
      </c>
      <c r="P92" s="13" t="s">
        <v>3648</v>
      </c>
      <c r="Q92" s="13" t="s">
        <v>5756</v>
      </c>
      <c r="R92" s="13" t="s">
        <v>5757</v>
      </c>
      <c r="S92" s="109"/>
      <c r="T92" s="109"/>
      <c r="U92" s="112"/>
      <c r="V92" s="109"/>
      <c r="W92" s="109"/>
      <c r="X92" s="109"/>
    </row>
    <row r="93" spans="2:24">
      <c r="B93" s="109"/>
      <c r="C93" s="109"/>
      <c r="D93" s="20" t="str">
        <f>D92</f>
        <v>Teambition</v>
      </c>
      <c r="E93" s="109"/>
      <c r="F93" s="112"/>
      <c r="G93" s="109"/>
      <c r="H93" s="109"/>
      <c r="I93" s="109"/>
      <c r="J93" s="109"/>
      <c r="K93" s="14" t="str">
        <f t="shared" si="18"/>
        <v>运营中</v>
      </c>
      <c r="L93" s="109"/>
      <c r="M93" s="109"/>
      <c r="N93" s="13">
        <v>1</v>
      </c>
      <c r="O93" s="24">
        <v>41976</v>
      </c>
      <c r="P93" s="13" t="s">
        <v>3513</v>
      </c>
      <c r="Q93" s="13" t="s">
        <v>5705</v>
      </c>
      <c r="R93" s="13" t="s">
        <v>5758</v>
      </c>
      <c r="S93" s="109"/>
      <c r="T93" s="109"/>
      <c r="U93" s="112"/>
      <c r="V93" s="109"/>
      <c r="W93" s="109"/>
      <c r="X93" s="109"/>
    </row>
    <row r="94" spans="2:24">
      <c r="B94" s="109"/>
      <c r="C94" s="109"/>
      <c r="D94" s="20" t="str">
        <f>D93</f>
        <v>Teambition</v>
      </c>
      <c r="E94" s="109"/>
      <c r="F94" s="112"/>
      <c r="G94" s="109"/>
      <c r="H94" s="109"/>
      <c r="I94" s="109"/>
      <c r="J94" s="109"/>
      <c r="K94" s="14" t="str">
        <f t="shared" si="18"/>
        <v>运营中</v>
      </c>
      <c r="L94" s="109"/>
      <c r="M94" s="109"/>
      <c r="N94" s="13">
        <v>1</v>
      </c>
      <c r="O94" s="24">
        <v>41437</v>
      </c>
      <c r="P94" s="13" t="s">
        <v>5474</v>
      </c>
      <c r="Q94" s="13" t="s">
        <v>5646</v>
      </c>
      <c r="R94" s="13" t="s">
        <v>5736</v>
      </c>
      <c r="S94" s="109"/>
      <c r="T94" s="109"/>
      <c r="U94" s="112"/>
      <c r="V94" s="109"/>
      <c r="W94" s="109"/>
      <c r="X94" s="109"/>
    </row>
    <row r="95" spans="2:24">
      <c r="B95" s="109"/>
      <c r="C95" s="109"/>
      <c r="D95" s="20" t="str">
        <f>D94</f>
        <v>Teambition</v>
      </c>
      <c r="E95" s="109"/>
      <c r="F95" s="112"/>
      <c r="G95" s="109"/>
      <c r="H95" s="109"/>
      <c r="I95" s="109"/>
      <c r="J95" s="109"/>
      <c r="K95" s="14" t="str">
        <f t="shared" si="18"/>
        <v>运营中</v>
      </c>
      <c r="L95" s="109"/>
      <c r="M95" s="109"/>
      <c r="N95" s="13">
        <v>1</v>
      </c>
      <c r="O95" s="24">
        <v>40634</v>
      </c>
      <c r="P95" s="13" t="s">
        <v>5697</v>
      </c>
      <c r="Q95" s="13" t="s">
        <v>5759</v>
      </c>
      <c r="R95" s="13" t="s">
        <v>253</v>
      </c>
      <c r="S95" s="109"/>
      <c r="T95" s="109"/>
      <c r="U95" s="112"/>
      <c r="V95" s="109"/>
      <c r="W95" s="109"/>
      <c r="X95" s="109"/>
    </row>
    <row r="96" spans="2:24">
      <c r="B96" s="109"/>
      <c r="C96" s="109" t="s">
        <v>571</v>
      </c>
      <c r="D96" s="20" t="s">
        <v>5760</v>
      </c>
      <c r="E96" s="109" t="s">
        <v>5761</v>
      </c>
      <c r="F96" s="112" t="s">
        <v>573</v>
      </c>
      <c r="G96" s="109" t="s">
        <v>5762</v>
      </c>
      <c r="H96" s="109" t="s">
        <v>575</v>
      </c>
      <c r="I96" s="109" t="s">
        <v>576</v>
      </c>
      <c r="J96" s="109" t="s">
        <v>406</v>
      </c>
      <c r="K96" s="14" t="s">
        <v>272</v>
      </c>
      <c r="L96" s="109" t="s">
        <v>1825</v>
      </c>
      <c r="M96" s="109" t="s">
        <v>5763</v>
      </c>
      <c r="N96" s="13"/>
      <c r="O96" s="24">
        <v>42533</v>
      </c>
      <c r="P96" s="13" t="s">
        <v>3648</v>
      </c>
      <c r="Q96" s="13" t="s">
        <v>3483</v>
      </c>
      <c r="R96" s="13" t="s">
        <v>579</v>
      </c>
      <c r="S96" s="109" t="s">
        <v>5764</v>
      </c>
      <c r="T96" s="109" t="s">
        <v>5765</v>
      </c>
      <c r="U96" s="112" t="s">
        <v>582</v>
      </c>
      <c r="V96" s="109" t="s">
        <v>583</v>
      </c>
      <c r="W96" s="109" t="s">
        <v>584</v>
      </c>
      <c r="X96" s="109" t="s">
        <v>585</v>
      </c>
    </row>
    <row r="97" spans="2:24">
      <c r="B97" s="109"/>
      <c r="C97" s="109"/>
      <c r="D97" s="20" t="str">
        <f>D96</f>
        <v>树熊集团</v>
      </c>
      <c r="E97" s="109"/>
      <c r="F97" s="112"/>
      <c r="G97" s="109"/>
      <c r="H97" s="109"/>
      <c r="I97" s="109"/>
      <c r="J97" s="109"/>
      <c r="K97" s="14" t="str">
        <f t="shared" ref="K97:K98" si="19">K96</f>
        <v>运营中</v>
      </c>
      <c r="L97" s="109"/>
      <c r="M97" s="109"/>
      <c r="N97" s="13"/>
      <c r="O97" s="24">
        <v>41872</v>
      </c>
      <c r="P97" s="13" t="s">
        <v>3513</v>
      </c>
      <c r="Q97" s="13" t="s">
        <v>3514</v>
      </c>
      <c r="R97" s="13" t="s">
        <v>586</v>
      </c>
      <c r="S97" s="109"/>
      <c r="T97" s="109"/>
      <c r="U97" s="112"/>
      <c r="V97" s="109"/>
      <c r="W97" s="109"/>
      <c r="X97" s="109"/>
    </row>
    <row r="98" spans="2:24">
      <c r="B98" s="109"/>
      <c r="C98" s="109"/>
      <c r="D98" s="20" t="str">
        <f>D97</f>
        <v>树熊集团</v>
      </c>
      <c r="E98" s="109"/>
      <c r="F98" s="112"/>
      <c r="G98" s="109"/>
      <c r="H98" s="109"/>
      <c r="I98" s="109"/>
      <c r="J98" s="109"/>
      <c r="K98" s="14" t="str">
        <f t="shared" si="19"/>
        <v>运营中</v>
      </c>
      <c r="L98" s="109"/>
      <c r="M98" s="109"/>
      <c r="N98" s="13"/>
      <c r="O98" s="24">
        <v>41214</v>
      </c>
      <c r="P98" s="13" t="s">
        <v>5474</v>
      </c>
      <c r="Q98" s="13" t="s">
        <v>5646</v>
      </c>
      <c r="R98" s="13" t="s">
        <v>5766</v>
      </c>
      <c r="S98" s="109"/>
      <c r="T98" s="109"/>
      <c r="U98" s="112"/>
      <c r="V98" s="109"/>
      <c r="W98" s="109"/>
      <c r="X98" s="109"/>
    </row>
    <row r="99" spans="2:24">
      <c r="B99" s="109"/>
      <c r="C99" s="109" t="s">
        <v>588</v>
      </c>
      <c r="D99" s="20" t="s">
        <v>5767</v>
      </c>
      <c r="E99" s="109" t="s">
        <v>5768</v>
      </c>
      <c r="F99" s="112" t="s">
        <v>590</v>
      </c>
      <c r="G99" s="109" t="s">
        <v>5769</v>
      </c>
      <c r="H99" s="109" t="s">
        <v>592</v>
      </c>
      <c r="I99" s="109" t="s">
        <v>593</v>
      </c>
      <c r="J99" s="109" t="s">
        <v>406</v>
      </c>
      <c r="K99" s="14" t="s">
        <v>272</v>
      </c>
      <c r="L99" s="109" t="s">
        <v>2711</v>
      </c>
      <c r="M99" s="109" t="s">
        <v>5770</v>
      </c>
      <c r="N99" s="13"/>
      <c r="O99" s="24">
        <v>43346</v>
      </c>
      <c r="P99" s="13" t="s">
        <v>5635</v>
      </c>
      <c r="Q99" s="13" t="s">
        <v>3277</v>
      </c>
      <c r="R99" s="13" t="s">
        <v>596</v>
      </c>
      <c r="S99" s="109" t="s">
        <v>5771</v>
      </c>
      <c r="T99" s="109" t="s">
        <v>5772</v>
      </c>
      <c r="U99" s="112" t="s">
        <v>599</v>
      </c>
      <c r="V99" s="109" t="s">
        <v>600</v>
      </c>
      <c r="W99" s="109" t="s">
        <v>601</v>
      </c>
      <c r="X99" s="109"/>
    </row>
    <row r="100" spans="2:24">
      <c r="B100" s="109"/>
      <c r="C100" s="109"/>
      <c r="D100" s="20" t="str">
        <f>D99</f>
        <v>大搜车</v>
      </c>
      <c r="E100" s="109"/>
      <c r="F100" s="112"/>
      <c r="G100" s="109"/>
      <c r="H100" s="109"/>
      <c r="I100" s="109"/>
      <c r="J100" s="109"/>
      <c r="K100" s="14" t="str">
        <f t="shared" ref="K100:K104" si="20">K99</f>
        <v>运营中</v>
      </c>
      <c r="L100" s="109"/>
      <c r="M100" s="109"/>
      <c r="N100" s="13"/>
      <c r="O100" s="24">
        <v>43040</v>
      </c>
      <c r="P100" s="13" t="s">
        <v>3276</v>
      </c>
      <c r="Q100" s="13" t="s">
        <v>5773</v>
      </c>
      <c r="R100" s="13" t="s">
        <v>603</v>
      </c>
      <c r="S100" s="109"/>
      <c r="T100" s="109"/>
      <c r="U100" s="112"/>
      <c r="V100" s="109"/>
      <c r="W100" s="109"/>
      <c r="X100" s="109"/>
    </row>
    <row r="101" spans="2:24">
      <c r="B101" s="109"/>
      <c r="C101" s="109"/>
      <c r="D101" s="20" t="str">
        <f>D100</f>
        <v>大搜车</v>
      </c>
      <c r="E101" s="109"/>
      <c r="F101" s="112"/>
      <c r="G101" s="109"/>
      <c r="H101" s="109"/>
      <c r="I101" s="109"/>
      <c r="J101" s="109"/>
      <c r="K101" s="14" t="str">
        <f t="shared" si="20"/>
        <v>运营中</v>
      </c>
      <c r="L101" s="109"/>
      <c r="M101" s="109"/>
      <c r="N101" s="13"/>
      <c r="O101" s="24">
        <v>42831</v>
      </c>
      <c r="P101" s="13" t="s">
        <v>1827</v>
      </c>
      <c r="Q101" s="13" t="s">
        <v>5774</v>
      </c>
      <c r="R101" s="13" t="s">
        <v>605</v>
      </c>
      <c r="S101" s="109"/>
      <c r="T101" s="109"/>
      <c r="U101" s="112"/>
      <c r="V101" s="109"/>
      <c r="W101" s="109"/>
      <c r="X101" s="109"/>
    </row>
    <row r="102" spans="2:24">
      <c r="B102" s="109"/>
      <c r="C102" s="109"/>
      <c r="D102" s="20" t="str">
        <f>D101</f>
        <v>大搜车</v>
      </c>
      <c r="E102" s="109"/>
      <c r="F102" s="112"/>
      <c r="G102" s="109"/>
      <c r="H102" s="109"/>
      <c r="I102" s="109"/>
      <c r="J102" s="109"/>
      <c r="K102" s="14" t="str">
        <f t="shared" si="20"/>
        <v>运营中</v>
      </c>
      <c r="L102" s="109"/>
      <c r="M102" s="109"/>
      <c r="N102" s="13"/>
      <c r="O102" s="24">
        <v>42690</v>
      </c>
      <c r="P102" s="13" t="s">
        <v>5613</v>
      </c>
      <c r="Q102" s="13" t="s">
        <v>4732</v>
      </c>
      <c r="R102" s="13" t="s">
        <v>606</v>
      </c>
      <c r="S102" s="109"/>
      <c r="T102" s="109"/>
      <c r="U102" s="112"/>
      <c r="V102" s="109"/>
      <c r="W102" s="109"/>
      <c r="X102" s="109"/>
    </row>
    <row r="103" spans="2:24">
      <c r="B103" s="109"/>
      <c r="C103" s="109"/>
      <c r="D103" s="20" t="str">
        <f>D102</f>
        <v>大搜车</v>
      </c>
      <c r="E103" s="109"/>
      <c r="F103" s="112"/>
      <c r="G103" s="109"/>
      <c r="H103" s="109"/>
      <c r="I103" s="109"/>
      <c r="J103" s="109"/>
      <c r="K103" s="14" t="str">
        <f t="shared" si="20"/>
        <v>运营中</v>
      </c>
      <c r="L103" s="109"/>
      <c r="M103" s="109"/>
      <c r="N103" s="13"/>
      <c r="O103" s="24">
        <v>41518</v>
      </c>
      <c r="P103" s="13" t="s">
        <v>3648</v>
      </c>
      <c r="Q103" s="13" t="s">
        <v>5775</v>
      </c>
      <c r="R103" s="13" t="s">
        <v>608</v>
      </c>
      <c r="S103" s="109"/>
      <c r="T103" s="109"/>
      <c r="U103" s="112"/>
      <c r="V103" s="109"/>
      <c r="W103" s="109"/>
      <c r="X103" s="109"/>
    </row>
    <row r="104" spans="2:24">
      <c r="B104" s="109"/>
      <c r="C104" s="109"/>
      <c r="D104" s="20" t="str">
        <f>D103</f>
        <v>大搜车</v>
      </c>
      <c r="E104" s="109"/>
      <c r="F104" s="112"/>
      <c r="G104" s="109"/>
      <c r="H104" s="109"/>
      <c r="I104" s="109"/>
      <c r="J104" s="109"/>
      <c r="K104" s="14" t="str">
        <f t="shared" si="20"/>
        <v>运营中</v>
      </c>
      <c r="L104" s="109"/>
      <c r="M104" s="109"/>
      <c r="N104" s="13"/>
      <c r="O104" s="24">
        <v>41277</v>
      </c>
      <c r="P104" s="13" t="s">
        <v>3513</v>
      </c>
      <c r="Q104" s="13" t="s">
        <v>5776</v>
      </c>
      <c r="R104" s="13" t="s">
        <v>610</v>
      </c>
      <c r="S104" s="109"/>
      <c r="T104" s="109"/>
      <c r="U104" s="112"/>
      <c r="V104" s="109"/>
      <c r="W104" s="109"/>
      <c r="X104" s="109"/>
    </row>
    <row r="105" spans="2:24">
      <c r="B105" s="109"/>
      <c r="C105" s="109" t="s">
        <v>611</v>
      </c>
      <c r="D105" s="20" t="s">
        <v>5777</v>
      </c>
      <c r="E105" s="109" t="s">
        <v>5778</v>
      </c>
      <c r="F105" s="112" t="s">
        <v>613</v>
      </c>
      <c r="G105" s="109" t="s">
        <v>5779</v>
      </c>
      <c r="H105" s="109" t="s">
        <v>615</v>
      </c>
      <c r="I105" s="109" t="s">
        <v>616</v>
      </c>
      <c r="J105" s="109" t="s">
        <v>406</v>
      </c>
      <c r="K105" s="14" t="s">
        <v>272</v>
      </c>
      <c r="L105" s="109" t="s">
        <v>4472</v>
      </c>
      <c r="M105" s="109" t="s">
        <v>5780</v>
      </c>
      <c r="N105" s="13"/>
      <c r="O105" s="24">
        <v>41426</v>
      </c>
      <c r="P105" s="13" t="s">
        <v>3648</v>
      </c>
      <c r="Q105" s="13" t="s">
        <v>5129</v>
      </c>
      <c r="R105" s="13" t="s">
        <v>618</v>
      </c>
      <c r="S105" s="109" t="s">
        <v>5781</v>
      </c>
      <c r="T105" s="109" t="s">
        <v>5750</v>
      </c>
      <c r="U105" s="112" t="s">
        <v>620</v>
      </c>
      <c r="V105" s="109"/>
      <c r="W105" s="109"/>
      <c r="X105" s="109" t="s">
        <v>621</v>
      </c>
    </row>
    <row r="106" spans="2:24">
      <c r="B106" s="109"/>
      <c r="C106" s="109"/>
      <c r="D106" s="20" t="str">
        <f>D105</f>
        <v>淘淘搜</v>
      </c>
      <c r="E106" s="109"/>
      <c r="F106" s="112"/>
      <c r="G106" s="109"/>
      <c r="H106" s="109"/>
      <c r="I106" s="109"/>
      <c r="J106" s="109"/>
      <c r="K106" s="14" t="str">
        <f t="shared" ref="K106:K107" si="21">K105</f>
        <v>运营中</v>
      </c>
      <c r="L106" s="109"/>
      <c r="M106" s="109"/>
      <c r="N106" s="13"/>
      <c r="O106" s="24">
        <v>40848</v>
      </c>
      <c r="P106" s="13" t="s">
        <v>3513</v>
      </c>
      <c r="Q106" s="13" t="s">
        <v>5616</v>
      </c>
      <c r="R106" s="13" t="s">
        <v>622</v>
      </c>
      <c r="S106" s="109"/>
      <c r="T106" s="109"/>
      <c r="U106" s="112"/>
      <c r="V106" s="109"/>
      <c r="W106" s="109"/>
      <c r="X106" s="109"/>
    </row>
    <row r="107" spans="2:24">
      <c r="B107" s="109"/>
      <c r="C107" s="109"/>
      <c r="D107" s="20" t="str">
        <f>D106</f>
        <v>淘淘搜</v>
      </c>
      <c r="E107" s="109"/>
      <c r="F107" s="112"/>
      <c r="G107" s="109"/>
      <c r="H107" s="109"/>
      <c r="I107" s="109"/>
      <c r="J107" s="109"/>
      <c r="K107" s="14" t="str">
        <f t="shared" si="21"/>
        <v>运营中</v>
      </c>
      <c r="L107" s="109"/>
      <c r="M107" s="109"/>
      <c r="N107" s="13"/>
      <c r="O107" s="24">
        <v>40269</v>
      </c>
      <c r="P107" s="13" t="s">
        <v>5474</v>
      </c>
      <c r="Q107" s="13" t="s">
        <v>5782</v>
      </c>
      <c r="R107" s="13" t="s">
        <v>1751</v>
      </c>
      <c r="S107" s="109"/>
      <c r="T107" s="109"/>
      <c r="U107" s="112"/>
      <c r="V107" s="109"/>
      <c r="W107" s="109"/>
      <c r="X107" s="109"/>
    </row>
    <row r="108" spans="2:24">
      <c r="B108" s="109"/>
      <c r="C108" s="109" t="s">
        <v>624</v>
      </c>
      <c r="D108" s="20" t="s">
        <v>5783</v>
      </c>
      <c r="E108" s="109" t="s">
        <v>5784</v>
      </c>
      <c r="F108" s="112" t="s">
        <v>626</v>
      </c>
      <c r="G108" s="109" t="s">
        <v>5785</v>
      </c>
      <c r="H108" s="109" t="s">
        <v>628</v>
      </c>
      <c r="I108" s="109" t="s">
        <v>629</v>
      </c>
      <c r="J108" s="109" t="s">
        <v>630</v>
      </c>
      <c r="K108" s="14" t="s">
        <v>272</v>
      </c>
      <c r="L108" s="109" t="s">
        <v>4162</v>
      </c>
      <c r="M108" s="109" t="s">
        <v>4163</v>
      </c>
      <c r="N108" s="13">
        <v>1</v>
      </c>
      <c r="O108" s="24">
        <v>42815</v>
      </c>
      <c r="P108" s="13" t="s">
        <v>5709</v>
      </c>
      <c r="Q108" s="13" t="s">
        <v>2030</v>
      </c>
      <c r="R108" s="13" t="s">
        <v>1751</v>
      </c>
      <c r="S108" s="109" t="s">
        <v>5786</v>
      </c>
      <c r="T108" s="109" t="s">
        <v>3664</v>
      </c>
      <c r="U108" s="112" t="s">
        <v>633</v>
      </c>
      <c r="V108" s="109" t="s">
        <v>634</v>
      </c>
      <c r="W108" s="109" t="s">
        <v>635</v>
      </c>
      <c r="X108" s="109" t="s">
        <v>636</v>
      </c>
    </row>
    <row r="109" spans="2:24">
      <c r="B109" s="109"/>
      <c r="C109" s="109"/>
      <c r="D109" s="20" t="str">
        <f>D108</f>
        <v>大麦网</v>
      </c>
      <c r="E109" s="109"/>
      <c r="F109" s="112"/>
      <c r="G109" s="109"/>
      <c r="H109" s="109"/>
      <c r="I109" s="109"/>
      <c r="J109" s="109"/>
      <c r="K109" s="14" t="str">
        <f t="shared" ref="K109:K111" si="22">K108</f>
        <v>运营中</v>
      </c>
      <c r="L109" s="109"/>
      <c r="M109" s="109"/>
      <c r="N109" s="13">
        <v>1</v>
      </c>
      <c r="O109" s="24">
        <v>41821</v>
      </c>
      <c r="P109" s="13" t="s">
        <v>5613</v>
      </c>
      <c r="Q109" s="13" t="s">
        <v>2030</v>
      </c>
      <c r="R109" s="13" t="s">
        <v>1751</v>
      </c>
      <c r="S109" s="109"/>
      <c r="T109" s="109"/>
      <c r="U109" s="112"/>
      <c r="V109" s="109"/>
      <c r="W109" s="109"/>
      <c r="X109" s="109"/>
    </row>
    <row r="110" spans="2:24">
      <c r="B110" s="109"/>
      <c r="C110" s="109"/>
      <c r="D110" s="20" t="str">
        <f>D109</f>
        <v>大麦网</v>
      </c>
      <c r="E110" s="109"/>
      <c r="F110" s="112"/>
      <c r="G110" s="109"/>
      <c r="H110" s="109"/>
      <c r="I110" s="109"/>
      <c r="J110" s="109"/>
      <c r="K110" s="14" t="str">
        <f t="shared" si="22"/>
        <v>运营中</v>
      </c>
      <c r="L110" s="109"/>
      <c r="M110" s="109"/>
      <c r="N110" s="13">
        <v>1</v>
      </c>
      <c r="O110" s="24">
        <v>40269</v>
      </c>
      <c r="P110" s="13" t="s">
        <v>3648</v>
      </c>
      <c r="Q110" s="13" t="s">
        <v>5427</v>
      </c>
      <c r="R110" s="13" t="s">
        <v>638</v>
      </c>
      <c r="S110" s="109"/>
      <c r="T110" s="109"/>
      <c r="U110" s="112"/>
      <c r="V110" s="109"/>
      <c r="W110" s="109"/>
      <c r="X110" s="109"/>
    </row>
    <row r="111" spans="2:24">
      <c r="B111" s="109"/>
      <c r="C111" s="109"/>
      <c r="D111" s="20" t="str">
        <f>D110</f>
        <v>大麦网</v>
      </c>
      <c r="E111" s="109"/>
      <c r="F111" s="112"/>
      <c r="G111" s="109"/>
      <c r="H111" s="109"/>
      <c r="I111" s="109"/>
      <c r="J111" s="109"/>
      <c r="K111" s="14" t="str">
        <f t="shared" si="22"/>
        <v>运营中</v>
      </c>
      <c r="L111" s="109"/>
      <c r="M111" s="109"/>
      <c r="N111" s="13">
        <v>1</v>
      </c>
      <c r="O111" s="24">
        <v>38353</v>
      </c>
      <c r="P111" s="13" t="s">
        <v>3513</v>
      </c>
      <c r="Q111" s="13" t="s">
        <v>5787</v>
      </c>
      <c r="R111" s="13" t="s">
        <v>5655</v>
      </c>
      <c r="S111" s="109"/>
      <c r="T111" s="109"/>
      <c r="U111" s="112"/>
      <c r="V111" s="109"/>
      <c r="W111" s="109"/>
      <c r="X111" s="109"/>
    </row>
    <row r="112" spans="2:24">
      <c r="B112" s="109"/>
      <c r="C112" s="109" t="s">
        <v>640</v>
      </c>
      <c r="D112" s="20" t="s">
        <v>5788</v>
      </c>
      <c r="E112" s="109" t="s">
        <v>5789</v>
      </c>
      <c r="F112" s="112" t="s">
        <v>642</v>
      </c>
      <c r="G112" s="109" t="s">
        <v>5790</v>
      </c>
      <c r="H112" s="109" t="s">
        <v>644</v>
      </c>
      <c r="I112" s="109" t="s">
        <v>483</v>
      </c>
      <c r="J112" s="109" t="s">
        <v>271</v>
      </c>
      <c r="K112" s="14" t="s">
        <v>272</v>
      </c>
      <c r="L112" s="109" t="s">
        <v>4162</v>
      </c>
      <c r="M112" s="109" t="s">
        <v>5167</v>
      </c>
      <c r="N112" s="13">
        <v>1</v>
      </c>
      <c r="O112" s="24">
        <v>44673</v>
      </c>
      <c r="P112" s="13" t="s">
        <v>5625</v>
      </c>
      <c r="Q112" s="13" t="s">
        <v>5791</v>
      </c>
      <c r="R112" s="13" t="s">
        <v>253</v>
      </c>
      <c r="S112" s="109" t="s">
        <v>5792</v>
      </c>
      <c r="T112" s="109" t="s">
        <v>5793</v>
      </c>
      <c r="U112" s="112" t="s">
        <v>649</v>
      </c>
      <c r="V112" s="109" t="s">
        <v>650</v>
      </c>
      <c r="W112" s="109" t="s">
        <v>651</v>
      </c>
      <c r="X112" s="109" t="s">
        <v>652</v>
      </c>
    </row>
    <row r="113" spans="2:24">
      <c r="B113" s="109"/>
      <c r="C113" s="109"/>
      <c r="D113" s="20" t="str">
        <f t="shared" ref="D113:D121" si="23">D112</f>
        <v>知乎</v>
      </c>
      <c r="E113" s="109"/>
      <c r="F113" s="112"/>
      <c r="G113" s="109"/>
      <c r="H113" s="109"/>
      <c r="I113" s="109"/>
      <c r="J113" s="109"/>
      <c r="K113" s="14" t="str">
        <f t="shared" ref="K113:K121" si="24">K112</f>
        <v>运营中</v>
      </c>
      <c r="L113" s="109"/>
      <c r="M113" s="109"/>
      <c r="N113" s="13">
        <v>1</v>
      </c>
      <c r="O113" s="24">
        <v>44281</v>
      </c>
      <c r="P113" s="13" t="s">
        <v>5625</v>
      </c>
      <c r="Q113" s="13" t="s">
        <v>5794</v>
      </c>
      <c r="R113" s="13" t="s">
        <v>253</v>
      </c>
      <c r="S113" s="109"/>
      <c r="T113" s="109"/>
      <c r="U113" s="112"/>
      <c r="V113" s="109"/>
      <c r="W113" s="109"/>
      <c r="X113" s="109"/>
    </row>
    <row r="114" spans="2:24">
      <c r="B114" s="109"/>
      <c r="C114" s="109"/>
      <c r="D114" s="20" t="str">
        <f t="shared" si="23"/>
        <v>知乎</v>
      </c>
      <c r="E114" s="109"/>
      <c r="F114" s="112"/>
      <c r="G114" s="109"/>
      <c r="H114" s="109"/>
      <c r="I114" s="109"/>
      <c r="J114" s="109"/>
      <c r="K114" s="14" t="str">
        <f t="shared" si="24"/>
        <v>运营中</v>
      </c>
      <c r="L114" s="109"/>
      <c r="M114" s="109"/>
      <c r="N114" s="13">
        <v>1</v>
      </c>
      <c r="O114" s="24">
        <v>44274</v>
      </c>
      <c r="P114" s="13" t="s">
        <v>5795</v>
      </c>
      <c r="Q114" s="13" t="s">
        <v>5796</v>
      </c>
      <c r="R114" s="13" t="s">
        <v>656</v>
      </c>
      <c r="S114" s="109"/>
      <c r="T114" s="109"/>
      <c r="U114" s="112"/>
      <c r="V114" s="109"/>
      <c r="W114" s="109"/>
      <c r="X114" s="109"/>
    </row>
    <row r="115" spans="2:24">
      <c r="B115" s="109"/>
      <c r="C115" s="109"/>
      <c r="D115" s="20" t="str">
        <f t="shared" si="23"/>
        <v>知乎</v>
      </c>
      <c r="E115" s="109"/>
      <c r="F115" s="112"/>
      <c r="G115" s="109"/>
      <c r="H115" s="109"/>
      <c r="I115" s="109"/>
      <c r="J115" s="109"/>
      <c r="K115" s="14" t="str">
        <f t="shared" si="24"/>
        <v>运营中</v>
      </c>
      <c r="L115" s="109"/>
      <c r="M115" s="109"/>
      <c r="N115" s="13">
        <v>1</v>
      </c>
      <c r="O115" s="24">
        <v>43689</v>
      </c>
      <c r="P115" s="13" t="s">
        <v>5635</v>
      </c>
      <c r="Q115" s="13" t="s">
        <v>5797</v>
      </c>
      <c r="R115" s="13" t="s">
        <v>658</v>
      </c>
      <c r="S115" s="109"/>
      <c r="T115" s="109"/>
      <c r="U115" s="112"/>
      <c r="V115" s="109"/>
      <c r="W115" s="109"/>
      <c r="X115" s="109"/>
    </row>
    <row r="116" spans="2:24">
      <c r="B116" s="109"/>
      <c r="C116" s="109"/>
      <c r="D116" s="20" t="str">
        <f t="shared" si="23"/>
        <v>知乎</v>
      </c>
      <c r="E116" s="109"/>
      <c r="F116" s="112"/>
      <c r="G116" s="109"/>
      <c r="H116" s="109"/>
      <c r="I116" s="109"/>
      <c r="J116" s="109"/>
      <c r="K116" s="14" t="str">
        <f t="shared" si="24"/>
        <v>运营中</v>
      </c>
      <c r="L116" s="109"/>
      <c r="M116" s="109"/>
      <c r="N116" s="13">
        <v>1</v>
      </c>
      <c r="O116" s="24">
        <v>43320</v>
      </c>
      <c r="P116" s="13" t="s">
        <v>3276</v>
      </c>
      <c r="Q116" s="13" t="s">
        <v>5798</v>
      </c>
      <c r="R116" s="13" t="s">
        <v>660</v>
      </c>
      <c r="S116" s="109"/>
      <c r="T116" s="109"/>
      <c r="U116" s="112"/>
      <c r="V116" s="109"/>
      <c r="W116" s="109"/>
      <c r="X116" s="109"/>
    </row>
    <row r="117" spans="2:24">
      <c r="B117" s="109"/>
      <c r="C117" s="109"/>
      <c r="D117" s="20" t="str">
        <f t="shared" si="23"/>
        <v>知乎</v>
      </c>
      <c r="E117" s="109"/>
      <c r="F117" s="112"/>
      <c r="G117" s="109"/>
      <c r="H117" s="109"/>
      <c r="I117" s="109"/>
      <c r="J117" s="109"/>
      <c r="K117" s="14" t="str">
        <f t="shared" si="24"/>
        <v>运营中</v>
      </c>
      <c r="L117" s="109"/>
      <c r="M117" s="109"/>
      <c r="N117" s="13">
        <v>1</v>
      </c>
      <c r="O117" s="24">
        <v>42747</v>
      </c>
      <c r="P117" s="13" t="s">
        <v>1827</v>
      </c>
      <c r="Q117" s="13" t="s">
        <v>4732</v>
      </c>
      <c r="R117" s="13" t="s">
        <v>661</v>
      </c>
      <c r="S117" s="109"/>
      <c r="T117" s="109"/>
      <c r="U117" s="112"/>
      <c r="V117" s="109"/>
      <c r="W117" s="109"/>
      <c r="X117" s="109"/>
    </row>
    <row r="118" spans="2:24">
      <c r="B118" s="109"/>
      <c r="C118" s="109"/>
      <c r="D118" s="20" t="str">
        <f t="shared" si="23"/>
        <v>知乎</v>
      </c>
      <c r="E118" s="109"/>
      <c r="F118" s="112"/>
      <c r="G118" s="109"/>
      <c r="H118" s="109"/>
      <c r="I118" s="109"/>
      <c r="J118" s="109"/>
      <c r="K118" s="14" t="str">
        <f t="shared" si="24"/>
        <v>运营中</v>
      </c>
      <c r="L118" s="109"/>
      <c r="M118" s="109"/>
      <c r="N118" s="13">
        <v>1</v>
      </c>
      <c r="O118" s="24">
        <v>42313</v>
      </c>
      <c r="P118" s="13" t="s">
        <v>5613</v>
      </c>
      <c r="Q118" s="13" t="s">
        <v>5704</v>
      </c>
      <c r="R118" s="13" t="s">
        <v>662</v>
      </c>
      <c r="S118" s="109"/>
      <c r="T118" s="109"/>
      <c r="U118" s="112"/>
      <c r="V118" s="109"/>
      <c r="W118" s="109"/>
      <c r="X118" s="109"/>
    </row>
    <row r="119" spans="2:24">
      <c r="B119" s="109"/>
      <c r="C119" s="109"/>
      <c r="D119" s="20" t="str">
        <f t="shared" si="23"/>
        <v>知乎</v>
      </c>
      <c r="E119" s="109"/>
      <c r="F119" s="112"/>
      <c r="G119" s="109"/>
      <c r="H119" s="109"/>
      <c r="I119" s="109"/>
      <c r="J119" s="109"/>
      <c r="K119" s="14" t="str">
        <f t="shared" si="24"/>
        <v>运营中</v>
      </c>
      <c r="L119" s="109"/>
      <c r="M119" s="109"/>
      <c r="N119" s="13">
        <v>1</v>
      </c>
      <c r="O119" s="24">
        <v>41803</v>
      </c>
      <c r="P119" s="13" t="s">
        <v>3648</v>
      </c>
      <c r="Q119" s="13" t="s">
        <v>5799</v>
      </c>
      <c r="R119" s="13" t="s">
        <v>664</v>
      </c>
      <c r="S119" s="109"/>
      <c r="T119" s="109"/>
      <c r="U119" s="112"/>
      <c r="V119" s="109"/>
      <c r="W119" s="109"/>
      <c r="X119" s="109"/>
    </row>
    <row r="120" spans="2:24">
      <c r="B120" s="109"/>
      <c r="C120" s="109"/>
      <c r="D120" s="20" t="str">
        <f t="shared" si="23"/>
        <v>知乎</v>
      </c>
      <c r="E120" s="109"/>
      <c r="F120" s="112"/>
      <c r="G120" s="109"/>
      <c r="H120" s="109"/>
      <c r="I120" s="109"/>
      <c r="J120" s="109"/>
      <c r="K120" s="14" t="str">
        <f t="shared" si="24"/>
        <v>运营中</v>
      </c>
      <c r="L120" s="109"/>
      <c r="M120" s="109"/>
      <c r="N120" s="13">
        <v>1</v>
      </c>
      <c r="O120" s="24">
        <v>40969</v>
      </c>
      <c r="P120" s="13" t="s">
        <v>3513</v>
      </c>
      <c r="Q120" s="13" t="s">
        <v>5616</v>
      </c>
      <c r="R120" s="13" t="s">
        <v>5800</v>
      </c>
      <c r="S120" s="109"/>
      <c r="T120" s="109"/>
      <c r="U120" s="112"/>
      <c r="V120" s="109"/>
      <c r="W120" s="109"/>
      <c r="X120" s="109"/>
    </row>
    <row r="121" spans="2:24">
      <c r="B121" s="109"/>
      <c r="C121" s="109"/>
      <c r="D121" s="20" t="str">
        <f t="shared" si="23"/>
        <v>知乎</v>
      </c>
      <c r="E121" s="109"/>
      <c r="F121" s="112"/>
      <c r="G121" s="109"/>
      <c r="H121" s="109"/>
      <c r="I121" s="109"/>
      <c r="J121" s="109"/>
      <c r="K121" s="14" t="str">
        <f t="shared" si="24"/>
        <v>运营中</v>
      </c>
      <c r="L121" s="109"/>
      <c r="M121" s="109"/>
      <c r="N121" s="13">
        <v>1</v>
      </c>
      <c r="O121" s="24">
        <v>40621</v>
      </c>
      <c r="P121" s="13" t="s">
        <v>5474</v>
      </c>
      <c r="Q121" s="13" t="s">
        <v>5646</v>
      </c>
      <c r="R121" s="13" t="s">
        <v>5733</v>
      </c>
      <c r="S121" s="109"/>
      <c r="T121" s="109"/>
      <c r="U121" s="112"/>
      <c r="V121" s="109"/>
      <c r="W121" s="109"/>
      <c r="X121" s="109"/>
    </row>
    <row r="122" spans="2:24">
      <c r="B122" s="109"/>
      <c r="C122" s="109" t="s">
        <v>666</v>
      </c>
      <c r="D122" s="20" t="s">
        <v>5801</v>
      </c>
      <c r="E122" s="109" t="s">
        <v>5802</v>
      </c>
      <c r="F122" s="112" t="s">
        <v>668</v>
      </c>
      <c r="G122" s="109" t="s">
        <v>5803</v>
      </c>
      <c r="H122" s="109" t="s">
        <v>670</v>
      </c>
      <c r="I122" s="109" t="s">
        <v>671</v>
      </c>
      <c r="J122" s="109" t="s">
        <v>428</v>
      </c>
      <c r="K122" s="14" t="s">
        <v>248</v>
      </c>
      <c r="L122" s="109" t="s">
        <v>1043</v>
      </c>
      <c r="M122" s="109" t="s">
        <v>1990</v>
      </c>
      <c r="N122" s="13"/>
      <c r="O122" s="24">
        <v>41214</v>
      </c>
      <c r="P122" s="13" t="s">
        <v>1827</v>
      </c>
      <c r="Q122" s="13" t="s">
        <v>5129</v>
      </c>
      <c r="R122" s="13" t="s">
        <v>1751</v>
      </c>
      <c r="S122" s="109" t="s">
        <v>5804</v>
      </c>
      <c r="T122" s="109" t="s">
        <v>5750</v>
      </c>
      <c r="U122" s="112" t="s">
        <v>675</v>
      </c>
      <c r="V122" s="109"/>
      <c r="W122" s="109"/>
      <c r="X122" s="109"/>
    </row>
    <row r="123" spans="2:24">
      <c r="B123" s="109"/>
      <c r="C123" s="109"/>
      <c r="D123" s="20" t="str">
        <f>D122</f>
        <v>丁丁网</v>
      </c>
      <c r="E123" s="109"/>
      <c r="F123" s="112"/>
      <c r="G123" s="109"/>
      <c r="H123" s="109"/>
      <c r="I123" s="109"/>
      <c r="J123" s="109"/>
      <c r="K123" s="14" t="str">
        <f t="shared" ref="K123:K125" si="25">K122</f>
        <v>已关闭</v>
      </c>
      <c r="L123" s="109"/>
      <c r="M123" s="109"/>
      <c r="N123" s="13"/>
      <c r="O123" s="24">
        <v>41000</v>
      </c>
      <c r="P123" s="13" t="s">
        <v>5613</v>
      </c>
      <c r="Q123" s="13" t="s">
        <v>5389</v>
      </c>
      <c r="R123" s="13" t="s">
        <v>677</v>
      </c>
      <c r="S123" s="109"/>
      <c r="T123" s="109"/>
      <c r="U123" s="112"/>
      <c r="V123" s="109"/>
      <c r="W123" s="109"/>
      <c r="X123" s="109"/>
    </row>
    <row r="124" spans="2:24">
      <c r="B124" s="109"/>
      <c r="C124" s="109"/>
      <c r="D124" s="20" t="str">
        <f>D123</f>
        <v>丁丁网</v>
      </c>
      <c r="E124" s="109"/>
      <c r="F124" s="112"/>
      <c r="G124" s="109"/>
      <c r="H124" s="109"/>
      <c r="I124" s="109"/>
      <c r="J124" s="109"/>
      <c r="K124" s="14" t="str">
        <f t="shared" si="25"/>
        <v>已关闭</v>
      </c>
      <c r="L124" s="109"/>
      <c r="M124" s="109"/>
      <c r="N124" s="13"/>
      <c r="O124" s="24">
        <v>40299</v>
      </c>
      <c r="P124" s="13" t="s">
        <v>3648</v>
      </c>
      <c r="Q124" s="13" t="s">
        <v>5805</v>
      </c>
      <c r="R124" s="13" t="s">
        <v>679</v>
      </c>
      <c r="S124" s="109"/>
      <c r="T124" s="109"/>
      <c r="U124" s="112"/>
      <c r="V124" s="109"/>
      <c r="W124" s="109"/>
      <c r="X124" s="109"/>
    </row>
    <row r="125" spans="2:24">
      <c r="B125" s="109"/>
      <c r="C125" s="109"/>
      <c r="D125" s="20" t="str">
        <f>D124</f>
        <v>丁丁网</v>
      </c>
      <c r="E125" s="109"/>
      <c r="F125" s="112"/>
      <c r="G125" s="109"/>
      <c r="H125" s="109"/>
      <c r="I125" s="109"/>
      <c r="J125" s="109"/>
      <c r="K125" s="14" t="str">
        <f t="shared" si="25"/>
        <v>已关闭</v>
      </c>
      <c r="L125" s="109"/>
      <c r="M125" s="109"/>
      <c r="N125" s="13"/>
      <c r="O125" s="24">
        <v>39448</v>
      </c>
      <c r="P125" s="13" t="s">
        <v>3513</v>
      </c>
      <c r="Q125" s="13" t="s">
        <v>5805</v>
      </c>
      <c r="R125" s="13" t="s">
        <v>680</v>
      </c>
      <c r="S125" s="109"/>
      <c r="T125" s="109"/>
      <c r="U125" s="112"/>
      <c r="V125" s="109"/>
      <c r="W125" s="109"/>
      <c r="X125" s="109"/>
    </row>
    <row r="126" spans="2:24">
      <c r="B126" s="109"/>
      <c r="C126" s="109" t="s">
        <v>681</v>
      </c>
      <c r="D126" s="20" t="s">
        <v>5806</v>
      </c>
      <c r="E126" s="109" t="s">
        <v>5807</v>
      </c>
      <c r="F126" s="112" t="s">
        <v>5808</v>
      </c>
      <c r="G126" s="109" t="s">
        <v>5809</v>
      </c>
      <c r="H126" s="109" t="s">
        <v>685</v>
      </c>
      <c r="I126" s="109" t="s">
        <v>686</v>
      </c>
      <c r="J126" s="109" t="s">
        <v>385</v>
      </c>
      <c r="K126" s="14" t="s">
        <v>272</v>
      </c>
      <c r="L126" s="109" t="s">
        <v>1043</v>
      </c>
      <c r="M126" s="109" t="s">
        <v>1990</v>
      </c>
      <c r="N126" s="13">
        <v>1</v>
      </c>
      <c r="O126" s="24">
        <v>43750</v>
      </c>
      <c r="P126" s="13" t="s">
        <v>5810</v>
      </c>
      <c r="Q126" s="13" t="s">
        <v>5811</v>
      </c>
      <c r="R126" s="13" t="s">
        <v>5812</v>
      </c>
      <c r="S126" s="109" t="s">
        <v>5813</v>
      </c>
      <c r="T126" s="109" t="s">
        <v>5814</v>
      </c>
      <c r="U126" s="112" t="s">
        <v>692</v>
      </c>
      <c r="V126" s="109" t="s">
        <v>693</v>
      </c>
      <c r="W126" s="109" t="s">
        <v>694</v>
      </c>
      <c r="X126" s="109" t="s">
        <v>695</v>
      </c>
    </row>
    <row r="127" spans="2:24">
      <c r="B127" s="109"/>
      <c r="C127" s="109"/>
      <c r="D127" s="20" t="str">
        <f t="shared" ref="D127:D134" si="26">D126</f>
        <v>宝宝树</v>
      </c>
      <c r="E127" s="109"/>
      <c r="F127" s="112"/>
      <c r="G127" s="109"/>
      <c r="H127" s="109"/>
      <c r="I127" s="109"/>
      <c r="J127" s="109"/>
      <c r="K127" s="14" t="str">
        <f t="shared" ref="K127:K134" si="27">K126</f>
        <v>运营中</v>
      </c>
      <c r="L127" s="109"/>
      <c r="M127" s="109"/>
      <c r="N127" s="13">
        <v>1</v>
      </c>
      <c r="O127" s="24">
        <v>43431</v>
      </c>
      <c r="P127" s="13" t="s">
        <v>5625</v>
      </c>
      <c r="Q127" s="13" t="s">
        <v>5815</v>
      </c>
      <c r="R127" s="13" t="s">
        <v>253</v>
      </c>
      <c r="S127" s="109"/>
      <c r="T127" s="109"/>
      <c r="U127" s="112"/>
      <c r="V127" s="109"/>
      <c r="W127" s="109"/>
      <c r="X127" s="109"/>
    </row>
    <row r="128" spans="2:24">
      <c r="B128" s="109"/>
      <c r="C128" s="109"/>
      <c r="D128" s="20" t="str">
        <f t="shared" si="26"/>
        <v>宝宝树</v>
      </c>
      <c r="E128" s="109"/>
      <c r="F128" s="112"/>
      <c r="G128" s="109"/>
      <c r="H128" s="109"/>
      <c r="I128" s="109"/>
      <c r="J128" s="109"/>
      <c r="K128" s="14" t="str">
        <f t="shared" si="27"/>
        <v>运营中</v>
      </c>
      <c r="L128" s="109"/>
      <c r="M128" s="109"/>
      <c r="N128" s="13">
        <v>1</v>
      </c>
      <c r="O128" s="24">
        <v>43255</v>
      </c>
      <c r="P128" s="13" t="s">
        <v>1045</v>
      </c>
      <c r="Q128" s="13" t="s">
        <v>1750</v>
      </c>
      <c r="R128" s="13" t="s">
        <v>1751</v>
      </c>
      <c r="S128" s="109"/>
      <c r="T128" s="109"/>
      <c r="U128" s="112"/>
      <c r="V128" s="109"/>
      <c r="W128" s="109"/>
      <c r="X128" s="109"/>
    </row>
    <row r="129" spans="2:24">
      <c r="B129" s="109"/>
      <c r="C129" s="109"/>
      <c r="D129" s="20" t="str">
        <f t="shared" si="26"/>
        <v>宝宝树</v>
      </c>
      <c r="E129" s="109"/>
      <c r="F129" s="112"/>
      <c r="G129" s="109"/>
      <c r="H129" s="109"/>
      <c r="I129" s="109"/>
      <c r="J129" s="109"/>
      <c r="K129" s="14" t="str">
        <f t="shared" si="27"/>
        <v>运营中</v>
      </c>
      <c r="L129" s="109"/>
      <c r="M129" s="109"/>
      <c r="N129" s="13">
        <v>1</v>
      </c>
      <c r="O129" s="24">
        <v>42570</v>
      </c>
      <c r="P129" s="13" t="s">
        <v>1827</v>
      </c>
      <c r="Q129" s="13" t="s">
        <v>3129</v>
      </c>
      <c r="R129" s="13" t="s">
        <v>698</v>
      </c>
      <c r="S129" s="109"/>
      <c r="T129" s="109"/>
      <c r="U129" s="112"/>
      <c r="V129" s="109"/>
      <c r="W129" s="109"/>
      <c r="X129" s="109"/>
    </row>
    <row r="130" spans="2:24">
      <c r="B130" s="109"/>
      <c r="C130" s="109"/>
      <c r="D130" s="20" t="str">
        <f t="shared" si="26"/>
        <v>宝宝树</v>
      </c>
      <c r="E130" s="109"/>
      <c r="F130" s="112"/>
      <c r="G130" s="109"/>
      <c r="H130" s="109"/>
      <c r="I130" s="109"/>
      <c r="J130" s="109"/>
      <c r="K130" s="14" t="str">
        <f t="shared" si="27"/>
        <v>运营中</v>
      </c>
      <c r="L130" s="109"/>
      <c r="M130" s="109"/>
      <c r="N130" s="13">
        <v>1</v>
      </c>
      <c r="O130" s="24">
        <v>42207</v>
      </c>
      <c r="P130" s="13" t="s">
        <v>5613</v>
      </c>
      <c r="Q130" s="13" t="s">
        <v>5019</v>
      </c>
      <c r="R130" s="13" t="s">
        <v>700</v>
      </c>
      <c r="S130" s="109"/>
      <c r="T130" s="109"/>
      <c r="U130" s="112"/>
      <c r="V130" s="109"/>
      <c r="W130" s="109"/>
      <c r="X130" s="109"/>
    </row>
    <row r="131" spans="2:24">
      <c r="B131" s="109"/>
      <c r="C131" s="109"/>
      <c r="D131" s="20" t="str">
        <f t="shared" si="26"/>
        <v>宝宝树</v>
      </c>
      <c r="E131" s="109"/>
      <c r="F131" s="112"/>
      <c r="G131" s="109"/>
      <c r="H131" s="109"/>
      <c r="I131" s="109"/>
      <c r="J131" s="109"/>
      <c r="K131" s="14" t="str">
        <f t="shared" si="27"/>
        <v>运营中</v>
      </c>
      <c r="L131" s="109"/>
      <c r="M131" s="109"/>
      <c r="N131" s="13">
        <v>1</v>
      </c>
      <c r="O131" s="24">
        <v>41640</v>
      </c>
      <c r="P131" s="13" t="s">
        <v>1045</v>
      </c>
      <c r="Q131" s="13" t="s">
        <v>5816</v>
      </c>
      <c r="R131" s="13" t="s">
        <v>702</v>
      </c>
      <c r="S131" s="109"/>
      <c r="T131" s="109"/>
      <c r="U131" s="112"/>
      <c r="V131" s="109"/>
      <c r="W131" s="109"/>
      <c r="X131" s="109"/>
    </row>
    <row r="132" spans="2:24">
      <c r="B132" s="109"/>
      <c r="C132" s="109"/>
      <c r="D132" s="20" t="str">
        <f t="shared" si="26"/>
        <v>宝宝树</v>
      </c>
      <c r="E132" s="109"/>
      <c r="F132" s="112"/>
      <c r="G132" s="109"/>
      <c r="H132" s="109"/>
      <c r="I132" s="109"/>
      <c r="J132" s="109"/>
      <c r="K132" s="14" t="str">
        <f t="shared" si="27"/>
        <v>运营中</v>
      </c>
      <c r="L132" s="109"/>
      <c r="M132" s="109"/>
      <c r="N132" s="13">
        <v>1</v>
      </c>
      <c r="O132" s="24">
        <v>40556</v>
      </c>
      <c r="P132" s="13" t="s">
        <v>5754</v>
      </c>
      <c r="Q132" s="13" t="s">
        <v>5129</v>
      </c>
      <c r="R132" s="13" t="s">
        <v>703</v>
      </c>
      <c r="S132" s="109"/>
      <c r="T132" s="109"/>
      <c r="U132" s="112"/>
      <c r="V132" s="109"/>
      <c r="W132" s="109"/>
      <c r="X132" s="109"/>
    </row>
    <row r="133" spans="2:24">
      <c r="B133" s="109"/>
      <c r="C133" s="109"/>
      <c r="D133" s="20" t="str">
        <f t="shared" si="26"/>
        <v>宝宝树</v>
      </c>
      <c r="E133" s="109"/>
      <c r="F133" s="112"/>
      <c r="G133" s="109"/>
      <c r="H133" s="109"/>
      <c r="I133" s="109"/>
      <c r="J133" s="109"/>
      <c r="K133" s="14" t="str">
        <f t="shared" si="27"/>
        <v>运营中</v>
      </c>
      <c r="L133" s="109"/>
      <c r="M133" s="109"/>
      <c r="N133" s="13">
        <v>1</v>
      </c>
      <c r="O133" s="24">
        <v>39508</v>
      </c>
      <c r="P133" s="13" t="s">
        <v>3648</v>
      </c>
      <c r="Q133" s="13" t="s">
        <v>5591</v>
      </c>
      <c r="R133" s="13" t="s">
        <v>704</v>
      </c>
      <c r="S133" s="109"/>
      <c r="T133" s="109"/>
      <c r="U133" s="112"/>
      <c r="V133" s="109"/>
      <c r="W133" s="109"/>
      <c r="X133" s="109"/>
    </row>
    <row r="134" spans="2:24">
      <c r="B134" s="109"/>
      <c r="C134" s="109"/>
      <c r="D134" s="20" t="str">
        <f t="shared" si="26"/>
        <v>宝宝树</v>
      </c>
      <c r="E134" s="109"/>
      <c r="F134" s="112"/>
      <c r="G134" s="109"/>
      <c r="H134" s="109"/>
      <c r="I134" s="109"/>
      <c r="J134" s="109"/>
      <c r="K134" s="14" t="str">
        <f t="shared" si="27"/>
        <v>运营中</v>
      </c>
      <c r="L134" s="109"/>
      <c r="M134" s="109"/>
      <c r="N134" s="13">
        <v>1</v>
      </c>
      <c r="O134" s="24">
        <v>39212</v>
      </c>
      <c r="P134" s="13" t="s">
        <v>3513</v>
      </c>
      <c r="Q134" s="13" t="s">
        <v>5591</v>
      </c>
      <c r="R134" s="13" t="s">
        <v>5817</v>
      </c>
      <c r="S134" s="109"/>
      <c r="T134" s="109"/>
      <c r="U134" s="112"/>
      <c r="V134" s="109"/>
      <c r="W134" s="109"/>
      <c r="X134" s="109"/>
    </row>
    <row r="135" spans="2:24">
      <c r="B135" s="109"/>
      <c r="C135" s="109" t="s">
        <v>706</v>
      </c>
      <c r="D135" s="20" t="s">
        <v>5818</v>
      </c>
      <c r="E135" s="109" t="s">
        <v>708</v>
      </c>
      <c r="F135" s="112" t="s">
        <v>5819</v>
      </c>
      <c r="G135" s="109" t="s">
        <v>5820</v>
      </c>
      <c r="H135" s="109" t="s">
        <v>711</v>
      </c>
      <c r="I135" s="109" t="s">
        <v>712</v>
      </c>
      <c r="J135" s="109" t="s">
        <v>428</v>
      </c>
      <c r="K135" s="14" t="s">
        <v>272</v>
      </c>
      <c r="L135" s="109" t="s">
        <v>5821</v>
      </c>
      <c r="M135" s="109" t="s">
        <v>5822</v>
      </c>
      <c r="N135" s="13"/>
      <c r="O135" s="24">
        <v>42717</v>
      </c>
      <c r="P135" s="13" t="s">
        <v>3648</v>
      </c>
      <c r="Q135" s="13" t="s">
        <v>3514</v>
      </c>
      <c r="R135" s="13" t="s">
        <v>5823</v>
      </c>
      <c r="S135" s="109" t="s">
        <v>5824</v>
      </c>
      <c r="T135" s="109" t="s">
        <v>3517</v>
      </c>
      <c r="U135" s="112" t="s">
        <v>717</v>
      </c>
      <c r="V135" s="109" t="s">
        <v>718</v>
      </c>
      <c r="W135" s="109" t="s">
        <v>719</v>
      </c>
      <c r="X135" s="109" t="s">
        <v>720</v>
      </c>
    </row>
    <row r="136" spans="2:24">
      <c r="B136" s="109"/>
      <c r="C136" s="109"/>
      <c r="D136" s="20" t="str">
        <f>D135</f>
        <v>堆糖APP</v>
      </c>
      <c r="E136" s="109"/>
      <c r="F136" s="112"/>
      <c r="G136" s="109"/>
      <c r="H136" s="109"/>
      <c r="I136" s="109"/>
      <c r="J136" s="109"/>
      <c r="K136" s="14" t="str">
        <f t="shared" ref="K136:K138" si="28">K135</f>
        <v>运营中</v>
      </c>
      <c r="L136" s="109"/>
      <c r="M136" s="109"/>
      <c r="N136" s="13"/>
      <c r="O136" s="24">
        <v>41729</v>
      </c>
      <c r="P136" s="13" t="s">
        <v>3513</v>
      </c>
      <c r="Q136" s="13" t="s">
        <v>3514</v>
      </c>
      <c r="R136" s="13" t="s">
        <v>1751</v>
      </c>
      <c r="S136" s="109"/>
      <c r="T136" s="109"/>
      <c r="U136" s="112"/>
      <c r="V136" s="109"/>
      <c r="W136" s="109"/>
      <c r="X136" s="109"/>
    </row>
    <row r="137" spans="2:24">
      <c r="B137" s="109"/>
      <c r="C137" s="109"/>
      <c r="D137" s="20" t="str">
        <f>D136</f>
        <v>堆糖APP</v>
      </c>
      <c r="E137" s="109"/>
      <c r="F137" s="112"/>
      <c r="G137" s="109"/>
      <c r="H137" s="109"/>
      <c r="I137" s="109"/>
      <c r="J137" s="109"/>
      <c r="K137" s="14" t="str">
        <f t="shared" si="28"/>
        <v>运营中</v>
      </c>
      <c r="L137" s="109"/>
      <c r="M137" s="109"/>
      <c r="N137" s="13"/>
      <c r="O137" s="24">
        <v>40989</v>
      </c>
      <c r="P137" s="13" t="s">
        <v>5454</v>
      </c>
      <c r="Q137" s="13" t="s">
        <v>5617</v>
      </c>
      <c r="R137" s="13" t="s">
        <v>253</v>
      </c>
      <c r="S137" s="109"/>
      <c r="T137" s="109"/>
      <c r="U137" s="112"/>
      <c r="V137" s="109"/>
      <c r="W137" s="109"/>
      <c r="X137" s="109"/>
    </row>
    <row r="138" spans="2:24">
      <c r="B138" s="109"/>
      <c r="C138" s="109"/>
      <c r="D138" s="20" t="str">
        <f>D137</f>
        <v>堆糖APP</v>
      </c>
      <c r="E138" s="109"/>
      <c r="F138" s="112"/>
      <c r="G138" s="109"/>
      <c r="H138" s="109"/>
      <c r="I138" s="109"/>
      <c r="J138" s="109"/>
      <c r="K138" s="14" t="str">
        <f t="shared" si="28"/>
        <v>运营中</v>
      </c>
      <c r="L138" s="109"/>
      <c r="M138" s="109"/>
      <c r="N138" s="13"/>
      <c r="O138" s="24">
        <v>40878</v>
      </c>
      <c r="P138" s="13" t="s">
        <v>5474</v>
      </c>
      <c r="Q138" s="13" t="s">
        <v>5646</v>
      </c>
      <c r="R138" s="13" t="s">
        <v>5682</v>
      </c>
      <c r="S138" s="109"/>
      <c r="T138" s="109"/>
      <c r="U138" s="112"/>
      <c r="V138" s="109"/>
      <c r="W138" s="109"/>
      <c r="X138" s="109"/>
    </row>
    <row r="139" spans="2:24">
      <c r="B139" s="109"/>
      <c r="C139" s="109" t="s">
        <v>722</v>
      </c>
      <c r="D139" s="20" t="s">
        <v>5825</v>
      </c>
      <c r="E139" s="109" t="s">
        <v>5826</v>
      </c>
      <c r="F139" s="112" t="s">
        <v>724</v>
      </c>
      <c r="G139" s="109" t="s">
        <v>5827</v>
      </c>
      <c r="H139" s="109" t="s">
        <v>726</v>
      </c>
      <c r="I139" s="109" t="s">
        <v>727</v>
      </c>
      <c r="J139" s="109" t="s">
        <v>497</v>
      </c>
      <c r="K139" s="14" t="s">
        <v>248</v>
      </c>
      <c r="L139" s="109" t="s">
        <v>4472</v>
      </c>
      <c r="M139" s="109" t="s">
        <v>4731</v>
      </c>
      <c r="N139" s="13"/>
      <c r="O139" s="24">
        <v>42950</v>
      </c>
      <c r="P139" s="13" t="s">
        <v>1827</v>
      </c>
      <c r="Q139" s="13" t="s">
        <v>5019</v>
      </c>
      <c r="R139" s="13" t="s">
        <v>729</v>
      </c>
      <c r="S139" s="109" t="s">
        <v>5828</v>
      </c>
      <c r="T139" s="109" t="s">
        <v>3280</v>
      </c>
      <c r="U139" s="112" t="s">
        <v>732</v>
      </c>
      <c r="V139" s="109" t="s">
        <v>733</v>
      </c>
      <c r="W139" s="109" t="s">
        <v>734</v>
      </c>
      <c r="X139" s="109" t="s">
        <v>735</v>
      </c>
    </row>
    <row r="140" spans="2:24">
      <c r="B140" s="109"/>
      <c r="C140" s="109"/>
      <c r="D140" s="20" t="str">
        <f>D139</f>
        <v>易果生鲜</v>
      </c>
      <c r="E140" s="109"/>
      <c r="F140" s="112"/>
      <c r="G140" s="109"/>
      <c r="H140" s="109"/>
      <c r="I140" s="109"/>
      <c r="J140" s="109"/>
      <c r="K140" s="14" t="str">
        <f t="shared" ref="K140:K144" si="29">K139</f>
        <v>已关闭</v>
      </c>
      <c r="L140" s="109"/>
      <c r="M140" s="109"/>
      <c r="N140" s="13"/>
      <c r="O140" s="24">
        <v>42702</v>
      </c>
      <c r="P140" s="13" t="s">
        <v>2029</v>
      </c>
      <c r="Q140" s="13" t="s">
        <v>5529</v>
      </c>
      <c r="R140" s="13" t="s">
        <v>736</v>
      </c>
      <c r="S140" s="109"/>
      <c r="T140" s="109"/>
      <c r="U140" s="112"/>
      <c r="V140" s="109"/>
      <c r="W140" s="109"/>
      <c r="X140" s="109"/>
    </row>
    <row r="141" spans="2:24">
      <c r="B141" s="109"/>
      <c r="C141" s="109"/>
      <c r="D141" s="20" t="str">
        <f>D140</f>
        <v>易果生鲜</v>
      </c>
      <c r="E141" s="109"/>
      <c r="F141" s="112"/>
      <c r="G141" s="109"/>
      <c r="H141" s="109"/>
      <c r="I141" s="109"/>
      <c r="J141" s="109"/>
      <c r="K141" s="14" t="str">
        <f t="shared" si="29"/>
        <v>已关闭</v>
      </c>
      <c r="L141" s="109"/>
      <c r="M141" s="109"/>
      <c r="N141" s="13"/>
      <c r="O141" s="24">
        <v>42457</v>
      </c>
      <c r="P141" s="13" t="s">
        <v>5613</v>
      </c>
      <c r="Q141" s="13" t="s">
        <v>5829</v>
      </c>
      <c r="R141" s="13" t="s">
        <v>738</v>
      </c>
      <c r="S141" s="109"/>
      <c r="T141" s="109"/>
      <c r="U141" s="112"/>
      <c r="V141" s="109"/>
      <c r="W141" s="109"/>
      <c r="X141" s="109"/>
    </row>
    <row r="142" spans="2:24">
      <c r="B142" s="109"/>
      <c r="C142" s="109"/>
      <c r="D142" s="20" t="str">
        <f>D141</f>
        <v>易果生鲜</v>
      </c>
      <c r="E142" s="109"/>
      <c r="F142" s="112"/>
      <c r="G142" s="109"/>
      <c r="H142" s="109"/>
      <c r="I142" s="109"/>
      <c r="J142" s="109"/>
      <c r="K142" s="14" t="str">
        <f t="shared" si="29"/>
        <v>已关闭</v>
      </c>
      <c r="L142" s="109"/>
      <c r="M142" s="109"/>
      <c r="N142" s="13"/>
      <c r="O142" s="24">
        <v>42064</v>
      </c>
      <c r="P142" s="13" t="s">
        <v>5754</v>
      </c>
      <c r="Q142" s="13" t="s">
        <v>5129</v>
      </c>
      <c r="R142" s="13" t="s">
        <v>5830</v>
      </c>
      <c r="S142" s="109"/>
      <c r="T142" s="109"/>
      <c r="U142" s="112"/>
      <c r="V142" s="109"/>
      <c r="W142" s="109"/>
      <c r="X142" s="109"/>
    </row>
    <row r="143" spans="2:24">
      <c r="B143" s="109"/>
      <c r="C143" s="109"/>
      <c r="D143" s="20" t="str">
        <f>D142</f>
        <v>易果生鲜</v>
      </c>
      <c r="E143" s="109"/>
      <c r="F143" s="112"/>
      <c r="G143" s="109"/>
      <c r="H143" s="109"/>
      <c r="I143" s="109"/>
      <c r="J143" s="109"/>
      <c r="K143" s="14" t="str">
        <f t="shared" si="29"/>
        <v>已关闭</v>
      </c>
      <c r="L143" s="109"/>
      <c r="M143" s="109"/>
      <c r="N143" s="13"/>
      <c r="O143" s="24">
        <v>41701</v>
      </c>
      <c r="P143" s="13" t="s">
        <v>3648</v>
      </c>
      <c r="Q143" s="13" t="s">
        <v>3514</v>
      </c>
      <c r="R143" s="13" t="s">
        <v>455</v>
      </c>
      <c r="S143" s="109"/>
      <c r="T143" s="109"/>
      <c r="U143" s="112"/>
      <c r="V143" s="109"/>
      <c r="W143" s="109"/>
      <c r="X143" s="109"/>
    </row>
    <row r="144" spans="2:24">
      <c r="B144" s="109"/>
      <c r="C144" s="109"/>
      <c r="D144" s="20" t="str">
        <f>D143</f>
        <v>易果生鲜</v>
      </c>
      <c r="E144" s="109"/>
      <c r="F144" s="112"/>
      <c r="G144" s="109"/>
      <c r="H144" s="109"/>
      <c r="I144" s="109"/>
      <c r="J144" s="109"/>
      <c r="K144" s="14" t="str">
        <f t="shared" si="29"/>
        <v>已关闭</v>
      </c>
      <c r="L144" s="109"/>
      <c r="M144" s="109"/>
      <c r="N144" s="13"/>
      <c r="O144" s="24">
        <v>41487</v>
      </c>
      <c r="P144" s="13" t="s">
        <v>3513</v>
      </c>
      <c r="Q144" s="13" t="s">
        <v>5129</v>
      </c>
      <c r="R144" s="13" t="s">
        <v>1751</v>
      </c>
      <c r="S144" s="109"/>
      <c r="T144" s="109"/>
      <c r="U144" s="112"/>
      <c r="V144" s="109"/>
      <c r="W144" s="109"/>
      <c r="X144" s="109"/>
    </row>
    <row r="145" spans="2:24">
      <c r="B145" s="109"/>
      <c r="C145" s="109" t="s">
        <v>740</v>
      </c>
      <c r="D145" s="20" t="s">
        <v>5831</v>
      </c>
      <c r="E145" s="109" t="s">
        <v>5832</v>
      </c>
      <c r="F145" s="112" t="s">
        <v>5833</v>
      </c>
      <c r="G145" s="109" t="s">
        <v>5834</v>
      </c>
      <c r="H145" s="109" t="s">
        <v>744</v>
      </c>
      <c r="I145" s="109" t="s">
        <v>745</v>
      </c>
      <c r="J145" s="109" t="s">
        <v>349</v>
      </c>
      <c r="K145" s="14" t="s">
        <v>248</v>
      </c>
      <c r="L145" s="109" t="s">
        <v>1043</v>
      </c>
      <c r="M145" s="109" t="s">
        <v>5835</v>
      </c>
      <c r="N145" s="13"/>
      <c r="O145" s="24">
        <v>42490</v>
      </c>
      <c r="P145" s="13" t="s">
        <v>3513</v>
      </c>
      <c r="Q145" s="13" t="s">
        <v>2030</v>
      </c>
      <c r="R145" s="13" t="s">
        <v>747</v>
      </c>
      <c r="S145" s="109" t="s">
        <v>5836</v>
      </c>
      <c r="T145" s="109" t="s">
        <v>5837</v>
      </c>
      <c r="U145" s="112" t="s">
        <v>750</v>
      </c>
      <c r="V145" s="109"/>
      <c r="W145" s="109"/>
      <c r="X145" s="109" t="s">
        <v>751</v>
      </c>
    </row>
    <row r="146" spans="2:24">
      <c r="B146" s="109"/>
      <c r="C146" s="109"/>
      <c r="D146" s="20" t="str">
        <f>D145</f>
        <v>遛遛宠物</v>
      </c>
      <c r="E146" s="109"/>
      <c r="F146" s="112"/>
      <c r="G146" s="109"/>
      <c r="H146" s="109"/>
      <c r="I146" s="109"/>
      <c r="J146" s="109"/>
      <c r="K146" s="14" t="str">
        <f t="shared" ref="K146:K147" si="30">K145</f>
        <v>已关闭</v>
      </c>
      <c r="L146" s="109"/>
      <c r="M146" s="109"/>
      <c r="N146" s="13"/>
      <c r="O146" s="24">
        <v>41942</v>
      </c>
      <c r="P146" s="13" t="s">
        <v>1045</v>
      </c>
      <c r="Q146" s="13" t="s">
        <v>5646</v>
      </c>
      <c r="R146" s="13" t="s">
        <v>752</v>
      </c>
      <c r="S146" s="109"/>
      <c r="T146" s="109"/>
      <c r="U146" s="112"/>
      <c r="V146" s="109"/>
      <c r="W146" s="109"/>
      <c r="X146" s="109"/>
    </row>
    <row r="147" spans="2:24">
      <c r="B147" s="109"/>
      <c r="C147" s="109"/>
      <c r="D147" s="20" t="str">
        <f>D146</f>
        <v>遛遛宠物</v>
      </c>
      <c r="E147" s="109"/>
      <c r="F147" s="112"/>
      <c r="G147" s="109"/>
      <c r="H147" s="109"/>
      <c r="I147" s="109"/>
      <c r="J147" s="109"/>
      <c r="K147" s="14" t="str">
        <f t="shared" si="30"/>
        <v>已关闭</v>
      </c>
      <c r="L147" s="109"/>
      <c r="M147" s="109"/>
      <c r="N147" s="13"/>
      <c r="O147" s="24">
        <v>41395</v>
      </c>
      <c r="P147" s="13" t="s">
        <v>5474</v>
      </c>
      <c r="Q147" s="13" t="s">
        <v>5838</v>
      </c>
      <c r="R147" s="13" t="s">
        <v>5839</v>
      </c>
      <c r="S147" s="109"/>
      <c r="T147" s="109"/>
      <c r="U147" s="112"/>
      <c r="V147" s="109"/>
      <c r="W147" s="109"/>
      <c r="X147" s="109"/>
    </row>
    <row r="148" spans="2:24">
      <c r="B148" s="109"/>
      <c r="C148" s="109" t="s">
        <v>755</v>
      </c>
      <c r="D148" s="20" t="s">
        <v>5840</v>
      </c>
      <c r="E148" s="109" t="s">
        <v>5841</v>
      </c>
      <c r="F148" s="112" t="s">
        <v>757</v>
      </c>
      <c r="G148" s="109" t="s">
        <v>5842</v>
      </c>
      <c r="H148" s="109" t="s">
        <v>759</v>
      </c>
      <c r="I148" s="109" t="s">
        <v>760</v>
      </c>
      <c r="J148" s="109" t="s">
        <v>761</v>
      </c>
      <c r="K148" s="14" t="s">
        <v>272</v>
      </c>
      <c r="L148" s="109" t="s">
        <v>1825</v>
      </c>
      <c r="M148" s="109" t="s">
        <v>5843</v>
      </c>
      <c r="N148" s="13"/>
      <c r="O148" s="24">
        <v>44070</v>
      </c>
      <c r="P148" s="13" t="s">
        <v>763</v>
      </c>
      <c r="Q148" s="13" t="s">
        <v>1750</v>
      </c>
      <c r="R148" s="13" t="s">
        <v>764</v>
      </c>
      <c r="S148" s="109" t="s">
        <v>5844</v>
      </c>
      <c r="T148" s="109" t="s">
        <v>5845</v>
      </c>
      <c r="U148" s="112" t="s">
        <v>767</v>
      </c>
      <c r="V148" s="109" t="s">
        <v>768</v>
      </c>
      <c r="W148" s="109" t="s">
        <v>769</v>
      </c>
      <c r="X148" s="109" t="s">
        <v>770</v>
      </c>
    </row>
    <row r="149" spans="2:24">
      <c r="B149" s="109"/>
      <c r="C149" s="109"/>
      <c r="D149" s="20" t="str">
        <f t="shared" ref="D149:D154" si="31">D148</f>
        <v>思必驰</v>
      </c>
      <c r="E149" s="109"/>
      <c r="F149" s="112"/>
      <c r="G149" s="109"/>
      <c r="H149" s="109"/>
      <c r="I149" s="109"/>
      <c r="J149" s="109"/>
      <c r="K149" s="14" t="str">
        <f t="shared" ref="K149:K154" si="32">K148</f>
        <v>运营中</v>
      </c>
      <c r="L149" s="109"/>
      <c r="M149" s="109"/>
      <c r="N149" s="13"/>
      <c r="O149" s="24">
        <v>43928</v>
      </c>
      <c r="P149" s="13" t="s">
        <v>3276</v>
      </c>
      <c r="Q149" s="13" t="s">
        <v>5846</v>
      </c>
      <c r="R149" s="13" t="s">
        <v>772</v>
      </c>
      <c r="S149" s="109"/>
      <c r="T149" s="109"/>
      <c r="U149" s="112"/>
      <c r="V149" s="109"/>
      <c r="W149" s="109"/>
      <c r="X149" s="109"/>
    </row>
    <row r="150" spans="2:24">
      <c r="B150" s="109"/>
      <c r="C150" s="109"/>
      <c r="D150" s="20" t="str">
        <f t="shared" si="31"/>
        <v>思必驰</v>
      </c>
      <c r="E150" s="109"/>
      <c r="F150" s="112"/>
      <c r="G150" s="109"/>
      <c r="H150" s="109"/>
      <c r="I150" s="109"/>
      <c r="J150" s="109"/>
      <c r="K150" s="14" t="str">
        <f t="shared" si="32"/>
        <v>运营中</v>
      </c>
      <c r="L150" s="109"/>
      <c r="M150" s="109"/>
      <c r="N150" s="13"/>
      <c r="O150" s="24">
        <v>43277</v>
      </c>
      <c r="P150" s="13" t="s">
        <v>1827</v>
      </c>
      <c r="Q150" s="13" t="s">
        <v>5847</v>
      </c>
      <c r="R150" s="13" t="s">
        <v>774</v>
      </c>
      <c r="S150" s="109"/>
      <c r="T150" s="109"/>
      <c r="U150" s="112"/>
      <c r="V150" s="109"/>
      <c r="W150" s="109"/>
      <c r="X150" s="109"/>
    </row>
    <row r="151" spans="2:24">
      <c r="B151" s="109"/>
      <c r="C151" s="109"/>
      <c r="D151" s="20" t="str">
        <f t="shared" si="31"/>
        <v>思必驰</v>
      </c>
      <c r="E151" s="109"/>
      <c r="F151" s="112"/>
      <c r="G151" s="109"/>
      <c r="H151" s="109"/>
      <c r="I151" s="109"/>
      <c r="J151" s="109"/>
      <c r="K151" s="14" t="str">
        <f t="shared" si="32"/>
        <v>运营中</v>
      </c>
      <c r="L151" s="109"/>
      <c r="M151" s="109"/>
      <c r="N151" s="13"/>
      <c r="O151" s="24">
        <v>42639</v>
      </c>
      <c r="P151" s="13" t="s">
        <v>2029</v>
      </c>
      <c r="Q151" s="13" t="s">
        <v>2030</v>
      </c>
      <c r="R151" s="13" t="s">
        <v>253</v>
      </c>
      <c r="S151" s="109"/>
      <c r="T151" s="109"/>
      <c r="U151" s="112"/>
      <c r="V151" s="109"/>
      <c r="W151" s="109"/>
      <c r="X151" s="109"/>
    </row>
    <row r="152" spans="2:24">
      <c r="B152" s="109"/>
      <c r="C152" s="109"/>
      <c r="D152" s="20" t="str">
        <f t="shared" si="31"/>
        <v>思必驰</v>
      </c>
      <c r="E152" s="109"/>
      <c r="F152" s="112"/>
      <c r="G152" s="109"/>
      <c r="H152" s="109"/>
      <c r="I152" s="109"/>
      <c r="J152" s="109"/>
      <c r="K152" s="14" t="str">
        <f t="shared" si="32"/>
        <v>运营中</v>
      </c>
      <c r="L152" s="109"/>
      <c r="M152" s="109"/>
      <c r="N152" s="13"/>
      <c r="O152" s="24">
        <v>42387</v>
      </c>
      <c r="P152" s="13" t="s">
        <v>5613</v>
      </c>
      <c r="Q152" s="13" t="s">
        <v>3483</v>
      </c>
      <c r="R152" s="13" t="s">
        <v>775</v>
      </c>
      <c r="S152" s="109"/>
      <c r="T152" s="109"/>
      <c r="U152" s="112"/>
      <c r="V152" s="109"/>
      <c r="W152" s="109"/>
      <c r="X152" s="109"/>
    </row>
    <row r="153" spans="2:24">
      <c r="B153" s="109"/>
      <c r="C153" s="109"/>
      <c r="D153" s="20" t="str">
        <f t="shared" si="31"/>
        <v>思必驰</v>
      </c>
      <c r="E153" s="109"/>
      <c r="F153" s="112"/>
      <c r="G153" s="109"/>
      <c r="H153" s="109"/>
      <c r="I153" s="109"/>
      <c r="J153" s="109"/>
      <c r="K153" s="14" t="str">
        <f t="shared" si="32"/>
        <v>运营中</v>
      </c>
      <c r="L153" s="109"/>
      <c r="M153" s="109"/>
      <c r="N153" s="13"/>
      <c r="O153" s="24">
        <v>41760</v>
      </c>
      <c r="P153" s="13" t="s">
        <v>3648</v>
      </c>
      <c r="Q153" s="13" t="s">
        <v>5427</v>
      </c>
      <c r="R153" s="13" t="s">
        <v>5848</v>
      </c>
      <c r="S153" s="109"/>
      <c r="T153" s="109"/>
      <c r="U153" s="112"/>
      <c r="V153" s="109"/>
      <c r="W153" s="109"/>
      <c r="X153" s="109"/>
    </row>
    <row r="154" spans="2:24">
      <c r="B154" s="109"/>
      <c r="C154" s="109"/>
      <c r="D154" s="20" t="str">
        <f t="shared" si="31"/>
        <v>思必驰</v>
      </c>
      <c r="E154" s="109"/>
      <c r="F154" s="112"/>
      <c r="G154" s="109"/>
      <c r="H154" s="109"/>
      <c r="I154" s="109"/>
      <c r="J154" s="109"/>
      <c r="K154" s="14" t="str">
        <f t="shared" si="32"/>
        <v>运营中</v>
      </c>
      <c r="L154" s="109"/>
      <c r="M154" s="109"/>
      <c r="N154" s="13"/>
      <c r="O154" s="24">
        <v>40909</v>
      </c>
      <c r="P154" s="13" t="s">
        <v>3513</v>
      </c>
      <c r="Q154" s="13" t="s">
        <v>3514</v>
      </c>
      <c r="R154" s="13" t="s">
        <v>777</v>
      </c>
      <c r="S154" s="109"/>
      <c r="T154" s="109"/>
      <c r="U154" s="112"/>
      <c r="V154" s="109"/>
      <c r="W154" s="109"/>
      <c r="X154" s="109"/>
    </row>
    <row r="155" spans="2:24">
      <c r="B155" s="109"/>
      <c r="C155" s="109" t="s">
        <v>778</v>
      </c>
      <c r="D155" s="20" t="s">
        <v>5849</v>
      </c>
      <c r="E155" s="109" t="s">
        <v>5850</v>
      </c>
      <c r="F155" s="112" t="s">
        <v>5851</v>
      </c>
      <c r="G155" s="109" t="s">
        <v>5852</v>
      </c>
      <c r="H155" s="109" t="s">
        <v>783</v>
      </c>
      <c r="I155" s="109" t="s">
        <v>784</v>
      </c>
      <c r="J155" s="109" t="s">
        <v>385</v>
      </c>
      <c r="K155" s="14" t="s">
        <v>272</v>
      </c>
      <c r="L155" s="109" t="s">
        <v>2788</v>
      </c>
      <c r="M155" s="109" t="s">
        <v>5717</v>
      </c>
      <c r="N155" s="13"/>
      <c r="O155" s="24">
        <v>43658</v>
      </c>
      <c r="P155" s="13" t="s">
        <v>1045</v>
      </c>
      <c r="Q155" s="13" t="s">
        <v>5000</v>
      </c>
      <c r="R155" s="13" t="s">
        <v>5853</v>
      </c>
      <c r="S155" s="109" t="s">
        <v>5854</v>
      </c>
      <c r="T155" s="109" t="s">
        <v>5855</v>
      </c>
      <c r="U155" s="112" t="s">
        <v>788</v>
      </c>
      <c r="V155" s="109" t="s">
        <v>789</v>
      </c>
      <c r="W155" s="109" t="s">
        <v>790</v>
      </c>
      <c r="X155" s="109" t="s">
        <v>791</v>
      </c>
    </row>
    <row r="156" spans="2:24">
      <c r="B156" s="109"/>
      <c r="C156" s="109"/>
      <c r="D156" s="20" t="str">
        <f>D155</f>
        <v>iTutorGroup集团</v>
      </c>
      <c r="E156" s="109"/>
      <c r="F156" s="112"/>
      <c r="G156" s="109"/>
      <c r="H156" s="109"/>
      <c r="I156" s="109"/>
      <c r="J156" s="109"/>
      <c r="K156" s="14" t="str">
        <f t="shared" ref="K156:K160" si="33">K155</f>
        <v>运营中</v>
      </c>
      <c r="L156" s="109"/>
      <c r="M156" s="109"/>
      <c r="N156" s="13"/>
      <c r="O156" s="24">
        <v>43524</v>
      </c>
      <c r="P156" s="13" t="s">
        <v>763</v>
      </c>
      <c r="Q156" s="13" t="s">
        <v>5000</v>
      </c>
      <c r="R156" s="13" t="s">
        <v>253</v>
      </c>
      <c r="S156" s="109"/>
      <c r="T156" s="109"/>
      <c r="U156" s="112"/>
      <c r="V156" s="109"/>
      <c r="W156" s="109"/>
      <c r="X156" s="109"/>
    </row>
    <row r="157" spans="2:24">
      <c r="B157" s="109"/>
      <c r="C157" s="109"/>
      <c r="D157" s="20" t="str">
        <f>D156</f>
        <v>iTutorGroup集团</v>
      </c>
      <c r="E157" s="109"/>
      <c r="F157" s="112"/>
      <c r="G157" s="109"/>
      <c r="H157" s="109"/>
      <c r="I157" s="109"/>
      <c r="J157" s="109"/>
      <c r="K157" s="14" t="str">
        <f t="shared" si="33"/>
        <v>运营中</v>
      </c>
      <c r="L157" s="109"/>
      <c r="M157" s="109"/>
      <c r="N157" s="13"/>
      <c r="O157" s="24">
        <v>42327</v>
      </c>
      <c r="P157" s="13" t="s">
        <v>5613</v>
      </c>
      <c r="Q157" s="13" t="s">
        <v>2714</v>
      </c>
      <c r="R157" s="13" t="s">
        <v>793</v>
      </c>
      <c r="S157" s="109"/>
      <c r="T157" s="109"/>
      <c r="U157" s="112"/>
      <c r="V157" s="109"/>
      <c r="W157" s="109"/>
      <c r="X157" s="109"/>
    </row>
    <row r="158" spans="2:24">
      <c r="B158" s="109"/>
      <c r="C158" s="109"/>
      <c r="D158" s="20" t="str">
        <f>D157</f>
        <v>iTutorGroup集团</v>
      </c>
      <c r="E158" s="109"/>
      <c r="F158" s="112"/>
      <c r="G158" s="109"/>
      <c r="H158" s="109"/>
      <c r="I158" s="109"/>
      <c r="J158" s="109"/>
      <c r="K158" s="14" t="str">
        <f t="shared" si="33"/>
        <v>运营中</v>
      </c>
      <c r="L158" s="109"/>
      <c r="M158" s="109"/>
      <c r="N158" s="13"/>
      <c r="O158" s="24">
        <v>41699</v>
      </c>
      <c r="P158" s="13" t="s">
        <v>5754</v>
      </c>
      <c r="Q158" s="13" t="s">
        <v>5000</v>
      </c>
      <c r="R158" s="13" t="s">
        <v>5856</v>
      </c>
      <c r="S158" s="109"/>
      <c r="T158" s="109"/>
      <c r="U158" s="112"/>
      <c r="V158" s="109"/>
      <c r="W158" s="109"/>
      <c r="X158" s="109"/>
    </row>
    <row r="159" spans="2:24">
      <c r="B159" s="109"/>
      <c r="C159" s="109"/>
      <c r="D159" s="20" t="str">
        <f>D158</f>
        <v>iTutorGroup集团</v>
      </c>
      <c r="E159" s="109"/>
      <c r="F159" s="112"/>
      <c r="G159" s="109"/>
      <c r="H159" s="109"/>
      <c r="I159" s="109"/>
      <c r="J159" s="109"/>
      <c r="K159" s="14" t="str">
        <f t="shared" si="33"/>
        <v>运营中</v>
      </c>
      <c r="L159" s="109"/>
      <c r="M159" s="109"/>
      <c r="N159" s="13"/>
      <c r="O159" s="24">
        <v>41671</v>
      </c>
      <c r="P159" s="13" t="s">
        <v>3648</v>
      </c>
      <c r="Q159" s="13" t="s">
        <v>4732</v>
      </c>
      <c r="R159" s="13" t="s">
        <v>795</v>
      </c>
      <c r="S159" s="109"/>
      <c r="T159" s="109"/>
      <c r="U159" s="112"/>
      <c r="V159" s="109"/>
      <c r="W159" s="109"/>
      <c r="X159" s="109"/>
    </row>
    <row r="160" spans="2:24">
      <c r="B160" s="109"/>
      <c r="C160" s="109"/>
      <c r="D160" s="20" t="str">
        <f>D159</f>
        <v>iTutorGroup集团</v>
      </c>
      <c r="E160" s="109"/>
      <c r="F160" s="112"/>
      <c r="G160" s="109"/>
      <c r="H160" s="109"/>
      <c r="I160" s="109"/>
      <c r="J160" s="109"/>
      <c r="K160" s="14" t="str">
        <f t="shared" si="33"/>
        <v>运营中</v>
      </c>
      <c r="L160" s="109"/>
      <c r="M160" s="109"/>
      <c r="N160" s="13"/>
      <c r="O160" s="24">
        <v>41000</v>
      </c>
      <c r="P160" s="13" t="s">
        <v>3513</v>
      </c>
      <c r="Q160" s="13" t="s">
        <v>5576</v>
      </c>
      <c r="R160" s="13" t="s">
        <v>796</v>
      </c>
      <c r="S160" s="109"/>
      <c r="T160" s="109"/>
      <c r="U160" s="112"/>
      <c r="V160" s="109"/>
      <c r="W160" s="109"/>
      <c r="X160" s="109"/>
    </row>
    <row r="161" spans="2:24">
      <c r="B161" s="109"/>
      <c r="C161" s="109" t="s">
        <v>797</v>
      </c>
      <c r="D161" s="20" t="s">
        <v>5857</v>
      </c>
      <c r="E161" s="109" t="s">
        <v>5858</v>
      </c>
      <c r="F161" s="112" t="s">
        <v>5859</v>
      </c>
      <c r="G161" s="109" t="s">
        <v>5860</v>
      </c>
      <c r="H161" s="109" t="s">
        <v>802</v>
      </c>
      <c r="I161" s="109" t="s">
        <v>803</v>
      </c>
      <c r="J161" s="109" t="s">
        <v>385</v>
      </c>
      <c r="K161" s="14" t="s">
        <v>272</v>
      </c>
      <c r="L161" s="109" t="s">
        <v>5651</v>
      </c>
      <c r="M161" s="109" t="s">
        <v>5861</v>
      </c>
      <c r="N161" s="13"/>
      <c r="O161" s="24">
        <v>42474</v>
      </c>
      <c r="P161" s="13" t="s">
        <v>5613</v>
      </c>
      <c r="Q161" s="13" t="s">
        <v>5862</v>
      </c>
      <c r="R161" s="13" t="s">
        <v>253</v>
      </c>
      <c r="S161" s="109" t="s">
        <v>5863</v>
      </c>
      <c r="T161" s="109" t="s">
        <v>5750</v>
      </c>
      <c r="U161" s="112" t="s">
        <v>807</v>
      </c>
      <c r="V161" s="109" t="s">
        <v>808</v>
      </c>
      <c r="W161" s="109"/>
      <c r="X161" s="109"/>
    </row>
    <row r="162" spans="2:24">
      <c r="B162" s="109"/>
      <c r="C162" s="109"/>
      <c r="D162" s="20" t="str">
        <f>D161</f>
        <v>LBE安全大师</v>
      </c>
      <c r="E162" s="109"/>
      <c r="F162" s="112"/>
      <c r="G162" s="109"/>
      <c r="H162" s="109"/>
      <c r="I162" s="109"/>
      <c r="J162" s="109"/>
      <c r="K162" s="14" t="str">
        <f t="shared" ref="K162:K164" si="34">K161</f>
        <v>运营中</v>
      </c>
      <c r="L162" s="109"/>
      <c r="M162" s="109"/>
      <c r="N162" s="13"/>
      <c r="O162" s="24">
        <v>41913</v>
      </c>
      <c r="P162" s="13" t="s">
        <v>3648</v>
      </c>
      <c r="Q162" s="13" t="s">
        <v>5129</v>
      </c>
      <c r="R162" s="13" t="s">
        <v>5864</v>
      </c>
      <c r="S162" s="109"/>
      <c r="T162" s="109"/>
      <c r="U162" s="112"/>
      <c r="V162" s="109"/>
      <c r="W162" s="109"/>
      <c r="X162" s="109"/>
    </row>
    <row r="163" spans="2:24">
      <c r="B163" s="109"/>
      <c r="C163" s="109"/>
      <c r="D163" s="20" t="str">
        <f>D162</f>
        <v>LBE安全大师</v>
      </c>
      <c r="E163" s="109"/>
      <c r="F163" s="112"/>
      <c r="G163" s="109"/>
      <c r="H163" s="109"/>
      <c r="I163" s="109"/>
      <c r="J163" s="109"/>
      <c r="K163" s="14" t="str">
        <f t="shared" si="34"/>
        <v>运营中</v>
      </c>
      <c r="L163" s="109"/>
      <c r="M163" s="109"/>
      <c r="N163" s="13"/>
      <c r="O163" s="24">
        <v>41609</v>
      </c>
      <c r="P163" s="13" t="s">
        <v>3513</v>
      </c>
      <c r="Q163" s="13" t="s">
        <v>5129</v>
      </c>
      <c r="R163" s="13" t="s">
        <v>810</v>
      </c>
      <c r="S163" s="109"/>
      <c r="T163" s="109"/>
      <c r="U163" s="112"/>
      <c r="V163" s="109"/>
      <c r="W163" s="109"/>
      <c r="X163" s="109"/>
    </row>
    <row r="164" spans="2:24">
      <c r="B164" s="109"/>
      <c r="C164" s="109"/>
      <c r="D164" s="20" t="str">
        <f>D163</f>
        <v>LBE安全大师</v>
      </c>
      <c r="E164" s="109"/>
      <c r="F164" s="112"/>
      <c r="G164" s="109"/>
      <c r="H164" s="109"/>
      <c r="I164" s="109"/>
      <c r="J164" s="109"/>
      <c r="K164" s="14" t="str">
        <f t="shared" si="34"/>
        <v>运营中</v>
      </c>
      <c r="L164" s="109"/>
      <c r="M164" s="109"/>
      <c r="N164" s="13"/>
      <c r="O164" s="24">
        <v>40695</v>
      </c>
      <c r="P164" s="13" t="s">
        <v>5474</v>
      </c>
      <c r="Q164" s="13" t="s">
        <v>5662</v>
      </c>
      <c r="R164" s="13" t="s">
        <v>253</v>
      </c>
      <c r="S164" s="109"/>
      <c r="T164" s="109"/>
      <c r="U164" s="112"/>
      <c r="V164" s="109"/>
      <c r="W164" s="109"/>
      <c r="X164" s="109"/>
    </row>
    <row r="165" spans="2:24">
      <c r="B165" s="109"/>
      <c r="C165" s="109" t="s">
        <v>811</v>
      </c>
      <c r="D165" s="20" t="s">
        <v>5865</v>
      </c>
      <c r="E165" s="109" t="s">
        <v>813</v>
      </c>
      <c r="F165" s="112" t="s">
        <v>814</v>
      </c>
      <c r="G165" s="109" t="s">
        <v>5866</v>
      </c>
      <c r="H165" s="109" t="s">
        <v>816</v>
      </c>
      <c r="I165" s="109" t="s">
        <v>616</v>
      </c>
      <c r="J165" s="109" t="s">
        <v>428</v>
      </c>
      <c r="K165" s="14" t="s">
        <v>272</v>
      </c>
      <c r="L165" s="109" t="s">
        <v>4162</v>
      </c>
      <c r="M165" s="109" t="s">
        <v>5464</v>
      </c>
      <c r="N165" s="13">
        <v>1</v>
      </c>
      <c r="O165" s="24">
        <v>44284</v>
      </c>
      <c r="P165" s="13" t="s">
        <v>5625</v>
      </c>
      <c r="Q165" s="13" t="s">
        <v>5867</v>
      </c>
      <c r="R165" s="13" t="s">
        <v>253</v>
      </c>
      <c r="S165" s="109" t="s">
        <v>5868</v>
      </c>
      <c r="T165" s="109" t="s">
        <v>5869</v>
      </c>
      <c r="U165" s="112" t="s">
        <v>821</v>
      </c>
      <c r="V165" s="109" t="s">
        <v>822</v>
      </c>
      <c r="W165" s="109"/>
      <c r="X165" s="109"/>
    </row>
    <row r="166" spans="2:24">
      <c r="B166" s="109"/>
      <c r="C166" s="109"/>
      <c r="D166" s="20" t="str">
        <f t="shared" ref="D166:D175" si="35">D165</f>
        <v>哔哩哔哩bilibili</v>
      </c>
      <c r="E166" s="109"/>
      <c r="F166" s="112"/>
      <c r="G166" s="109"/>
      <c r="H166" s="109"/>
      <c r="I166" s="109"/>
      <c r="J166" s="109"/>
      <c r="K166" s="14" t="str">
        <f t="shared" ref="K166:K175" si="36">K165</f>
        <v>运营中</v>
      </c>
      <c r="L166" s="109"/>
      <c r="M166" s="109"/>
      <c r="N166" s="13">
        <v>1</v>
      </c>
      <c r="O166" s="24">
        <v>43930</v>
      </c>
      <c r="P166" s="13" t="s">
        <v>5810</v>
      </c>
      <c r="Q166" s="13" t="s">
        <v>4562</v>
      </c>
      <c r="R166" s="13" t="s">
        <v>823</v>
      </c>
      <c r="S166" s="109"/>
      <c r="T166" s="109"/>
      <c r="U166" s="112"/>
      <c r="V166" s="109"/>
      <c r="W166" s="109"/>
      <c r="X166" s="109"/>
    </row>
    <row r="167" spans="2:24">
      <c r="B167" s="109"/>
      <c r="C167" s="109"/>
      <c r="D167" s="20" t="str">
        <f t="shared" si="35"/>
        <v>哔哩哔哩bilibili</v>
      </c>
      <c r="E167" s="109"/>
      <c r="F167" s="112"/>
      <c r="G167" s="109"/>
      <c r="H167" s="109"/>
      <c r="I167" s="109"/>
      <c r="J167" s="109"/>
      <c r="K167" s="14" t="str">
        <f t="shared" si="36"/>
        <v>运营中</v>
      </c>
      <c r="L167" s="109"/>
      <c r="M167" s="109"/>
      <c r="N167" s="13">
        <v>1</v>
      </c>
      <c r="O167" s="24">
        <v>43874</v>
      </c>
      <c r="P167" s="13" t="s">
        <v>5810</v>
      </c>
      <c r="Q167" s="13" t="s">
        <v>2030</v>
      </c>
      <c r="R167" s="13" t="s">
        <v>5755</v>
      </c>
      <c r="S167" s="109"/>
      <c r="T167" s="109"/>
      <c r="U167" s="112"/>
      <c r="V167" s="109"/>
      <c r="W167" s="109"/>
      <c r="X167" s="109"/>
    </row>
    <row r="168" spans="2:24">
      <c r="B168" s="109"/>
      <c r="C168" s="109"/>
      <c r="D168" s="20" t="str">
        <f t="shared" si="35"/>
        <v>哔哩哔哩bilibili</v>
      </c>
      <c r="E168" s="109"/>
      <c r="F168" s="112"/>
      <c r="G168" s="109"/>
      <c r="H168" s="109"/>
      <c r="I168" s="109"/>
      <c r="J168" s="109"/>
      <c r="K168" s="14" t="str">
        <f t="shared" si="36"/>
        <v>运营中</v>
      </c>
      <c r="L168" s="109"/>
      <c r="M168" s="109"/>
      <c r="N168" s="13">
        <v>1</v>
      </c>
      <c r="O168" s="24">
        <v>43510</v>
      </c>
      <c r="P168" s="13" t="s">
        <v>5810</v>
      </c>
      <c r="Q168" s="13" t="s">
        <v>5129</v>
      </c>
      <c r="R168" s="13" t="s">
        <v>1751</v>
      </c>
      <c r="S168" s="109"/>
      <c r="T168" s="109"/>
      <c r="U168" s="112"/>
      <c r="V168" s="109"/>
      <c r="W168" s="109"/>
      <c r="X168" s="109"/>
    </row>
    <row r="169" spans="2:24">
      <c r="B169" s="109"/>
      <c r="C169" s="109"/>
      <c r="D169" s="20" t="str">
        <f t="shared" si="35"/>
        <v>哔哩哔哩bilibili</v>
      </c>
      <c r="E169" s="109"/>
      <c r="F169" s="112"/>
      <c r="G169" s="109"/>
      <c r="H169" s="109"/>
      <c r="I169" s="109"/>
      <c r="J169" s="109"/>
      <c r="K169" s="14" t="str">
        <f t="shared" si="36"/>
        <v>运营中</v>
      </c>
      <c r="L169" s="109"/>
      <c r="M169" s="109"/>
      <c r="N169" s="13">
        <v>1</v>
      </c>
      <c r="O169" s="24">
        <v>43376</v>
      </c>
      <c r="P169" s="13" t="s">
        <v>5810</v>
      </c>
      <c r="Q169" s="13" t="s">
        <v>5870</v>
      </c>
      <c r="R169" s="13" t="s">
        <v>5755</v>
      </c>
      <c r="S169" s="109"/>
      <c r="T169" s="109"/>
      <c r="U169" s="112"/>
      <c r="V169" s="109"/>
      <c r="W169" s="109"/>
      <c r="X169" s="109"/>
    </row>
    <row r="170" spans="2:24">
      <c r="B170" s="109"/>
      <c r="C170" s="109"/>
      <c r="D170" s="20" t="str">
        <f t="shared" si="35"/>
        <v>哔哩哔哩bilibili</v>
      </c>
      <c r="E170" s="109"/>
      <c r="F170" s="112"/>
      <c r="G170" s="109"/>
      <c r="H170" s="109"/>
      <c r="I170" s="109"/>
      <c r="J170" s="109"/>
      <c r="K170" s="14" t="str">
        <f t="shared" si="36"/>
        <v>运营中</v>
      </c>
      <c r="L170" s="109"/>
      <c r="M170" s="109"/>
      <c r="N170" s="13">
        <v>1</v>
      </c>
      <c r="O170" s="24">
        <v>43187</v>
      </c>
      <c r="P170" s="13" t="s">
        <v>5625</v>
      </c>
      <c r="Q170" s="13" t="s">
        <v>5871</v>
      </c>
      <c r="R170" s="13" t="s">
        <v>253</v>
      </c>
      <c r="S170" s="109"/>
      <c r="T170" s="109"/>
      <c r="U170" s="112"/>
      <c r="V170" s="109"/>
      <c r="W170" s="109"/>
      <c r="X170" s="109"/>
    </row>
    <row r="171" spans="2:24">
      <c r="B171" s="109"/>
      <c r="C171" s="109"/>
      <c r="D171" s="20" t="str">
        <f t="shared" si="35"/>
        <v>哔哩哔哩bilibili</v>
      </c>
      <c r="E171" s="109"/>
      <c r="F171" s="112"/>
      <c r="G171" s="109"/>
      <c r="H171" s="109"/>
      <c r="I171" s="109"/>
      <c r="J171" s="109"/>
      <c r="K171" s="14" t="str">
        <f t="shared" si="36"/>
        <v>运营中</v>
      </c>
      <c r="L171" s="109"/>
      <c r="M171" s="109"/>
      <c r="N171" s="13">
        <v>1</v>
      </c>
      <c r="O171" s="24">
        <v>42887</v>
      </c>
      <c r="P171" s="13" t="s">
        <v>3276</v>
      </c>
      <c r="Q171" s="13" t="s">
        <v>5129</v>
      </c>
      <c r="R171" s="13" t="s">
        <v>826</v>
      </c>
      <c r="S171" s="109"/>
      <c r="T171" s="109"/>
      <c r="U171" s="112"/>
      <c r="V171" s="109"/>
      <c r="W171" s="109"/>
      <c r="X171" s="109"/>
    </row>
    <row r="172" spans="2:24">
      <c r="B172" s="109"/>
      <c r="C172" s="109"/>
      <c r="D172" s="20" t="str">
        <f t="shared" si="35"/>
        <v>哔哩哔哩bilibili</v>
      </c>
      <c r="E172" s="109"/>
      <c r="F172" s="112"/>
      <c r="G172" s="109"/>
      <c r="H172" s="109"/>
      <c r="I172" s="109"/>
      <c r="J172" s="109"/>
      <c r="K172" s="14" t="str">
        <f t="shared" si="36"/>
        <v>运营中</v>
      </c>
      <c r="L172" s="109"/>
      <c r="M172" s="109"/>
      <c r="N172" s="13">
        <v>1</v>
      </c>
      <c r="O172" s="24">
        <v>42318</v>
      </c>
      <c r="P172" s="13" t="s">
        <v>1827</v>
      </c>
      <c r="Q172" s="13" t="s">
        <v>1750</v>
      </c>
      <c r="R172" s="13" t="s">
        <v>827</v>
      </c>
      <c r="S172" s="109"/>
      <c r="T172" s="109"/>
      <c r="U172" s="112"/>
      <c r="V172" s="109"/>
      <c r="W172" s="109"/>
      <c r="X172" s="109"/>
    </row>
    <row r="173" spans="2:24">
      <c r="B173" s="109"/>
      <c r="C173" s="109"/>
      <c r="D173" s="20" t="str">
        <f t="shared" si="35"/>
        <v>哔哩哔哩bilibili</v>
      </c>
      <c r="E173" s="109"/>
      <c r="F173" s="112"/>
      <c r="G173" s="109"/>
      <c r="H173" s="109"/>
      <c r="I173" s="109"/>
      <c r="J173" s="109"/>
      <c r="K173" s="14" t="str">
        <f t="shared" si="36"/>
        <v>运营中</v>
      </c>
      <c r="L173" s="109"/>
      <c r="M173" s="109"/>
      <c r="N173" s="13">
        <v>1</v>
      </c>
      <c r="O173" s="24">
        <v>42243</v>
      </c>
      <c r="P173" s="13" t="s">
        <v>5613</v>
      </c>
      <c r="Q173" s="13" t="s">
        <v>5872</v>
      </c>
      <c r="R173" s="13" t="s">
        <v>5873</v>
      </c>
      <c r="S173" s="109"/>
      <c r="T173" s="109"/>
      <c r="U173" s="112"/>
      <c r="V173" s="109"/>
      <c r="W173" s="109"/>
      <c r="X173" s="109"/>
    </row>
    <row r="174" spans="2:24">
      <c r="B174" s="109"/>
      <c r="C174" s="109"/>
      <c r="D174" s="20" t="str">
        <f t="shared" si="35"/>
        <v>哔哩哔哩bilibili</v>
      </c>
      <c r="E174" s="109"/>
      <c r="F174" s="112"/>
      <c r="G174" s="109"/>
      <c r="H174" s="109"/>
      <c r="I174" s="109"/>
      <c r="J174" s="109"/>
      <c r="K174" s="14" t="str">
        <f t="shared" si="36"/>
        <v>运营中</v>
      </c>
      <c r="L174" s="109"/>
      <c r="M174" s="109"/>
      <c r="N174" s="13">
        <v>1</v>
      </c>
      <c r="O174" s="24">
        <v>41926</v>
      </c>
      <c r="P174" s="13" t="s">
        <v>3648</v>
      </c>
      <c r="Q174" s="13" t="s">
        <v>5129</v>
      </c>
      <c r="R174" s="13" t="s">
        <v>5874</v>
      </c>
      <c r="S174" s="109"/>
      <c r="T174" s="109"/>
      <c r="U174" s="112"/>
      <c r="V174" s="109"/>
      <c r="W174" s="109"/>
      <c r="X174" s="109"/>
    </row>
    <row r="175" spans="2:24">
      <c r="B175" s="109"/>
      <c r="C175" s="109"/>
      <c r="D175" s="20" t="str">
        <f t="shared" si="35"/>
        <v>哔哩哔哩bilibili</v>
      </c>
      <c r="E175" s="109"/>
      <c r="F175" s="112"/>
      <c r="G175" s="109"/>
      <c r="H175" s="109"/>
      <c r="I175" s="109"/>
      <c r="J175" s="109"/>
      <c r="K175" s="14" t="str">
        <f t="shared" si="36"/>
        <v>运营中</v>
      </c>
      <c r="L175" s="109"/>
      <c r="M175" s="109"/>
      <c r="N175" s="13">
        <v>1</v>
      </c>
      <c r="O175" s="24">
        <v>41564</v>
      </c>
      <c r="P175" s="13" t="s">
        <v>3513</v>
      </c>
      <c r="Q175" s="13" t="s">
        <v>5616</v>
      </c>
      <c r="R175" s="13" t="s">
        <v>5875</v>
      </c>
      <c r="S175" s="109"/>
      <c r="T175" s="109"/>
      <c r="U175" s="112"/>
      <c r="V175" s="109"/>
      <c r="W175" s="109"/>
      <c r="X175" s="109"/>
    </row>
    <row r="176" spans="2:24">
      <c r="B176" s="109"/>
      <c r="C176" s="109" t="s">
        <v>832</v>
      </c>
      <c r="D176" s="20" t="s">
        <v>5876</v>
      </c>
      <c r="E176" s="109" t="s">
        <v>5877</v>
      </c>
      <c r="F176" s="112" t="s">
        <v>5878</v>
      </c>
      <c r="G176" s="109" t="s">
        <v>5879</v>
      </c>
      <c r="H176" s="109" t="s">
        <v>836</v>
      </c>
      <c r="I176" s="109" t="s">
        <v>837</v>
      </c>
      <c r="J176" s="109" t="s">
        <v>271</v>
      </c>
      <c r="K176" s="14" t="s">
        <v>272</v>
      </c>
      <c r="L176" s="109" t="s">
        <v>5611</v>
      </c>
      <c r="M176" s="109" t="s">
        <v>5693</v>
      </c>
      <c r="N176" s="13"/>
      <c r="O176" s="24">
        <v>42374</v>
      </c>
      <c r="P176" s="13" t="s">
        <v>1827</v>
      </c>
      <c r="Q176" s="13" t="s">
        <v>5880</v>
      </c>
      <c r="R176" s="13" t="s">
        <v>5881</v>
      </c>
      <c r="S176" s="109" t="s">
        <v>5882</v>
      </c>
      <c r="T176" s="109" t="s">
        <v>5883</v>
      </c>
      <c r="U176" s="112" t="s">
        <v>842</v>
      </c>
      <c r="V176" s="109" t="s">
        <v>843</v>
      </c>
      <c r="W176" s="109" t="s">
        <v>844</v>
      </c>
      <c r="X176" s="109" t="s">
        <v>845</v>
      </c>
    </row>
    <row r="177" spans="2:24">
      <c r="B177" s="109"/>
      <c r="C177" s="109"/>
      <c r="D177" s="20" t="str">
        <f>D176</f>
        <v>穷游网</v>
      </c>
      <c r="E177" s="109"/>
      <c r="F177" s="112"/>
      <c r="G177" s="109"/>
      <c r="H177" s="109"/>
      <c r="I177" s="109"/>
      <c r="J177" s="109"/>
      <c r="K177" s="14" t="str">
        <f t="shared" ref="K177:K179" si="37">K176</f>
        <v>运营中</v>
      </c>
      <c r="L177" s="109"/>
      <c r="M177" s="109"/>
      <c r="N177" s="13"/>
      <c r="O177" s="24">
        <v>41766</v>
      </c>
      <c r="P177" s="13" t="s">
        <v>5613</v>
      </c>
      <c r="Q177" s="13" t="s">
        <v>5129</v>
      </c>
      <c r="R177" s="13" t="s">
        <v>846</v>
      </c>
      <c r="S177" s="109"/>
      <c r="T177" s="109"/>
      <c r="U177" s="112"/>
      <c r="V177" s="109"/>
      <c r="W177" s="109"/>
      <c r="X177" s="109"/>
    </row>
    <row r="178" spans="2:24">
      <c r="B178" s="109"/>
      <c r="C178" s="109"/>
      <c r="D178" s="20" t="str">
        <f>D177</f>
        <v>穷游网</v>
      </c>
      <c r="E178" s="109"/>
      <c r="F178" s="112"/>
      <c r="G178" s="109"/>
      <c r="H178" s="109"/>
      <c r="I178" s="109"/>
      <c r="J178" s="109"/>
      <c r="K178" s="14" t="str">
        <f t="shared" si="37"/>
        <v>运营中</v>
      </c>
      <c r="L178" s="109"/>
      <c r="M178" s="109"/>
      <c r="N178" s="13"/>
      <c r="O178" s="24">
        <v>41467</v>
      </c>
      <c r="P178" s="13" t="s">
        <v>3648</v>
      </c>
      <c r="Q178" s="13" t="s">
        <v>5129</v>
      </c>
      <c r="R178" s="13" t="s">
        <v>846</v>
      </c>
      <c r="S178" s="109"/>
      <c r="T178" s="109"/>
      <c r="U178" s="112"/>
      <c r="V178" s="109"/>
      <c r="W178" s="109"/>
      <c r="X178" s="109"/>
    </row>
    <row r="179" spans="2:24">
      <c r="B179" s="109"/>
      <c r="C179" s="109"/>
      <c r="D179" s="20" t="str">
        <f>D178</f>
        <v>穷游网</v>
      </c>
      <c r="E179" s="109"/>
      <c r="F179" s="112"/>
      <c r="G179" s="109"/>
      <c r="H179" s="109"/>
      <c r="I179" s="109"/>
      <c r="J179" s="109"/>
      <c r="K179" s="14" t="str">
        <f t="shared" si="37"/>
        <v>运营中</v>
      </c>
      <c r="L179" s="109"/>
      <c r="M179" s="109"/>
      <c r="N179" s="13"/>
      <c r="O179" s="24">
        <v>40544</v>
      </c>
      <c r="P179" s="13" t="s">
        <v>3513</v>
      </c>
      <c r="Q179" s="13" t="s">
        <v>5616</v>
      </c>
      <c r="R179" s="13" t="s">
        <v>5884</v>
      </c>
      <c r="S179" s="109"/>
      <c r="T179" s="109"/>
      <c r="U179" s="112"/>
      <c r="V179" s="109"/>
      <c r="W179" s="109"/>
      <c r="X179" s="109"/>
    </row>
    <row r="180" spans="2:24">
      <c r="B180" s="109"/>
      <c r="C180" s="109" t="s">
        <v>848</v>
      </c>
      <c r="D180" s="20" t="s">
        <v>5885</v>
      </c>
      <c r="E180" s="109" t="s">
        <v>5886</v>
      </c>
      <c r="F180" s="112" t="s">
        <v>5887</v>
      </c>
      <c r="G180" s="109" t="s">
        <v>5888</v>
      </c>
      <c r="H180" s="109" t="s">
        <v>852</v>
      </c>
      <c r="I180" s="109" t="s">
        <v>427</v>
      </c>
      <c r="J180" s="109" t="s">
        <v>428</v>
      </c>
      <c r="K180" s="14" t="s">
        <v>272</v>
      </c>
      <c r="L180" s="109" t="s">
        <v>1043</v>
      </c>
      <c r="M180" s="109" t="s">
        <v>5889</v>
      </c>
      <c r="N180" s="13">
        <v>1</v>
      </c>
      <c r="O180" s="24">
        <v>44214</v>
      </c>
      <c r="P180" s="13" t="s">
        <v>5709</v>
      </c>
      <c r="Q180" s="13" t="s">
        <v>2030</v>
      </c>
      <c r="R180" s="13" t="s">
        <v>1751</v>
      </c>
      <c r="S180" s="109" t="s">
        <v>5890</v>
      </c>
      <c r="T180" s="109" t="s">
        <v>3664</v>
      </c>
      <c r="U180" s="112" t="s">
        <v>855</v>
      </c>
      <c r="V180" s="109"/>
      <c r="W180" s="109"/>
      <c r="X180" s="109"/>
    </row>
    <row r="181" spans="2:24">
      <c r="B181" s="109"/>
      <c r="C181" s="109"/>
      <c r="D181" s="20" t="str">
        <f t="shared" ref="D181:D186" si="38">D180</f>
        <v>美味不用等</v>
      </c>
      <c r="E181" s="109"/>
      <c r="F181" s="112"/>
      <c r="G181" s="109"/>
      <c r="H181" s="109"/>
      <c r="I181" s="109"/>
      <c r="J181" s="109"/>
      <c r="K181" s="14" t="str">
        <f t="shared" ref="K181:K186" si="39">K180</f>
        <v>运营中</v>
      </c>
      <c r="L181" s="109"/>
      <c r="M181" s="109"/>
      <c r="N181" s="13">
        <v>1</v>
      </c>
      <c r="O181" s="24">
        <v>43231</v>
      </c>
      <c r="P181" s="13" t="s">
        <v>1827</v>
      </c>
      <c r="Q181" s="13" t="s">
        <v>5891</v>
      </c>
      <c r="R181" s="13" t="s">
        <v>857</v>
      </c>
      <c r="S181" s="109"/>
      <c r="T181" s="109"/>
      <c r="U181" s="112"/>
      <c r="V181" s="109"/>
      <c r="W181" s="109"/>
      <c r="X181" s="109"/>
    </row>
    <row r="182" spans="2:24">
      <c r="B182" s="109"/>
      <c r="C182" s="109"/>
      <c r="D182" s="20" t="str">
        <f t="shared" si="38"/>
        <v>美味不用等</v>
      </c>
      <c r="E182" s="109"/>
      <c r="F182" s="112"/>
      <c r="G182" s="109"/>
      <c r="H182" s="109"/>
      <c r="I182" s="109"/>
      <c r="J182" s="109"/>
      <c r="K182" s="14" t="str">
        <f t="shared" si="39"/>
        <v>运营中</v>
      </c>
      <c r="L182" s="109"/>
      <c r="M182" s="109"/>
      <c r="N182" s="13">
        <v>1</v>
      </c>
      <c r="O182" s="24">
        <v>42734</v>
      </c>
      <c r="P182" s="13" t="s">
        <v>2029</v>
      </c>
      <c r="Q182" s="13" t="s">
        <v>1750</v>
      </c>
      <c r="R182" s="13" t="s">
        <v>858</v>
      </c>
      <c r="S182" s="109"/>
      <c r="T182" s="109"/>
      <c r="U182" s="112"/>
      <c r="V182" s="109"/>
      <c r="W182" s="109"/>
      <c r="X182" s="109"/>
    </row>
    <row r="183" spans="2:24">
      <c r="B183" s="109"/>
      <c r="C183" s="109"/>
      <c r="D183" s="20" t="str">
        <f t="shared" si="38"/>
        <v>美味不用等</v>
      </c>
      <c r="E183" s="109"/>
      <c r="F183" s="112"/>
      <c r="G183" s="109"/>
      <c r="H183" s="109"/>
      <c r="I183" s="109"/>
      <c r="J183" s="109"/>
      <c r="K183" s="14" t="str">
        <f t="shared" si="39"/>
        <v>运营中</v>
      </c>
      <c r="L183" s="109"/>
      <c r="M183" s="109"/>
      <c r="N183" s="13">
        <v>1</v>
      </c>
      <c r="O183" s="24">
        <v>42305</v>
      </c>
      <c r="P183" s="13" t="s">
        <v>5613</v>
      </c>
      <c r="Q183" s="13" t="s">
        <v>5847</v>
      </c>
      <c r="R183" s="13" t="s">
        <v>859</v>
      </c>
      <c r="S183" s="109"/>
      <c r="T183" s="109"/>
      <c r="U183" s="112"/>
      <c r="V183" s="109"/>
      <c r="W183" s="109"/>
      <c r="X183" s="109"/>
    </row>
    <row r="184" spans="2:24">
      <c r="B184" s="109"/>
      <c r="C184" s="109"/>
      <c r="D184" s="20" t="str">
        <f t="shared" si="38"/>
        <v>美味不用等</v>
      </c>
      <c r="E184" s="109"/>
      <c r="F184" s="112"/>
      <c r="G184" s="109"/>
      <c r="H184" s="109"/>
      <c r="I184" s="109"/>
      <c r="J184" s="109"/>
      <c r="K184" s="14" t="str">
        <f t="shared" si="39"/>
        <v>运营中</v>
      </c>
      <c r="L184" s="109"/>
      <c r="M184" s="109"/>
      <c r="N184" s="13">
        <v>1</v>
      </c>
      <c r="O184" s="24">
        <v>42019</v>
      </c>
      <c r="P184" s="13" t="s">
        <v>3648</v>
      </c>
      <c r="Q184" s="13" t="s">
        <v>4307</v>
      </c>
      <c r="R184" s="13" t="s">
        <v>860</v>
      </c>
      <c r="S184" s="109"/>
      <c r="T184" s="109"/>
      <c r="U184" s="112"/>
      <c r="V184" s="109"/>
      <c r="W184" s="109"/>
      <c r="X184" s="109"/>
    </row>
    <row r="185" spans="2:24">
      <c r="B185" s="109"/>
      <c r="C185" s="109"/>
      <c r="D185" s="20" t="str">
        <f t="shared" si="38"/>
        <v>美味不用等</v>
      </c>
      <c r="E185" s="109"/>
      <c r="F185" s="112"/>
      <c r="G185" s="109"/>
      <c r="H185" s="109"/>
      <c r="I185" s="109"/>
      <c r="J185" s="109"/>
      <c r="K185" s="14" t="str">
        <f t="shared" si="39"/>
        <v>运营中</v>
      </c>
      <c r="L185" s="109"/>
      <c r="M185" s="109"/>
      <c r="N185" s="13">
        <v>1</v>
      </c>
      <c r="O185" s="24">
        <v>41863</v>
      </c>
      <c r="P185" s="13" t="s">
        <v>3513</v>
      </c>
      <c r="Q185" s="13" t="s">
        <v>5616</v>
      </c>
      <c r="R185" s="13" t="s">
        <v>861</v>
      </c>
      <c r="S185" s="109"/>
      <c r="T185" s="109"/>
      <c r="U185" s="112"/>
      <c r="V185" s="109"/>
      <c r="W185" s="109"/>
      <c r="X185" s="109"/>
    </row>
    <row r="186" spans="2:24">
      <c r="B186" s="109"/>
      <c r="C186" s="109"/>
      <c r="D186" s="20" t="str">
        <f t="shared" si="38"/>
        <v>美味不用等</v>
      </c>
      <c r="E186" s="109"/>
      <c r="F186" s="112"/>
      <c r="G186" s="109"/>
      <c r="H186" s="109"/>
      <c r="I186" s="109"/>
      <c r="J186" s="109"/>
      <c r="K186" s="14" t="str">
        <f t="shared" si="39"/>
        <v>运营中</v>
      </c>
      <c r="L186" s="109"/>
      <c r="M186" s="109"/>
      <c r="N186" s="13">
        <v>1</v>
      </c>
      <c r="O186" s="24">
        <v>41550</v>
      </c>
      <c r="P186" s="13" t="s">
        <v>5474</v>
      </c>
      <c r="Q186" s="13" t="s">
        <v>5646</v>
      </c>
      <c r="R186" s="13" t="s">
        <v>5892</v>
      </c>
      <c r="S186" s="109"/>
      <c r="T186" s="109"/>
      <c r="U186" s="112"/>
      <c r="V186" s="109"/>
      <c r="W186" s="109"/>
      <c r="X186" s="109"/>
    </row>
    <row r="187" spans="2:24">
      <c r="B187" s="109"/>
      <c r="C187" s="109" t="s">
        <v>863</v>
      </c>
      <c r="D187" s="20" t="s">
        <v>5893</v>
      </c>
      <c r="E187" s="109" t="s">
        <v>5894</v>
      </c>
      <c r="F187" s="112" t="s">
        <v>865</v>
      </c>
      <c r="G187" s="109" t="s">
        <v>5895</v>
      </c>
      <c r="H187" s="109" t="s">
        <v>867</v>
      </c>
      <c r="I187" s="109" t="s">
        <v>868</v>
      </c>
      <c r="J187" s="109" t="s">
        <v>271</v>
      </c>
      <c r="K187" s="14" t="s">
        <v>272</v>
      </c>
      <c r="L187" s="109" t="s">
        <v>5651</v>
      </c>
      <c r="M187" s="109" t="s">
        <v>5896</v>
      </c>
      <c r="N187" s="13">
        <v>1</v>
      </c>
      <c r="O187" s="24">
        <v>42556</v>
      </c>
      <c r="P187" s="13" t="s">
        <v>5709</v>
      </c>
      <c r="Q187" s="13" t="s">
        <v>2714</v>
      </c>
      <c r="R187" s="13" t="s">
        <v>1751</v>
      </c>
      <c r="S187" s="109" t="s">
        <v>5897</v>
      </c>
      <c r="T187" s="109" t="s">
        <v>4735</v>
      </c>
      <c r="U187" s="112" t="s">
        <v>871</v>
      </c>
      <c r="V187" s="109" t="s">
        <v>872</v>
      </c>
      <c r="W187" s="109"/>
      <c r="X187" s="109"/>
    </row>
    <row r="188" spans="2:24">
      <c r="B188" s="109"/>
      <c r="C188" s="109"/>
      <c r="D188" s="20" t="str">
        <f>D187</f>
        <v>豌豆荚</v>
      </c>
      <c r="E188" s="109"/>
      <c r="F188" s="112"/>
      <c r="G188" s="109"/>
      <c r="H188" s="109"/>
      <c r="I188" s="109"/>
      <c r="J188" s="109"/>
      <c r="K188" s="14" t="str">
        <f t="shared" ref="K188:K191" si="40">K187</f>
        <v>运营中</v>
      </c>
      <c r="L188" s="109"/>
      <c r="M188" s="109"/>
      <c r="N188" s="13">
        <v>1</v>
      </c>
      <c r="O188" s="24">
        <v>41711</v>
      </c>
      <c r="P188" s="13" t="s">
        <v>5754</v>
      </c>
      <c r="Q188" s="13" t="s">
        <v>5129</v>
      </c>
      <c r="R188" s="13" t="s">
        <v>873</v>
      </c>
      <c r="S188" s="109"/>
      <c r="T188" s="109"/>
      <c r="U188" s="112"/>
      <c r="V188" s="109"/>
      <c r="W188" s="109"/>
      <c r="X188" s="109"/>
    </row>
    <row r="189" spans="2:24">
      <c r="B189" s="109"/>
      <c r="C189" s="109"/>
      <c r="D189" s="20" t="str">
        <f>D188</f>
        <v>豌豆荚</v>
      </c>
      <c r="E189" s="109"/>
      <c r="F189" s="112"/>
      <c r="G189" s="109"/>
      <c r="H189" s="109"/>
      <c r="I189" s="109"/>
      <c r="J189" s="109"/>
      <c r="K189" s="14" t="str">
        <f t="shared" si="40"/>
        <v>运营中</v>
      </c>
      <c r="L189" s="109"/>
      <c r="M189" s="109"/>
      <c r="N189" s="13">
        <v>1</v>
      </c>
      <c r="O189" s="24">
        <v>41640</v>
      </c>
      <c r="P189" s="13" t="s">
        <v>3648</v>
      </c>
      <c r="Q189" s="13" t="s">
        <v>5633</v>
      </c>
      <c r="R189" s="13" t="s">
        <v>874</v>
      </c>
      <c r="S189" s="109"/>
      <c r="T189" s="109"/>
      <c r="U189" s="112"/>
      <c r="V189" s="109"/>
      <c r="W189" s="109"/>
      <c r="X189" s="109"/>
    </row>
    <row r="190" spans="2:24">
      <c r="B190" s="109"/>
      <c r="C190" s="109"/>
      <c r="D190" s="20" t="str">
        <f>D189</f>
        <v>豌豆荚</v>
      </c>
      <c r="E190" s="109"/>
      <c r="F190" s="112"/>
      <c r="G190" s="109"/>
      <c r="H190" s="109"/>
      <c r="I190" s="109"/>
      <c r="J190" s="109"/>
      <c r="K190" s="14" t="str">
        <f t="shared" si="40"/>
        <v>运营中</v>
      </c>
      <c r="L190" s="109"/>
      <c r="M190" s="109"/>
      <c r="N190" s="13">
        <v>1</v>
      </c>
      <c r="O190" s="24">
        <v>40556</v>
      </c>
      <c r="P190" s="13" t="s">
        <v>3513</v>
      </c>
      <c r="Q190" s="13" t="s">
        <v>5591</v>
      </c>
      <c r="R190" s="13" t="s">
        <v>5848</v>
      </c>
      <c r="S190" s="109"/>
      <c r="T190" s="109"/>
      <c r="U190" s="112"/>
      <c r="V190" s="109"/>
      <c r="W190" s="109"/>
      <c r="X190" s="109"/>
    </row>
    <row r="191" spans="2:24">
      <c r="B191" s="109"/>
      <c r="C191" s="109"/>
      <c r="D191" s="20" t="str">
        <f>D190</f>
        <v>豌豆荚</v>
      </c>
      <c r="E191" s="109"/>
      <c r="F191" s="112"/>
      <c r="G191" s="109"/>
      <c r="H191" s="109"/>
      <c r="I191" s="109"/>
      <c r="J191" s="109"/>
      <c r="K191" s="14" t="str">
        <f t="shared" si="40"/>
        <v>运营中</v>
      </c>
      <c r="L191" s="109"/>
      <c r="M191" s="109"/>
      <c r="N191" s="13">
        <v>1</v>
      </c>
      <c r="O191" s="24">
        <v>40148</v>
      </c>
      <c r="P191" s="13" t="s">
        <v>5474</v>
      </c>
      <c r="Q191" s="13" t="s">
        <v>5616</v>
      </c>
      <c r="R191" s="13" t="s">
        <v>5733</v>
      </c>
      <c r="S191" s="109"/>
      <c r="T191" s="109"/>
      <c r="U191" s="112"/>
      <c r="V191" s="109"/>
      <c r="W191" s="109"/>
      <c r="X191" s="109"/>
    </row>
    <row r="192" spans="2:24">
      <c r="B192" s="109"/>
      <c r="C192" s="109" t="s">
        <v>875</v>
      </c>
      <c r="D192" s="20" t="s">
        <v>5898</v>
      </c>
      <c r="E192" s="109" t="s">
        <v>877</v>
      </c>
      <c r="F192" s="112" t="s">
        <v>878</v>
      </c>
      <c r="G192" s="109" t="s">
        <v>5899</v>
      </c>
      <c r="H192" s="109" t="s">
        <v>880</v>
      </c>
      <c r="I192" s="109" t="s">
        <v>444</v>
      </c>
      <c r="J192" s="109" t="s">
        <v>385</v>
      </c>
      <c r="K192" s="14" t="s">
        <v>272</v>
      </c>
      <c r="L192" s="109" t="s">
        <v>5821</v>
      </c>
      <c r="M192" s="109" t="s">
        <v>5900</v>
      </c>
      <c r="N192" s="13">
        <v>1</v>
      </c>
      <c r="O192" s="24">
        <v>41984</v>
      </c>
      <c r="P192" s="13" t="s">
        <v>5625</v>
      </c>
      <c r="Q192" s="13" t="s">
        <v>5529</v>
      </c>
      <c r="R192" s="13" t="s">
        <v>253</v>
      </c>
      <c r="S192" s="109" t="s">
        <v>5901</v>
      </c>
      <c r="T192" s="109" t="s">
        <v>3280</v>
      </c>
      <c r="U192" s="112" t="s">
        <v>883</v>
      </c>
      <c r="V192" s="109" t="s">
        <v>884</v>
      </c>
      <c r="W192" s="109"/>
      <c r="X192" s="109"/>
    </row>
    <row r="193" spans="2:24">
      <c r="B193" s="109"/>
      <c r="C193" s="109"/>
      <c r="D193" s="20" t="str">
        <f t="shared" ref="D193:D198" si="41">D192</f>
        <v>挚文集团-陌陌</v>
      </c>
      <c r="E193" s="109"/>
      <c r="F193" s="112"/>
      <c r="G193" s="109"/>
      <c r="H193" s="109"/>
      <c r="I193" s="109"/>
      <c r="J193" s="109"/>
      <c r="K193" s="14" t="str">
        <f t="shared" ref="K193:K198" si="42">K192</f>
        <v>运营中</v>
      </c>
      <c r="L193" s="109"/>
      <c r="M193" s="109"/>
      <c r="N193" s="13">
        <v>1</v>
      </c>
      <c r="O193" s="24">
        <v>41972</v>
      </c>
      <c r="P193" s="13" t="s">
        <v>5795</v>
      </c>
      <c r="Q193" s="13" t="s">
        <v>1991</v>
      </c>
      <c r="R193" s="13" t="s">
        <v>886</v>
      </c>
      <c r="S193" s="109"/>
      <c r="T193" s="109"/>
      <c r="U193" s="112"/>
      <c r="V193" s="109"/>
      <c r="W193" s="109"/>
      <c r="X193" s="109"/>
    </row>
    <row r="194" spans="2:24">
      <c r="B194" s="109"/>
      <c r="C194" s="109"/>
      <c r="D194" s="20" t="str">
        <f t="shared" si="41"/>
        <v>挚文集团-陌陌</v>
      </c>
      <c r="E194" s="109"/>
      <c r="F194" s="112"/>
      <c r="G194" s="109"/>
      <c r="H194" s="109"/>
      <c r="I194" s="109"/>
      <c r="J194" s="109"/>
      <c r="K194" s="14" t="str">
        <f t="shared" si="42"/>
        <v>运营中</v>
      </c>
      <c r="L194" s="109"/>
      <c r="M194" s="109"/>
      <c r="N194" s="13">
        <v>1</v>
      </c>
      <c r="O194" s="24">
        <v>41730</v>
      </c>
      <c r="P194" s="13" t="s">
        <v>1827</v>
      </c>
      <c r="Q194" s="13" t="s">
        <v>5902</v>
      </c>
      <c r="R194" s="13" t="s">
        <v>888</v>
      </c>
      <c r="S194" s="109"/>
      <c r="T194" s="109"/>
      <c r="U194" s="112"/>
      <c r="V194" s="109"/>
      <c r="W194" s="109"/>
      <c r="X194" s="109"/>
    </row>
    <row r="195" spans="2:24">
      <c r="B195" s="109"/>
      <c r="C195" s="109"/>
      <c r="D195" s="20" t="str">
        <f t="shared" si="41"/>
        <v>挚文集团-陌陌</v>
      </c>
      <c r="E195" s="109"/>
      <c r="F195" s="112"/>
      <c r="G195" s="109"/>
      <c r="H195" s="109"/>
      <c r="I195" s="109"/>
      <c r="J195" s="109"/>
      <c r="K195" s="14" t="str">
        <f t="shared" si="42"/>
        <v>运营中</v>
      </c>
      <c r="L195" s="109"/>
      <c r="M195" s="109"/>
      <c r="N195" s="13">
        <v>1</v>
      </c>
      <c r="O195" s="24">
        <v>41559</v>
      </c>
      <c r="P195" s="13" t="s">
        <v>5613</v>
      </c>
      <c r="Q195" s="13" t="s">
        <v>5591</v>
      </c>
      <c r="R195" s="13" t="s">
        <v>1751</v>
      </c>
      <c r="S195" s="109"/>
      <c r="T195" s="109"/>
      <c r="U195" s="112"/>
      <c r="V195" s="109"/>
      <c r="W195" s="109"/>
      <c r="X195" s="109"/>
    </row>
    <row r="196" spans="2:24">
      <c r="B196" s="109"/>
      <c r="C196" s="109"/>
      <c r="D196" s="20" t="str">
        <f t="shared" si="41"/>
        <v>挚文集团-陌陌</v>
      </c>
      <c r="E196" s="109"/>
      <c r="F196" s="112"/>
      <c r="G196" s="109"/>
      <c r="H196" s="109"/>
      <c r="I196" s="109"/>
      <c r="J196" s="109"/>
      <c r="K196" s="14" t="str">
        <f t="shared" si="42"/>
        <v>运营中</v>
      </c>
      <c r="L196" s="109"/>
      <c r="M196" s="109"/>
      <c r="N196" s="13">
        <v>1</v>
      </c>
      <c r="O196" s="24">
        <v>41146</v>
      </c>
      <c r="P196" s="13" t="s">
        <v>3648</v>
      </c>
      <c r="Q196" s="13" t="s">
        <v>5389</v>
      </c>
      <c r="R196" s="13" t="s">
        <v>889</v>
      </c>
      <c r="S196" s="109"/>
      <c r="T196" s="109"/>
      <c r="U196" s="112"/>
      <c r="V196" s="109"/>
      <c r="W196" s="109"/>
      <c r="X196" s="109"/>
    </row>
    <row r="197" spans="2:24">
      <c r="B197" s="109"/>
      <c r="C197" s="109"/>
      <c r="D197" s="20" t="str">
        <f t="shared" si="41"/>
        <v>挚文集团-陌陌</v>
      </c>
      <c r="E197" s="109"/>
      <c r="F197" s="112"/>
      <c r="G197" s="109"/>
      <c r="H197" s="109"/>
      <c r="I197" s="109"/>
      <c r="J197" s="109"/>
      <c r="K197" s="14" t="str">
        <f t="shared" si="42"/>
        <v>运营中</v>
      </c>
      <c r="L197" s="109"/>
      <c r="M197" s="109"/>
      <c r="N197" s="13">
        <v>1</v>
      </c>
      <c r="O197" s="24">
        <v>40878</v>
      </c>
      <c r="P197" s="13" t="s">
        <v>3513</v>
      </c>
      <c r="Q197" s="13" t="s">
        <v>5903</v>
      </c>
      <c r="R197" s="13" t="s">
        <v>5706</v>
      </c>
      <c r="S197" s="109"/>
      <c r="T197" s="109"/>
      <c r="U197" s="112"/>
      <c r="V197" s="109"/>
      <c r="W197" s="109"/>
      <c r="X197" s="109"/>
    </row>
    <row r="198" spans="2:24">
      <c r="B198" s="109"/>
      <c r="C198" s="109"/>
      <c r="D198" s="20" t="str">
        <f t="shared" si="41"/>
        <v>挚文集团-陌陌</v>
      </c>
      <c r="E198" s="109"/>
      <c r="F198" s="112"/>
      <c r="G198" s="109"/>
      <c r="H198" s="109"/>
      <c r="I198" s="109"/>
      <c r="J198" s="109"/>
      <c r="K198" s="14" t="str">
        <f t="shared" si="42"/>
        <v>运营中</v>
      </c>
      <c r="L198" s="109"/>
      <c r="M198" s="109"/>
      <c r="N198" s="13">
        <v>1</v>
      </c>
      <c r="O198" s="24">
        <v>40756</v>
      </c>
      <c r="P198" s="13" t="s">
        <v>5474</v>
      </c>
      <c r="Q198" s="13" t="s">
        <v>5646</v>
      </c>
      <c r="R198" s="13" t="s">
        <v>891</v>
      </c>
      <c r="S198" s="109"/>
      <c r="T198" s="109"/>
      <c r="U198" s="112"/>
      <c r="V198" s="109"/>
      <c r="W198" s="109"/>
      <c r="X198" s="109"/>
    </row>
    <row r="199" spans="2:24">
      <c r="B199" s="109"/>
      <c r="C199" s="109" t="s">
        <v>329</v>
      </c>
      <c r="D199" s="20" t="s">
        <v>5904</v>
      </c>
      <c r="E199" s="109" t="s">
        <v>5905</v>
      </c>
      <c r="F199" s="112" t="s">
        <v>893</v>
      </c>
      <c r="G199" s="109" t="s">
        <v>5906</v>
      </c>
      <c r="H199" s="109" t="s">
        <v>895</v>
      </c>
      <c r="I199" s="109" t="s">
        <v>896</v>
      </c>
      <c r="J199" s="109" t="s">
        <v>385</v>
      </c>
      <c r="K199" s="14" t="s">
        <v>272</v>
      </c>
      <c r="L199" s="109" t="s">
        <v>1825</v>
      </c>
      <c r="M199" s="109" t="s">
        <v>5686</v>
      </c>
      <c r="N199" s="13">
        <v>1</v>
      </c>
      <c r="O199" s="24">
        <v>41365</v>
      </c>
      <c r="P199" s="13" t="s">
        <v>5709</v>
      </c>
      <c r="Q199" s="13" t="s">
        <v>5907</v>
      </c>
      <c r="R199" s="13" t="s">
        <v>1751</v>
      </c>
      <c r="S199" s="109" t="s">
        <v>5908</v>
      </c>
      <c r="T199" s="109" t="s">
        <v>5909</v>
      </c>
      <c r="U199" s="112" t="s">
        <v>900</v>
      </c>
      <c r="V199" s="109" t="s">
        <v>5910</v>
      </c>
      <c r="W199" s="109" t="s">
        <v>902</v>
      </c>
      <c r="X199" s="109" t="s">
        <v>903</v>
      </c>
    </row>
    <row r="200" spans="2:24">
      <c r="B200" s="109"/>
      <c r="C200" s="109"/>
      <c r="D200" s="20" t="str">
        <f>D199</f>
        <v>友盟</v>
      </c>
      <c r="E200" s="109"/>
      <c r="F200" s="112"/>
      <c r="G200" s="109"/>
      <c r="H200" s="109"/>
      <c r="I200" s="109"/>
      <c r="J200" s="109"/>
      <c r="K200" s="14" t="str">
        <f t="shared" ref="K200:K201" si="43">K199</f>
        <v>运营中</v>
      </c>
      <c r="L200" s="109"/>
      <c r="M200" s="109"/>
      <c r="N200" s="13">
        <v>1</v>
      </c>
      <c r="O200" s="24">
        <v>40725</v>
      </c>
      <c r="P200" s="13" t="s">
        <v>3513</v>
      </c>
      <c r="Q200" s="13" t="s">
        <v>5591</v>
      </c>
      <c r="R200" s="13" t="s">
        <v>5706</v>
      </c>
      <c r="S200" s="109"/>
      <c r="T200" s="109"/>
      <c r="U200" s="112"/>
      <c r="V200" s="109"/>
      <c r="W200" s="109"/>
      <c r="X200" s="109"/>
    </row>
    <row r="201" spans="2:24">
      <c r="B201" s="109"/>
      <c r="C201" s="109"/>
      <c r="D201" s="20" t="str">
        <f>D200</f>
        <v>友盟</v>
      </c>
      <c r="E201" s="109"/>
      <c r="F201" s="112"/>
      <c r="G201" s="109"/>
      <c r="H201" s="109"/>
      <c r="I201" s="109"/>
      <c r="J201" s="109"/>
      <c r="K201" s="14" t="str">
        <f t="shared" si="43"/>
        <v>运营中</v>
      </c>
      <c r="L201" s="109"/>
      <c r="M201" s="109"/>
      <c r="N201" s="13">
        <v>1</v>
      </c>
      <c r="O201" s="24">
        <v>40299</v>
      </c>
      <c r="P201" s="13" t="s">
        <v>5474</v>
      </c>
      <c r="Q201" s="13" t="s">
        <v>5646</v>
      </c>
      <c r="R201" s="13" t="s">
        <v>5733</v>
      </c>
      <c r="S201" s="109"/>
      <c r="T201" s="109"/>
      <c r="U201" s="112"/>
      <c r="V201" s="109"/>
      <c r="W201" s="109"/>
      <c r="X201" s="109"/>
    </row>
    <row r="202" spans="2:24">
      <c r="B202" s="109"/>
      <c r="C202" s="109" t="s">
        <v>904</v>
      </c>
      <c r="D202" s="20" t="s">
        <v>5911</v>
      </c>
      <c r="E202" s="109" t="s">
        <v>5912</v>
      </c>
      <c r="F202" s="112" t="s">
        <v>906</v>
      </c>
      <c r="G202" s="109" t="s">
        <v>5913</v>
      </c>
      <c r="H202" s="109" t="s">
        <v>908</v>
      </c>
      <c r="I202" s="109" t="s">
        <v>546</v>
      </c>
      <c r="J202" s="109" t="s">
        <v>385</v>
      </c>
      <c r="K202" s="14" t="s">
        <v>272</v>
      </c>
      <c r="L202" s="109" t="s">
        <v>1043</v>
      </c>
      <c r="M202" s="109" t="s">
        <v>5914</v>
      </c>
      <c r="N202" s="13">
        <v>1</v>
      </c>
      <c r="O202" s="24">
        <v>43848</v>
      </c>
      <c r="P202" s="13" t="s">
        <v>5709</v>
      </c>
      <c r="Q202" s="13" t="s">
        <v>5915</v>
      </c>
      <c r="R202" s="13" t="s">
        <v>1751</v>
      </c>
      <c r="S202" s="109" t="s">
        <v>5298</v>
      </c>
      <c r="T202" s="109" t="s">
        <v>5916</v>
      </c>
      <c r="U202" s="112" t="s">
        <v>913</v>
      </c>
      <c r="V202" s="109" t="s">
        <v>914</v>
      </c>
      <c r="W202" s="109" t="s">
        <v>915</v>
      </c>
      <c r="X202" s="109" t="s">
        <v>916</v>
      </c>
    </row>
    <row r="203" spans="2:24">
      <c r="B203" s="109"/>
      <c r="C203" s="109"/>
      <c r="D203" s="20" t="str">
        <f t="shared" ref="D203:D209" si="44">D202</f>
        <v>客如云</v>
      </c>
      <c r="E203" s="109"/>
      <c r="F203" s="112"/>
      <c r="G203" s="109"/>
      <c r="H203" s="109"/>
      <c r="I203" s="109"/>
      <c r="J203" s="109"/>
      <c r="K203" s="14" t="str">
        <f t="shared" ref="K203:K209" si="45">K202</f>
        <v>运营中</v>
      </c>
      <c r="L203" s="109"/>
      <c r="M203" s="109"/>
      <c r="N203" s="13">
        <v>1</v>
      </c>
      <c r="O203" s="24">
        <v>43199</v>
      </c>
      <c r="P203" s="13" t="s">
        <v>5622</v>
      </c>
      <c r="Q203" s="13" t="s">
        <v>2030</v>
      </c>
      <c r="R203" s="13" t="s">
        <v>253</v>
      </c>
      <c r="S203" s="109"/>
      <c r="T203" s="109"/>
      <c r="U203" s="112"/>
      <c r="V203" s="109"/>
      <c r="W203" s="109"/>
      <c r="X203" s="109"/>
    </row>
    <row r="204" spans="2:24">
      <c r="B204" s="109"/>
      <c r="C204" s="109"/>
      <c r="D204" s="20" t="str">
        <f t="shared" si="44"/>
        <v>客如云</v>
      </c>
      <c r="E204" s="109"/>
      <c r="F204" s="112"/>
      <c r="G204" s="109"/>
      <c r="H204" s="109"/>
      <c r="I204" s="109"/>
      <c r="J204" s="109"/>
      <c r="K204" s="14" t="str">
        <f t="shared" si="45"/>
        <v>运营中</v>
      </c>
      <c r="L204" s="109"/>
      <c r="M204" s="109"/>
      <c r="N204" s="13">
        <v>1</v>
      </c>
      <c r="O204" s="24">
        <v>42725</v>
      </c>
      <c r="P204" s="13" t="s">
        <v>4401</v>
      </c>
      <c r="Q204" s="13" t="s">
        <v>5816</v>
      </c>
      <c r="R204" s="13" t="s">
        <v>5917</v>
      </c>
      <c r="S204" s="109"/>
      <c r="T204" s="109"/>
      <c r="U204" s="112"/>
      <c r="V204" s="109"/>
      <c r="W204" s="109"/>
      <c r="X204" s="109"/>
    </row>
    <row r="205" spans="2:24">
      <c r="B205" s="109"/>
      <c r="C205" s="109"/>
      <c r="D205" s="20" t="str">
        <f t="shared" si="44"/>
        <v>客如云</v>
      </c>
      <c r="E205" s="109"/>
      <c r="F205" s="112"/>
      <c r="G205" s="109"/>
      <c r="H205" s="109"/>
      <c r="I205" s="109"/>
      <c r="J205" s="109"/>
      <c r="K205" s="14" t="str">
        <f t="shared" si="45"/>
        <v>运营中</v>
      </c>
      <c r="L205" s="109"/>
      <c r="M205" s="109"/>
      <c r="N205" s="13">
        <v>1</v>
      </c>
      <c r="O205" s="24">
        <v>42587</v>
      </c>
      <c r="P205" s="13" t="s">
        <v>4401</v>
      </c>
      <c r="Q205" s="13" t="s">
        <v>5918</v>
      </c>
      <c r="R205" s="13" t="s">
        <v>919</v>
      </c>
      <c r="S205" s="109"/>
      <c r="T205" s="109"/>
      <c r="U205" s="112"/>
      <c r="V205" s="109"/>
      <c r="W205" s="109"/>
      <c r="X205" s="109"/>
    </row>
    <row r="206" spans="2:24">
      <c r="B206" s="109"/>
      <c r="C206" s="109"/>
      <c r="D206" s="20" t="str">
        <f t="shared" si="44"/>
        <v>客如云</v>
      </c>
      <c r="E206" s="109"/>
      <c r="F206" s="112"/>
      <c r="G206" s="109"/>
      <c r="H206" s="109"/>
      <c r="I206" s="109"/>
      <c r="J206" s="109"/>
      <c r="K206" s="14" t="str">
        <f t="shared" si="45"/>
        <v>运营中</v>
      </c>
      <c r="L206" s="109"/>
      <c r="M206" s="109"/>
      <c r="N206" s="13">
        <v>1</v>
      </c>
      <c r="O206" s="24">
        <v>42368</v>
      </c>
      <c r="P206" s="13" t="s">
        <v>5664</v>
      </c>
      <c r="Q206" s="13" t="s">
        <v>2030</v>
      </c>
      <c r="R206" s="13" t="s">
        <v>253</v>
      </c>
      <c r="S206" s="109"/>
      <c r="T206" s="109"/>
      <c r="U206" s="112"/>
      <c r="V206" s="109"/>
      <c r="W206" s="109"/>
      <c r="X206" s="109"/>
    </row>
    <row r="207" spans="2:24">
      <c r="B207" s="109"/>
      <c r="C207" s="109"/>
      <c r="D207" s="20" t="str">
        <f t="shared" si="44"/>
        <v>客如云</v>
      </c>
      <c r="E207" s="109"/>
      <c r="F207" s="112"/>
      <c r="G207" s="109"/>
      <c r="H207" s="109"/>
      <c r="I207" s="109"/>
      <c r="J207" s="109"/>
      <c r="K207" s="14" t="str">
        <f t="shared" si="45"/>
        <v>运营中</v>
      </c>
      <c r="L207" s="109"/>
      <c r="M207" s="109"/>
      <c r="N207" s="13">
        <v>1</v>
      </c>
      <c r="O207" s="24">
        <v>42118</v>
      </c>
      <c r="P207" s="13" t="s">
        <v>3648</v>
      </c>
      <c r="Q207" s="13" t="s">
        <v>5919</v>
      </c>
      <c r="R207" s="13" t="s">
        <v>921</v>
      </c>
      <c r="S207" s="109"/>
      <c r="T207" s="109"/>
      <c r="U207" s="112"/>
      <c r="V207" s="109"/>
      <c r="W207" s="109"/>
      <c r="X207" s="109"/>
    </row>
    <row r="208" spans="2:24">
      <c r="B208" s="109"/>
      <c r="C208" s="109"/>
      <c r="D208" s="20" t="str">
        <f t="shared" si="44"/>
        <v>客如云</v>
      </c>
      <c r="E208" s="109"/>
      <c r="F208" s="112"/>
      <c r="G208" s="109"/>
      <c r="H208" s="109"/>
      <c r="I208" s="109"/>
      <c r="J208" s="109"/>
      <c r="K208" s="14" t="str">
        <f t="shared" si="45"/>
        <v>运营中</v>
      </c>
      <c r="L208" s="109"/>
      <c r="M208" s="109"/>
      <c r="N208" s="13">
        <v>1</v>
      </c>
      <c r="O208" s="24">
        <v>41743</v>
      </c>
      <c r="P208" s="13" t="s">
        <v>3513</v>
      </c>
      <c r="Q208" s="13" t="s">
        <v>5920</v>
      </c>
      <c r="R208" s="13" t="s">
        <v>923</v>
      </c>
      <c r="S208" s="109"/>
      <c r="T208" s="109"/>
      <c r="U208" s="112"/>
      <c r="V208" s="109"/>
      <c r="W208" s="109"/>
      <c r="X208" s="109"/>
    </row>
    <row r="209" spans="2:24">
      <c r="B209" s="109"/>
      <c r="C209" s="109"/>
      <c r="D209" s="20" t="str">
        <f t="shared" si="44"/>
        <v>客如云</v>
      </c>
      <c r="E209" s="109"/>
      <c r="F209" s="112"/>
      <c r="G209" s="109"/>
      <c r="H209" s="109"/>
      <c r="I209" s="109"/>
      <c r="J209" s="109"/>
      <c r="K209" s="14" t="str">
        <f t="shared" si="45"/>
        <v>运营中</v>
      </c>
      <c r="L209" s="109"/>
      <c r="M209" s="109"/>
      <c r="N209" s="13">
        <v>1</v>
      </c>
      <c r="O209" s="24">
        <v>41275</v>
      </c>
      <c r="P209" s="13" t="s">
        <v>5474</v>
      </c>
      <c r="Q209" s="13" t="s">
        <v>5646</v>
      </c>
      <c r="R209" s="13" t="s">
        <v>253</v>
      </c>
      <c r="S209" s="109"/>
      <c r="T209" s="109"/>
      <c r="U209" s="112"/>
      <c r="V209" s="109"/>
      <c r="W209" s="109"/>
      <c r="X209" s="109"/>
    </row>
    <row r="210" spans="2:24">
      <c r="B210" s="109"/>
      <c r="C210" s="109" t="s">
        <v>924</v>
      </c>
      <c r="D210" s="20" t="s">
        <v>5921</v>
      </c>
      <c r="E210" s="109" t="s">
        <v>5922</v>
      </c>
      <c r="F210" s="112" t="s">
        <v>5923</v>
      </c>
      <c r="G210" s="109" t="s">
        <v>5924</v>
      </c>
      <c r="H210" s="109" t="s">
        <v>928</v>
      </c>
      <c r="I210" s="109" t="s">
        <v>427</v>
      </c>
      <c r="J210" s="109" t="s">
        <v>406</v>
      </c>
      <c r="K210" s="14" t="s">
        <v>272</v>
      </c>
      <c r="L210" s="109" t="s">
        <v>4162</v>
      </c>
      <c r="M210" s="109" t="s">
        <v>929</v>
      </c>
      <c r="N210" s="13">
        <v>1</v>
      </c>
      <c r="O210" s="24">
        <v>42881</v>
      </c>
      <c r="P210" s="13" t="s">
        <v>5709</v>
      </c>
      <c r="Q210" s="13" t="s">
        <v>2030</v>
      </c>
      <c r="R210" s="13" t="s">
        <v>5925</v>
      </c>
      <c r="S210" s="109" t="s">
        <v>5169</v>
      </c>
      <c r="T210" s="109" t="s">
        <v>3664</v>
      </c>
      <c r="U210" s="112" t="s">
        <v>932</v>
      </c>
      <c r="V210" s="109" t="s">
        <v>933</v>
      </c>
      <c r="W210" s="109" t="s">
        <v>934</v>
      </c>
      <c r="X210" s="109" t="s">
        <v>935</v>
      </c>
    </row>
    <row r="211" spans="2:24">
      <c r="B211" s="109"/>
      <c r="C211" s="109"/>
      <c r="D211" s="20" t="str">
        <f>D210</f>
        <v>趣拍云</v>
      </c>
      <c r="E211" s="109"/>
      <c r="F211" s="112"/>
      <c r="G211" s="109"/>
      <c r="H211" s="109"/>
      <c r="I211" s="109"/>
      <c r="J211" s="109"/>
      <c r="K211" s="14" t="str">
        <f>K210</f>
        <v>运营中</v>
      </c>
      <c r="L211" s="109"/>
      <c r="M211" s="109"/>
      <c r="N211" s="13">
        <v>1</v>
      </c>
      <c r="O211" s="24">
        <v>41836</v>
      </c>
      <c r="P211" s="13" t="s">
        <v>3513</v>
      </c>
      <c r="Q211" s="13" t="s">
        <v>3514</v>
      </c>
      <c r="R211" s="13" t="s">
        <v>586</v>
      </c>
      <c r="S211" s="109"/>
      <c r="T211" s="109"/>
      <c r="U211" s="112"/>
      <c r="V211" s="109"/>
      <c r="W211" s="109"/>
      <c r="X211" s="109"/>
    </row>
    <row r="212" spans="2:24">
      <c r="B212" s="109"/>
      <c r="C212" s="109" t="s">
        <v>936</v>
      </c>
      <c r="D212" s="20" t="s">
        <v>5926</v>
      </c>
      <c r="E212" s="109" t="s">
        <v>938</v>
      </c>
      <c r="F212" s="112" t="s">
        <v>939</v>
      </c>
      <c r="G212" s="109" t="s">
        <v>5927</v>
      </c>
      <c r="H212" s="109" t="s">
        <v>941</v>
      </c>
      <c r="I212" s="109" t="s">
        <v>942</v>
      </c>
      <c r="J212" s="109" t="s">
        <v>943</v>
      </c>
      <c r="K212" s="14" t="s">
        <v>272</v>
      </c>
      <c r="L212" s="109" t="s">
        <v>3661</v>
      </c>
      <c r="M212" s="109" t="s">
        <v>5359</v>
      </c>
      <c r="N212" s="13">
        <v>1</v>
      </c>
      <c r="O212" s="24">
        <v>44994</v>
      </c>
      <c r="P212" s="13" t="s">
        <v>5625</v>
      </c>
      <c r="Q212" s="13" t="s">
        <v>5928</v>
      </c>
      <c r="R212" s="13" t="s">
        <v>253</v>
      </c>
      <c r="S212" s="109" t="s">
        <v>5929</v>
      </c>
      <c r="T212" s="109" t="s">
        <v>5930</v>
      </c>
      <c r="U212" s="112" t="s">
        <v>949</v>
      </c>
      <c r="V212" s="109" t="s">
        <v>950</v>
      </c>
      <c r="W212" s="109" t="s">
        <v>951</v>
      </c>
      <c r="X212" s="109" t="s">
        <v>952</v>
      </c>
    </row>
    <row r="213" spans="2:24">
      <c r="B213" s="109"/>
      <c r="C213" s="109"/>
      <c r="D213" s="20" t="str">
        <f t="shared" ref="D213:D219" si="46">D212</f>
        <v>小i机器人</v>
      </c>
      <c r="E213" s="109"/>
      <c r="F213" s="112"/>
      <c r="G213" s="109"/>
      <c r="H213" s="109"/>
      <c r="I213" s="109"/>
      <c r="J213" s="109"/>
      <c r="K213" s="14" t="str">
        <f t="shared" ref="K213:K219" si="47">K212</f>
        <v>运营中</v>
      </c>
      <c r="L213" s="109"/>
      <c r="M213" s="109"/>
      <c r="N213" s="13">
        <v>1</v>
      </c>
      <c r="O213" s="24">
        <v>43215</v>
      </c>
      <c r="P213" s="13" t="s">
        <v>5622</v>
      </c>
      <c r="Q213" s="13" t="s">
        <v>2030</v>
      </c>
      <c r="R213" s="13" t="s">
        <v>253</v>
      </c>
      <c r="S213" s="109"/>
      <c r="T213" s="109"/>
      <c r="U213" s="112"/>
      <c r="V213" s="109"/>
      <c r="W213" s="109"/>
      <c r="X213" s="109"/>
    </row>
    <row r="214" spans="2:24">
      <c r="B214" s="109"/>
      <c r="C214" s="109"/>
      <c r="D214" s="20" t="str">
        <f t="shared" si="46"/>
        <v>小i机器人</v>
      </c>
      <c r="E214" s="109"/>
      <c r="F214" s="112"/>
      <c r="G214" s="109"/>
      <c r="H214" s="109"/>
      <c r="I214" s="109"/>
      <c r="J214" s="109"/>
      <c r="K214" s="14" t="str">
        <f t="shared" si="47"/>
        <v>运营中</v>
      </c>
      <c r="L214" s="109"/>
      <c r="M214" s="109"/>
      <c r="N214" s="13">
        <v>1</v>
      </c>
      <c r="O214" s="24">
        <v>42355</v>
      </c>
      <c r="P214" s="13" t="s">
        <v>5664</v>
      </c>
      <c r="Q214" s="13" t="s">
        <v>2030</v>
      </c>
      <c r="R214" s="13" t="s">
        <v>253</v>
      </c>
      <c r="S214" s="109"/>
      <c r="T214" s="109"/>
      <c r="U214" s="112"/>
      <c r="V214" s="109"/>
      <c r="W214" s="109"/>
      <c r="X214" s="109"/>
    </row>
    <row r="215" spans="2:24">
      <c r="B215" s="109"/>
      <c r="C215" s="109"/>
      <c r="D215" s="20" t="str">
        <f t="shared" si="46"/>
        <v>小i机器人</v>
      </c>
      <c r="E215" s="109"/>
      <c r="F215" s="112"/>
      <c r="G215" s="109"/>
      <c r="H215" s="109"/>
      <c r="I215" s="109"/>
      <c r="J215" s="109"/>
      <c r="K215" s="14" t="str">
        <f t="shared" si="47"/>
        <v>运营中</v>
      </c>
      <c r="L215" s="109"/>
      <c r="M215" s="109"/>
      <c r="N215" s="13">
        <v>1</v>
      </c>
      <c r="O215" s="24">
        <v>42235</v>
      </c>
      <c r="P215" s="13" t="s">
        <v>3276</v>
      </c>
      <c r="Q215" s="13" t="s">
        <v>1750</v>
      </c>
      <c r="R215" s="13" t="s">
        <v>953</v>
      </c>
      <c r="S215" s="109"/>
      <c r="T215" s="109"/>
      <c r="U215" s="112"/>
      <c r="V215" s="109"/>
      <c r="W215" s="109"/>
      <c r="X215" s="109"/>
    </row>
    <row r="216" spans="2:24">
      <c r="B216" s="109"/>
      <c r="C216" s="109"/>
      <c r="D216" s="20" t="str">
        <f t="shared" si="46"/>
        <v>小i机器人</v>
      </c>
      <c r="E216" s="109"/>
      <c r="F216" s="112"/>
      <c r="G216" s="109"/>
      <c r="H216" s="109"/>
      <c r="I216" s="109"/>
      <c r="J216" s="109"/>
      <c r="K216" s="14" t="str">
        <f t="shared" si="47"/>
        <v>运营中</v>
      </c>
      <c r="L216" s="109"/>
      <c r="M216" s="109"/>
      <c r="N216" s="13">
        <v>1</v>
      </c>
      <c r="O216" s="24">
        <v>41953</v>
      </c>
      <c r="P216" s="13" t="s">
        <v>1827</v>
      </c>
      <c r="Q216" s="13" t="s">
        <v>5931</v>
      </c>
      <c r="R216" s="13" t="s">
        <v>5932</v>
      </c>
      <c r="S216" s="109"/>
      <c r="T216" s="109"/>
      <c r="U216" s="112"/>
      <c r="V216" s="109"/>
      <c r="W216" s="109"/>
      <c r="X216" s="109"/>
    </row>
    <row r="217" spans="2:24">
      <c r="B217" s="109"/>
      <c r="C217" s="109"/>
      <c r="D217" s="20" t="str">
        <f t="shared" si="46"/>
        <v>小i机器人</v>
      </c>
      <c r="E217" s="109"/>
      <c r="F217" s="112"/>
      <c r="G217" s="109"/>
      <c r="H217" s="109"/>
      <c r="I217" s="109"/>
      <c r="J217" s="109"/>
      <c r="K217" s="14" t="str">
        <f t="shared" si="47"/>
        <v>运营中</v>
      </c>
      <c r="L217" s="109"/>
      <c r="M217" s="109"/>
      <c r="N217" s="13">
        <v>1</v>
      </c>
      <c r="O217" s="24">
        <v>41486</v>
      </c>
      <c r="P217" s="13" t="s">
        <v>5613</v>
      </c>
      <c r="Q217" s="13" t="s">
        <v>5129</v>
      </c>
      <c r="R217" s="13" t="s">
        <v>956</v>
      </c>
      <c r="S217" s="109"/>
      <c r="T217" s="109"/>
      <c r="U217" s="112"/>
      <c r="V217" s="109"/>
      <c r="W217" s="109"/>
      <c r="X217" s="109"/>
    </row>
    <row r="218" spans="2:24">
      <c r="B218" s="109"/>
      <c r="C218" s="109"/>
      <c r="D218" s="20" t="str">
        <f t="shared" si="46"/>
        <v>小i机器人</v>
      </c>
      <c r="E218" s="109"/>
      <c r="F218" s="112"/>
      <c r="G218" s="109"/>
      <c r="H218" s="109"/>
      <c r="I218" s="109"/>
      <c r="J218" s="109"/>
      <c r="K218" s="14" t="str">
        <f t="shared" si="47"/>
        <v>运营中</v>
      </c>
      <c r="L218" s="109"/>
      <c r="M218" s="109"/>
      <c r="N218" s="13">
        <v>1</v>
      </c>
      <c r="O218" s="24">
        <v>39142</v>
      </c>
      <c r="P218" s="13" t="s">
        <v>3648</v>
      </c>
      <c r="Q218" s="13" t="s">
        <v>5129</v>
      </c>
      <c r="R218" s="13" t="s">
        <v>5933</v>
      </c>
      <c r="S218" s="109"/>
      <c r="T218" s="109"/>
      <c r="U218" s="112"/>
      <c r="V218" s="109"/>
      <c r="W218" s="109"/>
      <c r="X218" s="109"/>
    </row>
    <row r="219" spans="2:24">
      <c r="B219" s="109"/>
      <c r="C219" s="109"/>
      <c r="D219" s="20" t="str">
        <f t="shared" si="46"/>
        <v>小i机器人</v>
      </c>
      <c r="E219" s="109"/>
      <c r="F219" s="112"/>
      <c r="G219" s="109"/>
      <c r="H219" s="109"/>
      <c r="I219" s="109"/>
      <c r="J219" s="109"/>
      <c r="K219" s="14" t="str">
        <f t="shared" si="47"/>
        <v>运营中</v>
      </c>
      <c r="L219" s="109"/>
      <c r="M219" s="109"/>
      <c r="N219" s="13">
        <v>1</v>
      </c>
      <c r="O219" s="24">
        <v>38687</v>
      </c>
      <c r="P219" s="13" t="s">
        <v>3513</v>
      </c>
      <c r="Q219" s="13" t="s">
        <v>5616</v>
      </c>
      <c r="R219" s="13" t="s">
        <v>5875</v>
      </c>
      <c r="S219" s="109"/>
      <c r="T219" s="109"/>
      <c r="U219" s="112"/>
      <c r="V219" s="109"/>
      <c r="W219" s="109"/>
      <c r="X219" s="109"/>
    </row>
    <row r="220" spans="2:24" ht="36">
      <c r="B220" s="109"/>
      <c r="C220" s="13" t="s">
        <v>958</v>
      </c>
      <c r="D220" s="25" t="s">
        <v>5934</v>
      </c>
      <c r="E220" s="13" t="s">
        <v>960</v>
      </c>
      <c r="F220" s="18" t="s">
        <v>961</v>
      </c>
      <c r="G220" s="13" t="s">
        <v>5935</v>
      </c>
      <c r="H220" s="13" t="s">
        <v>963</v>
      </c>
      <c r="I220" s="13" t="s">
        <v>964</v>
      </c>
      <c r="J220" s="13" t="s">
        <v>271</v>
      </c>
      <c r="K220" s="19" t="s">
        <v>272</v>
      </c>
      <c r="L220" s="13" t="s">
        <v>4162</v>
      </c>
      <c r="M220" s="13" t="s">
        <v>5464</v>
      </c>
      <c r="N220" s="13"/>
      <c r="O220" s="24">
        <v>41899</v>
      </c>
      <c r="P220" s="13" t="s">
        <v>3513</v>
      </c>
      <c r="Q220" s="13" t="s">
        <v>5129</v>
      </c>
      <c r="R220" s="13" t="s">
        <v>1751</v>
      </c>
      <c r="S220" s="13" t="s">
        <v>5936</v>
      </c>
      <c r="T220" s="13" t="s">
        <v>5750</v>
      </c>
      <c r="U220" s="18" t="s">
        <v>966</v>
      </c>
      <c r="V220" s="13"/>
      <c r="W220" s="13"/>
      <c r="X220" s="13"/>
    </row>
    <row r="221" spans="2:24">
      <c r="B221" s="109"/>
      <c r="C221" s="109" t="s">
        <v>967</v>
      </c>
      <c r="D221" s="20" t="s">
        <v>5937</v>
      </c>
      <c r="E221" s="109" t="s">
        <v>5938</v>
      </c>
      <c r="F221" s="112" t="s">
        <v>969</v>
      </c>
      <c r="G221" s="109" t="s">
        <v>5939</v>
      </c>
      <c r="H221" s="109" t="s">
        <v>971</v>
      </c>
      <c r="I221" s="109" t="s">
        <v>972</v>
      </c>
      <c r="J221" s="109" t="s">
        <v>973</v>
      </c>
      <c r="K221" s="14" t="s">
        <v>272</v>
      </c>
      <c r="L221" s="109" t="s">
        <v>1043</v>
      </c>
      <c r="M221" s="109" t="s">
        <v>5914</v>
      </c>
      <c r="N221" s="13">
        <v>1</v>
      </c>
      <c r="O221" s="24">
        <v>43385</v>
      </c>
      <c r="P221" s="13" t="s">
        <v>5641</v>
      </c>
      <c r="Q221" s="13" t="s">
        <v>2030</v>
      </c>
      <c r="R221" s="13" t="s">
        <v>5940</v>
      </c>
      <c r="S221" s="109" t="s">
        <v>5941</v>
      </c>
      <c r="T221" s="109" t="s">
        <v>3664</v>
      </c>
      <c r="U221" s="112" t="s">
        <v>976</v>
      </c>
      <c r="V221" s="109" t="s">
        <v>977</v>
      </c>
      <c r="W221" s="109" t="s">
        <v>978</v>
      </c>
      <c r="X221" s="109" t="s">
        <v>979</v>
      </c>
    </row>
    <row r="222" spans="2:24">
      <c r="B222" s="109"/>
      <c r="C222" s="109"/>
      <c r="D222" s="20" t="str">
        <f t="shared" ref="D222:D231" si="48">D221</f>
        <v>饿了么</v>
      </c>
      <c r="E222" s="109"/>
      <c r="F222" s="112"/>
      <c r="G222" s="109"/>
      <c r="H222" s="109"/>
      <c r="I222" s="109"/>
      <c r="J222" s="109"/>
      <c r="K222" s="14" t="str">
        <f t="shared" ref="K222:K231" si="49">K221</f>
        <v>运营中</v>
      </c>
      <c r="L222" s="109"/>
      <c r="M222" s="109"/>
      <c r="N222" s="13">
        <v>1</v>
      </c>
      <c r="O222" s="24">
        <v>43192</v>
      </c>
      <c r="P222" s="13" t="s">
        <v>5709</v>
      </c>
      <c r="Q222" s="13" t="s">
        <v>5942</v>
      </c>
      <c r="R222" s="13" t="s">
        <v>586</v>
      </c>
      <c r="S222" s="109"/>
      <c r="T222" s="109"/>
      <c r="U222" s="112"/>
      <c r="V222" s="109"/>
      <c r="W222" s="109"/>
      <c r="X222" s="109"/>
    </row>
    <row r="223" spans="2:24">
      <c r="B223" s="109"/>
      <c r="C223" s="109"/>
      <c r="D223" s="20" t="str">
        <f t="shared" si="48"/>
        <v>饿了么</v>
      </c>
      <c r="E223" s="109"/>
      <c r="F223" s="112"/>
      <c r="G223" s="109"/>
      <c r="H223" s="109"/>
      <c r="I223" s="109"/>
      <c r="J223" s="109"/>
      <c r="K223" s="14" t="str">
        <f t="shared" si="49"/>
        <v>运营中</v>
      </c>
      <c r="L223" s="109"/>
      <c r="M223" s="109"/>
      <c r="N223" s="13">
        <v>1</v>
      </c>
      <c r="O223" s="24">
        <v>42888</v>
      </c>
      <c r="P223" s="13" t="s">
        <v>1045</v>
      </c>
      <c r="Q223" s="13" t="s">
        <v>5637</v>
      </c>
      <c r="R223" s="13" t="s">
        <v>1751</v>
      </c>
      <c r="S223" s="109"/>
      <c r="T223" s="109"/>
      <c r="U223" s="112"/>
      <c r="V223" s="109"/>
      <c r="W223" s="109"/>
      <c r="X223" s="109"/>
    </row>
    <row r="224" spans="2:24">
      <c r="B224" s="109"/>
      <c r="C224" s="109"/>
      <c r="D224" s="20" t="str">
        <f t="shared" si="48"/>
        <v>饿了么</v>
      </c>
      <c r="E224" s="109"/>
      <c r="F224" s="112"/>
      <c r="G224" s="109"/>
      <c r="H224" s="109"/>
      <c r="I224" s="109"/>
      <c r="J224" s="109"/>
      <c r="K224" s="14" t="str">
        <f t="shared" si="49"/>
        <v>运营中</v>
      </c>
      <c r="L224" s="109"/>
      <c r="M224" s="109"/>
      <c r="N224" s="13">
        <v>1</v>
      </c>
      <c r="O224" s="24">
        <v>42473</v>
      </c>
      <c r="P224" s="13" t="s">
        <v>5635</v>
      </c>
      <c r="Q224" s="13" t="s">
        <v>5943</v>
      </c>
      <c r="R224" s="13" t="s">
        <v>586</v>
      </c>
      <c r="S224" s="109"/>
      <c r="T224" s="109"/>
      <c r="U224" s="112"/>
      <c r="V224" s="109"/>
      <c r="W224" s="109"/>
      <c r="X224" s="109"/>
    </row>
    <row r="225" spans="2:24">
      <c r="B225" s="109"/>
      <c r="C225" s="109"/>
      <c r="D225" s="20" t="str">
        <f t="shared" si="48"/>
        <v>饿了么</v>
      </c>
      <c r="E225" s="109"/>
      <c r="F225" s="112"/>
      <c r="G225" s="109"/>
      <c r="H225" s="109"/>
      <c r="I225" s="109"/>
      <c r="J225" s="109"/>
      <c r="K225" s="14" t="str">
        <f t="shared" si="49"/>
        <v>运营中</v>
      </c>
      <c r="L225" s="109"/>
      <c r="M225" s="109"/>
      <c r="N225" s="13">
        <v>1</v>
      </c>
      <c r="O225" s="24">
        <v>42321</v>
      </c>
      <c r="P225" s="13" t="s">
        <v>1045</v>
      </c>
      <c r="Q225" s="13" t="s">
        <v>5000</v>
      </c>
      <c r="R225" s="13" t="s">
        <v>5620</v>
      </c>
      <c r="S225" s="109"/>
      <c r="T225" s="109"/>
      <c r="U225" s="112"/>
      <c r="V225" s="109"/>
      <c r="W225" s="109"/>
      <c r="X225" s="109"/>
    </row>
    <row r="226" spans="2:24">
      <c r="B226" s="109"/>
      <c r="C226" s="109"/>
      <c r="D226" s="20" t="str">
        <f t="shared" si="48"/>
        <v>饿了么</v>
      </c>
      <c r="E226" s="109"/>
      <c r="F226" s="112"/>
      <c r="G226" s="109"/>
      <c r="H226" s="109"/>
      <c r="I226" s="109"/>
      <c r="J226" s="109"/>
      <c r="K226" s="14" t="str">
        <f t="shared" si="49"/>
        <v>运营中</v>
      </c>
      <c r="L226" s="109"/>
      <c r="M226" s="109"/>
      <c r="N226" s="13">
        <v>1</v>
      </c>
      <c r="O226" s="24">
        <v>42243</v>
      </c>
      <c r="P226" s="13" t="s">
        <v>5635</v>
      </c>
      <c r="Q226" s="13" t="s">
        <v>5944</v>
      </c>
      <c r="R226" s="13" t="s">
        <v>983</v>
      </c>
      <c r="S226" s="109"/>
      <c r="T226" s="109"/>
      <c r="U226" s="112"/>
      <c r="V226" s="109"/>
      <c r="W226" s="109"/>
      <c r="X226" s="109"/>
    </row>
    <row r="227" spans="2:24">
      <c r="B227" s="109"/>
      <c r="C227" s="109"/>
      <c r="D227" s="20" t="str">
        <f t="shared" si="48"/>
        <v>饿了么</v>
      </c>
      <c r="E227" s="109"/>
      <c r="F227" s="112"/>
      <c r="G227" s="109"/>
      <c r="H227" s="109"/>
      <c r="I227" s="109"/>
      <c r="J227" s="109"/>
      <c r="K227" s="14" t="str">
        <f t="shared" si="49"/>
        <v>运营中</v>
      </c>
      <c r="L227" s="109"/>
      <c r="M227" s="109"/>
      <c r="N227" s="13">
        <v>1</v>
      </c>
      <c r="O227" s="24">
        <v>42027</v>
      </c>
      <c r="P227" s="13" t="s">
        <v>3276</v>
      </c>
      <c r="Q227" s="13" t="s">
        <v>5945</v>
      </c>
      <c r="R227" s="13" t="s">
        <v>985</v>
      </c>
      <c r="S227" s="109"/>
      <c r="T227" s="109"/>
      <c r="U227" s="112"/>
      <c r="V227" s="109"/>
      <c r="W227" s="109"/>
      <c r="X227" s="109"/>
    </row>
    <row r="228" spans="2:24">
      <c r="B228" s="109"/>
      <c r="C228" s="109"/>
      <c r="D228" s="20" t="str">
        <f t="shared" si="48"/>
        <v>饿了么</v>
      </c>
      <c r="E228" s="109"/>
      <c r="F228" s="112"/>
      <c r="G228" s="109"/>
      <c r="H228" s="109"/>
      <c r="I228" s="109"/>
      <c r="J228" s="109"/>
      <c r="K228" s="14" t="str">
        <f t="shared" si="49"/>
        <v>运营中</v>
      </c>
      <c r="L228" s="109"/>
      <c r="M228" s="109"/>
      <c r="N228" s="13">
        <v>1</v>
      </c>
      <c r="O228" s="24">
        <v>41760</v>
      </c>
      <c r="P228" s="13" t="s">
        <v>1827</v>
      </c>
      <c r="Q228" s="13" t="s">
        <v>5907</v>
      </c>
      <c r="R228" s="13" t="s">
        <v>5946</v>
      </c>
      <c r="S228" s="109"/>
      <c r="T228" s="109"/>
      <c r="U228" s="112"/>
      <c r="V228" s="109"/>
      <c r="W228" s="109"/>
      <c r="X228" s="109"/>
    </row>
    <row r="229" spans="2:24">
      <c r="B229" s="109"/>
      <c r="C229" s="109"/>
      <c r="D229" s="20" t="str">
        <f t="shared" si="48"/>
        <v>饿了么</v>
      </c>
      <c r="E229" s="109"/>
      <c r="F229" s="112"/>
      <c r="G229" s="109"/>
      <c r="H229" s="109"/>
      <c r="I229" s="109"/>
      <c r="J229" s="109"/>
      <c r="K229" s="14" t="str">
        <f t="shared" si="49"/>
        <v>运营中</v>
      </c>
      <c r="L229" s="109"/>
      <c r="M229" s="109"/>
      <c r="N229" s="13">
        <v>1</v>
      </c>
      <c r="O229" s="24">
        <v>41579</v>
      </c>
      <c r="P229" s="13" t="s">
        <v>5613</v>
      </c>
      <c r="Q229" s="13" t="s">
        <v>5947</v>
      </c>
      <c r="R229" s="13" t="s">
        <v>988</v>
      </c>
      <c r="S229" s="109"/>
      <c r="T229" s="109"/>
      <c r="U229" s="112"/>
      <c r="V229" s="109"/>
      <c r="W229" s="109"/>
      <c r="X229" s="109"/>
    </row>
    <row r="230" spans="2:24">
      <c r="B230" s="109"/>
      <c r="C230" s="109"/>
      <c r="D230" s="20" t="str">
        <f t="shared" si="48"/>
        <v>饿了么</v>
      </c>
      <c r="E230" s="109"/>
      <c r="F230" s="112"/>
      <c r="G230" s="109"/>
      <c r="H230" s="109"/>
      <c r="I230" s="109"/>
      <c r="J230" s="109"/>
      <c r="K230" s="14" t="str">
        <f t="shared" si="49"/>
        <v>运营中</v>
      </c>
      <c r="L230" s="109"/>
      <c r="M230" s="109"/>
      <c r="N230" s="13">
        <v>1</v>
      </c>
      <c r="O230" s="24">
        <v>41275</v>
      </c>
      <c r="P230" s="13" t="s">
        <v>3648</v>
      </c>
      <c r="Q230" s="13" t="s">
        <v>5616</v>
      </c>
      <c r="R230" s="13" t="s">
        <v>989</v>
      </c>
      <c r="S230" s="109"/>
      <c r="T230" s="109"/>
      <c r="U230" s="112"/>
      <c r="V230" s="109"/>
      <c r="W230" s="109"/>
      <c r="X230" s="109"/>
    </row>
    <row r="231" spans="2:24">
      <c r="B231" s="109"/>
      <c r="C231" s="109"/>
      <c r="D231" s="20" t="str">
        <f t="shared" si="48"/>
        <v>饿了么</v>
      </c>
      <c r="E231" s="109"/>
      <c r="F231" s="112"/>
      <c r="G231" s="109"/>
      <c r="H231" s="109"/>
      <c r="I231" s="109"/>
      <c r="J231" s="109"/>
      <c r="K231" s="14" t="str">
        <f t="shared" si="49"/>
        <v>运营中</v>
      </c>
      <c r="L231" s="109"/>
      <c r="M231" s="109"/>
      <c r="N231" s="13">
        <v>1</v>
      </c>
      <c r="O231" s="24">
        <v>40603</v>
      </c>
      <c r="P231" s="13" t="s">
        <v>3513</v>
      </c>
      <c r="Q231" s="13" t="s">
        <v>5616</v>
      </c>
      <c r="R231" s="13" t="s">
        <v>5645</v>
      </c>
      <c r="S231" s="109"/>
      <c r="T231" s="109"/>
      <c r="U231" s="112"/>
      <c r="V231" s="109"/>
      <c r="W231" s="109"/>
      <c r="X231" s="109"/>
    </row>
    <row r="232" spans="2:24">
      <c r="B232" s="109"/>
      <c r="C232" s="109" t="s">
        <v>990</v>
      </c>
      <c r="D232" s="20" t="s">
        <v>5948</v>
      </c>
      <c r="E232" s="109" t="s">
        <v>5949</v>
      </c>
      <c r="F232" s="112" t="s">
        <v>993</v>
      </c>
      <c r="G232" s="109" t="s">
        <v>5950</v>
      </c>
      <c r="H232" s="109" t="s">
        <v>995</v>
      </c>
      <c r="I232" s="109" t="s">
        <v>444</v>
      </c>
      <c r="J232" s="109" t="s">
        <v>547</v>
      </c>
      <c r="K232" s="14" t="s">
        <v>272</v>
      </c>
      <c r="L232" s="109" t="s">
        <v>5472</v>
      </c>
      <c r="M232" s="109" t="s">
        <v>5473</v>
      </c>
      <c r="N232" s="13">
        <v>1</v>
      </c>
      <c r="O232" s="24">
        <v>43004</v>
      </c>
      <c r="P232" s="13" t="s">
        <v>5709</v>
      </c>
      <c r="Q232" s="13" t="s">
        <v>2030</v>
      </c>
      <c r="R232" s="13" t="s">
        <v>1751</v>
      </c>
      <c r="S232" s="109" t="s">
        <v>4403</v>
      </c>
      <c r="T232" s="109" t="s">
        <v>3664</v>
      </c>
      <c r="U232" s="112" t="s">
        <v>999</v>
      </c>
      <c r="V232" s="109" t="s">
        <v>1000</v>
      </c>
      <c r="W232" s="109"/>
      <c r="X232" s="109" t="s">
        <v>1001</v>
      </c>
    </row>
    <row r="233" spans="2:24">
      <c r="B233" s="109"/>
      <c r="C233" s="109"/>
      <c r="D233" s="20" t="str">
        <f>D232</f>
        <v>EJOY广州简悦科技</v>
      </c>
      <c r="E233" s="109"/>
      <c r="F233" s="112"/>
      <c r="G233" s="109"/>
      <c r="H233" s="109"/>
      <c r="I233" s="109"/>
      <c r="J233" s="109"/>
      <c r="K233" s="14" t="str">
        <f t="shared" ref="K233:K234" si="50">K232</f>
        <v>运营中</v>
      </c>
      <c r="L233" s="109"/>
      <c r="M233" s="109"/>
      <c r="N233" s="13">
        <v>1</v>
      </c>
      <c r="O233" s="24">
        <v>42409</v>
      </c>
      <c r="P233" s="13" t="s">
        <v>3648</v>
      </c>
      <c r="Q233" s="13" t="s">
        <v>3514</v>
      </c>
      <c r="R233" s="13" t="s">
        <v>5951</v>
      </c>
      <c r="S233" s="109"/>
      <c r="T233" s="109"/>
      <c r="U233" s="112"/>
      <c r="V233" s="109"/>
      <c r="W233" s="109"/>
      <c r="X233" s="109"/>
    </row>
    <row r="234" spans="2:24">
      <c r="B234" s="109"/>
      <c r="C234" s="109"/>
      <c r="D234" s="20" t="str">
        <f>D233</f>
        <v>EJOY广州简悦科技</v>
      </c>
      <c r="E234" s="109"/>
      <c r="F234" s="112"/>
      <c r="G234" s="109"/>
      <c r="H234" s="109"/>
      <c r="I234" s="109"/>
      <c r="J234" s="109"/>
      <c r="K234" s="14" t="str">
        <f t="shared" si="50"/>
        <v>运营中</v>
      </c>
      <c r="L234" s="109"/>
      <c r="M234" s="109"/>
      <c r="N234" s="13">
        <v>1</v>
      </c>
      <c r="O234" s="24">
        <v>41487</v>
      </c>
      <c r="P234" s="13" t="s">
        <v>3513</v>
      </c>
      <c r="Q234" s="13" t="s">
        <v>2030</v>
      </c>
      <c r="R234" s="13" t="s">
        <v>5875</v>
      </c>
      <c r="S234" s="109"/>
      <c r="T234" s="109"/>
      <c r="U234" s="112"/>
      <c r="V234" s="109"/>
      <c r="W234" s="109"/>
      <c r="X234" s="109"/>
    </row>
    <row r="235" spans="2:24" ht="36">
      <c r="B235" s="109"/>
      <c r="C235" s="13" t="s">
        <v>1003</v>
      </c>
      <c r="D235" s="25" t="s">
        <v>5952</v>
      </c>
      <c r="E235" s="13" t="s">
        <v>5953</v>
      </c>
      <c r="F235" s="18" t="s">
        <v>5954</v>
      </c>
      <c r="G235" s="13" t="s">
        <v>5955</v>
      </c>
      <c r="H235" s="13" t="s">
        <v>1007</v>
      </c>
      <c r="I235" s="13" t="s">
        <v>384</v>
      </c>
      <c r="J235" s="13" t="s">
        <v>271</v>
      </c>
      <c r="K235" s="19" t="s">
        <v>248</v>
      </c>
      <c r="L235" s="13" t="s">
        <v>5257</v>
      </c>
      <c r="M235" s="13" t="s">
        <v>5956</v>
      </c>
      <c r="N235" s="13">
        <v>1</v>
      </c>
      <c r="O235" s="24">
        <v>41306</v>
      </c>
      <c r="P235" s="13" t="s">
        <v>5709</v>
      </c>
      <c r="Q235" s="13" t="s">
        <v>2030</v>
      </c>
      <c r="R235" s="13" t="s">
        <v>1751</v>
      </c>
      <c r="S235" s="13" t="s">
        <v>253</v>
      </c>
      <c r="T235" s="13" t="s">
        <v>3664</v>
      </c>
      <c r="U235" s="18" t="s">
        <v>1010</v>
      </c>
      <c r="V235" s="13"/>
      <c r="W235" s="13"/>
      <c r="X235" s="13"/>
    </row>
    <row r="236" spans="2:24">
      <c r="B236" s="109"/>
      <c r="C236" s="109" t="s">
        <v>1011</v>
      </c>
      <c r="D236" s="20" t="s">
        <v>5957</v>
      </c>
      <c r="E236" s="109" t="s">
        <v>5958</v>
      </c>
      <c r="F236" s="112" t="s">
        <v>1013</v>
      </c>
      <c r="G236" s="109" t="s">
        <v>5959</v>
      </c>
      <c r="H236" s="109" t="s">
        <v>1015</v>
      </c>
      <c r="I236" s="109" t="s">
        <v>1016</v>
      </c>
      <c r="J236" s="109" t="s">
        <v>385</v>
      </c>
      <c r="K236" s="14" t="s">
        <v>272</v>
      </c>
      <c r="L236" s="109" t="s">
        <v>1043</v>
      </c>
      <c r="M236" s="109" t="s">
        <v>1990</v>
      </c>
      <c r="N236" s="13">
        <v>1</v>
      </c>
      <c r="O236" s="24">
        <v>44306</v>
      </c>
      <c r="P236" s="13" t="s">
        <v>5810</v>
      </c>
      <c r="Q236" s="13" t="s">
        <v>5960</v>
      </c>
      <c r="R236" s="13" t="s">
        <v>5755</v>
      </c>
      <c r="S236" s="109" t="s">
        <v>5961</v>
      </c>
      <c r="T236" s="109" t="s">
        <v>5962</v>
      </c>
      <c r="U236" s="112" t="s">
        <v>1020</v>
      </c>
      <c r="V236" s="109" t="s">
        <v>1021</v>
      </c>
      <c r="W236" s="109" t="s">
        <v>1022</v>
      </c>
      <c r="X236" s="109"/>
    </row>
    <row r="237" spans="2:24">
      <c r="B237" s="109"/>
      <c r="C237" s="109"/>
      <c r="D237" s="20" t="str">
        <f t="shared" ref="D237:D246" si="51">D236</f>
        <v>美团</v>
      </c>
      <c r="E237" s="109"/>
      <c r="F237" s="112"/>
      <c r="G237" s="109"/>
      <c r="H237" s="109"/>
      <c r="I237" s="109"/>
      <c r="J237" s="109"/>
      <c r="K237" s="14" t="str">
        <f t="shared" ref="K237:K246" si="52">K236</f>
        <v>运营中</v>
      </c>
      <c r="L237" s="109"/>
      <c r="M237" s="109"/>
      <c r="N237" s="13">
        <v>1</v>
      </c>
      <c r="O237" s="24">
        <v>43363</v>
      </c>
      <c r="P237" s="13" t="s">
        <v>5625</v>
      </c>
      <c r="Q237" s="13" t="s">
        <v>5963</v>
      </c>
      <c r="R237" s="13" t="s">
        <v>253</v>
      </c>
      <c r="S237" s="109"/>
      <c r="T237" s="109"/>
      <c r="U237" s="112"/>
      <c r="V237" s="109"/>
      <c r="W237" s="109"/>
      <c r="X237" s="109"/>
    </row>
    <row r="238" spans="2:24">
      <c r="B238" s="109"/>
      <c r="C238" s="109"/>
      <c r="D238" s="20" t="str">
        <f t="shared" si="51"/>
        <v>美团</v>
      </c>
      <c r="E238" s="109"/>
      <c r="F238" s="112"/>
      <c r="G238" s="109"/>
      <c r="H238" s="109"/>
      <c r="I238" s="109"/>
      <c r="J238" s="109"/>
      <c r="K238" s="14" t="str">
        <f t="shared" si="52"/>
        <v>运营中</v>
      </c>
      <c r="L238" s="109"/>
      <c r="M238" s="109"/>
      <c r="N238" s="13">
        <v>1</v>
      </c>
      <c r="O238" s="24">
        <v>43344</v>
      </c>
      <c r="P238" s="13" t="s">
        <v>5795</v>
      </c>
      <c r="Q238" s="13" t="s">
        <v>5964</v>
      </c>
      <c r="R238" s="13" t="s">
        <v>1025</v>
      </c>
      <c r="S238" s="109"/>
      <c r="T238" s="109"/>
      <c r="U238" s="112"/>
      <c r="V238" s="109"/>
      <c r="W238" s="109"/>
      <c r="X238" s="109"/>
    </row>
    <row r="239" spans="2:24">
      <c r="B239" s="109"/>
      <c r="C239" s="109"/>
      <c r="D239" s="20" t="str">
        <f t="shared" si="51"/>
        <v>美团</v>
      </c>
      <c r="E239" s="109"/>
      <c r="F239" s="112"/>
      <c r="G239" s="109"/>
      <c r="H239" s="109"/>
      <c r="I239" s="109"/>
      <c r="J239" s="109"/>
      <c r="K239" s="14" t="str">
        <f t="shared" si="52"/>
        <v>运营中</v>
      </c>
      <c r="L239" s="109"/>
      <c r="M239" s="109"/>
      <c r="N239" s="13">
        <v>1</v>
      </c>
      <c r="O239" s="24">
        <v>43027</v>
      </c>
      <c r="P239" s="13" t="s">
        <v>5635</v>
      </c>
      <c r="Q239" s="13" t="s">
        <v>5630</v>
      </c>
      <c r="R239" s="13" t="s">
        <v>1026</v>
      </c>
      <c r="S239" s="109"/>
      <c r="T239" s="109"/>
      <c r="U239" s="112"/>
      <c r="V239" s="109"/>
      <c r="W239" s="109"/>
      <c r="X239" s="109"/>
    </row>
    <row r="240" spans="2:24">
      <c r="B240" s="109"/>
      <c r="C240" s="109"/>
      <c r="D240" s="20" t="str">
        <f t="shared" si="51"/>
        <v>美团</v>
      </c>
      <c r="E240" s="109"/>
      <c r="F240" s="112"/>
      <c r="G240" s="109"/>
      <c r="H240" s="109"/>
      <c r="I240" s="109"/>
      <c r="J240" s="109"/>
      <c r="K240" s="14" t="str">
        <f t="shared" si="52"/>
        <v>运营中</v>
      </c>
      <c r="L240" s="109"/>
      <c r="M240" s="109"/>
      <c r="N240" s="13">
        <v>1</v>
      </c>
      <c r="O240" s="24">
        <v>42569</v>
      </c>
      <c r="P240" s="13" t="s">
        <v>1045</v>
      </c>
      <c r="Q240" s="13" t="s">
        <v>5529</v>
      </c>
      <c r="R240" s="13" t="s">
        <v>5965</v>
      </c>
      <c r="S240" s="109"/>
      <c r="T240" s="109"/>
      <c r="U240" s="112"/>
      <c r="V240" s="109"/>
      <c r="W240" s="109"/>
      <c r="X240" s="109"/>
    </row>
    <row r="241" spans="2:24">
      <c r="B241" s="109"/>
      <c r="C241" s="109"/>
      <c r="D241" s="20" t="str">
        <f t="shared" si="51"/>
        <v>美团</v>
      </c>
      <c r="E241" s="109"/>
      <c r="F241" s="112"/>
      <c r="G241" s="109"/>
      <c r="H241" s="109"/>
      <c r="I241" s="109"/>
      <c r="J241" s="109"/>
      <c r="K241" s="14" t="str">
        <f t="shared" si="52"/>
        <v>运营中</v>
      </c>
      <c r="L241" s="109"/>
      <c r="M241" s="109"/>
      <c r="N241" s="13">
        <v>1</v>
      </c>
      <c r="O241" s="24">
        <v>42388</v>
      </c>
      <c r="P241" s="13" t="s">
        <v>3276</v>
      </c>
      <c r="Q241" s="13" t="s">
        <v>5966</v>
      </c>
      <c r="R241" s="13" t="s">
        <v>1029</v>
      </c>
      <c r="S241" s="109"/>
      <c r="T241" s="109"/>
      <c r="U241" s="112"/>
      <c r="V241" s="109"/>
      <c r="W241" s="109"/>
      <c r="X241" s="109"/>
    </row>
    <row r="242" spans="2:24">
      <c r="B242" s="109"/>
      <c r="C242" s="109"/>
      <c r="D242" s="20" t="str">
        <f t="shared" si="51"/>
        <v>美团</v>
      </c>
      <c r="E242" s="109"/>
      <c r="F242" s="112"/>
      <c r="G242" s="109"/>
      <c r="H242" s="109"/>
      <c r="I242" s="109"/>
      <c r="J242" s="109"/>
      <c r="K242" s="14" t="str">
        <f t="shared" si="52"/>
        <v>运营中</v>
      </c>
      <c r="L242" s="109"/>
      <c r="M242" s="109"/>
      <c r="N242" s="13">
        <v>1</v>
      </c>
      <c r="O242" s="24">
        <v>42285</v>
      </c>
      <c r="P242" s="13" t="s">
        <v>5641</v>
      </c>
      <c r="Q242" s="13" t="s">
        <v>2030</v>
      </c>
      <c r="R242" s="13" t="s">
        <v>5946</v>
      </c>
      <c r="S242" s="109"/>
      <c r="T242" s="109"/>
      <c r="U242" s="112"/>
      <c r="V242" s="109"/>
      <c r="W242" s="109"/>
      <c r="X242" s="109"/>
    </row>
    <row r="243" spans="2:24">
      <c r="B243" s="109"/>
      <c r="C243" s="109"/>
      <c r="D243" s="20" t="str">
        <f t="shared" si="51"/>
        <v>美团</v>
      </c>
      <c r="E243" s="109"/>
      <c r="F243" s="112"/>
      <c r="G243" s="109"/>
      <c r="H243" s="109"/>
      <c r="I243" s="109"/>
      <c r="J243" s="109"/>
      <c r="K243" s="14" t="str">
        <f t="shared" si="52"/>
        <v>运营中</v>
      </c>
      <c r="L243" s="109"/>
      <c r="M243" s="109"/>
      <c r="N243" s="13">
        <v>1</v>
      </c>
      <c r="O243" s="24">
        <v>41995</v>
      </c>
      <c r="P243" s="13" t="s">
        <v>1827</v>
      </c>
      <c r="Q243" s="13" t="s">
        <v>5643</v>
      </c>
      <c r="R243" s="13" t="s">
        <v>5967</v>
      </c>
      <c r="S243" s="109"/>
      <c r="T243" s="109"/>
      <c r="U243" s="112"/>
      <c r="V243" s="109"/>
      <c r="W243" s="109"/>
      <c r="X243" s="109"/>
    </row>
    <row r="244" spans="2:24">
      <c r="B244" s="109"/>
      <c r="C244" s="109"/>
      <c r="D244" s="20" t="str">
        <f t="shared" si="51"/>
        <v>美团</v>
      </c>
      <c r="E244" s="109"/>
      <c r="F244" s="112"/>
      <c r="G244" s="109"/>
      <c r="H244" s="109"/>
      <c r="I244" s="109"/>
      <c r="J244" s="109"/>
      <c r="K244" s="14" t="str">
        <f t="shared" si="52"/>
        <v>运营中</v>
      </c>
      <c r="L244" s="109"/>
      <c r="M244" s="109"/>
      <c r="N244" s="13">
        <v>1</v>
      </c>
      <c r="O244" s="24">
        <v>41760</v>
      </c>
      <c r="P244" s="13" t="s">
        <v>5613</v>
      </c>
      <c r="Q244" s="13" t="s">
        <v>5019</v>
      </c>
      <c r="R244" s="13" t="s">
        <v>1031</v>
      </c>
      <c r="S244" s="109"/>
      <c r="T244" s="109"/>
      <c r="U244" s="112"/>
      <c r="V244" s="109"/>
      <c r="W244" s="109"/>
      <c r="X244" s="109"/>
    </row>
    <row r="245" spans="2:24">
      <c r="B245" s="109"/>
      <c r="C245" s="109"/>
      <c r="D245" s="20" t="str">
        <f t="shared" si="51"/>
        <v>美团</v>
      </c>
      <c r="E245" s="109"/>
      <c r="F245" s="112"/>
      <c r="G245" s="109"/>
      <c r="H245" s="109"/>
      <c r="I245" s="109"/>
      <c r="J245" s="109"/>
      <c r="K245" s="14" t="str">
        <f t="shared" si="52"/>
        <v>运营中</v>
      </c>
      <c r="L245" s="109"/>
      <c r="M245" s="109"/>
      <c r="N245" s="13">
        <v>1</v>
      </c>
      <c r="O245" s="24">
        <v>40725</v>
      </c>
      <c r="P245" s="13" t="s">
        <v>3648</v>
      </c>
      <c r="Q245" s="13" t="s">
        <v>5360</v>
      </c>
      <c r="R245" s="13" t="s">
        <v>1033</v>
      </c>
      <c r="S245" s="109"/>
      <c r="T245" s="109"/>
      <c r="U245" s="112"/>
      <c r="V245" s="109"/>
      <c r="W245" s="109"/>
      <c r="X245" s="109"/>
    </row>
    <row r="246" spans="2:24">
      <c r="B246" s="109"/>
      <c r="C246" s="109"/>
      <c r="D246" s="20" t="str">
        <f t="shared" si="51"/>
        <v>美团</v>
      </c>
      <c r="E246" s="109"/>
      <c r="F246" s="112"/>
      <c r="G246" s="109"/>
      <c r="H246" s="109"/>
      <c r="I246" s="109"/>
      <c r="J246" s="109"/>
      <c r="K246" s="14" t="str">
        <f t="shared" si="52"/>
        <v>运营中</v>
      </c>
      <c r="L246" s="109"/>
      <c r="M246" s="109"/>
      <c r="N246" s="13">
        <v>1</v>
      </c>
      <c r="O246" s="24">
        <v>40451</v>
      </c>
      <c r="P246" s="13" t="s">
        <v>3513</v>
      </c>
      <c r="Q246" s="13" t="s">
        <v>5756</v>
      </c>
      <c r="R246" s="13" t="s">
        <v>5689</v>
      </c>
      <c r="S246" s="109"/>
      <c r="T246" s="109"/>
      <c r="U246" s="112"/>
      <c r="V246" s="109"/>
      <c r="W246" s="109"/>
      <c r="X246" s="109"/>
    </row>
    <row r="247" spans="2:24">
      <c r="B247" s="109"/>
      <c r="C247" s="109" t="s">
        <v>1034</v>
      </c>
      <c r="D247" s="20" t="s">
        <v>5968</v>
      </c>
      <c r="E247" s="109" t="s">
        <v>1036</v>
      </c>
      <c r="F247" s="112" t="s">
        <v>1037</v>
      </c>
      <c r="G247" s="109" t="s">
        <v>5969</v>
      </c>
      <c r="H247" s="109" t="s">
        <v>1039</v>
      </c>
      <c r="I247" s="109" t="s">
        <v>1040</v>
      </c>
      <c r="J247" s="109" t="s">
        <v>1041</v>
      </c>
      <c r="K247" s="14" t="s">
        <v>272</v>
      </c>
      <c r="L247" s="109" t="s">
        <v>1043</v>
      </c>
      <c r="M247" s="109" t="s">
        <v>1044</v>
      </c>
      <c r="N247" s="13"/>
      <c r="O247" s="24">
        <v>44508</v>
      </c>
      <c r="P247" s="13" t="s">
        <v>1045</v>
      </c>
      <c r="Q247" s="13" t="s">
        <v>1046</v>
      </c>
      <c r="R247" s="13" t="s">
        <v>1047</v>
      </c>
      <c r="S247" s="109" t="s">
        <v>1048</v>
      </c>
      <c r="T247" s="109" t="s">
        <v>1049</v>
      </c>
      <c r="U247" s="112" t="s">
        <v>1050</v>
      </c>
      <c r="V247" s="109" t="s">
        <v>1051</v>
      </c>
      <c r="W247" s="109" t="s">
        <v>1052</v>
      </c>
      <c r="X247" s="109" t="s">
        <v>1053</v>
      </c>
    </row>
    <row r="248" spans="2:24">
      <c r="B248" s="109"/>
      <c r="C248" s="109"/>
      <c r="D248" s="20" t="str">
        <f>D247</f>
        <v>小红书</v>
      </c>
      <c r="E248" s="109"/>
      <c r="F248" s="112"/>
      <c r="G248" s="109"/>
      <c r="H248" s="109"/>
      <c r="I248" s="109"/>
      <c r="J248" s="109"/>
      <c r="K248" s="14" t="str">
        <f t="shared" ref="K248:K252" si="53">K247</f>
        <v>运营中</v>
      </c>
      <c r="L248" s="109"/>
      <c r="M248" s="109"/>
      <c r="N248" s="13"/>
      <c r="O248" s="24">
        <v>43252</v>
      </c>
      <c r="P248" s="13" t="s">
        <v>1827</v>
      </c>
      <c r="Q248" s="13" t="s">
        <v>5019</v>
      </c>
      <c r="R248" s="13" t="s">
        <v>1054</v>
      </c>
      <c r="S248" s="109"/>
      <c r="T248" s="109"/>
      <c r="U248" s="112"/>
      <c r="V248" s="109"/>
      <c r="W248" s="109"/>
      <c r="X248" s="109"/>
    </row>
    <row r="249" spans="2:24">
      <c r="B249" s="109"/>
      <c r="C249" s="109"/>
      <c r="D249" s="20" t="str">
        <f>D248</f>
        <v>小红书</v>
      </c>
      <c r="E249" s="109"/>
      <c r="F249" s="112"/>
      <c r="G249" s="109"/>
      <c r="H249" s="109"/>
      <c r="I249" s="109"/>
      <c r="J249" s="109"/>
      <c r="K249" s="14" t="str">
        <f t="shared" si="53"/>
        <v>运营中</v>
      </c>
      <c r="L249" s="109"/>
      <c r="M249" s="109"/>
      <c r="N249" s="13"/>
      <c r="O249" s="24">
        <v>42460</v>
      </c>
      <c r="P249" s="13" t="s">
        <v>5613</v>
      </c>
      <c r="Q249" s="13" t="s">
        <v>4732</v>
      </c>
      <c r="R249" s="13" t="s">
        <v>1055</v>
      </c>
      <c r="S249" s="109"/>
      <c r="T249" s="109"/>
      <c r="U249" s="112"/>
      <c r="V249" s="109"/>
      <c r="W249" s="109"/>
      <c r="X249" s="109"/>
    </row>
    <row r="250" spans="2:24">
      <c r="B250" s="109"/>
      <c r="C250" s="109"/>
      <c r="D250" s="20" t="str">
        <f>D249</f>
        <v>小红书</v>
      </c>
      <c r="E250" s="109"/>
      <c r="F250" s="112"/>
      <c r="G250" s="109"/>
      <c r="H250" s="109"/>
      <c r="I250" s="109"/>
      <c r="J250" s="109"/>
      <c r="K250" s="14" t="str">
        <f t="shared" si="53"/>
        <v>运营中</v>
      </c>
      <c r="L250" s="109"/>
      <c r="M250" s="109"/>
      <c r="N250" s="13"/>
      <c r="O250" s="24">
        <v>42163</v>
      </c>
      <c r="P250" s="13" t="s">
        <v>3648</v>
      </c>
      <c r="Q250" s="13" t="s">
        <v>5129</v>
      </c>
      <c r="R250" s="13" t="s">
        <v>1056</v>
      </c>
      <c r="S250" s="109"/>
      <c r="T250" s="109"/>
      <c r="U250" s="112"/>
      <c r="V250" s="109"/>
      <c r="W250" s="109"/>
      <c r="X250" s="109"/>
    </row>
    <row r="251" spans="2:24">
      <c r="B251" s="109"/>
      <c r="C251" s="109"/>
      <c r="D251" s="20" t="str">
        <f>D250</f>
        <v>小红书</v>
      </c>
      <c r="E251" s="109"/>
      <c r="F251" s="112"/>
      <c r="G251" s="109"/>
      <c r="H251" s="109"/>
      <c r="I251" s="109"/>
      <c r="J251" s="109"/>
      <c r="K251" s="14" t="str">
        <f t="shared" si="53"/>
        <v>运营中</v>
      </c>
      <c r="L251" s="109"/>
      <c r="M251" s="109"/>
      <c r="N251" s="13"/>
      <c r="O251" s="24">
        <v>41819</v>
      </c>
      <c r="P251" s="13" t="s">
        <v>3513</v>
      </c>
      <c r="Q251" s="13" t="s">
        <v>5616</v>
      </c>
      <c r="R251" s="13" t="s">
        <v>1057</v>
      </c>
      <c r="S251" s="109"/>
      <c r="T251" s="109"/>
      <c r="U251" s="112"/>
      <c r="V251" s="109"/>
      <c r="W251" s="109"/>
      <c r="X251" s="109"/>
    </row>
    <row r="252" spans="2:24">
      <c r="B252" s="109"/>
      <c r="C252" s="109"/>
      <c r="D252" s="20" t="str">
        <f>D251</f>
        <v>小红书</v>
      </c>
      <c r="E252" s="109"/>
      <c r="F252" s="112"/>
      <c r="G252" s="109"/>
      <c r="H252" s="109"/>
      <c r="I252" s="109"/>
      <c r="J252" s="109"/>
      <c r="K252" s="14" t="str">
        <f t="shared" si="53"/>
        <v>运营中</v>
      </c>
      <c r="L252" s="109"/>
      <c r="M252" s="109"/>
      <c r="N252" s="13"/>
      <c r="O252" s="24">
        <v>41548</v>
      </c>
      <c r="P252" s="13" t="s">
        <v>5474</v>
      </c>
      <c r="Q252" s="13" t="s">
        <v>5646</v>
      </c>
      <c r="R252" s="13" t="s">
        <v>490</v>
      </c>
      <c r="S252" s="109"/>
      <c r="T252" s="109"/>
      <c r="U252" s="112"/>
      <c r="V252" s="109"/>
      <c r="W252" s="109"/>
      <c r="X252" s="109"/>
    </row>
    <row r="253" spans="2:24">
      <c r="B253" s="109"/>
      <c r="C253" s="109" t="s">
        <v>1058</v>
      </c>
      <c r="D253" s="20" t="s">
        <v>5970</v>
      </c>
      <c r="E253" s="109" t="s">
        <v>5971</v>
      </c>
      <c r="F253" s="112" t="s">
        <v>1060</v>
      </c>
      <c r="G253" s="109" t="s">
        <v>5972</v>
      </c>
      <c r="H253" s="109" t="s">
        <v>1062</v>
      </c>
      <c r="I253" s="109" t="s">
        <v>334</v>
      </c>
      <c r="J253" s="109" t="s">
        <v>271</v>
      </c>
      <c r="K253" s="14" t="s">
        <v>272</v>
      </c>
      <c r="L253" s="109" t="s">
        <v>1043</v>
      </c>
      <c r="M253" s="109" t="s">
        <v>5889</v>
      </c>
      <c r="N253" s="13"/>
      <c r="O253" s="24">
        <v>43234</v>
      </c>
      <c r="P253" s="13" t="s">
        <v>5754</v>
      </c>
      <c r="Q253" s="13" t="s">
        <v>5973</v>
      </c>
      <c r="R253" s="13" t="s">
        <v>1064</v>
      </c>
      <c r="S253" s="109" t="s">
        <v>5660</v>
      </c>
      <c r="T253" s="109" t="s">
        <v>5974</v>
      </c>
      <c r="U253" s="112"/>
      <c r="V253" s="109"/>
      <c r="W253" s="109" t="s">
        <v>1066</v>
      </c>
      <c r="X253" s="109" t="s">
        <v>1067</v>
      </c>
    </row>
    <row r="254" spans="2:24">
      <c r="B254" s="109"/>
      <c r="C254" s="109"/>
      <c r="D254" s="20" t="str">
        <f>D253</f>
        <v>云纵</v>
      </c>
      <c r="E254" s="109"/>
      <c r="F254" s="112"/>
      <c r="G254" s="109"/>
      <c r="H254" s="109"/>
      <c r="I254" s="109"/>
      <c r="J254" s="109"/>
      <c r="K254" s="14" t="str">
        <f t="shared" ref="K254:K256" si="54">K253</f>
        <v>运营中</v>
      </c>
      <c r="L254" s="109"/>
      <c r="M254" s="109"/>
      <c r="N254" s="13"/>
      <c r="O254" s="24">
        <v>42527</v>
      </c>
      <c r="P254" s="13" t="s">
        <v>1045</v>
      </c>
      <c r="Q254" s="13" t="s">
        <v>2030</v>
      </c>
      <c r="R254" s="13" t="s">
        <v>5975</v>
      </c>
      <c r="S254" s="109"/>
      <c r="T254" s="109"/>
      <c r="U254" s="112"/>
      <c r="V254" s="109"/>
      <c r="W254" s="109"/>
      <c r="X254" s="109"/>
    </row>
    <row r="255" spans="2:24">
      <c r="B255" s="109"/>
      <c r="C255" s="109"/>
      <c r="D255" s="20" t="str">
        <f>D254</f>
        <v>云纵</v>
      </c>
      <c r="E255" s="109"/>
      <c r="F255" s="112"/>
      <c r="G255" s="109"/>
      <c r="H255" s="109"/>
      <c r="I255" s="109"/>
      <c r="J255" s="109"/>
      <c r="K255" s="14" t="str">
        <f t="shared" si="54"/>
        <v>运营中</v>
      </c>
      <c r="L255" s="109"/>
      <c r="M255" s="109"/>
      <c r="N255" s="13"/>
      <c r="O255" s="24">
        <v>42331</v>
      </c>
      <c r="P255" s="13" t="s">
        <v>3648</v>
      </c>
      <c r="Q255" s="13" t="s">
        <v>3514</v>
      </c>
      <c r="R255" s="13" t="s">
        <v>1069</v>
      </c>
      <c r="S255" s="109"/>
      <c r="T255" s="109"/>
      <c r="U255" s="112"/>
      <c r="V255" s="109"/>
      <c r="W255" s="109"/>
      <c r="X255" s="109"/>
    </row>
    <row r="256" spans="2:24">
      <c r="B256" s="109"/>
      <c r="C256" s="109"/>
      <c r="D256" s="20" t="str">
        <f>D255</f>
        <v>云纵</v>
      </c>
      <c r="E256" s="109"/>
      <c r="F256" s="112"/>
      <c r="G256" s="109"/>
      <c r="H256" s="109"/>
      <c r="I256" s="109"/>
      <c r="J256" s="109"/>
      <c r="K256" s="14" t="str">
        <f t="shared" si="54"/>
        <v>运营中</v>
      </c>
      <c r="L256" s="109"/>
      <c r="M256" s="109"/>
      <c r="N256" s="13"/>
      <c r="O256" s="24">
        <v>41671</v>
      </c>
      <c r="P256" s="13" t="s">
        <v>3513</v>
      </c>
      <c r="Q256" s="13" t="s">
        <v>5646</v>
      </c>
      <c r="R256" s="13" t="s">
        <v>1070</v>
      </c>
      <c r="S256" s="109"/>
      <c r="T256" s="109"/>
      <c r="U256" s="112"/>
      <c r="V256" s="109"/>
      <c r="W256" s="109"/>
      <c r="X256" s="109"/>
    </row>
    <row r="257" spans="2:24">
      <c r="B257" s="109"/>
      <c r="C257" s="109" t="s">
        <v>1071</v>
      </c>
      <c r="D257" s="20" t="s">
        <v>5976</v>
      </c>
      <c r="E257" s="109" t="s">
        <v>5977</v>
      </c>
      <c r="F257" s="112" t="s">
        <v>5978</v>
      </c>
      <c r="G257" s="109" t="s">
        <v>5979</v>
      </c>
      <c r="H257" s="109" t="s">
        <v>1075</v>
      </c>
      <c r="I257" s="109" t="s">
        <v>334</v>
      </c>
      <c r="J257" s="109" t="s">
        <v>385</v>
      </c>
      <c r="K257" s="14" t="s">
        <v>272</v>
      </c>
      <c r="L257" s="109" t="s">
        <v>4162</v>
      </c>
      <c r="M257" s="109" t="s">
        <v>5676</v>
      </c>
      <c r="N257" s="13"/>
      <c r="O257" s="24">
        <v>41852</v>
      </c>
      <c r="P257" s="13" t="s">
        <v>3648</v>
      </c>
      <c r="Q257" s="13" t="s">
        <v>5427</v>
      </c>
      <c r="R257" s="13" t="s">
        <v>1076</v>
      </c>
      <c r="S257" s="109" t="s">
        <v>4988</v>
      </c>
      <c r="T257" s="109" t="s">
        <v>5441</v>
      </c>
      <c r="U257" s="112" t="s">
        <v>1079</v>
      </c>
      <c r="V257" s="109" t="s">
        <v>1080</v>
      </c>
      <c r="W257" s="109" t="s">
        <v>1081</v>
      </c>
      <c r="X257" s="109" t="s">
        <v>1082</v>
      </c>
    </row>
    <row r="258" spans="2:24">
      <c r="B258" s="109"/>
      <c r="C258" s="109"/>
      <c r="D258" s="20" t="str">
        <f>D257</f>
        <v>芭乐</v>
      </c>
      <c r="E258" s="109"/>
      <c r="F258" s="112"/>
      <c r="G258" s="109"/>
      <c r="H258" s="109"/>
      <c r="I258" s="109"/>
      <c r="J258" s="109"/>
      <c r="K258" s="14" t="str">
        <f t="shared" ref="K258:K259" si="55">K257</f>
        <v>运营中</v>
      </c>
      <c r="L258" s="109"/>
      <c r="M258" s="109"/>
      <c r="N258" s="13"/>
      <c r="O258" s="24">
        <v>41183</v>
      </c>
      <c r="P258" s="13" t="s">
        <v>3513</v>
      </c>
      <c r="Q258" s="13" t="s">
        <v>3514</v>
      </c>
      <c r="R258" s="13" t="s">
        <v>5980</v>
      </c>
      <c r="S258" s="109"/>
      <c r="T258" s="109"/>
      <c r="U258" s="112"/>
      <c r="V258" s="109"/>
      <c r="W258" s="109"/>
      <c r="X258" s="109"/>
    </row>
    <row r="259" spans="2:24">
      <c r="B259" s="109"/>
      <c r="C259" s="109"/>
      <c r="D259" s="20" t="str">
        <f>D258</f>
        <v>芭乐</v>
      </c>
      <c r="E259" s="109"/>
      <c r="F259" s="112"/>
      <c r="G259" s="109"/>
      <c r="H259" s="109"/>
      <c r="I259" s="109"/>
      <c r="J259" s="109"/>
      <c r="K259" s="14" t="str">
        <f t="shared" si="55"/>
        <v>运营中</v>
      </c>
      <c r="L259" s="109"/>
      <c r="M259" s="109"/>
      <c r="N259" s="13"/>
      <c r="O259" s="24">
        <v>40787</v>
      </c>
      <c r="P259" s="13" t="s">
        <v>5474</v>
      </c>
      <c r="Q259" s="13" t="s">
        <v>2030</v>
      </c>
      <c r="R259" s="13" t="s">
        <v>5892</v>
      </c>
      <c r="S259" s="109"/>
      <c r="T259" s="109"/>
      <c r="U259" s="112"/>
      <c r="V259" s="109"/>
      <c r="W259" s="109"/>
      <c r="X259" s="109"/>
    </row>
    <row r="260" spans="2:24">
      <c r="B260" s="109"/>
      <c r="C260" s="109" t="s">
        <v>1084</v>
      </c>
      <c r="D260" s="20" t="s">
        <v>5981</v>
      </c>
      <c r="E260" s="109" t="s">
        <v>5982</v>
      </c>
      <c r="F260" s="112" t="s">
        <v>1086</v>
      </c>
      <c r="G260" s="109" t="s">
        <v>5983</v>
      </c>
      <c r="H260" s="109" t="s">
        <v>1088</v>
      </c>
      <c r="I260" s="109" t="s">
        <v>1089</v>
      </c>
      <c r="J260" s="109" t="s">
        <v>406</v>
      </c>
      <c r="K260" s="14" t="s">
        <v>272</v>
      </c>
      <c r="L260" s="109" t="s">
        <v>4472</v>
      </c>
      <c r="M260" s="109" t="s">
        <v>4473</v>
      </c>
      <c r="N260" s="13"/>
      <c r="O260" s="24">
        <v>44389</v>
      </c>
      <c r="P260" s="13" t="s">
        <v>1045</v>
      </c>
      <c r="Q260" s="13" t="s">
        <v>2030</v>
      </c>
      <c r="R260" s="13" t="s">
        <v>5984</v>
      </c>
      <c r="S260" s="109" t="s">
        <v>5985</v>
      </c>
      <c r="T260" s="109" t="s">
        <v>3664</v>
      </c>
      <c r="U260" s="112" t="s">
        <v>1093</v>
      </c>
      <c r="V260" s="109"/>
      <c r="W260" s="109"/>
      <c r="X260" s="109"/>
    </row>
    <row r="261" spans="2:24">
      <c r="B261" s="109"/>
      <c r="C261" s="109"/>
      <c r="D261" s="20" t="str">
        <f>D260</f>
        <v>启博</v>
      </c>
      <c r="E261" s="109"/>
      <c r="F261" s="112"/>
      <c r="G261" s="109"/>
      <c r="H261" s="109"/>
      <c r="I261" s="109"/>
      <c r="J261" s="109"/>
      <c r="K261" s="14" t="str">
        <f t="shared" ref="K261:K262" si="56">K260</f>
        <v>运营中</v>
      </c>
      <c r="L261" s="109"/>
      <c r="M261" s="109"/>
      <c r="N261" s="13"/>
      <c r="O261" s="24">
        <v>42881</v>
      </c>
      <c r="P261" s="13" t="s">
        <v>3648</v>
      </c>
      <c r="Q261" s="13" t="s">
        <v>2030</v>
      </c>
      <c r="R261" s="13" t="s">
        <v>5986</v>
      </c>
      <c r="S261" s="109"/>
      <c r="T261" s="109"/>
      <c r="U261" s="112"/>
      <c r="V261" s="109"/>
      <c r="W261" s="109"/>
      <c r="X261" s="109"/>
    </row>
    <row r="262" spans="2:24">
      <c r="B262" s="109"/>
      <c r="C262" s="109"/>
      <c r="D262" s="20" t="str">
        <f>D261</f>
        <v>启博</v>
      </c>
      <c r="E262" s="109"/>
      <c r="F262" s="112"/>
      <c r="G262" s="109"/>
      <c r="H262" s="109"/>
      <c r="I262" s="109"/>
      <c r="J262" s="109"/>
      <c r="K262" s="14" t="str">
        <f t="shared" si="56"/>
        <v>运营中</v>
      </c>
      <c r="L262" s="109"/>
      <c r="M262" s="109"/>
      <c r="N262" s="13"/>
      <c r="O262" s="24">
        <v>41275</v>
      </c>
      <c r="P262" s="13" t="s">
        <v>3513</v>
      </c>
      <c r="Q262" s="13" t="s">
        <v>3514</v>
      </c>
      <c r="R262" s="13" t="s">
        <v>1751</v>
      </c>
      <c r="S262" s="109"/>
      <c r="T262" s="109"/>
      <c r="U262" s="112"/>
      <c r="V262" s="109"/>
      <c r="W262" s="109"/>
      <c r="X262" s="109"/>
    </row>
    <row r="263" spans="2:24">
      <c r="B263" s="109"/>
      <c r="C263" s="109" t="s">
        <v>1095</v>
      </c>
      <c r="D263" s="20" t="s">
        <v>5987</v>
      </c>
      <c r="E263" s="109" t="s">
        <v>5988</v>
      </c>
      <c r="F263" s="112" t="s">
        <v>1097</v>
      </c>
      <c r="G263" s="109" t="s">
        <v>5989</v>
      </c>
      <c r="H263" s="109" t="s">
        <v>1099</v>
      </c>
      <c r="I263" s="109" t="s">
        <v>1100</v>
      </c>
      <c r="J263" s="109" t="s">
        <v>349</v>
      </c>
      <c r="K263" s="14" t="s">
        <v>272</v>
      </c>
      <c r="L263" s="109" t="s">
        <v>3548</v>
      </c>
      <c r="M263" s="109" t="s">
        <v>5990</v>
      </c>
      <c r="N263" s="13">
        <v>1</v>
      </c>
      <c r="O263" s="24">
        <v>43784</v>
      </c>
      <c r="P263" s="13" t="s">
        <v>5810</v>
      </c>
      <c r="Q263" s="13" t="s">
        <v>5991</v>
      </c>
      <c r="R263" s="13" t="s">
        <v>1104</v>
      </c>
      <c r="S263" s="109" t="s">
        <v>5992</v>
      </c>
      <c r="T263" s="109" t="s">
        <v>5993</v>
      </c>
      <c r="U263" s="112" t="s">
        <v>1107</v>
      </c>
      <c r="V263" s="109" t="s">
        <v>1108</v>
      </c>
      <c r="W263" s="109" t="s">
        <v>1109</v>
      </c>
      <c r="X263" s="109"/>
    </row>
    <row r="264" spans="2:24">
      <c r="B264" s="109"/>
      <c r="C264" s="109"/>
      <c r="D264" s="20" t="str">
        <f t="shared" ref="D264:D270" si="57">D263</f>
        <v>美年健康</v>
      </c>
      <c r="E264" s="109"/>
      <c r="F264" s="112"/>
      <c r="G264" s="109"/>
      <c r="H264" s="109"/>
      <c r="I264" s="109"/>
      <c r="J264" s="109"/>
      <c r="K264" s="14" t="str">
        <f t="shared" ref="K264:K270" si="58">K263</f>
        <v>运营中</v>
      </c>
      <c r="L264" s="109"/>
      <c r="M264" s="109"/>
      <c r="N264" s="13">
        <v>1</v>
      </c>
      <c r="O264" s="24">
        <v>43493</v>
      </c>
      <c r="P264" s="13" t="s">
        <v>5810</v>
      </c>
      <c r="Q264" s="13" t="s">
        <v>2030</v>
      </c>
      <c r="R264" s="13" t="s">
        <v>1110</v>
      </c>
      <c r="S264" s="109"/>
      <c r="T264" s="109"/>
      <c r="U264" s="112"/>
      <c r="V264" s="109"/>
      <c r="W264" s="109"/>
      <c r="X264" s="109"/>
    </row>
    <row r="265" spans="2:24">
      <c r="B265" s="109"/>
      <c r="C265" s="109"/>
      <c r="D265" s="20" t="str">
        <f t="shared" si="57"/>
        <v>美年健康</v>
      </c>
      <c r="E265" s="109"/>
      <c r="F265" s="112"/>
      <c r="G265" s="109"/>
      <c r="H265" s="109"/>
      <c r="I265" s="109"/>
      <c r="J265" s="109"/>
      <c r="K265" s="14" t="str">
        <f t="shared" si="58"/>
        <v>运营中</v>
      </c>
      <c r="L265" s="109"/>
      <c r="M265" s="109"/>
      <c r="N265" s="13">
        <v>1</v>
      </c>
      <c r="O265" s="24">
        <v>42244</v>
      </c>
      <c r="P265" s="13" t="s">
        <v>5625</v>
      </c>
      <c r="Q265" s="13" t="s">
        <v>5994</v>
      </c>
      <c r="R265" s="13" t="s">
        <v>253</v>
      </c>
      <c r="S265" s="109"/>
      <c r="T265" s="109"/>
      <c r="U265" s="112"/>
      <c r="V265" s="109"/>
      <c r="W265" s="109"/>
      <c r="X265" s="109"/>
    </row>
    <row r="266" spans="2:24">
      <c r="B266" s="109"/>
      <c r="C266" s="109"/>
      <c r="D266" s="20" t="str">
        <f t="shared" si="57"/>
        <v>美年健康</v>
      </c>
      <c r="E266" s="109"/>
      <c r="F266" s="112"/>
      <c r="G266" s="109"/>
      <c r="H266" s="109"/>
      <c r="I266" s="109"/>
      <c r="J266" s="109"/>
      <c r="K266" s="14" t="str">
        <f t="shared" si="58"/>
        <v>运营中</v>
      </c>
      <c r="L266" s="109"/>
      <c r="M266" s="109"/>
      <c r="N266" s="13">
        <v>1</v>
      </c>
      <c r="O266" s="24">
        <v>42208</v>
      </c>
      <c r="P266" s="13" t="s">
        <v>5709</v>
      </c>
      <c r="Q266" s="13" t="s">
        <v>5995</v>
      </c>
      <c r="R266" s="13" t="s">
        <v>5996</v>
      </c>
      <c r="S266" s="109"/>
      <c r="T266" s="109"/>
      <c r="U266" s="112"/>
      <c r="V266" s="109"/>
      <c r="W266" s="109"/>
      <c r="X266" s="109"/>
    </row>
    <row r="267" spans="2:24">
      <c r="B267" s="109"/>
      <c r="C267" s="109"/>
      <c r="D267" s="20" t="str">
        <f t="shared" si="57"/>
        <v>美年健康</v>
      </c>
      <c r="E267" s="109"/>
      <c r="F267" s="112"/>
      <c r="G267" s="109"/>
      <c r="H267" s="109"/>
      <c r="I267" s="109"/>
      <c r="J267" s="109"/>
      <c r="K267" s="14" t="str">
        <f t="shared" si="58"/>
        <v>运营中</v>
      </c>
      <c r="L267" s="109"/>
      <c r="M267" s="109"/>
      <c r="N267" s="13">
        <v>1</v>
      </c>
      <c r="O267" s="24">
        <v>41912</v>
      </c>
      <c r="P267" s="13" t="s">
        <v>5613</v>
      </c>
      <c r="Q267" s="13" t="s">
        <v>3514</v>
      </c>
      <c r="R267" s="13" t="s">
        <v>5997</v>
      </c>
      <c r="S267" s="109"/>
      <c r="T267" s="109"/>
      <c r="U267" s="112"/>
      <c r="V267" s="109"/>
      <c r="W267" s="109"/>
      <c r="X267" s="109"/>
    </row>
    <row r="268" spans="2:24">
      <c r="B268" s="109"/>
      <c r="C268" s="109"/>
      <c r="D268" s="20" t="str">
        <f t="shared" si="57"/>
        <v>美年健康</v>
      </c>
      <c r="E268" s="109"/>
      <c r="F268" s="112"/>
      <c r="G268" s="109"/>
      <c r="H268" s="109"/>
      <c r="I268" s="109"/>
      <c r="J268" s="109"/>
      <c r="K268" s="14" t="str">
        <f t="shared" si="58"/>
        <v>运营中</v>
      </c>
      <c r="L268" s="109"/>
      <c r="M268" s="109"/>
      <c r="N268" s="13">
        <v>1</v>
      </c>
      <c r="O268" s="24">
        <v>41518</v>
      </c>
      <c r="P268" s="13" t="s">
        <v>3648</v>
      </c>
      <c r="Q268" s="13" t="s">
        <v>4754</v>
      </c>
      <c r="R268" s="13" t="s">
        <v>1116</v>
      </c>
      <c r="S268" s="109"/>
      <c r="T268" s="109"/>
      <c r="U268" s="112"/>
      <c r="V268" s="109"/>
      <c r="W268" s="109"/>
      <c r="X268" s="109"/>
    </row>
    <row r="269" spans="2:24">
      <c r="B269" s="109"/>
      <c r="C269" s="109"/>
      <c r="D269" s="20" t="str">
        <f t="shared" si="57"/>
        <v>美年健康</v>
      </c>
      <c r="E269" s="109"/>
      <c r="F269" s="112"/>
      <c r="G269" s="109"/>
      <c r="H269" s="109"/>
      <c r="I269" s="109"/>
      <c r="J269" s="109"/>
      <c r="K269" s="14" t="str">
        <f t="shared" si="58"/>
        <v>运营中</v>
      </c>
      <c r="L269" s="109"/>
      <c r="M269" s="109"/>
      <c r="N269" s="13">
        <v>1</v>
      </c>
      <c r="O269" s="24">
        <v>41122</v>
      </c>
      <c r="P269" s="13" t="s">
        <v>3513</v>
      </c>
      <c r="Q269" s="13" t="s">
        <v>1750</v>
      </c>
      <c r="R269" s="13" t="s">
        <v>5998</v>
      </c>
      <c r="S269" s="109"/>
      <c r="T269" s="109"/>
      <c r="U269" s="112"/>
      <c r="V269" s="109"/>
      <c r="W269" s="109"/>
      <c r="X269" s="109"/>
    </row>
    <row r="270" spans="2:24">
      <c r="B270" s="109"/>
      <c r="C270" s="109"/>
      <c r="D270" s="20" t="str">
        <f t="shared" si="57"/>
        <v>美年健康</v>
      </c>
      <c r="E270" s="109"/>
      <c r="F270" s="112"/>
      <c r="G270" s="109"/>
      <c r="H270" s="109"/>
      <c r="I270" s="109"/>
      <c r="J270" s="109"/>
      <c r="K270" s="14" t="str">
        <f t="shared" si="58"/>
        <v>运营中</v>
      </c>
      <c r="L270" s="109"/>
      <c r="M270" s="109"/>
      <c r="N270" s="13">
        <v>1</v>
      </c>
      <c r="O270" s="24">
        <v>38360</v>
      </c>
      <c r="P270" s="13" t="s">
        <v>5474</v>
      </c>
      <c r="Q270" s="13" t="s">
        <v>2030</v>
      </c>
      <c r="R270" s="13" t="s">
        <v>1118</v>
      </c>
      <c r="S270" s="109"/>
      <c r="T270" s="109"/>
      <c r="U270" s="112"/>
      <c r="V270" s="109"/>
      <c r="W270" s="109"/>
      <c r="X270" s="109"/>
    </row>
    <row r="271" spans="2:24">
      <c r="B271" s="109"/>
      <c r="C271" s="109" t="s">
        <v>1119</v>
      </c>
      <c r="D271" s="20" t="s">
        <v>5999</v>
      </c>
      <c r="E271" s="109" t="s">
        <v>6000</v>
      </c>
      <c r="F271" s="112" t="s">
        <v>6001</v>
      </c>
      <c r="G271" s="109" t="s">
        <v>6002</v>
      </c>
      <c r="H271" s="109" t="s">
        <v>1124</v>
      </c>
      <c r="I271" s="109" t="s">
        <v>1125</v>
      </c>
      <c r="J271" s="109" t="s">
        <v>1126</v>
      </c>
      <c r="K271" s="14" t="s">
        <v>272</v>
      </c>
      <c r="L271" s="109" t="s">
        <v>4472</v>
      </c>
      <c r="M271" s="109" t="s">
        <v>6003</v>
      </c>
      <c r="N271" s="13"/>
      <c r="O271" s="24">
        <v>42383</v>
      </c>
      <c r="P271" s="13" t="s">
        <v>3513</v>
      </c>
      <c r="Q271" s="13" t="s">
        <v>2030</v>
      </c>
      <c r="R271" s="13" t="s">
        <v>6004</v>
      </c>
      <c r="S271" s="109" t="s">
        <v>6005</v>
      </c>
      <c r="T271" s="109" t="s">
        <v>3664</v>
      </c>
      <c r="U271" s="112" t="s">
        <v>1130</v>
      </c>
      <c r="V271" s="109" t="s">
        <v>1131</v>
      </c>
      <c r="W271" s="109" t="s">
        <v>1132</v>
      </c>
      <c r="X271" s="109" t="s">
        <v>1133</v>
      </c>
    </row>
    <row r="272" spans="2:24">
      <c r="B272" s="109"/>
      <c r="C272" s="109"/>
      <c r="D272" s="20" t="str">
        <f>D271</f>
        <v>7881游戏交易</v>
      </c>
      <c r="E272" s="109"/>
      <c r="F272" s="112"/>
      <c r="G272" s="109"/>
      <c r="H272" s="109"/>
      <c r="I272" s="109"/>
      <c r="J272" s="109"/>
      <c r="K272" s="14" t="str">
        <f>K271</f>
        <v>运营中</v>
      </c>
      <c r="L272" s="109"/>
      <c r="M272" s="109"/>
      <c r="N272" s="13"/>
      <c r="O272" s="24">
        <v>39873</v>
      </c>
      <c r="P272" s="13" t="s">
        <v>5474</v>
      </c>
      <c r="Q272" s="13" t="s">
        <v>3514</v>
      </c>
      <c r="R272" s="13" t="s">
        <v>1751</v>
      </c>
      <c r="S272" s="109"/>
      <c r="T272" s="109"/>
      <c r="U272" s="112"/>
      <c r="V272" s="109"/>
      <c r="W272" s="109"/>
      <c r="X272" s="109"/>
    </row>
    <row r="273" spans="2:24">
      <c r="B273" s="109"/>
      <c r="C273" s="109" t="s">
        <v>1134</v>
      </c>
      <c r="D273" s="20" t="s">
        <v>6006</v>
      </c>
      <c r="E273" s="109" t="s">
        <v>6007</v>
      </c>
      <c r="F273" s="112" t="s">
        <v>1136</v>
      </c>
      <c r="G273" s="109" t="s">
        <v>6008</v>
      </c>
      <c r="H273" s="109" t="s">
        <v>1138</v>
      </c>
      <c r="I273" s="109" t="s">
        <v>1139</v>
      </c>
      <c r="J273" s="109" t="s">
        <v>247</v>
      </c>
      <c r="K273" s="14" t="s">
        <v>272</v>
      </c>
      <c r="L273" s="109" t="s">
        <v>4162</v>
      </c>
      <c r="M273" s="109" t="s">
        <v>6009</v>
      </c>
      <c r="N273" s="13">
        <v>1</v>
      </c>
      <c r="O273" s="24">
        <v>41609</v>
      </c>
      <c r="P273" s="13" t="s">
        <v>5709</v>
      </c>
      <c r="Q273" s="13" t="s">
        <v>2030</v>
      </c>
      <c r="R273" s="13" t="s">
        <v>1751</v>
      </c>
      <c r="S273" s="109" t="s">
        <v>6010</v>
      </c>
      <c r="T273" s="109" t="s">
        <v>3664</v>
      </c>
      <c r="U273" s="112" t="s">
        <v>1142</v>
      </c>
      <c r="V273" s="109"/>
      <c r="W273" s="109"/>
      <c r="X273" s="109"/>
    </row>
    <row r="274" spans="2:24">
      <c r="B274" s="109"/>
      <c r="C274" s="109"/>
      <c r="D274" s="20" t="str">
        <f>D273</f>
        <v>天天动听</v>
      </c>
      <c r="E274" s="109"/>
      <c r="F274" s="112"/>
      <c r="G274" s="109"/>
      <c r="H274" s="109"/>
      <c r="I274" s="109"/>
      <c r="J274" s="109"/>
      <c r="K274" s="14" t="str">
        <f t="shared" ref="K274:K276" si="59">K273</f>
        <v>运营中</v>
      </c>
      <c r="L274" s="109"/>
      <c r="M274" s="109"/>
      <c r="N274" s="13">
        <v>1</v>
      </c>
      <c r="O274" s="24">
        <v>41183</v>
      </c>
      <c r="P274" s="13" t="s">
        <v>3648</v>
      </c>
      <c r="Q274" s="13" t="s">
        <v>2030</v>
      </c>
      <c r="R274" s="13" t="s">
        <v>1751</v>
      </c>
      <c r="S274" s="109"/>
      <c r="T274" s="109"/>
      <c r="U274" s="112"/>
      <c r="V274" s="109"/>
      <c r="W274" s="109"/>
      <c r="X274" s="109"/>
    </row>
    <row r="275" spans="2:24">
      <c r="B275" s="109"/>
      <c r="C275" s="109"/>
      <c r="D275" s="20" t="str">
        <f>D274</f>
        <v>天天动听</v>
      </c>
      <c r="E275" s="109"/>
      <c r="F275" s="112"/>
      <c r="G275" s="109"/>
      <c r="H275" s="109"/>
      <c r="I275" s="109"/>
      <c r="J275" s="109"/>
      <c r="K275" s="14" t="str">
        <f t="shared" si="59"/>
        <v>运营中</v>
      </c>
      <c r="L275" s="109"/>
      <c r="M275" s="109"/>
      <c r="N275" s="13">
        <v>1</v>
      </c>
      <c r="O275" s="24">
        <v>40909</v>
      </c>
      <c r="P275" s="13" t="s">
        <v>3513</v>
      </c>
      <c r="Q275" s="13" t="s">
        <v>5616</v>
      </c>
      <c r="R275" s="13" t="s">
        <v>6011</v>
      </c>
      <c r="S275" s="109"/>
      <c r="T275" s="109"/>
      <c r="U275" s="112"/>
      <c r="V275" s="109"/>
      <c r="W275" s="109"/>
      <c r="X275" s="109"/>
    </row>
    <row r="276" spans="2:24">
      <c r="B276" s="109"/>
      <c r="C276" s="109"/>
      <c r="D276" s="20" t="str">
        <f>D275</f>
        <v>天天动听</v>
      </c>
      <c r="E276" s="109"/>
      <c r="F276" s="112"/>
      <c r="G276" s="109"/>
      <c r="H276" s="109"/>
      <c r="I276" s="109"/>
      <c r="J276" s="109"/>
      <c r="K276" s="14" t="str">
        <f t="shared" si="59"/>
        <v>运营中</v>
      </c>
      <c r="L276" s="109"/>
      <c r="M276" s="109"/>
      <c r="N276" s="13">
        <v>1</v>
      </c>
      <c r="O276" s="24">
        <v>39600</v>
      </c>
      <c r="P276" s="13" t="s">
        <v>5474</v>
      </c>
      <c r="Q276" s="13" t="s">
        <v>5646</v>
      </c>
      <c r="R276" s="13" t="s">
        <v>6012</v>
      </c>
      <c r="S276" s="109"/>
      <c r="T276" s="109"/>
      <c r="U276" s="112"/>
      <c r="V276" s="109"/>
      <c r="W276" s="109"/>
      <c r="X276" s="109"/>
    </row>
    <row r="277" spans="2:24">
      <c r="B277" s="109"/>
      <c r="C277" s="109" t="s">
        <v>1145</v>
      </c>
      <c r="D277" s="20" t="s">
        <v>6013</v>
      </c>
      <c r="E277" s="109" t="s">
        <v>1147</v>
      </c>
      <c r="F277" s="112" t="s">
        <v>1148</v>
      </c>
      <c r="G277" s="109" t="s">
        <v>6014</v>
      </c>
      <c r="H277" s="109"/>
      <c r="I277" s="109" t="s">
        <v>1150</v>
      </c>
      <c r="J277" s="109" t="s">
        <v>349</v>
      </c>
      <c r="K277" s="14" t="s">
        <v>272</v>
      </c>
      <c r="L277" s="109" t="s">
        <v>5257</v>
      </c>
      <c r="M277" s="109" t="s">
        <v>5956</v>
      </c>
      <c r="N277" s="13">
        <v>1</v>
      </c>
      <c r="O277" s="24">
        <v>42016</v>
      </c>
      <c r="P277" s="13" t="s">
        <v>5709</v>
      </c>
      <c r="Q277" s="13" t="s">
        <v>2030</v>
      </c>
      <c r="R277" s="13" t="s">
        <v>1751</v>
      </c>
      <c r="S277" s="109" t="s">
        <v>6015</v>
      </c>
      <c r="T277" s="109" t="s">
        <v>3664</v>
      </c>
      <c r="U277" s="112" t="s">
        <v>1152</v>
      </c>
      <c r="V277" s="109"/>
      <c r="W277" s="109"/>
      <c r="X277" s="109"/>
    </row>
    <row r="278" spans="2:24">
      <c r="B278" s="109"/>
      <c r="C278" s="109"/>
      <c r="D278" s="20" t="str">
        <f>D277</f>
        <v>易传媒AdChina</v>
      </c>
      <c r="E278" s="109"/>
      <c r="F278" s="112"/>
      <c r="G278" s="109"/>
      <c r="H278" s="109"/>
      <c r="I278" s="109"/>
      <c r="J278" s="109"/>
      <c r="K278" s="14" t="str">
        <f t="shared" ref="K278:K280" si="60">K277</f>
        <v>运营中</v>
      </c>
      <c r="L278" s="109"/>
      <c r="M278" s="109"/>
      <c r="N278" s="13">
        <v>1</v>
      </c>
      <c r="O278" s="24">
        <v>40452</v>
      </c>
      <c r="P278" s="13" t="s">
        <v>5613</v>
      </c>
      <c r="Q278" s="13" t="s">
        <v>5389</v>
      </c>
      <c r="R278" s="13" t="s">
        <v>5645</v>
      </c>
      <c r="S278" s="109"/>
      <c r="T278" s="109"/>
      <c r="U278" s="112"/>
      <c r="V278" s="109"/>
      <c r="W278" s="109"/>
      <c r="X278" s="109"/>
    </row>
    <row r="279" spans="2:24">
      <c r="B279" s="109"/>
      <c r="C279" s="109"/>
      <c r="D279" s="20" t="str">
        <f>D278</f>
        <v>易传媒AdChina</v>
      </c>
      <c r="E279" s="109"/>
      <c r="F279" s="112"/>
      <c r="G279" s="109"/>
      <c r="H279" s="109"/>
      <c r="I279" s="109"/>
      <c r="J279" s="109"/>
      <c r="K279" s="14" t="str">
        <f t="shared" si="60"/>
        <v>运营中</v>
      </c>
      <c r="L279" s="109"/>
      <c r="M279" s="109"/>
      <c r="N279" s="13">
        <v>1</v>
      </c>
      <c r="O279" s="24">
        <v>39995</v>
      </c>
      <c r="P279" s="13" t="s">
        <v>3648</v>
      </c>
      <c r="Q279" s="13" t="s">
        <v>5862</v>
      </c>
      <c r="R279" s="13" t="s">
        <v>5645</v>
      </c>
      <c r="S279" s="109"/>
      <c r="T279" s="109"/>
      <c r="U279" s="112"/>
      <c r="V279" s="109"/>
      <c r="W279" s="109"/>
      <c r="X279" s="109"/>
    </row>
    <row r="280" spans="2:24">
      <c r="B280" s="109"/>
      <c r="C280" s="109"/>
      <c r="D280" s="20" t="str">
        <f>D279</f>
        <v>易传媒AdChina</v>
      </c>
      <c r="E280" s="109"/>
      <c r="F280" s="112"/>
      <c r="G280" s="109"/>
      <c r="H280" s="109"/>
      <c r="I280" s="109"/>
      <c r="J280" s="109"/>
      <c r="K280" s="14" t="str">
        <f t="shared" si="60"/>
        <v>运营中</v>
      </c>
      <c r="L280" s="109"/>
      <c r="M280" s="109"/>
      <c r="N280" s="13">
        <v>1</v>
      </c>
      <c r="O280" s="24">
        <v>39600</v>
      </c>
      <c r="P280" s="13" t="s">
        <v>3513</v>
      </c>
      <c r="Q280" s="13" t="s">
        <v>5591</v>
      </c>
      <c r="R280" s="13" t="s">
        <v>5645</v>
      </c>
      <c r="S280" s="109"/>
      <c r="T280" s="109"/>
      <c r="U280" s="112"/>
      <c r="V280" s="109"/>
      <c r="W280" s="109"/>
      <c r="X280" s="109"/>
    </row>
    <row r="281" spans="2:24">
      <c r="B281" s="109"/>
      <c r="C281" s="109" t="s">
        <v>1153</v>
      </c>
      <c r="D281" s="20" t="s">
        <v>6016</v>
      </c>
      <c r="E281" s="109" t="s">
        <v>6017</v>
      </c>
      <c r="F281" s="112" t="s">
        <v>1155</v>
      </c>
      <c r="G281" s="109" t="s">
        <v>6018</v>
      </c>
      <c r="H281" s="109" t="s">
        <v>1157</v>
      </c>
      <c r="I281" s="109" t="s">
        <v>1158</v>
      </c>
      <c r="J281" s="109" t="s">
        <v>428</v>
      </c>
      <c r="K281" s="14" t="s">
        <v>272</v>
      </c>
      <c r="L281" s="109" t="s">
        <v>3274</v>
      </c>
      <c r="M281" s="109" t="s">
        <v>5729</v>
      </c>
      <c r="N281" s="13"/>
      <c r="O281" s="24">
        <v>42826</v>
      </c>
      <c r="P281" s="13" t="s">
        <v>1827</v>
      </c>
      <c r="Q281" s="13" t="s">
        <v>1750</v>
      </c>
      <c r="R281" s="13" t="s">
        <v>5938</v>
      </c>
      <c r="S281" s="109" t="s">
        <v>6019</v>
      </c>
      <c r="T281" s="109" t="s">
        <v>1829</v>
      </c>
      <c r="U281" s="112" t="s">
        <v>1160</v>
      </c>
      <c r="V281" s="109" t="s">
        <v>1161</v>
      </c>
      <c r="W281" s="109" t="s">
        <v>1162</v>
      </c>
      <c r="X281" s="109" t="s">
        <v>1163</v>
      </c>
    </row>
    <row r="282" spans="2:24">
      <c r="B282" s="109"/>
      <c r="C282" s="109"/>
      <c r="D282" s="20" t="str">
        <f>D281</f>
        <v>生活半径</v>
      </c>
      <c r="E282" s="109"/>
      <c r="F282" s="112"/>
      <c r="G282" s="109"/>
      <c r="H282" s="109"/>
      <c r="I282" s="109"/>
      <c r="J282" s="109"/>
      <c r="K282" s="14" t="str">
        <f t="shared" ref="K282:K285" si="61">K281</f>
        <v>运营中</v>
      </c>
      <c r="L282" s="109"/>
      <c r="M282" s="109"/>
      <c r="N282" s="13"/>
      <c r="O282" s="24">
        <v>42244</v>
      </c>
      <c r="P282" s="13" t="s">
        <v>5613</v>
      </c>
      <c r="Q282" s="13" t="s">
        <v>4754</v>
      </c>
      <c r="R282" s="13" t="s">
        <v>1751</v>
      </c>
      <c r="S282" s="109"/>
      <c r="T282" s="109"/>
      <c r="U282" s="112"/>
      <c r="V282" s="109"/>
      <c r="W282" s="109"/>
      <c r="X282" s="109"/>
    </row>
    <row r="283" spans="2:24">
      <c r="B283" s="109"/>
      <c r="C283" s="109"/>
      <c r="D283" s="20" t="str">
        <f>D282</f>
        <v>生活半径</v>
      </c>
      <c r="E283" s="109"/>
      <c r="F283" s="112"/>
      <c r="G283" s="109"/>
      <c r="H283" s="109"/>
      <c r="I283" s="109"/>
      <c r="J283" s="109"/>
      <c r="K283" s="14" t="str">
        <f t="shared" si="61"/>
        <v>运营中</v>
      </c>
      <c r="L283" s="109"/>
      <c r="M283" s="109"/>
      <c r="N283" s="13"/>
      <c r="O283" s="24">
        <v>41977</v>
      </c>
      <c r="P283" s="13" t="s">
        <v>3648</v>
      </c>
      <c r="Q283" s="13" t="s">
        <v>6020</v>
      </c>
      <c r="R283" s="13" t="s">
        <v>6021</v>
      </c>
      <c r="S283" s="109"/>
      <c r="T283" s="109"/>
      <c r="U283" s="112"/>
      <c r="V283" s="109"/>
      <c r="W283" s="109"/>
      <c r="X283" s="109"/>
    </row>
    <row r="284" spans="2:24">
      <c r="B284" s="109"/>
      <c r="C284" s="109"/>
      <c r="D284" s="20" t="str">
        <f>D283</f>
        <v>生活半径</v>
      </c>
      <c r="E284" s="109"/>
      <c r="F284" s="112"/>
      <c r="G284" s="109"/>
      <c r="H284" s="109"/>
      <c r="I284" s="109"/>
      <c r="J284" s="109"/>
      <c r="K284" s="14" t="str">
        <f t="shared" si="61"/>
        <v>运营中</v>
      </c>
      <c r="L284" s="109"/>
      <c r="M284" s="109"/>
      <c r="N284" s="13"/>
      <c r="O284" s="24">
        <v>41271</v>
      </c>
      <c r="P284" s="13" t="s">
        <v>3513</v>
      </c>
      <c r="Q284" s="13" t="s">
        <v>5000</v>
      </c>
      <c r="R284" s="13" t="s">
        <v>253</v>
      </c>
      <c r="S284" s="109"/>
      <c r="T284" s="109"/>
      <c r="U284" s="112"/>
      <c r="V284" s="109"/>
      <c r="W284" s="109"/>
      <c r="X284" s="109"/>
    </row>
    <row r="285" spans="2:24">
      <c r="B285" s="109"/>
      <c r="C285" s="109"/>
      <c r="D285" s="20" t="str">
        <f>D284</f>
        <v>生活半径</v>
      </c>
      <c r="E285" s="109"/>
      <c r="F285" s="112"/>
      <c r="G285" s="109"/>
      <c r="H285" s="109"/>
      <c r="I285" s="109"/>
      <c r="J285" s="109"/>
      <c r="K285" s="14" t="str">
        <f t="shared" si="61"/>
        <v>运营中</v>
      </c>
      <c r="L285" s="109"/>
      <c r="M285" s="109"/>
      <c r="N285" s="13"/>
      <c r="O285" s="24">
        <v>40909</v>
      </c>
      <c r="P285" s="13" t="s">
        <v>5474</v>
      </c>
      <c r="Q285" s="13" t="s">
        <v>5646</v>
      </c>
      <c r="R285" s="13" t="s">
        <v>5736</v>
      </c>
      <c r="S285" s="109"/>
      <c r="T285" s="109"/>
      <c r="U285" s="112"/>
      <c r="V285" s="109"/>
      <c r="W285" s="109"/>
      <c r="X285" s="109"/>
    </row>
    <row r="286" spans="2:24" ht="36">
      <c r="B286" s="109"/>
      <c r="C286" s="13" t="s">
        <v>1166</v>
      </c>
      <c r="D286" s="25" t="s">
        <v>6022</v>
      </c>
      <c r="E286" s="13" t="s">
        <v>6023</v>
      </c>
      <c r="F286" s="18" t="s">
        <v>1168</v>
      </c>
      <c r="G286" s="13" t="s">
        <v>6024</v>
      </c>
      <c r="H286" s="13"/>
      <c r="I286" s="13" t="s">
        <v>616</v>
      </c>
      <c r="J286" s="13" t="s">
        <v>1126</v>
      </c>
      <c r="K286" s="19" t="s">
        <v>272</v>
      </c>
      <c r="L286" s="13" t="s">
        <v>1825</v>
      </c>
      <c r="M286" s="13" t="s">
        <v>6025</v>
      </c>
      <c r="N286" s="13">
        <v>1</v>
      </c>
      <c r="O286" s="24">
        <v>42166</v>
      </c>
      <c r="P286" s="13" t="s">
        <v>5709</v>
      </c>
      <c r="Q286" s="13" t="s">
        <v>2030</v>
      </c>
      <c r="R286" s="13" t="s">
        <v>1751</v>
      </c>
      <c r="S286" s="13" t="s">
        <v>253</v>
      </c>
      <c r="T286" s="13" t="s">
        <v>3664</v>
      </c>
      <c r="U286" s="18" t="s">
        <v>1171</v>
      </c>
      <c r="V286" s="13"/>
      <c r="W286" s="13"/>
      <c r="X286" s="13"/>
    </row>
    <row r="287" spans="2:24">
      <c r="B287" s="109"/>
      <c r="C287" s="109" t="s">
        <v>1172</v>
      </c>
      <c r="D287" s="20" t="s">
        <v>6026</v>
      </c>
      <c r="E287" s="109" t="s">
        <v>6027</v>
      </c>
      <c r="F287" s="112" t="s">
        <v>6028</v>
      </c>
      <c r="G287" s="109" t="s">
        <v>6029</v>
      </c>
      <c r="H287" s="109" t="s">
        <v>1176</v>
      </c>
      <c r="I287" s="109" t="s">
        <v>1040</v>
      </c>
      <c r="J287" s="109" t="s">
        <v>406</v>
      </c>
      <c r="K287" s="14" t="s">
        <v>272</v>
      </c>
      <c r="L287" s="109" t="s">
        <v>4472</v>
      </c>
      <c r="M287" s="109" t="s">
        <v>4473</v>
      </c>
      <c r="N287" s="13">
        <v>1</v>
      </c>
      <c r="O287" s="24">
        <v>43950</v>
      </c>
      <c r="P287" s="13" t="s">
        <v>5625</v>
      </c>
      <c r="Q287" s="13" t="s">
        <v>6030</v>
      </c>
      <c r="R287" s="13" t="s">
        <v>253</v>
      </c>
      <c r="S287" s="109" t="s">
        <v>6031</v>
      </c>
      <c r="T287" s="109" t="s">
        <v>6032</v>
      </c>
      <c r="U287" s="112" t="s">
        <v>1180</v>
      </c>
      <c r="V287" s="109" t="s">
        <v>1181</v>
      </c>
      <c r="W287" s="109" t="s">
        <v>1182</v>
      </c>
      <c r="X287" s="109" t="s">
        <v>1183</v>
      </c>
    </row>
    <row r="288" spans="2:24">
      <c r="B288" s="109"/>
      <c r="C288" s="109"/>
      <c r="D288" s="20" t="str">
        <f>D287</f>
        <v>光云科技</v>
      </c>
      <c r="E288" s="109"/>
      <c r="F288" s="112"/>
      <c r="G288" s="109"/>
      <c r="H288" s="109"/>
      <c r="I288" s="109"/>
      <c r="J288" s="109"/>
      <c r="K288" s="14" t="str">
        <f t="shared" ref="K288:K290" si="62">K287</f>
        <v>运营中</v>
      </c>
      <c r="L288" s="109"/>
      <c r="M288" s="109"/>
      <c r="N288" s="13">
        <v>1</v>
      </c>
      <c r="O288" s="24">
        <v>42948</v>
      </c>
      <c r="P288" s="13" t="s">
        <v>1045</v>
      </c>
      <c r="Q288" s="13" t="s">
        <v>2030</v>
      </c>
      <c r="R288" s="13" t="s">
        <v>1184</v>
      </c>
      <c r="S288" s="109"/>
      <c r="T288" s="109"/>
      <c r="U288" s="112"/>
      <c r="V288" s="109"/>
      <c r="W288" s="109"/>
      <c r="X288" s="109"/>
    </row>
    <row r="289" spans="2:24">
      <c r="B289" s="109"/>
      <c r="C289" s="109"/>
      <c r="D289" s="20" t="str">
        <f>D288</f>
        <v>光云科技</v>
      </c>
      <c r="E289" s="109"/>
      <c r="F289" s="112"/>
      <c r="G289" s="109"/>
      <c r="H289" s="109"/>
      <c r="I289" s="109"/>
      <c r="J289" s="109"/>
      <c r="K289" s="14" t="str">
        <f t="shared" si="62"/>
        <v>运营中</v>
      </c>
      <c r="L289" s="109"/>
      <c r="M289" s="109"/>
      <c r="N289" s="13">
        <v>1</v>
      </c>
      <c r="O289" s="24">
        <v>42856</v>
      </c>
      <c r="P289" s="13" t="s">
        <v>3513</v>
      </c>
      <c r="Q289" s="13" t="s">
        <v>5681</v>
      </c>
      <c r="R289" s="13" t="s">
        <v>6033</v>
      </c>
      <c r="S289" s="109"/>
      <c r="T289" s="109"/>
      <c r="U289" s="112"/>
      <c r="V289" s="109"/>
      <c r="W289" s="109"/>
      <c r="X289" s="109"/>
    </row>
    <row r="290" spans="2:24">
      <c r="B290" s="109"/>
      <c r="C290" s="109"/>
      <c r="D290" s="20" t="str">
        <f>D289</f>
        <v>光云科技</v>
      </c>
      <c r="E290" s="109"/>
      <c r="F290" s="112"/>
      <c r="G290" s="109"/>
      <c r="H290" s="109"/>
      <c r="I290" s="109"/>
      <c r="J290" s="109"/>
      <c r="K290" s="14" t="str">
        <f t="shared" si="62"/>
        <v>运营中</v>
      </c>
      <c r="L290" s="109"/>
      <c r="M290" s="109"/>
      <c r="N290" s="13">
        <v>1</v>
      </c>
      <c r="O290" s="24">
        <v>42248</v>
      </c>
      <c r="P290" s="13" t="s">
        <v>5474</v>
      </c>
      <c r="Q290" s="13" t="s">
        <v>2030</v>
      </c>
      <c r="R290" s="13" t="s">
        <v>6034</v>
      </c>
      <c r="S290" s="109"/>
      <c r="T290" s="109"/>
      <c r="U290" s="112"/>
      <c r="V290" s="109"/>
      <c r="W290" s="109"/>
      <c r="X290" s="109"/>
    </row>
    <row r="291" spans="2:24">
      <c r="B291" s="109"/>
      <c r="C291" s="109" t="s">
        <v>1187</v>
      </c>
      <c r="D291" s="20" t="s">
        <v>6035</v>
      </c>
      <c r="E291" s="109" t="s">
        <v>6036</v>
      </c>
      <c r="F291" s="112" t="s">
        <v>1189</v>
      </c>
      <c r="G291" s="109" t="s">
        <v>6037</v>
      </c>
      <c r="H291" s="109" t="s">
        <v>1191</v>
      </c>
      <c r="I291" s="109" t="s">
        <v>483</v>
      </c>
      <c r="J291" s="109" t="s">
        <v>1192</v>
      </c>
      <c r="K291" s="14" t="s">
        <v>272</v>
      </c>
      <c r="L291" s="109" t="s">
        <v>3661</v>
      </c>
      <c r="M291" s="109" t="s">
        <v>6038</v>
      </c>
      <c r="N291" s="13"/>
      <c r="O291" s="24">
        <v>44635</v>
      </c>
      <c r="P291" s="13" t="s">
        <v>763</v>
      </c>
      <c r="Q291" s="13" t="s">
        <v>6039</v>
      </c>
      <c r="R291" s="13" t="s">
        <v>6040</v>
      </c>
      <c r="S291" s="109" t="s">
        <v>6041</v>
      </c>
      <c r="T291" s="109" t="s">
        <v>5845</v>
      </c>
      <c r="U291" s="112" t="s">
        <v>1197</v>
      </c>
      <c r="V291" s="109" t="s">
        <v>1198</v>
      </c>
      <c r="W291" s="109" t="s">
        <v>1199</v>
      </c>
      <c r="X291" s="109" t="s">
        <v>1200</v>
      </c>
    </row>
    <row r="292" spans="2:24">
      <c r="B292" s="109"/>
      <c r="C292" s="109"/>
      <c r="D292" s="20" t="str">
        <f t="shared" ref="D292:D298" si="63">D291</f>
        <v>坚果投影</v>
      </c>
      <c r="E292" s="109"/>
      <c r="F292" s="112"/>
      <c r="G292" s="109"/>
      <c r="H292" s="109"/>
      <c r="I292" s="109"/>
      <c r="J292" s="109"/>
      <c r="K292" s="14" t="str">
        <f t="shared" ref="K292:K298" si="64">K291</f>
        <v>运营中</v>
      </c>
      <c r="L292" s="109"/>
      <c r="M292" s="109"/>
      <c r="N292" s="13"/>
      <c r="O292" s="24">
        <v>44149</v>
      </c>
      <c r="P292" s="13" t="s">
        <v>3276</v>
      </c>
      <c r="Q292" s="13" t="s">
        <v>1750</v>
      </c>
      <c r="R292" s="13" t="s">
        <v>6042</v>
      </c>
      <c r="S292" s="109"/>
      <c r="T292" s="109"/>
      <c r="U292" s="112"/>
      <c r="V292" s="109"/>
      <c r="W292" s="109"/>
      <c r="X292" s="109"/>
    </row>
    <row r="293" spans="2:24">
      <c r="B293" s="109"/>
      <c r="C293" s="109"/>
      <c r="D293" s="20" t="str">
        <f t="shared" si="63"/>
        <v>坚果投影</v>
      </c>
      <c r="E293" s="109"/>
      <c r="F293" s="112"/>
      <c r="G293" s="109"/>
      <c r="H293" s="109"/>
      <c r="I293" s="109"/>
      <c r="J293" s="109"/>
      <c r="K293" s="14" t="str">
        <f t="shared" si="64"/>
        <v>运营中</v>
      </c>
      <c r="L293" s="109"/>
      <c r="M293" s="109"/>
      <c r="N293" s="13"/>
      <c r="O293" s="24">
        <v>43392</v>
      </c>
      <c r="P293" s="13" t="s">
        <v>1827</v>
      </c>
      <c r="Q293" s="13" t="s">
        <v>6043</v>
      </c>
      <c r="R293" s="13" t="s">
        <v>1203</v>
      </c>
      <c r="S293" s="109"/>
      <c r="T293" s="109"/>
      <c r="U293" s="112"/>
      <c r="V293" s="109"/>
      <c r="W293" s="109"/>
      <c r="X293" s="109"/>
    </row>
    <row r="294" spans="2:24">
      <c r="B294" s="109"/>
      <c r="C294" s="109"/>
      <c r="D294" s="20" t="str">
        <f t="shared" si="63"/>
        <v>坚果投影</v>
      </c>
      <c r="E294" s="109"/>
      <c r="F294" s="112"/>
      <c r="G294" s="109"/>
      <c r="H294" s="109"/>
      <c r="I294" s="109"/>
      <c r="J294" s="109"/>
      <c r="K294" s="14" t="str">
        <f t="shared" si="64"/>
        <v>运营中</v>
      </c>
      <c r="L294" s="109"/>
      <c r="M294" s="109"/>
      <c r="N294" s="13"/>
      <c r="O294" s="24">
        <v>42445</v>
      </c>
      <c r="P294" s="13" t="s">
        <v>5613</v>
      </c>
      <c r="Q294" s="13" t="s">
        <v>6043</v>
      </c>
      <c r="R294" s="13" t="s">
        <v>1204</v>
      </c>
      <c r="S294" s="109"/>
      <c r="T294" s="109"/>
      <c r="U294" s="112"/>
      <c r="V294" s="109"/>
      <c r="W294" s="109"/>
      <c r="X294" s="109"/>
    </row>
    <row r="295" spans="2:24">
      <c r="B295" s="109"/>
      <c r="C295" s="109"/>
      <c r="D295" s="20" t="str">
        <f t="shared" si="63"/>
        <v>坚果投影</v>
      </c>
      <c r="E295" s="109"/>
      <c r="F295" s="112"/>
      <c r="G295" s="109"/>
      <c r="H295" s="109"/>
      <c r="I295" s="109"/>
      <c r="J295" s="109"/>
      <c r="K295" s="14" t="str">
        <f t="shared" si="64"/>
        <v>运营中</v>
      </c>
      <c r="L295" s="109"/>
      <c r="M295" s="109"/>
      <c r="N295" s="13"/>
      <c r="O295" s="24">
        <v>42158</v>
      </c>
      <c r="P295" s="13" t="s">
        <v>3648</v>
      </c>
      <c r="Q295" s="13" t="s">
        <v>3483</v>
      </c>
      <c r="R295" s="13" t="s">
        <v>1205</v>
      </c>
      <c r="S295" s="109"/>
      <c r="T295" s="109"/>
      <c r="U295" s="112"/>
      <c r="V295" s="109"/>
      <c r="W295" s="109"/>
      <c r="X295" s="109"/>
    </row>
    <row r="296" spans="2:24">
      <c r="B296" s="109"/>
      <c r="C296" s="109"/>
      <c r="D296" s="20" t="str">
        <f t="shared" si="63"/>
        <v>坚果投影</v>
      </c>
      <c r="E296" s="109"/>
      <c r="F296" s="112"/>
      <c r="G296" s="109"/>
      <c r="H296" s="109"/>
      <c r="I296" s="109"/>
      <c r="J296" s="109"/>
      <c r="K296" s="14" t="str">
        <f t="shared" si="64"/>
        <v>运营中</v>
      </c>
      <c r="L296" s="109"/>
      <c r="M296" s="109"/>
      <c r="N296" s="13"/>
      <c r="O296" s="24">
        <v>41996</v>
      </c>
      <c r="P296" s="13" t="s">
        <v>3513</v>
      </c>
      <c r="Q296" s="13" t="s">
        <v>6044</v>
      </c>
      <c r="R296" s="13" t="s">
        <v>6045</v>
      </c>
      <c r="S296" s="109"/>
      <c r="T296" s="109"/>
      <c r="U296" s="112"/>
      <c r="V296" s="109"/>
      <c r="W296" s="109"/>
      <c r="X296" s="109"/>
    </row>
    <row r="297" spans="2:24">
      <c r="B297" s="109"/>
      <c r="C297" s="109"/>
      <c r="D297" s="20" t="str">
        <f t="shared" si="63"/>
        <v>坚果投影</v>
      </c>
      <c r="E297" s="109"/>
      <c r="F297" s="112"/>
      <c r="G297" s="109"/>
      <c r="H297" s="109"/>
      <c r="I297" s="109"/>
      <c r="J297" s="109"/>
      <c r="K297" s="14" t="str">
        <f t="shared" si="64"/>
        <v>运营中</v>
      </c>
      <c r="L297" s="109"/>
      <c r="M297" s="109"/>
      <c r="N297" s="13"/>
      <c r="O297" s="24">
        <v>41783</v>
      </c>
      <c r="P297" s="13" t="s">
        <v>5454</v>
      </c>
      <c r="Q297" s="13" t="s">
        <v>5646</v>
      </c>
      <c r="R297" s="13" t="s">
        <v>6046</v>
      </c>
      <c r="S297" s="109"/>
      <c r="T297" s="109"/>
      <c r="U297" s="112"/>
      <c r="V297" s="109"/>
      <c r="W297" s="109"/>
      <c r="X297" s="109"/>
    </row>
    <row r="298" spans="2:24">
      <c r="B298" s="109"/>
      <c r="C298" s="109"/>
      <c r="D298" s="20" t="str">
        <f t="shared" si="63"/>
        <v>坚果投影</v>
      </c>
      <c r="E298" s="109"/>
      <c r="F298" s="112"/>
      <c r="G298" s="109"/>
      <c r="H298" s="109"/>
      <c r="I298" s="109"/>
      <c r="J298" s="109"/>
      <c r="K298" s="14" t="str">
        <f t="shared" si="64"/>
        <v>运营中</v>
      </c>
      <c r="L298" s="109"/>
      <c r="M298" s="109"/>
      <c r="N298" s="13"/>
      <c r="O298" s="24">
        <v>41509</v>
      </c>
      <c r="P298" s="13" t="s">
        <v>5474</v>
      </c>
      <c r="Q298" s="13" t="s">
        <v>3514</v>
      </c>
      <c r="R298" s="13" t="s">
        <v>6046</v>
      </c>
      <c r="S298" s="109"/>
      <c r="T298" s="109"/>
      <c r="U298" s="112"/>
      <c r="V298" s="109"/>
      <c r="W298" s="109"/>
      <c r="X298" s="109"/>
    </row>
    <row r="299" spans="2:24">
      <c r="B299" s="109"/>
      <c r="C299" s="109" t="s">
        <v>1209</v>
      </c>
      <c r="D299" s="20" t="s">
        <v>6047</v>
      </c>
      <c r="E299" s="109" t="s">
        <v>6048</v>
      </c>
      <c r="F299" s="112" t="s">
        <v>6049</v>
      </c>
      <c r="G299" s="109" t="s">
        <v>6050</v>
      </c>
      <c r="H299" s="109" t="s">
        <v>1213</v>
      </c>
      <c r="I299" s="109" t="s">
        <v>1214</v>
      </c>
      <c r="J299" s="109" t="s">
        <v>1215</v>
      </c>
      <c r="K299" s="14" t="s">
        <v>272</v>
      </c>
      <c r="L299" s="109" t="s">
        <v>5472</v>
      </c>
      <c r="M299" s="109" t="s">
        <v>5473</v>
      </c>
      <c r="N299" s="13">
        <v>1</v>
      </c>
      <c r="O299" s="24">
        <v>44287</v>
      </c>
      <c r="P299" s="13" t="s">
        <v>5810</v>
      </c>
      <c r="Q299" s="13" t="s">
        <v>6051</v>
      </c>
      <c r="R299" s="13" t="s">
        <v>1217</v>
      </c>
      <c r="S299" s="109" t="s">
        <v>6052</v>
      </c>
      <c r="T299" s="109" t="s">
        <v>6053</v>
      </c>
      <c r="U299" s="112" t="s">
        <v>1220</v>
      </c>
      <c r="V299" s="109" t="s">
        <v>1221</v>
      </c>
      <c r="W299" s="109" t="s">
        <v>1222</v>
      </c>
      <c r="X299" s="109" t="s">
        <v>1223</v>
      </c>
    </row>
    <row r="300" spans="2:24">
      <c r="B300" s="109"/>
      <c r="C300" s="109"/>
      <c r="D300" s="20" t="str">
        <f t="shared" ref="D300:D306" si="65">D299</f>
        <v>心动游戏</v>
      </c>
      <c r="E300" s="109"/>
      <c r="F300" s="112"/>
      <c r="G300" s="109"/>
      <c r="H300" s="109"/>
      <c r="I300" s="109"/>
      <c r="J300" s="109"/>
      <c r="K300" s="14" t="str">
        <f t="shared" ref="K300:K306" si="66">K299</f>
        <v>运营中</v>
      </c>
      <c r="L300" s="109"/>
      <c r="M300" s="109"/>
      <c r="N300" s="13">
        <v>1</v>
      </c>
      <c r="O300" s="24">
        <v>43811</v>
      </c>
      <c r="P300" s="13" t="s">
        <v>5625</v>
      </c>
      <c r="Q300" s="13" t="s">
        <v>6054</v>
      </c>
      <c r="R300" s="13" t="s">
        <v>253</v>
      </c>
      <c r="S300" s="109"/>
      <c r="T300" s="109"/>
      <c r="U300" s="112"/>
      <c r="V300" s="109"/>
      <c r="W300" s="109"/>
      <c r="X300" s="109"/>
    </row>
    <row r="301" spans="2:24">
      <c r="B301" s="109"/>
      <c r="C301" s="109"/>
      <c r="D301" s="20" t="str">
        <f t="shared" si="65"/>
        <v>心动游戏</v>
      </c>
      <c r="E301" s="109"/>
      <c r="F301" s="112"/>
      <c r="G301" s="109"/>
      <c r="H301" s="109"/>
      <c r="I301" s="109"/>
      <c r="J301" s="109"/>
      <c r="K301" s="14" t="str">
        <f t="shared" si="66"/>
        <v>运营中</v>
      </c>
      <c r="L301" s="109"/>
      <c r="M301" s="109"/>
      <c r="N301" s="13">
        <v>1</v>
      </c>
      <c r="O301" s="24">
        <v>43798</v>
      </c>
      <c r="P301" s="13" t="s">
        <v>5795</v>
      </c>
      <c r="Q301" s="13" t="s">
        <v>6055</v>
      </c>
      <c r="R301" s="13" t="s">
        <v>1226</v>
      </c>
      <c r="S301" s="109"/>
      <c r="T301" s="109"/>
      <c r="U301" s="112"/>
      <c r="V301" s="109"/>
      <c r="W301" s="109"/>
      <c r="X301" s="109"/>
    </row>
    <row r="302" spans="2:24">
      <c r="B302" s="109"/>
      <c r="C302" s="109"/>
      <c r="D302" s="20" t="str">
        <f t="shared" si="65"/>
        <v>心动游戏</v>
      </c>
      <c r="E302" s="109"/>
      <c r="F302" s="112"/>
      <c r="G302" s="109"/>
      <c r="H302" s="109"/>
      <c r="I302" s="109"/>
      <c r="J302" s="109"/>
      <c r="K302" s="14" t="str">
        <f t="shared" si="66"/>
        <v>运营中</v>
      </c>
      <c r="L302" s="109"/>
      <c r="M302" s="109"/>
      <c r="N302" s="13">
        <v>1</v>
      </c>
      <c r="O302" s="24">
        <v>43459</v>
      </c>
      <c r="P302" s="13" t="s">
        <v>5622</v>
      </c>
      <c r="Q302" s="13" t="s">
        <v>2030</v>
      </c>
      <c r="R302" s="13" t="s">
        <v>253</v>
      </c>
      <c r="S302" s="109"/>
      <c r="T302" s="109"/>
      <c r="U302" s="112"/>
      <c r="V302" s="109"/>
      <c r="W302" s="109"/>
      <c r="X302" s="109"/>
    </row>
    <row r="303" spans="2:24">
      <c r="B303" s="109"/>
      <c r="C303" s="109"/>
      <c r="D303" s="20" t="str">
        <f t="shared" si="65"/>
        <v>心动游戏</v>
      </c>
      <c r="E303" s="109"/>
      <c r="F303" s="112"/>
      <c r="G303" s="109"/>
      <c r="H303" s="109"/>
      <c r="I303" s="109"/>
      <c r="J303" s="109"/>
      <c r="K303" s="14" t="str">
        <f t="shared" si="66"/>
        <v>运营中</v>
      </c>
      <c r="L303" s="109"/>
      <c r="M303" s="109"/>
      <c r="N303" s="13">
        <v>1</v>
      </c>
      <c r="O303" s="24">
        <v>42772</v>
      </c>
      <c r="P303" s="13" t="s">
        <v>4401</v>
      </c>
      <c r="Q303" s="13" t="s">
        <v>3483</v>
      </c>
      <c r="R303" s="13" t="s">
        <v>1227</v>
      </c>
      <c r="S303" s="109"/>
      <c r="T303" s="109"/>
      <c r="U303" s="112"/>
      <c r="V303" s="109"/>
      <c r="W303" s="109"/>
      <c r="X303" s="109"/>
    </row>
    <row r="304" spans="2:24">
      <c r="B304" s="109"/>
      <c r="C304" s="109"/>
      <c r="D304" s="20" t="str">
        <f t="shared" si="65"/>
        <v>心动游戏</v>
      </c>
      <c r="E304" s="109"/>
      <c r="F304" s="112"/>
      <c r="G304" s="109"/>
      <c r="H304" s="109"/>
      <c r="I304" s="109"/>
      <c r="J304" s="109"/>
      <c r="K304" s="14" t="str">
        <f t="shared" si="66"/>
        <v>运营中</v>
      </c>
      <c r="L304" s="109"/>
      <c r="M304" s="109"/>
      <c r="N304" s="13">
        <v>1</v>
      </c>
      <c r="O304" s="24">
        <v>42312</v>
      </c>
      <c r="P304" s="13" t="s">
        <v>5664</v>
      </c>
      <c r="Q304" s="13" t="s">
        <v>2030</v>
      </c>
      <c r="R304" s="13" t="s">
        <v>253</v>
      </c>
      <c r="S304" s="109"/>
      <c r="T304" s="109"/>
      <c r="U304" s="112"/>
      <c r="V304" s="109"/>
      <c r="W304" s="109"/>
      <c r="X304" s="109"/>
    </row>
    <row r="305" spans="2:24">
      <c r="B305" s="109"/>
      <c r="C305" s="109"/>
      <c r="D305" s="20" t="str">
        <f t="shared" si="65"/>
        <v>心动游戏</v>
      </c>
      <c r="E305" s="109"/>
      <c r="F305" s="112"/>
      <c r="G305" s="109"/>
      <c r="H305" s="109"/>
      <c r="I305" s="109"/>
      <c r="J305" s="109"/>
      <c r="K305" s="14" t="str">
        <f t="shared" si="66"/>
        <v>运营中</v>
      </c>
      <c r="L305" s="109"/>
      <c r="M305" s="109"/>
      <c r="N305" s="13">
        <v>1</v>
      </c>
      <c r="O305" s="24">
        <v>42248</v>
      </c>
      <c r="P305" s="13" t="s">
        <v>3513</v>
      </c>
      <c r="Q305" s="13" t="s">
        <v>5973</v>
      </c>
      <c r="R305" s="13" t="s">
        <v>1228</v>
      </c>
      <c r="S305" s="109"/>
      <c r="T305" s="109"/>
      <c r="U305" s="112"/>
      <c r="V305" s="109"/>
      <c r="W305" s="109"/>
      <c r="X305" s="109"/>
    </row>
    <row r="306" spans="2:24">
      <c r="B306" s="109"/>
      <c r="C306" s="109"/>
      <c r="D306" s="20" t="str">
        <f t="shared" si="65"/>
        <v>心动游戏</v>
      </c>
      <c r="E306" s="109"/>
      <c r="F306" s="112"/>
      <c r="G306" s="109"/>
      <c r="H306" s="109"/>
      <c r="I306" s="109"/>
      <c r="J306" s="109"/>
      <c r="K306" s="14" t="str">
        <f t="shared" si="66"/>
        <v>运营中</v>
      </c>
      <c r="L306" s="109"/>
      <c r="M306" s="109"/>
      <c r="N306" s="13">
        <v>1</v>
      </c>
      <c r="O306" s="24">
        <v>41997</v>
      </c>
      <c r="P306" s="13" t="s">
        <v>5474</v>
      </c>
      <c r="Q306" s="13" t="s">
        <v>2030</v>
      </c>
      <c r="R306" s="13" t="s">
        <v>1229</v>
      </c>
      <c r="S306" s="109"/>
      <c r="T306" s="109"/>
      <c r="U306" s="112"/>
      <c r="V306" s="109"/>
      <c r="W306" s="109"/>
      <c r="X306" s="109"/>
    </row>
    <row r="307" spans="2:24">
      <c r="B307" s="109"/>
      <c r="C307" s="109" t="s">
        <v>1230</v>
      </c>
      <c r="D307" s="20" t="s">
        <v>6056</v>
      </c>
      <c r="E307" s="109" t="s">
        <v>6057</v>
      </c>
      <c r="F307" s="112" t="s">
        <v>6058</v>
      </c>
      <c r="G307" s="109" t="s">
        <v>6059</v>
      </c>
      <c r="H307" s="109" t="s">
        <v>1235</v>
      </c>
      <c r="I307" s="109" t="s">
        <v>1236</v>
      </c>
      <c r="J307" s="109" t="s">
        <v>1237</v>
      </c>
      <c r="K307" s="14" t="s">
        <v>272</v>
      </c>
      <c r="L307" s="109" t="s">
        <v>4472</v>
      </c>
      <c r="M307" s="109" t="s">
        <v>5225</v>
      </c>
      <c r="N307" s="13"/>
      <c r="O307" s="24">
        <v>43391</v>
      </c>
      <c r="P307" s="13" t="s">
        <v>5613</v>
      </c>
      <c r="Q307" s="13" t="s">
        <v>6060</v>
      </c>
      <c r="R307" s="13" t="s">
        <v>1751</v>
      </c>
      <c r="S307" s="109" t="s">
        <v>5084</v>
      </c>
      <c r="T307" s="109" t="s">
        <v>6061</v>
      </c>
      <c r="U307" s="112" t="s">
        <v>1242</v>
      </c>
      <c r="V307" s="109" t="s">
        <v>1243</v>
      </c>
      <c r="W307" s="109"/>
      <c r="X307" s="109"/>
    </row>
    <row r="308" spans="2:24">
      <c r="B308" s="109"/>
      <c r="C308" s="109"/>
      <c r="D308" s="20" t="str">
        <f>D307</f>
        <v>1919酒类直供</v>
      </c>
      <c r="E308" s="109"/>
      <c r="F308" s="112"/>
      <c r="G308" s="109"/>
      <c r="H308" s="109"/>
      <c r="I308" s="109"/>
      <c r="J308" s="109"/>
      <c r="K308" s="14" t="str">
        <f t="shared" ref="K308:K312" si="67">K307</f>
        <v>运营中</v>
      </c>
      <c r="L308" s="109"/>
      <c r="M308" s="109"/>
      <c r="N308" s="13"/>
      <c r="O308" s="24">
        <v>42944</v>
      </c>
      <c r="P308" s="13" t="s">
        <v>4401</v>
      </c>
      <c r="Q308" s="13" t="s">
        <v>5816</v>
      </c>
      <c r="R308" s="13" t="s">
        <v>6062</v>
      </c>
      <c r="S308" s="109"/>
      <c r="T308" s="109"/>
      <c r="U308" s="112"/>
      <c r="V308" s="109"/>
      <c r="W308" s="109"/>
      <c r="X308" s="109"/>
    </row>
    <row r="309" spans="2:24">
      <c r="B309" s="109"/>
      <c r="C309" s="109"/>
      <c r="D309" s="20" t="str">
        <f>D308</f>
        <v>1919酒类直供</v>
      </c>
      <c r="E309" s="109"/>
      <c r="F309" s="112"/>
      <c r="G309" s="109"/>
      <c r="H309" s="109"/>
      <c r="I309" s="109"/>
      <c r="J309" s="109"/>
      <c r="K309" s="14" t="str">
        <f t="shared" si="67"/>
        <v>运营中</v>
      </c>
      <c r="L309" s="109"/>
      <c r="M309" s="109"/>
      <c r="N309" s="13"/>
      <c r="O309" s="24">
        <v>42515</v>
      </c>
      <c r="P309" s="13" t="s">
        <v>5754</v>
      </c>
      <c r="Q309" s="13" t="s">
        <v>6063</v>
      </c>
      <c r="R309" s="13" t="s">
        <v>1246</v>
      </c>
      <c r="S309" s="109"/>
      <c r="T309" s="109"/>
      <c r="U309" s="112"/>
      <c r="V309" s="109"/>
      <c r="W309" s="109"/>
      <c r="X309" s="109"/>
    </row>
    <row r="310" spans="2:24">
      <c r="B310" s="109"/>
      <c r="C310" s="109"/>
      <c r="D310" s="20" t="str">
        <f>D309</f>
        <v>1919酒类直供</v>
      </c>
      <c r="E310" s="109"/>
      <c r="F310" s="112"/>
      <c r="G310" s="109"/>
      <c r="H310" s="109"/>
      <c r="I310" s="109"/>
      <c r="J310" s="109"/>
      <c r="K310" s="14" t="str">
        <f t="shared" si="67"/>
        <v>运营中</v>
      </c>
      <c r="L310" s="109"/>
      <c r="M310" s="109"/>
      <c r="N310" s="13"/>
      <c r="O310" s="24">
        <v>42359</v>
      </c>
      <c r="P310" s="13" t="s">
        <v>3648</v>
      </c>
      <c r="Q310" s="13" t="s">
        <v>3514</v>
      </c>
      <c r="R310" s="13" t="s">
        <v>253</v>
      </c>
      <c r="S310" s="109"/>
      <c r="T310" s="109"/>
      <c r="U310" s="112"/>
      <c r="V310" s="109"/>
      <c r="W310" s="109"/>
      <c r="X310" s="109"/>
    </row>
    <row r="311" spans="2:24">
      <c r="B311" s="109"/>
      <c r="C311" s="109"/>
      <c r="D311" s="20" t="str">
        <f>D310</f>
        <v>1919酒类直供</v>
      </c>
      <c r="E311" s="109"/>
      <c r="F311" s="112"/>
      <c r="G311" s="109"/>
      <c r="H311" s="109"/>
      <c r="I311" s="109"/>
      <c r="J311" s="109"/>
      <c r="K311" s="14" t="str">
        <f t="shared" si="67"/>
        <v>运营中</v>
      </c>
      <c r="L311" s="109"/>
      <c r="M311" s="109"/>
      <c r="N311" s="13"/>
      <c r="O311" s="24">
        <v>41864</v>
      </c>
      <c r="P311" s="13" t="s">
        <v>5664</v>
      </c>
      <c r="Q311" s="13" t="s">
        <v>2030</v>
      </c>
      <c r="R311" s="13" t="s">
        <v>253</v>
      </c>
      <c r="S311" s="109"/>
      <c r="T311" s="109"/>
      <c r="U311" s="112"/>
      <c r="V311" s="109"/>
      <c r="W311" s="109"/>
      <c r="X311" s="109"/>
    </row>
    <row r="312" spans="2:24">
      <c r="B312" s="109"/>
      <c r="C312" s="109"/>
      <c r="D312" s="20" t="str">
        <f>D311</f>
        <v>1919酒类直供</v>
      </c>
      <c r="E312" s="109"/>
      <c r="F312" s="112"/>
      <c r="G312" s="109"/>
      <c r="H312" s="109"/>
      <c r="I312" s="109"/>
      <c r="J312" s="109"/>
      <c r="K312" s="14" t="str">
        <f t="shared" si="67"/>
        <v>运营中</v>
      </c>
      <c r="L312" s="109"/>
      <c r="M312" s="109"/>
      <c r="N312" s="13"/>
      <c r="O312" s="24">
        <v>41664</v>
      </c>
      <c r="P312" s="13" t="s">
        <v>3513</v>
      </c>
      <c r="Q312" s="13" t="s">
        <v>3514</v>
      </c>
      <c r="R312" s="13" t="s">
        <v>253</v>
      </c>
      <c r="S312" s="109"/>
      <c r="T312" s="109"/>
      <c r="U312" s="112"/>
      <c r="V312" s="109"/>
      <c r="W312" s="109"/>
      <c r="X312" s="109"/>
    </row>
    <row r="313" spans="2:24">
      <c r="B313" s="109"/>
      <c r="C313" s="109" t="s">
        <v>1247</v>
      </c>
      <c r="D313" s="20" t="s">
        <v>6064</v>
      </c>
      <c r="E313" s="109" t="s">
        <v>6065</v>
      </c>
      <c r="F313" s="112" t="s">
        <v>1249</v>
      </c>
      <c r="G313" s="109" t="s">
        <v>6066</v>
      </c>
      <c r="H313" s="109" t="s">
        <v>1251</v>
      </c>
      <c r="I313" s="109" t="s">
        <v>1252</v>
      </c>
      <c r="J313" s="109" t="s">
        <v>1126</v>
      </c>
      <c r="K313" s="14" t="s">
        <v>272</v>
      </c>
      <c r="L313" s="109" t="s">
        <v>5437</v>
      </c>
      <c r="M313" s="109" t="s">
        <v>6067</v>
      </c>
      <c r="N313" s="13">
        <v>1</v>
      </c>
      <c r="O313" s="24">
        <v>44610</v>
      </c>
      <c r="P313" s="13" t="s">
        <v>5625</v>
      </c>
      <c r="Q313" s="13" t="s">
        <v>6068</v>
      </c>
      <c r="R313" s="13" t="s">
        <v>253</v>
      </c>
      <c r="S313" s="109" t="s">
        <v>6069</v>
      </c>
      <c r="T313" s="109" t="s">
        <v>6070</v>
      </c>
      <c r="U313" s="112" t="s">
        <v>1258</v>
      </c>
      <c r="V313" s="109" t="s">
        <v>1259</v>
      </c>
      <c r="W313" s="109" t="s">
        <v>1260</v>
      </c>
      <c r="X313" s="109" t="s">
        <v>1261</v>
      </c>
    </row>
    <row r="314" spans="2:24">
      <c r="B314" s="109"/>
      <c r="C314" s="109"/>
      <c r="D314" s="20" t="str">
        <f t="shared" ref="D314:D321" si="68">D313</f>
        <v>汇通达</v>
      </c>
      <c r="E314" s="109"/>
      <c r="F314" s="112"/>
      <c r="G314" s="109"/>
      <c r="H314" s="109"/>
      <c r="I314" s="109"/>
      <c r="J314" s="109"/>
      <c r="K314" s="14" t="str">
        <f t="shared" ref="K314:K321" si="69">K313</f>
        <v>运营中</v>
      </c>
      <c r="L314" s="109"/>
      <c r="M314" s="109"/>
      <c r="N314" s="13">
        <v>1</v>
      </c>
      <c r="O314" s="24">
        <v>44592</v>
      </c>
      <c r="P314" s="13" t="s">
        <v>5795</v>
      </c>
      <c r="Q314" s="13" t="s">
        <v>3811</v>
      </c>
      <c r="R314" s="13" t="s">
        <v>1262</v>
      </c>
      <c r="S314" s="109"/>
      <c r="T314" s="109"/>
      <c r="U314" s="112"/>
      <c r="V314" s="109"/>
      <c r="W314" s="109"/>
      <c r="X314" s="109"/>
    </row>
    <row r="315" spans="2:24">
      <c r="B315" s="109"/>
      <c r="C315" s="109"/>
      <c r="D315" s="20" t="str">
        <f t="shared" si="68"/>
        <v>汇通达</v>
      </c>
      <c r="E315" s="109"/>
      <c r="F315" s="112"/>
      <c r="G315" s="109"/>
      <c r="H315" s="109"/>
      <c r="I315" s="109"/>
      <c r="J315" s="109"/>
      <c r="K315" s="14" t="str">
        <f t="shared" si="69"/>
        <v>运营中</v>
      </c>
      <c r="L315" s="109"/>
      <c r="M315" s="109"/>
      <c r="N315" s="13">
        <v>1</v>
      </c>
      <c r="O315" s="24">
        <v>44335</v>
      </c>
      <c r="P315" s="13" t="s">
        <v>3276</v>
      </c>
      <c r="Q315" s="13" t="s">
        <v>1750</v>
      </c>
      <c r="R315" s="13" t="s">
        <v>6071</v>
      </c>
      <c r="S315" s="109"/>
      <c r="T315" s="109"/>
      <c r="U315" s="112"/>
      <c r="V315" s="109"/>
      <c r="W315" s="109"/>
      <c r="X315" s="109"/>
    </row>
    <row r="316" spans="2:24">
      <c r="B316" s="109"/>
      <c r="C316" s="109"/>
      <c r="D316" s="20" t="str">
        <f t="shared" si="68"/>
        <v>汇通达</v>
      </c>
      <c r="E316" s="109"/>
      <c r="F316" s="112"/>
      <c r="G316" s="109"/>
      <c r="H316" s="109"/>
      <c r="I316" s="109"/>
      <c r="J316" s="109"/>
      <c r="K316" s="14" t="str">
        <f t="shared" si="69"/>
        <v>运营中</v>
      </c>
      <c r="L316" s="109"/>
      <c r="M316" s="109"/>
      <c r="N316" s="13">
        <v>1</v>
      </c>
      <c r="O316" s="24">
        <v>44189</v>
      </c>
      <c r="P316" s="13" t="s">
        <v>1045</v>
      </c>
      <c r="Q316" s="13" t="s">
        <v>1750</v>
      </c>
      <c r="R316" s="13" t="s">
        <v>1264</v>
      </c>
      <c r="S316" s="109"/>
      <c r="T316" s="109"/>
      <c r="U316" s="112"/>
      <c r="V316" s="109"/>
      <c r="W316" s="109"/>
      <c r="X316" s="109"/>
    </row>
    <row r="317" spans="2:24">
      <c r="B317" s="109"/>
      <c r="C317" s="109"/>
      <c r="D317" s="20" t="str">
        <f t="shared" si="68"/>
        <v>汇通达</v>
      </c>
      <c r="E317" s="109"/>
      <c r="F317" s="112"/>
      <c r="G317" s="109"/>
      <c r="H317" s="109"/>
      <c r="I317" s="109"/>
      <c r="J317" s="109"/>
      <c r="K317" s="14" t="str">
        <f t="shared" si="69"/>
        <v>运营中</v>
      </c>
      <c r="L317" s="109"/>
      <c r="M317" s="109"/>
      <c r="N317" s="13">
        <v>1</v>
      </c>
      <c r="O317" s="24">
        <v>43207</v>
      </c>
      <c r="P317" s="13" t="s">
        <v>1045</v>
      </c>
      <c r="Q317" s="13" t="s">
        <v>6072</v>
      </c>
      <c r="R317" s="13" t="s">
        <v>1751</v>
      </c>
      <c r="S317" s="109"/>
      <c r="T317" s="109"/>
      <c r="U317" s="112"/>
      <c r="V317" s="109"/>
      <c r="W317" s="109"/>
      <c r="X317" s="109"/>
    </row>
    <row r="318" spans="2:24">
      <c r="B318" s="109"/>
      <c r="C318" s="109"/>
      <c r="D318" s="20" t="str">
        <f t="shared" si="68"/>
        <v>汇通达</v>
      </c>
      <c r="E318" s="109"/>
      <c r="F318" s="112"/>
      <c r="G318" s="109"/>
      <c r="H318" s="109"/>
      <c r="I318" s="109"/>
      <c r="J318" s="109"/>
      <c r="K318" s="14" t="str">
        <f t="shared" si="69"/>
        <v>运营中</v>
      </c>
      <c r="L318" s="109"/>
      <c r="M318" s="109"/>
      <c r="N318" s="13">
        <v>1</v>
      </c>
      <c r="O318" s="24">
        <v>43091</v>
      </c>
      <c r="P318" s="13" t="s">
        <v>1045</v>
      </c>
      <c r="Q318" s="13" t="s">
        <v>5847</v>
      </c>
      <c r="R318" s="13" t="s">
        <v>1266</v>
      </c>
      <c r="S318" s="109"/>
      <c r="T318" s="109"/>
      <c r="U318" s="112"/>
      <c r="V318" s="109"/>
      <c r="W318" s="109"/>
      <c r="X318" s="109"/>
    </row>
    <row r="319" spans="2:24">
      <c r="B319" s="109"/>
      <c r="C319" s="109"/>
      <c r="D319" s="20" t="str">
        <f t="shared" si="68"/>
        <v>汇通达</v>
      </c>
      <c r="E319" s="109"/>
      <c r="F319" s="112"/>
      <c r="G319" s="109"/>
      <c r="H319" s="109"/>
      <c r="I319" s="109"/>
      <c r="J319" s="109"/>
      <c r="K319" s="14" t="str">
        <f t="shared" si="69"/>
        <v>运营中</v>
      </c>
      <c r="L319" s="109"/>
      <c r="M319" s="109"/>
      <c r="N319" s="13">
        <v>1</v>
      </c>
      <c r="O319" s="24">
        <v>42549</v>
      </c>
      <c r="P319" s="13" t="s">
        <v>3648</v>
      </c>
      <c r="Q319" s="13" t="s">
        <v>4754</v>
      </c>
      <c r="R319" s="13" t="s">
        <v>6073</v>
      </c>
      <c r="S319" s="109"/>
      <c r="T319" s="109"/>
      <c r="U319" s="112"/>
      <c r="V319" s="109"/>
      <c r="W319" s="109"/>
      <c r="X319" s="109"/>
    </row>
    <row r="320" spans="2:24">
      <c r="B320" s="109"/>
      <c r="C320" s="109"/>
      <c r="D320" s="20" t="str">
        <f t="shared" si="68"/>
        <v>汇通达</v>
      </c>
      <c r="E320" s="109"/>
      <c r="F320" s="112"/>
      <c r="G320" s="109"/>
      <c r="H320" s="109"/>
      <c r="I320" s="109"/>
      <c r="J320" s="109"/>
      <c r="K320" s="14" t="str">
        <f t="shared" si="69"/>
        <v>运营中</v>
      </c>
      <c r="L320" s="109"/>
      <c r="M320" s="109"/>
      <c r="N320" s="13">
        <v>1</v>
      </c>
      <c r="O320" s="24">
        <v>42185</v>
      </c>
      <c r="P320" s="13" t="s">
        <v>3513</v>
      </c>
      <c r="Q320" s="13" t="s">
        <v>5847</v>
      </c>
      <c r="R320" s="13" t="s">
        <v>1268</v>
      </c>
      <c r="S320" s="109"/>
      <c r="T320" s="109"/>
      <c r="U320" s="112"/>
      <c r="V320" s="109"/>
      <c r="W320" s="109"/>
      <c r="X320" s="109"/>
    </row>
    <row r="321" spans="2:24">
      <c r="B321" s="109"/>
      <c r="C321" s="109"/>
      <c r="D321" s="20" t="str">
        <f t="shared" si="68"/>
        <v>汇通达</v>
      </c>
      <c r="E321" s="109"/>
      <c r="F321" s="112"/>
      <c r="G321" s="109"/>
      <c r="H321" s="109"/>
      <c r="I321" s="109"/>
      <c r="J321" s="109"/>
      <c r="K321" s="14" t="str">
        <f t="shared" si="69"/>
        <v>运营中</v>
      </c>
      <c r="L321" s="109"/>
      <c r="M321" s="109"/>
      <c r="N321" s="13">
        <v>1</v>
      </c>
      <c r="O321" s="24">
        <v>40191</v>
      </c>
      <c r="P321" s="13" t="s">
        <v>5454</v>
      </c>
      <c r="Q321" s="13" t="s">
        <v>3514</v>
      </c>
      <c r="R321" s="13" t="s">
        <v>6074</v>
      </c>
      <c r="S321" s="109"/>
      <c r="T321" s="109"/>
      <c r="U321" s="112"/>
      <c r="V321" s="109"/>
      <c r="W321" s="109"/>
      <c r="X321" s="109"/>
    </row>
    <row r="322" spans="2:24">
      <c r="B322" s="109"/>
      <c r="C322" s="109" t="s">
        <v>1270</v>
      </c>
      <c r="D322" s="20" t="s">
        <v>6075</v>
      </c>
      <c r="E322" s="109" t="s">
        <v>6076</v>
      </c>
      <c r="F322" s="112" t="s">
        <v>1272</v>
      </c>
      <c r="G322" s="109" t="s">
        <v>6077</v>
      </c>
      <c r="H322" s="109" t="s">
        <v>1274</v>
      </c>
      <c r="I322" s="109" t="s">
        <v>1275</v>
      </c>
      <c r="J322" s="109" t="s">
        <v>428</v>
      </c>
      <c r="K322" s="14" t="s">
        <v>272</v>
      </c>
      <c r="L322" s="109" t="s">
        <v>5821</v>
      </c>
      <c r="M322" s="109" t="s">
        <v>5822</v>
      </c>
      <c r="N322" s="13"/>
      <c r="O322" s="24">
        <v>42073</v>
      </c>
      <c r="P322" s="13" t="s">
        <v>1827</v>
      </c>
      <c r="Q322" s="13" t="s">
        <v>5129</v>
      </c>
      <c r="R322" s="13" t="s">
        <v>6078</v>
      </c>
      <c r="S322" s="109" t="s">
        <v>6079</v>
      </c>
      <c r="T322" s="109" t="s">
        <v>5750</v>
      </c>
      <c r="U322" s="112" t="s">
        <v>1278</v>
      </c>
      <c r="V322" s="109"/>
      <c r="W322" s="109" t="s">
        <v>1279</v>
      </c>
      <c r="X322" s="109" t="s">
        <v>1280</v>
      </c>
    </row>
    <row r="323" spans="2:24">
      <c r="B323" s="109"/>
      <c r="C323" s="109"/>
      <c r="D323" s="20" t="str">
        <f>D322</f>
        <v>优谈网</v>
      </c>
      <c r="E323" s="109"/>
      <c r="F323" s="112"/>
      <c r="G323" s="109"/>
      <c r="H323" s="109"/>
      <c r="I323" s="109"/>
      <c r="J323" s="109"/>
      <c r="K323" s="14" t="str">
        <f t="shared" ref="K323:K325" si="70">K322</f>
        <v>运营中</v>
      </c>
      <c r="L323" s="109"/>
      <c r="M323" s="109"/>
      <c r="N323" s="13"/>
      <c r="O323" s="24">
        <v>41974</v>
      </c>
      <c r="P323" s="13" t="s">
        <v>3648</v>
      </c>
      <c r="Q323" s="13" t="s">
        <v>2030</v>
      </c>
      <c r="R323" s="13" t="s">
        <v>1751</v>
      </c>
      <c r="S323" s="109"/>
      <c r="T323" s="109"/>
      <c r="U323" s="112"/>
      <c r="V323" s="109"/>
      <c r="W323" s="109"/>
      <c r="X323" s="109"/>
    </row>
    <row r="324" spans="2:24">
      <c r="B324" s="109"/>
      <c r="C324" s="109"/>
      <c r="D324" s="20" t="str">
        <f>D323</f>
        <v>优谈网</v>
      </c>
      <c r="E324" s="109"/>
      <c r="F324" s="112"/>
      <c r="G324" s="109"/>
      <c r="H324" s="109"/>
      <c r="I324" s="109"/>
      <c r="J324" s="109"/>
      <c r="K324" s="14" t="str">
        <f t="shared" si="70"/>
        <v>运营中</v>
      </c>
      <c r="L324" s="109"/>
      <c r="M324" s="109"/>
      <c r="N324" s="13"/>
      <c r="O324" s="24">
        <v>41122</v>
      </c>
      <c r="P324" s="13" t="s">
        <v>3513</v>
      </c>
      <c r="Q324" s="13" t="s">
        <v>2030</v>
      </c>
      <c r="R324" s="13" t="s">
        <v>253</v>
      </c>
      <c r="S324" s="109"/>
      <c r="T324" s="109"/>
      <c r="U324" s="112"/>
      <c r="V324" s="109"/>
      <c r="W324" s="109"/>
      <c r="X324" s="109"/>
    </row>
    <row r="325" spans="2:24">
      <c r="B325" s="109"/>
      <c r="C325" s="109"/>
      <c r="D325" s="20" t="str">
        <f>D324</f>
        <v>优谈网</v>
      </c>
      <c r="E325" s="109"/>
      <c r="F325" s="112"/>
      <c r="G325" s="109"/>
      <c r="H325" s="109"/>
      <c r="I325" s="109"/>
      <c r="J325" s="109"/>
      <c r="K325" s="14" t="str">
        <f t="shared" si="70"/>
        <v>运营中</v>
      </c>
      <c r="L325" s="109"/>
      <c r="M325" s="109"/>
      <c r="N325" s="13"/>
      <c r="O325" s="24">
        <v>40210</v>
      </c>
      <c r="P325" s="13" t="s">
        <v>5474</v>
      </c>
      <c r="Q325" s="13" t="s">
        <v>5662</v>
      </c>
      <c r="R325" s="13" t="s">
        <v>6080</v>
      </c>
      <c r="S325" s="109"/>
      <c r="T325" s="109"/>
      <c r="U325" s="112"/>
      <c r="V325" s="109"/>
      <c r="W325" s="109"/>
      <c r="X325" s="109"/>
    </row>
    <row r="326" spans="2:24">
      <c r="B326" s="109"/>
      <c r="C326" s="109" t="s">
        <v>1282</v>
      </c>
      <c r="D326" s="20" t="s">
        <v>6081</v>
      </c>
      <c r="E326" s="109" t="s">
        <v>6082</v>
      </c>
      <c r="F326" s="112" t="s">
        <v>6083</v>
      </c>
      <c r="G326" s="109" t="s">
        <v>6084</v>
      </c>
      <c r="H326" s="109" t="s">
        <v>1286</v>
      </c>
      <c r="I326" s="109" t="s">
        <v>1275</v>
      </c>
      <c r="J326" s="109" t="s">
        <v>372</v>
      </c>
      <c r="K326" s="14" t="s">
        <v>272</v>
      </c>
      <c r="L326" s="109" t="s">
        <v>2711</v>
      </c>
      <c r="M326" s="109" t="s">
        <v>4903</v>
      </c>
      <c r="N326" s="13"/>
      <c r="O326" s="24">
        <v>43749</v>
      </c>
      <c r="P326" s="13" t="s">
        <v>5613</v>
      </c>
      <c r="Q326" s="13" t="s">
        <v>5129</v>
      </c>
      <c r="R326" s="13" t="s">
        <v>6085</v>
      </c>
      <c r="S326" s="109" t="s">
        <v>6086</v>
      </c>
      <c r="T326" s="109" t="s">
        <v>5750</v>
      </c>
      <c r="U326" s="112" t="s">
        <v>1289</v>
      </c>
      <c r="V326" s="109" t="s">
        <v>1290</v>
      </c>
      <c r="W326" s="109"/>
      <c r="X326" s="109"/>
    </row>
    <row r="327" spans="2:24">
      <c r="B327" s="109"/>
      <c r="C327" s="109"/>
      <c r="D327" s="20" t="str">
        <f>D326</f>
        <v>车来了</v>
      </c>
      <c r="E327" s="109"/>
      <c r="F327" s="112"/>
      <c r="G327" s="109"/>
      <c r="H327" s="109"/>
      <c r="I327" s="109"/>
      <c r="J327" s="109"/>
      <c r="K327" s="14" t="str">
        <f t="shared" ref="K327:K330" si="71">K326</f>
        <v>运营中</v>
      </c>
      <c r="L327" s="109"/>
      <c r="M327" s="109"/>
      <c r="N327" s="13"/>
      <c r="O327" s="24">
        <v>42369</v>
      </c>
      <c r="P327" s="13" t="s">
        <v>5754</v>
      </c>
      <c r="Q327" s="13" t="s">
        <v>5862</v>
      </c>
      <c r="R327" s="13" t="s">
        <v>6087</v>
      </c>
      <c r="S327" s="109"/>
      <c r="T327" s="109"/>
      <c r="U327" s="112"/>
      <c r="V327" s="109"/>
      <c r="W327" s="109"/>
      <c r="X327" s="109"/>
    </row>
    <row r="328" spans="2:24">
      <c r="B328" s="109"/>
      <c r="C328" s="109"/>
      <c r="D328" s="20" t="str">
        <f>D327</f>
        <v>车来了</v>
      </c>
      <c r="E328" s="109"/>
      <c r="F328" s="112"/>
      <c r="G328" s="109"/>
      <c r="H328" s="109"/>
      <c r="I328" s="109"/>
      <c r="J328" s="109"/>
      <c r="K328" s="14" t="str">
        <f t="shared" si="71"/>
        <v>运营中</v>
      </c>
      <c r="L328" s="109"/>
      <c r="M328" s="109"/>
      <c r="N328" s="13"/>
      <c r="O328" s="24">
        <v>42158</v>
      </c>
      <c r="P328" s="13" t="s">
        <v>3648</v>
      </c>
      <c r="Q328" s="13" t="s">
        <v>5576</v>
      </c>
      <c r="R328" s="13" t="s">
        <v>1292</v>
      </c>
      <c r="S328" s="109"/>
      <c r="T328" s="109"/>
      <c r="U328" s="112"/>
      <c r="V328" s="109"/>
      <c r="W328" s="109"/>
      <c r="X328" s="109"/>
    </row>
    <row r="329" spans="2:24">
      <c r="B329" s="109"/>
      <c r="C329" s="109"/>
      <c r="D329" s="20" t="str">
        <f>D328</f>
        <v>车来了</v>
      </c>
      <c r="E329" s="109"/>
      <c r="F329" s="112"/>
      <c r="G329" s="109"/>
      <c r="H329" s="109"/>
      <c r="I329" s="109"/>
      <c r="J329" s="109"/>
      <c r="K329" s="14" t="str">
        <f t="shared" si="71"/>
        <v>运营中</v>
      </c>
      <c r="L329" s="109"/>
      <c r="M329" s="109"/>
      <c r="N329" s="13"/>
      <c r="O329" s="24">
        <v>41864</v>
      </c>
      <c r="P329" s="13" t="s">
        <v>3513</v>
      </c>
      <c r="Q329" s="13" t="s">
        <v>5705</v>
      </c>
      <c r="R329" s="13" t="s">
        <v>1293</v>
      </c>
      <c r="S329" s="109"/>
      <c r="T329" s="109"/>
      <c r="U329" s="112"/>
      <c r="V329" s="109"/>
      <c r="W329" s="109"/>
      <c r="X329" s="109"/>
    </row>
    <row r="330" spans="2:24">
      <c r="B330" s="109"/>
      <c r="C330" s="109"/>
      <c r="D330" s="20" t="str">
        <f>D329</f>
        <v>车来了</v>
      </c>
      <c r="E330" s="109"/>
      <c r="F330" s="112"/>
      <c r="G330" s="109"/>
      <c r="H330" s="109"/>
      <c r="I330" s="109"/>
      <c r="J330" s="109"/>
      <c r="K330" s="14" t="str">
        <f t="shared" si="71"/>
        <v>运营中</v>
      </c>
      <c r="L330" s="109"/>
      <c r="M330" s="109"/>
      <c r="N330" s="13"/>
      <c r="O330" s="24">
        <v>41426</v>
      </c>
      <c r="P330" s="13" t="s">
        <v>5474</v>
      </c>
      <c r="Q330" s="13" t="s">
        <v>5646</v>
      </c>
      <c r="R330" s="13" t="s">
        <v>1294</v>
      </c>
      <c r="S330" s="109"/>
      <c r="T330" s="109"/>
      <c r="U330" s="112"/>
      <c r="V330" s="109"/>
      <c r="W330" s="109"/>
      <c r="X330" s="109"/>
    </row>
    <row r="331" spans="2:24">
      <c r="B331" s="109"/>
      <c r="C331" s="109" t="s">
        <v>1295</v>
      </c>
      <c r="D331" s="20" t="s">
        <v>6088</v>
      </c>
      <c r="E331" s="109" t="s">
        <v>6089</v>
      </c>
      <c r="F331" s="112" t="s">
        <v>1297</v>
      </c>
      <c r="G331" s="109" t="s">
        <v>6090</v>
      </c>
      <c r="H331" s="109" t="s">
        <v>1299</v>
      </c>
      <c r="I331" s="109" t="s">
        <v>1016</v>
      </c>
      <c r="J331" s="109" t="s">
        <v>385</v>
      </c>
      <c r="K331" s="14" t="s">
        <v>272</v>
      </c>
      <c r="L331" s="109" t="s">
        <v>5651</v>
      </c>
      <c r="M331" s="109" t="s">
        <v>6091</v>
      </c>
      <c r="N331" s="13"/>
      <c r="O331" s="24">
        <v>42513</v>
      </c>
      <c r="P331" s="13" t="s">
        <v>1827</v>
      </c>
      <c r="Q331" s="13" t="s">
        <v>1750</v>
      </c>
      <c r="R331" s="13" t="s">
        <v>1301</v>
      </c>
      <c r="S331" s="109" t="s">
        <v>6092</v>
      </c>
      <c r="T331" s="109" t="s">
        <v>6093</v>
      </c>
      <c r="U331" s="112" t="s">
        <v>1304</v>
      </c>
      <c r="V331" s="109" t="s">
        <v>1305</v>
      </c>
      <c r="W331" s="109" t="s">
        <v>1306</v>
      </c>
      <c r="X331" s="109"/>
    </row>
    <row r="332" spans="2:24">
      <c r="B332" s="109"/>
      <c r="C332" s="109"/>
      <c r="D332" s="20" t="str">
        <f>D331</f>
        <v>墨迹天气</v>
      </c>
      <c r="E332" s="109"/>
      <c r="F332" s="112"/>
      <c r="G332" s="109"/>
      <c r="H332" s="109"/>
      <c r="I332" s="109"/>
      <c r="J332" s="109"/>
      <c r="K332" s="14" t="str">
        <f t="shared" ref="K332:K336" si="72">K331</f>
        <v>运营中</v>
      </c>
      <c r="L332" s="109"/>
      <c r="M332" s="109"/>
      <c r="N332" s="13"/>
      <c r="O332" s="24">
        <v>41579</v>
      </c>
      <c r="P332" s="13" t="s">
        <v>5613</v>
      </c>
      <c r="Q332" s="13" t="s">
        <v>3514</v>
      </c>
      <c r="R332" s="13" t="s">
        <v>5733</v>
      </c>
      <c r="S332" s="109"/>
      <c r="T332" s="109"/>
      <c r="U332" s="112"/>
      <c r="V332" s="109"/>
      <c r="W332" s="109"/>
      <c r="X332" s="109"/>
    </row>
    <row r="333" spans="2:24">
      <c r="B333" s="109"/>
      <c r="C333" s="109"/>
      <c r="D333" s="20" t="str">
        <f>D332</f>
        <v>墨迹天气</v>
      </c>
      <c r="E333" s="109"/>
      <c r="F333" s="112"/>
      <c r="G333" s="109"/>
      <c r="H333" s="109"/>
      <c r="I333" s="109"/>
      <c r="J333" s="109"/>
      <c r="K333" s="14" t="str">
        <f t="shared" si="72"/>
        <v>运营中</v>
      </c>
      <c r="L333" s="109"/>
      <c r="M333" s="109"/>
      <c r="N333" s="13"/>
      <c r="O333" s="24">
        <v>41275</v>
      </c>
      <c r="P333" s="13" t="s">
        <v>3648</v>
      </c>
      <c r="Q333" s="13" t="s">
        <v>3514</v>
      </c>
      <c r="R333" s="13" t="s">
        <v>1751</v>
      </c>
      <c r="S333" s="109"/>
      <c r="T333" s="109"/>
      <c r="U333" s="112"/>
      <c r="V333" s="109"/>
      <c r="W333" s="109"/>
      <c r="X333" s="109"/>
    </row>
    <row r="334" spans="2:24">
      <c r="B334" s="109"/>
      <c r="C334" s="109"/>
      <c r="D334" s="20" t="str">
        <f>D333</f>
        <v>墨迹天气</v>
      </c>
      <c r="E334" s="109"/>
      <c r="F334" s="112"/>
      <c r="G334" s="109"/>
      <c r="H334" s="109"/>
      <c r="I334" s="109"/>
      <c r="J334" s="109"/>
      <c r="K334" s="14" t="str">
        <f t="shared" si="72"/>
        <v>运营中</v>
      </c>
      <c r="L334" s="109"/>
      <c r="M334" s="109"/>
      <c r="N334" s="13"/>
      <c r="O334" s="24">
        <v>41153</v>
      </c>
      <c r="P334" s="13" t="s">
        <v>4306</v>
      </c>
      <c r="Q334" s="13" t="s">
        <v>5646</v>
      </c>
      <c r="R334" s="13" t="s">
        <v>6094</v>
      </c>
      <c r="S334" s="109"/>
      <c r="T334" s="109"/>
      <c r="U334" s="112"/>
      <c r="V334" s="109"/>
      <c r="W334" s="109"/>
      <c r="X334" s="109"/>
    </row>
    <row r="335" spans="2:24">
      <c r="B335" s="109"/>
      <c r="C335" s="109"/>
      <c r="D335" s="20" t="str">
        <f>D334</f>
        <v>墨迹天气</v>
      </c>
      <c r="E335" s="109"/>
      <c r="F335" s="112"/>
      <c r="G335" s="109"/>
      <c r="H335" s="109"/>
      <c r="I335" s="109"/>
      <c r="J335" s="109"/>
      <c r="K335" s="14" t="str">
        <f t="shared" si="72"/>
        <v>运营中</v>
      </c>
      <c r="L335" s="109"/>
      <c r="M335" s="109"/>
      <c r="N335" s="13"/>
      <c r="O335" s="24">
        <v>40513</v>
      </c>
      <c r="P335" s="13" t="s">
        <v>3513</v>
      </c>
      <c r="Q335" s="13" t="s">
        <v>3514</v>
      </c>
      <c r="R335" s="13" t="s">
        <v>5892</v>
      </c>
      <c r="S335" s="109"/>
      <c r="T335" s="109"/>
      <c r="U335" s="112"/>
      <c r="V335" s="109"/>
      <c r="W335" s="109"/>
      <c r="X335" s="109"/>
    </row>
    <row r="336" spans="2:24">
      <c r="B336" s="109"/>
      <c r="C336" s="109"/>
      <c r="D336" s="20" t="str">
        <f>D335</f>
        <v>墨迹天气</v>
      </c>
      <c r="E336" s="109"/>
      <c r="F336" s="112"/>
      <c r="G336" s="109"/>
      <c r="H336" s="109"/>
      <c r="I336" s="109"/>
      <c r="J336" s="109"/>
      <c r="K336" s="14" t="str">
        <f t="shared" si="72"/>
        <v>运营中</v>
      </c>
      <c r="L336" s="109"/>
      <c r="M336" s="109"/>
      <c r="N336" s="13"/>
      <c r="O336" s="24">
        <v>40238</v>
      </c>
      <c r="P336" s="13" t="s">
        <v>5474</v>
      </c>
      <c r="Q336" s="13" t="s">
        <v>5759</v>
      </c>
      <c r="R336" s="13" t="s">
        <v>6095</v>
      </c>
      <c r="S336" s="109"/>
      <c r="T336" s="109"/>
      <c r="U336" s="112"/>
      <c r="V336" s="109"/>
      <c r="W336" s="109"/>
      <c r="X336" s="109"/>
    </row>
    <row r="337" spans="2:24" ht="48">
      <c r="B337" s="109"/>
      <c r="C337" s="13" t="s">
        <v>1309</v>
      </c>
      <c r="D337" s="25" t="s">
        <v>6096</v>
      </c>
      <c r="E337" s="13" t="s">
        <v>6097</v>
      </c>
      <c r="F337" s="18" t="s">
        <v>1311</v>
      </c>
      <c r="G337" s="13" t="s">
        <v>6098</v>
      </c>
      <c r="H337" s="13"/>
      <c r="I337" s="13" t="s">
        <v>1313</v>
      </c>
      <c r="J337" s="13" t="s">
        <v>271</v>
      </c>
      <c r="K337" s="19" t="s">
        <v>248</v>
      </c>
      <c r="L337" s="13" t="s">
        <v>5651</v>
      </c>
      <c r="M337" s="13" t="s">
        <v>6091</v>
      </c>
      <c r="N337" s="13">
        <v>1</v>
      </c>
      <c r="O337" s="24">
        <v>40787</v>
      </c>
      <c r="P337" s="13" t="s">
        <v>5709</v>
      </c>
      <c r="Q337" s="13" t="s">
        <v>2030</v>
      </c>
      <c r="R337" s="13" t="s">
        <v>1751</v>
      </c>
      <c r="S337" s="13" t="s">
        <v>253</v>
      </c>
      <c r="T337" s="13" t="s">
        <v>3664</v>
      </c>
      <c r="U337" s="18" t="s">
        <v>1314</v>
      </c>
      <c r="V337" s="13"/>
      <c r="W337" s="13"/>
      <c r="X337" s="13"/>
    </row>
    <row r="338" spans="2:24">
      <c r="B338" s="109"/>
      <c r="C338" s="109" t="s">
        <v>1315</v>
      </c>
      <c r="D338" s="20" t="s">
        <v>6099</v>
      </c>
      <c r="E338" s="109" t="s">
        <v>6100</v>
      </c>
      <c r="F338" s="112" t="s">
        <v>1317</v>
      </c>
      <c r="G338" s="109" t="s">
        <v>6101</v>
      </c>
      <c r="H338" s="109" t="s">
        <v>1319</v>
      </c>
      <c r="I338" s="109" t="s">
        <v>1320</v>
      </c>
      <c r="J338" s="109" t="s">
        <v>385</v>
      </c>
      <c r="K338" s="14" t="s">
        <v>248</v>
      </c>
      <c r="L338" s="109" t="s">
        <v>5611</v>
      </c>
      <c r="M338" s="109" t="s">
        <v>5693</v>
      </c>
      <c r="N338" s="13">
        <v>1</v>
      </c>
      <c r="O338" s="24">
        <v>43644</v>
      </c>
      <c r="P338" s="13" t="s">
        <v>5622</v>
      </c>
      <c r="Q338" s="13" t="s">
        <v>2030</v>
      </c>
      <c r="R338" s="13" t="s">
        <v>253</v>
      </c>
      <c r="S338" s="109" t="s">
        <v>6102</v>
      </c>
      <c r="T338" s="109" t="s">
        <v>3664</v>
      </c>
      <c r="U338" s="112" t="s">
        <v>1322</v>
      </c>
      <c r="V338" s="109"/>
      <c r="W338" s="109"/>
      <c r="X338" s="109"/>
    </row>
    <row r="339" spans="2:24">
      <c r="B339" s="109"/>
      <c r="C339" s="109"/>
      <c r="D339" s="20" t="str">
        <f>D338</f>
        <v>百程旅行</v>
      </c>
      <c r="E339" s="109"/>
      <c r="F339" s="112"/>
      <c r="G339" s="109"/>
      <c r="H339" s="109"/>
      <c r="I339" s="109"/>
      <c r="J339" s="109"/>
      <c r="K339" s="14" t="str">
        <f t="shared" ref="K339:K343" si="73">K338</f>
        <v>已关闭</v>
      </c>
      <c r="L339" s="109"/>
      <c r="M339" s="109"/>
      <c r="N339" s="13">
        <v>1</v>
      </c>
      <c r="O339" s="24">
        <v>42482</v>
      </c>
      <c r="P339" s="13" t="s">
        <v>5664</v>
      </c>
      <c r="Q339" s="13" t="s">
        <v>2030</v>
      </c>
      <c r="R339" s="13" t="s">
        <v>253</v>
      </c>
      <c r="S339" s="109"/>
      <c r="T339" s="109"/>
      <c r="U339" s="112"/>
      <c r="V339" s="109"/>
      <c r="W339" s="109"/>
      <c r="X339" s="109"/>
    </row>
    <row r="340" spans="2:24">
      <c r="B340" s="109"/>
      <c r="C340" s="109"/>
      <c r="D340" s="20" t="str">
        <f>D339</f>
        <v>百程旅行</v>
      </c>
      <c r="E340" s="109"/>
      <c r="F340" s="112"/>
      <c r="G340" s="109"/>
      <c r="H340" s="109"/>
      <c r="I340" s="109"/>
      <c r="J340" s="109"/>
      <c r="K340" s="14" t="str">
        <f t="shared" si="73"/>
        <v>已关闭</v>
      </c>
      <c r="L340" s="109"/>
      <c r="M340" s="109"/>
      <c r="N340" s="13">
        <v>1</v>
      </c>
      <c r="O340" s="24">
        <v>42233</v>
      </c>
      <c r="P340" s="13" t="s">
        <v>5613</v>
      </c>
      <c r="Q340" s="13" t="s">
        <v>3483</v>
      </c>
      <c r="R340" s="13" t="s">
        <v>1323</v>
      </c>
      <c r="S340" s="109"/>
      <c r="T340" s="109"/>
      <c r="U340" s="112"/>
      <c r="V340" s="109"/>
      <c r="W340" s="109"/>
      <c r="X340" s="109"/>
    </row>
    <row r="341" spans="2:24">
      <c r="B341" s="109"/>
      <c r="C341" s="109"/>
      <c r="D341" s="20" t="str">
        <f>D340</f>
        <v>百程旅行</v>
      </c>
      <c r="E341" s="109"/>
      <c r="F341" s="112"/>
      <c r="G341" s="109"/>
      <c r="H341" s="109"/>
      <c r="I341" s="109"/>
      <c r="J341" s="109"/>
      <c r="K341" s="14" t="str">
        <f t="shared" si="73"/>
        <v>已关闭</v>
      </c>
      <c r="L341" s="109"/>
      <c r="M341" s="109"/>
      <c r="N341" s="13">
        <v>1</v>
      </c>
      <c r="O341" s="24">
        <v>41699</v>
      </c>
      <c r="P341" s="13" t="s">
        <v>3648</v>
      </c>
      <c r="Q341" s="13" t="s">
        <v>4307</v>
      </c>
      <c r="R341" s="13" t="s">
        <v>1292</v>
      </c>
      <c r="S341" s="109"/>
      <c r="T341" s="109"/>
      <c r="U341" s="112"/>
      <c r="V341" s="109"/>
      <c r="W341" s="109"/>
      <c r="X341" s="109"/>
    </row>
    <row r="342" spans="2:24">
      <c r="B342" s="109"/>
      <c r="C342" s="109"/>
      <c r="D342" s="20" t="str">
        <f>D341</f>
        <v>百程旅行</v>
      </c>
      <c r="E342" s="109"/>
      <c r="F342" s="112"/>
      <c r="G342" s="109"/>
      <c r="H342" s="109"/>
      <c r="I342" s="109"/>
      <c r="J342" s="109"/>
      <c r="K342" s="14" t="str">
        <f t="shared" si="73"/>
        <v>已关闭</v>
      </c>
      <c r="L342" s="109"/>
      <c r="M342" s="109"/>
      <c r="N342" s="13">
        <v>1</v>
      </c>
      <c r="O342" s="24">
        <v>40556</v>
      </c>
      <c r="P342" s="13" t="s">
        <v>4306</v>
      </c>
      <c r="Q342" s="13" t="s">
        <v>5646</v>
      </c>
      <c r="R342" s="13" t="s">
        <v>6103</v>
      </c>
      <c r="S342" s="109"/>
      <c r="T342" s="109"/>
      <c r="U342" s="112"/>
      <c r="V342" s="109"/>
      <c r="W342" s="109"/>
      <c r="X342" s="109"/>
    </row>
    <row r="343" spans="2:24">
      <c r="B343" s="109"/>
      <c r="C343" s="109"/>
      <c r="D343" s="20" t="str">
        <f>D342</f>
        <v>百程旅行</v>
      </c>
      <c r="E343" s="109"/>
      <c r="F343" s="112"/>
      <c r="G343" s="109"/>
      <c r="H343" s="109"/>
      <c r="I343" s="109"/>
      <c r="J343" s="109"/>
      <c r="K343" s="14" t="str">
        <f t="shared" si="73"/>
        <v>已关闭</v>
      </c>
      <c r="L343" s="109"/>
      <c r="M343" s="109"/>
      <c r="N343" s="13">
        <v>1</v>
      </c>
      <c r="O343" s="24">
        <v>39508</v>
      </c>
      <c r="P343" s="13" t="s">
        <v>3513</v>
      </c>
      <c r="Q343" s="13" t="s">
        <v>5591</v>
      </c>
      <c r="R343" s="13" t="s">
        <v>1325</v>
      </c>
      <c r="S343" s="109"/>
      <c r="T343" s="109"/>
      <c r="U343" s="112"/>
      <c r="V343" s="109"/>
      <c r="W343" s="109"/>
      <c r="X343" s="109"/>
    </row>
    <row r="344" spans="2:24">
      <c r="B344" s="109"/>
      <c r="C344" s="109" t="s">
        <v>1326</v>
      </c>
      <c r="D344" s="20" t="s">
        <v>6104</v>
      </c>
      <c r="E344" s="109" t="s">
        <v>6105</v>
      </c>
      <c r="F344" s="112" t="s">
        <v>1328</v>
      </c>
      <c r="G344" s="109" t="s">
        <v>6106</v>
      </c>
      <c r="H344" s="109" t="s">
        <v>1330</v>
      </c>
      <c r="I344" s="109" t="s">
        <v>1275</v>
      </c>
      <c r="J344" s="109" t="s">
        <v>406</v>
      </c>
      <c r="K344" s="14" t="s">
        <v>272</v>
      </c>
      <c r="L344" s="109" t="s">
        <v>4472</v>
      </c>
      <c r="M344" s="109" t="s">
        <v>6107</v>
      </c>
      <c r="N344" s="13">
        <v>1</v>
      </c>
      <c r="O344" s="24">
        <v>42758</v>
      </c>
      <c r="P344" s="13" t="s">
        <v>5709</v>
      </c>
      <c r="Q344" s="13" t="s">
        <v>5000</v>
      </c>
      <c r="R344" s="13" t="s">
        <v>1751</v>
      </c>
      <c r="S344" s="109" t="s">
        <v>6108</v>
      </c>
      <c r="T344" s="109" t="s">
        <v>3664</v>
      </c>
      <c r="U344" s="112" t="s">
        <v>1333</v>
      </c>
      <c r="V344" s="109" t="s">
        <v>1334</v>
      </c>
      <c r="W344" s="109" t="s">
        <v>1335</v>
      </c>
      <c r="X344" s="109" t="s">
        <v>1336</v>
      </c>
    </row>
    <row r="345" spans="2:24">
      <c r="B345" s="109"/>
      <c r="C345" s="109"/>
      <c r="D345" s="20" t="str">
        <f>D344</f>
        <v>魅力惠</v>
      </c>
      <c r="E345" s="109"/>
      <c r="F345" s="112"/>
      <c r="G345" s="109"/>
      <c r="H345" s="109"/>
      <c r="I345" s="109"/>
      <c r="J345" s="109"/>
      <c r="K345" s="14" t="str">
        <f t="shared" ref="K345:K347" si="74">K344</f>
        <v>运营中</v>
      </c>
      <c r="L345" s="109"/>
      <c r="M345" s="109"/>
      <c r="N345" s="13">
        <v>1</v>
      </c>
      <c r="O345" s="24">
        <v>42193</v>
      </c>
      <c r="P345" s="13" t="s">
        <v>5613</v>
      </c>
      <c r="Q345" s="13" t="s">
        <v>4732</v>
      </c>
      <c r="R345" s="13" t="s">
        <v>1751</v>
      </c>
      <c r="S345" s="109"/>
      <c r="T345" s="109"/>
      <c r="U345" s="112"/>
      <c r="V345" s="109"/>
      <c r="W345" s="109"/>
      <c r="X345" s="109"/>
    </row>
    <row r="346" spans="2:24">
      <c r="B346" s="109"/>
      <c r="C346" s="109"/>
      <c r="D346" s="20" t="str">
        <f>D345</f>
        <v>魅力惠</v>
      </c>
      <c r="E346" s="109"/>
      <c r="F346" s="112"/>
      <c r="G346" s="109"/>
      <c r="H346" s="109"/>
      <c r="I346" s="109"/>
      <c r="J346" s="109"/>
      <c r="K346" s="14" t="str">
        <f t="shared" si="74"/>
        <v>运营中</v>
      </c>
      <c r="L346" s="109"/>
      <c r="M346" s="109"/>
      <c r="N346" s="13">
        <v>1</v>
      </c>
      <c r="O346" s="24">
        <v>40969</v>
      </c>
      <c r="P346" s="13" t="s">
        <v>3648</v>
      </c>
      <c r="Q346" s="13" t="s">
        <v>6109</v>
      </c>
      <c r="R346" s="13" t="s">
        <v>1338</v>
      </c>
      <c r="S346" s="109"/>
      <c r="T346" s="109"/>
      <c r="U346" s="112"/>
      <c r="V346" s="109"/>
      <c r="W346" s="109"/>
      <c r="X346" s="109"/>
    </row>
    <row r="347" spans="2:24">
      <c r="B347" s="109"/>
      <c r="C347" s="109"/>
      <c r="D347" s="20" t="str">
        <f>D346</f>
        <v>魅力惠</v>
      </c>
      <c r="E347" s="109"/>
      <c r="F347" s="112"/>
      <c r="G347" s="109"/>
      <c r="H347" s="109"/>
      <c r="I347" s="109"/>
      <c r="J347" s="109"/>
      <c r="K347" s="14" t="str">
        <f t="shared" si="74"/>
        <v>运营中</v>
      </c>
      <c r="L347" s="109"/>
      <c r="M347" s="109"/>
      <c r="N347" s="13">
        <v>1</v>
      </c>
      <c r="O347" s="24">
        <v>40544</v>
      </c>
      <c r="P347" s="13" t="s">
        <v>3513</v>
      </c>
      <c r="Q347" s="13" t="s">
        <v>5129</v>
      </c>
      <c r="R347" s="13" t="s">
        <v>6110</v>
      </c>
      <c r="S347" s="109"/>
      <c r="T347" s="109"/>
      <c r="U347" s="112"/>
      <c r="V347" s="109"/>
      <c r="W347" s="109"/>
      <c r="X347" s="109"/>
    </row>
    <row r="348" spans="2:24">
      <c r="B348" s="109"/>
      <c r="C348" s="109" t="s">
        <v>1340</v>
      </c>
      <c r="D348" s="20" t="s">
        <v>6111</v>
      </c>
      <c r="E348" s="109" t="s">
        <v>6112</v>
      </c>
      <c r="F348" s="112" t="s">
        <v>1342</v>
      </c>
      <c r="G348" s="109" t="s">
        <v>6113</v>
      </c>
      <c r="H348" s="109" t="s">
        <v>1344</v>
      </c>
      <c r="I348" s="109" t="s">
        <v>760</v>
      </c>
      <c r="J348" s="109" t="s">
        <v>406</v>
      </c>
      <c r="K348" s="14" t="s">
        <v>248</v>
      </c>
      <c r="L348" s="109" t="s">
        <v>4162</v>
      </c>
      <c r="M348" s="109" t="s">
        <v>6009</v>
      </c>
      <c r="N348" s="13">
        <v>1</v>
      </c>
      <c r="O348" s="24">
        <v>41275</v>
      </c>
      <c r="P348" s="13" t="s">
        <v>5709</v>
      </c>
      <c r="Q348" s="13" t="s">
        <v>6114</v>
      </c>
      <c r="R348" s="13" t="s">
        <v>1751</v>
      </c>
      <c r="S348" s="109" t="s">
        <v>6115</v>
      </c>
      <c r="T348" s="109" t="s">
        <v>4906</v>
      </c>
      <c r="U348" s="112" t="s">
        <v>1348</v>
      </c>
      <c r="V348" s="109" t="s">
        <v>1349</v>
      </c>
      <c r="W348" s="109"/>
      <c r="X348" s="109" t="s">
        <v>1350</v>
      </c>
    </row>
    <row r="349" spans="2:24">
      <c r="B349" s="109"/>
      <c r="C349" s="109"/>
      <c r="D349" s="20" t="str">
        <f>D348</f>
        <v>虾米音乐</v>
      </c>
      <c r="E349" s="109"/>
      <c r="F349" s="112"/>
      <c r="G349" s="109"/>
      <c r="H349" s="109"/>
      <c r="I349" s="109"/>
      <c r="J349" s="109"/>
      <c r="K349" s="14" t="str">
        <f t="shared" ref="K349:K351" si="75">K348</f>
        <v>已关闭</v>
      </c>
      <c r="L349" s="109"/>
      <c r="M349" s="109"/>
      <c r="N349" s="13">
        <v>1</v>
      </c>
      <c r="O349" s="24">
        <v>40330</v>
      </c>
      <c r="P349" s="13" t="s">
        <v>5754</v>
      </c>
      <c r="Q349" s="13" t="s">
        <v>5646</v>
      </c>
      <c r="R349" s="13" t="s">
        <v>5892</v>
      </c>
      <c r="S349" s="109"/>
      <c r="T349" s="109"/>
      <c r="U349" s="112"/>
      <c r="V349" s="109"/>
      <c r="W349" s="109"/>
      <c r="X349" s="109"/>
    </row>
    <row r="350" spans="2:24">
      <c r="B350" s="109"/>
      <c r="C350" s="109"/>
      <c r="D350" s="20" t="str">
        <f>D349</f>
        <v>虾米音乐</v>
      </c>
      <c r="E350" s="109"/>
      <c r="F350" s="112"/>
      <c r="G350" s="109"/>
      <c r="H350" s="109"/>
      <c r="I350" s="109"/>
      <c r="J350" s="109"/>
      <c r="K350" s="14" t="str">
        <f t="shared" si="75"/>
        <v>已关闭</v>
      </c>
      <c r="L350" s="109"/>
      <c r="M350" s="109"/>
      <c r="N350" s="13">
        <v>1</v>
      </c>
      <c r="O350" s="24">
        <v>40238</v>
      </c>
      <c r="P350" s="13" t="s">
        <v>3648</v>
      </c>
      <c r="Q350" s="13" t="s">
        <v>5735</v>
      </c>
      <c r="R350" s="13" t="s">
        <v>6116</v>
      </c>
      <c r="S350" s="109"/>
      <c r="T350" s="109"/>
      <c r="U350" s="112"/>
      <c r="V350" s="109"/>
      <c r="W350" s="109"/>
      <c r="X350" s="109"/>
    </row>
    <row r="351" spans="2:24">
      <c r="B351" s="109"/>
      <c r="C351" s="109"/>
      <c r="D351" s="20" t="str">
        <f>D350</f>
        <v>虾米音乐</v>
      </c>
      <c r="E351" s="109"/>
      <c r="F351" s="112"/>
      <c r="G351" s="109"/>
      <c r="H351" s="109"/>
      <c r="I351" s="109"/>
      <c r="J351" s="109"/>
      <c r="K351" s="14" t="str">
        <f t="shared" si="75"/>
        <v>已关闭</v>
      </c>
      <c r="L351" s="109"/>
      <c r="M351" s="109"/>
      <c r="N351" s="13">
        <v>1</v>
      </c>
      <c r="O351" s="24">
        <v>39600</v>
      </c>
      <c r="P351" s="13" t="s">
        <v>3513</v>
      </c>
      <c r="Q351" s="13" t="s">
        <v>2030</v>
      </c>
      <c r="R351" s="13" t="s">
        <v>6116</v>
      </c>
      <c r="S351" s="109"/>
      <c r="T351" s="109"/>
      <c r="U351" s="112"/>
      <c r="V351" s="109"/>
      <c r="W351" s="109"/>
      <c r="X351" s="109"/>
    </row>
    <row r="352" spans="2:24">
      <c r="B352" s="109"/>
      <c r="C352" s="109" t="s">
        <v>1352</v>
      </c>
      <c r="D352" s="20" t="s">
        <v>6117</v>
      </c>
      <c r="E352" s="109" t="s">
        <v>6118</v>
      </c>
      <c r="F352" s="112" t="s">
        <v>6119</v>
      </c>
      <c r="G352" s="109" t="s">
        <v>6120</v>
      </c>
      <c r="H352" s="109"/>
      <c r="I352" s="109" t="s">
        <v>1356</v>
      </c>
      <c r="J352" s="109" t="s">
        <v>385</v>
      </c>
      <c r="K352" s="14" t="s">
        <v>272</v>
      </c>
      <c r="L352" s="109" t="s">
        <v>5611</v>
      </c>
      <c r="M352" s="109" t="s">
        <v>6121</v>
      </c>
      <c r="N352" s="13">
        <v>1</v>
      </c>
      <c r="O352" s="24">
        <v>44362</v>
      </c>
      <c r="P352" s="13" t="s">
        <v>5709</v>
      </c>
      <c r="Q352" s="13" t="s">
        <v>6122</v>
      </c>
      <c r="R352" s="13" t="s">
        <v>6123</v>
      </c>
      <c r="S352" s="109" t="s">
        <v>6124</v>
      </c>
      <c r="T352" s="109" t="s">
        <v>6125</v>
      </c>
      <c r="U352" s="112" t="s">
        <v>1362</v>
      </c>
      <c r="V352" s="109" t="s">
        <v>1363</v>
      </c>
      <c r="W352" s="109" t="s">
        <v>1364</v>
      </c>
      <c r="X352" s="109" t="s">
        <v>1365</v>
      </c>
    </row>
    <row r="353" spans="2:24">
      <c r="B353" s="109"/>
      <c r="C353" s="109"/>
      <c r="D353" s="20" t="str">
        <f t="shared" ref="D353:D358" si="76">D352</f>
        <v>众信旅游</v>
      </c>
      <c r="E353" s="109"/>
      <c r="F353" s="112"/>
      <c r="G353" s="109"/>
      <c r="H353" s="109"/>
      <c r="I353" s="109"/>
      <c r="J353" s="109"/>
      <c r="K353" s="14" t="str">
        <f t="shared" ref="K353:K358" si="77">K352</f>
        <v>运营中</v>
      </c>
      <c r="L353" s="109"/>
      <c r="M353" s="109"/>
      <c r="N353" s="13">
        <v>1</v>
      </c>
      <c r="O353" s="24">
        <v>44104</v>
      </c>
      <c r="P353" s="13" t="s">
        <v>5810</v>
      </c>
      <c r="Q353" s="13" t="s">
        <v>6126</v>
      </c>
      <c r="R353" s="13" t="s">
        <v>1751</v>
      </c>
      <c r="S353" s="109"/>
      <c r="T353" s="109"/>
      <c r="U353" s="112"/>
      <c r="V353" s="109"/>
      <c r="W353" s="109"/>
      <c r="X353" s="109"/>
    </row>
    <row r="354" spans="2:24">
      <c r="B354" s="109"/>
      <c r="C354" s="109"/>
      <c r="D354" s="20" t="str">
        <f t="shared" si="76"/>
        <v>众信旅游</v>
      </c>
      <c r="E354" s="109"/>
      <c r="F354" s="112"/>
      <c r="G354" s="109"/>
      <c r="H354" s="109"/>
      <c r="I354" s="109"/>
      <c r="J354" s="109"/>
      <c r="K354" s="14" t="str">
        <f t="shared" si="77"/>
        <v>运营中</v>
      </c>
      <c r="L354" s="109"/>
      <c r="M354" s="109"/>
      <c r="N354" s="13">
        <v>1</v>
      </c>
      <c r="O354" s="24">
        <v>43480</v>
      </c>
      <c r="P354" s="13" t="s">
        <v>5810</v>
      </c>
      <c r="Q354" s="13" t="s">
        <v>6127</v>
      </c>
      <c r="R354" s="13" t="s">
        <v>253</v>
      </c>
      <c r="S354" s="109"/>
      <c r="T354" s="109"/>
      <c r="U354" s="112"/>
      <c r="V354" s="109"/>
      <c r="W354" s="109"/>
      <c r="X354" s="109"/>
    </row>
    <row r="355" spans="2:24">
      <c r="B355" s="109"/>
      <c r="C355" s="109"/>
      <c r="D355" s="20" t="str">
        <f t="shared" si="76"/>
        <v>众信旅游</v>
      </c>
      <c r="E355" s="109"/>
      <c r="F355" s="112"/>
      <c r="G355" s="109"/>
      <c r="H355" s="109"/>
      <c r="I355" s="109"/>
      <c r="J355" s="109"/>
      <c r="K355" s="14" t="str">
        <f t="shared" si="77"/>
        <v>运营中</v>
      </c>
      <c r="L355" s="109"/>
      <c r="M355" s="109"/>
      <c r="N355" s="13">
        <v>1</v>
      </c>
      <c r="O355" s="24">
        <v>42278</v>
      </c>
      <c r="P355" s="13" t="s">
        <v>5810</v>
      </c>
      <c r="Q355" s="13" t="s">
        <v>3514</v>
      </c>
      <c r="R355" s="13" t="s">
        <v>1368</v>
      </c>
      <c r="S355" s="109"/>
      <c r="T355" s="109"/>
      <c r="U355" s="112"/>
      <c r="V355" s="109"/>
      <c r="W355" s="109"/>
      <c r="X355" s="109"/>
    </row>
    <row r="356" spans="2:24">
      <c r="B356" s="109"/>
      <c r="C356" s="109"/>
      <c r="D356" s="20" t="str">
        <f t="shared" si="76"/>
        <v>众信旅游</v>
      </c>
      <c r="E356" s="109"/>
      <c r="F356" s="112"/>
      <c r="G356" s="109"/>
      <c r="H356" s="109"/>
      <c r="I356" s="109"/>
      <c r="J356" s="109"/>
      <c r="K356" s="14" t="str">
        <f t="shared" si="77"/>
        <v>运营中</v>
      </c>
      <c r="L356" s="109"/>
      <c r="M356" s="109"/>
      <c r="N356" s="13">
        <v>1</v>
      </c>
      <c r="O356" s="24">
        <v>41662</v>
      </c>
      <c r="P356" s="13" t="s">
        <v>5625</v>
      </c>
      <c r="Q356" s="13" t="s">
        <v>1750</v>
      </c>
      <c r="R356" s="13" t="s">
        <v>253</v>
      </c>
      <c r="S356" s="109"/>
      <c r="T356" s="109"/>
      <c r="U356" s="112"/>
      <c r="V356" s="109"/>
      <c r="W356" s="109"/>
      <c r="X356" s="109"/>
    </row>
    <row r="357" spans="2:24">
      <c r="B357" s="109"/>
      <c r="C357" s="109"/>
      <c r="D357" s="20" t="str">
        <f t="shared" si="76"/>
        <v>众信旅游</v>
      </c>
      <c r="E357" s="109"/>
      <c r="F357" s="112"/>
      <c r="G357" s="109"/>
      <c r="H357" s="109"/>
      <c r="I357" s="109"/>
      <c r="J357" s="109"/>
      <c r="K357" s="14" t="str">
        <f t="shared" si="77"/>
        <v>运营中</v>
      </c>
      <c r="L357" s="109"/>
      <c r="M357" s="109"/>
      <c r="N357" s="13">
        <v>1</v>
      </c>
      <c r="O357" s="24">
        <v>40452</v>
      </c>
      <c r="P357" s="13" t="s">
        <v>3513</v>
      </c>
      <c r="Q357" s="13" t="s">
        <v>3514</v>
      </c>
      <c r="R357" s="13" t="s">
        <v>6128</v>
      </c>
      <c r="S357" s="109"/>
      <c r="T357" s="109"/>
      <c r="U357" s="112"/>
      <c r="V357" s="109"/>
      <c r="W357" s="109"/>
      <c r="X357" s="109"/>
    </row>
    <row r="358" spans="2:24">
      <c r="B358" s="109"/>
      <c r="C358" s="109"/>
      <c r="D358" s="20" t="str">
        <f t="shared" si="76"/>
        <v>众信旅游</v>
      </c>
      <c r="E358" s="109"/>
      <c r="F358" s="112"/>
      <c r="G358" s="109"/>
      <c r="H358" s="109"/>
      <c r="I358" s="109"/>
      <c r="J358" s="109"/>
      <c r="K358" s="14" t="str">
        <f t="shared" si="77"/>
        <v>运营中</v>
      </c>
      <c r="L358" s="109"/>
      <c r="M358" s="109"/>
      <c r="N358" s="13">
        <v>1</v>
      </c>
      <c r="O358" s="24">
        <v>39532</v>
      </c>
      <c r="P358" s="13" t="s">
        <v>5474</v>
      </c>
      <c r="Q358" s="13" t="s">
        <v>6129</v>
      </c>
      <c r="R358" s="13" t="s">
        <v>1371</v>
      </c>
      <c r="S358" s="109"/>
      <c r="T358" s="109"/>
      <c r="U358" s="112"/>
      <c r="V358" s="109"/>
      <c r="W358" s="109"/>
      <c r="X358" s="109"/>
    </row>
    <row r="359" spans="2:24">
      <c r="B359" s="109"/>
      <c r="C359" s="109" t="s">
        <v>1372</v>
      </c>
      <c r="D359" s="20" t="s">
        <v>6130</v>
      </c>
      <c r="E359" s="109" t="s">
        <v>1374</v>
      </c>
      <c r="F359" s="112" t="s">
        <v>1375</v>
      </c>
      <c r="G359" s="109" t="s">
        <v>6131</v>
      </c>
      <c r="H359" s="109" t="s">
        <v>1377</v>
      </c>
      <c r="I359" s="109" t="s">
        <v>1378</v>
      </c>
      <c r="J359" s="109" t="s">
        <v>547</v>
      </c>
      <c r="K359" s="14" t="s">
        <v>272</v>
      </c>
      <c r="L359" s="109" t="s">
        <v>4472</v>
      </c>
      <c r="M359" s="109" t="s">
        <v>5411</v>
      </c>
      <c r="N359" s="13"/>
      <c r="O359" s="24">
        <v>42074</v>
      </c>
      <c r="P359" s="13" t="s">
        <v>1045</v>
      </c>
      <c r="Q359" s="13" t="s">
        <v>6132</v>
      </c>
      <c r="R359" s="13" t="s">
        <v>6133</v>
      </c>
      <c r="S359" s="109" t="s">
        <v>6134</v>
      </c>
      <c r="T359" s="109" t="s">
        <v>6135</v>
      </c>
      <c r="U359" s="112" t="s">
        <v>1384</v>
      </c>
      <c r="V359" s="109" t="s">
        <v>1385</v>
      </c>
      <c r="W359" s="109"/>
      <c r="X359" s="109"/>
    </row>
    <row r="360" spans="2:24">
      <c r="B360" s="109"/>
      <c r="C360" s="109"/>
      <c r="D360" s="20" t="str">
        <f>D359</f>
        <v>茵曼INMAN</v>
      </c>
      <c r="E360" s="109"/>
      <c r="F360" s="112"/>
      <c r="G360" s="109"/>
      <c r="H360" s="109"/>
      <c r="I360" s="109"/>
      <c r="J360" s="109"/>
      <c r="K360" s="14" t="str">
        <f>K359</f>
        <v>运营中</v>
      </c>
      <c r="L360" s="109"/>
      <c r="M360" s="109"/>
      <c r="N360" s="13"/>
      <c r="O360" s="24">
        <v>41671</v>
      </c>
      <c r="P360" s="13" t="s">
        <v>3513</v>
      </c>
      <c r="Q360" s="13" t="s">
        <v>5129</v>
      </c>
      <c r="R360" s="13" t="s">
        <v>6136</v>
      </c>
      <c r="S360" s="109"/>
      <c r="T360" s="109"/>
      <c r="U360" s="112"/>
      <c r="V360" s="109"/>
      <c r="W360" s="109"/>
      <c r="X360" s="109"/>
    </row>
    <row r="361" spans="2:24">
      <c r="B361" s="109"/>
      <c r="C361" s="109" t="s">
        <v>1387</v>
      </c>
      <c r="D361" s="20" t="s">
        <v>6137</v>
      </c>
      <c r="E361" s="109" t="s">
        <v>6138</v>
      </c>
      <c r="F361" s="112" t="s">
        <v>1389</v>
      </c>
      <c r="G361" s="109" t="s">
        <v>6139</v>
      </c>
      <c r="H361" s="109" t="s">
        <v>1391</v>
      </c>
      <c r="I361" s="109" t="s">
        <v>1392</v>
      </c>
      <c r="J361" s="109" t="s">
        <v>385</v>
      </c>
      <c r="K361" s="14" t="s">
        <v>272</v>
      </c>
      <c r="L361" s="109" t="s">
        <v>5651</v>
      </c>
      <c r="M361" s="109" t="s">
        <v>6140</v>
      </c>
      <c r="N361" s="13">
        <v>1</v>
      </c>
      <c r="O361" s="24">
        <v>41743</v>
      </c>
      <c r="P361" s="13" t="s">
        <v>5709</v>
      </c>
      <c r="Q361" s="13" t="s">
        <v>6141</v>
      </c>
      <c r="R361" s="13" t="s">
        <v>1751</v>
      </c>
      <c r="S361" s="109" t="s">
        <v>6142</v>
      </c>
      <c r="T361" s="109" t="s">
        <v>6143</v>
      </c>
      <c r="U361" s="112" t="s">
        <v>1397</v>
      </c>
      <c r="V361" s="109" t="s">
        <v>1398</v>
      </c>
      <c r="W361" s="109"/>
      <c r="X361" s="109"/>
    </row>
    <row r="362" spans="2:24">
      <c r="B362" s="109"/>
      <c r="C362" s="109"/>
      <c r="D362" s="20" t="str">
        <f>D361</f>
        <v>高德地图</v>
      </c>
      <c r="E362" s="109"/>
      <c r="F362" s="112"/>
      <c r="G362" s="109"/>
      <c r="H362" s="109"/>
      <c r="I362" s="109"/>
      <c r="J362" s="109"/>
      <c r="K362" s="14" t="str">
        <f t="shared" ref="K362:K364" si="78">K361</f>
        <v>运营中</v>
      </c>
      <c r="L362" s="109"/>
      <c r="M362" s="109"/>
      <c r="N362" s="13">
        <v>1</v>
      </c>
      <c r="O362" s="24">
        <v>41395</v>
      </c>
      <c r="P362" s="13" t="s">
        <v>5810</v>
      </c>
      <c r="Q362" s="13" t="s">
        <v>6144</v>
      </c>
      <c r="R362" s="13" t="s">
        <v>1751</v>
      </c>
      <c r="S362" s="109"/>
      <c r="T362" s="109"/>
      <c r="U362" s="112"/>
      <c r="V362" s="109"/>
      <c r="W362" s="109"/>
      <c r="X362" s="109"/>
    </row>
    <row r="363" spans="2:24">
      <c r="B363" s="109"/>
      <c r="C363" s="109"/>
      <c r="D363" s="20" t="str">
        <f>D362</f>
        <v>高德地图</v>
      </c>
      <c r="E363" s="109"/>
      <c r="F363" s="112"/>
      <c r="G363" s="109"/>
      <c r="H363" s="109"/>
      <c r="I363" s="109"/>
      <c r="J363" s="109"/>
      <c r="K363" s="14" t="str">
        <f t="shared" si="78"/>
        <v>运营中</v>
      </c>
      <c r="L363" s="109"/>
      <c r="M363" s="109"/>
      <c r="N363" s="13">
        <v>1</v>
      </c>
      <c r="O363" s="24">
        <v>40360</v>
      </c>
      <c r="P363" s="13" t="s">
        <v>5625</v>
      </c>
      <c r="Q363" s="13" t="s">
        <v>5529</v>
      </c>
      <c r="R363" s="13" t="s">
        <v>253</v>
      </c>
      <c r="S363" s="109"/>
      <c r="T363" s="109"/>
      <c r="U363" s="112"/>
      <c r="V363" s="109"/>
      <c r="W363" s="109"/>
      <c r="X363" s="109"/>
    </row>
    <row r="364" spans="2:24">
      <c r="B364" s="109"/>
      <c r="C364" s="109"/>
      <c r="D364" s="20" t="str">
        <f>D363</f>
        <v>高德地图</v>
      </c>
      <c r="E364" s="109"/>
      <c r="F364" s="112"/>
      <c r="G364" s="109"/>
      <c r="H364" s="109"/>
      <c r="I364" s="109"/>
      <c r="J364" s="109"/>
      <c r="K364" s="14" t="str">
        <f t="shared" si="78"/>
        <v>运营中</v>
      </c>
      <c r="L364" s="109"/>
      <c r="M364" s="109"/>
      <c r="N364" s="13">
        <v>1</v>
      </c>
      <c r="O364" s="24">
        <v>38991</v>
      </c>
      <c r="P364" s="13" t="s">
        <v>3513</v>
      </c>
      <c r="Q364" s="13" t="s">
        <v>5389</v>
      </c>
      <c r="R364" s="13" t="s">
        <v>1400</v>
      </c>
      <c r="S364" s="109"/>
      <c r="T364" s="109"/>
      <c r="U364" s="112"/>
      <c r="V364" s="109"/>
      <c r="W364" s="109"/>
      <c r="X364" s="109"/>
    </row>
    <row r="365" spans="2:24">
      <c r="B365" s="109"/>
      <c r="C365" s="109" t="s">
        <v>1401</v>
      </c>
      <c r="D365" s="20" t="s">
        <v>6145</v>
      </c>
      <c r="E365" s="109" t="s">
        <v>6146</v>
      </c>
      <c r="F365" s="112" t="s">
        <v>1403</v>
      </c>
      <c r="G365" s="109" t="s">
        <v>6147</v>
      </c>
      <c r="H365" s="109" t="s">
        <v>1405</v>
      </c>
      <c r="I365" s="109" t="s">
        <v>1406</v>
      </c>
      <c r="J365" s="109" t="s">
        <v>1215</v>
      </c>
      <c r="K365" s="14" t="s">
        <v>272</v>
      </c>
      <c r="L365" s="109" t="s">
        <v>4472</v>
      </c>
      <c r="M365" s="109" t="s">
        <v>4473</v>
      </c>
      <c r="N365" s="13">
        <v>1</v>
      </c>
      <c r="O365" s="24">
        <v>44103</v>
      </c>
      <c r="P365" s="13" t="s">
        <v>5625</v>
      </c>
      <c r="Q365" s="13" t="s">
        <v>6148</v>
      </c>
      <c r="R365" s="13" t="s">
        <v>253</v>
      </c>
      <c r="S365" s="109" t="s">
        <v>6149</v>
      </c>
      <c r="T365" s="109" t="s">
        <v>6150</v>
      </c>
      <c r="U365" s="112" t="s">
        <v>1410</v>
      </c>
      <c r="V365" s="109" t="s">
        <v>1411</v>
      </c>
      <c r="W365" s="109" t="s">
        <v>1412</v>
      </c>
      <c r="X365" s="109" t="s">
        <v>1413</v>
      </c>
    </row>
    <row r="366" spans="2:24">
      <c r="B366" s="109"/>
      <c r="C366" s="109"/>
      <c r="D366" s="20" t="str">
        <f>D365</f>
        <v>宝尊电商</v>
      </c>
      <c r="E366" s="109"/>
      <c r="F366" s="112"/>
      <c r="G366" s="109"/>
      <c r="H366" s="109"/>
      <c r="I366" s="109"/>
      <c r="J366" s="109"/>
      <c r="K366" s="14" t="str">
        <f t="shared" ref="K366:K369" si="79">K365</f>
        <v>运营中</v>
      </c>
      <c r="L366" s="109"/>
      <c r="M366" s="109"/>
      <c r="N366" s="13">
        <v>1</v>
      </c>
      <c r="O366" s="24">
        <v>42145</v>
      </c>
      <c r="P366" s="13" t="s">
        <v>5625</v>
      </c>
      <c r="Q366" s="13" t="s">
        <v>5529</v>
      </c>
      <c r="R366" s="13" t="s">
        <v>253</v>
      </c>
      <c r="S366" s="109"/>
      <c r="T366" s="109"/>
      <c r="U366" s="112"/>
      <c r="V366" s="109"/>
      <c r="W366" s="109"/>
      <c r="X366" s="109"/>
    </row>
    <row r="367" spans="2:24">
      <c r="B367" s="109"/>
      <c r="C367" s="109"/>
      <c r="D367" s="20" t="str">
        <f>D366</f>
        <v>宝尊电商</v>
      </c>
      <c r="E367" s="109"/>
      <c r="F367" s="112"/>
      <c r="G367" s="109"/>
      <c r="H367" s="109"/>
      <c r="I367" s="109"/>
      <c r="J367" s="109"/>
      <c r="K367" s="14" t="str">
        <f t="shared" si="79"/>
        <v>运营中</v>
      </c>
      <c r="L367" s="109"/>
      <c r="M367" s="109"/>
      <c r="N367" s="13">
        <v>1</v>
      </c>
      <c r="O367" s="24">
        <v>41275</v>
      </c>
      <c r="P367" s="13" t="s">
        <v>5613</v>
      </c>
      <c r="Q367" s="13" t="s">
        <v>5129</v>
      </c>
      <c r="R367" s="13" t="s">
        <v>1414</v>
      </c>
      <c r="S367" s="109"/>
      <c r="T367" s="109"/>
      <c r="U367" s="112"/>
      <c r="V367" s="109"/>
      <c r="W367" s="109"/>
      <c r="X367" s="109"/>
    </row>
    <row r="368" spans="2:24">
      <c r="B368" s="109"/>
      <c r="C368" s="109"/>
      <c r="D368" s="20" t="str">
        <f>D367</f>
        <v>宝尊电商</v>
      </c>
      <c r="E368" s="109"/>
      <c r="F368" s="112"/>
      <c r="G368" s="109"/>
      <c r="H368" s="109"/>
      <c r="I368" s="109"/>
      <c r="J368" s="109"/>
      <c r="K368" s="14" t="str">
        <f t="shared" si="79"/>
        <v>运营中</v>
      </c>
      <c r="L368" s="109"/>
      <c r="M368" s="109"/>
      <c r="N368" s="13">
        <v>1</v>
      </c>
      <c r="O368" s="24">
        <v>40603</v>
      </c>
      <c r="P368" s="13" t="s">
        <v>3648</v>
      </c>
      <c r="Q368" s="13" t="s">
        <v>5129</v>
      </c>
      <c r="R368" s="13" t="s">
        <v>1415</v>
      </c>
      <c r="S368" s="109"/>
      <c r="T368" s="109"/>
      <c r="U368" s="112"/>
      <c r="V368" s="109"/>
      <c r="W368" s="109"/>
      <c r="X368" s="109"/>
    </row>
    <row r="369" spans="2:24">
      <c r="B369" s="109"/>
      <c r="C369" s="109"/>
      <c r="D369" s="20" t="str">
        <f>D368</f>
        <v>宝尊电商</v>
      </c>
      <c r="E369" s="109"/>
      <c r="F369" s="112"/>
      <c r="G369" s="109"/>
      <c r="H369" s="109"/>
      <c r="I369" s="109"/>
      <c r="J369" s="109"/>
      <c r="K369" s="14" t="str">
        <f t="shared" si="79"/>
        <v>运营中</v>
      </c>
      <c r="L369" s="109"/>
      <c r="M369" s="109"/>
      <c r="N369" s="13">
        <v>1</v>
      </c>
      <c r="O369" s="24">
        <v>40179</v>
      </c>
      <c r="P369" s="13" t="s">
        <v>3513</v>
      </c>
      <c r="Q369" s="13" t="s">
        <v>5616</v>
      </c>
      <c r="R369" s="13" t="s">
        <v>1751</v>
      </c>
      <c r="S369" s="109"/>
      <c r="T369" s="109"/>
      <c r="U369" s="112"/>
      <c r="V369" s="109"/>
      <c r="W369" s="109"/>
      <c r="X369" s="109"/>
    </row>
    <row r="370" spans="2:24">
      <c r="B370" s="109"/>
      <c r="C370" s="109" t="s">
        <v>1416</v>
      </c>
      <c r="D370" s="20" t="s">
        <v>6151</v>
      </c>
      <c r="E370" s="109" t="s">
        <v>1418</v>
      </c>
      <c r="F370" s="112" t="s">
        <v>1419</v>
      </c>
      <c r="G370" s="109" t="s">
        <v>6152</v>
      </c>
      <c r="H370" s="109" t="s">
        <v>1421</v>
      </c>
      <c r="I370" s="109" t="s">
        <v>1422</v>
      </c>
      <c r="J370" s="109" t="s">
        <v>973</v>
      </c>
      <c r="K370" s="14" t="s">
        <v>272</v>
      </c>
      <c r="L370" s="109" t="s">
        <v>3661</v>
      </c>
      <c r="M370" s="109" t="s">
        <v>5031</v>
      </c>
      <c r="N370" s="13"/>
      <c r="O370" s="24">
        <v>43053</v>
      </c>
      <c r="P370" s="13" t="s">
        <v>1045</v>
      </c>
      <c r="Q370" s="13" t="s">
        <v>2030</v>
      </c>
      <c r="R370" s="13" t="s">
        <v>1424</v>
      </c>
      <c r="S370" s="109" t="s">
        <v>6153</v>
      </c>
      <c r="T370" s="109" t="s">
        <v>3664</v>
      </c>
      <c r="U370" s="112" t="s">
        <v>1426</v>
      </c>
      <c r="V370" s="109" t="s">
        <v>1427</v>
      </c>
      <c r="W370" s="109" t="s">
        <v>1428</v>
      </c>
      <c r="X370" s="109" t="s">
        <v>1429</v>
      </c>
    </row>
    <row r="371" spans="2:24">
      <c r="B371" s="109"/>
      <c r="C371" s="109"/>
      <c r="D371" s="20" t="str">
        <f>D370</f>
        <v>上海庆科MXCHIP</v>
      </c>
      <c r="E371" s="109"/>
      <c r="F371" s="112"/>
      <c r="G371" s="109"/>
      <c r="H371" s="109"/>
      <c r="I371" s="109"/>
      <c r="J371" s="109"/>
      <c r="K371" s="14" t="str">
        <f t="shared" ref="K371:K373" si="80">K370</f>
        <v>运营中</v>
      </c>
      <c r="L371" s="109"/>
      <c r="M371" s="109"/>
      <c r="N371" s="13"/>
      <c r="O371" s="24">
        <v>42254</v>
      </c>
      <c r="P371" s="13" t="s">
        <v>3648</v>
      </c>
      <c r="Q371" s="13" t="s">
        <v>3514</v>
      </c>
      <c r="R371" s="13" t="s">
        <v>1430</v>
      </c>
      <c r="S371" s="109"/>
      <c r="T371" s="109"/>
      <c r="U371" s="112"/>
      <c r="V371" s="109"/>
      <c r="W371" s="109"/>
      <c r="X371" s="109"/>
    </row>
    <row r="372" spans="2:24">
      <c r="B372" s="109"/>
      <c r="C372" s="109"/>
      <c r="D372" s="20" t="str">
        <f>D371</f>
        <v>上海庆科MXCHIP</v>
      </c>
      <c r="E372" s="109"/>
      <c r="F372" s="112"/>
      <c r="G372" s="109"/>
      <c r="H372" s="109"/>
      <c r="I372" s="109"/>
      <c r="J372" s="109"/>
      <c r="K372" s="14" t="str">
        <f t="shared" si="80"/>
        <v>运营中</v>
      </c>
      <c r="L372" s="109"/>
      <c r="M372" s="109"/>
      <c r="N372" s="13"/>
      <c r="O372" s="24">
        <v>41837</v>
      </c>
      <c r="P372" s="13" t="s">
        <v>3513</v>
      </c>
      <c r="Q372" s="13" t="s">
        <v>3514</v>
      </c>
      <c r="R372" s="13" t="s">
        <v>6154</v>
      </c>
      <c r="S372" s="109"/>
      <c r="T372" s="109"/>
      <c r="U372" s="112"/>
      <c r="V372" s="109"/>
      <c r="W372" s="109"/>
      <c r="X372" s="109"/>
    </row>
    <row r="373" spans="2:24">
      <c r="B373" s="109"/>
      <c r="C373" s="109"/>
      <c r="D373" s="20" t="str">
        <f>D372</f>
        <v>上海庆科MXCHIP</v>
      </c>
      <c r="E373" s="109"/>
      <c r="F373" s="112"/>
      <c r="G373" s="109"/>
      <c r="H373" s="109"/>
      <c r="I373" s="109"/>
      <c r="J373" s="109"/>
      <c r="K373" s="14" t="str">
        <f t="shared" si="80"/>
        <v>运营中</v>
      </c>
      <c r="L373" s="109"/>
      <c r="M373" s="109"/>
      <c r="N373" s="13"/>
      <c r="O373" s="24">
        <v>41623</v>
      </c>
      <c r="P373" s="13" t="s">
        <v>5474</v>
      </c>
      <c r="Q373" s="13" t="s">
        <v>2030</v>
      </c>
      <c r="R373" s="13" t="s">
        <v>6155</v>
      </c>
      <c r="S373" s="109"/>
      <c r="T373" s="109"/>
      <c r="U373" s="112"/>
      <c r="V373" s="109"/>
      <c r="W373" s="109"/>
      <c r="X373" s="109"/>
    </row>
    <row r="374" spans="2:24">
      <c r="B374" s="109"/>
      <c r="C374" s="13" t="s">
        <v>1433</v>
      </c>
      <c r="D374" s="25" t="s">
        <v>6156</v>
      </c>
      <c r="E374" s="13" t="s">
        <v>6157</v>
      </c>
      <c r="F374" s="18" t="s">
        <v>6158</v>
      </c>
      <c r="G374" s="13" t="s">
        <v>6159</v>
      </c>
      <c r="H374" s="13"/>
      <c r="I374" s="13" t="s">
        <v>1437</v>
      </c>
      <c r="J374" s="13" t="s">
        <v>406</v>
      </c>
      <c r="K374" s="19" t="s">
        <v>248</v>
      </c>
      <c r="L374" s="13" t="s">
        <v>4472</v>
      </c>
      <c r="M374" s="13" t="s">
        <v>4473</v>
      </c>
      <c r="N374" s="13"/>
      <c r="O374" s="24">
        <v>40579</v>
      </c>
      <c r="P374" s="13" t="s">
        <v>3513</v>
      </c>
      <c r="Q374" s="13" t="s">
        <v>5662</v>
      </c>
      <c r="R374" s="13" t="s">
        <v>1751</v>
      </c>
      <c r="S374" s="13" t="s">
        <v>6160</v>
      </c>
      <c r="T374" s="13" t="s">
        <v>5837</v>
      </c>
      <c r="U374" s="18" t="s">
        <v>1439</v>
      </c>
      <c r="V374" s="13" t="s">
        <v>1440</v>
      </c>
      <c r="W374" s="13"/>
      <c r="X374" s="13"/>
    </row>
    <row r="375" spans="2:24">
      <c r="B375" s="109"/>
      <c r="C375" s="109" t="s">
        <v>1441</v>
      </c>
      <c r="D375" s="20" t="s">
        <v>6161</v>
      </c>
      <c r="E375" s="109" t="s">
        <v>6162</v>
      </c>
      <c r="F375" s="112" t="s">
        <v>6163</v>
      </c>
      <c r="G375" s="109" t="s">
        <v>6164</v>
      </c>
      <c r="H375" s="109" t="s">
        <v>1445</v>
      </c>
      <c r="I375" s="109" t="s">
        <v>1446</v>
      </c>
      <c r="J375" s="109" t="s">
        <v>385</v>
      </c>
      <c r="K375" s="14" t="s">
        <v>272</v>
      </c>
      <c r="L375" s="109" t="s">
        <v>3548</v>
      </c>
      <c r="M375" s="109" t="s">
        <v>6165</v>
      </c>
      <c r="N375" s="13">
        <v>1</v>
      </c>
      <c r="O375" s="24">
        <v>43535</v>
      </c>
      <c r="P375" s="13" t="s">
        <v>5709</v>
      </c>
      <c r="Q375" s="13" t="s">
        <v>2030</v>
      </c>
      <c r="R375" s="13" t="s">
        <v>1448</v>
      </c>
      <c r="S375" s="109" t="s">
        <v>6166</v>
      </c>
      <c r="T375" s="109" t="s">
        <v>3664</v>
      </c>
      <c r="U375" s="112" t="s">
        <v>1450</v>
      </c>
      <c r="V375" s="109"/>
      <c r="W375" s="109" t="s">
        <v>1451</v>
      </c>
      <c r="X375" s="109"/>
    </row>
    <row r="376" spans="2:24">
      <c r="B376" s="109"/>
      <c r="C376" s="109"/>
      <c r="D376" s="20" t="str">
        <f t="shared" ref="D376:D382" si="81">D375</f>
        <v>爱康国宾</v>
      </c>
      <c r="E376" s="109"/>
      <c r="F376" s="112"/>
      <c r="G376" s="109"/>
      <c r="H376" s="109"/>
      <c r="I376" s="109"/>
      <c r="J376" s="109"/>
      <c r="K376" s="14" t="str">
        <f t="shared" ref="K376:K382" si="82">K375</f>
        <v>运营中</v>
      </c>
      <c r="L376" s="109"/>
      <c r="M376" s="109"/>
      <c r="N376" s="13">
        <v>1</v>
      </c>
      <c r="O376" s="24">
        <v>43484</v>
      </c>
      <c r="P376" s="13" t="s">
        <v>5622</v>
      </c>
      <c r="Q376" s="13" t="s">
        <v>5964</v>
      </c>
      <c r="R376" s="13" t="s">
        <v>1452</v>
      </c>
      <c r="S376" s="109"/>
      <c r="T376" s="109"/>
      <c r="U376" s="112"/>
      <c r="V376" s="109"/>
      <c r="W376" s="109"/>
      <c r="X376" s="109"/>
    </row>
    <row r="377" spans="2:24">
      <c r="B377" s="109"/>
      <c r="C377" s="109"/>
      <c r="D377" s="20" t="str">
        <f t="shared" si="81"/>
        <v>爱康国宾</v>
      </c>
      <c r="E377" s="109"/>
      <c r="F377" s="112"/>
      <c r="G377" s="109"/>
      <c r="H377" s="109"/>
      <c r="I377" s="109"/>
      <c r="J377" s="109"/>
      <c r="K377" s="14" t="str">
        <f t="shared" si="82"/>
        <v>运营中</v>
      </c>
      <c r="L377" s="109"/>
      <c r="M377" s="109"/>
      <c r="N377" s="13">
        <v>1</v>
      </c>
      <c r="O377" s="24">
        <v>41738</v>
      </c>
      <c r="P377" s="13" t="s">
        <v>5625</v>
      </c>
      <c r="Q377" s="13" t="s">
        <v>5529</v>
      </c>
      <c r="R377" s="13" t="s">
        <v>253</v>
      </c>
      <c r="S377" s="109"/>
      <c r="T377" s="109"/>
      <c r="U377" s="112"/>
      <c r="V377" s="109"/>
      <c r="W377" s="109"/>
      <c r="X377" s="109"/>
    </row>
    <row r="378" spans="2:24">
      <c r="B378" s="109"/>
      <c r="C378" s="109"/>
      <c r="D378" s="20" t="str">
        <f t="shared" si="81"/>
        <v>爱康国宾</v>
      </c>
      <c r="E378" s="109"/>
      <c r="F378" s="112"/>
      <c r="G378" s="109"/>
      <c r="H378" s="109"/>
      <c r="I378" s="109"/>
      <c r="J378" s="109"/>
      <c r="K378" s="14" t="str">
        <f t="shared" si="82"/>
        <v>运营中</v>
      </c>
      <c r="L378" s="109"/>
      <c r="M378" s="109"/>
      <c r="N378" s="13">
        <v>1</v>
      </c>
      <c r="O378" s="24">
        <v>41699</v>
      </c>
      <c r="P378" s="13" t="s">
        <v>5635</v>
      </c>
      <c r="Q378" s="13" t="s">
        <v>5389</v>
      </c>
      <c r="R378" s="13" t="s">
        <v>6167</v>
      </c>
      <c r="S378" s="109"/>
      <c r="T378" s="109"/>
      <c r="U378" s="112"/>
      <c r="V378" s="109"/>
      <c r="W378" s="109"/>
      <c r="X378" s="109"/>
    </row>
    <row r="379" spans="2:24">
      <c r="B379" s="109"/>
      <c r="C379" s="109"/>
      <c r="D379" s="20" t="str">
        <f t="shared" si="81"/>
        <v>爱康国宾</v>
      </c>
      <c r="E379" s="109"/>
      <c r="F379" s="112"/>
      <c r="G379" s="109"/>
      <c r="H379" s="109"/>
      <c r="I379" s="109"/>
      <c r="J379" s="109"/>
      <c r="K379" s="14" t="str">
        <f t="shared" si="82"/>
        <v>运营中</v>
      </c>
      <c r="L379" s="109"/>
      <c r="M379" s="109"/>
      <c r="N379" s="13">
        <v>1</v>
      </c>
      <c r="O379" s="24">
        <v>41379</v>
      </c>
      <c r="P379" s="13" t="s">
        <v>1827</v>
      </c>
      <c r="Q379" s="13" t="s">
        <v>5000</v>
      </c>
      <c r="R379" s="13" t="s">
        <v>1454</v>
      </c>
      <c r="S379" s="109"/>
      <c r="T379" s="109"/>
      <c r="U379" s="112"/>
      <c r="V379" s="109"/>
      <c r="W379" s="109"/>
      <c r="X379" s="109"/>
    </row>
    <row r="380" spans="2:24">
      <c r="B380" s="109"/>
      <c r="C380" s="109"/>
      <c r="D380" s="20" t="str">
        <f t="shared" si="81"/>
        <v>爱康国宾</v>
      </c>
      <c r="E380" s="109"/>
      <c r="F380" s="112"/>
      <c r="G380" s="109"/>
      <c r="H380" s="109"/>
      <c r="I380" s="109"/>
      <c r="J380" s="109"/>
      <c r="K380" s="14" t="str">
        <f t="shared" si="82"/>
        <v>运营中</v>
      </c>
      <c r="L380" s="109"/>
      <c r="M380" s="109"/>
      <c r="N380" s="13">
        <v>1</v>
      </c>
      <c r="O380" s="24">
        <v>39429</v>
      </c>
      <c r="P380" s="13" t="s">
        <v>5613</v>
      </c>
      <c r="Q380" s="13" t="s">
        <v>5129</v>
      </c>
      <c r="R380" s="13" t="s">
        <v>1455</v>
      </c>
      <c r="S380" s="109"/>
      <c r="T380" s="109"/>
      <c r="U380" s="112"/>
      <c r="V380" s="109"/>
      <c r="W380" s="109"/>
      <c r="X380" s="109"/>
    </row>
    <row r="381" spans="2:24">
      <c r="B381" s="109"/>
      <c r="C381" s="109"/>
      <c r="D381" s="20" t="str">
        <f t="shared" si="81"/>
        <v>爱康国宾</v>
      </c>
      <c r="E381" s="109"/>
      <c r="F381" s="112"/>
      <c r="G381" s="109"/>
      <c r="H381" s="109"/>
      <c r="I381" s="109"/>
      <c r="J381" s="109"/>
      <c r="K381" s="14" t="str">
        <f t="shared" si="82"/>
        <v>运营中</v>
      </c>
      <c r="L381" s="109"/>
      <c r="M381" s="109"/>
      <c r="N381" s="13">
        <v>1</v>
      </c>
      <c r="O381" s="24">
        <v>38718</v>
      </c>
      <c r="P381" s="13" t="s">
        <v>3648</v>
      </c>
      <c r="Q381" s="13" t="s">
        <v>5616</v>
      </c>
      <c r="R381" s="13" t="s">
        <v>6168</v>
      </c>
      <c r="S381" s="109"/>
      <c r="T381" s="109"/>
      <c r="U381" s="112"/>
      <c r="V381" s="109"/>
      <c r="W381" s="109"/>
      <c r="X381" s="109"/>
    </row>
    <row r="382" spans="2:24">
      <c r="B382" s="109"/>
      <c r="C382" s="109"/>
      <c r="D382" s="20" t="str">
        <f t="shared" si="81"/>
        <v>爱康国宾</v>
      </c>
      <c r="E382" s="109"/>
      <c r="F382" s="112"/>
      <c r="G382" s="109"/>
      <c r="H382" s="109"/>
      <c r="I382" s="109"/>
      <c r="J382" s="109"/>
      <c r="K382" s="14" t="str">
        <f t="shared" si="82"/>
        <v>运营中</v>
      </c>
      <c r="L382" s="109"/>
      <c r="M382" s="109"/>
      <c r="N382" s="13">
        <v>1</v>
      </c>
      <c r="O382" s="24">
        <v>38353</v>
      </c>
      <c r="P382" s="13" t="s">
        <v>3513</v>
      </c>
      <c r="Q382" s="13" t="s">
        <v>5616</v>
      </c>
      <c r="R382" s="13" t="s">
        <v>6168</v>
      </c>
      <c r="S382" s="109"/>
      <c r="T382" s="109"/>
      <c r="U382" s="112"/>
      <c r="V382" s="109"/>
      <c r="W382" s="109"/>
      <c r="X382" s="109"/>
    </row>
    <row r="383" spans="2:24" ht="72">
      <c r="B383" s="109"/>
      <c r="C383" s="13" t="s">
        <v>1457</v>
      </c>
      <c r="D383" s="25" t="s">
        <v>6169</v>
      </c>
      <c r="E383" s="13" t="s">
        <v>6170</v>
      </c>
      <c r="F383" s="18" t="s">
        <v>1459</v>
      </c>
      <c r="G383" s="13" t="s">
        <v>6171</v>
      </c>
      <c r="H383" s="13" t="s">
        <v>1461</v>
      </c>
      <c r="I383" s="13" t="s">
        <v>1462</v>
      </c>
      <c r="J383" s="13" t="s">
        <v>406</v>
      </c>
      <c r="K383" s="19" t="s">
        <v>272</v>
      </c>
      <c r="L383" s="13" t="s">
        <v>4472</v>
      </c>
      <c r="M383" s="13" t="s">
        <v>5780</v>
      </c>
      <c r="N383" s="13"/>
      <c r="O383" s="24">
        <v>41906</v>
      </c>
      <c r="P383" s="13" t="s">
        <v>3513</v>
      </c>
      <c r="Q383" s="13" t="s">
        <v>3514</v>
      </c>
      <c r="R383" s="13" t="s">
        <v>1463</v>
      </c>
      <c r="S383" s="13" t="s">
        <v>5169</v>
      </c>
      <c r="T383" s="13" t="s">
        <v>3517</v>
      </c>
      <c r="U383" s="18"/>
      <c r="V383" s="13" t="s">
        <v>1464</v>
      </c>
      <c r="W383" s="13"/>
      <c r="X383" s="13" t="s">
        <v>1465</v>
      </c>
    </row>
    <row r="384" spans="2:24" ht="36">
      <c r="B384" s="109"/>
      <c r="C384" s="13" t="s">
        <v>1466</v>
      </c>
      <c r="D384" s="25" t="s">
        <v>6172</v>
      </c>
      <c r="E384" s="13" t="s">
        <v>6173</v>
      </c>
      <c r="F384" s="18" t="s">
        <v>1468</v>
      </c>
      <c r="G384" s="13" t="s">
        <v>6174</v>
      </c>
      <c r="H384" s="13" t="s">
        <v>1470</v>
      </c>
      <c r="I384" s="13" t="s">
        <v>1471</v>
      </c>
      <c r="J384" s="13" t="s">
        <v>1472</v>
      </c>
      <c r="K384" s="19" t="s">
        <v>272</v>
      </c>
      <c r="L384" s="13" t="s">
        <v>4472</v>
      </c>
      <c r="M384" s="13" t="s">
        <v>4473</v>
      </c>
      <c r="N384" s="13"/>
      <c r="O384" s="24">
        <v>41023</v>
      </c>
      <c r="P384" s="13" t="s">
        <v>3513</v>
      </c>
      <c r="Q384" s="13" t="s">
        <v>3514</v>
      </c>
      <c r="R384" s="13" t="s">
        <v>1751</v>
      </c>
      <c r="S384" s="13" t="s">
        <v>5169</v>
      </c>
      <c r="T384" s="13" t="s">
        <v>3517</v>
      </c>
      <c r="U384" s="18" t="s">
        <v>1473</v>
      </c>
      <c r="V384" s="13" t="s">
        <v>1474</v>
      </c>
      <c r="W384" s="13" t="s">
        <v>1475</v>
      </c>
      <c r="X384" s="13" t="s">
        <v>1476</v>
      </c>
    </row>
    <row r="385" spans="2:24" ht="72">
      <c r="B385" s="109"/>
      <c r="C385" s="13" t="s">
        <v>1477</v>
      </c>
      <c r="D385" s="25" t="s">
        <v>6175</v>
      </c>
      <c r="E385" s="13" t="s">
        <v>6176</v>
      </c>
      <c r="F385" s="18" t="s">
        <v>1479</v>
      </c>
      <c r="G385" s="13" t="s">
        <v>6177</v>
      </c>
      <c r="H385" s="13" t="s">
        <v>1481</v>
      </c>
      <c r="I385" s="13" t="s">
        <v>1482</v>
      </c>
      <c r="J385" s="13" t="s">
        <v>1126</v>
      </c>
      <c r="K385" s="19" t="s">
        <v>272</v>
      </c>
      <c r="L385" s="13" t="s">
        <v>3274</v>
      </c>
      <c r="M385" s="13" t="s">
        <v>6178</v>
      </c>
      <c r="N385" s="13"/>
      <c r="O385" s="24">
        <v>41418</v>
      </c>
      <c r="P385" s="13" t="s">
        <v>3513</v>
      </c>
      <c r="Q385" s="13" t="s">
        <v>1750</v>
      </c>
      <c r="R385" s="13" t="s">
        <v>1751</v>
      </c>
      <c r="S385" s="13" t="s">
        <v>5504</v>
      </c>
      <c r="T385" s="13" t="s">
        <v>1829</v>
      </c>
      <c r="U385" s="18"/>
      <c r="V385" s="13" t="s">
        <v>1485</v>
      </c>
      <c r="W385" s="13" t="s">
        <v>1486</v>
      </c>
      <c r="X385" s="13" t="s">
        <v>1487</v>
      </c>
    </row>
    <row r="386" spans="2:24" ht="36">
      <c r="B386" s="109"/>
      <c r="C386" s="13" t="s">
        <v>1488</v>
      </c>
      <c r="D386" s="25" t="s">
        <v>6179</v>
      </c>
      <c r="E386" s="13" t="s">
        <v>6180</v>
      </c>
      <c r="F386" s="18" t="s">
        <v>1490</v>
      </c>
      <c r="G386" s="13" t="s">
        <v>6181</v>
      </c>
      <c r="H386" s="13" t="s">
        <v>1492</v>
      </c>
      <c r="I386" s="13" t="s">
        <v>1493</v>
      </c>
      <c r="J386" s="13" t="s">
        <v>497</v>
      </c>
      <c r="K386" s="19" t="s">
        <v>272</v>
      </c>
      <c r="L386" s="13" t="s">
        <v>4162</v>
      </c>
      <c r="M386" s="13" t="s">
        <v>5167</v>
      </c>
      <c r="N386" s="13"/>
      <c r="O386" s="24">
        <v>41754</v>
      </c>
      <c r="P386" s="13" t="s">
        <v>3513</v>
      </c>
      <c r="Q386" s="13" t="s">
        <v>5662</v>
      </c>
      <c r="R386" s="13" t="s">
        <v>1751</v>
      </c>
      <c r="S386" s="13" t="s">
        <v>6160</v>
      </c>
      <c r="T386" s="13" t="s">
        <v>5837</v>
      </c>
      <c r="U386" s="18"/>
      <c r="V386" s="13" t="s">
        <v>1494</v>
      </c>
      <c r="W386" s="13" t="s">
        <v>1495</v>
      </c>
      <c r="X386" s="13" t="s">
        <v>1496</v>
      </c>
    </row>
    <row r="387" spans="2:24">
      <c r="B387" s="109"/>
      <c r="C387" s="109" t="s">
        <v>1497</v>
      </c>
      <c r="D387" s="20" t="s">
        <v>6182</v>
      </c>
      <c r="E387" s="109" t="s">
        <v>6183</v>
      </c>
      <c r="F387" s="112" t="s">
        <v>1499</v>
      </c>
      <c r="G387" s="109" t="s">
        <v>6184</v>
      </c>
      <c r="H387" s="109" t="s">
        <v>1501</v>
      </c>
      <c r="I387" s="109" t="s">
        <v>1100</v>
      </c>
      <c r="J387" s="109" t="s">
        <v>1502</v>
      </c>
      <c r="K387" s="14" t="s">
        <v>272</v>
      </c>
      <c r="L387" s="109" t="s">
        <v>3548</v>
      </c>
      <c r="M387" s="109" t="s">
        <v>5138</v>
      </c>
      <c r="N387" s="13">
        <v>1</v>
      </c>
      <c r="O387" s="24">
        <v>43608</v>
      </c>
      <c r="P387" s="13" t="s">
        <v>5810</v>
      </c>
      <c r="Q387" s="13" t="s">
        <v>6185</v>
      </c>
      <c r="R387" s="13" t="s">
        <v>586</v>
      </c>
      <c r="S387" s="109" t="s">
        <v>6186</v>
      </c>
      <c r="T387" s="109" t="s">
        <v>6187</v>
      </c>
      <c r="U387" s="112" t="s">
        <v>1507</v>
      </c>
      <c r="V387" s="109"/>
      <c r="W387" s="109"/>
      <c r="X387" s="109"/>
    </row>
    <row r="388" spans="2:24">
      <c r="B388" s="109"/>
      <c r="C388" s="109"/>
      <c r="D388" s="20" t="str">
        <f>D387</f>
        <v>阿里健康</v>
      </c>
      <c r="E388" s="109"/>
      <c r="F388" s="112"/>
      <c r="G388" s="109"/>
      <c r="H388" s="109"/>
      <c r="I388" s="109"/>
      <c r="J388" s="109"/>
      <c r="K388" s="14" t="str">
        <f t="shared" ref="K388:K389" si="83">K387</f>
        <v>运营中</v>
      </c>
      <c r="L388" s="109"/>
      <c r="M388" s="109"/>
      <c r="N388" s="13">
        <v>1</v>
      </c>
      <c r="O388" s="24">
        <v>41933</v>
      </c>
      <c r="P388" s="13" t="s">
        <v>5625</v>
      </c>
      <c r="Q388" s="13" t="s">
        <v>2030</v>
      </c>
      <c r="R388" s="13" t="s">
        <v>253</v>
      </c>
      <c r="S388" s="109"/>
      <c r="T388" s="109"/>
      <c r="U388" s="112"/>
      <c r="V388" s="109"/>
      <c r="W388" s="109"/>
      <c r="X388" s="109"/>
    </row>
    <row r="389" spans="2:24">
      <c r="B389" s="109"/>
      <c r="C389" s="109"/>
      <c r="D389" s="20" t="str">
        <f>D388</f>
        <v>阿里健康</v>
      </c>
      <c r="E389" s="109"/>
      <c r="F389" s="112"/>
      <c r="G389" s="109"/>
      <c r="H389" s="109"/>
      <c r="I389" s="109"/>
      <c r="J389" s="109"/>
      <c r="K389" s="14" t="str">
        <f t="shared" si="83"/>
        <v>运营中</v>
      </c>
      <c r="L389" s="109"/>
      <c r="M389" s="109"/>
      <c r="N389" s="13">
        <v>1</v>
      </c>
      <c r="O389" s="24">
        <v>41640</v>
      </c>
      <c r="P389" s="13" t="s">
        <v>1045</v>
      </c>
      <c r="Q389" s="13" t="s">
        <v>6188</v>
      </c>
      <c r="R389" s="13" t="s">
        <v>455</v>
      </c>
      <c r="S389" s="109"/>
      <c r="T389" s="109"/>
      <c r="U389" s="112"/>
      <c r="V389" s="109"/>
      <c r="W389" s="109"/>
      <c r="X389" s="109"/>
    </row>
    <row r="390" spans="2:24" ht="36">
      <c r="B390" s="109"/>
      <c r="C390" s="13" t="s">
        <v>1509</v>
      </c>
      <c r="D390" s="25" t="s">
        <v>6189</v>
      </c>
      <c r="E390" s="13" t="s">
        <v>1511</v>
      </c>
      <c r="F390" s="18" t="s">
        <v>1512</v>
      </c>
      <c r="G390" s="13" t="s">
        <v>6190</v>
      </c>
      <c r="H390" s="13" t="s">
        <v>1514</v>
      </c>
      <c r="I390" s="13" t="s">
        <v>727</v>
      </c>
      <c r="J390" s="13" t="s">
        <v>630</v>
      </c>
      <c r="K390" s="19" t="s">
        <v>272</v>
      </c>
      <c r="L390" s="13" t="s">
        <v>1825</v>
      </c>
      <c r="M390" s="13" t="s">
        <v>5686</v>
      </c>
      <c r="N390" s="13">
        <v>1</v>
      </c>
      <c r="O390" s="24">
        <v>42313</v>
      </c>
      <c r="P390" s="13" t="s">
        <v>5709</v>
      </c>
      <c r="Q390" s="13" t="s">
        <v>2030</v>
      </c>
      <c r="R390" s="13" t="s">
        <v>1751</v>
      </c>
      <c r="S390" s="13" t="s">
        <v>253</v>
      </c>
      <c r="T390" s="13" t="s">
        <v>3664</v>
      </c>
      <c r="U390" s="18" t="s">
        <v>1515</v>
      </c>
      <c r="V390" s="13" t="s">
        <v>1516</v>
      </c>
      <c r="W390" s="13" t="s">
        <v>1517</v>
      </c>
      <c r="X390" s="13" t="s">
        <v>1518</v>
      </c>
    </row>
    <row r="391" spans="2:24">
      <c r="B391" s="109"/>
      <c r="C391" s="109" t="s">
        <v>1519</v>
      </c>
      <c r="D391" s="20" t="s">
        <v>6191</v>
      </c>
      <c r="E391" s="109" t="s">
        <v>6192</v>
      </c>
      <c r="F391" s="112" t="s">
        <v>6193</v>
      </c>
      <c r="G391" s="109" t="s">
        <v>6194</v>
      </c>
      <c r="H391" s="109" t="s">
        <v>1524</v>
      </c>
      <c r="I391" s="109" t="s">
        <v>1493</v>
      </c>
      <c r="J391" s="109" t="s">
        <v>385</v>
      </c>
      <c r="K391" s="14" t="s">
        <v>272</v>
      </c>
      <c r="L391" s="109" t="s">
        <v>1825</v>
      </c>
      <c r="M391" s="109" t="s">
        <v>5686</v>
      </c>
      <c r="N391" s="13">
        <v>1</v>
      </c>
      <c r="O391" s="24">
        <v>40667</v>
      </c>
      <c r="P391" s="13" t="s">
        <v>5709</v>
      </c>
      <c r="Q391" s="13" t="s">
        <v>5576</v>
      </c>
      <c r="R391" s="13" t="s">
        <v>1751</v>
      </c>
      <c r="S391" s="109" t="s">
        <v>6195</v>
      </c>
      <c r="T391" s="109" t="s">
        <v>5579</v>
      </c>
      <c r="U391" s="112"/>
      <c r="V391" s="109" t="s">
        <v>1527</v>
      </c>
      <c r="W391" s="109" t="s">
        <v>1528</v>
      </c>
      <c r="X391" s="109" t="s">
        <v>1529</v>
      </c>
    </row>
    <row r="392" spans="2:24">
      <c r="B392" s="109"/>
      <c r="C392" s="109"/>
      <c r="D392" s="20" t="str">
        <f>D391</f>
        <v>CNZZ数据</v>
      </c>
      <c r="E392" s="109"/>
      <c r="F392" s="112"/>
      <c r="G392" s="109"/>
      <c r="H392" s="109"/>
      <c r="I392" s="109"/>
      <c r="J392" s="109"/>
      <c r="K392" s="14" t="str">
        <f>K391</f>
        <v>运营中</v>
      </c>
      <c r="L392" s="109"/>
      <c r="M392" s="109"/>
      <c r="N392" s="13">
        <v>1</v>
      </c>
      <c r="O392" s="24">
        <v>37616</v>
      </c>
      <c r="P392" s="13" t="s">
        <v>3513</v>
      </c>
      <c r="Q392" s="13" t="s">
        <v>5616</v>
      </c>
      <c r="R392" s="13" t="s">
        <v>5875</v>
      </c>
      <c r="S392" s="109"/>
      <c r="T392" s="109"/>
      <c r="U392" s="112"/>
      <c r="V392" s="109"/>
      <c r="W392" s="109"/>
      <c r="X392" s="109"/>
    </row>
    <row r="393" spans="2:24" ht="36">
      <c r="B393" s="109"/>
      <c r="C393" s="13" t="s">
        <v>1530</v>
      </c>
      <c r="D393" s="25" t="s">
        <v>6196</v>
      </c>
      <c r="E393" s="13" t="s">
        <v>6197</v>
      </c>
      <c r="F393" s="18" t="s">
        <v>6198</v>
      </c>
      <c r="G393" s="13" t="s">
        <v>6199</v>
      </c>
      <c r="H393" s="13" t="s">
        <v>1534</v>
      </c>
      <c r="I393" s="13" t="s">
        <v>972</v>
      </c>
      <c r="J393" s="13" t="s">
        <v>630</v>
      </c>
      <c r="K393" s="19" t="s">
        <v>272</v>
      </c>
      <c r="L393" s="13" t="s">
        <v>4162</v>
      </c>
      <c r="M393" s="13" t="s">
        <v>6200</v>
      </c>
      <c r="N393" s="13"/>
      <c r="O393" s="24">
        <v>42178</v>
      </c>
      <c r="P393" s="13" t="s">
        <v>3513</v>
      </c>
      <c r="Q393" s="13" t="s">
        <v>3514</v>
      </c>
      <c r="R393" s="13" t="s">
        <v>1751</v>
      </c>
      <c r="S393" s="13" t="s">
        <v>5169</v>
      </c>
      <c r="T393" s="13" t="s">
        <v>3517</v>
      </c>
      <c r="U393" s="18" t="s">
        <v>1536</v>
      </c>
      <c r="V393" s="13"/>
      <c r="W393" s="13"/>
      <c r="X393" s="13" t="s">
        <v>1537</v>
      </c>
    </row>
    <row r="394" spans="2:24">
      <c r="B394" s="109"/>
      <c r="C394" s="109" t="s">
        <v>1538</v>
      </c>
      <c r="D394" s="20" t="s">
        <v>6201</v>
      </c>
      <c r="E394" s="109" t="s">
        <v>6202</v>
      </c>
      <c r="F394" s="112" t="s">
        <v>1540</v>
      </c>
      <c r="G394" s="109" t="s">
        <v>6203</v>
      </c>
      <c r="H394" s="109" t="s">
        <v>1542</v>
      </c>
      <c r="I394" s="109" t="s">
        <v>1543</v>
      </c>
      <c r="J394" s="109" t="s">
        <v>406</v>
      </c>
      <c r="K394" s="14" t="s">
        <v>272</v>
      </c>
      <c r="L394" s="109" t="s">
        <v>1825</v>
      </c>
      <c r="M394" s="109" t="s">
        <v>6025</v>
      </c>
      <c r="N394" s="13">
        <v>1</v>
      </c>
      <c r="O394" s="24">
        <v>44489</v>
      </c>
      <c r="P394" s="13" t="s">
        <v>5810</v>
      </c>
      <c r="Q394" s="13" t="s">
        <v>6204</v>
      </c>
      <c r="R394" s="13" t="s">
        <v>6205</v>
      </c>
      <c r="S394" s="109" t="s">
        <v>6206</v>
      </c>
      <c r="T394" s="109" t="s">
        <v>6207</v>
      </c>
      <c r="U394" s="112" t="s">
        <v>1548</v>
      </c>
      <c r="V394" s="109" t="s">
        <v>1549</v>
      </c>
      <c r="W394" s="109" t="s">
        <v>1550</v>
      </c>
      <c r="X394" s="109" t="s">
        <v>1551</v>
      </c>
    </row>
    <row r="395" spans="2:24">
      <c r="B395" s="109"/>
      <c r="C395" s="109"/>
      <c r="D395" s="20" t="str">
        <f t="shared" ref="D395:D402" si="84">D394</f>
        <v>安恒信息</v>
      </c>
      <c r="E395" s="109"/>
      <c r="F395" s="112"/>
      <c r="G395" s="109"/>
      <c r="H395" s="109"/>
      <c r="I395" s="109"/>
      <c r="J395" s="109"/>
      <c r="K395" s="14" t="str">
        <f t="shared" ref="K395:K402" si="85">K394</f>
        <v>运营中</v>
      </c>
      <c r="L395" s="109"/>
      <c r="M395" s="109"/>
      <c r="N395" s="13">
        <v>1</v>
      </c>
      <c r="O395" s="24">
        <v>43774</v>
      </c>
      <c r="P395" s="13" t="s">
        <v>5625</v>
      </c>
      <c r="Q395" s="13" t="s">
        <v>6208</v>
      </c>
      <c r="R395" s="13" t="s">
        <v>253</v>
      </c>
      <c r="S395" s="109"/>
      <c r="T395" s="109"/>
      <c r="U395" s="112"/>
      <c r="V395" s="109"/>
      <c r="W395" s="109"/>
      <c r="X395" s="109"/>
    </row>
    <row r="396" spans="2:24">
      <c r="B396" s="109"/>
      <c r="C396" s="109"/>
      <c r="D396" s="20" t="str">
        <f t="shared" si="84"/>
        <v>安恒信息</v>
      </c>
      <c r="E396" s="109"/>
      <c r="F396" s="112"/>
      <c r="G396" s="109"/>
      <c r="H396" s="109"/>
      <c r="I396" s="109"/>
      <c r="J396" s="109"/>
      <c r="K396" s="14" t="str">
        <f t="shared" si="85"/>
        <v>运营中</v>
      </c>
      <c r="L396" s="109"/>
      <c r="M396" s="109"/>
      <c r="N396" s="13">
        <v>1</v>
      </c>
      <c r="O396" s="24">
        <v>43271</v>
      </c>
      <c r="P396" s="13" t="s">
        <v>1045</v>
      </c>
      <c r="Q396" s="13" t="s">
        <v>3514</v>
      </c>
      <c r="R396" s="13" t="s">
        <v>1553</v>
      </c>
      <c r="S396" s="109"/>
      <c r="T396" s="109"/>
      <c r="U396" s="112"/>
      <c r="V396" s="109"/>
      <c r="W396" s="109"/>
      <c r="X396" s="109"/>
    </row>
    <row r="397" spans="2:24">
      <c r="B397" s="109"/>
      <c r="C397" s="109"/>
      <c r="D397" s="20" t="str">
        <f t="shared" si="84"/>
        <v>安恒信息</v>
      </c>
      <c r="E397" s="109"/>
      <c r="F397" s="112"/>
      <c r="G397" s="109"/>
      <c r="H397" s="109"/>
      <c r="I397" s="109"/>
      <c r="J397" s="109"/>
      <c r="K397" s="14" t="str">
        <f t="shared" si="85"/>
        <v>运营中</v>
      </c>
      <c r="L397" s="109"/>
      <c r="M397" s="109"/>
      <c r="N397" s="13">
        <v>1</v>
      </c>
      <c r="O397" s="24">
        <v>43007</v>
      </c>
      <c r="P397" s="13" t="s">
        <v>1045</v>
      </c>
      <c r="Q397" s="13" t="s">
        <v>3514</v>
      </c>
      <c r="R397" s="13" t="s">
        <v>1554</v>
      </c>
      <c r="S397" s="109"/>
      <c r="T397" s="109"/>
      <c r="U397" s="112"/>
      <c r="V397" s="109"/>
      <c r="W397" s="109"/>
      <c r="X397" s="109"/>
    </row>
    <row r="398" spans="2:24">
      <c r="B398" s="109"/>
      <c r="C398" s="109"/>
      <c r="D398" s="20" t="str">
        <f t="shared" si="84"/>
        <v>安恒信息</v>
      </c>
      <c r="E398" s="109"/>
      <c r="F398" s="112"/>
      <c r="G398" s="109"/>
      <c r="H398" s="109"/>
      <c r="I398" s="109"/>
      <c r="J398" s="109"/>
      <c r="K398" s="14" t="str">
        <f t="shared" si="85"/>
        <v>运营中</v>
      </c>
      <c r="L398" s="109"/>
      <c r="M398" s="109"/>
      <c r="N398" s="13">
        <v>1</v>
      </c>
      <c r="O398" s="24">
        <v>42328</v>
      </c>
      <c r="P398" s="13" t="s">
        <v>1827</v>
      </c>
      <c r="Q398" s="13" t="s">
        <v>1750</v>
      </c>
      <c r="R398" s="13" t="s">
        <v>1751</v>
      </c>
      <c r="S398" s="109"/>
      <c r="T398" s="109"/>
      <c r="U398" s="112"/>
      <c r="V398" s="109"/>
      <c r="W398" s="109"/>
      <c r="X398" s="109"/>
    </row>
    <row r="399" spans="2:24">
      <c r="B399" s="109"/>
      <c r="C399" s="109"/>
      <c r="D399" s="20" t="str">
        <f t="shared" si="84"/>
        <v>安恒信息</v>
      </c>
      <c r="E399" s="109"/>
      <c r="F399" s="112"/>
      <c r="G399" s="109"/>
      <c r="H399" s="109"/>
      <c r="I399" s="109"/>
      <c r="J399" s="109"/>
      <c r="K399" s="14" t="str">
        <f t="shared" si="85"/>
        <v>运营中</v>
      </c>
      <c r="L399" s="109"/>
      <c r="M399" s="109"/>
      <c r="N399" s="13">
        <v>1</v>
      </c>
      <c r="O399" s="24">
        <v>41542</v>
      </c>
      <c r="P399" s="13" t="s">
        <v>5613</v>
      </c>
      <c r="Q399" s="13" t="s">
        <v>3514</v>
      </c>
      <c r="R399" s="13" t="s">
        <v>253</v>
      </c>
      <c r="S399" s="109"/>
      <c r="T399" s="109"/>
      <c r="U399" s="112"/>
      <c r="V399" s="109"/>
      <c r="W399" s="109"/>
      <c r="X399" s="109"/>
    </row>
    <row r="400" spans="2:24">
      <c r="B400" s="109"/>
      <c r="C400" s="109"/>
      <c r="D400" s="20" t="str">
        <f t="shared" si="84"/>
        <v>安恒信息</v>
      </c>
      <c r="E400" s="109"/>
      <c r="F400" s="112"/>
      <c r="G400" s="109"/>
      <c r="H400" s="109"/>
      <c r="I400" s="109"/>
      <c r="J400" s="109"/>
      <c r="K400" s="14" t="str">
        <f t="shared" si="85"/>
        <v>运营中</v>
      </c>
      <c r="L400" s="109"/>
      <c r="M400" s="109"/>
      <c r="N400" s="13">
        <v>1</v>
      </c>
      <c r="O400" s="24">
        <v>41009</v>
      </c>
      <c r="P400" s="13" t="s">
        <v>5754</v>
      </c>
      <c r="Q400" s="13" t="s">
        <v>6209</v>
      </c>
      <c r="R400" s="13" t="s">
        <v>6210</v>
      </c>
      <c r="S400" s="109"/>
      <c r="T400" s="109"/>
      <c r="U400" s="112"/>
      <c r="V400" s="109"/>
      <c r="W400" s="109"/>
      <c r="X400" s="109"/>
    </row>
    <row r="401" spans="2:24">
      <c r="B401" s="109"/>
      <c r="C401" s="109"/>
      <c r="D401" s="20" t="str">
        <f t="shared" si="84"/>
        <v>安恒信息</v>
      </c>
      <c r="E401" s="109"/>
      <c r="F401" s="112"/>
      <c r="G401" s="109"/>
      <c r="H401" s="109"/>
      <c r="I401" s="109"/>
      <c r="J401" s="109"/>
      <c r="K401" s="14" t="str">
        <f t="shared" si="85"/>
        <v>运营中</v>
      </c>
      <c r="L401" s="109"/>
      <c r="M401" s="109"/>
      <c r="N401" s="13">
        <v>1</v>
      </c>
      <c r="O401" s="24">
        <v>40185</v>
      </c>
      <c r="P401" s="13" t="s">
        <v>3648</v>
      </c>
      <c r="Q401" s="13" t="s">
        <v>3514</v>
      </c>
      <c r="R401" s="13" t="s">
        <v>1557</v>
      </c>
      <c r="S401" s="109"/>
      <c r="T401" s="109"/>
      <c r="U401" s="112"/>
      <c r="V401" s="109"/>
      <c r="W401" s="109"/>
      <c r="X401" s="109"/>
    </row>
    <row r="402" spans="2:24">
      <c r="B402" s="109"/>
      <c r="C402" s="109"/>
      <c r="D402" s="20" t="str">
        <f t="shared" si="84"/>
        <v>安恒信息</v>
      </c>
      <c r="E402" s="109"/>
      <c r="F402" s="112"/>
      <c r="G402" s="109"/>
      <c r="H402" s="109"/>
      <c r="I402" s="109"/>
      <c r="J402" s="109"/>
      <c r="K402" s="14" t="str">
        <f t="shared" si="85"/>
        <v>运营中</v>
      </c>
      <c r="L402" s="109"/>
      <c r="M402" s="109"/>
      <c r="N402" s="13">
        <v>1</v>
      </c>
      <c r="O402" s="24">
        <v>39995</v>
      </c>
      <c r="P402" s="13" t="s">
        <v>3513</v>
      </c>
      <c r="Q402" s="13" t="s">
        <v>3514</v>
      </c>
      <c r="R402" s="13" t="s">
        <v>6211</v>
      </c>
      <c r="S402" s="109"/>
      <c r="T402" s="109"/>
      <c r="U402" s="112"/>
      <c r="V402" s="109"/>
      <c r="W402" s="109"/>
      <c r="X402" s="109"/>
    </row>
    <row r="403" spans="2:24">
      <c r="B403" s="109"/>
      <c r="C403" s="109" t="s">
        <v>1559</v>
      </c>
      <c r="D403" s="20" t="s">
        <v>1560</v>
      </c>
      <c r="E403" s="109" t="s">
        <v>1560</v>
      </c>
      <c r="F403" s="112" t="s">
        <v>6212</v>
      </c>
      <c r="G403" s="109"/>
      <c r="H403" s="109" t="s">
        <v>1562</v>
      </c>
      <c r="I403" s="109" t="s">
        <v>1563</v>
      </c>
      <c r="J403" s="109" t="s">
        <v>1564</v>
      </c>
      <c r="K403" s="14" t="s">
        <v>272</v>
      </c>
      <c r="L403" s="109" t="s">
        <v>2711</v>
      </c>
      <c r="M403" s="109" t="s">
        <v>4903</v>
      </c>
      <c r="N403" s="13">
        <v>1</v>
      </c>
      <c r="O403" s="24">
        <v>43554</v>
      </c>
      <c r="P403" s="13" t="s">
        <v>5625</v>
      </c>
      <c r="Q403" s="13" t="s">
        <v>6213</v>
      </c>
      <c r="R403" s="13" t="s">
        <v>253</v>
      </c>
      <c r="S403" s="109" t="s">
        <v>6214</v>
      </c>
      <c r="T403" s="109" t="s">
        <v>6215</v>
      </c>
      <c r="U403" s="112" t="s">
        <v>1568</v>
      </c>
      <c r="V403" s="109"/>
      <c r="W403" s="109"/>
      <c r="X403" s="109"/>
    </row>
    <row r="404" spans="2:24">
      <c r="B404" s="109"/>
      <c r="C404" s="109"/>
      <c r="D404" s="20" t="str">
        <f t="shared" ref="D404:D417" si="86">D403</f>
        <v>Lyft</v>
      </c>
      <c r="E404" s="109"/>
      <c r="F404" s="112"/>
      <c r="G404" s="109"/>
      <c r="H404" s="109"/>
      <c r="I404" s="109"/>
      <c r="J404" s="109"/>
      <c r="K404" s="14" t="str">
        <f t="shared" ref="K404:K417" si="87">K403</f>
        <v>运营中</v>
      </c>
      <c r="L404" s="109"/>
      <c r="M404" s="109"/>
      <c r="N404" s="13">
        <v>1</v>
      </c>
      <c r="O404" s="24">
        <v>43279</v>
      </c>
      <c r="P404" s="13" t="s">
        <v>1045</v>
      </c>
      <c r="Q404" s="13" t="s">
        <v>5627</v>
      </c>
      <c r="R404" s="13" t="s">
        <v>1569</v>
      </c>
      <c r="S404" s="109"/>
      <c r="T404" s="109"/>
      <c r="U404" s="112"/>
      <c r="V404" s="109"/>
      <c r="W404" s="109"/>
      <c r="X404" s="109"/>
    </row>
    <row r="405" spans="2:24">
      <c r="B405" s="109"/>
      <c r="C405" s="109"/>
      <c r="D405" s="20" t="str">
        <f t="shared" si="86"/>
        <v>Lyft</v>
      </c>
      <c r="E405" s="109"/>
      <c r="F405" s="112"/>
      <c r="G405" s="109"/>
      <c r="H405" s="109"/>
      <c r="I405" s="109"/>
      <c r="J405" s="109"/>
      <c r="K405" s="14" t="str">
        <f t="shared" si="87"/>
        <v>运营中</v>
      </c>
      <c r="L405" s="109"/>
      <c r="M405" s="109"/>
      <c r="N405" s="13">
        <v>1</v>
      </c>
      <c r="O405" s="24">
        <v>43174</v>
      </c>
      <c r="P405" s="13" t="s">
        <v>1045</v>
      </c>
      <c r="Q405" s="13" t="s">
        <v>5000</v>
      </c>
      <c r="R405" s="13" t="s">
        <v>1570</v>
      </c>
      <c r="S405" s="109"/>
      <c r="T405" s="109"/>
      <c r="U405" s="112"/>
      <c r="V405" s="109"/>
      <c r="W405" s="109"/>
      <c r="X405" s="109"/>
    </row>
    <row r="406" spans="2:24">
      <c r="B406" s="109"/>
      <c r="C406" s="109"/>
      <c r="D406" s="20" t="str">
        <f t="shared" si="86"/>
        <v>Lyft</v>
      </c>
      <c r="E406" s="109"/>
      <c r="F406" s="112"/>
      <c r="G406" s="109"/>
      <c r="H406" s="109"/>
      <c r="I406" s="109"/>
      <c r="J406" s="109"/>
      <c r="K406" s="14" t="str">
        <f t="shared" si="87"/>
        <v>运营中</v>
      </c>
      <c r="L406" s="109"/>
      <c r="M406" s="109"/>
      <c r="N406" s="13">
        <v>1</v>
      </c>
      <c r="O406" s="24">
        <v>43074</v>
      </c>
      <c r="P406" s="13" t="s">
        <v>1045</v>
      </c>
      <c r="Q406" s="13" t="s">
        <v>1046</v>
      </c>
      <c r="R406" s="13" t="s">
        <v>6216</v>
      </c>
      <c r="S406" s="109"/>
      <c r="T406" s="109"/>
      <c r="U406" s="112"/>
      <c r="V406" s="109"/>
      <c r="W406" s="109"/>
      <c r="X406" s="109"/>
    </row>
    <row r="407" spans="2:24">
      <c r="B407" s="109"/>
      <c r="C407" s="109"/>
      <c r="D407" s="20" t="str">
        <f t="shared" si="86"/>
        <v>Lyft</v>
      </c>
      <c r="E407" s="109"/>
      <c r="F407" s="112"/>
      <c r="G407" s="109"/>
      <c r="H407" s="109"/>
      <c r="I407" s="109"/>
      <c r="J407" s="109"/>
      <c r="K407" s="14" t="str">
        <f t="shared" si="87"/>
        <v>运营中</v>
      </c>
      <c r="L407" s="109"/>
      <c r="M407" s="109"/>
      <c r="N407" s="13">
        <v>1</v>
      </c>
      <c r="O407" s="24">
        <v>43028</v>
      </c>
      <c r="P407" s="13" t="s">
        <v>1045</v>
      </c>
      <c r="Q407" s="13" t="s">
        <v>5637</v>
      </c>
      <c r="R407" s="13" t="s">
        <v>6216</v>
      </c>
      <c r="S407" s="109"/>
      <c r="T407" s="109"/>
      <c r="U407" s="112"/>
      <c r="V407" s="109"/>
      <c r="W407" s="109"/>
      <c r="X407" s="109"/>
    </row>
    <row r="408" spans="2:24">
      <c r="B408" s="109"/>
      <c r="C408" s="109"/>
      <c r="D408" s="20" t="str">
        <f t="shared" si="86"/>
        <v>Lyft</v>
      </c>
      <c r="E408" s="109"/>
      <c r="F408" s="112"/>
      <c r="G408" s="109"/>
      <c r="H408" s="109"/>
      <c r="I408" s="109"/>
      <c r="J408" s="109"/>
      <c r="K408" s="14" t="str">
        <f t="shared" si="87"/>
        <v>运营中</v>
      </c>
      <c r="L408" s="109"/>
      <c r="M408" s="109"/>
      <c r="N408" s="13">
        <v>1</v>
      </c>
      <c r="O408" s="24">
        <v>42899</v>
      </c>
      <c r="P408" s="13" t="s">
        <v>1045</v>
      </c>
      <c r="Q408" s="13" t="s">
        <v>4307</v>
      </c>
      <c r="R408" s="13" t="s">
        <v>6217</v>
      </c>
      <c r="S408" s="109"/>
      <c r="T408" s="109"/>
      <c r="U408" s="112"/>
      <c r="V408" s="109"/>
      <c r="W408" s="109"/>
      <c r="X408" s="109"/>
    </row>
    <row r="409" spans="2:24">
      <c r="B409" s="109"/>
      <c r="C409" s="109"/>
      <c r="D409" s="20" t="str">
        <f t="shared" si="86"/>
        <v>Lyft</v>
      </c>
      <c r="E409" s="109"/>
      <c r="F409" s="112"/>
      <c r="G409" s="109"/>
      <c r="H409" s="109"/>
      <c r="I409" s="109"/>
      <c r="J409" s="109"/>
      <c r="K409" s="14" t="str">
        <f t="shared" si="87"/>
        <v>运营中</v>
      </c>
      <c r="L409" s="109"/>
      <c r="M409" s="109"/>
      <c r="N409" s="13">
        <v>1</v>
      </c>
      <c r="O409" s="24">
        <v>42837</v>
      </c>
      <c r="P409" s="13" t="s">
        <v>5635</v>
      </c>
      <c r="Q409" s="13" t="s">
        <v>5627</v>
      </c>
      <c r="R409" s="13" t="s">
        <v>1573</v>
      </c>
      <c r="S409" s="109"/>
      <c r="T409" s="109"/>
      <c r="U409" s="112"/>
      <c r="V409" s="109"/>
      <c r="W409" s="109"/>
      <c r="X409" s="109"/>
    </row>
    <row r="410" spans="2:24">
      <c r="B410" s="109"/>
      <c r="C410" s="109"/>
      <c r="D410" s="20" t="str">
        <f t="shared" si="86"/>
        <v>Lyft</v>
      </c>
      <c r="E410" s="109"/>
      <c r="F410" s="112"/>
      <c r="G410" s="109"/>
      <c r="H410" s="109"/>
      <c r="I410" s="109"/>
      <c r="J410" s="109"/>
      <c r="K410" s="14" t="str">
        <f t="shared" si="87"/>
        <v>运营中</v>
      </c>
      <c r="L410" s="109"/>
      <c r="M410" s="109"/>
      <c r="N410" s="13">
        <v>1</v>
      </c>
      <c r="O410" s="24">
        <v>42377</v>
      </c>
      <c r="P410" s="13" t="s">
        <v>5635</v>
      </c>
      <c r="Q410" s="13" t="s">
        <v>5637</v>
      </c>
      <c r="R410" s="13" t="s">
        <v>1574</v>
      </c>
      <c r="S410" s="109"/>
      <c r="T410" s="109"/>
      <c r="U410" s="112"/>
      <c r="V410" s="109"/>
      <c r="W410" s="109"/>
      <c r="X410" s="109"/>
    </row>
    <row r="411" spans="2:24">
      <c r="B411" s="109"/>
      <c r="C411" s="109"/>
      <c r="D411" s="20" t="str">
        <f t="shared" si="86"/>
        <v>Lyft</v>
      </c>
      <c r="E411" s="109"/>
      <c r="F411" s="112"/>
      <c r="G411" s="109"/>
      <c r="H411" s="109"/>
      <c r="I411" s="109"/>
      <c r="J411" s="109"/>
      <c r="K411" s="14" t="str">
        <f t="shared" si="87"/>
        <v>运营中</v>
      </c>
      <c r="L411" s="109"/>
      <c r="M411" s="109"/>
      <c r="N411" s="13">
        <v>1</v>
      </c>
      <c r="O411" s="24">
        <v>42141</v>
      </c>
      <c r="P411" s="13" t="s">
        <v>3276</v>
      </c>
      <c r="Q411" s="13" t="s">
        <v>3811</v>
      </c>
      <c r="R411" s="13" t="s">
        <v>1575</v>
      </c>
      <c r="S411" s="109"/>
      <c r="T411" s="109"/>
      <c r="U411" s="112"/>
      <c r="V411" s="109"/>
      <c r="W411" s="109"/>
      <c r="X411" s="109"/>
    </row>
    <row r="412" spans="2:24">
      <c r="B412" s="109"/>
      <c r="C412" s="109"/>
      <c r="D412" s="20" t="str">
        <f t="shared" si="86"/>
        <v>Lyft</v>
      </c>
      <c r="E412" s="109"/>
      <c r="F412" s="112"/>
      <c r="G412" s="109"/>
      <c r="H412" s="109"/>
      <c r="I412" s="109"/>
      <c r="J412" s="109"/>
      <c r="K412" s="14" t="str">
        <f t="shared" si="87"/>
        <v>运营中</v>
      </c>
      <c r="L412" s="109"/>
      <c r="M412" s="109"/>
      <c r="N412" s="13">
        <v>1</v>
      </c>
      <c r="O412" s="24">
        <v>42075</v>
      </c>
      <c r="P412" s="13" t="s">
        <v>3276</v>
      </c>
      <c r="Q412" s="13" t="s">
        <v>5945</v>
      </c>
      <c r="R412" s="13" t="s">
        <v>1576</v>
      </c>
      <c r="S412" s="109"/>
      <c r="T412" s="109"/>
      <c r="U412" s="112"/>
      <c r="V412" s="109"/>
      <c r="W412" s="109"/>
      <c r="X412" s="109"/>
    </row>
    <row r="413" spans="2:24">
      <c r="B413" s="109"/>
      <c r="C413" s="109"/>
      <c r="D413" s="20" t="str">
        <f t="shared" si="86"/>
        <v>Lyft</v>
      </c>
      <c r="E413" s="109"/>
      <c r="F413" s="112"/>
      <c r="G413" s="109"/>
      <c r="H413" s="109"/>
      <c r="I413" s="109"/>
      <c r="J413" s="109"/>
      <c r="K413" s="14" t="str">
        <f t="shared" si="87"/>
        <v>运营中</v>
      </c>
      <c r="L413" s="109"/>
      <c r="M413" s="109"/>
      <c r="N413" s="13">
        <v>1</v>
      </c>
      <c r="O413" s="24">
        <v>41732</v>
      </c>
      <c r="P413" s="13" t="s">
        <v>1827</v>
      </c>
      <c r="Q413" s="13" t="s">
        <v>5796</v>
      </c>
      <c r="R413" s="13" t="s">
        <v>1577</v>
      </c>
      <c r="S413" s="109"/>
      <c r="T413" s="109"/>
      <c r="U413" s="112"/>
      <c r="V413" s="109"/>
      <c r="W413" s="109"/>
      <c r="X413" s="109"/>
    </row>
    <row r="414" spans="2:24">
      <c r="B414" s="109"/>
      <c r="C414" s="109"/>
      <c r="D414" s="20" t="str">
        <f t="shared" si="86"/>
        <v>Lyft</v>
      </c>
      <c r="E414" s="109"/>
      <c r="F414" s="112"/>
      <c r="G414" s="109"/>
      <c r="H414" s="109"/>
      <c r="I414" s="109"/>
      <c r="J414" s="109"/>
      <c r="K414" s="14" t="str">
        <f t="shared" si="87"/>
        <v>运营中</v>
      </c>
      <c r="L414" s="109"/>
      <c r="M414" s="109"/>
      <c r="N414" s="13">
        <v>1</v>
      </c>
      <c r="O414" s="24">
        <v>41402</v>
      </c>
      <c r="P414" s="13" t="s">
        <v>5613</v>
      </c>
      <c r="Q414" s="13" t="s">
        <v>1991</v>
      </c>
      <c r="R414" s="13" t="s">
        <v>1578</v>
      </c>
      <c r="S414" s="109"/>
      <c r="T414" s="109"/>
      <c r="U414" s="112"/>
      <c r="V414" s="109"/>
      <c r="W414" s="109"/>
      <c r="X414" s="109"/>
    </row>
    <row r="415" spans="2:24">
      <c r="B415" s="109"/>
      <c r="C415" s="109"/>
      <c r="D415" s="20" t="str">
        <f t="shared" si="86"/>
        <v>Lyft</v>
      </c>
      <c r="E415" s="109"/>
      <c r="F415" s="112"/>
      <c r="G415" s="109"/>
      <c r="H415" s="109"/>
      <c r="I415" s="109"/>
      <c r="J415" s="109"/>
      <c r="K415" s="14" t="str">
        <f t="shared" si="87"/>
        <v>运营中</v>
      </c>
      <c r="L415" s="109"/>
      <c r="M415" s="109"/>
      <c r="N415" s="13">
        <v>1</v>
      </c>
      <c r="O415" s="24">
        <v>41303</v>
      </c>
      <c r="P415" s="13" t="s">
        <v>3648</v>
      </c>
      <c r="Q415" s="13" t="s">
        <v>5576</v>
      </c>
      <c r="R415" s="13" t="s">
        <v>1579</v>
      </c>
      <c r="S415" s="109"/>
      <c r="T415" s="109"/>
      <c r="U415" s="112"/>
      <c r="V415" s="109"/>
      <c r="W415" s="109"/>
      <c r="X415" s="109"/>
    </row>
    <row r="416" spans="2:24">
      <c r="B416" s="109"/>
      <c r="C416" s="109"/>
      <c r="D416" s="20" t="str">
        <f t="shared" si="86"/>
        <v>Lyft</v>
      </c>
      <c r="E416" s="109"/>
      <c r="F416" s="112"/>
      <c r="G416" s="109"/>
      <c r="H416" s="109"/>
      <c r="I416" s="109"/>
      <c r="J416" s="109"/>
      <c r="K416" s="14" t="str">
        <f t="shared" si="87"/>
        <v>运营中</v>
      </c>
      <c r="L416" s="109"/>
      <c r="M416" s="109"/>
      <c r="N416" s="13">
        <v>1</v>
      </c>
      <c r="O416" s="24">
        <v>40816</v>
      </c>
      <c r="P416" s="13" t="s">
        <v>3513</v>
      </c>
      <c r="Q416" s="13" t="s">
        <v>6218</v>
      </c>
      <c r="R416" s="13" t="s">
        <v>1581</v>
      </c>
      <c r="S416" s="109"/>
      <c r="T416" s="109"/>
      <c r="U416" s="112"/>
      <c r="V416" s="109"/>
      <c r="W416" s="109"/>
      <c r="X416" s="109"/>
    </row>
    <row r="417" spans="2:24">
      <c r="B417" s="109"/>
      <c r="C417" s="109"/>
      <c r="D417" s="20" t="str">
        <f t="shared" si="86"/>
        <v>Lyft</v>
      </c>
      <c r="E417" s="109"/>
      <c r="F417" s="112"/>
      <c r="G417" s="109"/>
      <c r="H417" s="109"/>
      <c r="I417" s="109"/>
      <c r="J417" s="109"/>
      <c r="K417" s="14" t="str">
        <f t="shared" si="87"/>
        <v>运营中</v>
      </c>
      <c r="L417" s="109"/>
      <c r="M417" s="109"/>
      <c r="N417" s="13">
        <v>1</v>
      </c>
      <c r="O417" s="24">
        <v>39630</v>
      </c>
      <c r="P417" s="13" t="s">
        <v>5697</v>
      </c>
      <c r="Q417" s="13" t="s">
        <v>6219</v>
      </c>
      <c r="R417" s="13" t="s">
        <v>1583</v>
      </c>
      <c r="S417" s="109"/>
      <c r="T417" s="109"/>
      <c r="U417" s="112"/>
      <c r="V417" s="109"/>
      <c r="W417" s="109"/>
      <c r="X417" s="109"/>
    </row>
    <row r="418" spans="2:24">
      <c r="B418" s="109"/>
      <c r="C418" s="109" t="s">
        <v>1584</v>
      </c>
      <c r="D418" s="20" t="s">
        <v>1585</v>
      </c>
      <c r="E418" s="109" t="s">
        <v>1585</v>
      </c>
      <c r="F418" s="112" t="s">
        <v>6220</v>
      </c>
      <c r="G418" s="109"/>
      <c r="H418" s="109" t="s">
        <v>1587</v>
      </c>
      <c r="I418" s="109" t="s">
        <v>1588</v>
      </c>
      <c r="J418" s="109" t="s">
        <v>1564</v>
      </c>
      <c r="K418" s="14" t="s">
        <v>272</v>
      </c>
      <c r="L418" s="109" t="s">
        <v>5821</v>
      </c>
      <c r="M418" s="109" t="s">
        <v>6221</v>
      </c>
      <c r="N418" s="13"/>
      <c r="O418" s="24">
        <v>41717</v>
      </c>
      <c r="P418" s="13" t="s">
        <v>1827</v>
      </c>
      <c r="Q418" s="13" t="s">
        <v>6222</v>
      </c>
      <c r="R418" s="13" t="s">
        <v>1591</v>
      </c>
      <c r="S418" s="109" t="s">
        <v>6223</v>
      </c>
      <c r="T418" s="109" t="s">
        <v>6224</v>
      </c>
      <c r="U418" s="112" t="s">
        <v>1594</v>
      </c>
      <c r="V418" s="109"/>
      <c r="W418" s="109"/>
      <c r="X418" s="109"/>
    </row>
    <row r="419" spans="2:24">
      <c r="B419" s="109"/>
      <c r="C419" s="109"/>
      <c r="D419" s="20" t="str">
        <f>D418</f>
        <v>Tango</v>
      </c>
      <c r="E419" s="109"/>
      <c r="F419" s="112"/>
      <c r="G419" s="109"/>
      <c r="H419" s="109"/>
      <c r="I419" s="109"/>
      <c r="J419" s="109"/>
      <c r="K419" s="14" t="str">
        <f t="shared" ref="K419:K421" si="88">K418</f>
        <v>运营中</v>
      </c>
      <c r="L419" s="109"/>
      <c r="M419" s="109"/>
      <c r="N419" s="13"/>
      <c r="O419" s="24">
        <v>41019</v>
      </c>
      <c r="P419" s="13" t="s">
        <v>5613</v>
      </c>
      <c r="Q419" s="13" t="s">
        <v>5389</v>
      </c>
      <c r="R419" s="13" t="s">
        <v>1595</v>
      </c>
      <c r="S419" s="109"/>
      <c r="T419" s="109"/>
      <c r="U419" s="112"/>
      <c r="V419" s="109"/>
      <c r="W419" s="109"/>
      <c r="X419" s="109"/>
    </row>
    <row r="420" spans="2:24">
      <c r="B420" s="109"/>
      <c r="C420" s="109"/>
      <c r="D420" s="20" t="str">
        <f>D419</f>
        <v>Tango</v>
      </c>
      <c r="E420" s="109"/>
      <c r="F420" s="112"/>
      <c r="G420" s="109"/>
      <c r="H420" s="109"/>
      <c r="I420" s="109"/>
      <c r="J420" s="109"/>
      <c r="K420" s="14" t="str">
        <f t="shared" si="88"/>
        <v>运营中</v>
      </c>
      <c r="L420" s="109"/>
      <c r="M420" s="109"/>
      <c r="N420" s="13"/>
      <c r="O420" s="24">
        <v>40745</v>
      </c>
      <c r="P420" s="13" t="s">
        <v>3648</v>
      </c>
      <c r="Q420" s="13" t="s">
        <v>6225</v>
      </c>
      <c r="R420" s="13" t="s">
        <v>1597</v>
      </c>
      <c r="S420" s="109"/>
      <c r="T420" s="109"/>
      <c r="U420" s="112"/>
      <c r="V420" s="109"/>
      <c r="W420" s="109"/>
      <c r="X420" s="109"/>
    </row>
    <row r="421" spans="2:24">
      <c r="B421" s="109"/>
      <c r="C421" s="109"/>
      <c r="D421" s="20" t="str">
        <f>D420</f>
        <v>Tango</v>
      </c>
      <c r="E421" s="109"/>
      <c r="F421" s="112"/>
      <c r="G421" s="109"/>
      <c r="H421" s="109"/>
      <c r="I421" s="109"/>
      <c r="J421" s="109"/>
      <c r="K421" s="14" t="str">
        <f t="shared" si="88"/>
        <v>运营中</v>
      </c>
      <c r="L421" s="109"/>
      <c r="M421" s="109"/>
      <c r="N421" s="13"/>
      <c r="O421" s="24">
        <v>40330</v>
      </c>
      <c r="P421" s="13" t="s">
        <v>3513</v>
      </c>
      <c r="Q421" s="13" t="s">
        <v>6226</v>
      </c>
      <c r="R421" s="13" t="s">
        <v>1599</v>
      </c>
      <c r="S421" s="109"/>
      <c r="T421" s="109"/>
      <c r="U421" s="112"/>
      <c r="V421" s="109"/>
      <c r="W421" s="109"/>
      <c r="X421" s="109"/>
    </row>
    <row r="422" spans="2:24" ht="36">
      <c r="B422" s="109"/>
      <c r="C422" s="13" t="s">
        <v>1600</v>
      </c>
      <c r="D422" s="25" t="s">
        <v>6227</v>
      </c>
      <c r="E422" s="13" t="s">
        <v>6228</v>
      </c>
      <c r="F422" s="18" t="s">
        <v>6229</v>
      </c>
      <c r="G422" s="13" t="s">
        <v>6230</v>
      </c>
      <c r="H422" s="13" t="s">
        <v>1605</v>
      </c>
      <c r="I422" s="13" t="s">
        <v>1606</v>
      </c>
      <c r="J422" s="13" t="s">
        <v>271</v>
      </c>
      <c r="K422" s="19" t="s">
        <v>248</v>
      </c>
      <c r="L422" s="13" t="s">
        <v>5472</v>
      </c>
      <c r="M422" s="13" t="s">
        <v>6231</v>
      </c>
      <c r="N422" s="13"/>
      <c r="O422" s="24">
        <v>41985</v>
      </c>
      <c r="P422" s="13" t="s">
        <v>3513</v>
      </c>
      <c r="Q422" s="13" t="s">
        <v>5646</v>
      </c>
      <c r="R422" s="13" t="s">
        <v>1751</v>
      </c>
      <c r="S422" s="13" t="s">
        <v>6232</v>
      </c>
      <c r="T422" s="13" t="s">
        <v>6233</v>
      </c>
      <c r="U422" s="18" t="s">
        <v>1610</v>
      </c>
      <c r="V422" s="13"/>
      <c r="W422" s="13"/>
      <c r="X422" s="13"/>
    </row>
    <row r="423" spans="2:24">
      <c r="B423" s="109"/>
      <c r="C423" s="109" t="s">
        <v>1611</v>
      </c>
      <c r="D423" s="20" t="s">
        <v>6234</v>
      </c>
      <c r="E423" s="109" t="s">
        <v>6235</v>
      </c>
      <c r="F423" s="112" t="s">
        <v>6236</v>
      </c>
      <c r="G423" s="109" t="s">
        <v>6237</v>
      </c>
      <c r="H423" s="109" t="s">
        <v>1616</v>
      </c>
      <c r="I423" s="109" t="s">
        <v>1617</v>
      </c>
      <c r="J423" s="109" t="s">
        <v>547</v>
      </c>
      <c r="K423" s="14" t="s">
        <v>272</v>
      </c>
      <c r="L423" s="109" t="s">
        <v>5651</v>
      </c>
      <c r="M423" s="109" t="s">
        <v>6238</v>
      </c>
      <c r="N423" s="13">
        <v>1</v>
      </c>
      <c r="O423" s="24">
        <v>41791</v>
      </c>
      <c r="P423" s="13" t="s">
        <v>5709</v>
      </c>
      <c r="Q423" s="13" t="s">
        <v>5000</v>
      </c>
      <c r="R423" s="13" t="s">
        <v>1751</v>
      </c>
      <c r="S423" s="109" t="s">
        <v>6239</v>
      </c>
      <c r="T423" s="109" t="s">
        <v>3664</v>
      </c>
      <c r="U423" s="112" t="s">
        <v>1620</v>
      </c>
      <c r="V423" s="109"/>
      <c r="W423" s="109"/>
      <c r="X423" s="109"/>
    </row>
    <row r="424" spans="2:24">
      <c r="B424" s="109"/>
      <c r="C424" s="109"/>
      <c r="D424" s="20" t="str">
        <f t="shared" ref="D424:D430" si="89">D423</f>
        <v>UC优视科技</v>
      </c>
      <c r="E424" s="109"/>
      <c r="F424" s="112"/>
      <c r="G424" s="109"/>
      <c r="H424" s="109"/>
      <c r="I424" s="109"/>
      <c r="J424" s="109"/>
      <c r="K424" s="14" t="str">
        <f t="shared" ref="K424:K430" si="90">K423</f>
        <v>运营中</v>
      </c>
      <c r="L424" s="109"/>
      <c r="M424" s="109"/>
      <c r="N424" s="13">
        <v>1</v>
      </c>
      <c r="O424" s="24">
        <v>41609</v>
      </c>
      <c r="P424" s="13" t="s">
        <v>5635</v>
      </c>
      <c r="Q424" s="13" t="s">
        <v>5774</v>
      </c>
      <c r="R424" s="13" t="s">
        <v>1751</v>
      </c>
      <c r="S424" s="109"/>
      <c r="T424" s="109"/>
      <c r="U424" s="112"/>
      <c r="V424" s="109"/>
      <c r="W424" s="109"/>
      <c r="X424" s="109"/>
    </row>
    <row r="425" spans="2:24">
      <c r="B425" s="109"/>
      <c r="C425" s="109"/>
      <c r="D425" s="20" t="str">
        <f t="shared" si="89"/>
        <v>UC优视科技</v>
      </c>
      <c r="E425" s="109"/>
      <c r="F425" s="112"/>
      <c r="G425" s="109"/>
      <c r="H425" s="109"/>
      <c r="I425" s="109"/>
      <c r="J425" s="109"/>
      <c r="K425" s="14" t="str">
        <f t="shared" si="90"/>
        <v>运营中</v>
      </c>
      <c r="L425" s="109"/>
      <c r="M425" s="109"/>
      <c r="N425" s="13">
        <v>1</v>
      </c>
      <c r="O425" s="24">
        <v>41395</v>
      </c>
      <c r="P425" s="13" t="s">
        <v>3276</v>
      </c>
      <c r="Q425" s="13" t="s">
        <v>6240</v>
      </c>
      <c r="R425" s="13" t="s">
        <v>1751</v>
      </c>
      <c r="S425" s="109"/>
      <c r="T425" s="109"/>
      <c r="U425" s="112"/>
      <c r="V425" s="109"/>
      <c r="W425" s="109"/>
      <c r="X425" s="109"/>
    </row>
    <row r="426" spans="2:24">
      <c r="B426" s="109"/>
      <c r="C426" s="109"/>
      <c r="D426" s="20" t="str">
        <f t="shared" si="89"/>
        <v>UC优视科技</v>
      </c>
      <c r="E426" s="109"/>
      <c r="F426" s="112"/>
      <c r="G426" s="109"/>
      <c r="H426" s="109"/>
      <c r="I426" s="109"/>
      <c r="J426" s="109"/>
      <c r="K426" s="14" t="str">
        <f t="shared" si="90"/>
        <v>运营中</v>
      </c>
      <c r="L426" s="109"/>
      <c r="M426" s="109"/>
      <c r="N426" s="13">
        <v>1</v>
      </c>
      <c r="O426" s="24">
        <v>40544</v>
      </c>
      <c r="P426" s="13" t="s">
        <v>1827</v>
      </c>
      <c r="Q426" s="13" t="s">
        <v>5129</v>
      </c>
      <c r="R426" s="13" t="s">
        <v>6241</v>
      </c>
      <c r="S426" s="109"/>
      <c r="T426" s="109"/>
      <c r="U426" s="112"/>
      <c r="V426" s="109"/>
      <c r="W426" s="109"/>
      <c r="X426" s="109"/>
    </row>
    <row r="427" spans="2:24">
      <c r="B427" s="109"/>
      <c r="C427" s="109"/>
      <c r="D427" s="20" t="str">
        <f t="shared" si="89"/>
        <v>UC优视科技</v>
      </c>
      <c r="E427" s="109"/>
      <c r="F427" s="112"/>
      <c r="G427" s="109"/>
      <c r="H427" s="109"/>
      <c r="I427" s="109"/>
      <c r="J427" s="109"/>
      <c r="K427" s="14" t="str">
        <f t="shared" si="90"/>
        <v>运营中</v>
      </c>
      <c r="L427" s="109"/>
      <c r="M427" s="109"/>
      <c r="N427" s="13">
        <v>1</v>
      </c>
      <c r="O427" s="24">
        <v>40238</v>
      </c>
      <c r="P427" s="13" t="s">
        <v>5613</v>
      </c>
      <c r="Q427" s="13" t="s">
        <v>5129</v>
      </c>
      <c r="R427" s="13" t="s">
        <v>6242</v>
      </c>
      <c r="S427" s="109"/>
      <c r="T427" s="109"/>
      <c r="U427" s="112"/>
      <c r="V427" s="109"/>
      <c r="W427" s="109"/>
      <c r="X427" s="109"/>
    </row>
    <row r="428" spans="2:24">
      <c r="B428" s="109"/>
      <c r="C428" s="109"/>
      <c r="D428" s="20" t="str">
        <f t="shared" si="89"/>
        <v>UC优视科技</v>
      </c>
      <c r="E428" s="109"/>
      <c r="F428" s="112"/>
      <c r="G428" s="109"/>
      <c r="H428" s="109"/>
      <c r="I428" s="109"/>
      <c r="J428" s="109"/>
      <c r="K428" s="14" t="str">
        <f t="shared" si="90"/>
        <v>运营中</v>
      </c>
      <c r="L428" s="109"/>
      <c r="M428" s="109"/>
      <c r="N428" s="13">
        <v>1</v>
      </c>
      <c r="O428" s="24">
        <v>39965</v>
      </c>
      <c r="P428" s="13" t="s">
        <v>3648</v>
      </c>
      <c r="Q428" s="13" t="s">
        <v>5129</v>
      </c>
      <c r="R428" s="13" t="s">
        <v>1624</v>
      </c>
      <c r="S428" s="109"/>
      <c r="T428" s="109"/>
      <c r="U428" s="112"/>
      <c r="V428" s="109"/>
      <c r="W428" s="109"/>
      <c r="X428" s="109"/>
    </row>
    <row r="429" spans="2:24">
      <c r="B429" s="109"/>
      <c r="C429" s="109"/>
      <c r="D429" s="20" t="str">
        <f t="shared" si="89"/>
        <v>UC优视科技</v>
      </c>
      <c r="E429" s="109"/>
      <c r="F429" s="112"/>
      <c r="G429" s="109"/>
      <c r="H429" s="109"/>
      <c r="I429" s="109"/>
      <c r="J429" s="109"/>
      <c r="K429" s="14" t="str">
        <f t="shared" si="90"/>
        <v>运营中</v>
      </c>
      <c r="L429" s="109"/>
      <c r="M429" s="109"/>
      <c r="N429" s="13">
        <v>1</v>
      </c>
      <c r="O429" s="24">
        <v>39142</v>
      </c>
      <c r="P429" s="13" t="s">
        <v>3513</v>
      </c>
      <c r="Q429" s="13" t="s">
        <v>5616</v>
      </c>
      <c r="R429" s="13" t="s">
        <v>1625</v>
      </c>
      <c r="S429" s="109"/>
      <c r="T429" s="109"/>
      <c r="U429" s="112"/>
      <c r="V429" s="109"/>
      <c r="W429" s="109"/>
      <c r="X429" s="109"/>
    </row>
    <row r="430" spans="2:24">
      <c r="B430" s="109"/>
      <c r="C430" s="109"/>
      <c r="D430" s="20" t="str">
        <f t="shared" si="89"/>
        <v>UC优视科技</v>
      </c>
      <c r="E430" s="109"/>
      <c r="F430" s="112"/>
      <c r="G430" s="109"/>
      <c r="H430" s="109"/>
      <c r="I430" s="109"/>
      <c r="J430" s="109"/>
      <c r="K430" s="14" t="str">
        <f t="shared" si="90"/>
        <v>运营中</v>
      </c>
      <c r="L430" s="109"/>
      <c r="M430" s="109"/>
      <c r="N430" s="13">
        <v>1</v>
      </c>
      <c r="O430" s="24">
        <v>39052</v>
      </c>
      <c r="P430" s="13" t="s">
        <v>5474</v>
      </c>
      <c r="Q430" s="13" t="s">
        <v>5646</v>
      </c>
      <c r="R430" s="13" t="s">
        <v>1626</v>
      </c>
      <c r="S430" s="109"/>
      <c r="T430" s="109"/>
      <c r="U430" s="112"/>
      <c r="V430" s="109"/>
      <c r="W430" s="109"/>
      <c r="X430" s="109"/>
    </row>
    <row r="431" spans="2:24">
      <c r="B431" s="109"/>
      <c r="C431" s="109" t="s">
        <v>1627</v>
      </c>
      <c r="D431" s="20" t="s">
        <v>6243</v>
      </c>
      <c r="E431" s="109" t="s">
        <v>6244</v>
      </c>
      <c r="F431" s="112" t="s">
        <v>1629</v>
      </c>
      <c r="G431" s="109" t="s">
        <v>6245</v>
      </c>
      <c r="H431" s="109" t="s">
        <v>1631</v>
      </c>
      <c r="I431" s="109" t="s">
        <v>1632</v>
      </c>
      <c r="J431" s="109" t="s">
        <v>385</v>
      </c>
      <c r="K431" s="14" t="s">
        <v>272</v>
      </c>
      <c r="L431" s="109" t="s">
        <v>4162</v>
      </c>
      <c r="M431" s="109" t="s">
        <v>929</v>
      </c>
      <c r="N431" s="13">
        <v>1</v>
      </c>
      <c r="O431" s="24">
        <v>42314</v>
      </c>
      <c r="P431" s="13" t="s">
        <v>5709</v>
      </c>
      <c r="Q431" s="13" t="s">
        <v>6246</v>
      </c>
      <c r="R431" s="13" t="s">
        <v>1751</v>
      </c>
      <c r="S431" s="109" t="s">
        <v>6247</v>
      </c>
      <c r="T431" s="109" t="s">
        <v>6248</v>
      </c>
      <c r="U431" s="112" t="s">
        <v>1636</v>
      </c>
      <c r="V431" s="109" t="s">
        <v>1637</v>
      </c>
      <c r="W431" s="109" t="s">
        <v>1638</v>
      </c>
      <c r="X431" s="109" t="s">
        <v>1639</v>
      </c>
    </row>
    <row r="432" spans="2:24">
      <c r="B432" s="109"/>
      <c r="C432" s="109"/>
      <c r="D432" s="20" t="str">
        <f t="shared" ref="D432:D440" si="91">D431</f>
        <v>优酷</v>
      </c>
      <c r="E432" s="109"/>
      <c r="F432" s="112"/>
      <c r="G432" s="109"/>
      <c r="H432" s="109"/>
      <c r="I432" s="109"/>
      <c r="J432" s="109"/>
      <c r="K432" s="14" t="str">
        <f t="shared" ref="K432:K440" si="92">K431</f>
        <v>运营中</v>
      </c>
      <c r="L432" s="109"/>
      <c r="M432" s="109"/>
      <c r="N432" s="13">
        <v>1</v>
      </c>
      <c r="O432" s="24">
        <v>41955</v>
      </c>
      <c r="P432" s="13" t="s">
        <v>5810</v>
      </c>
      <c r="Q432" s="13" t="s">
        <v>5591</v>
      </c>
      <c r="R432" s="13" t="s">
        <v>5864</v>
      </c>
      <c r="S432" s="109"/>
      <c r="T432" s="109"/>
      <c r="U432" s="112"/>
      <c r="V432" s="109"/>
      <c r="W432" s="109"/>
      <c r="X432" s="109"/>
    </row>
    <row r="433" spans="2:24">
      <c r="B433" s="109"/>
      <c r="C433" s="109"/>
      <c r="D433" s="20" t="str">
        <f t="shared" si="91"/>
        <v>优酷</v>
      </c>
      <c r="E433" s="109"/>
      <c r="F433" s="112"/>
      <c r="G433" s="109"/>
      <c r="H433" s="109"/>
      <c r="I433" s="109"/>
      <c r="J433" s="109"/>
      <c r="K433" s="14" t="str">
        <f t="shared" si="92"/>
        <v>运营中</v>
      </c>
      <c r="L433" s="109"/>
      <c r="M433" s="109"/>
      <c r="N433" s="13">
        <v>1</v>
      </c>
      <c r="O433" s="24">
        <v>41730</v>
      </c>
      <c r="P433" s="13" t="s">
        <v>5810</v>
      </c>
      <c r="Q433" s="13" t="s">
        <v>6249</v>
      </c>
      <c r="R433" s="13" t="s">
        <v>455</v>
      </c>
      <c r="S433" s="109"/>
      <c r="T433" s="109"/>
      <c r="U433" s="112"/>
      <c r="V433" s="109"/>
      <c r="W433" s="109"/>
      <c r="X433" s="109"/>
    </row>
    <row r="434" spans="2:24">
      <c r="B434" s="109"/>
      <c r="C434" s="109"/>
      <c r="D434" s="20" t="str">
        <f t="shared" si="91"/>
        <v>优酷</v>
      </c>
      <c r="E434" s="109"/>
      <c r="F434" s="112"/>
      <c r="G434" s="109"/>
      <c r="H434" s="109"/>
      <c r="I434" s="109"/>
      <c r="J434" s="109"/>
      <c r="K434" s="14" t="str">
        <f t="shared" si="92"/>
        <v>运营中</v>
      </c>
      <c r="L434" s="109"/>
      <c r="M434" s="109"/>
      <c r="N434" s="13">
        <v>1</v>
      </c>
      <c r="O434" s="24">
        <v>40979</v>
      </c>
      <c r="P434" s="13" t="s">
        <v>5641</v>
      </c>
      <c r="Q434" s="13" t="s">
        <v>2030</v>
      </c>
      <c r="R434" s="13" t="s">
        <v>6250</v>
      </c>
      <c r="S434" s="109"/>
      <c r="T434" s="109"/>
      <c r="U434" s="112"/>
      <c r="V434" s="109"/>
      <c r="W434" s="109"/>
      <c r="X434" s="109"/>
    </row>
    <row r="435" spans="2:24">
      <c r="B435" s="109"/>
      <c r="C435" s="109"/>
      <c r="D435" s="20" t="str">
        <f t="shared" si="91"/>
        <v>优酷</v>
      </c>
      <c r="E435" s="109"/>
      <c r="F435" s="112"/>
      <c r="G435" s="109"/>
      <c r="H435" s="109"/>
      <c r="I435" s="109"/>
      <c r="J435" s="109"/>
      <c r="K435" s="14" t="str">
        <f t="shared" si="92"/>
        <v>运营中</v>
      </c>
      <c r="L435" s="109"/>
      <c r="M435" s="109"/>
      <c r="N435" s="13">
        <v>1</v>
      </c>
      <c r="O435" s="24">
        <v>40521</v>
      </c>
      <c r="P435" s="13" t="s">
        <v>5625</v>
      </c>
      <c r="Q435" s="13" t="s">
        <v>5529</v>
      </c>
      <c r="R435" s="13" t="s">
        <v>253</v>
      </c>
      <c r="S435" s="109"/>
      <c r="T435" s="109"/>
      <c r="U435" s="112"/>
      <c r="V435" s="109"/>
      <c r="W435" s="109"/>
      <c r="X435" s="109"/>
    </row>
    <row r="436" spans="2:24">
      <c r="B436" s="109"/>
      <c r="C436" s="109"/>
      <c r="D436" s="20" t="str">
        <f t="shared" si="91"/>
        <v>优酷</v>
      </c>
      <c r="E436" s="109"/>
      <c r="F436" s="112"/>
      <c r="G436" s="109"/>
      <c r="H436" s="109"/>
      <c r="I436" s="109"/>
      <c r="J436" s="109"/>
      <c r="K436" s="14" t="str">
        <f t="shared" si="92"/>
        <v>运营中</v>
      </c>
      <c r="L436" s="109"/>
      <c r="M436" s="109"/>
      <c r="N436" s="13">
        <v>1</v>
      </c>
      <c r="O436" s="24">
        <v>40422</v>
      </c>
      <c r="P436" s="13" t="s">
        <v>3276</v>
      </c>
      <c r="Q436" s="13" t="s">
        <v>5360</v>
      </c>
      <c r="R436" s="13" t="s">
        <v>1642</v>
      </c>
      <c r="S436" s="109"/>
      <c r="T436" s="109"/>
      <c r="U436" s="112"/>
      <c r="V436" s="109"/>
      <c r="W436" s="109"/>
      <c r="X436" s="109"/>
    </row>
    <row r="437" spans="2:24">
      <c r="B437" s="109"/>
      <c r="C437" s="109"/>
      <c r="D437" s="20" t="str">
        <f t="shared" si="91"/>
        <v>优酷</v>
      </c>
      <c r="E437" s="109"/>
      <c r="F437" s="112"/>
      <c r="G437" s="109"/>
      <c r="H437" s="109"/>
      <c r="I437" s="109"/>
      <c r="J437" s="109"/>
      <c r="K437" s="14" t="str">
        <f t="shared" si="92"/>
        <v>运营中</v>
      </c>
      <c r="L437" s="109"/>
      <c r="M437" s="109"/>
      <c r="N437" s="13">
        <v>1</v>
      </c>
      <c r="O437" s="24">
        <v>39630</v>
      </c>
      <c r="P437" s="13" t="s">
        <v>1827</v>
      </c>
      <c r="Q437" s="13" t="s">
        <v>5389</v>
      </c>
      <c r="R437" s="13" t="s">
        <v>1643</v>
      </c>
      <c r="S437" s="109"/>
      <c r="T437" s="109"/>
      <c r="U437" s="112"/>
      <c r="V437" s="109"/>
      <c r="W437" s="109"/>
      <c r="X437" s="109"/>
    </row>
    <row r="438" spans="2:24">
      <c r="B438" s="109"/>
      <c r="C438" s="109"/>
      <c r="D438" s="20" t="str">
        <f t="shared" si="91"/>
        <v>优酷</v>
      </c>
      <c r="E438" s="109"/>
      <c r="F438" s="112"/>
      <c r="G438" s="109"/>
      <c r="H438" s="109"/>
      <c r="I438" s="109"/>
      <c r="J438" s="109"/>
      <c r="K438" s="14" t="str">
        <f t="shared" si="92"/>
        <v>运营中</v>
      </c>
      <c r="L438" s="109"/>
      <c r="M438" s="109"/>
      <c r="N438" s="13">
        <v>1</v>
      </c>
      <c r="O438" s="24">
        <v>39387</v>
      </c>
      <c r="P438" s="13" t="s">
        <v>5613</v>
      </c>
      <c r="Q438" s="13" t="s">
        <v>5947</v>
      </c>
      <c r="R438" s="13" t="s">
        <v>1644</v>
      </c>
      <c r="S438" s="109"/>
      <c r="T438" s="109"/>
      <c r="U438" s="112"/>
      <c r="V438" s="109"/>
      <c r="W438" s="109"/>
      <c r="X438" s="109"/>
    </row>
    <row r="439" spans="2:24">
      <c r="B439" s="109"/>
      <c r="C439" s="109"/>
      <c r="D439" s="20" t="str">
        <f t="shared" si="91"/>
        <v>优酷</v>
      </c>
      <c r="E439" s="109"/>
      <c r="F439" s="112"/>
      <c r="G439" s="109"/>
      <c r="H439" s="109"/>
      <c r="I439" s="109"/>
      <c r="J439" s="109"/>
      <c r="K439" s="14" t="str">
        <f t="shared" si="92"/>
        <v>运营中</v>
      </c>
      <c r="L439" s="109"/>
      <c r="M439" s="109"/>
      <c r="N439" s="13">
        <v>1</v>
      </c>
      <c r="O439" s="24">
        <v>39052</v>
      </c>
      <c r="P439" s="13" t="s">
        <v>3648</v>
      </c>
      <c r="Q439" s="13" t="s">
        <v>5756</v>
      </c>
      <c r="R439" s="13" t="s">
        <v>1645</v>
      </c>
      <c r="S439" s="109"/>
      <c r="T439" s="109"/>
      <c r="U439" s="112"/>
      <c r="V439" s="109"/>
      <c r="W439" s="109"/>
      <c r="X439" s="109"/>
    </row>
    <row r="440" spans="2:24">
      <c r="B440" s="109"/>
      <c r="C440" s="109"/>
      <c r="D440" s="20" t="str">
        <f t="shared" si="91"/>
        <v>优酷</v>
      </c>
      <c r="E440" s="109"/>
      <c r="F440" s="112"/>
      <c r="G440" s="109"/>
      <c r="H440" s="109"/>
      <c r="I440" s="109"/>
      <c r="J440" s="109"/>
      <c r="K440" s="14" t="str">
        <f t="shared" si="92"/>
        <v>运营中</v>
      </c>
      <c r="L440" s="109"/>
      <c r="M440" s="109"/>
      <c r="N440" s="13">
        <v>1</v>
      </c>
      <c r="O440" s="24">
        <v>38657</v>
      </c>
      <c r="P440" s="13" t="s">
        <v>3513</v>
      </c>
      <c r="Q440" s="13" t="s">
        <v>5644</v>
      </c>
      <c r="R440" s="13" t="s">
        <v>253</v>
      </c>
      <c r="S440" s="109"/>
      <c r="T440" s="109"/>
      <c r="U440" s="112"/>
      <c r="V440" s="109"/>
      <c r="W440" s="109"/>
      <c r="X440" s="109"/>
    </row>
    <row r="441" spans="2:24">
      <c r="B441" s="109"/>
      <c r="C441" s="109" t="s">
        <v>1646</v>
      </c>
      <c r="D441" s="20" t="s">
        <v>1647</v>
      </c>
      <c r="E441" s="109" t="s">
        <v>1647</v>
      </c>
      <c r="F441" s="112" t="s">
        <v>6251</v>
      </c>
      <c r="G441" s="109"/>
      <c r="H441" s="109" t="s">
        <v>1649</v>
      </c>
      <c r="I441" s="109" t="s">
        <v>1563</v>
      </c>
      <c r="J441" s="109" t="s">
        <v>1650</v>
      </c>
      <c r="K441" s="14" t="s">
        <v>272</v>
      </c>
      <c r="L441" s="109" t="s">
        <v>4472</v>
      </c>
      <c r="M441" s="109" t="s">
        <v>6107</v>
      </c>
      <c r="N441" s="13">
        <v>1</v>
      </c>
      <c r="O441" s="24">
        <v>44141</v>
      </c>
      <c r="P441" s="13" t="s">
        <v>5810</v>
      </c>
      <c r="Q441" s="13" t="s">
        <v>6252</v>
      </c>
      <c r="R441" s="13" t="s">
        <v>1652</v>
      </c>
      <c r="S441" s="109" t="s">
        <v>6253</v>
      </c>
      <c r="T441" s="109" t="s">
        <v>6254</v>
      </c>
      <c r="U441" s="112" t="s">
        <v>1655</v>
      </c>
      <c r="V441" s="109"/>
      <c r="W441" s="109"/>
      <c r="X441" s="109"/>
    </row>
    <row r="442" spans="2:24">
      <c r="B442" s="109"/>
      <c r="C442" s="109"/>
      <c r="D442" s="20" t="str">
        <f t="shared" ref="D442:D451" si="93">D441</f>
        <v>Farfetch</v>
      </c>
      <c r="E442" s="109"/>
      <c r="F442" s="112"/>
      <c r="G442" s="109"/>
      <c r="H442" s="109"/>
      <c r="I442" s="109"/>
      <c r="J442" s="109"/>
      <c r="K442" s="14" t="str">
        <f t="shared" ref="K442:K451" si="94">K441</f>
        <v>运营中</v>
      </c>
      <c r="L442" s="109"/>
      <c r="M442" s="109"/>
      <c r="N442" s="13">
        <v>1</v>
      </c>
      <c r="O442" s="24">
        <v>43861</v>
      </c>
      <c r="P442" s="13" t="s">
        <v>5810</v>
      </c>
      <c r="Q442" s="13" t="s">
        <v>5796</v>
      </c>
      <c r="R442" s="13" t="s">
        <v>1656</v>
      </c>
      <c r="S442" s="109"/>
      <c r="T442" s="109"/>
      <c r="U442" s="112"/>
      <c r="V442" s="109"/>
      <c r="W442" s="109"/>
      <c r="X442" s="109"/>
    </row>
    <row r="443" spans="2:24">
      <c r="B443" s="109"/>
      <c r="C443" s="109"/>
      <c r="D443" s="20" t="str">
        <f t="shared" si="93"/>
        <v>Farfetch</v>
      </c>
      <c r="E443" s="109"/>
      <c r="F443" s="112"/>
      <c r="G443" s="109"/>
      <c r="H443" s="109"/>
      <c r="I443" s="109"/>
      <c r="J443" s="109"/>
      <c r="K443" s="14" t="str">
        <f t="shared" si="94"/>
        <v>运营中</v>
      </c>
      <c r="L443" s="109"/>
      <c r="M443" s="109"/>
      <c r="N443" s="13">
        <v>1</v>
      </c>
      <c r="O443" s="24">
        <v>43364</v>
      </c>
      <c r="P443" s="13" t="s">
        <v>5625</v>
      </c>
      <c r="Q443" s="13" t="s">
        <v>6255</v>
      </c>
      <c r="R443" s="13" t="s">
        <v>253</v>
      </c>
      <c r="S443" s="109"/>
      <c r="T443" s="109"/>
      <c r="U443" s="112"/>
      <c r="V443" s="109"/>
      <c r="W443" s="109"/>
      <c r="X443" s="109"/>
    </row>
    <row r="444" spans="2:24">
      <c r="B444" s="109"/>
      <c r="C444" s="109"/>
      <c r="D444" s="20" t="str">
        <f t="shared" si="93"/>
        <v>Farfetch</v>
      </c>
      <c r="E444" s="109"/>
      <c r="F444" s="112"/>
      <c r="G444" s="109"/>
      <c r="H444" s="109"/>
      <c r="I444" s="109"/>
      <c r="J444" s="109"/>
      <c r="K444" s="14" t="str">
        <f t="shared" si="94"/>
        <v>运营中</v>
      </c>
      <c r="L444" s="109"/>
      <c r="M444" s="109"/>
      <c r="N444" s="13">
        <v>1</v>
      </c>
      <c r="O444" s="24">
        <v>43150</v>
      </c>
      <c r="P444" s="13" t="s">
        <v>1045</v>
      </c>
      <c r="Q444" s="13" t="s">
        <v>6256</v>
      </c>
      <c r="R444" s="13" t="s">
        <v>1659</v>
      </c>
      <c r="S444" s="109"/>
      <c r="T444" s="109"/>
      <c r="U444" s="112"/>
      <c r="V444" s="109"/>
      <c r="W444" s="109"/>
      <c r="X444" s="109"/>
    </row>
    <row r="445" spans="2:24">
      <c r="B445" s="109"/>
      <c r="C445" s="109"/>
      <c r="D445" s="20" t="str">
        <f t="shared" si="93"/>
        <v>Farfetch</v>
      </c>
      <c r="E445" s="109"/>
      <c r="F445" s="112"/>
      <c r="G445" s="109"/>
      <c r="H445" s="109"/>
      <c r="I445" s="109"/>
      <c r="J445" s="109"/>
      <c r="K445" s="14" t="str">
        <f t="shared" si="94"/>
        <v>运营中</v>
      </c>
      <c r="L445" s="109"/>
      <c r="M445" s="109"/>
      <c r="N445" s="13">
        <v>1</v>
      </c>
      <c r="O445" s="24">
        <v>42908</v>
      </c>
      <c r="P445" s="13" t="s">
        <v>5709</v>
      </c>
      <c r="Q445" s="13" t="s">
        <v>6257</v>
      </c>
      <c r="R445" s="13" t="s">
        <v>6258</v>
      </c>
      <c r="S445" s="109"/>
      <c r="T445" s="109"/>
      <c r="U445" s="112"/>
      <c r="V445" s="109"/>
      <c r="W445" s="109"/>
      <c r="X445" s="109"/>
    </row>
    <row r="446" spans="2:24">
      <c r="B446" s="109"/>
      <c r="C446" s="109"/>
      <c r="D446" s="20" t="str">
        <f t="shared" si="93"/>
        <v>Farfetch</v>
      </c>
      <c r="E446" s="109"/>
      <c r="F446" s="112"/>
      <c r="G446" s="109"/>
      <c r="H446" s="109"/>
      <c r="I446" s="109"/>
      <c r="J446" s="109"/>
      <c r="K446" s="14" t="str">
        <f t="shared" si="94"/>
        <v>运营中</v>
      </c>
      <c r="L446" s="109"/>
      <c r="M446" s="109"/>
      <c r="N446" s="13">
        <v>1</v>
      </c>
      <c r="O446" s="24">
        <v>42495</v>
      </c>
      <c r="P446" s="13" t="s">
        <v>5635</v>
      </c>
      <c r="Q446" s="13" t="s">
        <v>6259</v>
      </c>
      <c r="R446" s="13" t="s">
        <v>6260</v>
      </c>
      <c r="S446" s="109"/>
      <c r="T446" s="109"/>
      <c r="U446" s="112"/>
      <c r="V446" s="109"/>
      <c r="W446" s="109"/>
      <c r="X446" s="109"/>
    </row>
    <row r="447" spans="2:24">
      <c r="B447" s="109"/>
      <c r="C447" s="109"/>
      <c r="D447" s="20" t="str">
        <f t="shared" si="93"/>
        <v>Farfetch</v>
      </c>
      <c r="E447" s="109"/>
      <c r="F447" s="112"/>
      <c r="G447" s="109"/>
      <c r="H447" s="109"/>
      <c r="I447" s="109"/>
      <c r="J447" s="109"/>
      <c r="K447" s="14" t="str">
        <f t="shared" si="94"/>
        <v>运营中</v>
      </c>
      <c r="L447" s="109"/>
      <c r="M447" s="109"/>
      <c r="N447" s="13">
        <v>1</v>
      </c>
      <c r="O447" s="24">
        <v>42068</v>
      </c>
      <c r="P447" s="13" t="s">
        <v>3276</v>
      </c>
      <c r="Q447" s="13" t="s">
        <v>6261</v>
      </c>
      <c r="R447" s="13" t="s">
        <v>1665</v>
      </c>
      <c r="S447" s="109"/>
      <c r="T447" s="109"/>
      <c r="U447" s="112"/>
      <c r="V447" s="109"/>
      <c r="W447" s="109"/>
      <c r="X447" s="109"/>
    </row>
    <row r="448" spans="2:24">
      <c r="B448" s="109"/>
      <c r="C448" s="109"/>
      <c r="D448" s="20" t="str">
        <f t="shared" si="93"/>
        <v>Farfetch</v>
      </c>
      <c r="E448" s="109"/>
      <c r="F448" s="112"/>
      <c r="G448" s="109"/>
      <c r="H448" s="109"/>
      <c r="I448" s="109"/>
      <c r="J448" s="109"/>
      <c r="K448" s="14" t="str">
        <f t="shared" si="94"/>
        <v>运营中</v>
      </c>
      <c r="L448" s="109"/>
      <c r="M448" s="109"/>
      <c r="N448" s="13">
        <v>1</v>
      </c>
      <c r="O448" s="24">
        <v>41787</v>
      </c>
      <c r="P448" s="13" t="s">
        <v>1827</v>
      </c>
      <c r="Q448" s="13" t="s">
        <v>6262</v>
      </c>
      <c r="R448" s="13" t="s">
        <v>6263</v>
      </c>
      <c r="S448" s="109"/>
      <c r="T448" s="109"/>
      <c r="U448" s="112"/>
      <c r="V448" s="109"/>
      <c r="W448" s="109"/>
      <c r="X448" s="109"/>
    </row>
    <row r="449" spans="2:24">
      <c r="B449" s="109"/>
      <c r="C449" s="109"/>
      <c r="D449" s="20" t="str">
        <f t="shared" si="93"/>
        <v>Farfetch</v>
      </c>
      <c r="E449" s="109"/>
      <c r="F449" s="112"/>
      <c r="G449" s="109"/>
      <c r="H449" s="109"/>
      <c r="I449" s="109"/>
      <c r="J449" s="109"/>
      <c r="K449" s="14" t="str">
        <f t="shared" si="94"/>
        <v>运营中</v>
      </c>
      <c r="L449" s="109"/>
      <c r="M449" s="109"/>
      <c r="N449" s="13">
        <v>1</v>
      </c>
      <c r="O449" s="24">
        <v>41339</v>
      </c>
      <c r="P449" s="13" t="s">
        <v>5613</v>
      </c>
      <c r="Q449" s="13" t="s">
        <v>4307</v>
      </c>
      <c r="R449" s="13" t="s">
        <v>1668</v>
      </c>
      <c r="S449" s="109"/>
      <c r="T449" s="109"/>
      <c r="U449" s="112"/>
      <c r="V449" s="109"/>
      <c r="W449" s="109"/>
      <c r="X449" s="109"/>
    </row>
    <row r="450" spans="2:24">
      <c r="B450" s="109"/>
      <c r="C450" s="109"/>
      <c r="D450" s="20" t="str">
        <f t="shared" si="93"/>
        <v>Farfetch</v>
      </c>
      <c r="E450" s="109"/>
      <c r="F450" s="112"/>
      <c r="G450" s="109"/>
      <c r="H450" s="109"/>
      <c r="I450" s="109"/>
      <c r="J450" s="109"/>
      <c r="K450" s="14" t="str">
        <f t="shared" si="94"/>
        <v>运营中</v>
      </c>
      <c r="L450" s="109"/>
      <c r="M450" s="109"/>
      <c r="N450" s="13">
        <v>1</v>
      </c>
      <c r="O450" s="24">
        <v>40939</v>
      </c>
      <c r="P450" s="13" t="s">
        <v>3648</v>
      </c>
      <c r="Q450" s="13" t="s">
        <v>6264</v>
      </c>
      <c r="R450" s="13" t="s">
        <v>1670</v>
      </c>
      <c r="S450" s="109"/>
      <c r="T450" s="109"/>
      <c r="U450" s="112"/>
      <c r="V450" s="109"/>
      <c r="W450" s="109"/>
      <c r="X450" s="109"/>
    </row>
    <row r="451" spans="2:24">
      <c r="B451" s="109"/>
      <c r="C451" s="109"/>
      <c r="D451" s="20" t="str">
        <f t="shared" si="93"/>
        <v>Farfetch</v>
      </c>
      <c r="E451" s="109"/>
      <c r="F451" s="112"/>
      <c r="G451" s="109"/>
      <c r="H451" s="109"/>
      <c r="I451" s="109"/>
      <c r="J451" s="109"/>
      <c r="K451" s="14" t="str">
        <f t="shared" si="94"/>
        <v>运营中</v>
      </c>
      <c r="L451" s="109"/>
      <c r="M451" s="109"/>
      <c r="N451" s="13">
        <v>1</v>
      </c>
      <c r="O451" s="24">
        <v>40375</v>
      </c>
      <c r="P451" s="13" t="s">
        <v>3513</v>
      </c>
      <c r="Q451" s="13" t="s">
        <v>5920</v>
      </c>
      <c r="R451" s="13" t="s">
        <v>6265</v>
      </c>
      <c r="S451" s="109"/>
      <c r="T451" s="109"/>
      <c r="U451" s="112"/>
      <c r="V451" s="109"/>
      <c r="W451" s="109"/>
      <c r="X451" s="109"/>
    </row>
    <row r="452" spans="2:24" ht="36">
      <c r="B452" s="109"/>
      <c r="C452" s="13" t="s">
        <v>1672</v>
      </c>
      <c r="D452" s="25" t="s">
        <v>6266</v>
      </c>
      <c r="E452" s="13" t="s">
        <v>6267</v>
      </c>
      <c r="F452" s="18" t="s">
        <v>1674</v>
      </c>
      <c r="G452" s="13" t="s">
        <v>6268</v>
      </c>
      <c r="H452" s="13" t="s">
        <v>1676</v>
      </c>
      <c r="I452" s="13" t="s">
        <v>576</v>
      </c>
      <c r="J452" s="13" t="s">
        <v>1126</v>
      </c>
      <c r="K452" s="19" t="s">
        <v>272</v>
      </c>
      <c r="L452" s="13" t="s">
        <v>5611</v>
      </c>
      <c r="M452" s="13" t="s">
        <v>6269</v>
      </c>
      <c r="N452" s="13">
        <v>1</v>
      </c>
      <c r="O452" s="24">
        <v>41760</v>
      </c>
      <c r="P452" s="13" t="s">
        <v>5709</v>
      </c>
      <c r="Q452" s="13" t="s">
        <v>2030</v>
      </c>
      <c r="R452" s="13" t="s">
        <v>1751</v>
      </c>
      <c r="S452" s="13" t="s">
        <v>253</v>
      </c>
      <c r="T452" s="13" t="s">
        <v>3664</v>
      </c>
      <c r="U452" s="18"/>
      <c r="V452" s="13"/>
      <c r="W452" s="13"/>
      <c r="X452" s="13"/>
    </row>
    <row r="453" spans="2:24">
      <c r="B453" s="109"/>
      <c r="C453" s="109" t="s">
        <v>1672</v>
      </c>
      <c r="D453" s="20" t="s">
        <v>6270</v>
      </c>
      <c r="E453" s="109" t="s">
        <v>6271</v>
      </c>
      <c r="F453" s="112" t="s">
        <v>6272</v>
      </c>
      <c r="G453" s="109" t="s">
        <v>6273</v>
      </c>
      <c r="H453" s="109" t="s">
        <v>1682</v>
      </c>
      <c r="I453" s="109" t="s">
        <v>1100</v>
      </c>
      <c r="J453" s="109" t="s">
        <v>349</v>
      </c>
      <c r="K453" s="14" t="s">
        <v>248</v>
      </c>
      <c r="L453" s="109" t="s">
        <v>5611</v>
      </c>
      <c r="M453" s="109" t="s">
        <v>6269</v>
      </c>
      <c r="N453" s="13">
        <v>1</v>
      </c>
      <c r="O453" s="24">
        <v>41760</v>
      </c>
      <c r="P453" s="13" t="s">
        <v>5709</v>
      </c>
      <c r="Q453" s="13" t="s">
        <v>2030</v>
      </c>
      <c r="R453" s="13" t="s">
        <v>1751</v>
      </c>
      <c r="S453" s="109" t="s">
        <v>5456</v>
      </c>
      <c r="T453" s="109" t="s">
        <v>3664</v>
      </c>
      <c r="U453" s="112"/>
      <c r="V453" s="109"/>
      <c r="W453" s="109"/>
      <c r="X453" s="109"/>
    </row>
    <row r="454" spans="2:24">
      <c r="B454" s="109"/>
      <c r="C454" s="109"/>
      <c r="D454" s="20" t="str">
        <f>D453</f>
        <v>ASLAN阿斯兰</v>
      </c>
      <c r="E454" s="109"/>
      <c r="F454" s="112"/>
      <c r="G454" s="109"/>
      <c r="H454" s="109"/>
      <c r="I454" s="109"/>
      <c r="J454" s="109"/>
      <c r="K454" s="14" t="str">
        <f>K453</f>
        <v>已关闭</v>
      </c>
      <c r="L454" s="109"/>
      <c r="M454" s="109"/>
      <c r="N454" s="13">
        <v>1</v>
      </c>
      <c r="O454" s="24">
        <v>41000</v>
      </c>
      <c r="P454" s="13" t="s">
        <v>3513</v>
      </c>
      <c r="Q454" s="13" t="s">
        <v>6274</v>
      </c>
      <c r="R454" s="13" t="s">
        <v>253</v>
      </c>
      <c r="S454" s="109"/>
      <c r="T454" s="109"/>
      <c r="U454" s="112"/>
      <c r="V454" s="109"/>
      <c r="W454" s="109"/>
      <c r="X454" s="109"/>
    </row>
    <row r="455" spans="2:24">
      <c r="B455" s="109"/>
      <c r="C455" s="109" t="s">
        <v>1685</v>
      </c>
      <c r="D455" s="20" t="s">
        <v>6275</v>
      </c>
      <c r="E455" s="109" t="s">
        <v>6276</v>
      </c>
      <c r="F455" s="112" t="s">
        <v>1687</v>
      </c>
      <c r="G455" s="109" t="s">
        <v>6277</v>
      </c>
      <c r="H455" s="109" t="s">
        <v>1689</v>
      </c>
      <c r="I455" s="109" t="s">
        <v>1690</v>
      </c>
      <c r="J455" s="109" t="s">
        <v>271</v>
      </c>
      <c r="K455" s="14" t="s">
        <v>248</v>
      </c>
      <c r="L455" s="109" t="s">
        <v>4472</v>
      </c>
      <c r="M455" s="109" t="s">
        <v>6278</v>
      </c>
      <c r="N455" s="13"/>
      <c r="O455" s="24">
        <v>42221</v>
      </c>
      <c r="P455" s="13" t="s">
        <v>3648</v>
      </c>
      <c r="Q455" s="13" t="s">
        <v>5915</v>
      </c>
      <c r="R455" s="13" t="s">
        <v>1692</v>
      </c>
      <c r="S455" s="109" t="s">
        <v>6279</v>
      </c>
      <c r="T455" s="109" t="s">
        <v>6280</v>
      </c>
      <c r="U455" s="112" t="s">
        <v>1695</v>
      </c>
      <c r="V455" s="109" t="s">
        <v>1696</v>
      </c>
      <c r="W455" s="109" t="s">
        <v>1697</v>
      </c>
      <c r="X455" s="109" t="s">
        <v>1698</v>
      </c>
    </row>
    <row r="456" spans="2:24">
      <c r="B456" s="109"/>
      <c r="C456" s="109"/>
      <c r="D456" s="20" t="str">
        <f>D455</f>
        <v>金银岛</v>
      </c>
      <c r="E456" s="109"/>
      <c r="F456" s="112"/>
      <c r="G456" s="109"/>
      <c r="H456" s="109"/>
      <c r="I456" s="109"/>
      <c r="J456" s="109"/>
      <c r="K456" s="14" t="str">
        <f>K455</f>
        <v>已关闭</v>
      </c>
      <c r="L456" s="109"/>
      <c r="M456" s="109"/>
      <c r="N456" s="13"/>
      <c r="O456" s="24">
        <v>39965</v>
      </c>
      <c r="P456" s="13" t="s">
        <v>3513</v>
      </c>
      <c r="Q456" s="13" t="s">
        <v>5427</v>
      </c>
      <c r="R456" s="13" t="s">
        <v>6281</v>
      </c>
      <c r="S456" s="109"/>
      <c r="T456" s="109"/>
      <c r="U456" s="112"/>
      <c r="V456" s="109"/>
      <c r="W456" s="109"/>
      <c r="X456" s="109"/>
    </row>
    <row r="457" spans="2:24">
      <c r="B457" s="109"/>
      <c r="C457" s="109" t="s">
        <v>1700</v>
      </c>
      <c r="D457" s="20" t="s">
        <v>6282</v>
      </c>
      <c r="E457" s="109" t="s">
        <v>6283</v>
      </c>
      <c r="F457" s="112" t="s">
        <v>1702</v>
      </c>
      <c r="G457" s="109" t="s">
        <v>6284</v>
      </c>
      <c r="H457" s="109"/>
      <c r="I457" s="109" t="s">
        <v>593</v>
      </c>
      <c r="J457" s="109" t="s">
        <v>385</v>
      </c>
      <c r="K457" s="14" t="s">
        <v>248</v>
      </c>
      <c r="L457" s="109" t="s">
        <v>4472</v>
      </c>
      <c r="M457" s="109" t="s">
        <v>6285</v>
      </c>
      <c r="N457" s="13"/>
      <c r="O457" s="24">
        <v>41935</v>
      </c>
      <c r="P457" s="13" t="s">
        <v>3513</v>
      </c>
      <c r="Q457" s="13" t="s">
        <v>5662</v>
      </c>
      <c r="R457" s="13" t="s">
        <v>1751</v>
      </c>
      <c r="S457" s="109" t="s">
        <v>6286</v>
      </c>
      <c r="T457" s="109" t="s">
        <v>5837</v>
      </c>
      <c r="U457" s="112" t="s">
        <v>1706</v>
      </c>
      <c r="V457" s="109" t="s">
        <v>1707</v>
      </c>
      <c r="W457" s="109" t="s">
        <v>1708</v>
      </c>
      <c r="X457" s="109" t="s">
        <v>1709</v>
      </c>
    </row>
    <row r="458" spans="2:24">
      <c r="B458" s="109"/>
      <c r="C458" s="109"/>
      <c r="D458" s="20" t="str">
        <f>D457</f>
        <v>妈妈值得买</v>
      </c>
      <c r="E458" s="109"/>
      <c r="F458" s="112"/>
      <c r="G458" s="109"/>
      <c r="H458" s="109"/>
      <c r="I458" s="109"/>
      <c r="J458" s="109"/>
      <c r="K458" s="14" t="str">
        <f>K457</f>
        <v>已关闭</v>
      </c>
      <c r="L458" s="109"/>
      <c r="M458" s="109"/>
      <c r="N458" s="13"/>
      <c r="O458" s="24">
        <v>41760</v>
      </c>
      <c r="P458" s="13" t="s">
        <v>5474</v>
      </c>
      <c r="Q458" s="13" t="s">
        <v>5646</v>
      </c>
      <c r="R458" s="13" t="s">
        <v>5682</v>
      </c>
      <c r="S458" s="109"/>
      <c r="T458" s="109"/>
      <c r="U458" s="112"/>
      <c r="V458" s="109"/>
      <c r="W458" s="109"/>
      <c r="X458" s="109"/>
    </row>
    <row r="459" spans="2:24">
      <c r="B459" s="109"/>
      <c r="C459" s="109" t="s">
        <v>1710</v>
      </c>
      <c r="D459" s="20" t="s">
        <v>6287</v>
      </c>
      <c r="E459" s="109" t="s">
        <v>6288</v>
      </c>
      <c r="F459" s="112" t="s">
        <v>1712</v>
      </c>
      <c r="G459" s="109" t="s">
        <v>6289</v>
      </c>
      <c r="H459" s="109" t="s">
        <v>1714</v>
      </c>
      <c r="I459" s="109" t="s">
        <v>1715</v>
      </c>
      <c r="J459" s="109" t="s">
        <v>1215</v>
      </c>
      <c r="K459" s="14" t="s">
        <v>272</v>
      </c>
      <c r="L459" s="109" t="s">
        <v>4162</v>
      </c>
      <c r="M459" s="109" t="s">
        <v>5167</v>
      </c>
      <c r="N459" s="13"/>
      <c r="O459" s="24">
        <v>42159</v>
      </c>
      <c r="P459" s="13" t="s">
        <v>1045</v>
      </c>
      <c r="Q459" s="13" t="s">
        <v>6290</v>
      </c>
      <c r="R459" s="13" t="s">
        <v>1751</v>
      </c>
      <c r="S459" s="109" t="s">
        <v>6291</v>
      </c>
      <c r="T459" s="109" t="s">
        <v>6292</v>
      </c>
      <c r="U459" s="112"/>
      <c r="V459" s="109"/>
      <c r="W459" s="109"/>
      <c r="X459" s="109" t="s">
        <v>1719</v>
      </c>
    </row>
    <row r="460" spans="2:24">
      <c r="B460" s="109"/>
      <c r="C460" s="109"/>
      <c r="D460" s="20" t="str">
        <f>D459</f>
        <v>第一财经</v>
      </c>
      <c r="E460" s="109"/>
      <c r="F460" s="112"/>
      <c r="G460" s="109"/>
      <c r="H460" s="109"/>
      <c r="I460" s="109"/>
      <c r="J460" s="109"/>
      <c r="K460" s="14" t="str">
        <f>K459</f>
        <v>运营中</v>
      </c>
      <c r="L460" s="109"/>
      <c r="M460" s="109"/>
      <c r="N460" s="13"/>
      <c r="O460" s="24">
        <v>40539</v>
      </c>
      <c r="P460" s="13" t="s">
        <v>1045</v>
      </c>
      <c r="Q460" s="13" t="s">
        <v>1750</v>
      </c>
      <c r="R460" s="13" t="s">
        <v>1720</v>
      </c>
      <c r="S460" s="109"/>
      <c r="T460" s="109"/>
      <c r="U460" s="112"/>
      <c r="V460" s="109"/>
      <c r="W460" s="109"/>
      <c r="X460" s="109"/>
    </row>
    <row r="461" spans="2:24">
      <c r="B461" s="109"/>
      <c r="C461" s="109" t="s">
        <v>1721</v>
      </c>
      <c r="D461" s="20" t="s">
        <v>1722</v>
      </c>
      <c r="E461" s="109" t="s">
        <v>1722</v>
      </c>
      <c r="F461" s="112" t="s">
        <v>6293</v>
      </c>
      <c r="G461" s="109"/>
      <c r="H461" s="109" t="s">
        <v>1724</v>
      </c>
      <c r="I461" s="109" t="s">
        <v>616</v>
      </c>
      <c r="J461" s="109" t="s">
        <v>1725</v>
      </c>
      <c r="K461" s="14" t="s">
        <v>272</v>
      </c>
      <c r="L461" s="109" t="s">
        <v>4472</v>
      </c>
      <c r="M461" s="109" t="s">
        <v>5780</v>
      </c>
      <c r="N461" s="13"/>
      <c r="O461" s="24">
        <v>43672</v>
      </c>
      <c r="P461" s="13" t="s">
        <v>1045</v>
      </c>
      <c r="Q461" s="13" t="s">
        <v>5000</v>
      </c>
      <c r="R461" s="13" t="s">
        <v>1726</v>
      </c>
      <c r="S461" s="109" t="s">
        <v>6294</v>
      </c>
      <c r="T461" s="109" t="s">
        <v>6295</v>
      </c>
      <c r="U461" s="112" t="s">
        <v>1729</v>
      </c>
      <c r="V461" s="109"/>
      <c r="W461" s="109"/>
      <c r="X461" s="109"/>
    </row>
    <row r="462" spans="2:24">
      <c r="B462" s="109"/>
      <c r="C462" s="109"/>
      <c r="D462" s="20" t="str">
        <f t="shared" ref="D462:D471" si="95">D461</f>
        <v>Snapdeal</v>
      </c>
      <c r="E462" s="109"/>
      <c r="F462" s="112"/>
      <c r="G462" s="109"/>
      <c r="H462" s="109"/>
      <c r="I462" s="109"/>
      <c r="J462" s="109"/>
      <c r="K462" s="14" t="str">
        <f t="shared" ref="K462:K471" si="96">K461</f>
        <v>运营中</v>
      </c>
      <c r="L462" s="109"/>
      <c r="M462" s="109"/>
      <c r="N462" s="13"/>
      <c r="O462" s="24">
        <v>42891</v>
      </c>
      <c r="P462" s="13" t="s">
        <v>1045</v>
      </c>
      <c r="Q462" s="13" t="s">
        <v>6296</v>
      </c>
      <c r="R462" s="13" t="s">
        <v>1731</v>
      </c>
      <c r="S462" s="109"/>
      <c r="T462" s="109"/>
      <c r="U462" s="112"/>
      <c r="V462" s="109"/>
      <c r="W462" s="109"/>
      <c r="X462" s="109"/>
    </row>
    <row r="463" spans="2:24">
      <c r="B463" s="109"/>
      <c r="C463" s="109"/>
      <c r="D463" s="20" t="str">
        <f t="shared" si="95"/>
        <v>Snapdeal</v>
      </c>
      <c r="E463" s="109"/>
      <c r="F463" s="112"/>
      <c r="G463" s="109"/>
      <c r="H463" s="109"/>
      <c r="I463" s="109"/>
      <c r="J463" s="109"/>
      <c r="K463" s="14" t="str">
        <f t="shared" si="96"/>
        <v>运营中</v>
      </c>
      <c r="L463" s="109"/>
      <c r="M463" s="109"/>
      <c r="N463" s="13"/>
      <c r="O463" s="24">
        <v>42612</v>
      </c>
      <c r="P463" s="13" t="s">
        <v>5635</v>
      </c>
      <c r="Q463" s="13" t="s">
        <v>6297</v>
      </c>
      <c r="R463" s="13" t="s">
        <v>253</v>
      </c>
      <c r="S463" s="109"/>
      <c r="T463" s="109"/>
      <c r="U463" s="112"/>
      <c r="V463" s="109"/>
      <c r="W463" s="109"/>
      <c r="X463" s="109"/>
    </row>
    <row r="464" spans="2:24">
      <c r="B464" s="109"/>
      <c r="C464" s="109"/>
      <c r="D464" s="20" t="str">
        <f t="shared" si="95"/>
        <v>Snapdeal</v>
      </c>
      <c r="E464" s="109"/>
      <c r="F464" s="112"/>
      <c r="G464" s="109"/>
      <c r="H464" s="109"/>
      <c r="I464" s="109"/>
      <c r="J464" s="109"/>
      <c r="K464" s="14" t="str">
        <f t="shared" si="96"/>
        <v>运营中</v>
      </c>
      <c r="L464" s="109"/>
      <c r="M464" s="109"/>
      <c r="N464" s="13"/>
      <c r="O464" s="24">
        <v>42416</v>
      </c>
      <c r="P464" s="13" t="s">
        <v>5635</v>
      </c>
      <c r="Q464" s="13" t="s">
        <v>2714</v>
      </c>
      <c r="R464" s="13" t="s">
        <v>1733</v>
      </c>
      <c r="S464" s="109"/>
      <c r="T464" s="109"/>
      <c r="U464" s="112"/>
      <c r="V464" s="109"/>
      <c r="W464" s="109"/>
      <c r="X464" s="109"/>
    </row>
    <row r="465" spans="2:24">
      <c r="B465" s="109"/>
      <c r="C465" s="109"/>
      <c r="D465" s="20" t="str">
        <f t="shared" si="95"/>
        <v>Snapdeal</v>
      </c>
      <c r="E465" s="109"/>
      <c r="F465" s="112"/>
      <c r="G465" s="109"/>
      <c r="H465" s="109"/>
      <c r="I465" s="109"/>
      <c r="J465" s="109"/>
      <c r="K465" s="14" t="str">
        <f t="shared" si="96"/>
        <v>运营中</v>
      </c>
      <c r="L465" s="109"/>
      <c r="M465" s="109"/>
      <c r="N465" s="13"/>
      <c r="O465" s="24">
        <v>42235</v>
      </c>
      <c r="P465" s="13" t="s">
        <v>1045</v>
      </c>
      <c r="Q465" s="13" t="s">
        <v>1046</v>
      </c>
      <c r="R465" s="13" t="s">
        <v>1734</v>
      </c>
      <c r="S465" s="109"/>
      <c r="T465" s="109"/>
      <c r="U465" s="112"/>
      <c r="V465" s="109"/>
      <c r="W465" s="109"/>
      <c r="X465" s="109"/>
    </row>
    <row r="466" spans="2:24">
      <c r="B466" s="109"/>
      <c r="C466" s="109"/>
      <c r="D466" s="20" t="str">
        <f t="shared" si="95"/>
        <v>Snapdeal</v>
      </c>
      <c r="E466" s="109"/>
      <c r="F466" s="112"/>
      <c r="G466" s="109"/>
      <c r="H466" s="109"/>
      <c r="I466" s="109"/>
      <c r="J466" s="109"/>
      <c r="K466" s="14" t="str">
        <f t="shared" si="96"/>
        <v>运营中</v>
      </c>
      <c r="L466" s="109"/>
      <c r="M466" s="109"/>
      <c r="N466" s="13"/>
      <c r="O466" s="24">
        <v>41940</v>
      </c>
      <c r="P466" s="13" t="s">
        <v>5635</v>
      </c>
      <c r="Q466" s="13" t="s">
        <v>6298</v>
      </c>
      <c r="R466" s="13" t="s">
        <v>1736</v>
      </c>
      <c r="S466" s="109"/>
      <c r="T466" s="109"/>
      <c r="U466" s="112"/>
      <c r="V466" s="109"/>
      <c r="W466" s="109"/>
      <c r="X466" s="109"/>
    </row>
    <row r="467" spans="2:24">
      <c r="B467" s="109"/>
      <c r="C467" s="109"/>
      <c r="D467" s="20" t="str">
        <f t="shared" si="95"/>
        <v>Snapdeal</v>
      </c>
      <c r="E467" s="109"/>
      <c r="F467" s="112"/>
      <c r="G467" s="109"/>
      <c r="H467" s="109"/>
      <c r="I467" s="109"/>
      <c r="J467" s="109"/>
      <c r="K467" s="14" t="str">
        <f t="shared" si="96"/>
        <v>运营中</v>
      </c>
      <c r="L467" s="109"/>
      <c r="M467" s="109"/>
      <c r="N467" s="13"/>
      <c r="O467" s="24">
        <v>41780</v>
      </c>
      <c r="P467" s="13" t="s">
        <v>5635</v>
      </c>
      <c r="Q467" s="13" t="s">
        <v>4732</v>
      </c>
      <c r="R467" s="13" t="s">
        <v>1737</v>
      </c>
      <c r="S467" s="109"/>
      <c r="T467" s="109"/>
      <c r="U467" s="112"/>
      <c r="V467" s="109"/>
      <c r="W467" s="109"/>
      <c r="X467" s="109"/>
    </row>
    <row r="468" spans="2:24">
      <c r="B468" s="109"/>
      <c r="C468" s="109"/>
      <c r="D468" s="20" t="str">
        <f t="shared" si="95"/>
        <v>Snapdeal</v>
      </c>
      <c r="E468" s="109"/>
      <c r="F468" s="112"/>
      <c r="G468" s="109"/>
      <c r="H468" s="109"/>
      <c r="I468" s="109"/>
      <c r="J468" s="109"/>
      <c r="K468" s="14" t="str">
        <f t="shared" si="96"/>
        <v>运营中</v>
      </c>
      <c r="L468" s="109"/>
      <c r="M468" s="109"/>
      <c r="N468" s="13"/>
      <c r="O468" s="24">
        <v>41696</v>
      </c>
      <c r="P468" s="13" t="s">
        <v>3276</v>
      </c>
      <c r="Q468" s="13" t="s">
        <v>6299</v>
      </c>
      <c r="R468" s="13" t="s">
        <v>1739</v>
      </c>
      <c r="S468" s="109"/>
      <c r="T468" s="109"/>
      <c r="U468" s="112"/>
      <c r="V468" s="109"/>
      <c r="W468" s="109"/>
      <c r="X468" s="109"/>
    </row>
    <row r="469" spans="2:24">
      <c r="B469" s="109"/>
      <c r="C469" s="109"/>
      <c r="D469" s="20" t="str">
        <f t="shared" si="95"/>
        <v>Snapdeal</v>
      </c>
      <c r="E469" s="109"/>
      <c r="F469" s="112"/>
      <c r="G469" s="109"/>
      <c r="H469" s="109"/>
      <c r="I469" s="109"/>
      <c r="J469" s="109"/>
      <c r="K469" s="14" t="str">
        <f t="shared" si="96"/>
        <v>运营中</v>
      </c>
      <c r="L469" s="109"/>
      <c r="M469" s="109"/>
      <c r="N469" s="13"/>
      <c r="O469" s="24">
        <v>41365</v>
      </c>
      <c r="P469" s="13" t="s">
        <v>5613</v>
      </c>
      <c r="Q469" s="13" t="s">
        <v>5360</v>
      </c>
      <c r="R469" s="13" t="s">
        <v>1740</v>
      </c>
      <c r="S469" s="109"/>
      <c r="T469" s="109"/>
      <c r="U469" s="112"/>
      <c r="V469" s="109"/>
      <c r="W469" s="109"/>
      <c r="X469" s="109"/>
    </row>
    <row r="470" spans="2:24">
      <c r="B470" s="109"/>
      <c r="C470" s="109"/>
      <c r="D470" s="20" t="str">
        <f t="shared" si="95"/>
        <v>Snapdeal</v>
      </c>
      <c r="E470" s="109"/>
      <c r="F470" s="112"/>
      <c r="G470" s="109"/>
      <c r="H470" s="109"/>
      <c r="I470" s="109"/>
      <c r="J470" s="109"/>
      <c r="K470" s="14" t="str">
        <f t="shared" si="96"/>
        <v>运营中</v>
      </c>
      <c r="L470" s="109"/>
      <c r="M470" s="109"/>
      <c r="N470" s="13"/>
      <c r="O470" s="24">
        <v>40814</v>
      </c>
      <c r="P470" s="13" t="s">
        <v>3648</v>
      </c>
      <c r="Q470" s="13" t="s">
        <v>5389</v>
      </c>
      <c r="R470" s="13" t="s">
        <v>1741</v>
      </c>
      <c r="S470" s="109"/>
      <c r="T470" s="109"/>
      <c r="U470" s="112"/>
      <c r="V470" s="109"/>
      <c r="W470" s="109"/>
      <c r="X470" s="109"/>
    </row>
    <row r="471" spans="2:24">
      <c r="B471" s="109"/>
      <c r="C471" s="109"/>
      <c r="D471" s="20" t="str">
        <f t="shared" si="95"/>
        <v>Snapdeal</v>
      </c>
      <c r="E471" s="109"/>
      <c r="F471" s="112"/>
      <c r="G471" s="109"/>
      <c r="H471" s="109"/>
      <c r="I471" s="109"/>
      <c r="J471" s="109"/>
      <c r="K471" s="14" t="str">
        <f t="shared" si="96"/>
        <v>运营中</v>
      </c>
      <c r="L471" s="109"/>
      <c r="M471" s="109"/>
      <c r="N471" s="13"/>
      <c r="O471" s="24">
        <v>40571</v>
      </c>
      <c r="P471" s="13" t="s">
        <v>3513</v>
      </c>
      <c r="Q471" s="13" t="s">
        <v>5756</v>
      </c>
      <c r="R471" s="13" t="s">
        <v>1742</v>
      </c>
      <c r="S471" s="109"/>
      <c r="T471" s="109"/>
      <c r="U471" s="112"/>
      <c r="V471" s="109"/>
      <c r="W471" s="109"/>
      <c r="X471" s="109"/>
    </row>
    <row r="472" spans="2:24">
      <c r="B472" s="109"/>
      <c r="C472" s="109" t="s">
        <v>1743</v>
      </c>
      <c r="D472" s="20" t="s">
        <v>6300</v>
      </c>
      <c r="E472" s="109" t="s">
        <v>1745</v>
      </c>
      <c r="F472" s="112" t="s">
        <v>1746</v>
      </c>
      <c r="G472" s="109" t="s">
        <v>6301</v>
      </c>
      <c r="H472" s="109" t="s">
        <v>1748</v>
      </c>
      <c r="I472" s="109" t="s">
        <v>1462</v>
      </c>
      <c r="J472" s="109" t="s">
        <v>385</v>
      </c>
      <c r="K472" s="14" t="s">
        <v>272</v>
      </c>
      <c r="L472" s="109" t="s">
        <v>1043</v>
      </c>
      <c r="M472" s="109" t="s">
        <v>1749</v>
      </c>
      <c r="N472" s="13"/>
      <c r="O472" s="24">
        <v>44068</v>
      </c>
      <c r="P472" s="13" t="s">
        <v>1045</v>
      </c>
      <c r="Q472" s="13" t="s">
        <v>1750</v>
      </c>
      <c r="R472" s="13" t="s">
        <v>1751</v>
      </c>
      <c r="S472" s="109" t="s">
        <v>1752</v>
      </c>
      <c r="T472" s="109" t="s">
        <v>1753</v>
      </c>
      <c r="U472" s="112" t="s">
        <v>1754</v>
      </c>
      <c r="V472" s="109" t="s">
        <v>1755</v>
      </c>
      <c r="W472" s="109" t="s">
        <v>1756</v>
      </c>
      <c r="X472" s="109" t="s">
        <v>1757</v>
      </c>
    </row>
    <row r="473" spans="2:24">
      <c r="B473" s="109"/>
      <c r="C473" s="109"/>
      <c r="D473" s="20" t="str">
        <f>D472</f>
        <v>河狸家</v>
      </c>
      <c r="E473" s="109"/>
      <c r="F473" s="112"/>
      <c r="G473" s="109"/>
      <c r="H473" s="109"/>
      <c r="I473" s="109"/>
      <c r="J473" s="109"/>
      <c r="K473" s="14" t="str">
        <f t="shared" ref="K473:K477" si="97">K472</f>
        <v>运营中</v>
      </c>
      <c r="L473" s="109"/>
      <c r="M473" s="109"/>
      <c r="N473" s="13"/>
      <c r="O473" s="24">
        <v>42866</v>
      </c>
      <c r="P473" s="13" t="s">
        <v>1827</v>
      </c>
      <c r="Q473" s="13" t="s">
        <v>4754</v>
      </c>
      <c r="R473" s="13" t="s">
        <v>6302</v>
      </c>
      <c r="S473" s="109"/>
      <c r="T473" s="109"/>
      <c r="U473" s="112"/>
      <c r="V473" s="109"/>
      <c r="W473" s="109"/>
      <c r="X473" s="109"/>
    </row>
    <row r="474" spans="2:24">
      <c r="B474" s="109"/>
      <c r="C474" s="109"/>
      <c r="D474" s="20" t="str">
        <f>D473</f>
        <v>河狸家</v>
      </c>
      <c r="E474" s="109"/>
      <c r="F474" s="112"/>
      <c r="G474" s="109"/>
      <c r="H474" s="109"/>
      <c r="I474" s="109"/>
      <c r="J474" s="109"/>
      <c r="K474" s="14" t="str">
        <f t="shared" si="97"/>
        <v>运营中</v>
      </c>
      <c r="L474" s="109"/>
      <c r="M474" s="109"/>
      <c r="N474" s="13"/>
      <c r="O474" s="24">
        <v>42053</v>
      </c>
      <c r="P474" s="13" t="s">
        <v>5613</v>
      </c>
      <c r="Q474" s="13" t="s">
        <v>5360</v>
      </c>
      <c r="R474" s="13" t="s">
        <v>6303</v>
      </c>
      <c r="S474" s="109"/>
      <c r="T474" s="109"/>
      <c r="U474" s="112"/>
      <c r="V474" s="109"/>
      <c r="W474" s="109"/>
      <c r="X474" s="109"/>
    </row>
    <row r="475" spans="2:24">
      <c r="B475" s="109"/>
      <c r="C475" s="109"/>
      <c r="D475" s="20" t="str">
        <f>D474</f>
        <v>河狸家</v>
      </c>
      <c r="E475" s="109"/>
      <c r="F475" s="112"/>
      <c r="G475" s="109"/>
      <c r="H475" s="109"/>
      <c r="I475" s="109"/>
      <c r="J475" s="109"/>
      <c r="K475" s="14" t="str">
        <f t="shared" si="97"/>
        <v>运营中</v>
      </c>
      <c r="L475" s="109"/>
      <c r="M475" s="109"/>
      <c r="N475" s="13"/>
      <c r="O475" s="24">
        <v>41935</v>
      </c>
      <c r="P475" s="13" t="s">
        <v>3648</v>
      </c>
      <c r="Q475" s="13" t="s">
        <v>5129</v>
      </c>
      <c r="R475" s="13" t="s">
        <v>6304</v>
      </c>
      <c r="S475" s="109"/>
      <c r="T475" s="109"/>
      <c r="U475" s="112"/>
      <c r="V475" s="109"/>
      <c r="W475" s="109"/>
      <c r="X475" s="109"/>
    </row>
    <row r="476" spans="2:24">
      <c r="B476" s="109"/>
      <c r="C476" s="109"/>
      <c r="D476" s="20" t="str">
        <f>D475</f>
        <v>河狸家</v>
      </c>
      <c r="E476" s="109"/>
      <c r="F476" s="112"/>
      <c r="G476" s="109"/>
      <c r="H476" s="109"/>
      <c r="I476" s="109"/>
      <c r="J476" s="109"/>
      <c r="K476" s="14" t="str">
        <f t="shared" si="97"/>
        <v>运营中</v>
      </c>
      <c r="L476" s="109"/>
      <c r="M476" s="109"/>
      <c r="N476" s="13"/>
      <c r="O476" s="24">
        <v>41834</v>
      </c>
      <c r="P476" s="13" t="s">
        <v>3513</v>
      </c>
      <c r="Q476" s="13" t="s">
        <v>5787</v>
      </c>
      <c r="R476" s="13" t="s">
        <v>5875</v>
      </c>
      <c r="S476" s="109"/>
      <c r="T476" s="109"/>
      <c r="U476" s="112"/>
      <c r="V476" s="109"/>
      <c r="W476" s="109"/>
      <c r="X476" s="109"/>
    </row>
    <row r="477" spans="2:24">
      <c r="B477" s="109"/>
      <c r="C477" s="109"/>
      <c r="D477" s="20" t="str">
        <f>D476</f>
        <v>河狸家</v>
      </c>
      <c r="E477" s="109"/>
      <c r="F477" s="112"/>
      <c r="G477" s="109"/>
      <c r="H477" s="109"/>
      <c r="I477" s="109"/>
      <c r="J477" s="109"/>
      <c r="K477" s="14" t="str">
        <f t="shared" si="97"/>
        <v>运营中</v>
      </c>
      <c r="L477" s="109"/>
      <c r="M477" s="109"/>
      <c r="N477" s="13"/>
      <c r="O477" s="24">
        <v>41730</v>
      </c>
      <c r="P477" s="13" t="s">
        <v>5474</v>
      </c>
      <c r="Q477" s="13" t="s">
        <v>5646</v>
      </c>
      <c r="R477" s="13" t="s">
        <v>5875</v>
      </c>
      <c r="S477" s="109"/>
      <c r="T477" s="109"/>
      <c r="U477" s="112"/>
      <c r="V477" s="109"/>
      <c r="W477" s="109"/>
      <c r="X477" s="109"/>
    </row>
    <row r="478" spans="2:24">
      <c r="B478" s="109"/>
      <c r="C478" s="109" t="s">
        <v>1761</v>
      </c>
      <c r="D478" s="20" t="s">
        <v>6305</v>
      </c>
      <c r="E478" s="109" t="s">
        <v>6306</v>
      </c>
      <c r="F478" s="112" t="s">
        <v>1763</v>
      </c>
      <c r="G478" s="109" t="s">
        <v>6307</v>
      </c>
      <c r="H478" s="109" t="s">
        <v>1765</v>
      </c>
      <c r="I478" s="109" t="s">
        <v>1766</v>
      </c>
      <c r="J478" s="109" t="s">
        <v>406</v>
      </c>
      <c r="K478" s="14" t="s">
        <v>272</v>
      </c>
      <c r="L478" s="109" t="s">
        <v>4162</v>
      </c>
      <c r="M478" s="109" t="s">
        <v>6308</v>
      </c>
      <c r="N478" s="13">
        <v>1</v>
      </c>
      <c r="O478" s="24">
        <v>41738</v>
      </c>
      <c r="P478" s="13" t="s">
        <v>5810</v>
      </c>
      <c r="Q478" s="13" t="s">
        <v>6309</v>
      </c>
      <c r="R478" s="13" t="s">
        <v>1769</v>
      </c>
      <c r="S478" s="109" t="s">
        <v>6310</v>
      </c>
      <c r="T478" s="109" t="s">
        <v>6311</v>
      </c>
      <c r="U478" s="112" t="s">
        <v>1772</v>
      </c>
      <c r="V478" s="109"/>
      <c r="W478" s="109"/>
      <c r="X478" s="109"/>
    </row>
    <row r="479" spans="2:24">
      <c r="B479" s="109"/>
      <c r="C479" s="109"/>
      <c r="D479" s="20" t="str">
        <f>D478</f>
        <v>华数传媒</v>
      </c>
      <c r="E479" s="109"/>
      <c r="F479" s="112"/>
      <c r="G479" s="109"/>
      <c r="H479" s="109"/>
      <c r="I479" s="109"/>
      <c r="J479" s="109"/>
      <c r="K479" s="14" t="str">
        <f>K478</f>
        <v>运营中</v>
      </c>
      <c r="L479" s="109"/>
      <c r="M479" s="109"/>
      <c r="N479" s="13">
        <v>1</v>
      </c>
      <c r="O479" s="24">
        <v>36775</v>
      </c>
      <c r="P479" s="13" t="s">
        <v>5625</v>
      </c>
      <c r="Q479" s="13" t="s">
        <v>6312</v>
      </c>
      <c r="R479" s="13" t="s">
        <v>253</v>
      </c>
      <c r="S479" s="109"/>
      <c r="T479" s="109"/>
      <c r="U479" s="112"/>
      <c r="V479" s="109"/>
      <c r="W479" s="109"/>
      <c r="X479" s="109"/>
    </row>
    <row r="480" spans="2:24">
      <c r="B480" s="109"/>
      <c r="C480" s="109" t="s">
        <v>1774</v>
      </c>
      <c r="D480" s="20" t="s">
        <v>6313</v>
      </c>
      <c r="E480" s="109" t="s">
        <v>6314</v>
      </c>
      <c r="F480" s="112" t="s">
        <v>6315</v>
      </c>
      <c r="G480" s="109"/>
      <c r="H480" s="109" t="s">
        <v>1778</v>
      </c>
      <c r="I480" s="109" t="s">
        <v>1779</v>
      </c>
      <c r="J480" s="109" t="s">
        <v>1780</v>
      </c>
      <c r="K480" s="14" t="s">
        <v>272</v>
      </c>
      <c r="L480" s="109" t="s">
        <v>3274</v>
      </c>
      <c r="M480" s="109" t="s">
        <v>3275</v>
      </c>
      <c r="N480" s="13"/>
      <c r="O480" s="24">
        <v>42193</v>
      </c>
      <c r="P480" s="13" t="s">
        <v>1045</v>
      </c>
      <c r="Q480" s="13" t="s">
        <v>6316</v>
      </c>
      <c r="R480" s="13" t="s">
        <v>1751</v>
      </c>
      <c r="S480" s="109" t="s">
        <v>6317</v>
      </c>
      <c r="T480" s="109" t="s">
        <v>6318</v>
      </c>
      <c r="U480" s="112"/>
      <c r="V480" s="109"/>
      <c r="W480" s="109"/>
      <c r="X480" s="109"/>
    </row>
    <row r="481" spans="2:24">
      <c r="B481" s="109"/>
      <c r="C481" s="109"/>
      <c r="D481" s="20" t="str">
        <f>D480</f>
        <v>SingPost新加坡邮政</v>
      </c>
      <c r="E481" s="109"/>
      <c r="F481" s="112"/>
      <c r="G481" s="109"/>
      <c r="H481" s="109"/>
      <c r="I481" s="109"/>
      <c r="J481" s="109"/>
      <c r="K481" s="14" t="str">
        <f>K480</f>
        <v>运营中</v>
      </c>
      <c r="L481" s="109"/>
      <c r="M481" s="109"/>
      <c r="N481" s="13"/>
      <c r="O481" s="24">
        <v>41760</v>
      </c>
      <c r="P481" s="13" t="s">
        <v>1045</v>
      </c>
      <c r="Q481" s="13" t="s">
        <v>6319</v>
      </c>
      <c r="R481" s="13" t="s">
        <v>1751</v>
      </c>
      <c r="S481" s="109"/>
      <c r="T481" s="109"/>
      <c r="U481" s="112"/>
      <c r="V481" s="109"/>
      <c r="W481" s="109"/>
      <c r="X481" s="109"/>
    </row>
    <row r="482" spans="2:24" ht="48">
      <c r="B482" s="109"/>
      <c r="C482" s="13" t="s">
        <v>1786</v>
      </c>
      <c r="D482" s="25" t="s">
        <v>6320</v>
      </c>
      <c r="E482" s="13" t="s">
        <v>6321</v>
      </c>
      <c r="F482" s="18" t="s">
        <v>1788</v>
      </c>
      <c r="G482" s="13" t="s">
        <v>6322</v>
      </c>
      <c r="H482" s="13"/>
      <c r="I482" s="13" t="s">
        <v>1790</v>
      </c>
      <c r="J482" s="13" t="s">
        <v>406</v>
      </c>
      <c r="K482" s="19" t="s">
        <v>272</v>
      </c>
      <c r="L482" s="13" t="s">
        <v>4472</v>
      </c>
      <c r="M482" s="13" t="s">
        <v>5225</v>
      </c>
      <c r="N482" s="13"/>
      <c r="O482" s="24">
        <v>41699</v>
      </c>
      <c r="P482" s="13" t="s">
        <v>1045</v>
      </c>
      <c r="Q482" s="13" t="s">
        <v>6323</v>
      </c>
      <c r="R482" s="13" t="s">
        <v>1751</v>
      </c>
      <c r="S482" s="13" t="s">
        <v>6324</v>
      </c>
      <c r="T482" s="13" t="s">
        <v>6325</v>
      </c>
      <c r="U482" s="18"/>
      <c r="V482" s="13"/>
      <c r="W482" s="13"/>
      <c r="X482" s="13"/>
    </row>
    <row r="483" spans="2:24" ht="60">
      <c r="B483" s="109"/>
      <c r="C483" s="13" t="s">
        <v>1611</v>
      </c>
      <c r="D483" s="25" t="s">
        <v>6326</v>
      </c>
      <c r="E483" s="13" t="s">
        <v>6327</v>
      </c>
      <c r="F483" s="18" t="s">
        <v>1795</v>
      </c>
      <c r="G483" s="13" t="s">
        <v>6328</v>
      </c>
      <c r="H483" s="13" t="s">
        <v>1797</v>
      </c>
      <c r="I483" s="13" t="s">
        <v>1632</v>
      </c>
      <c r="J483" s="13" t="s">
        <v>547</v>
      </c>
      <c r="K483" s="19" t="s">
        <v>272</v>
      </c>
      <c r="L483" s="13" t="s">
        <v>6329</v>
      </c>
      <c r="M483" s="13" t="s">
        <v>6330</v>
      </c>
      <c r="N483" s="13"/>
      <c r="O483" s="24">
        <v>41791</v>
      </c>
      <c r="P483" s="13" t="s">
        <v>3513</v>
      </c>
      <c r="Q483" s="13" t="s">
        <v>6290</v>
      </c>
      <c r="R483" s="13" t="s">
        <v>1751</v>
      </c>
      <c r="S483" s="13" t="s">
        <v>6331</v>
      </c>
      <c r="T483" s="13" t="s">
        <v>6332</v>
      </c>
      <c r="U483" s="18"/>
      <c r="V483" s="13" t="s">
        <v>1802</v>
      </c>
      <c r="W483" s="13"/>
      <c r="X483" s="13"/>
    </row>
    <row r="484" spans="2:24">
      <c r="B484" s="109"/>
      <c r="C484" s="109" t="s">
        <v>1803</v>
      </c>
      <c r="D484" s="20" t="s">
        <v>6333</v>
      </c>
      <c r="E484" s="109" t="s">
        <v>6334</v>
      </c>
      <c r="F484" s="112" t="s">
        <v>1805</v>
      </c>
      <c r="G484" s="109" t="s">
        <v>6335</v>
      </c>
      <c r="H484" s="109" t="s">
        <v>1807</v>
      </c>
      <c r="I484" s="109" t="s">
        <v>1808</v>
      </c>
      <c r="J484" s="109" t="s">
        <v>1809</v>
      </c>
      <c r="K484" s="14" t="s">
        <v>272</v>
      </c>
      <c r="L484" s="109" t="s">
        <v>4162</v>
      </c>
      <c r="M484" s="109" t="s">
        <v>5676</v>
      </c>
      <c r="N484" s="13">
        <v>1</v>
      </c>
      <c r="O484" s="24">
        <v>43446</v>
      </c>
      <c r="P484" s="13" t="s">
        <v>5810</v>
      </c>
      <c r="Q484" s="13" t="s">
        <v>6336</v>
      </c>
      <c r="R484" s="13" t="s">
        <v>1751</v>
      </c>
      <c r="S484" s="109" t="s">
        <v>6337</v>
      </c>
      <c r="T484" s="109" t="s">
        <v>6338</v>
      </c>
      <c r="U484" s="112" t="s">
        <v>1813</v>
      </c>
      <c r="V484" s="109" t="s">
        <v>1814</v>
      </c>
      <c r="W484" s="109" t="s">
        <v>1815</v>
      </c>
      <c r="X484" s="109" t="s">
        <v>1816</v>
      </c>
    </row>
    <row r="485" spans="2:24">
      <c r="B485" s="109"/>
      <c r="C485" s="109"/>
      <c r="D485" s="20" t="str">
        <f>D484</f>
        <v>阿里影业</v>
      </c>
      <c r="E485" s="109"/>
      <c r="F485" s="112"/>
      <c r="G485" s="109"/>
      <c r="H485" s="109"/>
      <c r="I485" s="109"/>
      <c r="J485" s="109"/>
      <c r="K485" s="14" t="str">
        <f t="shared" ref="K485:K486" si="98">K484</f>
        <v>运营中</v>
      </c>
      <c r="L485" s="109"/>
      <c r="M485" s="109"/>
      <c r="N485" s="13">
        <v>1</v>
      </c>
      <c r="O485" s="24">
        <v>41699</v>
      </c>
      <c r="P485" s="13" t="s">
        <v>5709</v>
      </c>
      <c r="Q485" s="13" t="s">
        <v>6122</v>
      </c>
      <c r="R485" s="13" t="s">
        <v>1751</v>
      </c>
      <c r="S485" s="109"/>
      <c r="T485" s="109"/>
      <c r="U485" s="112"/>
      <c r="V485" s="109"/>
      <c r="W485" s="109"/>
      <c r="X485" s="109"/>
    </row>
    <row r="486" spans="2:24">
      <c r="B486" s="109"/>
      <c r="C486" s="109"/>
      <c r="D486" s="20" t="str">
        <f>D485</f>
        <v>阿里影业</v>
      </c>
      <c r="E486" s="109"/>
      <c r="F486" s="112"/>
      <c r="G486" s="109"/>
      <c r="H486" s="109"/>
      <c r="I486" s="109"/>
      <c r="J486" s="109"/>
      <c r="K486" s="14" t="str">
        <f t="shared" si="98"/>
        <v>运营中</v>
      </c>
      <c r="L486" s="109"/>
      <c r="M486" s="109"/>
      <c r="N486" s="13">
        <v>1</v>
      </c>
      <c r="O486" s="24">
        <v>34466</v>
      </c>
      <c r="P486" s="13" t="s">
        <v>5625</v>
      </c>
      <c r="Q486" s="13" t="s">
        <v>6339</v>
      </c>
      <c r="R486" s="13" t="s">
        <v>253</v>
      </c>
      <c r="S486" s="109"/>
      <c r="T486" s="109"/>
      <c r="U486" s="112"/>
      <c r="V486" s="109"/>
      <c r="W486" s="109"/>
      <c r="X486" s="109"/>
    </row>
    <row r="487" spans="2:24">
      <c r="B487" s="109"/>
      <c r="C487" s="109" t="s">
        <v>1818</v>
      </c>
      <c r="D487" s="20" t="s">
        <v>6340</v>
      </c>
      <c r="E487" s="109" t="s">
        <v>1820</v>
      </c>
      <c r="F487" s="112" t="s">
        <v>1821</v>
      </c>
      <c r="G487" s="109" t="s">
        <v>6341</v>
      </c>
      <c r="H487" s="109" t="s">
        <v>1823</v>
      </c>
      <c r="I487" s="109" t="s">
        <v>1824</v>
      </c>
      <c r="J487" s="109" t="s">
        <v>1192</v>
      </c>
      <c r="K487" s="14" t="s">
        <v>272</v>
      </c>
      <c r="L487" s="109" t="s">
        <v>1825</v>
      </c>
      <c r="M487" s="109" t="s">
        <v>1826</v>
      </c>
      <c r="N487" s="13"/>
      <c r="O487" s="24">
        <v>44069</v>
      </c>
      <c r="P487" s="13" t="s">
        <v>1827</v>
      </c>
      <c r="Q487" s="13" t="s">
        <v>1750</v>
      </c>
      <c r="R487" s="13" t="s">
        <v>1751</v>
      </c>
      <c r="S487" s="109" t="s">
        <v>1828</v>
      </c>
      <c r="T487" s="109" t="s">
        <v>1829</v>
      </c>
      <c r="U487" s="112" t="s">
        <v>1830</v>
      </c>
      <c r="V487" s="109" t="s">
        <v>1831</v>
      </c>
      <c r="W487" s="109" t="s">
        <v>1832</v>
      </c>
      <c r="X487" s="109" t="s">
        <v>1833</v>
      </c>
    </row>
    <row r="488" spans="2:24">
      <c r="B488" s="109"/>
      <c r="C488" s="109"/>
      <c r="D488" s="20" t="str">
        <f t="shared" ref="D488:D493" si="99">D487</f>
        <v>小满科技</v>
      </c>
      <c r="E488" s="109"/>
      <c r="F488" s="112"/>
      <c r="G488" s="109"/>
      <c r="H488" s="109"/>
      <c r="I488" s="109"/>
      <c r="J488" s="109"/>
      <c r="K488" s="14" t="str">
        <f t="shared" ref="K488:K493" si="100">K487</f>
        <v>运营中</v>
      </c>
      <c r="L488" s="109"/>
      <c r="M488" s="109"/>
      <c r="N488" s="13"/>
      <c r="O488" s="24">
        <v>43103</v>
      </c>
      <c r="P488" s="13" t="s">
        <v>5613</v>
      </c>
      <c r="Q488" s="13" t="s">
        <v>6342</v>
      </c>
      <c r="R488" s="13" t="s">
        <v>1835</v>
      </c>
      <c r="S488" s="109"/>
      <c r="T488" s="109"/>
      <c r="U488" s="112"/>
      <c r="V488" s="109"/>
      <c r="W488" s="109"/>
      <c r="X488" s="109"/>
    </row>
    <row r="489" spans="2:24">
      <c r="B489" s="109"/>
      <c r="C489" s="109"/>
      <c r="D489" s="20" t="str">
        <f t="shared" si="99"/>
        <v>小满科技</v>
      </c>
      <c r="E489" s="109"/>
      <c r="F489" s="112"/>
      <c r="G489" s="109"/>
      <c r="H489" s="109"/>
      <c r="I489" s="109"/>
      <c r="J489" s="109"/>
      <c r="K489" s="14" t="str">
        <f t="shared" si="100"/>
        <v>运营中</v>
      </c>
      <c r="L489" s="109"/>
      <c r="M489" s="109"/>
      <c r="N489" s="13"/>
      <c r="O489" s="24">
        <v>42597</v>
      </c>
      <c r="P489" s="13" t="s">
        <v>3648</v>
      </c>
      <c r="Q489" s="13" t="s">
        <v>6343</v>
      </c>
      <c r="R489" s="13" t="s">
        <v>5800</v>
      </c>
      <c r="S489" s="109"/>
      <c r="T489" s="109"/>
      <c r="U489" s="112"/>
      <c r="V489" s="109"/>
      <c r="W489" s="109"/>
      <c r="X489" s="109"/>
    </row>
    <row r="490" spans="2:24">
      <c r="B490" s="109"/>
      <c r="C490" s="109"/>
      <c r="D490" s="20" t="str">
        <f t="shared" si="99"/>
        <v>小满科技</v>
      </c>
      <c r="E490" s="109"/>
      <c r="F490" s="112"/>
      <c r="G490" s="109"/>
      <c r="H490" s="109"/>
      <c r="I490" s="109"/>
      <c r="J490" s="109"/>
      <c r="K490" s="14" t="str">
        <f t="shared" si="100"/>
        <v>运营中</v>
      </c>
      <c r="L490" s="109"/>
      <c r="M490" s="109"/>
      <c r="N490" s="13"/>
      <c r="O490" s="24">
        <v>42451</v>
      </c>
      <c r="P490" s="13" t="s">
        <v>4306</v>
      </c>
      <c r="Q490" s="13" t="s">
        <v>3514</v>
      </c>
      <c r="R490" s="13" t="s">
        <v>6281</v>
      </c>
      <c r="S490" s="109"/>
      <c r="T490" s="109"/>
      <c r="U490" s="112"/>
      <c r="V490" s="109"/>
      <c r="W490" s="109"/>
      <c r="X490" s="109"/>
    </row>
    <row r="491" spans="2:24">
      <c r="B491" s="109"/>
      <c r="C491" s="109"/>
      <c r="D491" s="20" t="str">
        <f t="shared" si="99"/>
        <v>小满科技</v>
      </c>
      <c r="E491" s="109"/>
      <c r="F491" s="112"/>
      <c r="G491" s="109"/>
      <c r="H491" s="109"/>
      <c r="I491" s="109"/>
      <c r="J491" s="109"/>
      <c r="K491" s="14" t="str">
        <f t="shared" si="100"/>
        <v>运营中</v>
      </c>
      <c r="L491" s="109"/>
      <c r="M491" s="109"/>
      <c r="N491" s="13"/>
      <c r="O491" s="24">
        <v>42194</v>
      </c>
      <c r="P491" s="13" t="s">
        <v>3513</v>
      </c>
      <c r="Q491" s="13" t="s">
        <v>3514</v>
      </c>
      <c r="R491" s="13" t="s">
        <v>1837</v>
      </c>
      <c r="S491" s="109"/>
      <c r="T491" s="109"/>
      <c r="U491" s="112"/>
      <c r="V491" s="109"/>
      <c r="W491" s="109"/>
      <c r="X491" s="109"/>
    </row>
    <row r="492" spans="2:24">
      <c r="B492" s="109"/>
      <c r="C492" s="109"/>
      <c r="D492" s="20" t="str">
        <f t="shared" si="99"/>
        <v>小满科技</v>
      </c>
      <c r="E492" s="109"/>
      <c r="F492" s="112"/>
      <c r="G492" s="109"/>
      <c r="H492" s="109"/>
      <c r="I492" s="109"/>
      <c r="J492" s="109"/>
      <c r="K492" s="14" t="str">
        <f t="shared" si="100"/>
        <v>运营中</v>
      </c>
      <c r="L492" s="109"/>
      <c r="M492" s="109"/>
      <c r="N492" s="13"/>
      <c r="O492" s="24">
        <v>41791</v>
      </c>
      <c r="P492" s="13" t="s">
        <v>1045</v>
      </c>
      <c r="Q492" s="13" t="s">
        <v>3514</v>
      </c>
      <c r="R492" s="13" t="s">
        <v>6344</v>
      </c>
      <c r="S492" s="109"/>
      <c r="T492" s="109"/>
      <c r="U492" s="112"/>
      <c r="V492" s="109"/>
      <c r="W492" s="109"/>
      <c r="X492" s="109"/>
    </row>
    <row r="493" spans="2:24">
      <c r="B493" s="109"/>
      <c r="C493" s="109"/>
      <c r="D493" s="20" t="str">
        <f t="shared" si="99"/>
        <v>小满科技</v>
      </c>
      <c r="E493" s="109"/>
      <c r="F493" s="112"/>
      <c r="G493" s="109"/>
      <c r="H493" s="109"/>
      <c r="I493" s="109"/>
      <c r="J493" s="109"/>
      <c r="K493" s="14" t="str">
        <f t="shared" si="100"/>
        <v>运营中</v>
      </c>
      <c r="L493" s="109"/>
      <c r="M493" s="109"/>
      <c r="N493" s="13"/>
      <c r="O493" s="24">
        <v>41435</v>
      </c>
      <c r="P493" s="13" t="s">
        <v>5474</v>
      </c>
      <c r="Q493" s="13" t="s">
        <v>5646</v>
      </c>
      <c r="R493" s="13" t="s">
        <v>1839</v>
      </c>
      <c r="S493" s="109"/>
      <c r="T493" s="109"/>
      <c r="U493" s="112"/>
      <c r="V493" s="109"/>
      <c r="W493" s="109"/>
      <c r="X493" s="109"/>
    </row>
    <row r="494" spans="2:24">
      <c r="B494" s="109"/>
      <c r="C494" s="109" t="s">
        <v>1840</v>
      </c>
      <c r="D494" s="20" t="s">
        <v>6345</v>
      </c>
      <c r="E494" s="109" t="s">
        <v>6346</v>
      </c>
      <c r="F494" s="112" t="s">
        <v>1842</v>
      </c>
      <c r="G494" s="109" t="s">
        <v>6347</v>
      </c>
      <c r="H494" s="109" t="s">
        <v>1844</v>
      </c>
      <c r="I494" s="109" t="s">
        <v>1845</v>
      </c>
      <c r="J494" s="109" t="s">
        <v>547</v>
      </c>
      <c r="K494" s="14" t="s">
        <v>272</v>
      </c>
      <c r="L494" s="109" t="s">
        <v>4162</v>
      </c>
      <c r="M494" s="109" t="s">
        <v>5167</v>
      </c>
      <c r="N494" s="13"/>
      <c r="O494" s="24">
        <v>42430</v>
      </c>
      <c r="P494" s="13" t="s">
        <v>1045</v>
      </c>
      <c r="Q494" s="13" t="s">
        <v>2030</v>
      </c>
      <c r="R494" s="13" t="s">
        <v>6348</v>
      </c>
      <c r="S494" s="109" t="s">
        <v>6349</v>
      </c>
      <c r="T494" s="109" t="s">
        <v>3664</v>
      </c>
      <c r="U494" s="112" t="s">
        <v>1848</v>
      </c>
      <c r="V494" s="109" t="s">
        <v>1849</v>
      </c>
      <c r="W494" s="109" t="s">
        <v>1850</v>
      </c>
      <c r="X494" s="109" t="s">
        <v>1851</v>
      </c>
    </row>
    <row r="495" spans="2:24">
      <c r="B495" s="109"/>
      <c r="C495" s="109"/>
      <c r="D495" s="20" t="str">
        <f>D494</f>
        <v>二十一世纪传媒</v>
      </c>
      <c r="E495" s="109"/>
      <c r="F495" s="112"/>
      <c r="G495" s="109"/>
      <c r="H495" s="109"/>
      <c r="I495" s="109"/>
      <c r="J495" s="109"/>
      <c r="K495" s="14" t="str">
        <f t="shared" ref="K495:K496" si="101">K494</f>
        <v>运营中</v>
      </c>
      <c r="L495" s="109"/>
      <c r="M495" s="109"/>
      <c r="N495" s="13"/>
      <c r="O495" s="24">
        <v>41791</v>
      </c>
      <c r="P495" s="13" t="s">
        <v>3513</v>
      </c>
      <c r="Q495" s="13" t="s">
        <v>5847</v>
      </c>
      <c r="R495" s="13" t="s">
        <v>1751</v>
      </c>
      <c r="S495" s="109"/>
      <c r="T495" s="109"/>
      <c r="U495" s="112"/>
      <c r="V495" s="109"/>
      <c r="W495" s="109"/>
      <c r="X495" s="109"/>
    </row>
    <row r="496" spans="2:24">
      <c r="B496" s="109"/>
      <c r="C496" s="109"/>
      <c r="D496" s="20" t="str">
        <f>D495</f>
        <v>二十一世纪传媒</v>
      </c>
      <c r="E496" s="109"/>
      <c r="F496" s="112"/>
      <c r="G496" s="109"/>
      <c r="H496" s="109"/>
      <c r="I496" s="109"/>
      <c r="J496" s="109"/>
      <c r="K496" s="14" t="str">
        <f t="shared" si="101"/>
        <v>运营中</v>
      </c>
      <c r="L496" s="109"/>
      <c r="M496" s="109"/>
      <c r="N496" s="13"/>
      <c r="O496" s="24">
        <v>37070</v>
      </c>
      <c r="P496" s="13" t="s">
        <v>5474</v>
      </c>
      <c r="Q496" s="13" t="s">
        <v>2030</v>
      </c>
      <c r="R496" s="13" t="s">
        <v>6348</v>
      </c>
      <c r="S496" s="109"/>
      <c r="T496" s="109"/>
      <c r="U496" s="112"/>
      <c r="V496" s="109"/>
      <c r="W496" s="109"/>
      <c r="X496" s="109"/>
    </row>
    <row r="497" spans="2:24" ht="48">
      <c r="B497" s="109"/>
      <c r="C497" s="13" t="s">
        <v>1852</v>
      </c>
      <c r="D497" s="25" t="s">
        <v>6350</v>
      </c>
      <c r="E497" s="13" t="s">
        <v>6351</v>
      </c>
      <c r="F497" s="18" t="s">
        <v>1854</v>
      </c>
      <c r="G497" s="13" t="s">
        <v>6352</v>
      </c>
      <c r="H497" s="13" t="s">
        <v>1856</v>
      </c>
      <c r="I497" s="13" t="s">
        <v>1857</v>
      </c>
      <c r="J497" s="13" t="s">
        <v>1858</v>
      </c>
      <c r="K497" s="19" t="s">
        <v>272</v>
      </c>
      <c r="L497" s="13" t="s">
        <v>3809</v>
      </c>
      <c r="M497" s="13" t="s">
        <v>6353</v>
      </c>
      <c r="N497" s="13">
        <v>1</v>
      </c>
      <c r="O497" s="24">
        <v>41548</v>
      </c>
      <c r="P497" s="13" t="s">
        <v>5709</v>
      </c>
      <c r="Q497" s="13" t="s">
        <v>6354</v>
      </c>
      <c r="R497" s="13" t="s">
        <v>1751</v>
      </c>
      <c r="S497" s="13" t="s">
        <v>6355</v>
      </c>
      <c r="T497" s="13" t="s">
        <v>6356</v>
      </c>
      <c r="U497" s="18" t="s">
        <v>1864</v>
      </c>
      <c r="V497" s="13" t="s">
        <v>1865</v>
      </c>
      <c r="W497" s="13"/>
      <c r="X497" s="13"/>
    </row>
    <row r="498" spans="2:24">
      <c r="B498" s="109"/>
      <c r="C498" s="109" t="s">
        <v>1866</v>
      </c>
      <c r="D498" s="20" t="s">
        <v>1867</v>
      </c>
      <c r="E498" s="109" t="s">
        <v>1867</v>
      </c>
      <c r="F498" s="112" t="s">
        <v>6357</v>
      </c>
      <c r="G498" s="109"/>
      <c r="H498" s="109" t="s">
        <v>1869</v>
      </c>
      <c r="I498" s="109" t="s">
        <v>1870</v>
      </c>
      <c r="J498" s="109" t="s">
        <v>1564</v>
      </c>
      <c r="K498" s="14" t="s">
        <v>272</v>
      </c>
      <c r="L498" s="109" t="s">
        <v>4472</v>
      </c>
      <c r="M498" s="109" t="s">
        <v>6107</v>
      </c>
      <c r="N498" s="13"/>
      <c r="O498" s="24">
        <v>43555</v>
      </c>
      <c r="P498" s="13" t="s">
        <v>1827</v>
      </c>
      <c r="Q498" s="13" t="s">
        <v>6358</v>
      </c>
      <c r="R498" s="13" t="s">
        <v>1872</v>
      </c>
      <c r="S498" s="109" t="s">
        <v>6359</v>
      </c>
      <c r="T498" s="109" t="s">
        <v>6360</v>
      </c>
      <c r="U498" s="112" t="s">
        <v>1875</v>
      </c>
      <c r="V498" s="109"/>
      <c r="W498" s="109"/>
      <c r="X498" s="109"/>
    </row>
    <row r="499" spans="2:24">
      <c r="B499" s="109"/>
      <c r="C499" s="109"/>
      <c r="D499" s="20" t="str">
        <f>D498</f>
        <v>1stdibs</v>
      </c>
      <c r="E499" s="109"/>
      <c r="F499" s="112"/>
      <c r="G499" s="109"/>
      <c r="H499" s="109"/>
      <c r="I499" s="109"/>
      <c r="J499" s="109"/>
      <c r="K499" s="14" t="str">
        <f t="shared" ref="K499:K501" si="102">K498</f>
        <v>运营中</v>
      </c>
      <c r="L499" s="109"/>
      <c r="M499" s="109"/>
      <c r="N499" s="13"/>
      <c r="O499" s="24">
        <v>41663</v>
      </c>
      <c r="P499" s="13" t="s">
        <v>5613</v>
      </c>
      <c r="Q499" s="13" t="s">
        <v>5576</v>
      </c>
      <c r="R499" s="13" t="s">
        <v>1751</v>
      </c>
      <c r="S499" s="109"/>
      <c r="T499" s="109"/>
      <c r="U499" s="112"/>
      <c r="V499" s="109"/>
      <c r="W499" s="109"/>
      <c r="X499" s="109"/>
    </row>
    <row r="500" spans="2:24">
      <c r="B500" s="109"/>
      <c r="C500" s="109"/>
      <c r="D500" s="20" t="str">
        <f>D499</f>
        <v>1stdibs</v>
      </c>
      <c r="E500" s="109"/>
      <c r="F500" s="112"/>
      <c r="G500" s="109"/>
      <c r="H500" s="109"/>
      <c r="I500" s="109"/>
      <c r="J500" s="109"/>
      <c r="K500" s="14" t="str">
        <f t="shared" si="102"/>
        <v>运营中</v>
      </c>
      <c r="L500" s="109"/>
      <c r="M500" s="109"/>
      <c r="N500" s="13"/>
      <c r="O500" s="24">
        <v>41246</v>
      </c>
      <c r="P500" s="13" t="s">
        <v>3648</v>
      </c>
      <c r="Q500" s="13" t="s">
        <v>6225</v>
      </c>
      <c r="R500" s="13" t="s">
        <v>1876</v>
      </c>
      <c r="S500" s="109"/>
      <c r="T500" s="109"/>
      <c r="U500" s="112"/>
      <c r="V500" s="109"/>
      <c r="W500" s="109"/>
      <c r="X500" s="109"/>
    </row>
    <row r="501" spans="2:24">
      <c r="B501" s="109"/>
      <c r="C501" s="109"/>
      <c r="D501" s="20" t="str">
        <f>D500</f>
        <v>1stdibs</v>
      </c>
      <c r="E501" s="109"/>
      <c r="F501" s="112"/>
      <c r="G501" s="109"/>
      <c r="H501" s="109"/>
      <c r="I501" s="109"/>
      <c r="J501" s="109"/>
      <c r="K501" s="14" t="str">
        <f t="shared" si="102"/>
        <v>运营中</v>
      </c>
      <c r="L501" s="109"/>
      <c r="M501" s="109"/>
      <c r="N501" s="13"/>
      <c r="O501" s="24">
        <v>40850</v>
      </c>
      <c r="P501" s="13" t="s">
        <v>3513</v>
      </c>
      <c r="Q501" s="13" t="s">
        <v>1991</v>
      </c>
      <c r="R501" s="13" t="s">
        <v>1877</v>
      </c>
      <c r="S501" s="109"/>
      <c r="T501" s="109"/>
      <c r="U501" s="112"/>
      <c r="V501" s="109"/>
      <c r="W501" s="109"/>
      <c r="X501" s="109"/>
    </row>
    <row r="502" spans="2:24">
      <c r="B502" s="109"/>
      <c r="C502" s="109" t="s">
        <v>1878</v>
      </c>
      <c r="D502" s="20" t="s">
        <v>6361</v>
      </c>
      <c r="E502" s="109" t="s">
        <v>6362</v>
      </c>
      <c r="F502" s="112" t="s">
        <v>6363</v>
      </c>
      <c r="G502" s="109" t="s">
        <v>6364</v>
      </c>
      <c r="H502" s="109" t="s">
        <v>1882</v>
      </c>
      <c r="I502" s="109" t="s">
        <v>496</v>
      </c>
      <c r="J502" s="109" t="s">
        <v>1472</v>
      </c>
      <c r="K502" s="14" t="s">
        <v>272</v>
      </c>
      <c r="L502" s="109" t="s">
        <v>5472</v>
      </c>
      <c r="M502" s="109" t="s">
        <v>5473</v>
      </c>
      <c r="N502" s="13">
        <v>1</v>
      </c>
      <c r="O502" s="24">
        <v>44546</v>
      </c>
      <c r="P502" s="13" t="s">
        <v>5625</v>
      </c>
      <c r="Q502" s="13" t="s">
        <v>6365</v>
      </c>
      <c r="R502" s="13" t="s">
        <v>253</v>
      </c>
      <c r="S502" s="109" t="s">
        <v>6366</v>
      </c>
      <c r="T502" s="109" t="s">
        <v>6367</v>
      </c>
      <c r="U502" s="112" t="s">
        <v>1886</v>
      </c>
      <c r="V502" s="109" t="s">
        <v>1887</v>
      </c>
      <c r="W502" s="109" t="s">
        <v>1888</v>
      </c>
      <c r="X502" s="109" t="s">
        <v>1889</v>
      </c>
    </row>
    <row r="503" spans="2:24">
      <c r="B503" s="109"/>
      <c r="C503" s="109"/>
      <c r="D503" s="20" t="str">
        <f t="shared" ref="D503:D508" si="103">D502</f>
        <v>青瓷游戏</v>
      </c>
      <c r="E503" s="109"/>
      <c r="F503" s="112"/>
      <c r="G503" s="109"/>
      <c r="H503" s="109"/>
      <c r="I503" s="109"/>
      <c r="J503" s="109"/>
      <c r="K503" s="14" t="str">
        <f t="shared" ref="K503:K508" si="104">K502</f>
        <v>运营中</v>
      </c>
      <c r="L503" s="109"/>
      <c r="M503" s="109"/>
      <c r="N503" s="13">
        <v>1</v>
      </c>
      <c r="O503" s="24">
        <v>44536</v>
      </c>
      <c r="P503" s="13" t="s">
        <v>5795</v>
      </c>
      <c r="Q503" s="13" t="s">
        <v>6368</v>
      </c>
      <c r="R503" s="13" t="s">
        <v>1891</v>
      </c>
      <c r="S503" s="109"/>
      <c r="T503" s="109"/>
      <c r="U503" s="112"/>
      <c r="V503" s="109"/>
      <c r="W503" s="109"/>
      <c r="X503" s="109"/>
    </row>
    <row r="504" spans="2:24">
      <c r="B504" s="109"/>
      <c r="C504" s="109"/>
      <c r="D504" s="20" t="str">
        <f t="shared" si="103"/>
        <v>青瓷游戏</v>
      </c>
      <c r="E504" s="109"/>
      <c r="F504" s="112"/>
      <c r="G504" s="109"/>
      <c r="H504" s="109"/>
      <c r="I504" s="109"/>
      <c r="J504" s="109"/>
      <c r="K504" s="14" t="str">
        <f t="shared" si="104"/>
        <v>运营中</v>
      </c>
      <c r="L504" s="109"/>
      <c r="M504" s="109"/>
      <c r="N504" s="13">
        <v>1</v>
      </c>
      <c r="O504" s="24">
        <v>44342</v>
      </c>
      <c r="P504" s="13" t="s">
        <v>3648</v>
      </c>
      <c r="Q504" s="13" t="s">
        <v>6369</v>
      </c>
      <c r="R504" s="13" t="s">
        <v>1893</v>
      </c>
      <c r="S504" s="109"/>
      <c r="T504" s="109"/>
      <c r="U504" s="112"/>
      <c r="V504" s="109"/>
      <c r="W504" s="109"/>
      <c r="X504" s="109"/>
    </row>
    <row r="505" spans="2:24">
      <c r="B505" s="109"/>
      <c r="C505" s="109"/>
      <c r="D505" s="20" t="str">
        <f t="shared" si="103"/>
        <v>青瓷游戏</v>
      </c>
      <c r="E505" s="109"/>
      <c r="F505" s="112"/>
      <c r="G505" s="109"/>
      <c r="H505" s="109"/>
      <c r="I505" s="109"/>
      <c r="J505" s="109"/>
      <c r="K505" s="14" t="str">
        <f t="shared" si="104"/>
        <v>运营中</v>
      </c>
      <c r="L505" s="109"/>
      <c r="M505" s="109"/>
      <c r="N505" s="13">
        <v>1</v>
      </c>
      <c r="O505" s="24">
        <v>44309</v>
      </c>
      <c r="P505" s="13" t="s">
        <v>1045</v>
      </c>
      <c r="Q505" s="13" t="s">
        <v>6370</v>
      </c>
      <c r="R505" s="13" t="s">
        <v>1895</v>
      </c>
      <c r="S505" s="109"/>
      <c r="T505" s="109"/>
      <c r="U505" s="112"/>
      <c r="V505" s="109"/>
      <c r="W505" s="109"/>
      <c r="X505" s="109"/>
    </row>
    <row r="506" spans="2:24">
      <c r="B506" s="109"/>
      <c r="C506" s="109"/>
      <c r="D506" s="20" t="str">
        <f t="shared" si="103"/>
        <v>青瓷游戏</v>
      </c>
      <c r="E506" s="109"/>
      <c r="F506" s="112"/>
      <c r="G506" s="109"/>
      <c r="H506" s="109"/>
      <c r="I506" s="109"/>
      <c r="J506" s="109"/>
      <c r="K506" s="14" t="str">
        <f t="shared" si="104"/>
        <v>运营中</v>
      </c>
      <c r="L506" s="109"/>
      <c r="M506" s="109"/>
      <c r="N506" s="13">
        <v>1</v>
      </c>
      <c r="O506" s="24">
        <v>43658</v>
      </c>
      <c r="P506" s="13" t="s">
        <v>1045</v>
      </c>
      <c r="Q506" s="13" t="s">
        <v>6371</v>
      </c>
      <c r="R506" s="13" t="s">
        <v>6372</v>
      </c>
      <c r="S506" s="109"/>
      <c r="T506" s="109"/>
      <c r="U506" s="112"/>
      <c r="V506" s="109"/>
      <c r="W506" s="109"/>
      <c r="X506" s="109"/>
    </row>
    <row r="507" spans="2:24">
      <c r="B507" s="109"/>
      <c r="C507" s="109"/>
      <c r="D507" s="20" t="str">
        <f t="shared" si="103"/>
        <v>青瓷游戏</v>
      </c>
      <c r="E507" s="109"/>
      <c r="F507" s="112"/>
      <c r="G507" s="109"/>
      <c r="H507" s="109"/>
      <c r="I507" s="109"/>
      <c r="J507" s="109"/>
      <c r="K507" s="14" t="str">
        <f t="shared" si="104"/>
        <v>运营中</v>
      </c>
      <c r="L507" s="109"/>
      <c r="M507" s="109"/>
      <c r="N507" s="13">
        <v>1</v>
      </c>
      <c r="O507" s="24">
        <v>42158</v>
      </c>
      <c r="P507" s="13" t="s">
        <v>3513</v>
      </c>
      <c r="Q507" s="13" t="s">
        <v>3514</v>
      </c>
      <c r="R507" s="13" t="s">
        <v>1898</v>
      </c>
      <c r="S507" s="109"/>
      <c r="T507" s="109"/>
      <c r="U507" s="112"/>
      <c r="V507" s="109"/>
      <c r="W507" s="109"/>
      <c r="X507" s="109"/>
    </row>
    <row r="508" spans="2:24">
      <c r="B508" s="109"/>
      <c r="C508" s="109"/>
      <c r="D508" s="20" t="str">
        <f t="shared" si="103"/>
        <v>青瓷游戏</v>
      </c>
      <c r="E508" s="109"/>
      <c r="F508" s="112"/>
      <c r="G508" s="109"/>
      <c r="H508" s="109"/>
      <c r="I508" s="109"/>
      <c r="J508" s="109"/>
      <c r="K508" s="14" t="str">
        <f t="shared" si="104"/>
        <v>运营中</v>
      </c>
      <c r="L508" s="109"/>
      <c r="M508" s="109"/>
      <c r="N508" s="13">
        <v>1</v>
      </c>
      <c r="O508" s="24">
        <v>41674</v>
      </c>
      <c r="P508" s="13" t="s">
        <v>5474</v>
      </c>
      <c r="Q508" s="13" t="s">
        <v>5646</v>
      </c>
      <c r="R508" s="13" t="s">
        <v>1899</v>
      </c>
      <c r="S508" s="109"/>
      <c r="T508" s="109"/>
      <c r="U508" s="112"/>
      <c r="V508" s="109"/>
      <c r="W508" s="109"/>
      <c r="X508" s="109"/>
    </row>
    <row r="509" spans="2:24">
      <c r="B509" s="109"/>
      <c r="C509" s="109" t="s">
        <v>1900</v>
      </c>
      <c r="D509" s="20" t="s">
        <v>6373</v>
      </c>
      <c r="E509" s="109" t="s">
        <v>6374</v>
      </c>
      <c r="F509" s="112" t="s">
        <v>1902</v>
      </c>
      <c r="G509" s="109" t="s">
        <v>6375</v>
      </c>
      <c r="H509" s="109" t="s">
        <v>1904</v>
      </c>
      <c r="I509" s="109" t="s">
        <v>1905</v>
      </c>
      <c r="J509" s="109" t="s">
        <v>1906</v>
      </c>
      <c r="K509" s="14" t="s">
        <v>272</v>
      </c>
      <c r="L509" s="109" t="s">
        <v>4472</v>
      </c>
      <c r="M509" s="109" t="s">
        <v>6376</v>
      </c>
      <c r="N509" s="13">
        <v>1</v>
      </c>
      <c r="O509" s="24">
        <v>44725</v>
      </c>
      <c r="P509" s="13" t="s">
        <v>5709</v>
      </c>
      <c r="Q509" s="13" t="s">
        <v>2030</v>
      </c>
      <c r="R509" s="13" t="s">
        <v>6377</v>
      </c>
      <c r="S509" s="109" t="s">
        <v>6378</v>
      </c>
      <c r="T509" s="109" t="s">
        <v>3664</v>
      </c>
      <c r="U509" s="112" t="s">
        <v>1910</v>
      </c>
      <c r="V509" s="109" t="s">
        <v>6379</v>
      </c>
      <c r="W509" s="109" t="s">
        <v>1912</v>
      </c>
      <c r="X509" s="109" t="s">
        <v>1913</v>
      </c>
    </row>
    <row r="510" spans="2:24">
      <c r="B510" s="109"/>
      <c r="C510" s="109"/>
      <c r="D510" s="20" t="str">
        <f>D509</f>
        <v>魅族</v>
      </c>
      <c r="E510" s="109"/>
      <c r="F510" s="112"/>
      <c r="G510" s="109"/>
      <c r="H510" s="109"/>
      <c r="I510" s="109"/>
      <c r="J510" s="109"/>
      <c r="K510" s="14" t="str">
        <f t="shared" ref="K510:K512" si="105">K509</f>
        <v>运营中</v>
      </c>
      <c r="L510" s="109"/>
      <c r="M510" s="109"/>
      <c r="N510" s="13">
        <v>1</v>
      </c>
      <c r="O510" s="24">
        <v>43587</v>
      </c>
      <c r="P510" s="13" t="s">
        <v>1045</v>
      </c>
      <c r="Q510" s="13" t="s">
        <v>1750</v>
      </c>
      <c r="R510" s="13" t="s">
        <v>1914</v>
      </c>
      <c r="S510" s="109"/>
      <c r="T510" s="109"/>
      <c r="U510" s="112"/>
      <c r="V510" s="109"/>
      <c r="W510" s="109"/>
      <c r="X510" s="109"/>
    </row>
    <row r="511" spans="2:24">
      <c r="B511" s="109"/>
      <c r="C511" s="109"/>
      <c r="D511" s="20" t="str">
        <f>D510</f>
        <v>魅族</v>
      </c>
      <c r="E511" s="109"/>
      <c r="F511" s="112"/>
      <c r="G511" s="109"/>
      <c r="H511" s="109"/>
      <c r="I511" s="109"/>
      <c r="J511" s="109"/>
      <c r="K511" s="14" t="str">
        <f t="shared" si="105"/>
        <v>运营中</v>
      </c>
      <c r="L511" s="109"/>
      <c r="M511" s="109"/>
      <c r="N511" s="13">
        <v>1</v>
      </c>
      <c r="O511" s="24">
        <v>42664</v>
      </c>
      <c r="P511" s="13" t="s">
        <v>3648</v>
      </c>
      <c r="Q511" s="13" t="s">
        <v>3483</v>
      </c>
      <c r="R511" s="13" t="s">
        <v>6380</v>
      </c>
      <c r="S511" s="109"/>
      <c r="T511" s="109"/>
      <c r="U511" s="112"/>
      <c r="V511" s="109"/>
      <c r="W511" s="109"/>
      <c r="X511" s="109"/>
    </row>
    <row r="512" spans="2:24">
      <c r="B512" s="109"/>
      <c r="C512" s="109"/>
      <c r="D512" s="20" t="str">
        <f>D511</f>
        <v>魅族</v>
      </c>
      <c r="E512" s="109"/>
      <c r="F512" s="112"/>
      <c r="G512" s="109"/>
      <c r="H512" s="109"/>
      <c r="I512" s="109"/>
      <c r="J512" s="109"/>
      <c r="K512" s="14" t="str">
        <f t="shared" si="105"/>
        <v>运营中</v>
      </c>
      <c r="L512" s="109"/>
      <c r="M512" s="109"/>
      <c r="N512" s="13">
        <v>1</v>
      </c>
      <c r="O512" s="24">
        <v>42044</v>
      </c>
      <c r="P512" s="13" t="s">
        <v>3513</v>
      </c>
      <c r="Q512" s="13" t="s">
        <v>6252</v>
      </c>
      <c r="R512" s="13" t="s">
        <v>1916</v>
      </c>
      <c r="S512" s="109"/>
      <c r="T512" s="109"/>
      <c r="U512" s="112"/>
      <c r="V512" s="109"/>
      <c r="W512" s="109"/>
      <c r="X512" s="109"/>
    </row>
    <row r="513" spans="2:24" ht="72">
      <c r="B513" s="109"/>
      <c r="C513" s="13" t="s">
        <v>1917</v>
      </c>
      <c r="D513" s="25" t="s">
        <v>6381</v>
      </c>
      <c r="E513" s="13" t="s">
        <v>6382</v>
      </c>
      <c r="F513" s="18" t="s">
        <v>1919</v>
      </c>
      <c r="G513" s="13" t="s">
        <v>6383</v>
      </c>
      <c r="H513" s="13" t="s">
        <v>1921</v>
      </c>
      <c r="I513" s="13" t="s">
        <v>1922</v>
      </c>
      <c r="J513" s="13" t="s">
        <v>1192</v>
      </c>
      <c r="K513" s="19" t="s">
        <v>272</v>
      </c>
      <c r="L513" s="13" t="s">
        <v>4162</v>
      </c>
      <c r="M513" s="13" t="s">
        <v>5167</v>
      </c>
      <c r="N513" s="13"/>
      <c r="O513" s="24">
        <v>42539</v>
      </c>
      <c r="P513" s="13" t="s">
        <v>5474</v>
      </c>
      <c r="Q513" s="13" t="s">
        <v>5782</v>
      </c>
      <c r="R513" s="13" t="s">
        <v>1923</v>
      </c>
      <c r="S513" s="13" t="s">
        <v>6232</v>
      </c>
      <c r="T513" s="13" t="s">
        <v>6233</v>
      </c>
      <c r="U513" s="18" t="s">
        <v>1924</v>
      </c>
      <c r="V513" s="13" t="s">
        <v>1925</v>
      </c>
      <c r="W513" s="13">
        <v>86182128</v>
      </c>
      <c r="X513" s="13" t="s">
        <v>1926</v>
      </c>
    </row>
    <row r="514" spans="2:24">
      <c r="B514" s="109"/>
      <c r="C514" s="109" t="s">
        <v>1927</v>
      </c>
      <c r="D514" s="20" t="s">
        <v>1928</v>
      </c>
      <c r="E514" s="109" t="s">
        <v>1928</v>
      </c>
      <c r="F514" s="112" t="s">
        <v>6384</v>
      </c>
      <c r="G514" s="109"/>
      <c r="H514" s="109" t="s">
        <v>1930</v>
      </c>
      <c r="I514" s="109" t="s">
        <v>427</v>
      </c>
      <c r="J514" s="109" t="s">
        <v>1931</v>
      </c>
      <c r="K514" s="14" t="s">
        <v>272</v>
      </c>
      <c r="L514" s="109" t="s">
        <v>1825</v>
      </c>
      <c r="M514" s="109" t="s">
        <v>1826</v>
      </c>
      <c r="N514" s="13"/>
      <c r="O514" s="24">
        <v>43284</v>
      </c>
      <c r="P514" s="13" t="s">
        <v>3648</v>
      </c>
      <c r="Q514" s="13" t="s">
        <v>5862</v>
      </c>
      <c r="R514" s="13" t="s">
        <v>1933</v>
      </c>
      <c r="S514" s="109" t="s">
        <v>6385</v>
      </c>
      <c r="T514" s="109" t="s">
        <v>5750</v>
      </c>
      <c r="U514" s="112" t="s">
        <v>1935</v>
      </c>
      <c r="V514" s="109"/>
      <c r="W514" s="109"/>
      <c r="X514" s="109"/>
    </row>
    <row r="515" spans="2:24">
      <c r="B515" s="109"/>
      <c r="C515" s="109"/>
      <c r="D515" s="20" t="str">
        <f>D514</f>
        <v>ThetaRay</v>
      </c>
      <c r="E515" s="109"/>
      <c r="F515" s="112"/>
      <c r="G515" s="109"/>
      <c r="H515" s="109"/>
      <c r="I515" s="109"/>
      <c r="J515" s="109"/>
      <c r="K515" s="14" t="str">
        <f t="shared" ref="K515:K518" si="106">K514</f>
        <v>运营中</v>
      </c>
      <c r="L515" s="109"/>
      <c r="M515" s="109"/>
      <c r="N515" s="13"/>
      <c r="O515" s="24">
        <v>42346</v>
      </c>
      <c r="P515" s="13" t="s">
        <v>1045</v>
      </c>
      <c r="Q515" s="13" t="s">
        <v>5576</v>
      </c>
      <c r="R515" s="13" t="s">
        <v>1936</v>
      </c>
      <c r="S515" s="109"/>
      <c r="T515" s="109"/>
      <c r="U515" s="112"/>
      <c r="V515" s="109"/>
      <c r="W515" s="109"/>
      <c r="X515" s="109"/>
    </row>
    <row r="516" spans="2:24">
      <c r="B516" s="109"/>
      <c r="C516" s="109"/>
      <c r="D516" s="20" t="str">
        <f>D515</f>
        <v>ThetaRay</v>
      </c>
      <c r="E516" s="109"/>
      <c r="F516" s="112"/>
      <c r="G516" s="109"/>
      <c r="H516" s="109"/>
      <c r="I516" s="109"/>
      <c r="J516" s="109"/>
      <c r="K516" s="14" t="str">
        <f t="shared" si="106"/>
        <v>运营中</v>
      </c>
      <c r="L516" s="109"/>
      <c r="M516" s="109"/>
      <c r="N516" s="13"/>
      <c r="O516" s="24">
        <v>41850</v>
      </c>
      <c r="P516" s="13" t="s">
        <v>3513</v>
      </c>
      <c r="Q516" s="13" t="s">
        <v>5591</v>
      </c>
      <c r="R516" s="13" t="s">
        <v>1937</v>
      </c>
      <c r="S516" s="109"/>
      <c r="T516" s="109"/>
      <c r="U516" s="112"/>
      <c r="V516" s="109"/>
      <c r="W516" s="109"/>
      <c r="X516" s="109"/>
    </row>
    <row r="517" spans="2:24">
      <c r="B517" s="109"/>
      <c r="C517" s="109"/>
      <c r="D517" s="20" t="str">
        <f>D516</f>
        <v>ThetaRay</v>
      </c>
      <c r="E517" s="109"/>
      <c r="F517" s="112"/>
      <c r="G517" s="109"/>
      <c r="H517" s="109"/>
      <c r="I517" s="109"/>
      <c r="J517" s="109"/>
      <c r="K517" s="14" t="str">
        <f t="shared" si="106"/>
        <v>运营中</v>
      </c>
      <c r="L517" s="109"/>
      <c r="M517" s="109"/>
      <c r="N517" s="13"/>
      <c r="O517" s="24">
        <v>41487</v>
      </c>
      <c r="P517" s="13" t="s">
        <v>5474</v>
      </c>
      <c r="Q517" s="13" t="s">
        <v>6386</v>
      </c>
      <c r="R517" s="13" t="s">
        <v>1939</v>
      </c>
      <c r="S517" s="109"/>
      <c r="T517" s="109"/>
      <c r="U517" s="112"/>
      <c r="V517" s="109"/>
      <c r="W517" s="109"/>
      <c r="X517" s="109"/>
    </row>
    <row r="518" spans="2:24">
      <c r="B518" s="109"/>
      <c r="C518" s="109"/>
      <c r="D518" s="20" t="str">
        <f>D517</f>
        <v>ThetaRay</v>
      </c>
      <c r="E518" s="109"/>
      <c r="F518" s="112"/>
      <c r="G518" s="109"/>
      <c r="H518" s="109"/>
      <c r="I518" s="109"/>
      <c r="J518" s="109"/>
      <c r="K518" s="14" t="str">
        <f t="shared" si="106"/>
        <v>运营中</v>
      </c>
      <c r="L518" s="109"/>
      <c r="M518" s="109"/>
      <c r="N518" s="13"/>
      <c r="O518" s="24">
        <v>41275</v>
      </c>
      <c r="P518" s="13" t="s">
        <v>5697</v>
      </c>
      <c r="Q518" s="13" t="s">
        <v>5000</v>
      </c>
      <c r="R518" s="13" t="s">
        <v>253</v>
      </c>
      <c r="S518" s="109"/>
      <c r="T518" s="109"/>
      <c r="U518" s="112"/>
      <c r="V518" s="109"/>
      <c r="W518" s="109"/>
      <c r="X518" s="109"/>
    </row>
    <row r="519" spans="2:24">
      <c r="B519" s="109"/>
      <c r="C519" s="109" t="s">
        <v>1940</v>
      </c>
      <c r="D519" s="20" t="s">
        <v>1941</v>
      </c>
      <c r="E519" s="109" t="s">
        <v>1941</v>
      </c>
      <c r="F519" s="112" t="s">
        <v>6387</v>
      </c>
      <c r="G519" s="109"/>
      <c r="H519" s="109" t="s">
        <v>1943</v>
      </c>
      <c r="I519" s="109" t="s">
        <v>1944</v>
      </c>
      <c r="J519" s="109" t="s">
        <v>1564</v>
      </c>
      <c r="K519" s="14" t="s">
        <v>248</v>
      </c>
      <c r="L519" s="109" t="s">
        <v>4472</v>
      </c>
      <c r="M519" s="109" t="s">
        <v>5780</v>
      </c>
      <c r="N519" s="13">
        <v>1</v>
      </c>
      <c r="O519" s="24">
        <v>42591</v>
      </c>
      <c r="P519" s="13" t="s">
        <v>5709</v>
      </c>
      <c r="Q519" s="13" t="s">
        <v>5966</v>
      </c>
      <c r="R519" s="13" t="s">
        <v>1945</v>
      </c>
      <c r="S519" s="109" t="s">
        <v>6388</v>
      </c>
      <c r="T519" s="109" t="s">
        <v>6389</v>
      </c>
      <c r="U519" s="112"/>
      <c r="V519" s="109"/>
      <c r="W519" s="109"/>
      <c r="X519" s="109"/>
    </row>
    <row r="520" spans="2:24">
      <c r="B520" s="109"/>
      <c r="C520" s="109"/>
      <c r="D520" s="20" t="str">
        <f>D519</f>
        <v>Jet.com</v>
      </c>
      <c r="E520" s="109"/>
      <c r="F520" s="112"/>
      <c r="G520" s="109"/>
      <c r="H520" s="109"/>
      <c r="I520" s="109"/>
      <c r="J520" s="109"/>
      <c r="K520" s="14" t="str">
        <f t="shared" ref="K520:K523" si="107">K519</f>
        <v>已关闭</v>
      </c>
      <c r="L520" s="109"/>
      <c r="M520" s="109"/>
      <c r="N520" s="13">
        <v>1</v>
      </c>
      <c r="O520" s="24">
        <v>42314</v>
      </c>
      <c r="P520" s="13" t="s">
        <v>5613</v>
      </c>
      <c r="Q520" s="13" t="s">
        <v>1046</v>
      </c>
      <c r="R520" s="13" t="s">
        <v>1948</v>
      </c>
      <c r="S520" s="109"/>
      <c r="T520" s="109"/>
      <c r="U520" s="112"/>
      <c r="V520" s="109"/>
      <c r="W520" s="109"/>
      <c r="X520" s="109"/>
    </row>
    <row r="521" spans="2:24">
      <c r="B521" s="109"/>
      <c r="C521" s="109"/>
      <c r="D521" s="20" t="str">
        <f>D520</f>
        <v>Jet.com</v>
      </c>
      <c r="E521" s="109"/>
      <c r="F521" s="112"/>
      <c r="G521" s="109"/>
      <c r="H521" s="109"/>
      <c r="I521" s="109"/>
      <c r="J521" s="109"/>
      <c r="K521" s="14" t="str">
        <f t="shared" si="107"/>
        <v>已关闭</v>
      </c>
      <c r="L521" s="109"/>
      <c r="M521" s="109"/>
      <c r="N521" s="13">
        <v>1</v>
      </c>
      <c r="O521" s="24">
        <v>42050</v>
      </c>
      <c r="P521" s="13" t="s">
        <v>3648</v>
      </c>
      <c r="Q521" s="13" t="s">
        <v>6390</v>
      </c>
      <c r="R521" s="13" t="s">
        <v>1950</v>
      </c>
      <c r="S521" s="109"/>
      <c r="T521" s="109"/>
      <c r="U521" s="112"/>
      <c r="V521" s="109"/>
      <c r="W521" s="109"/>
      <c r="X521" s="109"/>
    </row>
    <row r="522" spans="2:24">
      <c r="B522" s="109"/>
      <c r="C522" s="109"/>
      <c r="D522" s="20" t="str">
        <f>D521</f>
        <v>Jet.com</v>
      </c>
      <c r="E522" s="109"/>
      <c r="F522" s="112"/>
      <c r="G522" s="109"/>
      <c r="H522" s="109"/>
      <c r="I522" s="109"/>
      <c r="J522" s="109"/>
      <c r="K522" s="14" t="str">
        <f t="shared" si="107"/>
        <v>已关闭</v>
      </c>
      <c r="L522" s="109"/>
      <c r="M522" s="109"/>
      <c r="N522" s="13">
        <v>1</v>
      </c>
      <c r="O522" s="24">
        <v>41899</v>
      </c>
      <c r="P522" s="13" t="s">
        <v>4306</v>
      </c>
      <c r="Q522" s="13" t="s">
        <v>4307</v>
      </c>
      <c r="R522" s="13" t="s">
        <v>1951</v>
      </c>
      <c r="S522" s="109"/>
      <c r="T522" s="109"/>
      <c r="U522" s="112"/>
      <c r="V522" s="109"/>
      <c r="W522" s="109"/>
      <c r="X522" s="109"/>
    </row>
    <row r="523" spans="2:24">
      <c r="B523" s="109"/>
      <c r="C523" s="109"/>
      <c r="D523" s="20" t="str">
        <f>D522</f>
        <v>Jet.com</v>
      </c>
      <c r="E523" s="109"/>
      <c r="F523" s="112"/>
      <c r="G523" s="109"/>
      <c r="H523" s="109"/>
      <c r="I523" s="109"/>
      <c r="J523" s="109"/>
      <c r="K523" s="14" t="str">
        <f t="shared" si="107"/>
        <v>已关闭</v>
      </c>
      <c r="L523" s="109"/>
      <c r="M523" s="109"/>
      <c r="N523" s="13">
        <v>1</v>
      </c>
      <c r="O523" s="24">
        <v>41851</v>
      </c>
      <c r="P523" s="13" t="s">
        <v>3513</v>
      </c>
      <c r="Q523" s="13" t="s">
        <v>5704</v>
      </c>
      <c r="R523" s="13" t="s">
        <v>6391</v>
      </c>
      <c r="S523" s="109"/>
      <c r="T523" s="109"/>
      <c r="U523" s="112"/>
      <c r="V523" s="109"/>
      <c r="W523" s="109"/>
      <c r="X523" s="109"/>
    </row>
    <row r="524" spans="2:24">
      <c r="B524" s="109"/>
      <c r="C524" s="109" t="s">
        <v>1953</v>
      </c>
      <c r="D524" s="20" t="s">
        <v>1954</v>
      </c>
      <c r="E524" s="109" t="s">
        <v>1954</v>
      </c>
      <c r="F524" s="112" t="s">
        <v>6392</v>
      </c>
      <c r="G524" s="109"/>
      <c r="H524" s="109" t="s">
        <v>1956</v>
      </c>
      <c r="I524" s="109" t="s">
        <v>1957</v>
      </c>
      <c r="J524" s="109" t="s">
        <v>1564</v>
      </c>
      <c r="K524" s="14" t="s">
        <v>272</v>
      </c>
      <c r="L524" s="109" t="s">
        <v>5472</v>
      </c>
      <c r="M524" s="109" t="s">
        <v>5473</v>
      </c>
      <c r="N524" s="13">
        <v>1</v>
      </c>
      <c r="O524" s="24">
        <v>42724</v>
      </c>
      <c r="P524" s="13" t="s">
        <v>5709</v>
      </c>
      <c r="Q524" s="13" t="s">
        <v>5000</v>
      </c>
      <c r="R524" s="13" t="s">
        <v>6393</v>
      </c>
      <c r="S524" s="109" t="s">
        <v>5882</v>
      </c>
      <c r="T524" s="109" t="s">
        <v>3664</v>
      </c>
      <c r="U524" s="112" t="s">
        <v>1959</v>
      </c>
      <c r="V524" s="109"/>
      <c r="W524" s="109"/>
      <c r="X524" s="109"/>
    </row>
    <row r="525" spans="2:24">
      <c r="B525" s="109"/>
      <c r="C525" s="109"/>
      <c r="D525" s="20" t="str">
        <f>D524</f>
        <v>Kabam</v>
      </c>
      <c r="E525" s="109"/>
      <c r="F525" s="112"/>
      <c r="G525" s="109"/>
      <c r="H525" s="109"/>
      <c r="I525" s="109"/>
      <c r="J525" s="109"/>
      <c r="K525" s="14" t="str">
        <f>K524</f>
        <v>运营中</v>
      </c>
      <c r="L525" s="109"/>
      <c r="M525" s="109"/>
      <c r="N525" s="13">
        <v>1</v>
      </c>
      <c r="O525" s="24">
        <v>41852</v>
      </c>
      <c r="P525" s="13" t="s">
        <v>3276</v>
      </c>
      <c r="Q525" s="13" t="s">
        <v>5633</v>
      </c>
      <c r="R525" s="13" t="s">
        <v>1751</v>
      </c>
      <c r="S525" s="109"/>
      <c r="T525" s="109"/>
      <c r="U525" s="112"/>
      <c r="V525" s="109"/>
      <c r="W525" s="109"/>
      <c r="X525" s="109"/>
    </row>
    <row r="526" spans="2:24">
      <c r="B526" s="109"/>
      <c r="C526" s="109" t="s">
        <v>1960</v>
      </c>
      <c r="D526" s="20" t="s">
        <v>6394</v>
      </c>
      <c r="E526" s="109" t="s">
        <v>1962</v>
      </c>
      <c r="F526" s="112" t="s">
        <v>1963</v>
      </c>
      <c r="G526" s="109" t="s">
        <v>6395</v>
      </c>
      <c r="H526" s="109" t="s">
        <v>1965</v>
      </c>
      <c r="I526" s="109" t="s">
        <v>1606</v>
      </c>
      <c r="J526" s="109" t="s">
        <v>385</v>
      </c>
      <c r="K526" s="14" t="s">
        <v>272</v>
      </c>
      <c r="L526" s="109" t="s">
        <v>6396</v>
      </c>
      <c r="M526" s="109" t="s">
        <v>6397</v>
      </c>
      <c r="N526" s="13"/>
      <c r="O526" s="24">
        <v>43417</v>
      </c>
      <c r="P526" s="13" t="s">
        <v>5613</v>
      </c>
      <c r="Q526" s="13" t="s">
        <v>5947</v>
      </c>
      <c r="R526" s="13" t="s">
        <v>1751</v>
      </c>
      <c r="S526" s="109" t="s">
        <v>6398</v>
      </c>
      <c r="T526" s="109" t="s">
        <v>4309</v>
      </c>
      <c r="U526" s="112" t="s">
        <v>1970</v>
      </c>
      <c r="V526" s="109" t="s">
        <v>1971</v>
      </c>
      <c r="W526" s="109" t="s">
        <v>1972</v>
      </c>
      <c r="X526" s="109"/>
    </row>
    <row r="527" spans="2:24">
      <c r="B527" s="109"/>
      <c r="C527" s="109"/>
      <c r="D527" s="20" t="str">
        <f>D526</f>
        <v>神工007</v>
      </c>
      <c r="E527" s="109"/>
      <c r="F527" s="112"/>
      <c r="G527" s="109"/>
      <c r="H527" s="109"/>
      <c r="I527" s="109"/>
      <c r="J527" s="109"/>
      <c r="K527" s="14" t="str">
        <f t="shared" ref="K527:K530" si="108">K526</f>
        <v>运营中</v>
      </c>
      <c r="L527" s="109"/>
      <c r="M527" s="109"/>
      <c r="N527" s="13"/>
      <c r="O527" s="24">
        <v>42508</v>
      </c>
      <c r="P527" s="13" t="s">
        <v>3648</v>
      </c>
      <c r="Q527" s="13" t="s">
        <v>5576</v>
      </c>
      <c r="R527" s="13" t="s">
        <v>1973</v>
      </c>
      <c r="S527" s="109"/>
      <c r="T527" s="109"/>
      <c r="U527" s="112"/>
      <c r="V527" s="109"/>
      <c r="W527" s="109"/>
      <c r="X527" s="109"/>
    </row>
    <row r="528" spans="2:24">
      <c r="B528" s="109"/>
      <c r="C528" s="109"/>
      <c r="D528" s="20" t="str">
        <f>D527</f>
        <v>神工007</v>
      </c>
      <c r="E528" s="109"/>
      <c r="F528" s="112"/>
      <c r="G528" s="109"/>
      <c r="H528" s="109"/>
      <c r="I528" s="109"/>
      <c r="J528" s="109"/>
      <c r="K528" s="14" t="str">
        <f t="shared" si="108"/>
        <v>运营中</v>
      </c>
      <c r="L528" s="109"/>
      <c r="M528" s="109"/>
      <c r="N528" s="13"/>
      <c r="O528" s="24">
        <v>42338</v>
      </c>
      <c r="P528" s="13" t="s">
        <v>4306</v>
      </c>
      <c r="Q528" s="13" t="s">
        <v>5000</v>
      </c>
      <c r="R528" s="13" t="s">
        <v>1973</v>
      </c>
      <c r="S528" s="109"/>
      <c r="T528" s="109"/>
      <c r="U528" s="112"/>
      <c r="V528" s="109"/>
      <c r="W528" s="109"/>
      <c r="X528" s="109"/>
    </row>
    <row r="529" spans="2:24">
      <c r="B529" s="109"/>
      <c r="C529" s="109"/>
      <c r="D529" s="20" t="str">
        <f>D528</f>
        <v>神工007</v>
      </c>
      <c r="E529" s="109"/>
      <c r="F529" s="112"/>
      <c r="G529" s="109"/>
      <c r="H529" s="109"/>
      <c r="I529" s="109"/>
      <c r="J529" s="109"/>
      <c r="K529" s="14" t="str">
        <f t="shared" si="108"/>
        <v>运营中</v>
      </c>
      <c r="L529" s="109"/>
      <c r="M529" s="109"/>
      <c r="N529" s="13"/>
      <c r="O529" s="24">
        <v>41921</v>
      </c>
      <c r="P529" s="13" t="s">
        <v>3513</v>
      </c>
      <c r="Q529" s="13" t="s">
        <v>5591</v>
      </c>
      <c r="R529" s="13" t="s">
        <v>6011</v>
      </c>
      <c r="S529" s="109"/>
      <c r="T529" s="109"/>
      <c r="U529" s="112"/>
      <c r="V529" s="109"/>
      <c r="W529" s="109"/>
      <c r="X529" s="109"/>
    </row>
    <row r="530" spans="2:24">
      <c r="B530" s="109"/>
      <c r="C530" s="109"/>
      <c r="D530" s="20" t="str">
        <f>D529</f>
        <v>神工007</v>
      </c>
      <c r="E530" s="109"/>
      <c r="F530" s="112"/>
      <c r="G530" s="109"/>
      <c r="H530" s="109"/>
      <c r="I530" s="109"/>
      <c r="J530" s="109"/>
      <c r="K530" s="14" t="str">
        <f t="shared" si="108"/>
        <v>运营中</v>
      </c>
      <c r="L530" s="109"/>
      <c r="M530" s="109"/>
      <c r="N530" s="13"/>
      <c r="O530" s="24">
        <v>41731</v>
      </c>
      <c r="P530" s="13" t="s">
        <v>5474</v>
      </c>
      <c r="Q530" s="13" t="s">
        <v>5646</v>
      </c>
      <c r="R530" s="13" t="s">
        <v>6399</v>
      </c>
      <c r="S530" s="109"/>
      <c r="T530" s="109"/>
      <c r="U530" s="112"/>
      <c r="V530" s="109"/>
      <c r="W530" s="109"/>
      <c r="X530" s="109"/>
    </row>
    <row r="531" spans="2:24">
      <c r="B531" s="109"/>
      <c r="C531" s="109" t="s">
        <v>1975</v>
      </c>
      <c r="D531" s="20" t="s">
        <v>6400</v>
      </c>
      <c r="E531" s="109" t="s">
        <v>6401</v>
      </c>
      <c r="F531" s="112" t="s">
        <v>6402</v>
      </c>
      <c r="G531" s="109" t="s">
        <v>6403</v>
      </c>
      <c r="H531" s="109" t="s">
        <v>1979</v>
      </c>
      <c r="I531" s="109" t="s">
        <v>1690</v>
      </c>
      <c r="J531" s="109" t="s">
        <v>1980</v>
      </c>
      <c r="K531" s="14" t="s">
        <v>272</v>
      </c>
      <c r="L531" s="109" t="s">
        <v>5651</v>
      </c>
      <c r="M531" s="109" t="s">
        <v>6140</v>
      </c>
      <c r="N531" s="13">
        <v>1</v>
      </c>
      <c r="O531" s="24">
        <v>40407</v>
      </c>
      <c r="P531" s="13" t="s">
        <v>5709</v>
      </c>
      <c r="Q531" s="13" t="s">
        <v>6343</v>
      </c>
      <c r="R531" s="13" t="s">
        <v>1751</v>
      </c>
      <c r="S531" s="109" t="s">
        <v>6404</v>
      </c>
      <c r="T531" s="109" t="s">
        <v>6405</v>
      </c>
      <c r="U531" s="112"/>
      <c r="V531" s="109" t="s">
        <v>1983</v>
      </c>
      <c r="W531" s="109" t="s">
        <v>1984</v>
      </c>
      <c r="X531" s="109" t="s">
        <v>1985</v>
      </c>
    </row>
    <row r="532" spans="2:24">
      <c r="B532" s="109"/>
      <c r="C532" s="109"/>
      <c r="D532" s="20" t="str">
        <f>D531</f>
        <v>易图通科技</v>
      </c>
      <c r="E532" s="109"/>
      <c r="F532" s="112"/>
      <c r="G532" s="109"/>
      <c r="H532" s="109"/>
      <c r="I532" s="109"/>
      <c r="J532" s="109"/>
      <c r="K532" s="14" t="str">
        <f>K531</f>
        <v>运营中</v>
      </c>
      <c r="L532" s="109"/>
      <c r="M532" s="109"/>
      <c r="N532" s="13">
        <v>1</v>
      </c>
      <c r="O532" s="24">
        <v>38861</v>
      </c>
      <c r="P532" s="13" t="s">
        <v>3513</v>
      </c>
      <c r="Q532" s="13" t="s">
        <v>5742</v>
      </c>
      <c r="R532" s="13" t="s">
        <v>253</v>
      </c>
      <c r="S532" s="109"/>
      <c r="T532" s="109"/>
      <c r="U532" s="112"/>
      <c r="V532" s="109"/>
      <c r="W532" s="109"/>
      <c r="X532" s="109"/>
    </row>
    <row r="533" spans="2:24">
      <c r="B533" s="109"/>
      <c r="C533" s="109" t="s">
        <v>1986</v>
      </c>
      <c r="D533" s="20" t="s">
        <v>12</v>
      </c>
      <c r="E533" s="109" t="s">
        <v>12</v>
      </c>
      <c r="F533" s="112" t="s">
        <v>1987</v>
      </c>
      <c r="G533" s="109"/>
      <c r="H533" s="109" t="s">
        <v>1988</v>
      </c>
      <c r="I533" s="109" t="s">
        <v>1989</v>
      </c>
      <c r="J533" s="109" t="s">
        <v>1725</v>
      </c>
      <c r="K533" s="14" t="s">
        <v>272</v>
      </c>
      <c r="L533" s="109" t="s">
        <v>1043</v>
      </c>
      <c r="M533" s="109" t="s">
        <v>1990</v>
      </c>
      <c r="N533" s="13"/>
      <c r="O533" s="24">
        <v>43931</v>
      </c>
      <c r="P533" s="13" t="s">
        <v>1045</v>
      </c>
      <c r="Q533" s="13" t="s">
        <v>1991</v>
      </c>
      <c r="R533" s="13" t="s">
        <v>1992</v>
      </c>
      <c r="S533" s="109" t="s">
        <v>1993</v>
      </c>
      <c r="T533" s="109" t="s">
        <v>1994</v>
      </c>
      <c r="U533" s="112" t="s">
        <v>1995</v>
      </c>
      <c r="V533" s="109"/>
      <c r="W533" s="109"/>
      <c r="X533" s="109"/>
    </row>
    <row r="534" spans="2:24">
      <c r="B534" s="109"/>
      <c r="C534" s="109"/>
      <c r="D534" s="20" t="str">
        <f t="shared" ref="D534:D544" si="109">D533</f>
        <v>Bigbasket</v>
      </c>
      <c r="E534" s="109"/>
      <c r="F534" s="112"/>
      <c r="G534" s="109"/>
      <c r="H534" s="109"/>
      <c r="I534" s="109"/>
      <c r="J534" s="109"/>
      <c r="K534" s="14" t="str">
        <f t="shared" ref="K534:K544" si="110">K533</f>
        <v>运营中</v>
      </c>
      <c r="L534" s="109"/>
      <c r="M534" s="109"/>
      <c r="N534" s="13"/>
      <c r="O534" s="24">
        <v>43677</v>
      </c>
      <c r="P534" s="13" t="s">
        <v>1045</v>
      </c>
      <c r="Q534" s="13" t="s">
        <v>6406</v>
      </c>
      <c r="R534" s="13" t="s">
        <v>1997</v>
      </c>
      <c r="S534" s="109"/>
      <c r="T534" s="109"/>
      <c r="U534" s="112"/>
      <c r="V534" s="109"/>
      <c r="W534" s="109"/>
      <c r="X534" s="109"/>
    </row>
    <row r="535" spans="2:24">
      <c r="B535" s="109"/>
      <c r="C535" s="109"/>
      <c r="D535" s="20" t="str">
        <f t="shared" si="109"/>
        <v>Bigbasket</v>
      </c>
      <c r="E535" s="109"/>
      <c r="F535" s="112"/>
      <c r="G535" s="109"/>
      <c r="H535" s="109"/>
      <c r="I535" s="109"/>
      <c r="J535" s="109"/>
      <c r="K535" s="14" t="str">
        <f t="shared" si="110"/>
        <v>运营中</v>
      </c>
      <c r="L535" s="109"/>
      <c r="M535" s="109"/>
      <c r="N535" s="13"/>
      <c r="O535" s="24">
        <v>43556</v>
      </c>
      <c r="P535" s="13" t="s">
        <v>1045</v>
      </c>
      <c r="Q535" s="13" t="s">
        <v>3811</v>
      </c>
      <c r="R535" s="13" t="s">
        <v>1992</v>
      </c>
      <c r="S535" s="109"/>
      <c r="T535" s="109"/>
      <c r="U535" s="112"/>
      <c r="V535" s="109"/>
      <c r="W535" s="109"/>
      <c r="X535" s="109"/>
    </row>
    <row r="536" spans="2:24">
      <c r="B536" s="109"/>
      <c r="C536" s="109"/>
      <c r="D536" s="20" t="str">
        <f t="shared" si="109"/>
        <v>Bigbasket</v>
      </c>
      <c r="E536" s="109"/>
      <c r="F536" s="112"/>
      <c r="G536" s="109"/>
      <c r="H536" s="109"/>
      <c r="I536" s="109"/>
      <c r="J536" s="109"/>
      <c r="K536" s="14" t="str">
        <f t="shared" si="110"/>
        <v>运营中</v>
      </c>
      <c r="L536" s="109"/>
      <c r="M536" s="109"/>
      <c r="N536" s="13"/>
      <c r="O536" s="24">
        <v>43378</v>
      </c>
      <c r="P536" s="13" t="s">
        <v>1045</v>
      </c>
      <c r="Q536" s="13" t="s">
        <v>5000</v>
      </c>
      <c r="R536" s="13" t="s">
        <v>1998</v>
      </c>
      <c r="S536" s="109"/>
      <c r="T536" s="109"/>
      <c r="U536" s="112"/>
      <c r="V536" s="109"/>
      <c r="W536" s="109"/>
      <c r="X536" s="109"/>
    </row>
    <row r="537" spans="2:24">
      <c r="B537" s="109"/>
      <c r="C537" s="109"/>
      <c r="D537" s="20" t="str">
        <f t="shared" si="109"/>
        <v>Bigbasket</v>
      </c>
      <c r="E537" s="109"/>
      <c r="F537" s="112"/>
      <c r="G537" s="109"/>
      <c r="H537" s="109"/>
      <c r="I537" s="109"/>
      <c r="J537" s="109"/>
      <c r="K537" s="14" t="str">
        <f t="shared" si="110"/>
        <v>运营中</v>
      </c>
      <c r="L537" s="109"/>
      <c r="M537" s="109"/>
      <c r="N537" s="13"/>
      <c r="O537" s="24">
        <v>43133</v>
      </c>
      <c r="P537" s="13" t="s">
        <v>1045</v>
      </c>
      <c r="Q537" s="13" t="s">
        <v>5019</v>
      </c>
      <c r="R537" s="13" t="s">
        <v>1999</v>
      </c>
      <c r="S537" s="109"/>
      <c r="T537" s="109"/>
      <c r="U537" s="112"/>
      <c r="V537" s="109"/>
      <c r="W537" s="109"/>
      <c r="X537" s="109"/>
    </row>
    <row r="538" spans="2:24">
      <c r="B538" s="109"/>
      <c r="C538" s="109"/>
      <c r="D538" s="20" t="str">
        <f t="shared" si="109"/>
        <v>Bigbasket</v>
      </c>
      <c r="E538" s="109"/>
      <c r="F538" s="112"/>
      <c r="G538" s="109"/>
      <c r="H538" s="109"/>
      <c r="I538" s="109"/>
      <c r="J538" s="109"/>
      <c r="K538" s="14" t="str">
        <f t="shared" si="110"/>
        <v>运营中</v>
      </c>
      <c r="L538" s="109"/>
      <c r="M538" s="109"/>
      <c r="N538" s="13"/>
      <c r="O538" s="24">
        <v>43042</v>
      </c>
      <c r="P538" s="13" t="s">
        <v>1045</v>
      </c>
      <c r="Q538" s="13" t="s">
        <v>6407</v>
      </c>
      <c r="R538" s="13" t="s">
        <v>2001</v>
      </c>
      <c r="S538" s="109"/>
      <c r="T538" s="109"/>
      <c r="U538" s="112"/>
      <c r="V538" s="109"/>
      <c r="W538" s="109"/>
      <c r="X538" s="109"/>
    </row>
    <row r="539" spans="2:24">
      <c r="B539" s="109"/>
      <c r="C539" s="109"/>
      <c r="D539" s="20" t="str">
        <f t="shared" si="109"/>
        <v>Bigbasket</v>
      </c>
      <c r="E539" s="109"/>
      <c r="F539" s="112"/>
      <c r="G539" s="109"/>
      <c r="H539" s="109"/>
      <c r="I539" s="109"/>
      <c r="J539" s="109"/>
      <c r="K539" s="14" t="str">
        <f t="shared" si="110"/>
        <v>运营中</v>
      </c>
      <c r="L539" s="109"/>
      <c r="M539" s="109"/>
      <c r="N539" s="13"/>
      <c r="O539" s="24">
        <v>43019</v>
      </c>
      <c r="P539" s="13" t="s">
        <v>1045</v>
      </c>
      <c r="Q539" s="13" t="s">
        <v>5616</v>
      </c>
      <c r="R539" s="13" t="s">
        <v>1997</v>
      </c>
      <c r="S539" s="109"/>
      <c r="T539" s="109"/>
      <c r="U539" s="112"/>
      <c r="V539" s="109"/>
      <c r="W539" s="109"/>
      <c r="X539" s="109"/>
    </row>
    <row r="540" spans="2:24">
      <c r="B540" s="109"/>
      <c r="C540" s="109"/>
      <c r="D540" s="20" t="str">
        <f t="shared" si="109"/>
        <v>Bigbasket</v>
      </c>
      <c r="E540" s="109"/>
      <c r="F540" s="112"/>
      <c r="G540" s="109"/>
      <c r="H540" s="109"/>
      <c r="I540" s="109"/>
      <c r="J540" s="109"/>
      <c r="K540" s="14" t="str">
        <f t="shared" si="110"/>
        <v>运营中</v>
      </c>
      <c r="L540" s="109"/>
      <c r="M540" s="109"/>
      <c r="N540" s="13"/>
      <c r="O540" s="24">
        <v>42986</v>
      </c>
      <c r="P540" s="13" t="s">
        <v>3276</v>
      </c>
      <c r="Q540" s="13" t="s">
        <v>6222</v>
      </c>
      <c r="R540" s="13" t="s">
        <v>2002</v>
      </c>
      <c r="S540" s="109"/>
      <c r="T540" s="109"/>
      <c r="U540" s="112"/>
      <c r="V540" s="109"/>
      <c r="W540" s="109"/>
      <c r="X540" s="109"/>
    </row>
    <row r="541" spans="2:24">
      <c r="B541" s="109"/>
      <c r="C541" s="109"/>
      <c r="D541" s="20" t="str">
        <f t="shared" si="109"/>
        <v>Bigbasket</v>
      </c>
      <c r="E541" s="109"/>
      <c r="F541" s="112"/>
      <c r="G541" s="109"/>
      <c r="H541" s="109"/>
      <c r="I541" s="109"/>
      <c r="J541" s="109"/>
      <c r="K541" s="14" t="str">
        <f t="shared" si="110"/>
        <v>运营中</v>
      </c>
      <c r="L541" s="109"/>
      <c r="M541" s="109"/>
      <c r="N541" s="13"/>
      <c r="O541" s="24">
        <v>42451</v>
      </c>
      <c r="P541" s="13" t="s">
        <v>1827</v>
      </c>
      <c r="Q541" s="13" t="s">
        <v>3811</v>
      </c>
      <c r="R541" s="13" t="s">
        <v>2003</v>
      </c>
      <c r="S541" s="109"/>
      <c r="T541" s="109"/>
      <c r="U541" s="112"/>
      <c r="V541" s="109"/>
      <c r="W541" s="109"/>
      <c r="X541" s="109"/>
    </row>
    <row r="542" spans="2:24">
      <c r="B542" s="109"/>
      <c r="C542" s="109"/>
      <c r="D542" s="20" t="str">
        <f t="shared" si="109"/>
        <v>Bigbasket</v>
      </c>
      <c r="E542" s="109"/>
      <c r="F542" s="112"/>
      <c r="G542" s="109"/>
      <c r="H542" s="109"/>
      <c r="I542" s="109"/>
      <c r="J542" s="109"/>
      <c r="K542" s="14" t="str">
        <f t="shared" si="110"/>
        <v>运营中</v>
      </c>
      <c r="L542" s="109"/>
      <c r="M542" s="109"/>
      <c r="N542" s="13"/>
      <c r="O542" s="24">
        <v>42229</v>
      </c>
      <c r="P542" s="13" t="s">
        <v>5613</v>
      </c>
      <c r="Q542" s="13" t="s">
        <v>5360</v>
      </c>
      <c r="R542" s="13" t="s">
        <v>1741</v>
      </c>
      <c r="S542" s="109"/>
      <c r="T542" s="109"/>
      <c r="U542" s="112"/>
      <c r="V542" s="109"/>
      <c r="W542" s="109"/>
      <c r="X542" s="109"/>
    </row>
    <row r="543" spans="2:24">
      <c r="B543" s="109"/>
      <c r="C543" s="109"/>
      <c r="D543" s="20" t="str">
        <f t="shared" si="109"/>
        <v>Bigbasket</v>
      </c>
      <c r="E543" s="109"/>
      <c r="F543" s="112"/>
      <c r="G543" s="109"/>
      <c r="H543" s="109"/>
      <c r="I543" s="109"/>
      <c r="J543" s="109"/>
      <c r="K543" s="14" t="str">
        <f t="shared" si="110"/>
        <v>运营中</v>
      </c>
      <c r="L543" s="109"/>
      <c r="M543" s="109"/>
      <c r="N543" s="13"/>
      <c r="O543" s="24">
        <v>41894</v>
      </c>
      <c r="P543" s="13" t="s">
        <v>3648</v>
      </c>
      <c r="Q543" s="13" t="s">
        <v>6408</v>
      </c>
      <c r="R543" s="13" t="s">
        <v>253</v>
      </c>
      <c r="S543" s="109"/>
      <c r="T543" s="109"/>
      <c r="U543" s="112"/>
      <c r="V543" s="109"/>
      <c r="W543" s="109"/>
      <c r="X543" s="109"/>
    </row>
    <row r="544" spans="2:24">
      <c r="B544" s="109"/>
      <c r="C544" s="109"/>
      <c r="D544" s="20" t="str">
        <f t="shared" si="109"/>
        <v>Bigbasket</v>
      </c>
      <c r="E544" s="109"/>
      <c r="F544" s="112"/>
      <c r="G544" s="109"/>
      <c r="H544" s="109"/>
      <c r="I544" s="109"/>
      <c r="J544" s="109"/>
      <c r="K544" s="14" t="str">
        <f t="shared" si="110"/>
        <v>运营中</v>
      </c>
      <c r="L544" s="109"/>
      <c r="M544" s="109"/>
      <c r="N544" s="13"/>
      <c r="O544" s="24">
        <v>41744</v>
      </c>
      <c r="P544" s="13" t="s">
        <v>3513</v>
      </c>
      <c r="Q544" s="13" t="s">
        <v>5644</v>
      </c>
      <c r="R544" s="13" t="s">
        <v>253</v>
      </c>
      <c r="S544" s="109"/>
      <c r="T544" s="109"/>
      <c r="U544" s="112"/>
      <c r="V544" s="109"/>
      <c r="W544" s="109"/>
      <c r="X544" s="109"/>
    </row>
    <row r="545" spans="2:24" ht="36">
      <c r="B545" s="109"/>
      <c r="C545" s="13" t="s">
        <v>2005</v>
      </c>
      <c r="D545" s="25" t="s">
        <v>6409</v>
      </c>
      <c r="E545" s="13" t="s">
        <v>6410</v>
      </c>
      <c r="F545" s="18" t="s">
        <v>2007</v>
      </c>
      <c r="G545" s="13" t="s">
        <v>6411</v>
      </c>
      <c r="H545" s="13" t="s">
        <v>2009</v>
      </c>
      <c r="I545" s="13" t="s">
        <v>2010</v>
      </c>
      <c r="J545" s="13" t="s">
        <v>2011</v>
      </c>
      <c r="K545" s="19" t="s">
        <v>272</v>
      </c>
      <c r="L545" s="13" t="s">
        <v>1825</v>
      </c>
      <c r="M545" s="13" t="s">
        <v>470</v>
      </c>
      <c r="N545" s="13"/>
      <c r="O545" s="24">
        <v>42188</v>
      </c>
      <c r="P545" s="13" t="s">
        <v>3513</v>
      </c>
      <c r="Q545" s="13" t="s">
        <v>5787</v>
      </c>
      <c r="R545" s="13" t="s">
        <v>1751</v>
      </c>
      <c r="S545" s="13" t="s">
        <v>5169</v>
      </c>
      <c r="T545" s="13" t="s">
        <v>6412</v>
      </c>
      <c r="U545" s="18"/>
      <c r="V545" s="13" t="s">
        <v>2013</v>
      </c>
      <c r="W545" s="13" t="s">
        <v>2014</v>
      </c>
      <c r="X545" s="13" t="s">
        <v>2015</v>
      </c>
    </row>
    <row r="546" spans="2:24">
      <c r="B546" s="109"/>
      <c r="C546" s="109" t="s">
        <v>2016</v>
      </c>
      <c r="D546" s="20" t="s">
        <v>6413</v>
      </c>
      <c r="E546" s="109" t="s">
        <v>2018</v>
      </c>
      <c r="F546" s="112" t="s">
        <v>2019</v>
      </c>
      <c r="G546" s="109" t="s">
        <v>6414</v>
      </c>
      <c r="H546" s="109" t="s">
        <v>2021</v>
      </c>
      <c r="I546" s="109" t="s">
        <v>2022</v>
      </c>
      <c r="J546" s="109" t="s">
        <v>428</v>
      </c>
      <c r="K546" s="14" t="s">
        <v>272</v>
      </c>
      <c r="L546" s="109" t="s">
        <v>1825</v>
      </c>
      <c r="M546" s="109" t="s">
        <v>3711</v>
      </c>
      <c r="N546" s="13"/>
      <c r="O546" s="24">
        <v>44572</v>
      </c>
      <c r="P546" s="13" t="s">
        <v>1827</v>
      </c>
      <c r="Q546" s="13" t="s">
        <v>3483</v>
      </c>
      <c r="R546" s="13" t="s">
        <v>2023</v>
      </c>
      <c r="S546" s="109" t="s">
        <v>6415</v>
      </c>
      <c r="T546" s="109" t="s">
        <v>5765</v>
      </c>
      <c r="U546" s="112" t="s">
        <v>2025</v>
      </c>
      <c r="V546" s="109" t="s">
        <v>2026</v>
      </c>
      <c r="W546" s="109" t="s">
        <v>2027</v>
      </c>
      <c r="X546" s="109" t="s">
        <v>2028</v>
      </c>
    </row>
    <row r="547" spans="2:24">
      <c r="B547" s="109"/>
      <c r="C547" s="109"/>
      <c r="D547" s="20" t="str">
        <f>D546</f>
        <v>驻云CloudCare</v>
      </c>
      <c r="E547" s="109"/>
      <c r="F547" s="112"/>
      <c r="G547" s="109"/>
      <c r="H547" s="109"/>
      <c r="I547" s="109"/>
      <c r="J547" s="109"/>
      <c r="K547" s="14" t="str">
        <f t="shared" ref="K547:K551" si="111">K546</f>
        <v>运营中</v>
      </c>
      <c r="L547" s="109"/>
      <c r="M547" s="109"/>
      <c r="N547" s="13"/>
      <c r="O547" s="24">
        <v>44148</v>
      </c>
      <c r="P547" s="13" t="s">
        <v>2029</v>
      </c>
      <c r="Q547" s="13" t="s">
        <v>2030</v>
      </c>
      <c r="R547" s="13" t="s">
        <v>2031</v>
      </c>
      <c r="S547" s="109"/>
      <c r="T547" s="109"/>
      <c r="U547" s="112"/>
      <c r="V547" s="109"/>
      <c r="W547" s="109"/>
      <c r="X547" s="109"/>
    </row>
    <row r="548" spans="2:24">
      <c r="B548" s="109"/>
      <c r="C548" s="109"/>
      <c r="D548" s="20" t="str">
        <f>D547</f>
        <v>驻云CloudCare</v>
      </c>
      <c r="E548" s="109"/>
      <c r="F548" s="112"/>
      <c r="G548" s="109"/>
      <c r="H548" s="109"/>
      <c r="I548" s="109"/>
      <c r="J548" s="109"/>
      <c r="K548" s="14" t="str">
        <f t="shared" si="111"/>
        <v>运营中</v>
      </c>
      <c r="L548" s="109"/>
      <c r="M548" s="109"/>
      <c r="N548" s="13"/>
      <c r="O548" s="24">
        <v>42894</v>
      </c>
      <c r="P548" s="13" t="s">
        <v>5613</v>
      </c>
      <c r="Q548" s="13" t="s">
        <v>3514</v>
      </c>
      <c r="R548" s="13" t="s">
        <v>2032</v>
      </c>
      <c r="S548" s="109"/>
      <c r="T548" s="109"/>
      <c r="U548" s="112"/>
      <c r="V548" s="109"/>
      <c r="W548" s="109"/>
      <c r="X548" s="109"/>
    </row>
    <row r="549" spans="2:24">
      <c r="B549" s="109"/>
      <c r="C549" s="109"/>
      <c r="D549" s="20" t="str">
        <f>D548</f>
        <v>驻云CloudCare</v>
      </c>
      <c r="E549" s="109"/>
      <c r="F549" s="112"/>
      <c r="G549" s="109"/>
      <c r="H549" s="109"/>
      <c r="I549" s="109"/>
      <c r="J549" s="109"/>
      <c r="K549" s="14" t="str">
        <f t="shared" si="111"/>
        <v>运营中</v>
      </c>
      <c r="L549" s="109"/>
      <c r="M549" s="109"/>
      <c r="N549" s="13"/>
      <c r="O549" s="24">
        <v>42390</v>
      </c>
      <c r="P549" s="13" t="s">
        <v>3648</v>
      </c>
      <c r="Q549" s="13" t="s">
        <v>6020</v>
      </c>
      <c r="R549" s="13" t="s">
        <v>1751</v>
      </c>
      <c r="S549" s="109"/>
      <c r="T549" s="109"/>
      <c r="U549" s="112"/>
      <c r="V549" s="109"/>
      <c r="W549" s="109"/>
      <c r="X549" s="109"/>
    </row>
    <row r="550" spans="2:24">
      <c r="B550" s="109"/>
      <c r="C550" s="109"/>
      <c r="D550" s="20" t="str">
        <f>D549</f>
        <v>驻云CloudCare</v>
      </c>
      <c r="E550" s="109"/>
      <c r="F550" s="112"/>
      <c r="G550" s="109"/>
      <c r="H550" s="109"/>
      <c r="I550" s="109"/>
      <c r="J550" s="109"/>
      <c r="K550" s="14" t="str">
        <f t="shared" si="111"/>
        <v>运营中</v>
      </c>
      <c r="L550" s="109"/>
      <c r="M550" s="109"/>
      <c r="N550" s="13"/>
      <c r="O550" s="24">
        <v>41988</v>
      </c>
      <c r="P550" s="13" t="s">
        <v>3513</v>
      </c>
      <c r="Q550" s="13" t="s">
        <v>5616</v>
      </c>
      <c r="R550" s="13" t="s">
        <v>5689</v>
      </c>
      <c r="S550" s="109"/>
      <c r="T550" s="109"/>
      <c r="U550" s="112"/>
      <c r="V550" s="109"/>
      <c r="W550" s="109"/>
      <c r="X550" s="109"/>
    </row>
    <row r="551" spans="2:24">
      <c r="B551" s="109"/>
      <c r="C551" s="109"/>
      <c r="D551" s="20" t="str">
        <f>D550</f>
        <v>驻云CloudCare</v>
      </c>
      <c r="E551" s="109"/>
      <c r="F551" s="112"/>
      <c r="G551" s="109"/>
      <c r="H551" s="109"/>
      <c r="I551" s="109"/>
      <c r="J551" s="109"/>
      <c r="K551" s="14" t="str">
        <f t="shared" si="111"/>
        <v>运营中</v>
      </c>
      <c r="L551" s="109"/>
      <c r="M551" s="109"/>
      <c r="N551" s="13"/>
      <c r="O551" s="24">
        <v>41886</v>
      </c>
      <c r="P551" s="13" t="s">
        <v>5474</v>
      </c>
      <c r="Q551" s="13" t="s">
        <v>5646</v>
      </c>
      <c r="R551" s="13" t="s">
        <v>5736</v>
      </c>
      <c r="S551" s="109"/>
      <c r="T551" s="109"/>
      <c r="U551" s="112"/>
      <c r="V551" s="109"/>
      <c r="W551" s="109"/>
      <c r="X551" s="109"/>
    </row>
    <row r="552" spans="2:24">
      <c r="B552" s="109"/>
      <c r="C552" s="109" t="s">
        <v>2033</v>
      </c>
      <c r="D552" s="20" t="s">
        <v>6416</v>
      </c>
      <c r="E552" s="109" t="s">
        <v>6417</v>
      </c>
      <c r="F552" s="112" t="s">
        <v>2035</v>
      </c>
      <c r="G552" s="109" t="s">
        <v>6418</v>
      </c>
      <c r="H552" s="109" t="s">
        <v>2037</v>
      </c>
      <c r="I552" s="109" t="s">
        <v>2038</v>
      </c>
      <c r="J552" s="109" t="s">
        <v>271</v>
      </c>
      <c r="K552" s="14" t="s">
        <v>272</v>
      </c>
      <c r="L552" s="109" t="s">
        <v>5611</v>
      </c>
      <c r="M552" s="109" t="s">
        <v>6419</v>
      </c>
      <c r="N552" s="13">
        <v>1</v>
      </c>
      <c r="O552" s="24">
        <v>43139</v>
      </c>
      <c r="P552" s="13" t="s">
        <v>5810</v>
      </c>
      <c r="Q552" s="13" t="s">
        <v>6420</v>
      </c>
      <c r="R552" s="13" t="s">
        <v>1751</v>
      </c>
      <c r="S552" s="109" t="s">
        <v>6421</v>
      </c>
      <c r="T552" s="109" t="s">
        <v>6422</v>
      </c>
      <c r="U552" s="112" t="s">
        <v>2043</v>
      </c>
      <c r="V552" s="109" t="s">
        <v>2044</v>
      </c>
      <c r="W552" s="109" t="s">
        <v>2045</v>
      </c>
      <c r="X552" s="109"/>
    </row>
    <row r="553" spans="2:24">
      <c r="B553" s="109"/>
      <c r="C553" s="109"/>
      <c r="D553" s="20" t="str">
        <f>D552</f>
        <v>石基信息</v>
      </c>
      <c r="E553" s="109"/>
      <c r="F553" s="112"/>
      <c r="G553" s="109"/>
      <c r="H553" s="109"/>
      <c r="I553" s="109"/>
      <c r="J553" s="109"/>
      <c r="K553" s="14" t="str">
        <f t="shared" ref="K553:K554" si="112">K552</f>
        <v>运营中</v>
      </c>
      <c r="L553" s="109"/>
      <c r="M553" s="109"/>
      <c r="N553" s="13">
        <v>1</v>
      </c>
      <c r="O553" s="24">
        <v>41910</v>
      </c>
      <c r="P553" s="13" t="s">
        <v>5810</v>
      </c>
      <c r="Q553" s="13" t="s">
        <v>6423</v>
      </c>
      <c r="R553" s="13" t="s">
        <v>1751</v>
      </c>
      <c r="S553" s="109"/>
      <c r="T553" s="109"/>
      <c r="U553" s="112"/>
      <c r="V553" s="109"/>
      <c r="W553" s="109"/>
      <c r="X553" s="109"/>
    </row>
    <row r="554" spans="2:24">
      <c r="B554" s="109"/>
      <c r="C554" s="109"/>
      <c r="D554" s="20" t="str">
        <f>D553</f>
        <v>石基信息</v>
      </c>
      <c r="E554" s="109"/>
      <c r="F554" s="112"/>
      <c r="G554" s="109"/>
      <c r="H554" s="109"/>
      <c r="I554" s="109"/>
      <c r="J554" s="109"/>
      <c r="K554" s="14" t="str">
        <f t="shared" si="112"/>
        <v>运营中</v>
      </c>
      <c r="L554" s="109"/>
      <c r="M554" s="109"/>
      <c r="N554" s="13">
        <v>1</v>
      </c>
      <c r="O554" s="24">
        <v>39307</v>
      </c>
      <c r="P554" s="13" t="s">
        <v>5625</v>
      </c>
      <c r="Q554" s="13" t="s">
        <v>6424</v>
      </c>
      <c r="R554" s="13" t="s">
        <v>253</v>
      </c>
      <c r="S554" s="109"/>
      <c r="T554" s="109"/>
      <c r="U554" s="112"/>
      <c r="V554" s="109"/>
      <c r="W554" s="109"/>
      <c r="X554" s="109"/>
    </row>
    <row r="555" spans="2:24">
      <c r="B555" s="109"/>
      <c r="C555" s="109" t="s">
        <v>2048</v>
      </c>
      <c r="D555" s="20" t="s">
        <v>6425</v>
      </c>
      <c r="E555" s="109" t="s">
        <v>6426</v>
      </c>
      <c r="F555" s="112" t="s">
        <v>2050</v>
      </c>
      <c r="G555" s="109" t="s">
        <v>6427</v>
      </c>
      <c r="H555" s="109" t="s">
        <v>2052</v>
      </c>
      <c r="I555" s="109" t="s">
        <v>745</v>
      </c>
      <c r="J555" s="109" t="s">
        <v>385</v>
      </c>
      <c r="K555" s="14" t="s">
        <v>272</v>
      </c>
      <c r="L555" s="109" t="s">
        <v>5821</v>
      </c>
      <c r="M555" s="109" t="s">
        <v>5900</v>
      </c>
      <c r="N555" s="13">
        <v>1</v>
      </c>
      <c r="O555" s="24">
        <v>43154</v>
      </c>
      <c r="P555" s="13" t="s">
        <v>5709</v>
      </c>
      <c r="Q555" s="13" t="s">
        <v>6428</v>
      </c>
      <c r="R555" s="13" t="s">
        <v>6429</v>
      </c>
      <c r="S555" s="109" t="s">
        <v>6430</v>
      </c>
      <c r="T555" s="109" t="s">
        <v>6431</v>
      </c>
      <c r="U555" s="112" t="s">
        <v>2057</v>
      </c>
      <c r="V555" s="109" t="s">
        <v>2058</v>
      </c>
      <c r="W555" s="109" t="s">
        <v>2059</v>
      </c>
      <c r="X555" s="109"/>
    </row>
    <row r="556" spans="2:24">
      <c r="B556" s="109"/>
      <c r="C556" s="109"/>
      <c r="D556" s="20" t="str">
        <f>D555</f>
        <v>探探</v>
      </c>
      <c r="E556" s="109"/>
      <c r="F556" s="112"/>
      <c r="G556" s="109"/>
      <c r="H556" s="109"/>
      <c r="I556" s="109"/>
      <c r="J556" s="109"/>
      <c r="K556" s="14" t="str">
        <f t="shared" ref="K556:K559" si="113">K555</f>
        <v>运营中</v>
      </c>
      <c r="L556" s="109"/>
      <c r="M556" s="109"/>
      <c r="N556" s="13">
        <v>1</v>
      </c>
      <c r="O556" s="24">
        <v>42894</v>
      </c>
      <c r="P556" s="13" t="s">
        <v>1827</v>
      </c>
      <c r="Q556" s="13" t="s">
        <v>6368</v>
      </c>
      <c r="R556" s="13" t="s">
        <v>2060</v>
      </c>
      <c r="S556" s="109"/>
      <c r="T556" s="109"/>
      <c r="U556" s="112"/>
      <c r="V556" s="109"/>
      <c r="W556" s="109"/>
      <c r="X556" s="109"/>
    </row>
    <row r="557" spans="2:24">
      <c r="B557" s="109"/>
      <c r="C557" s="109"/>
      <c r="D557" s="20" t="str">
        <f>D556</f>
        <v>探探</v>
      </c>
      <c r="E557" s="109"/>
      <c r="F557" s="112"/>
      <c r="G557" s="109"/>
      <c r="H557" s="109"/>
      <c r="I557" s="109"/>
      <c r="J557" s="109"/>
      <c r="K557" s="14" t="str">
        <f t="shared" si="113"/>
        <v>运营中</v>
      </c>
      <c r="L557" s="109"/>
      <c r="M557" s="109"/>
      <c r="N557" s="13">
        <v>1</v>
      </c>
      <c r="O557" s="24">
        <v>42507</v>
      </c>
      <c r="P557" s="13" t="s">
        <v>5613</v>
      </c>
      <c r="Q557" s="13" t="s">
        <v>6432</v>
      </c>
      <c r="R557" s="13" t="s">
        <v>6433</v>
      </c>
      <c r="S557" s="109"/>
      <c r="T557" s="109"/>
      <c r="U557" s="112"/>
      <c r="V557" s="109"/>
      <c r="W557" s="109"/>
      <c r="X557" s="109"/>
    </row>
    <row r="558" spans="2:24">
      <c r="B558" s="109"/>
      <c r="C558" s="109"/>
      <c r="D558" s="20" t="str">
        <f>D557</f>
        <v>探探</v>
      </c>
      <c r="E558" s="109"/>
      <c r="F558" s="112"/>
      <c r="G558" s="109"/>
      <c r="H558" s="109"/>
      <c r="I558" s="109"/>
      <c r="J558" s="109"/>
      <c r="K558" s="14" t="str">
        <f t="shared" si="113"/>
        <v>运营中</v>
      </c>
      <c r="L558" s="109"/>
      <c r="M558" s="109"/>
      <c r="N558" s="13">
        <v>1</v>
      </c>
      <c r="O558" s="24">
        <v>42216</v>
      </c>
      <c r="P558" s="13" t="s">
        <v>3648</v>
      </c>
      <c r="Q558" s="13" t="s">
        <v>6434</v>
      </c>
      <c r="R558" s="13" t="s">
        <v>6435</v>
      </c>
      <c r="S558" s="109"/>
      <c r="T558" s="109"/>
      <c r="U558" s="112"/>
      <c r="V558" s="109"/>
      <c r="W558" s="109"/>
      <c r="X558" s="109"/>
    </row>
    <row r="559" spans="2:24">
      <c r="B559" s="109"/>
      <c r="C559" s="109"/>
      <c r="D559" s="20" t="str">
        <f>D558</f>
        <v>探探</v>
      </c>
      <c r="E559" s="109"/>
      <c r="F559" s="112"/>
      <c r="G559" s="109"/>
      <c r="H559" s="109"/>
      <c r="I559" s="109"/>
      <c r="J559" s="109"/>
      <c r="K559" s="14" t="str">
        <f t="shared" si="113"/>
        <v>运营中</v>
      </c>
      <c r="L559" s="109"/>
      <c r="M559" s="109"/>
      <c r="N559" s="13">
        <v>1</v>
      </c>
      <c r="O559" s="24">
        <v>42019</v>
      </c>
      <c r="P559" s="13" t="s">
        <v>3513</v>
      </c>
      <c r="Q559" s="13" t="s">
        <v>5705</v>
      </c>
      <c r="R559" s="13" t="s">
        <v>6436</v>
      </c>
      <c r="S559" s="109"/>
      <c r="T559" s="109"/>
      <c r="U559" s="112"/>
      <c r="V559" s="109"/>
      <c r="W559" s="109"/>
      <c r="X559" s="109"/>
    </row>
    <row r="560" spans="2:24">
      <c r="B560" s="109"/>
      <c r="C560" s="109" t="s">
        <v>2066</v>
      </c>
      <c r="D560" s="20" t="s">
        <v>2067</v>
      </c>
      <c r="E560" s="109" t="s">
        <v>2067</v>
      </c>
      <c r="F560" s="112" t="s">
        <v>6437</v>
      </c>
      <c r="G560" s="109"/>
      <c r="H560" s="109" t="s">
        <v>2069</v>
      </c>
      <c r="I560" s="109" t="s">
        <v>2070</v>
      </c>
      <c r="J560" s="109" t="s">
        <v>1564</v>
      </c>
      <c r="K560" s="14" t="s">
        <v>272</v>
      </c>
      <c r="L560" s="109" t="s">
        <v>3661</v>
      </c>
      <c r="M560" s="109" t="s">
        <v>6438</v>
      </c>
      <c r="N560" s="13"/>
      <c r="O560" s="24">
        <v>41922</v>
      </c>
      <c r="P560" s="13" t="s">
        <v>1827</v>
      </c>
      <c r="Q560" s="13" t="s">
        <v>5360</v>
      </c>
      <c r="R560" s="13" t="s">
        <v>1751</v>
      </c>
      <c r="S560" s="109" t="s">
        <v>6439</v>
      </c>
      <c r="T560" s="109" t="s">
        <v>6440</v>
      </c>
      <c r="U560" s="112" t="s">
        <v>2074</v>
      </c>
      <c r="V560" s="109"/>
      <c r="W560" s="109"/>
      <c r="X560" s="109"/>
    </row>
    <row r="561" spans="2:24">
      <c r="B561" s="109"/>
      <c r="C561" s="109"/>
      <c r="D561" s="20" t="str">
        <f>D560</f>
        <v>Peel</v>
      </c>
      <c r="E561" s="109"/>
      <c r="F561" s="112"/>
      <c r="G561" s="109"/>
      <c r="H561" s="109"/>
      <c r="I561" s="109"/>
      <c r="J561" s="109"/>
      <c r="K561" s="14" t="str">
        <f t="shared" ref="K561:K562" si="114">K560</f>
        <v>运营中</v>
      </c>
      <c r="L561" s="109"/>
      <c r="M561" s="109"/>
      <c r="N561" s="13"/>
      <c r="O561" s="24">
        <v>41393</v>
      </c>
      <c r="P561" s="13" t="s">
        <v>5613</v>
      </c>
      <c r="Q561" s="13" t="s">
        <v>4307</v>
      </c>
      <c r="R561" s="13" t="s">
        <v>1751</v>
      </c>
      <c r="S561" s="109"/>
      <c r="T561" s="109"/>
      <c r="U561" s="112"/>
      <c r="V561" s="109"/>
      <c r="W561" s="109"/>
      <c r="X561" s="109"/>
    </row>
    <row r="562" spans="2:24">
      <c r="B562" s="109"/>
      <c r="C562" s="109"/>
      <c r="D562" s="20" t="str">
        <f>D561</f>
        <v>Peel</v>
      </c>
      <c r="E562" s="109"/>
      <c r="F562" s="112"/>
      <c r="G562" s="109"/>
      <c r="H562" s="109"/>
      <c r="I562" s="109"/>
      <c r="J562" s="109"/>
      <c r="K562" s="14" t="str">
        <f t="shared" si="114"/>
        <v>运营中</v>
      </c>
      <c r="L562" s="109"/>
      <c r="M562" s="109"/>
      <c r="N562" s="13"/>
      <c r="O562" s="24">
        <v>40685</v>
      </c>
      <c r="P562" s="13" t="s">
        <v>3648</v>
      </c>
      <c r="Q562" s="13" t="s">
        <v>6441</v>
      </c>
      <c r="R562" s="13" t="s">
        <v>6442</v>
      </c>
      <c r="S562" s="109"/>
      <c r="T562" s="109"/>
      <c r="U562" s="112"/>
      <c r="V562" s="109"/>
      <c r="W562" s="109"/>
      <c r="X562" s="109"/>
    </row>
    <row r="563" spans="2:24">
      <c r="B563" s="109"/>
      <c r="C563" s="109" t="s">
        <v>2077</v>
      </c>
      <c r="D563" s="20" t="s">
        <v>6443</v>
      </c>
      <c r="E563" s="109" t="s">
        <v>6444</v>
      </c>
      <c r="F563" s="112" t="s">
        <v>2080</v>
      </c>
      <c r="G563" s="109" t="s">
        <v>6445</v>
      </c>
      <c r="H563" s="109" t="s">
        <v>2082</v>
      </c>
      <c r="I563" s="109" t="s">
        <v>2083</v>
      </c>
      <c r="J563" s="109" t="s">
        <v>349</v>
      </c>
      <c r="K563" s="14" t="s">
        <v>272</v>
      </c>
      <c r="L563" s="109" t="s">
        <v>4472</v>
      </c>
      <c r="M563" s="109" t="s">
        <v>4473</v>
      </c>
      <c r="N563" s="13"/>
      <c r="O563" s="24">
        <v>44256</v>
      </c>
      <c r="P563" s="13" t="s">
        <v>3276</v>
      </c>
      <c r="Q563" s="13" t="s">
        <v>1750</v>
      </c>
      <c r="R563" s="13" t="s">
        <v>253</v>
      </c>
      <c r="S563" s="109" t="s">
        <v>6446</v>
      </c>
      <c r="T563" s="109" t="s">
        <v>1829</v>
      </c>
      <c r="U563" s="112" t="s">
        <v>2085</v>
      </c>
      <c r="V563" s="109" t="s">
        <v>2086</v>
      </c>
      <c r="W563" s="109" t="s">
        <v>2087</v>
      </c>
      <c r="X563" s="109" t="s">
        <v>2088</v>
      </c>
    </row>
    <row r="564" spans="2:24">
      <c r="B564" s="109"/>
      <c r="C564" s="109"/>
      <c r="D564" s="20" t="str">
        <f>D563</f>
        <v>Shopex商派网络</v>
      </c>
      <c r="E564" s="109"/>
      <c r="F564" s="112"/>
      <c r="G564" s="109"/>
      <c r="H564" s="109"/>
      <c r="I564" s="109"/>
      <c r="J564" s="109"/>
      <c r="K564" s="14" t="str">
        <f t="shared" ref="K564:K567" si="115">K563</f>
        <v>运营中</v>
      </c>
      <c r="L564" s="109"/>
      <c r="M564" s="109"/>
      <c r="N564" s="13"/>
      <c r="O564" s="24">
        <v>42943</v>
      </c>
      <c r="P564" s="13" t="s">
        <v>1827</v>
      </c>
      <c r="Q564" s="13" t="s">
        <v>6447</v>
      </c>
      <c r="R564" s="13" t="s">
        <v>2090</v>
      </c>
      <c r="S564" s="109"/>
      <c r="T564" s="109"/>
      <c r="U564" s="112"/>
      <c r="V564" s="109"/>
      <c r="W564" s="109"/>
      <c r="X564" s="109"/>
    </row>
    <row r="565" spans="2:24">
      <c r="B565" s="109"/>
      <c r="C565" s="109"/>
      <c r="D565" s="20" t="str">
        <f>D564</f>
        <v>Shopex商派网络</v>
      </c>
      <c r="E565" s="109"/>
      <c r="F565" s="112"/>
      <c r="G565" s="109"/>
      <c r="H565" s="109"/>
      <c r="I565" s="109"/>
      <c r="J565" s="109"/>
      <c r="K565" s="14" t="str">
        <f t="shared" si="115"/>
        <v>运营中</v>
      </c>
      <c r="L565" s="109"/>
      <c r="M565" s="109"/>
      <c r="N565" s="13"/>
      <c r="O565" s="24">
        <v>40909</v>
      </c>
      <c r="P565" s="13" t="s">
        <v>5613</v>
      </c>
      <c r="Q565" s="13" t="s">
        <v>3514</v>
      </c>
      <c r="R565" s="13" t="s">
        <v>1751</v>
      </c>
      <c r="S565" s="109"/>
      <c r="T565" s="109"/>
      <c r="U565" s="112"/>
      <c r="V565" s="109"/>
      <c r="W565" s="109"/>
      <c r="X565" s="109"/>
    </row>
    <row r="566" spans="2:24">
      <c r="B566" s="109"/>
      <c r="C566" s="109"/>
      <c r="D566" s="20" t="str">
        <f>D565</f>
        <v>Shopex商派网络</v>
      </c>
      <c r="E566" s="109"/>
      <c r="F566" s="112"/>
      <c r="G566" s="109"/>
      <c r="H566" s="109"/>
      <c r="I566" s="109"/>
      <c r="J566" s="109"/>
      <c r="K566" s="14" t="str">
        <f t="shared" si="115"/>
        <v>运营中</v>
      </c>
      <c r="L566" s="109"/>
      <c r="M566" s="109"/>
      <c r="N566" s="13"/>
      <c r="O566" s="24">
        <v>40712</v>
      </c>
      <c r="P566" s="13" t="s">
        <v>3648</v>
      </c>
      <c r="Q566" s="13" t="s">
        <v>5129</v>
      </c>
      <c r="R566" s="13" t="s">
        <v>2091</v>
      </c>
      <c r="S566" s="109"/>
      <c r="T566" s="109"/>
      <c r="U566" s="112"/>
      <c r="V566" s="109"/>
      <c r="W566" s="109"/>
      <c r="X566" s="109"/>
    </row>
    <row r="567" spans="2:24">
      <c r="B567" s="109"/>
      <c r="C567" s="109"/>
      <c r="D567" s="20" t="str">
        <f>D566</f>
        <v>Shopex商派网络</v>
      </c>
      <c r="E567" s="109"/>
      <c r="F567" s="112"/>
      <c r="G567" s="109"/>
      <c r="H567" s="109"/>
      <c r="I567" s="109"/>
      <c r="J567" s="109"/>
      <c r="K567" s="14" t="str">
        <f t="shared" si="115"/>
        <v>运营中</v>
      </c>
      <c r="L567" s="109"/>
      <c r="M567" s="109"/>
      <c r="N567" s="13"/>
      <c r="O567" s="24">
        <v>40179</v>
      </c>
      <c r="P567" s="13" t="s">
        <v>3513</v>
      </c>
      <c r="Q567" s="13" t="s">
        <v>5616</v>
      </c>
      <c r="R567" s="13" t="s">
        <v>5655</v>
      </c>
      <c r="S567" s="109"/>
      <c r="T567" s="109"/>
      <c r="U567" s="112"/>
      <c r="V567" s="109"/>
      <c r="W567" s="109"/>
      <c r="X567" s="109"/>
    </row>
    <row r="568" spans="2:24">
      <c r="B568" s="109"/>
      <c r="C568" s="109" t="s">
        <v>2092</v>
      </c>
      <c r="D568" s="20" t="s">
        <v>6448</v>
      </c>
      <c r="E568" s="109" t="s">
        <v>6449</v>
      </c>
      <c r="F568" s="112" t="s">
        <v>2094</v>
      </c>
      <c r="G568" s="109" t="s">
        <v>6450</v>
      </c>
      <c r="H568" s="109" t="s">
        <v>2096</v>
      </c>
      <c r="I568" s="109" t="s">
        <v>1944</v>
      </c>
      <c r="J568" s="109" t="s">
        <v>271</v>
      </c>
      <c r="K568" s="14" t="s">
        <v>272</v>
      </c>
      <c r="L568" s="109" t="s">
        <v>2711</v>
      </c>
      <c r="M568" s="109" t="s">
        <v>4903</v>
      </c>
      <c r="N568" s="13"/>
      <c r="O568" s="24">
        <v>42256</v>
      </c>
      <c r="P568" s="13" t="s">
        <v>5454</v>
      </c>
      <c r="Q568" s="13" t="s">
        <v>5662</v>
      </c>
      <c r="R568" s="13" t="s">
        <v>374</v>
      </c>
      <c r="S568" s="109" t="s">
        <v>6451</v>
      </c>
      <c r="T568" s="109" t="s">
        <v>5837</v>
      </c>
      <c r="U568" s="112" t="s">
        <v>2098</v>
      </c>
      <c r="V568" s="109" t="s">
        <v>2099</v>
      </c>
      <c r="W568" s="109" t="s">
        <v>2100</v>
      </c>
      <c r="X568" s="109" t="s">
        <v>2101</v>
      </c>
    </row>
    <row r="569" spans="2:24">
      <c r="B569" s="109"/>
      <c r="C569" s="109"/>
      <c r="D569" s="20" t="str">
        <f>D568</f>
        <v>接我科技</v>
      </c>
      <c r="E569" s="109"/>
      <c r="F569" s="112"/>
      <c r="G569" s="109"/>
      <c r="H569" s="109"/>
      <c r="I569" s="109"/>
      <c r="J569" s="109"/>
      <c r="K569" s="14" t="str">
        <f>K568</f>
        <v>运营中</v>
      </c>
      <c r="L569" s="109"/>
      <c r="M569" s="109"/>
      <c r="N569" s="13"/>
      <c r="O569" s="24">
        <v>41864</v>
      </c>
      <c r="P569" s="13" t="s">
        <v>5474</v>
      </c>
      <c r="Q569" s="13" t="s">
        <v>5616</v>
      </c>
      <c r="R569" s="13" t="s">
        <v>2102</v>
      </c>
      <c r="S569" s="109"/>
      <c r="T569" s="109"/>
      <c r="U569" s="112"/>
      <c r="V569" s="109"/>
      <c r="W569" s="109"/>
      <c r="X569" s="109"/>
    </row>
    <row r="570" spans="2:24">
      <c r="B570" s="109"/>
      <c r="C570" s="109" t="s">
        <v>1940</v>
      </c>
      <c r="D570" s="20" t="s">
        <v>6452</v>
      </c>
      <c r="E570" s="109" t="s">
        <v>6453</v>
      </c>
      <c r="F570" s="112" t="s">
        <v>2104</v>
      </c>
      <c r="G570" s="109" t="s">
        <v>6454</v>
      </c>
      <c r="H570" s="109" t="s">
        <v>2106</v>
      </c>
      <c r="I570" s="109" t="s">
        <v>745</v>
      </c>
      <c r="J570" s="109" t="s">
        <v>406</v>
      </c>
      <c r="K570" s="14" t="s">
        <v>272</v>
      </c>
      <c r="L570" s="109" t="s">
        <v>4472</v>
      </c>
      <c r="M570" s="109" t="s">
        <v>5347</v>
      </c>
      <c r="N570" s="13"/>
      <c r="O570" s="24">
        <v>42591</v>
      </c>
      <c r="P570" s="13" t="s">
        <v>5613</v>
      </c>
      <c r="Q570" s="13" t="s">
        <v>6455</v>
      </c>
      <c r="R570" s="13" t="s">
        <v>1751</v>
      </c>
      <c r="S570" s="109" t="s">
        <v>6456</v>
      </c>
      <c r="T570" s="109" t="s">
        <v>6457</v>
      </c>
      <c r="U570" s="112" t="s">
        <v>2111</v>
      </c>
      <c r="V570" s="109" t="s">
        <v>2112</v>
      </c>
      <c r="W570" s="109" t="s">
        <v>2113</v>
      </c>
      <c r="X570" s="109" t="s">
        <v>2114</v>
      </c>
    </row>
    <row r="571" spans="2:24">
      <c r="B571" s="109"/>
      <c r="C571" s="109"/>
      <c r="D571" s="20" t="str">
        <f>D570</f>
        <v>鲜趣生活</v>
      </c>
      <c r="E571" s="109"/>
      <c r="F571" s="112"/>
      <c r="G571" s="109"/>
      <c r="H571" s="109"/>
      <c r="I571" s="109"/>
      <c r="J571" s="109"/>
      <c r="K571" s="14" t="str">
        <f t="shared" ref="K571:K572" si="116">K570</f>
        <v>运营中</v>
      </c>
      <c r="L571" s="109"/>
      <c r="M571" s="109"/>
      <c r="N571" s="13"/>
      <c r="O571" s="24">
        <v>42236</v>
      </c>
      <c r="P571" s="13" t="s">
        <v>3648</v>
      </c>
      <c r="Q571" s="13" t="s">
        <v>5129</v>
      </c>
      <c r="R571" s="13" t="s">
        <v>2115</v>
      </c>
      <c r="S571" s="109"/>
      <c r="T571" s="109"/>
      <c r="U571" s="112"/>
      <c r="V571" s="109"/>
      <c r="W571" s="109"/>
      <c r="X571" s="109"/>
    </row>
    <row r="572" spans="2:24">
      <c r="B572" s="109"/>
      <c r="C572" s="109"/>
      <c r="D572" s="20" t="str">
        <f>D571</f>
        <v>鲜趣生活</v>
      </c>
      <c r="E572" s="109"/>
      <c r="F572" s="112"/>
      <c r="G572" s="109"/>
      <c r="H572" s="109"/>
      <c r="I572" s="109"/>
      <c r="J572" s="109"/>
      <c r="K572" s="14" t="str">
        <f t="shared" si="116"/>
        <v>运营中</v>
      </c>
      <c r="L572" s="109"/>
      <c r="M572" s="109"/>
      <c r="N572" s="13"/>
      <c r="O572" s="24">
        <v>42034</v>
      </c>
      <c r="P572" s="13" t="s">
        <v>3513</v>
      </c>
      <c r="Q572" s="13" t="s">
        <v>5616</v>
      </c>
      <c r="R572" s="13" t="s">
        <v>2116</v>
      </c>
      <c r="S572" s="109"/>
      <c r="T572" s="109"/>
      <c r="U572" s="112"/>
      <c r="V572" s="109"/>
      <c r="W572" s="109"/>
      <c r="X572" s="109"/>
    </row>
    <row r="573" spans="2:24">
      <c r="B573" s="109"/>
      <c r="C573" s="109" t="s">
        <v>2117</v>
      </c>
      <c r="D573" s="20" t="s">
        <v>2118</v>
      </c>
      <c r="E573" s="109" t="s">
        <v>2118</v>
      </c>
      <c r="F573" s="112" t="s">
        <v>6458</v>
      </c>
      <c r="G573" s="109"/>
      <c r="H573" s="109" t="s">
        <v>2120</v>
      </c>
      <c r="I573" s="109" t="s">
        <v>483</v>
      </c>
      <c r="J573" s="109" t="s">
        <v>1564</v>
      </c>
      <c r="K573" s="14" t="s">
        <v>272</v>
      </c>
      <c r="L573" s="109" t="s">
        <v>3661</v>
      </c>
      <c r="M573" s="109" t="s">
        <v>6459</v>
      </c>
      <c r="N573" s="13"/>
      <c r="O573" s="24">
        <v>44923</v>
      </c>
      <c r="P573" s="13" t="s">
        <v>1045</v>
      </c>
      <c r="Q573" s="13" t="s">
        <v>6460</v>
      </c>
      <c r="R573" s="13" t="s">
        <v>2123</v>
      </c>
      <c r="S573" s="109" t="s">
        <v>6461</v>
      </c>
      <c r="T573" s="109" t="s">
        <v>5772</v>
      </c>
      <c r="U573" s="112" t="s">
        <v>2125</v>
      </c>
      <c r="V573" s="109"/>
      <c r="W573" s="109"/>
      <c r="X573" s="109"/>
    </row>
    <row r="574" spans="2:24">
      <c r="B574" s="109"/>
      <c r="C574" s="109"/>
      <c r="D574" s="20" t="str">
        <f t="shared" ref="D574:D585" si="117">D573</f>
        <v>Magic Leap</v>
      </c>
      <c r="E574" s="109"/>
      <c r="F574" s="112"/>
      <c r="G574" s="109"/>
      <c r="H574" s="109"/>
      <c r="I574" s="109"/>
      <c r="J574" s="109"/>
      <c r="K574" s="14" t="str">
        <f t="shared" ref="K574:K585" si="118">K573</f>
        <v>运营中</v>
      </c>
      <c r="L574" s="109"/>
      <c r="M574" s="109"/>
      <c r="N574" s="13"/>
      <c r="O574" s="24">
        <v>44481</v>
      </c>
      <c r="P574" s="13" t="s">
        <v>1045</v>
      </c>
      <c r="Q574" s="13" t="s">
        <v>1046</v>
      </c>
      <c r="R574" s="13" t="s">
        <v>253</v>
      </c>
      <c r="S574" s="109"/>
      <c r="T574" s="109"/>
      <c r="U574" s="112"/>
      <c r="V574" s="109"/>
      <c r="W574" s="109"/>
      <c r="X574" s="109"/>
    </row>
    <row r="575" spans="2:24">
      <c r="B575" s="109"/>
      <c r="C575" s="109"/>
      <c r="D575" s="20" t="str">
        <f t="shared" si="117"/>
        <v>Magic Leap</v>
      </c>
      <c r="E575" s="109"/>
      <c r="F575" s="112"/>
      <c r="G575" s="109"/>
      <c r="H575" s="109"/>
      <c r="I575" s="109"/>
      <c r="J575" s="109"/>
      <c r="K575" s="14" t="str">
        <f t="shared" si="118"/>
        <v>运营中</v>
      </c>
      <c r="L575" s="109"/>
      <c r="M575" s="109"/>
      <c r="N575" s="13"/>
      <c r="O575" s="24">
        <v>43973</v>
      </c>
      <c r="P575" s="13" t="s">
        <v>1045</v>
      </c>
      <c r="Q575" s="13" t="s">
        <v>5945</v>
      </c>
      <c r="R575" s="13" t="s">
        <v>253</v>
      </c>
      <c r="S575" s="109"/>
      <c r="T575" s="109"/>
      <c r="U575" s="112"/>
      <c r="V575" s="109"/>
      <c r="W575" s="109"/>
      <c r="X575" s="109"/>
    </row>
    <row r="576" spans="2:24">
      <c r="B576" s="109"/>
      <c r="C576" s="109"/>
      <c r="D576" s="20" t="str">
        <f t="shared" si="117"/>
        <v>Magic Leap</v>
      </c>
      <c r="E576" s="109"/>
      <c r="F576" s="112"/>
      <c r="G576" s="109"/>
      <c r="H576" s="109"/>
      <c r="I576" s="109"/>
      <c r="J576" s="109"/>
      <c r="K576" s="14" t="str">
        <f t="shared" si="118"/>
        <v>运营中</v>
      </c>
      <c r="L576" s="109"/>
      <c r="M576" s="109"/>
      <c r="N576" s="13"/>
      <c r="O576" s="24">
        <v>43787</v>
      </c>
      <c r="P576" s="13" t="s">
        <v>3276</v>
      </c>
      <c r="Q576" s="13" t="s">
        <v>1046</v>
      </c>
      <c r="R576" s="13" t="s">
        <v>253</v>
      </c>
      <c r="S576" s="109"/>
      <c r="T576" s="109"/>
      <c r="U576" s="112"/>
      <c r="V576" s="109"/>
      <c r="W576" s="109"/>
      <c r="X576" s="109"/>
    </row>
    <row r="577" spans="2:24">
      <c r="B577" s="109"/>
      <c r="C577" s="109"/>
      <c r="D577" s="20" t="str">
        <f t="shared" si="117"/>
        <v>Magic Leap</v>
      </c>
      <c r="E577" s="109"/>
      <c r="F577" s="112"/>
      <c r="G577" s="109"/>
      <c r="H577" s="109"/>
      <c r="I577" s="109"/>
      <c r="J577" s="109"/>
      <c r="K577" s="14" t="str">
        <f t="shared" si="118"/>
        <v>运营中</v>
      </c>
      <c r="L577" s="109"/>
      <c r="M577" s="109"/>
      <c r="N577" s="13"/>
      <c r="O577" s="24">
        <v>43581</v>
      </c>
      <c r="P577" s="13" t="s">
        <v>1045</v>
      </c>
      <c r="Q577" s="13" t="s">
        <v>6222</v>
      </c>
      <c r="R577" s="13" t="s">
        <v>2126</v>
      </c>
      <c r="S577" s="109"/>
      <c r="T577" s="109"/>
      <c r="U577" s="112"/>
      <c r="V577" s="109"/>
      <c r="W577" s="109"/>
      <c r="X577" s="109"/>
    </row>
    <row r="578" spans="2:24">
      <c r="B578" s="109"/>
      <c r="C578" s="109"/>
      <c r="D578" s="20" t="str">
        <f t="shared" si="117"/>
        <v>Magic Leap</v>
      </c>
      <c r="E578" s="109"/>
      <c r="F578" s="112"/>
      <c r="G578" s="109"/>
      <c r="H578" s="109"/>
      <c r="I578" s="109"/>
      <c r="J578" s="109"/>
      <c r="K578" s="14" t="str">
        <f t="shared" si="118"/>
        <v>运营中</v>
      </c>
      <c r="L578" s="109"/>
      <c r="M578" s="109"/>
      <c r="N578" s="13"/>
      <c r="O578" s="24">
        <v>43167</v>
      </c>
      <c r="P578" s="13" t="s">
        <v>1045</v>
      </c>
      <c r="Q578" s="13" t="s">
        <v>6462</v>
      </c>
      <c r="R578" s="13" t="s">
        <v>2128</v>
      </c>
      <c r="S578" s="109"/>
      <c r="T578" s="109"/>
      <c r="U578" s="112"/>
      <c r="V578" s="109"/>
      <c r="W578" s="109"/>
      <c r="X578" s="109"/>
    </row>
    <row r="579" spans="2:24">
      <c r="B579" s="109"/>
      <c r="C579" s="109"/>
      <c r="D579" s="20" t="str">
        <f t="shared" si="117"/>
        <v>Magic Leap</v>
      </c>
      <c r="E579" s="109"/>
      <c r="F579" s="112"/>
      <c r="G579" s="109"/>
      <c r="H579" s="109"/>
      <c r="I579" s="109"/>
      <c r="J579" s="109"/>
      <c r="K579" s="14" t="str">
        <f t="shared" si="118"/>
        <v>运营中</v>
      </c>
      <c r="L579" s="109"/>
      <c r="M579" s="109"/>
      <c r="N579" s="13"/>
      <c r="O579" s="24">
        <v>43144</v>
      </c>
      <c r="P579" s="13" t="s">
        <v>1045</v>
      </c>
      <c r="Q579" s="13" t="s">
        <v>5000</v>
      </c>
      <c r="R579" s="13" t="s">
        <v>2129</v>
      </c>
      <c r="S579" s="109"/>
      <c r="T579" s="109"/>
      <c r="U579" s="112"/>
      <c r="V579" s="109"/>
      <c r="W579" s="109"/>
      <c r="X579" s="109"/>
    </row>
    <row r="580" spans="2:24">
      <c r="B580" s="109"/>
      <c r="C580" s="109"/>
      <c r="D580" s="20" t="str">
        <f t="shared" si="117"/>
        <v>Magic Leap</v>
      </c>
      <c r="E580" s="109"/>
      <c r="F580" s="112"/>
      <c r="G580" s="109"/>
      <c r="H580" s="109"/>
      <c r="I580" s="109"/>
      <c r="J580" s="109"/>
      <c r="K580" s="14" t="str">
        <f t="shared" si="118"/>
        <v>运营中</v>
      </c>
      <c r="L580" s="109"/>
      <c r="M580" s="109"/>
      <c r="N580" s="13"/>
      <c r="O580" s="24">
        <v>42992</v>
      </c>
      <c r="P580" s="13" t="s">
        <v>1827</v>
      </c>
      <c r="Q580" s="13" t="s">
        <v>6463</v>
      </c>
      <c r="R580" s="13" t="s">
        <v>2131</v>
      </c>
      <c r="S580" s="109"/>
      <c r="T580" s="109"/>
      <c r="U580" s="112"/>
      <c r="V580" s="109"/>
      <c r="W580" s="109"/>
      <c r="X580" s="109"/>
    </row>
    <row r="581" spans="2:24">
      <c r="B581" s="109"/>
      <c r="C581" s="109"/>
      <c r="D581" s="20" t="str">
        <f t="shared" si="117"/>
        <v>Magic Leap</v>
      </c>
      <c r="E581" s="109"/>
      <c r="F581" s="112"/>
      <c r="G581" s="109"/>
      <c r="H581" s="109"/>
      <c r="I581" s="109"/>
      <c r="J581" s="109"/>
      <c r="K581" s="14" t="str">
        <f t="shared" si="118"/>
        <v>运营中</v>
      </c>
      <c r="L581" s="109"/>
      <c r="M581" s="109"/>
      <c r="N581" s="13"/>
      <c r="O581" s="24">
        <v>42598</v>
      </c>
      <c r="P581" s="13" t="s">
        <v>2029</v>
      </c>
      <c r="Q581" s="13" t="s">
        <v>5129</v>
      </c>
      <c r="R581" s="13" t="s">
        <v>2132</v>
      </c>
      <c r="S581" s="109"/>
      <c r="T581" s="109"/>
      <c r="U581" s="112"/>
      <c r="V581" s="109"/>
      <c r="W581" s="109"/>
      <c r="X581" s="109"/>
    </row>
    <row r="582" spans="2:24">
      <c r="B582" s="109"/>
      <c r="C582" s="109"/>
      <c r="D582" s="20" t="str">
        <f t="shared" si="117"/>
        <v>Magic Leap</v>
      </c>
      <c r="E582" s="109"/>
      <c r="F582" s="112"/>
      <c r="G582" s="109"/>
      <c r="H582" s="109"/>
      <c r="I582" s="109"/>
      <c r="J582" s="109"/>
      <c r="K582" s="14" t="str">
        <f t="shared" si="118"/>
        <v>运营中</v>
      </c>
      <c r="L582" s="109"/>
      <c r="M582" s="109"/>
      <c r="N582" s="13"/>
      <c r="O582" s="24">
        <v>42402</v>
      </c>
      <c r="P582" s="13" t="s">
        <v>5613</v>
      </c>
      <c r="Q582" s="13" t="s">
        <v>6464</v>
      </c>
      <c r="R582" s="13" t="s">
        <v>2134</v>
      </c>
      <c r="S582" s="109"/>
      <c r="T582" s="109"/>
      <c r="U582" s="112"/>
      <c r="V582" s="109"/>
      <c r="W582" s="109"/>
      <c r="X582" s="109"/>
    </row>
    <row r="583" spans="2:24">
      <c r="B583" s="109"/>
      <c r="C583" s="109"/>
      <c r="D583" s="20" t="str">
        <f t="shared" si="117"/>
        <v>Magic Leap</v>
      </c>
      <c r="E583" s="109"/>
      <c r="F583" s="112"/>
      <c r="G583" s="109"/>
      <c r="H583" s="109"/>
      <c r="I583" s="109"/>
      <c r="J583" s="109"/>
      <c r="K583" s="14" t="str">
        <f t="shared" si="118"/>
        <v>运营中</v>
      </c>
      <c r="L583" s="109"/>
      <c r="M583" s="109"/>
      <c r="N583" s="13"/>
      <c r="O583" s="24">
        <v>42339</v>
      </c>
      <c r="P583" s="13" t="s">
        <v>5754</v>
      </c>
      <c r="Q583" s="13" t="s">
        <v>6465</v>
      </c>
      <c r="R583" s="13" t="s">
        <v>6466</v>
      </c>
      <c r="S583" s="109"/>
      <c r="T583" s="109"/>
      <c r="U583" s="112"/>
      <c r="V583" s="109"/>
      <c r="W583" s="109"/>
      <c r="X583" s="109"/>
    </row>
    <row r="584" spans="2:24">
      <c r="B584" s="109"/>
      <c r="C584" s="109"/>
      <c r="D584" s="20" t="str">
        <f t="shared" si="117"/>
        <v>Magic Leap</v>
      </c>
      <c r="E584" s="109"/>
      <c r="F584" s="112"/>
      <c r="G584" s="109"/>
      <c r="H584" s="109"/>
      <c r="I584" s="109"/>
      <c r="J584" s="109"/>
      <c r="K584" s="14" t="str">
        <f t="shared" si="118"/>
        <v>运营中</v>
      </c>
      <c r="L584" s="109"/>
      <c r="M584" s="109"/>
      <c r="N584" s="13"/>
      <c r="O584" s="24">
        <v>41934</v>
      </c>
      <c r="P584" s="13" t="s">
        <v>3648</v>
      </c>
      <c r="Q584" s="13" t="s">
        <v>6467</v>
      </c>
      <c r="R584" s="13" t="s">
        <v>2138</v>
      </c>
      <c r="S584" s="109"/>
      <c r="T584" s="109"/>
      <c r="U584" s="112"/>
      <c r="V584" s="109"/>
      <c r="W584" s="109"/>
      <c r="X584" s="109"/>
    </row>
    <row r="585" spans="2:24">
      <c r="B585" s="109"/>
      <c r="C585" s="109"/>
      <c r="D585" s="20" t="str">
        <f t="shared" si="117"/>
        <v>Magic Leap</v>
      </c>
      <c r="E585" s="109"/>
      <c r="F585" s="112"/>
      <c r="G585" s="109"/>
      <c r="H585" s="109"/>
      <c r="I585" s="109"/>
      <c r="J585" s="109"/>
      <c r="K585" s="14" t="str">
        <f t="shared" si="118"/>
        <v>运营中</v>
      </c>
      <c r="L585" s="109"/>
      <c r="M585" s="109"/>
      <c r="N585" s="13"/>
      <c r="O585" s="24">
        <v>41671</v>
      </c>
      <c r="P585" s="13" t="s">
        <v>3513</v>
      </c>
      <c r="Q585" s="13" t="s">
        <v>5360</v>
      </c>
      <c r="R585" s="13" t="s">
        <v>253</v>
      </c>
      <c r="S585" s="109"/>
      <c r="T585" s="109"/>
      <c r="U585" s="112"/>
      <c r="V585" s="109"/>
      <c r="W585" s="109"/>
      <c r="X585" s="109"/>
    </row>
    <row r="586" spans="2:24">
      <c r="B586" s="109"/>
      <c r="C586" s="109" t="s">
        <v>2139</v>
      </c>
      <c r="D586" s="20" t="s">
        <v>6468</v>
      </c>
      <c r="E586" s="109" t="s">
        <v>6469</v>
      </c>
      <c r="F586" s="112" t="s">
        <v>6470</v>
      </c>
      <c r="G586" s="109" t="s">
        <v>6471</v>
      </c>
      <c r="H586" s="109" t="s">
        <v>2143</v>
      </c>
      <c r="I586" s="109" t="s">
        <v>2144</v>
      </c>
      <c r="J586" s="109" t="s">
        <v>271</v>
      </c>
      <c r="K586" s="14" t="s">
        <v>272</v>
      </c>
      <c r="L586" s="109" t="s">
        <v>4162</v>
      </c>
      <c r="M586" s="109" t="s">
        <v>5167</v>
      </c>
      <c r="N586" s="13"/>
      <c r="O586" s="24">
        <v>42454</v>
      </c>
      <c r="P586" s="13" t="s">
        <v>5613</v>
      </c>
      <c r="Q586" s="13" t="s">
        <v>2030</v>
      </c>
      <c r="R586" s="13" t="s">
        <v>5823</v>
      </c>
      <c r="S586" s="109" t="s">
        <v>4403</v>
      </c>
      <c r="T586" s="109" t="s">
        <v>3664</v>
      </c>
      <c r="U586" s="112" t="s">
        <v>2145</v>
      </c>
      <c r="V586" s="109" t="s">
        <v>2146</v>
      </c>
      <c r="W586" s="109" t="s">
        <v>2147</v>
      </c>
      <c r="X586" s="109" t="s">
        <v>2148</v>
      </c>
    </row>
    <row r="587" spans="2:24">
      <c r="B587" s="109"/>
      <c r="C587" s="109"/>
      <c r="D587" s="20" t="str">
        <f>D586</f>
        <v>正和岛</v>
      </c>
      <c r="E587" s="109"/>
      <c r="F587" s="112"/>
      <c r="G587" s="109"/>
      <c r="H587" s="109"/>
      <c r="I587" s="109"/>
      <c r="J587" s="109"/>
      <c r="K587" s="14" t="str">
        <f t="shared" ref="K587:K589" si="119">K586</f>
        <v>运营中</v>
      </c>
      <c r="L587" s="109"/>
      <c r="M587" s="109"/>
      <c r="N587" s="13"/>
      <c r="O587" s="24">
        <v>41670</v>
      </c>
      <c r="P587" s="13" t="s">
        <v>3648</v>
      </c>
      <c r="Q587" s="13" t="s">
        <v>3514</v>
      </c>
      <c r="R587" s="13" t="s">
        <v>2149</v>
      </c>
      <c r="S587" s="109"/>
      <c r="T587" s="109"/>
      <c r="U587" s="112"/>
      <c r="V587" s="109"/>
      <c r="W587" s="109"/>
      <c r="X587" s="109"/>
    </row>
    <row r="588" spans="2:24">
      <c r="B588" s="109"/>
      <c r="C588" s="109"/>
      <c r="D588" s="20" t="str">
        <f>D587</f>
        <v>正和岛</v>
      </c>
      <c r="E588" s="109"/>
      <c r="F588" s="112"/>
      <c r="G588" s="109"/>
      <c r="H588" s="109"/>
      <c r="I588" s="109"/>
      <c r="J588" s="109"/>
      <c r="K588" s="14" t="str">
        <f t="shared" si="119"/>
        <v>运营中</v>
      </c>
      <c r="L588" s="109"/>
      <c r="M588" s="109"/>
      <c r="N588" s="13"/>
      <c r="O588" s="24">
        <v>41106</v>
      </c>
      <c r="P588" s="13" t="s">
        <v>4306</v>
      </c>
      <c r="Q588" s="13" t="s">
        <v>2030</v>
      </c>
      <c r="R588" s="13" t="s">
        <v>2150</v>
      </c>
      <c r="S588" s="109"/>
      <c r="T588" s="109"/>
      <c r="U588" s="112"/>
      <c r="V588" s="109"/>
      <c r="W588" s="109"/>
      <c r="X588" s="109"/>
    </row>
    <row r="589" spans="2:24">
      <c r="B589" s="109"/>
      <c r="C589" s="109"/>
      <c r="D589" s="20" t="str">
        <f>D588</f>
        <v>正和岛</v>
      </c>
      <c r="E589" s="109"/>
      <c r="F589" s="112"/>
      <c r="G589" s="109"/>
      <c r="H589" s="109"/>
      <c r="I589" s="109"/>
      <c r="J589" s="109"/>
      <c r="K589" s="14" t="str">
        <f t="shared" si="119"/>
        <v>运营中</v>
      </c>
      <c r="L589" s="109"/>
      <c r="M589" s="109"/>
      <c r="N589" s="13"/>
      <c r="O589" s="24">
        <v>40574</v>
      </c>
      <c r="P589" s="13" t="s">
        <v>3513</v>
      </c>
      <c r="Q589" s="13" t="s">
        <v>3514</v>
      </c>
      <c r="R589" s="13" t="s">
        <v>2151</v>
      </c>
      <c r="S589" s="109"/>
      <c r="T589" s="109"/>
      <c r="U589" s="112"/>
      <c r="V589" s="109"/>
      <c r="W589" s="109"/>
      <c r="X589" s="109"/>
    </row>
    <row r="590" spans="2:24">
      <c r="B590" s="109"/>
      <c r="C590" s="109" t="s">
        <v>2152</v>
      </c>
      <c r="D590" s="20" t="s">
        <v>2153</v>
      </c>
      <c r="E590" s="109" t="s">
        <v>2153</v>
      </c>
      <c r="F590" s="112" t="s">
        <v>6472</v>
      </c>
      <c r="G590" s="109"/>
      <c r="H590" s="109" t="s">
        <v>2155</v>
      </c>
      <c r="I590" s="109" t="s">
        <v>2070</v>
      </c>
      <c r="J590" s="109" t="s">
        <v>2156</v>
      </c>
      <c r="K590" s="14" t="s">
        <v>272</v>
      </c>
      <c r="L590" s="109" t="s">
        <v>4472</v>
      </c>
      <c r="M590" s="109" t="s">
        <v>5780</v>
      </c>
      <c r="N590" s="13">
        <v>1</v>
      </c>
      <c r="O590" s="24">
        <v>44333</v>
      </c>
      <c r="P590" s="13" t="s">
        <v>5641</v>
      </c>
      <c r="Q590" s="13" t="s">
        <v>2030</v>
      </c>
      <c r="R590" s="13" t="s">
        <v>2157</v>
      </c>
      <c r="S590" s="109" t="s">
        <v>6473</v>
      </c>
      <c r="T590" s="109" t="s">
        <v>3664</v>
      </c>
      <c r="U590" s="112" t="s">
        <v>2159</v>
      </c>
      <c r="V590" s="109"/>
      <c r="W590" s="109"/>
      <c r="X590" s="109"/>
    </row>
    <row r="591" spans="2:24">
      <c r="B591" s="109"/>
      <c r="C591" s="109"/>
      <c r="D591" s="20" t="str">
        <f t="shared" ref="D591:D599" si="120">D590</f>
        <v>Tokopedia</v>
      </c>
      <c r="E591" s="109"/>
      <c r="F591" s="112"/>
      <c r="G591" s="109"/>
      <c r="H591" s="109"/>
      <c r="I591" s="109"/>
      <c r="J591" s="109"/>
      <c r="K591" s="14" t="str">
        <f t="shared" ref="K591:K599" si="121">K590</f>
        <v>运营中</v>
      </c>
      <c r="L591" s="109"/>
      <c r="M591" s="109"/>
      <c r="N591" s="13">
        <v>1</v>
      </c>
      <c r="O591" s="24">
        <v>44006</v>
      </c>
      <c r="P591" s="13" t="s">
        <v>1045</v>
      </c>
      <c r="Q591" s="13" t="s">
        <v>1046</v>
      </c>
      <c r="R591" s="13" t="s">
        <v>2160</v>
      </c>
      <c r="S591" s="109"/>
      <c r="T591" s="109"/>
      <c r="U591" s="112"/>
      <c r="V591" s="109"/>
      <c r="W591" s="109"/>
      <c r="X591" s="109"/>
    </row>
    <row r="592" spans="2:24">
      <c r="B592" s="109"/>
      <c r="C592" s="109"/>
      <c r="D592" s="20" t="str">
        <f t="shared" si="120"/>
        <v>Tokopedia</v>
      </c>
      <c r="E592" s="109"/>
      <c r="F592" s="112"/>
      <c r="G592" s="109"/>
      <c r="H592" s="109"/>
      <c r="I592" s="109"/>
      <c r="J592" s="109"/>
      <c r="K592" s="14" t="str">
        <f t="shared" si="121"/>
        <v>运营中</v>
      </c>
      <c r="L592" s="109"/>
      <c r="M592" s="109"/>
      <c r="N592" s="13">
        <v>1</v>
      </c>
      <c r="O592" s="24">
        <v>43446</v>
      </c>
      <c r="P592" s="13" t="s">
        <v>1045</v>
      </c>
      <c r="Q592" s="13" t="s">
        <v>6474</v>
      </c>
      <c r="R592" s="13" t="s">
        <v>2162</v>
      </c>
      <c r="S592" s="109"/>
      <c r="T592" s="109"/>
      <c r="U592" s="112"/>
      <c r="V592" s="109"/>
      <c r="W592" s="109"/>
      <c r="X592" s="109"/>
    </row>
    <row r="593" spans="2:24">
      <c r="B593" s="109"/>
      <c r="C593" s="109"/>
      <c r="D593" s="20" t="str">
        <f t="shared" si="120"/>
        <v>Tokopedia</v>
      </c>
      <c r="E593" s="109"/>
      <c r="F593" s="112"/>
      <c r="G593" s="109"/>
      <c r="H593" s="109"/>
      <c r="I593" s="109"/>
      <c r="J593" s="109"/>
      <c r="K593" s="14" t="str">
        <f t="shared" si="121"/>
        <v>运营中</v>
      </c>
      <c r="L593" s="109"/>
      <c r="M593" s="109"/>
      <c r="N593" s="13">
        <v>1</v>
      </c>
      <c r="O593" s="24">
        <v>42964</v>
      </c>
      <c r="P593" s="13" t="s">
        <v>5635</v>
      </c>
      <c r="Q593" s="13" t="s">
        <v>6474</v>
      </c>
      <c r="R593" s="13" t="s">
        <v>1751</v>
      </c>
      <c r="S593" s="109"/>
      <c r="T593" s="109"/>
      <c r="U593" s="112"/>
      <c r="V593" s="109"/>
      <c r="W593" s="109"/>
      <c r="X593" s="109"/>
    </row>
    <row r="594" spans="2:24">
      <c r="B594" s="109"/>
      <c r="C594" s="109"/>
      <c r="D594" s="20" t="str">
        <f t="shared" si="120"/>
        <v>Tokopedia</v>
      </c>
      <c r="E594" s="109"/>
      <c r="F594" s="112"/>
      <c r="G594" s="109"/>
      <c r="H594" s="109"/>
      <c r="I594" s="109"/>
      <c r="J594" s="109"/>
      <c r="K594" s="14" t="str">
        <f t="shared" si="121"/>
        <v>运营中</v>
      </c>
      <c r="L594" s="109"/>
      <c r="M594" s="109"/>
      <c r="N594" s="13">
        <v>1</v>
      </c>
      <c r="O594" s="24">
        <v>41935</v>
      </c>
      <c r="P594" s="13" t="s">
        <v>3276</v>
      </c>
      <c r="Q594" s="13" t="s">
        <v>4732</v>
      </c>
      <c r="R594" s="13" t="s">
        <v>6475</v>
      </c>
      <c r="S594" s="109"/>
      <c r="T594" s="109"/>
      <c r="U594" s="112"/>
      <c r="V594" s="109"/>
      <c r="W594" s="109"/>
      <c r="X594" s="109"/>
    </row>
    <row r="595" spans="2:24">
      <c r="B595" s="109"/>
      <c r="C595" s="109"/>
      <c r="D595" s="20" t="str">
        <f t="shared" si="120"/>
        <v>Tokopedia</v>
      </c>
      <c r="E595" s="109"/>
      <c r="F595" s="112"/>
      <c r="G595" s="109"/>
      <c r="H595" s="109"/>
      <c r="I595" s="109"/>
      <c r="J595" s="109"/>
      <c r="K595" s="14" t="str">
        <f t="shared" si="121"/>
        <v>运营中</v>
      </c>
      <c r="L595" s="109"/>
      <c r="M595" s="109"/>
      <c r="N595" s="13">
        <v>1</v>
      </c>
      <c r="O595" s="24">
        <v>41426</v>
      </c>
      <c r="P595" s="13" t="s">
        <v>1827</v>
      </c>
      <c r="Q595" s="13" t="s">
        <v>5000</v>
      </c>
      <c r="R595" s="13" t="s">
        <v>2164</v>
      </c>
      <c r="S595" s="109"/>
      <c r="T595" s="109"/>
      <c r="U595" s="112"/>
      <c r="V595" s="109"/>
      <c r="W595" s="109"/>
      <c r="X595" s="109"/>
    </row>
    <row r="596" spans="2:24">
      <c r="B596" s="109"/>
      <c r="C596" s="109"/>
      <c r="D596" s="20" t="str">
        <f t="shared" si="120"/>
        <v>Tokopedia</v>
      </c>
      <c r="E596" s="109"/>
      <c r="F596" s="112"/>
      <c r="G596" s="109"/>
      <c r="H596" s="109"/>
      <c r="I596" s="109"/>
      <c r="J596" s="109"/>
      <c r="K596" s="14" t="str">
        <f t="shared" si="121"/>
        <v>运营中</v>
      </c>
      <c r="L596" s="109"/>
      <c r="M596" s="109"/>
      <c r="N596" s="13">
        <v>1</v>
      </c>
      <c r="O596" s="24">
        <v>41380</v>
      </c>
      <c r="P596" s="13" t="s">
        <v>5613</v>
      </c>
      <c r="Q596" s="13" t="s">
        <v>5000</v>
      </c>
      <c r="R596" s="13" t="s">
        <v>2165</v>
      </c>
      <c r="S596" s="109"/>
      <c r="T596" s="109"/>
      <c r="U596" s="112"/>
      <c r="V596" s="109"/>
      <c r="W596" s="109"/>
      <c r="X596" s="109"/>
    </row>
    <row r="597" spans="2:24">
      <c r="B597" s="109"/>
      <c r="C597" s="109"/>
      <c r="D597" s="20" t="str">
        <f t="shared" si="120"/>
        <v>Tokopedia</v>
      </c>
      <c r="E597" s="109"/>
      <c r="F597" s="112"/>
      <c r="G597" s="109"/>
      <c r="H597" s="109"/>
      <c r="I597" s="109"/>
      <c r="J597" s="109"/>
      <c r="K597" s="14" t="str">
        <f t="shared" si="121"/>
        <v>运营中</v>
      </c>
      <c r="L597" s="109"/>
      <c r="M597" s="109"/>
      <c r="N597" s="13">
        <v>1</v>
      </c>
      <c r="O597" s="24">
        <v>40663</v>
      </c>
      <c r="P597" s="13" t="s">
        <v>3648</v>
      </c>
      <c r="Q597" s="13" t="s">
        <v>6476</v>
      </c>
      <c r="R597" s="13" t="s">
        <v>6477</v>
      </c>
      <c r="S597" s="109"/>
      <c r="T597" s="109"/>
      <c r="U597" s="112"/>
      <c r="V597" s="109"/>
      <c r="W597" s="109"/>
      <c r="X597" s="109"/>
    </row>
    <row r="598" spans="2:24">
      <c r="B598" s="109"/>
      <c r="C598" s="109"/>
      <c r="D598" s="20" t="str">
        <f t="shared" si="120"/>
        <v>Tokopedia</v>
      </c>
      <c r="E598" s="109"/>
      <c r="F598" s="112"/>
      <c r="G598" s="109"/>
      <c r="H598" s="109"/>
      <c r="I598" s="109"/>
      <c r="J598" s="109"/>
      <c r="K598" s="14" t="str">
        <f t="shared" si="121"/>
        <v>运营中</v>
      </c>
      <c r="L598" s="109"/>
      <c r="M598" s="109"/>
      <c r="N598" s="13">
        <v>1</v>
      </c>
      <c r="O598" s="24">
        <v>40240</v>
      </c>
      <c r="P598" s="13" t="s">
        <v>3513</v>
      </c>
      <c r="Q598" s="13" t="s">
        <v>5000</v>
      </c>
      <c r="R598" s="13" t="s">
        <v>2168</v>
      </c>
      <c r="S598" s="109"/>
      <c r="T598" s="109"/>
      <c r="U598" s="112"/>
      <c r="V598" s="109"/>
      <c r="W598" s="109"/>
      <c r="X598" s="109"/>
    </row>
    <row r="599" spans="2:24">
      <c r="B599" s="109"/>
      <c r="C599" s="109"/>
      <c r="D599" s="20" t="str">
        <f t="shared" si="120"/>
        <v>Tokopedia</v>
      </c>
      <c r="E599" s="109"/>
      <c r="F599" s="112"/>
      <c r="G599" s="109"/>
      <c r="H599" s="109"/>
      <c r="I599" s="109"/>
      <c r="J599" s="109"/>
      <c r="K599" s="14" t="str">
        <f t="shared" si="121"/>
        <v>运营中</v>
      </c>
      <c r="L599" s="109"/>
      <c r="M599" s="109"/>
      <c r="N599" s="13">
        <v>1</v>
      </c>
      <c r="O599" s="24">
        <v>39872</v>
      </c>
      <c r="P599" s="13" t="s">
        <v>5697</v>
      </c>
      <c r="Q599" s="13" t="s">
        <v>5000</v>
      </c>
      <c r="R599" s="13" t="s">
        <v>2169</v>
      </c>
      <c r="S599" s="109"/>
      <c r="T599" s="109"/>
      <c r="U599" s="112"/>
      <c r="V599" s="109"/>
      <c r="W599" s="109"/>
      <c r="X599" s="109"/>
    </row>
    <row r="600" spans="2:24">
      <c r="B600" s="109"/>
      <c r="C600" s="109" t="s">
        <v>2170</v>
      </c>
      <c r="D600" s="20" t="s">
        <v>6478</v>
      </c>
      <c r="E600" s="109" t="s">
        <v>2172</v>
      </c>
      <c r="F600" s="112" t="s">
        <v>6479</v>
      </c>
      <c r="G600" s="109" t="s">
        <v>6480</v>
      </c>
      <c r="H600" s="109" t="s">
        <v>2175</v>
      </c>
      <c r="I600" s="109" t="s">
        <v>2176</v>
      </c>
      <c r="J600" s="109" t="s">
        <v>271</v>
      </c>
      <c r="K600" s="14" t="s">
        <v>272</v>
      </c>
      <c r="L600" s="109" t="s">
        <v>1825</v>
      </c>
      <c r="M600" s="109" t="s">
        <v>5843</v>
      </c>
      <c r="N600" s="13">
        <v>1</v>
      </c>
      <c r="O600" s="24">
        <v>44560</v>
      </c>
      <c r="P600" s="13" t="s">
        <v>5625</v>
      </c>
      <c r="Q600" s="13" t="s">
        <v>6481</v>
      </c>
      <c r="R600" s="13" t="s">
        <v>253</v>
      </c>
      <c r="S600" s="109" t="s">
        <v>6482</v>
      </c>
      <c r="T600" s="109" t="s">
        <v>6483</v>
      </c>
      <c r="U600" s="112" t="s">
        <v>2180</v>
      </c>
      <c r="V600" s="109" t="s">
        <v>2181</v>
      </c>
      <c r="W600" s="109" t="s">
        <v>2182</v>
      </c>
      <c r="X600" s="109" t="s">
        <v>2183</v>
      </c>
    </row>
    <row r="601" spans="2:24">
      <c r="B601" s="109"/>
      <c r="C601" s="109"/>
      <c r="D601" s="20" t="str">
        <f t="shared" ref="D601:D611" si="122">D600</f>
        <v>商汤科技SenseTime</v>
      </c>
      <c r="E601" s="109"/>
      <c r="F601" s="112"/>
      <c r="G601" s="109"/>
      <c r="H601" s="109"/>
      <c r="I601" s="109"/>
      <c r="J601" s="109"/>
      <c r="K601" s="14" t="str">
        <f t="shared" ref="K601:K611" si="123">K600</f>
        <v>运营中</v>
      </c>
      <c r="L601" s="109"/>
      <c r="M601" s="109"/>
      <c r="N601" s="13">
        <v>1</v>
      </c>
      <c r="O601" s="24">
        <v>44550</v>
      </c>
      <c r="P601" s="13" t="s">
        <v>5795</v>
      </c>
      <c r="Q601" s="13" t="s">
        <v>6484</v>
      </c>
      <c r="R601" s="13" t="s">
        <v>2185</v>
      </c>
      <c r="S601" s="109"/>
      <c r="T601" s="109"/>
      <c r="U601" s="112"/>
      <c r="V601" s="109"/>
      <c r="W601" s="109"/>
      <c r="X601" s="109"/>
    </row>
    <row r="602" spans="2:24">
      <c r="B602" s="109"/>
      <c r="C602" s="109"/>
      <c r="D602" s="20" t="str">
        <f t="shared" si="122"/>
        <v>商汤科技SenseTime</v>
      </c>
      <c r="E602" s="109"/>
      <c r="F602" s="112"/>
      <c r="G602" s="109"/>
      <c r="H602" s="109"/>
      <c r="I602" s="109"/>
      <c r="J602" s="109"/>
      <c r="K602" s="14" t="str">
        <f t="shared" si="123"/>
        <v>运营中</v>
      </c>
      <c r="L602" s="109"/>
      <c r="M602" s="109"/>
      <c r="N602" s="13">
        <v>1</v>
      </c>
      <c r="O602" s="24">
        <v>44223</v>
      </c>
      <c r="P602" s="13" t="s">
        <v>763</v>
      </c>
      <c r="Q602" s="13" t="s">
        <v>5000</v>
      </c>
      <c r="R602" s="13" t="s">
        <v>253</v>
      </c>
      <c r="S602" s="109"/>
      <c r="T602" s="109"/>
      <c r="U602" s="112"/>
      <c r="V602" s="109"/>
      <c r="W602" s="109"/>
      <c r="X602" s="109"/>
    </row>
    <row r="603" spans="2:24">
      <c r="B603" s="109"/>
      <c r="C603" s="109"/>
      <c r="D603" s="20" t="str">
        <f t="shared" si="122"/>
        <v>商汤科技SenseTime</v>
      </c>
      <c r="E603" s="109"/>
      <c r="F603" s="112"/>
      <c r="G603" s="109"/>
      <c r="H603" s="109"/>
      <c r="I603" s="109"/>
      <c r="J603" s="109"/>
      <c r="K603" s="14" t="str">
        <f t="shared" si="123"/>
        <v>运营中</v>
      </c>
      <c r="L603" s="109"/>
      <c r="M603" s="109"/>
      <c r="N603" s="13">
        <v>1</v>
      </c>
      <c r="O603" s="24">
        <v>43353</v>
      </c>
      <c r="P603" s="13" t="s">
        <v>1827</v>
      </c>
      <c r="Q603" s="13" t="s">
        <v>5637</v>
      </c>
      <c r="R603" s="13" t="s">
        <v>2186</v>
      </c>
      <c r="S603" s="109"/>
      <c r="T603" s="109"/>
      <c r="U603" s="112"/>
      <c r="V603" s="109"/>
      <c r="W603" s="109"/>
      <c r="X603" s="109"/>
    </row>
    <row r="604" spans="2:24">
      <c r="B604" s="109"/>
      <c r="C604" s="109"/>
      <c r="D604" s="20" t="str">
        <f t="shared" si="122"/>
        <v>商汤科技SenseTime</v>
      </c>
      <c r="E604" s="109"/>
      <c r="F604" s="112"/>
      <c r="G604" s="109"/>
      <c r="H604" s="109"/>
      <c r="I604" s="109"/>
      <c r="J604" s="109"/>
      <c r="K604" s="14" t="str">
        <f t="shared" si="123"/>
        <v>运营中</v>
      </c>
      <c r="L604" s="109"/>
      <c r="M604" s="109"/>
      <c r="N604" s="13">
        <v>1</v>
      </c>
      <c r="O604" s="24">
        <v>43251</v>
      </c>
      <c r="P604" s="13" t="s">
        <v>2029</v>
      </c>
      <c r="Q604" s="13" t="s">
        <v>6485</v>
      </c>
      <c r="R604" s="13" t="s">
        <v>2188</v>
      </c>
      <c r="S604" s="109"/>
      <c r="T604" s="109"/>
      <c r="U604" s="112"/>
      <c r="V604" s="109"/>
      <c r="W604" s="109"/>
      <c r="X604" s="109"/>
    </row>
    <row r="605" spans="2:24">
      <c r="B605" s="109"/>
      <c r="C605" s="109"/>
      <c r="D605" s="20" t="str">
        <f t="shared" si="122"/>
        <v>商汤科技SenseTime</v>
      </c>
      <c r="E605" s="109"/>
      <c r="F605" s="112"/>
      <c r="G605" s="109"/>
      <c r="H605" s="109"/>
      <c r="I605" s="109"/>
      <c r="J605" s="109"/>
      <c r="K605" s="14" t="str">
        <f t="shared" si="123"/>
        <v>运营中</v>
      </c>
      <c r="L605" s="109"/>
      <c r="M605" s="109"/>
      <c r="N605" s="13">
        <v>1</v>
      </c>
      <c r="O605" s="24">
        <v>43199</v>
      </c>
      <c r="P605" s="13" t="s">
        <v>5613</v>
      </c>
      <c r="Q605" s="13" t="s">
        <v>5627</v>
      </c>
      <c r="R605" s="13" t="s">
        <v>2189</v>
      </c>
      <c r="S605" s="109"/>
      <c r="T605" s="109"/>
      <c r="U605" s="112"/>
      <c r="V605" s="109"/>
      <c r="W605" s="109"/>
      <c r="X605" s="109"/>
    </row>
    <row r="606" spans="2:24">
      <c r="B606" s="109"/>
      <c r="C606" s="109"/>
      <c r="D606" s="20" t="str">
        <f t="shared" si="122"/>
        <v>商汤科技SenseTime</v>
      </c>
      <c r="E606" s="109"/>
      <c r="F606" s="112"/>
      <c r="G606" s="109"/>
      <c r="H606" s="109"/>
      <c r="I606" s="109"/>
      <c r="J606" s="109"/>
      <c r="K606" s="14" t="str">
        <f t="shared" si="123"/>
        <v>运营中</v>
      </c>
      <c r="L606" s="109"/>
      <c r="M606" s="109"/>
      <c r="N606" s="13">
        <v>1</v>
      </c>
      <c r="O606" s="24">
        <v>43095</v>
      </c>
      <c r="P606" s="13" t="s">
        <v>1045</v>
      </c>
      <c r="Q606" s="13" t="s">
        <v>5129</v>
      </c>
      <c r="R606" s="13" t="s">
        <v>5695</v>
      </c>
      <c r="S606" s="109"/>
      <c r="T606" s="109"/>
      <c r="U606" s="112"/>
      <c r="V606" s="109"/>
      <c r="W606" s="109"/>
      <c r="X606" s="109"/>
    </row>
    <row r="607" spans="2:24">
      <c r="B607" s="109"/>
      <c r="C607" s="109"/>
      <c r="D607" s="20" t="str">
        <f t="shared" si="122"/>
        <v>商汤科技SenseTime</v>
      </c>
      <c r="E607" s="109"/>
      <c r="F607" s="112"/>
      <c r="G607" s="109"/>
      <c r="H607" s="109"/>
      <c r="I607" s="109"/>
      <c r="J607" s="109"/>
      <c r="K607" s="14" t="str">
        <f t="shared" si="123"/>
        <v>运营中</v>
      </c>
      <c r="L607" s="109"/>
      <c r="M607" s="109"/>
      <c r="N607" s="13">
        <v>1</v>
      </c>
      <c r="O607" s="24">
        <v>43067</v>
      </c>
      <c r="P607" s="13" t="s">
        <v>1045</v>
      </c>
      <c r="Q607" s="13" t="s">
        <v>6486</v>
      </c>
      <c r="R607" s="13" t="s">
        <v>1751</v>
      </c>
      <c r="S607" s="109"/>
      <c r="T607" s="109"/>
      <c r="U607" s="112"/>
      <c r="V607" s="109"/>
      <c r="W607" s="109"/>
      <c r="X607" s="109"/>
    </row>
    <row r="608" spans="2:24">
      <c r="B608" s="109"/>
      <c r="C608" s="109"/>
      <c r="D608" s="20" t="str">
        <f t="shared" si="122"/>
        <v>商汤科技SenseTime</v>
      </c>
      <c r="E608" s="109"/>
      <c r="F608" s="112"/>
      <c r="G608" s="109"/>
      <c r="H608" s="109"/>
      <c r="I608" s="109"/>
      <c r="J608" s="109"/>
      <c r="K608" s="14" t="str">
        <f t="shared" si="123"/>
        <v>运营中</v>
      </c>
      <c r="L608" s="109"/>
      <c r="M608" s="109"/>
      <c r="N608" s="13">
        <v>1</v>
      </c>
      <c r="O608" s="24">
        <v>43054</v>
      </c>
      <c r="P608" s="13" t="s">
        <v>1045</v>
      </c>
      <c r="Q608" s="13" t="s">
        <v>5129</v>
      </c>
      <c r="R608" s="13" t="s">
        <v>2191</v>
      </c>
      <c r="S608" s="109"/>
      <c r="T608" s="109"/>
      <c r="U608" s="112"/>
      <c r="V608" s="109"/>
      <c r="W608" s="109"/>
      <c r="X608" s="109"/>
    </row>
    <row r="609" spans="2:24">
      <c r="B609" s="109"/>
      <c r="C609" s="109"/>
      <c r="D609" s="20" t="str">
        <f t="shared" si="122"/>
        <v>商汤科技SenseTime</v>
      </c>
      <c r="E609" s="109"/>
      <c r="F609" s="112"/>
      <c r="G609" s="109"/>
      <c r="H609" s="109"/>
      <c r="I609" s="109"/>
      <c r="J609" s="109"/>
      <c r="K609" s="14" t="str">
        <f t="shared" si="123"/>
        <v>运营中</v>
      </c>
      <c r="L609" s="109"/>
      <c r="M609" s="109"/>
      <c r="N609" s="13">
        <v>1</v>
      </c>
      <c r="O609" s="24">
        <v>42927</v>
      </c>
      <c r="P609" s="13" t="s">
        <v>3648</v>
      </c>
      <c r="Q609" s="13" t="s">
        <v>6487</v>
      </c>
      <c r="R609" s="13" t="s">
        <v>2193</v>
      </c>
      <c r="S609" s="109"/>
      <c r="T609" s="109"/>
      <c r="U609" s="112"/>
      <c r="V609" s="109"/>
      <c r="W609" s="109"/>
      <c r="X609" s="109"/>
    </row>
    <row r="610" spans="2:24">
      <c r="B610" s="109"/>
      <c r="C610" s="109"/>
      <c r="D610" s="20" t="str">
        <f t="shared" si="122"/>
        <v>商汤科技SenseTime</v>
      </c>
      <c r="E610" s="109"/>
      <c r="F610" s="112"/>
      <c r="G610" s="109"/>
      <c r="H610" s="109"/>
      <c r="I610" s="109"/>
      <c r="J610" s="109"/>
      <c r="K610" s="14" t="str">
        <f t="shared" si="123"/>
        <v>运营中</v>
      </c>
      <c r="L610" s="109"/>
      <c r="M610" s="109"/>
      <c r="N610" s="13">
        <v>1</v>
      </c>
      <c r="O610" s="24">
        <v>42311</v>
      </c>
      <c r="P610" s="13" t="s">
        <v>4306</v>
      </c>
      <c r="Q610" s="13" t="s">
        <v>5129</v>
      </c>
      <c r="R610" s="13" t="s">
        <v>2194</v>
      </c>
      <c r="S610" s="109"/>
      <c r="T610" s="109"/>
      <c r="U610" s="112"/>
      <c r="V610" s="109"/>
      <c r="W610" s="109"/>
      <c r="X610" s="109"/>
    </row>
    <row r="611" spans="2:24">
      <c r="B611" s="109"/>
      <c r="C611" s="109"/>
      <c r="D611" s="20" t="str">
        <f t="shared" si="122"/>
        <v>商汤科技SenseTime</v>
      </c>
      <c r="E611" s="109"/>
      <c r="F611" s="112"/>
      <c r="G611" s="109"/>
      <c r="H611" s="109"/>
      <c r="I611" s="109"/>
      <c r="J611" s="109"/>
      <c r="K611" s="14" t="str">
        <f t="shared" si="123"/>
        <v>运营中</v>
      </c>
      <c r="L611" s="109"/>
      <c r="M611" s="109"/>
      <c r="N611" s="13">
        <v>1</v>
      </c>
      <c r="O611" s="24">
        <v>41858</v>
      </c>
      <c r="P611" s="13" t="s">
        <v>3513</v>
      </c>
      <c r="Q611" s="13" t="s">
        <v>5129</v>
      </c>
      <c r="R611" s="13" t="s">
        <v>5875</v>
      </c>
      <c r="S611" s="109"/>
      <c r="T611" s="109"/>
      <c r="U611" s="112"/>
      <c r="V611" s="109"/>
      <c r="W611" s="109"/>
      <c r="X611" s="109"/>
    </row>
    <row r="612" spans="2:24">
      <c r="B612" s="109"/>
      <c r="C612" s="109" t="s">
        <v>2195</v>
      </c>
      <c r="D612" s="20" t="s">
        <v>6488</v>
      </c>
      <c r="E612" s="109" t="s">
        <v>6489</v>
      </c>
      <c r="F612" s="112" t="s">
        <v>6490</v>
      </c>
      <c r="G612" s="109" t="s">
        <v>6491</v>
      </c>
      <c r="H612" s="109" t="s">
        <v>2199</v>
      </c>
      <c r="I612" s="109" t="s">
        <v>1857</v>
      </c>
      <c r="J612" s="109" t="s">
        <v>2200</v>
      </c>
      <c r="K612" s="14" t="s">
        <v>272</v>
      </c>
      <c r="L612" s="109" t="s">
        <v>4162</v>
      </c>
      <c r="M612" s="109" t="s">
        <v>5676</v>
      </c>
      <c r="N612" s="13">
        <v>1</v>
      </c>
      <c r="O612" s="24">
        <v>44016</v>
      </c>
      <c r="P612" s="13" t="s">
        <v>5810</v>
      </c>
      <c r="Q612" s="13" t="s">
        <v>6492</v>
      </c>
      <c r="R612" s="13" t="s">
        <v>2202</v>
      </c>
      <c r="S612" s="109" t="s">
        <v>6493</v>
      </c>
      <c r="T612" s="109" t="s">
        <v>6494</v>
      </c>
      <c r="U612" s="112"/>
      <c r="V612" s="109" t="s">
        <v>2205</v>
      </c>
      <c r="W612" s="109" t="s">
        <v>2206</v>
      </c>
      <c r="X612" s="109" t="s">
        <v>2207</v>
      </c>
    </row>
    <row r="613" spans="2:24">
      <c r="B613" s="109"/>
      <c r="C613" s="109"/>
      <c r="D613" s="20" t="str">
        <f>D612</f>
        <v>华谊兄弟</v>
      </c>
      <c r="E613" s="109"/>
      <c r="F613" s="112"/>
      <c r="G613" s="109"/>
      <c r="H613" s="109"/>
      <c r="I613" s="109"/>
      <c r="J613" s="109"/>
      <c r="K613" s="14" t="str">
        <f t="shared" ref="K613:K616" si="124">K612</f>
        <v>运营中</v>
      </c>
      <c r="L613" s="109"/>
      <c r="M613" s="109"/>
      <c r="N613" s="13">
        <v>1</v>
      </c>
      <c r="O613" s="24">
        <v>43950</v>
      </c>
      <c r="P613" s="13" t="s">
        <v>5810</v>
      </c>
      <c r="Q613" s="13" t="s">
        <v>6492</v>
      </c>
      <c r="R613" s="13" t="s">
        <v>2208</v>
      </c>
      <c r="S613" s="109"/>
      <c r="T613" s="109"/>
      <c r="U613" s="112"/>
      <c r="V613" s="109"/>
      <c r="W613" s="109"/>
      <c r="X613" s="109"/>
    </row>
    <row r="614" spans="2:24">
      <c r="B614" s="109"/>
      <c r="C614" s="109"/>
      <c r="D614" s="20" t="str">
        <f>D613</f>
        <v>华谊兄弟</v>
      </c>
      <c r="E614" s="109"/>
      <c r="F614" s="112"/>
      <c r="G614" s="109"/>
      <c r="H614" s="109"/>
      <c r="I614" s="109"/>
      <c r="J614" s="109"/>
      <c r="K614" s="14" t="str">
        <f t="shared" si="124"/>
        <v>运营中</v>
      </c>
      <c r="L614" s="109"/>
      <c r="M614" s="109"/>
      <c r="N614" s="13">
        <v>1</v>
      </c>
      <c r="O614" s="24">
        <v>42235</v>
      </c>
      <c r="P614" s="13" t="s">
        <v>5810</v>
      </c>
      <c r="Q614" s="13" t="s">
        <v>6495</v>
      </c>
      <c r="R614" s="13" t="s">
        <v>2210</v>
      </c>
      <c r="S614" s="109"/>
      <c r="T614" s="109"/>
      <c r="U614" s="112"/>
      <c r="V614" s="109"/>
      <c r="W614" s="109"/>
      <c r="X614" s="109"/>
    </row>
    <row r="615" spans="2:24">
      <c r="B615" s="109"/>
      <c r="C615" s="109"/>
      <c r="D615" s="20" t="str">
        <f>D614</f>
        <v>华谊兄弟</v>
      </c>
      <c r="E615" s="109"/>
      <c r="F615" s="112"/>
      <c r="G615" s="109"/>
      <c r="H615" s="109"/>
      <c r="I615" s="109"/>
      <c r="J615" s="109"/>
      <c r="K615" s="14" t="str">
        <f t="shared" si="124"/>
        <v>运营中</v>
      </c>
      <c r="L615" s="109"/>
      <c r="M615" s="109"/>
      <c r="N615" s="13">
        <v>1</v>
      </c>
      <c r="O615" s="24">
        <v>40116</v>
      </c>
      <c r="P615" s="13" t="s">
        <v>5625</v>
      </c>
      <c r="Q615" s="13" t="s">
        <v>6290</v>
      </c>
      <c r="R615" s="13" t="s">
        <v>253</v>
      </c>
      <c r="S615" s="109"/>
      <c r="T615" s="109"/>
      <c r="U615" s="112"/>
      <c r="V615" s="109"/>
      <c r="W615" s="109"/>
      <c r="X615" s="109"/>
    </row>
    <row r="616" spans="2:24">
      <c r="B616" s="109"/>
      <c r="C616" s="109"/>
      <c r="D616" s="20" t="str">
        <f>D615</f>
        <v>华谊兄弟</v>
      </c>
      <c r="E616" s="109"/>
      <c r="F616" s="112"/>
      <c r="G616" s="109"/>
      <c r="H616" s="109"/>
      <c r="I616" s="109"/>
      <c r="J616" s="109"/>
      <c r="K616" s="14" t="str">
        <f t="shared" si="124"/>
        <v>运营中</v>
      </c>
      <c r="L616" s="109"/>
      <c r="M616" s="109"/>
      <c r="N616" s="13">
        <v>1</v>
      </c>
      <c r="O616" s="24">
        <v>39326</v>
      </c>
      <c r="P616" s="13" t="s">
        <v>5474</v>
      </c>
      <c r="Q616" s="13" t="s">
        <v>2030</v>
      </c>
      <c r="R616" s="13" t="s">
        <v>6496</v>
      </c>
      <c r="S616" s="109"/>
      <c r="T616" s="109"/>
      <c r="U616" s="112"/>
      <c r="V616" s="109"/>
      <c r="W616" s="109"/>
      <c r="X616" s="109"/>
    </row>
    <row r="617" spans="2:24">
      <c r="B617" s="109"/>
      <c r="C617" s="109" t="s">
        <v>2212</v>
      </c>
      <c r="D617" s="20" t="s">
        <v>2213</v>
      </c>
      <c r="E617" s="109" t="s">
        <v>2213</v>
      </c>
      <c r="F617" s="112" t="s">
        <v>6497</v>
      </c>
      <c r="G617" s="109"/>
      <c r="H617" s="109" t="s">
        <v>2215</v>
      </c>
      <c r="I617" s="109" t="s">
        <v>2216</v>
      </c>
      <c r="J617" s="109" t="s">
        <v>1725</v>
      </c>
      <c r="K617" s="14" t="s">
        <v>272</v>
      </c>
      <c r="L617" s="109" t="s">
        <v>1043</v>
      </c>
      <c r="M617" s="109" t="s">
        <v>5914</v>
      </c>
      <c r="N617" s="13"/>
      <c r="O617" s="24">
        <v>44391</v>
      </c>
      <c r="P617" s="13" t="s">
        <v>5795</v>
      </c>
      <c r="Q617" s="13" t="s">
        <v>6498</v>
      </c>
      <c r="R617" s="13" t="s">
        <v>6499</v>
      </c>
      <c r="S617" s="109" t="s">
        <v>6500</v>
      </c>
      <c r="T617" s="109" t="s">
        <v>6501</v>
      </c>
      <c r="U617" s="112" t="s">
        <v>2221</v>
      </c>
      <c r="V617" s="109"/>
      <c r="W617" s="109"/>
      <c r="X617" s="109"/>
    </row>
    <row r="618" spans="2:24">
      <c r="B618" s="109"/>
      <c r="C618" s="109"/>
      <c r="D618" s="20" t="str">
        <f t="shared" ref="D618:D636" si="125">D617</f>
        <v>Zomato</v>
      </c>
      <c r="E618" s="109"/>
      <c r="F618" s="112"/>
      <c r="G618" s="109"/>
      <c r="H618" s="109"/>
      <c r="I618" s="109"/>
      <c r="J618" s="109"/>
      <c r="K618" s="14" t="str">
        <f t="shared" ref="K618:K636" si="126">K617</f>
        <v>运营中</v>
      </c>
      <c r="L618" s="109"/>
      <c r="M618" s="109"/>
      <c r="N618" s="13"/>
      <c r="O618" s="24">
        <v>44252</v>
      </c>
      <c r="P618" s="13" t="s">
        <v>1045</v>
      </c>
      <c r="Q618" s="13" t="s">
        <v>5796</v>
      </c>
      <c r="R618" s="13" t="s">
        <v>6502</v>
      </c>
      <c r="S618" s="109"/>
      <c r="T618" s="109"/>
      <c r="U618" s="112"/>
      <c r="V618" s="109"/>
      <c r="W618" s="109"/>
      <c r="X618" s="109"/>
    </row>
    <row r="619" spans="2:24">
      <c r="B619" s="109"/>
      <c r="C619" s="109"/>
      <c r="D619" s="20" t="str">
        <f t="shared" si="125"/>
        <v>Zomato</v>
      </c>
      <c r="E619" s="109"/>
      <c r="F619" s="112"/>
      <c r="G619" s="109"/>
      <c r="H619" s="109"/>
      <c r="I619" s="109"/>
      <c r="J619" s="109"/>
      <c r="K619" s="14" t="str">
        <f t="shared" si="126"/>
        <v>运营中</v>
      </c>
      <c r="L619" s="109"/>
      <c r="M619" s="109"/>
      <c r="N619" s="13"/>
      <c r="O619" s="24">
        <v>44142</v>
      </c>
      <c r="P619" s="13" t="s">
        <v>1045</v>
      </c>
      <c r="Q619" s="13" t="s">
        <v>6503</v>
      </c>
      <c r="R619" s="13" t="s">
        <v>6504</v>
      </c>
      <c r="S619" s="109"/>
      <c r="T619" s="109"/>
      <c r="U619" s="112"/>
      <c r="V619" s="109"/>
      <c r="W619" s="109"/>
      <c r="X619" s="109"/>
    </row>
    <row r="620" spans="2:24">
      <c r="B620" s="109"/>
      <c r="C620" s="109"/>
      <c r="D620" s="20" t="str">
        <f t="shared" si="125"/>
        <v>Zomato</v>
      </c>
      <c r="E620" s="109"/>
      <c r="F620" s="112"/>
      <c r="G620" s="109"/>
      <c r="H620" s="109"/>
      <c r="I620" s="109"/>
      <c r="J620" s="109"/>
      <c r="K620" s="14" t="str">
        <f t="shared" si="126"/>
        <v>运营中</v>
      </c>
      <c r="L620" s="109"/>
      <c r="M620" s="109"/>
      <c r="N620" s="13"/>
      <c r="O620" s="24">
        <v>44088</v>
      </c>
      <c r="P620" s="13" t="s">
        <v>1045</v>
      </c>
      <c r="Q620" s="13" t="s">
        <v>5703</v>
      </c>
      <c r="R620" s="13" t="s">
        <v>2225</v>
      </c>
      <c r="S620" s="109"/>
      <c r="T620" s="109"/>
      <c r="U620" s="112"/>
      <c r="V620" s="109"/>
      <c r="W620" s="109"/>
      <c r="X620" s="109"/>
    </row>
    <row r="621" spans="2:24">
      <c r="B621" s="109"/>
      <c r="C621" s="109"/>
      <c r="D621" s="20" t="str">
        <f t="shared" si="125"/>
        <v>Zomato</v>
      </c>
      <c r="E621" s="109"/>
      <c r="F621" s="112"/>
      <c r="G621" s="109"/>
      <c r="H621" s="109"/>
      <c r="I621" s="109"/>
      <c r="J621" s="109"/>
      <c r="K621" s="14" t="str">
        <f t="shared" si="126"/>
        <v>运营中</v>
      </c>
      <c r="L621" s="109"/>
      <c r="M621" s="109"/>
      <c r="N621" s="13"/>
      <c r="O621" s="24">
        <v>44085</v>
      </c>
      <c r="P621" s="13" t="s">
        <v>1045</v>
      </c>
      <c r="Q621" s="13" t="s">
        <v>6505</v>
      </c>
      <c r="R621" s="13" t="s">
        <v>6506</v>
      </c>
      <c r="S621" s="109"/>
      <c r="T621" s="109"/>
      <c r="U621" s="112"/>
      <c r="V621" s="109"/>
      <c r="W621" s="109"/>
      <c r="X621" s="109"/>
    </row>
    <row r="622" spans="2:24">
      <c r="B622" s="109"/>
      <c r="C622" s="109"/>
      <c r="D622" s="20" t="str">
        <f t="shared" si="125"/>
        <v>Zomato</v>
      </c>
      <c r="E622" s="109"/>
      <c r="F622" s="112"/>
      <c r="G622" s="109"/>
      <c r="H622" s="109"/>
      <c r="I622" s="109"/>
      <c r="J622" s="109"/>
      <c r="K622" s="14" t="str">
        <f t="shared" si="126"/>
        <v>运营中</v>
      </c>
      <c r="L622" s="109"/>
      <c r="M622" s="109"/>
      <c r="N622" s="13"/>
      <c r="O622" s="24">
        <v>43929</v>
      </c>
      <c r="P622" s="13" t="s">
        <v>1045</v>
      </c>
      <c r="Q622" s="13" t="s">
        <v>5705</v>
      </c>
      <c r="R622" s="13" t="s">
        <v>2228</v>
      </c>
      <c r="S622" s="109"/>
      <c r="T622" s="109"/>
      <c r="U622" s="112"/>
      <c r="V622" s="109"/>
      <c r="W622" s="109"/>
      <c r="X622" s="109"/>
    </row>
    <row r="623" spans="2:24">
      <c r="B623" s="109"/>
      <c r="C623" s="109"/>
      <c r="D623" s="20" t="str">
        <f t="shared" si="125"/>
        <v>Zomato</v>
      </c>
      <c r="E623" s="109"/>
      <c r="F623" s="112"/>
      <c r="G623" s="109"/>
      <c r="H623" s="109"/>
      <c r="I623" s="109"/>
      <c r="J623" s="109"/>
      <c r="K623" s="14" t="str">
        <f t="shared" si="126"/>
        <v>运营中</v>
      </c>
      <c r="L623" s="109"/>
      <c r="M623" s="109"/>
      <c r="N623" s="13"/>
      <c r="O623" s="24">
        <v>43840</v>
      </c>
      <c r="P623" s="13" t="s">
        <v>1045</v>
      </c>
      <c r="Q623" s="13" t="s">
        <v>3811</v>
      </c>
      <c r="R623" s="13" t="s">
        <v>6507</v>
      </c>
      <c r="S623" s="109"/>
      <c r="T623" s="109"/>
      <c r="U623" s="112"/>
      <c r="V623" s="109"/>
      <c r="W623" s="109"/>
      <c r="X623" s="109"/>
    </row>
    <row r="624" spans="2:24">
      <c r="B624" s="109"/>
      <c r="C624" s="109"/>
      <c r="D624" s="20" t="str">
        <f t="shared" si="125"/>
        <v>Zomato</v>
      </c>
      <c r="E624" s="109"/>
      <c r="F624" s="112"/>
      <c r="G624" s="109"/>
      <c r="H624" s="109"/>
      <c r="I624" s="109"/>
      <c r="J624" s="109"/>
      <c r="K624" s="14" t="str">
        <f t="shared" si="126"/>
        <v>运营中</v>
      </c>
      <c r="L624" s="109"/>
      <c r="M624" s="109"/>
      <c r="N624" s="13"/>
      <c r="O624" s="24">
        <v>43743</v>
      </c>
      <c r="P624" s="13" t="s">
        <v>1045</v>
      </c>
      <c r="Q624" s="13" t="s">
        <v>5627</v>
      </c>
      <c r="R624" s="13" t="s">
        <v>2230</v>
      </c>
      <c r="S624" s="109"/>
      <c r="T624" s="109"/>
      <c r="U624" s="112"/>
      <c r="V624" s="109"/>
      <c r="W624" s="109"/>
      <c r="X624" s="109"/>
    </row>
    <row r="625" spans="2:24">
      <c r="B625" s="109"/>
      <c r="C625" s="109"/>
      <c r="D625" s="20" t="str">
        <f t="shared" si="125"/>
        <v>Zomato</v>
      </c>
      <c r="E625" s="109"/>
      <c r="F625" s="112"/>
      <c r="G625" s="109"/>
      <c r="H625" s="109"/>
      <c r="I625" s="109"/>
      <c r="J625" s="109"/>
      <c r="K625" s="14" t="str">
        <f t="shared" si="126"/>
        <v>运营中</v>
      </c>
      <c r="L625" s="109"/>
      <c r="M625" s="109"/>
      <c r="N625" s="13"/>
      <c r="O625" s="24">
        <v>43525</v>
      </c>
      <c r="P625" s="13" t="s">
        <v>1045</v>
      </c>
      <c r="Q625" s="13" t="s">
        <v>6508</v>
      </c>
      <c r="R625" s="13" t="s">
        <v>2232</v>
      </c>
      <c r="S625" s="109"/>
      <c r="T625" s="109"/>
      <c r="U625" s="112"/>
      <c r="V625" s="109"/>
      <c r="W625" s="109"/>
      <c r="X625" s="109"/>
    </row>
    <row r="626" spans="2:24">
      <c r="B626" s="109"/>
      <c r="C626" s="109"/>
      <c r="D626" s="20" t="str">
        <f t="shared" si="125"/>
        <v>Zomato</v>
      </c>
      <c r="E626" s="109"/>
      <c r="F626" s="112"/>
      <c r="G626" s="109"/>
      <c r="H626" s="109"/>
      <c r="I626" s="109"/>
      <c r="J626" s="109"/>
      <c r="K626" s="14" t="str">
        <f t="shared" si="126"/>
        <v>运营中</v>
      </c>
      <c r="L626" s="109"/>
      <c r="M626" s="109"/>
      <c r="N626" s="13"/>
      <c r="O626" s="24">
        <v>43505</v>
      </c>
      <c r="P626" s="13" t="s">
        <v>1045</v>
      </c>
      <c r="Q626" s="13" t="s">
        <v>5389</v>
      </c>
      <c r="R626" s="13" t="s">
        <v>2233</v>
      </c>
      <c r="S626" s="109"/>
      <c r="T626" s="109"/>
      <c r="U626" s="112"/>
      <c r="V626" s="109"/>
      <c r="W626" s="109"/>
      <c r="X626" s="109"/>
    </row>
    <row r="627" spans="2:24">
      <c r="B627" s="109"/>
      <c r="C627" s="109"/>
      <c r="D627" s="20" t="str">
        <f t="shared" si="125"/>
        <v>Zomato</v>
      </c>
      <c r="E627" s="109"/>
      <c r="F627" s="112"/>
      <c r="G627" s="109"/>
      <c r="H627" s="109"/>
      <c r="I627" s="109"/>
      <c r="J627" s="109"/>
      <c r="K627" s="14" t="str">
        <f t="shared" si="126"/>
        <v>运营中</v>
      </c>
      <c r="L627" s="109"/>
      <c r="M627" s="109"/>
      <c r="N627" s="13"/>
      <c r="O627" s="24">
        <v>43388</v>
      </c>
      <c r="P627" s="13" t="s">
        <v>1045</v>
      </c>
      <c r="Q627" s="13" t="s">
        <v>6509</v>
      </c>
      <c r="R627" s="13" t="s">
        <v>6507</v>
      </c>
      <c r="S627" s="109"/>
      <c r="T627" s="109"/>
      <c r="U627" s="112"/>
      <c r="V627" s="109"/>
      <c r="W627" s="109"/>
      <c r="X627" s="109"/>
    </row>
    <row r="628" spans="2:24">
      <c r="B628" s="109"/>
      <c r="C628" s="109"/>
      <c r="D628" s="20" t="str">
        <f t="shared" si="125"/>
        <v>Zomato</v>
      </c>
      <c r="E628" s="109"/>
      <c r="F628" s="112"/>
      <c r="G628" s="109"/>
      <c r="H628" s="109"/>
      <c r="I628" s="109"/>
      <c r="J628" s="109"/>
      <c r="K628" s="14" t="str">
        <f t="shared" si="126"/>
        <v>运营中</v>
      </c>
      <c r="L628" s="109"/>
      <c r="M628" s="109"/>
      <c r="N628" s="13"/>
      <c r="O628" s="24">
        <v>43318</v>
      </c>
      <c r="P628" s="13" t="s">
        <v>6510</v>
      </c>
      <c r="Q628" s="13" t="s">
        <v>1046</v>
      </c>
      <c r="R628" s="13" t="s">
        <v>6511</v>
      </c>
      <c r="S628" s="109"/>
      <c r="T628" s="109"/>
      <c r="U628" s="112"/>
      <c r="V628" s="109"/>
      <c r="W628" s="109"/>
      <c r="X628" s="109"/>
    </row>
    <row r="629" spans="2:24">
      <c r="B629" s="109"/>
      <c r="C629" s="109"/>
      <c r="D629" s="20" t="str">
        <f t="shared" si="125"/>
        <v>Zomato</v>
      </c>
      <c r="E629" s="109"/>
      <c r="F629" s="112"/>
      <c r="G629" s="109"/>
      <c r="H629" s="109"/>
      <c r="I629" s="109"/>
      <c r="J629" s="109"/>
      <c r="K629" s="14" t="str">
        <f t="shared" si="126"/>
        <v>运营中</v>
      </c>
      <c r="L629" s="109"/>
      <c r="M629" s="109"/>
      <c r="N629" s="13"/>
      <c r="O629" s="24">
        <v>43133</v>
      </c>
      <c r="P629" s="13" t="s">
        <v>4561</v>
      </c>
      <c r="Q629" s="13" t="s">
        <v>2714</v>
      </c>
      <c r="R629" s="13" t="s">
        <v>586</v>
      </c>
      <c r="S629" s="109"/>
      <c r="T629" s="109"/>
      <c r="U629" s="112"/>
      <c r="V629" s="109"/>
      <c r="W629" s="109"/>
      <c r="X629" s="109"/>
    </row>
    <row r="630" spans="2:24">
      <c r="B630" s="109"/>
      <c r="C630" s="109"/>
      <c r="D630" s="20" t="str">
        <f t="shared" si="125"/>
        <v>Zomato</v>
      </c>
      <c r="E630" s="109"/>
      <c r="F630" s="112"/>
      <c r="G630" s="109"/>
      <c r="H630" s="109"/>
      <c r="I630" s="109"/>
      <c r="J630" s="109"/>
      <c r="K630" s="14" t="str">
        <f t="shared" si="126"/>
        <v>运营中</v>
      </c>
      <c r="L630" s="109"/>
      <c r="M630" s="109"/>
      <c r="N630" s="13"/>
      <c r="O630" s="24">
        <v>42857</v>
      </c>
      <c r="P630" s="13" t="s">
        <v>5635</v>
      </c>
      <c r="Q630" s="13" t="s">
        <v>4307</v>
      </c>
      <c r="R630" s="13" t="s">
        <v>2238</v>
      </c>
      <c r="S630" s="109"/>
      <c r="T630" s="109"/>
      <c r="U630" s="112"/>
      <c r="V630" s="109"/>
      <c r="W630" s="109"/>
      <c r="X630" s="109"/>
    </row>
    <row r="631" spans="2:24">
      <c r="B631" s="109"/>
      <c r="C631" s="109"/>
      <c r="D631" s="20" t="str">
        <f t="shared" si="125"/>
        <v>Zomato</v>
      </c>
      <c r="E631" s="109"/>
      <c r="F631" s="112"/>
      <c r="G631" s="109"/>
      <c r="H631" s="109"/>
      <c r="I631" s="109"/>
      <c r="J631" s="109"/>
      <c r="K631" s="14" t="str">
        <f t="shared" si="126"/>
        <v>运营中</v>
      </c>
      <c r="L631" s="109"/>
      <c r="M631" s="109"/>
      <c r="N631" s="13"/>
      <c r="O631" s="24">
        <v>42255</v>
      </c>
      <c r="P631" s="13" t="s">
        <v>2789</v>
      </c>
      <c r="Q631" s="13" t="s">
        <v>1991</v>
      </c>
      <c r="R631" s="13" t="s">
        <v>2240</v>
      </c>
      <c r="S631" s="109"/>
      <c r="T631" s="109"/>
      <c r="U631" s="112"/>
      <c r="V631" s="109"/>
      <c r="W631" s="109"/>
      <c r="X631" s="109"/>
    </row>
    <row r="632" spans="2:24">
      <c r="B632" s="109"/>
      <c r="C632" s="109"/>
      <c r="D632" s="20" t="str">
        <f t="shared" si="125"/>
        <v>Zomato</v>
      </c>
      <c r="E632" s="109"/>
      <c r="F632" s="112"/>
      <c r="G632" s="109"/>
      <c r="H632" s="109"/>
      <c r="I632" s="109"/>
      <c r="J632" s="109"/>
      <c r="K632" s="14" t="str">
        <f t="shared" si="126"/>
        <v>运营中</v>
      </c>
      <c r="L632" s="109"/>
      <c r="M632" s="109"/>
      <c r="N632" s="13"/>
      <c r="O632" s="24">
        <v>41962</v>
      </c>
      <c r="P632" s="13" t="s">
        <v>3276</v>
      </c>
      <c r="Q632" s="13" t="s">
        <v>1991</v>
      </c>
      <c r="R632" s="13" t="s">
        <v>6512</v>
      </c>
      <c r="S632" s="109"/>
      <c r="T632" s="109"/>
      <c r="U632" s="112"/>
      <c r="V632" s="109"/>
      <c r="W632" s="109"/>
      <c r="X632" s="109"/>
    </row>
    <row r="633" spans="2:24">
      <c r="B633" s="109"/>
      <c r="C633" s="109"/>
      <c r="D633" s="20" t="str">
        <f t="shared" si="125"/>
        <v>Zomato</v>
      </c>
      <c r="E633" s="109"/>
      <c r="F633" s="112"/>
      <c r="G633" s="109"/>
      <c r="H633" s="109"/>
      <c r="I633" s="109"/>
      <c r="J633" s="109"/>
      <c r="K633" s="14" t="str">
        <f t="shared" si="126"/>
        <v>运营中</v>
      </c>
      <c r="L633" s="109"/>
      <c r="M633" s="109"/>
      <c r="N633" s="13"/>
      <c r="O633" s="24">
        <v>41599</v>
      </c>
      <c r="P633" s="13" t="s">
        <v>1827</v>
      </c>
      <c r="Q633" s="13" t="s">
        <v>4863</v>
      </c>
      <c r="R633" s="13" t="s">
        <v>6513</v>
      </c>
      <c r="S633" s="109"/>
      <c r="T633" s="109"/>
      <c r="U633" s="112"/>
      <c r="V633" s="109"/>
      <c r="W633" s="109"/>
      <c r="X633" s="109"/>
    </row>
    <row r="634" spans="2:24">
      <c r="B634" s="109"/>
      <c r="C634" s="109"/>
      <c r="D634" s="20" t="str">
        <f t="shared" si="125"/>
        <v>Zomato</v>
      </c>
      <c r="E634" s="109"/>
      <c r="F634" s="112"/>
      <c r="G634" s="109"/>
      <c r="H634" s="109"/>
      <c r="I634" s="109"/>
      <c r="J634" s="109"/>
      <c r="K634" s="14" t="str">
        <f t="shared" si="126"/>
        <v>运营中</v>
      </c>
      <c r="L634" s="109"/>
      <c r="M634" s="109"/>
      <c r="N634" s="13"/>
      <c r="O634" s="24">
        <v>41333</v>
      </c>
      <c r="P634" s="13" t="s">
        <v>5613</v>
      </c>
      <c r="Q634" s="13" t="s">
        <v>5591</v>
      </c>
      <c r="R634" s="13" t="s">
        <v>2244</v>
      </c>
      <c r="S634" s="109"/>
      <c r="T634" s="109"/>
      <c r="U634" s="112"/>
      <c r="V634" s="109"/>
      <c r="W634" s="109"/>
      <c r="X634" s="109"/>
    </row>
    <row r="635" spans="2:24">
      <c r="B635" s="109"/>
      <c r="C635" s="109"/>
      <c r="D635" s="20" t="str">
        <f t="shared" si="125"/>
        <v>Zomato</v>
      </c>
      <c r="E635" s="109"/>
      <c r="F635" s="112"/>
      <c r="G635" s="109"/>
      <c r="H635" s="109"/>
      <c r="I635" s="109"/>
      <c r="J635" s="109"/>
      <c r="K635" s="14" t="str">
        <f t="shared" si="126"/>
        <v>运营中</v>
      </c>
      <c r="L635" s="109"/>
      <c r="M635" s="109"/>
      <c r="N635" s="13"/>
      <c r="O635" s="24">
        <v>41180</v>
      </c>
      <c r="P635" s="13" t="s">
        <v>3648</v>
      </c>
      <c r="Q635" s="13" t="s">
        <v>6514</v>
      </c>
      <c r="R635" s="13" t="s">
        <v>2244</v>
      </c>
      <c r="S635" s="109"/>
      <c r="T635" s="109"/>
      <c r="U635" s="112"/>
      <c r="V635" s="109"/>
      <c r="W635" s="109"/>
      <c r="X635" s="109"/>
    </row>
    <row r="636" spans="2:24">
      <c r="B636" s="109"/>
      <c r="C636" s="109"/>
      <c r="D636" s="20" t="str">
        <f t="shared" si="125"/>
        <v>Zomato</v>
      </c>
      <c r="E636" s="109"/>
      <c r="F636" s="112"/>
      <c r="G636" s="109"/>
      <c r="H636" s="109"/>
      <c r="I636" s="109"/>
      <c r="J636" s="109"/>
      <c r="K636" s="14" t="str">
        <f t="shared" si="126"/>
        <v>运营中</v>
      </c>
      <c r="L636" s="109"/>
      <c r="M636" s="109"/>
      <c r="N636" s="13"/>
      <c r="O636" s="24">
        <v>40814</v>
      </c>
      <c r="P636" s="13" t="s">
        <v>3513</v>
      </c>
      <c r="Q636" s="13" t="s">
        <v>6386</v>
      </c>
      <c r="R636" s="13" t="s">
        <v>2244</v>
      </c>
      <c r="S636" s="109"/>
      <c r="T636" s="109"/>
      <c r="U636" s="112"/>
      <c r="V636" s="109"/>
      <c r="W636" s="109"/>
      <c r="X636" s="109"/>
    </row>
    <row r="637" spans="2:24">
      <c r="B637" s="109"/>
      <c r="C637" s="109" t="s">
        <v>2246</v>
      </c>
      <c r="D637" s="20" t="s">
        <v>2247</v>
      </c>
      <c r="E637" s="109" t="s">
        <v>2247</v>
      </c>
      <c r="F637" s="112" t="s">
        <v>6515</v>
      </c>
      <c r="G637" s="109"/>
      <c r="H637" s="109" t="s">
        <v>2249</v>
      </c>
      <c r="I637" s="109" t="s">
        <v>496</v>
      </c>
      <c r="J637" s="109" t="s">
        <v>1780</v>
      </c>
      <c r="K637" s="14" t="s">
        <v>272</v>
      </c>
      <c r="L637" s="109" t="s">
        <v>4472</v>
      </c>
      <c r="M637" s="109" t="s">
        <v>5780</v>
      </c>
      <c r="N637" s="13">
        <v>1</v>
      </c>
      <c r="O637" s="24">
        <v>45126</v>
      </c>
      <c r="P637" s="13" t="s">
        <v>1045</v>
      </c>
      <c r="Q637" s="13" t="s">
        <v>6516</v>
      </c>
      <c r="R637" s="13" t="s">
        <v>1751</v>
      </c>
      <c r="S637" s="109" t="s">
        <v>6517</v>
      </c>
      <c r="T637" s="109" t="s">
        <v>6518</v>
      </c>
      <c r="U637" s="112" t="s">
        <v>2253</v>
      </c>
      <c r="V637" s="109"/>
      <c r="W637" s="109"/>
      <c r="X637" s="109"/>
    </row>
    <row r="638" spans="2:24">
      <c r="B638" s="109"/>
      <c r="C638" s="109"/>
      <c r="D638" s="20" t="str">
        <f>D637</f>
        <v>Lazada</v>
      </c>
      <c r="E638" s="109"/>
      <c r="F638" s="112"/>
      <c r="G638" s="109"/>
      <c r="H638" s="109"/>
      <c r="I638" s="109"/>
      <c r="J638" s="109"/>
      <c r="K638" s="14" t="str">
        <f t="shared" ref="K638:K642" si="127">K637</f>
        <v>运营中</v>
      </c>
      <c r="L638" s="109"/>
      <c r="M638" s="109"/>
      <c r="N638" s="13">
        <v>1</v>
      </c>
      <c r="O638" s="24">
        <v>44903</v>
      </c>
      <c r="P638" s="13" t="s">
        <v>1045</v>
      </c>
      <c r="Q638" s="13" t="s">
        <v>6519</v>
      </c>
      <c r="R638" s="13" t="s">
        <v>1751</v>
      </c>
      <c r="S638" s="109"/>
      <c r="T638" s="109"/>
      <c r="U638" s="112"/>
      <c r="V638" s="109"/>
      <c r="W638" s="109"/>
      <c r="X638" s="109"/>
    </row>
    <row r="639" spans="2:24">
      <c r="B639" s="109"/>
      <c r="C639" s="109"/>
      <c r="D639" s="20" t="str">
        <f>D638</f>
        <v>Lazada</v>
      </c>
      <c r="E639" s="109"/>
      <c r="F639" s="112"/>
      <c r="G639" s="109"/>
      <c r="H639" s="109"/>
      <c r="I639" s="109"/>
      <c r="J639" s="109"/>
      <c r="K639" s="14" t="str">
        <f t="shared" si="127"/>
        <v>运营中</v>
      </c>
      <c r="L639" s="109"/>
      <c r="M639" s="109"/>
      <c r="N639" s="13">
        <v>1</v>
      </c>
      <c r="O639" s="24">
        <v>43178</v>
      </c>
      <c r="P639" s="13" t="s">
        <v>1045</v>
      </c>
      <c r="Q639" s="13" t="s">
        <v>5638</v>
      </c>
      <c r="R639" s="13" t="s">
        <v>1751</v>
      </c>
      <c r="S639" s="109"/>
      <c r="T639" s="109"/>
      <c r="U639" s="112"/>
      <c r="V639" s="109"/>
      <c r="W639" s="109"/>
      <c r="X639" s="109"/>
    </row>
    <row r="640" spans="2:24">
      <c r="B640" s="109"/>
      <c r="C640" s="109"/>
      <c r="D640" s="20" t="str">
        <f>D639</f>
        <v>Lazada</v>
      </c>
      <c r="E640" s="109"/>
      <c r="F640" s="112"/>
      <c r="G640" s="109"/>
      <c r="H640" s="109"/>
      <c r="I640" s="109"/>
      <c r="J640" s="109"/>
      <c r="K640" s="14" t="str">
        <f t="shared" si="127"/>
        <v>运营中</v>
      </c>
      <c r="L640" s="109"/>
      <c r="M640" s="109"/>
      <c r="N640" s="13">
        <v>1</v>
      </c>
      <c r="O640" s="24">
        <v>42916</v>
      </c>
      <c r="P640" s="13" t="s">
        <v>1045</v>
      </c>
      <c r="Q640" s="13" t="s">
        <v>5637</v>
      </c>
      <c r="R640" s="13" t="s">
        <v>1751</v>
      </c>
      <c r="S640" s="109"/>
      <c r="T640" s="109"/>
      <c r="U640" s="112"/>
      <c r="V640" s="109"/>
      <c r="W640" s="109"/>
      <c r="X640" s="109"/>
    </row>
    <row r="641" spans="2:24">
      <c r="B641" s="109"/>
      <c r="C641" s="109"/>
      <c r="D641" s="20" t="str">
        <f>D640</f>
        <v>Lazada</v>
      </c>
      <c r="E641" s="109"/>
      <c r="F641" s="112"/>
      <c r="G641" s="109"/>
      <c r="H641" s="109"/>
      <c r="I641" s="109"/>
      <c r="J641" s="109"/>
      <c r="K641" s="14" t="str">
        <f t="shared" si="127"/>
        <v>运营中</v>
      </c>
      <c r="L641" s="109"/>
      <c r="M641" s="109"/>
      <c r="N641" s="13">
        <v>1</v>
      </c>
      <c r="O641" s="24">
        <v>42472</v>
      </c>
      <c r="P641" s="13" t="s">
        <v>5709</v>
      </c>
      <c r="Q641" s="13" t="s">
        <v>5637</v>
      </c>
      <c r="R641" s="13" t="s">
        <v>1751</v>
      </c>
      <c r="S641" s="109"/>
      <c r="T641" s="109"/>
      <c r="U641" s="112"/>
      <c r="V641" s="109"/>
      <c r="W641" s="109"/>
      <c r="X641" s="109"/>
    </row>
    <row r="642" spans="2:24">
      <c r="B642" s="109"/>
      <c r="C642" s="109"/>
      <c r="D642" s="20" t="str">
        <f>D641</f>
        <v>Lazada</v>
      </c>
      <c r="E642" s="109"/>
      <c r="F642" s="112"/>
      <c r="G642" s="109"/>
      <c r="H642" s="109"/>
      <c r="I642" s="109"/>
      <c r="J642" s="109"/>
      <c r="K642" s="14" t="str">
        <f t="shared" si="127"/>
        <v>运营中</v>
      </c>
      <c r="L642" s="109"/>
      <c r="M642" s="109"/>
      <c r="N642" s="13">
        <v>1</v>
      </c>
      <c r="O642" s="24">
        <v>41976</v>
      </c>
      <c r="P642" s="13" t="s">
        <v>5635</v>
      </c>
      <c r="Q642" s="13" t="s">
        <v>6520</v>
      </c>
      <c r="R642" s="13" t="s">
        <v>2256</v>
      </c>
      <c r="S642" s="109"/>
      <c r="T642" s="109"/>
      <c r="U642" s="112"/>
      <c r="V642" s="109"/>
      <c r="W642" s="109"/>
      <c r="X642" s="109"/>
    </row>
    <row r="643" spans="2:24" ht="161">
      <c r="B643" s="109"/>
      <c r="C643" s="13" t="s">
        <v>2257</v>
      </c>
      <c r="D643" s="25" t="s">
        <v>2258</v>
      </c>
      <c r="E643" s="13" t="s">
        <v>2258</v>
      </c>
      <c r="F643" s="18" t="s">
        <v>6521</v>
      </c>
      <c r="G643" s="13"/>
      <c r="H643" s="13" t="s">
        <v>2260</v>
      </c>
      <c r="I643" s="13" t="s">
        <v>712</v>
      </c>
      <c r="J643" s="13" t="s">
        <v>2261</v>
      </c>
      <c r="K643" s="19" t="s">
        <v>272</v>
      </c>
      <c r="L643" s="13" t="s">
        <v>5472</v>
      </c>
      <c r="M643" s="13" t="s">
        <v>5473</v>
      </c>
      <c r="N643" s="13"/>
      <c r="O643" s="24">
        <v>41988</v>
      </c>
      <c r="P643" s="13" t="s">
        <v>5613</v>
      </c>
      <c r="Q643" s="13" t="s">
        <v>5000</v>
      </c>
      <c r="R643" s="13" t="s">
        <v>810</v>
      </c>
      <c r="S643" s="13" t="s">
        <v>6522</v>
      </c>
      <c r="T643" s="13" t="s">
        <v>3664</v>
      </c>
      <c r="U643" s="18" t="s">
        <v>2263</v>
      </c>
      <c r="V643" s="13"/>
      <c r="W643" s="13"/>
      <c r="X643" s="13"/>
    </row>
    <row r="644" spans="2:24" ht="48">
      <c r="B644" s="109"/>
      <c r="C644" s="13" t="s">
        <v>2264</v>
      </c>
      <c r="D644" s="25" t="s">
        <v>6523</v>
      </c>
      <c r="E644" s="13" t="s">
        <v>6524</v>
      </c>
      <c r="F644" s="18" t="s">
        <v>6525</v>
      </c>
      <c r="G644" s="13" t="s">
        <v>6526</v>
      </c>
      <c r="H644" s="13" t="s">
        <v>2269</v>
      </c>
      <c r="I644" s="13" t="s">
        <v>371</v>
      </c>
      <c r="J644" s="13" t="s">
        <v>385</v>
      </c>
      <c r="K644" s="19" t="s">
        <v>272</v>
      </c>
      <c r="L644" s="13" t="s">
        <v>6329</v>
      </c>
      <c r="M644" s="13" t="s">
        <v>6527</v>
      </c>
      <c r="N644" s="13"/>
      <c r="O644" s="24">
        <v>42486</v>
      </c>
      <c r="P644" s="13" t="s">
        <v>3513</v>
      </c>
      <c r="Q644" s="13" t="s">
        <v>6528</v>
      </c>
      <c r="R644" s="13" t="s">
        <v>2272</v>
      </c>
      <c r="S644" s="13" t="s">
        <v>6529</v>
      </c>
      <c r="T644" s="13" t="s">
        <v>6530</v>
      </c>
      <c r="U644" s="18" t="s">
        <v>2275</v>
      </c>
      <c r="V644" s="13" t="s">
        <v>2276</v>
      </c>
      <c r="W644" s="13" t="s">
        <v>2277</v>
      </c>
      <c r="X644" s="13" t="s">
        <v>2278</v>
      </c>
    </row>
    <row r="645" spans="2:24">
      <c r="B645" s="109"/>
      <c r="C645" s="109" t="s">
        <v>2279</v>
      </c>
      <c r="D645" s="20" t="s">
        <v>2280</v>
      </c>
      <c r="E645" s="109" t="s">
        <v>2280</v>
      </c>
      <c r="F645" s="112" t="s">
        <v>6531</v>
      </c>
      <c r="G645" s="109"/>
      <c r="H645" s="109" t="s">
        <v>2282</v>
      </c>
      <c r="I645" s="109" t="s">
        <v>334</v>
      </c>
      <c r="J645" s="109" t="s">
        <v>1564</v>
      </c>
      <c r="K645" s="14" t="s">
        <v>272</v>
      </c>
      <c r="L645" s="109" t="s">
        <v>5821</v>
      </c>
      <c r="M645" s="109" t="s">
        <v>5900</v>
      </c>
      <c r="N645" s="13">
        <v>1</v>
      </c>
      <c r="O645" s="24">
        <v>43320</v>
      </c>
      <c r="P645" s="13" t="s">
        <v>5810</v>
      </c>
      <c r="Q645" s="13" t="s">
        <v>5796</v>
      </c>
      <c r="R645" s="13" t="s">
        <v>2283</v>
      </c>
      <c r="S645" s="109" t="s">
        <v>6532</v>
      </c>
      <c r="T645" s="109" t="s">
        <v>6533</v>
      </c>
      <c r="U645" s="112" t="s">
        <v>6534</v>
      </c>
      <c r="V645" s="109"/>
      <c r="W645" s="109"/>
      <c r="X645" s="109"/>
    </row>
    <row r="646" spans="2:24">
      <c r="B646" s="109"/>
      <c r="C646" s="109"/>
      <c r="D646" s="20" t="str">
        <f t="shared" ref="D646:D654" si="128">D645</f>
        <v>Snapchat</v>
      </c>
      <c r="E646" s="109"/>
      <c r="F646" s="112"/>
      <c r="G646" s="109"/>
      <c r="H646" s="109"/>
      <c r="I646" s="109"/>
      <c r="J646" s="109"/>
      <c r="K646" s="14" t="str">
        <f t="shared" ref="K646:K654" si="129">K645</f>
        <v>运营中</v>
      </c>
      <c r="L646" s="109"/>
      <c r="M646" s="109"/>
      <c r="N646" s="13">
        <v>1</v>
      </c>
      <c r="O646" s="24">
        <v>43047</v>
      </c>
      <c r="P646" s="13" t="s">
        <v>5810</v>
      </c>
      <c r="Q646" s="13" t="s">
        <v>5529</v>
      </c>
      <c r="R646" s="13" t="s">
        <v>5755</v>
      </c>
      <c r="S646" s="109"/>
      <c r="T646" s="109"/>
      <c r="U646" s="112"/>
      <c r="V646" s="109"/>
      <c r="W646" s="109"/>
      <c r="X646" s="109"/>
    </row>
    <row r="647" spans="2:24">
      <c r="B647" s="109"/>
      <c r="C647" s="109"/>
      <c r="D647" s="20" t="str">
        <f t="shared" si="128"/>
        <v>Snapchat</v>
      </c>
      <c r="E647" s="109"/>
      <c r="F647" s="112"/>
      <c r="G647" s="109"/>
      <c r="H647" s="109"/>
      <c r="I647" s="109"/>
      <c r="J647" s="109"/>
      <c r="K647" s="14" t="str">
        <f t="shared" si="129"/>
        <v>运营中</v>
      </c>
      <c r="L647" s="109"/>
      <c r="M647" s="109"/>
      <c r="N647" s="13">
        <v>1</v>
      </c>
      <c r="O647" s="24">
        <v>42797</v>
      </c>
      <c r="P647" s="13" t="s">
        <v>5625</v>
      </c>
      <c r="Q647" s="13" t="s">
        <v>6535</v>
      </c>
      <c r="R647" s="13" t="s">
        <v>253</v>
      </c>
      <c r="S647" s="109"/>
      <c r="T647" s="109"/>
      <c r="U647" s="112"/>
      <c r="V647" s="109"/>
      <c r="W647" s="109"/>
      <c r="X647" s="109"/>
    </row>
    <row r="648" spans="2:24">
      <c r="B648" s="109"/>
      <c r="C648" s="109"/>
      <c r="D648" s="20" t="str">
        <f t="shared" si="128"/>
        <v>Snapchat</v>
      </c>
      <c r="E648" s="109"/>
      <c r="F648" s="112"/>
      <c r="G648" s="109"/>
      <c r="H648" s="109"/>
      <c r="I648" s="109"/>
      <c r="J648" s="109"/>
      <c r="K648" s="14" t="str">
        <f t="shared" si="129"/>
        <v>运营中</v>
      </c>
      <c r="L648" s="109"/>
      <c r="M648" s="109"/>
      <c r="N648" s="13">
        <v>1</v>
      </c>
      <c r="O648" s="24">
        <v>42517</v>
      </c>
      <c r="P648" s="13" t="s">
        <v>5635</v>
      </c>
      <c r="Q648" s="13" t="s">
        <v>6536</v>
      </c>
      <c r="R648" s="13" t="s">
        <v>6216</v>
      </c>
      <c r="S648" s="109"/>
      <c r="T648" s="109"/>
      <c r="U648" s="112"/>
      <c r="V648" s="109"/>
      <c r="W648" s="109"/>
      <c r="X648" s="109"/>
    </row>
    <row r="649" spans="2:24">
      <c r="B649" s="109"/>
      <c r="C649" s="109"/>
      <c r="D649" s="20" t="str">
        <f t="shared" si="128"/>
        <v>Snapchat</v>
      </c>
      <c r="E649" s="109"/>
      <c r="F649" s="112"/>
      <c r="G649" s="109"/>
      <c r="H649" s="109"/>
      <c r="I649" s="109"/>
      <c r="J649" s="109"/>
      <c r="K649" s="14" t="str">
        <f t="shared" si="129"/>
        <v>运营中</v>
      </c>
      <c r="L649" s="109"/>
      <c r="M649" s="109"/>
      <c r="N649" s="13">
        <v>1</v>
      </c>
      <c r="O649" s="24">
        <v>42153</v>
      </c>
      <c r="P649" s="13" t="s">
        <v>5635</v>
      </c>
      <c r="Q649" s="13" t="s">
        <v>6537</v>
      </c>
      <c r="R649" s="13" t="s">
        <v>6216</v>
      </c>
      <c r="S649" s="109"/>
      <c r="T649" s="109"/>
      <c r="U649" s="112"/>
      <c r="V649" s="109"/>
      <c r="W649" s="109"/>
      <c r="X649" s="109"/>
    </row>
    <row r="650" spans="2:24">
      <c r="B650" s="109"/>
      <c r="C650" s="109"/>
      <c r="D650" s="20" t="str">
        <f t="shared" si="128"/>
        <v>Snapchat</v>
      </c>
      <c r="E650" s="109"/>
      <c r="F650" s="112"/>
      <c r="G650" s="109"/>
      <c r="H650" s="109"/>
      <c r="I650" s="109"/>
      <c r="J650" s="109"/>
      <c r="K650" s="14" t="str">
        <f t="shared" si="129"/>
        <v>运营中</v>
      </c>
      <c r="L650" s="109"/>
      <c r="M650" s="109"/>
      <c r="N650" s="13">
        <v>1</v>
      </c>
      <c r="O650" s="24">
        <v>42076</v>
      </c>
      <c r="P650" s="13" t="s">
        <v>3276</v>
      </c>
      <c r="Q650" s="13" t="s">
        <v>2714</v>
      </c>
      <c r="R650" s="13" t="s">
        <v>1751</v>
      </c>
      <c r="S650" s="109"/>
      <c r="T650" s="109"/>
      <c r="U650" s="112"/>
      <c r="V650" s="109"/>
      <c r="W650" s="109"/>
      <c r="X650" s="109"/>
    </row>
    <row r="651" spans="2:24">
      <c r="B651" s="109"/>
      <c r="C651" s="109"/>
      <c r="D651" s="20" t="str">
        <f t="shared" si="128"/>
        <v>Snapchat</v>
      </c>
      <c r="E651" s="109"/>
      <c r="F651" s="112"/>
      <c r="G651" s="109"/>
      <c r="H651" s="109"/>
      <c r="I651" s="109"/>
      <c r="J651" s="109"/>
      <c r="K651" s="14" t="str">
        <f t="shared" si="129"/>
        <v>运营中</v>
      </c>
      <c r="L651" s="109"/>
      <c r="M651" s="109"/>
      <c r="N651" s="13">
        <v>1</v>
      </c>
      <c r="O651" s="24">
        <v>42004</v>
      </c>
      <c r="P651" s="13" t="s">
        <v>1827</v>
      </c>
      <c r="Q651" s="13" t="s">
        <v>6420</v>
      </c>
      <c r="R651" s="13" t="s">
        <v>6538</v>
      </c>
      <c r="S651" s="109"/>
      <c r="T651" s="109"/>
      <c r="U651" s="112"/>
      <c r="V651" s="109"/>
      <c r="W651" s="109"/>
      <c r="X651" s="109"/>
    </row>
    <row r="652" spans="2:24">
      <c r="B652" s="109"/>
      <c r="C652" s="109"/>
      <c r="D652" s="20" t="str">
        <f t="shared" si="128"/>
        <v>Snapchat</v>
      </c>
      <c r="E652" s="109"/>
      <c r="F652" s="112"/>
      <c r="G652" s="109"/>
      <c r="H652" s="109"/>
      <c r="I652" s="109"/>
      <c r="J652" s="109"/>
      <c r="K652" s="14" t="str">
        <f t="shared" si="129"/>
        <v>运营中</v>
      </c>
      <c r="L652" s="109"/>
      <c r="M652" s="109"/>
      <c r="N652" s="13">
        <v>1</v>
      </c>
      <c r="O652" s="24">
        <v>41619</v>
      </c>
      <c r="P652" s="13" t="s">
        <v>5613</v>
      </c>
      <c r="Q652" s="13" t="s">
        <v>5360</v>
      </c>
      <c r="R652" s="13" t="s">
        <v>2291</v>
      </c>
      <c r="S652" s="109"/>
      <c r="T652" s="109"/>
      <c r="U652" s="112"/>
      <c r="V652" s="109"/>
      <c r="W652" s="109"/>
      <c r="X652" s="109"/>
    </row>
    <row r="653" spans="2:24">
      <c r="B653" s="109"/>
      <c r="C653" s="109"/>
      <c r="D653" s="20" t="str">
        <f t="shared" si="128"/>
        <v>Snapchat</v>
      </c>
      <c r="E653" s="109"/>
      <c r="F653" s="112"/>
      <c r="G653" s="109"/>
      <c r="H653" s="109"/>
      <c r="I653" s="109"/>
      <c r="J653" s="109"/>
      <c r="K653" s="14" t="str">
        <f t="shared" si="129"/>
        <v>运营中</v>
      </c>
      <c r="L653" s="109"/>
      <c r="M653" s="109"/>
      <c r="N653" s="13">
        <v>1</v>
      </c>
      <c r="O653" s="24">
        <v>41447</v>
      </c>
      <c r="P653" s="13" t="s">
        <v>3648</v>
      </c>
      <c r="Q653" s="13" t="s">
        <v>5907</v>
      </c>
      <c r="R653" s="13" t="s">
        <v>2292</v>
      </c>
      <c r="S653" s="109"/>
      <c r="T653" s="109"/>
      <c r="U653" s="112"/>
      <c r="V653" s="109"/>
      <c r="W653" s="109"/>
      <c r="X653" s="109"/>
    </row>
    <row r="654" spans="2:24">
      <c r="B654" s="109"/>
      <c r="C654" s="109"/>
      <c r="D654" s="20" t="str">
        <f t="shared" si="128"/>
        <v>Snapchat</v>
      </c>
      <c r="E654" s="109"/>
      <c r="F654" s="112"/>
      <c r="G654" s="109"/>
      <c r="H654" s="109"/>
      <c r="I654" s="109"/>
      <c r="J654" s="109"/>
      <c r="K654" s="14" t="str">
        <f t="shared" si="129"/>
        <v>运营中</v>
      </c>
      <c r="L654" s="109"/>
      <c r="M654" s="109"/>
      <c r="N654" s="13">
        <v>1</v>
      </c>
      <c r="O654" s="24">
        <v>41255</v>
      </c>
      <c r="P654" s="13" t="s">
        <v>3513</v>
      </c>
      <c r="Q654" s="13" t="s">
        <v>6539</v>
      </c>
      <c r="R654" s="13" t="s">
        <v>6540</v>
      </c>
      <c r="S654" s="109"/>
      <c r="T654" s="109"/>
      <c r="U654" s="112"/>
      <c r="V654" s="109"/>
      <c r="W654" s="109"/>
      <c r="X654" s="109"/>
    </row>
    <row r="655" spans="2:24">
      <c r="B655" s="109"/>
      <c r="C655" s="109" t="s">
        <v>2295</v>
      </c>
      <c r="D655" s="20" t="s">
        <v>6541</v>
      </c>
      <c r="E655" s="109" t="s">
        <v>6542</v>
      </c>
      <c r="F655" s="112" t="s">
        <v>6543</v>
      </c>
      <c r="G655" s="109" t="s">
        <v>6544</v>
      </c>
      <c r="H655" s="109" t="s">
        <v>2299</v>
      </c>
      <c r="I655" s="109" t="s">
        <v>1563</v>
      </c>
      <c r="J655" s="109" t="s">
        <v>2300</v>
      </c>
      <c r="K655" s="14" t="s">
        <v>272</v>
      </c>
      <c r="L655" s="109" t="s">
        <v>2711</v>
      </c>
      <c r="M655" s="109" t="s">
        <v>4903</v>
      </c>
      <c r="N655" s="13">
        <v>1</v>
      </c>
      <c r="O655" s="24">
        <v>42640</v>
      </c>
      <c r="P655" s="13" t="s">
        <v>5709</v>
      </c>
      <c r="Q655" s="13" t="s">
        <v>6545</v>
      </c>
      <c r="R655" s="13" t="s">
        <v>6546</v>
      </c>
      <c r="S655" s="109" t="s">
        <v>6547</v>
      </c>
      <c r="T655" s="109" t="s">
        <v>6548</v>
      </c>
      <c r="U655" s="112" t="s">
        <v>2305</v>
      </c>
      <c r="V655" s="109"/>
      <c r="W655" s="109"/>
      <c r="X655" s="109"/>
    </row>
    <row r="656" spans="2:24">
      <c r="B656" s="109"/>
      <c r="C656" s="109"/>
      <c r="D656" s="20" t="str">
        <f>D655</f>
        <v>九五智驾网</v>
      </c>
      <c r="E656" s="109"/>
      <c r="F656" s="112"/>
      <c r="G656" s="109"/>
      <c r="H656" s="109"/>
      <c r="I656" s="109"/>
      <c r="J656" s="109"/>
      <c r="K656" s="14" t="str">
        <f t="shared" ref="K656:K657" si="130">K655</f>
        <v>运营中</v>
      </c>
      <c r="L656" s="109"/>
      <c r="M656" s="109"/>
      <c r="N656" s="13">
        <v>1</v>
      </c>
      <c r="O656" s="24">
        <v>42230</v>
      </c>
      <c r="P656" s="13" t="s">
        <v>3648</v>
      </c>
      <c r="Q656" s="13" t="s">
        <v>2030</v>
      </c>
      <c r="R656" s="13" t="s">
        <v>6549</v>
      </c>
      <c r="S656" s="109"/>
      <c r="T656" s="109"/>
      <c r="U656" s="112"/>
      <c r="V656" s="109"/>
      <c r="W656" s="109"/>
      <c r="X656" s="109"/>
    </row>
    <row r="657" spans="2:24">
      <c r="B657" s="109"/>
      <c r="C657" s="109"/>
      <c r="D657" s="20" t="str">
        <f>D656</f>
        <v>九五智驾网</v>
      </c>
      <c r="E657" s="109"/>
      <c r="F657" s="112"/>
      <c r="G657" s="109"/>
      <c r="H657" s="109"/>
      <c r="I657" s="109"/>
      <c r="J657" s="109"/>
      <c r="K657" s="14" t="str">
        <f t="shared" si="130"/>
        <v>运营中</v>
      </c>
      <c r="L657" s="109"/>
      <c r="M657" s="109"/>
      <c r="N657" s="13">
        <v>1</v>
      </c>
      <c r="O657" s="24">
        <v>41429</v>
      </c>
      <c r="P657" s="13" t="s">
        <v>3513</v>
      </c>
      <c r="Q657" s="13" t="s">
        <v>2030</v>
      </c>
      <c r="R657" s="13" t="s">
        <v>2307</v>
      </c>
      <c r="S657" s="109"/>
      <c r="T657" s="109"/>
      <c r="U657" s="112"/>
      <c r="V657" s="109"/>
      <c r="W657" s="109"/>
      <c r="X657" s="109"/>
    </row>
    <row r="658" spans="2:24" ht="36">
      <c r="B658" s="109"/>
      <c r="C658" s="13" t="s">
        <v>2308</v>
      </c>
      <c r="D658" s="25" t="s">
        <v>6550</v>
      </c>
      <c r="E658" s="13" t="s">
        <v>6551</v>
      </c>
      <c r="F658" s="18" t="s">
        <v>2310</v>
      </c>
      <c r="G658" s="13" t="s">
        <v>6552</v>
      </c>
      <c r="H658" s="13" t="s">
        <v>2312</v>
      </c>
      <c r="I658" s="13" t="s">
        <v>2313</v>
      </c>
      <c r="J658" s="13" t="s">
        <v>406</v>
      </c>
      <c r="K658" s="19" t="s">
        <v>272</v>
      </c>
      <c r="L658" s="13" t="s">
        <v>4472</v>
      </c>
      <c r="M658" s="13" t="s">
        <v>6553</v>
      </c>
      <c r="N658" s="13">
        <v>1</v>
      </c>
      <c r="O658" s="24">
        <v>43714</v>
      </c>
      <c r="P658" s="13" t="s">
        <v>5709</v>
      </c>
      <c r="Q658" s="13" t="s">
        <v>5638</v>
      </c>
      <c r="R658" s="13" t="s">
        <v>1751</v>
      </c>
      <c r="S658" s="13" t="s">
        <v>6554</v>
      </c>
      <c r="T658" s="13" t="s">
        <v>6555</v>
      </c>
      <c r="U658" s="18" t="s">
        <v>2317</v>
      </c>
      <c r="V658" s="13" t="s">
        <v>2318</v>
      </c>
      <c r="W658" s="13">
        <v>95163111</v>
      </c>
      <c r="X658" s="13" t="s">
        <v>2319</v>
      </c>
    </row>
    <row r="659" spans="2:24">
      <c r="B659" s="109"/>
      <c r="C659" s="109" t="s">
        <v>2320</v>
      </c>
      <c r="D659" s="20" t="s">
        <v>6556</v>
      </c>
      <c r="E659" s="109" t="s">
        <v>6557</v>
      </c>
      <c r="F659" s="112" t="s">
        <v>2322</v>
      </c>
      <c r="G659" s="109" t="s">
        <v>6558</v>
      </c>
      <c r="H659" s="109"/>
      <c r="I659" s="109" t="s">
        <v>2324</v>
      </c>
      <c r="J659" s="109" t="s">
        <v>2325</v>
      </c>
      <c r="K659" s="14" t="s">
        <v>272</v>
      </c>
      <c r="L659" s="109" t="s">
        <v>4162</v>
      </c>
      <c r="M659" s="109" t="s">
        <v>6308</v>
      </c>
      <c r="N659" s="13">
        <v>1</v>
      </c>
      <c r="O659" s="24">
        <v>44152</v>
      </c>
      <c r="P659" s="13" t="s">
        <v>5810</v>
      </c>
      <c r="Q659" s="13" t="s">
        <v>6559</v>
      </c>
      <c r="R659" s="13" t="s">
        <v>1751</v>
      </c>
      <c r="S659" s="109" t="s">
        <v>6560</v>
      </c>
      <c r="T659" s="109" t="s">
        <v>6561</v>
      </c>
      <c r="U659" s="112" t="s">
        <v>2329</v>
      </c>
      <c r="V659" s="109"/>
      <c r="W659" s="109"/>
      <c r="X659" s="109"/>
    </row>
    <row r="660" spans="2:24">
      <c r="B660" s="109"/>
      <c r="C660" s="109"/>
      <c r="D660" s="20" t="str">
        <f>D659</f>
        <v>芒果超媒</v>
      </c>
      <c r="E660" s="109"/>
      <c r="F660" s="112"/>
      <c r="G660" s="109"/>
      <c r="H660" s="109"/>
      <c r="I660" s="109"/>
      <c r="J660" s="109"/>
      <c r="K660" s="14" t="str">
        <f t="shared" ref="K660:K664" si="131">K659</f>
        <v>运营中</v>
      </c>
      <c r="L660" s="109"/>
      <c r="M660" s="109"/>
      <c r="N660" s="13">
        <v>1</v>
      </c>
      <c r="O660" s="24">
        <v>43613</v>
      </c>
      <c r="P660" s="13" t="s">
        <v>5810</v>
      </c>
      <c r="Q660" s="13" t="s">
        <v>5082</v>
      </c>
      <c r="R660" s="13" t="s">
        <v>2331</v>
      </c>
      <c r="S660" s="109"/>
      <c r="T660" s="109"/>
      <c r="U660" s="112"/>
      <c r="V660" s="109"/>
      <c r="W660" s="109"/>
      <c r="X660" s="109"/>
    </row>
    <row r="661" spans="2:24">
      <c r="B661" s="109"/>
      <c r="C661" s="109"/>
      <c r="D661" s="20" t="str">
        <f>D660</f>
        <v>芒果超媒</v>
      </c>
      <c r="E661" s="109"/>
      <c r="F661" s="112"/>
      <c r="G661" s="109"/>
      <c r="H661" s="109"/>
      <c r="I661" s="109"/>
      <c r="J661" s="109"/>
      <c r="K661" s="14" t="str">
        <f t="shared" si="131"/>
        <v>运营中</v>
      </c>
      <c r="L661" s="109"/>
      <c r="M661" s="109"/>
      <c r="N661" s="13">
        <v>1</v>
      </c>
      <c r="O661" s="24">
        <v>42025</v>
      </c>
      <c r="P661" s="13" t="s">
        <v>5625</v>
      </c>
      <c r="Q661" s="13" t="s">
        <v>6562</v>
      </c>
      <c r="R661" s="13" t="s">
        <v>253</v>
      </c>
      <c r="S661" s="109"/>
      <c r="T661" s="109"/>
      <c r="U661" s="112"/>
      <c r="V661" s="109"/>
      <c r="W661" s="109"/>
      <c r="X661" s="109"/>
    </row>
    <row r="662" spans="2:24">
      <c r="B662" s="109"/>
      <c r="C662" s="109"/>
      <c r="D662" s="20" t="str">
        <f>D661</f>
        <v>芒果超媒</v>
      </c>
      <c r="E662" s="109"/>
      <c r="F662" s="112"/>
      <c r="G662" s="109"/>
      <c r="H662" s="109"/>
      <c r="I662" s="109"/>
      <c r="J662" s="109"/>
      <c r="K662" s="14" t="str">
        <f t="shared" si="131"/>
        <v>运营中</v>
      </c>
      <c r="L662" s="109"/>
      <c r="M662" s="109"/>
      <c r="N662" s="13">
        <v>1</v>
      </c>
      <c r="O662" s="24">
        <v>41819</v>
      </c>
      <c r="P662" s="13" t="s">
        <v>5613</v>
      </c>
      <c r="Q662" s="13" t="s">
        <v>6371</v>
      </c>
      <c r="R662" s="13" t="s">
        <v>2333</v>
      </c>
      <c r="S662" s="109"/>
      <c r="T662" s="109"/>
      <c r="U662" s="112"/>
      <c r="V662" s="109"/>
      <c r="W662" s="109"/>
      <c r="X662" s="109"/>
    </row>
    <row r="663" spans="2:24">
      <c r="B663" s="109"/>
      <c r="C663" s="109"/>
      <c r="D663" s="20" t="str">
        <f>D662</f>
        <v>芒果超媒</v>
      </c>
      <c r="E663" s="109"/>
      <c r="F663" s="112"/>
      <c r="G663" s="109"/>
      <c r="H663" s="109"/>
      <c r="I663" s="109"/>
      <c r="J663" s="109"/>
      <c r="K663" s="14" t="str">
        <f t="shared" si="131"/>
        <v>运营中</v>
      </c>
      <c r="L663" s="109"/>
      <c r="M663" s="109"/>
      <c r="N663" s="13">
        <v>1</v>
      </c>
      <c r="O663" s="24">
        <v>40602</v>
      </c>
      <c r="P663" s="13" t="s">
        <v>3648</v>
      </c>
      <c r="Q663" s="13" t="s">
        <v>6563</v>
      </c>
      <c r="R663" s="13" t="s">
        <v>2335</v>
      </c>
      <c r="S663" s="109"/>
      <c r="T663" s="109"/>
      <c r="U663" s="112"/>
      <c r="V663" s="109"/>
      <c r="W663" s="109"/>
      <c r="X663" s="109"/>
    </row>
    <row r="664" spans="2:24">
      <c r="B664" s="109"/>
      <c r="C664" s="109"/>
      <c r="D664" s="20" t="str">
        <f>D663</f>
        <v>芒果超媒</v>
      </c>
      <c r="E664" s="109"/>
      <c r="F664" s="112"/>
      <c r="G664" s="109"/>
      <c r="H664" s="109"/>
      <c r="I664" s="109"/>
      <c r="J664" s="109"/>
      <c r="K664" s="14" t="str">
        <f t="shared" si="131"/>
        <v>运营中</v>
      </c>
      <c r="L664" s="109"/>
      <c r="M664" s="109"/>
      <c r="N664" s="13">
        <v>1</v>
      </c>
      <c r="O664" s="24">
        <v>40269</v>
      </c>
      <c r="P664" s="13" t="s">
        <v>3513</v>
      </c>
      <c r="Q664" s="13" t="s">
        <v>6564</v>
      </c>
      <c r="R664" s="13" t="s">
        <v>2337</v>
      </c>
      <c r="S664" s="109"/>
      <c r="T664" s="109"/>
      <c r="U664" s="112"/>
      <c r="V664" s="109"/>
      <c r="W664" s="109"/>
      <c r="X664" s="109"/>
    </row>
    <row r="665" spans="2:24">
      <c r="B665" s="109"/>
      <c r="C665" s="109" t="s">
        <v>2338</v>
      </c>
      <c r="D665" s="20" t="s">
        <v>6565</v>
      </c>
      <c r="E665" s="109" t="s">
        <v>6566</v>
      </c>
      <c r="F665" s="112" t="s">
        <v>2340</v>
      </c>
      <c r="G665" s="109" t="s">
        <v>6567</v>
      </c>
      <c r="H665" s="109" t="s">
        <v>2342</v>
      </c>
      <c r="I665" s="109" t="s">
        <v>2343</v>
      </c>
      <c r="J665" s="109" t="s">
        <v>1192</v>
      </c>
      <c r="K665" s="14" t="s">
        <v>272</v>
      </c>
      <c r="L665" s="109" t="s">
        <v>4472</v>
      </c>
      <c r="M665" s="109" t="s">
        <v>6553</v>
      </c>
      <c r="N665" s="13">
        <v>1</v>
      </c>
      <c r="O665" s="24">
        <v>41711</v>
      </c>
      <c r="P665" s="13" t="s">
        <v>5709</v>
      </c>
      <c r="Q665" s="13" t="s">
        <v>2030</v>
      </c>
      <c r="R665" s="13" t="s">
        <v>1751</v>
      </c>
      <c r="S665" s="109" t="s">
        <v>253</v>
      </c>
      <c r="T665" s="109" t="s">
        <v>3664</v>
      </c>
      <c r="U665" s="112"/>
      <c r="V665" s="109"/>
      <c r="W665" s="109"/>
      <c r="X665" s="109"/>
    </row>
    <row r="666" spans="2:24">
      <c r="B666" s="109"/>
      <c r="C666" s="109"/>
      <c r="D666" s="20" t="str">
        <f>D665</f>
        <v>一达通</v>
      </c>
      <c r="E666" s="109"/>
      <c r="F666" s="112"/>
      <c r="G666" s="109"/>
      <c r="H666" s="109"/>
      <c r="I666" s="109"/>
      <c r="J666" s="109"/>
      <c r="K666" s="14" t="str">
        <f>K665</f>
        <v>运营中</v>
      </c>
      <c r="L666" s="109"/>
      <c r="M666" s="109"/>
      <c r="N666" s="13">
        <v>1</v>
      </c>
      <c r="O666" s="24">
        <v>40483</v>
      </c>
      <c r="P666" s="13" t="s">
        <v>5709</v>
      </c>
      <c r="Q666" s="13" t="s">
        <v>2030</v>
      </c>
      <c r="R666" s="13" t="s">
        <v>1751</v>
      </c>
      <c r="S666" s="109"/>
      <c r="T666" s="109"/>
      <c r="U666" s="112"/>
      <c r="V666" s="109"/>
      <c r="W666" s="109"/>
      <c r="X666" s="109"/>
    </row>
    <row r="667" spans="2:24">
      <c r="B667" s="109"/>
      <c r="C667" s="109" t="s">
        <v>2344</v>
      </c>
      <c r="D667" s="20" t="s">
        <v>2345</v>
      </c>
      <c r="E667" s="109" t="s">
        <v>2345</v>
      </c>
      <c r="F667" s="112" t="s">
        <v>6568</v>
      </c>
      <c r="G667" s="109"/>
      <c r="H667" s="109" t="s">
        <v>2347</v>
      </c>
      <c r="I667" s="109" t="s">
        <v>246</v>
      </c>
      <c r="J667" s="109" t="s">
        <v>1931</v>
      </c>
      <c r="K667" s="14" t="s">
        <v>272</v>
      </c>
      <c r="L667" s="109" t="s">
        <v>5651</v>
      </c>
      <c r="M667" s="109" t="s">
        <v>6569</v>
      </c>
      <c r="N667" s="13"/>
      <c r="O667" s="24">
        <v>42024</v>
      </c>
      <c r="P667" s="13" t="s">
        <v>3648</v>
      </c>
      <c r="Q667" s="13" t="s">
        <v>5705</v>
      </c>
      <c r="R667" s="13" t="s">
        <v>1751</v>
      </c>
      <c r="S667" s="109" t="s">
        <v>6570</v>
      </c>
      <c r="T667" s="109" t="s">
        <v>6571</v>
      </c>
      <c r="U667" s="112" t="s">
        <v>2351</v>
      </c>
      <c r="V667" s="109"/>
      <c r="W667" s="109"/>
      <c r="X667" s="109"/>
    </row>
    <row r="668" spans="2:24">
      <c r="B668" s="109"/>
      <c r="C668" s="109"/>
      <c r="D668" s="20" t="str">
        <f>D667</f>
        <v>Visualead</v>
      </c>
      <c r="E668" s="109"/>
      <c r="F668" s="112"/>
      <c r="G668" s="109"/>
      <c r="H668" s="109"/>
      <c r="I668" s="109"/>
      <c r="J668" s="109"/>
      <c r="K668" s="14" t="str">
        <f t="shared" ref="K668:K669" si="132">K667</f>
        <v>运营中</v>
      </c>
      <c r="L668" s="109"/>
      <c r="M668" s="109"/>
      <c r="N668" s="13"/>
      <c r="O668" s="24">
        <v>41501</v>
      </c>
      <c r="P668" s="13" t="s">
        <v>3513</v>
      </c>
      <c r="Q668" s="13" t="s">
        <v>6528</v>
      </c>
      <c r="R668" s="13" t="s">
        <v>253</v>
      </c>
      <c r="S668" s="109"/>
      <c r="T668" s="109"/>
      <c r="U668" s="112"/>
      <c r="V668" s="109"/>
      <c r="W668" s="109"/>
      <c r="X668" s="109"/>
    </row>
    <row r="669" spans="2:24">
      <c r="B669" s="109"/>
      <c r="C669" s="109"/>
      <c r="D669" s="20" t="str">
        <f>D668</f>
        <v>Visualead</v>
      </c>
      <c r="E669" s="109"/>
      <c r="F669" s="112"/>
      <c r="G669" s="109"/>
      <c r="H669" s="109"/>
      <c r="I669" s="109"/>
      <c r="J669" s="109"/>
      <c r="K669" s="14" t="str">
        <f t="shared" si="132"/>
        <v>运营中</v>
      </c>
      <c r="L669" s="109"/>
      <c r="M669" s="109"/>
      <c r="N669" s="13"/>
      <c r="O669" s="24">
        <v>41000</v>
      </c>
      <c r="P669" s="13" t="s">
        <v>5697</v>
      </c>
      <c r="Q669" s="13" t="s">
        <v>6572</v>
      </c>
      <c r="R669" s="13" t="s">
        <v>253</v>
      </c>
      <c r="S669" s="109"/>
      <c r="T669" s="109"/>
      <c r="U669" s="112"/>
      <c r="V669" s="109"/>
      <c r="W669" s="109"/>
      <c r="X669" s="109"/>
    </row>
    <row r="670" spans="2:24">
      <c r="B670" s="109"/>
      <c r="C670" s="109" t="s">
        <v>2353</v>
      </c>
      <c r="D670" s="20" t="s">
        <v>6573</v>
      </c>
      <c r="E670" s="109" t="s">
        <v>2355</v>
      </c>
      <c r="F670" s="112" t="s">
        <v>6574</v>
      </c>
      <c r="G670" s="109" t="s">
        <v>6575</v>
      </c>
      <c r="H670" s="109" t="s">
        <v>2358</v>
      </c>
      <c r="I670" s="109" t="s">
        <v>2359</v>
      </c>
      <c r="J670" s="109" t="s">
        <v>1041</v>
      </c>
      <c r="K670" s="14" t="s">
        <v>272</v>
      </c>
      <c r="L670" s="109" t="s">
        <v>1825</v>
      </c>
      <c r="M670" s="109" t="s">
        <v>5843</v>
      </c>
      <c r="N670" s="13"/>
      <c r="O670" s="24">
        <v>43354</v>
      </c>
      <c r="P670" s="13" t="s">
        <v>2029</v>
      </c>
      <c r="Q670" s="13" t="s">
        <v>6576</v>
      </c>
      <c r="R670" s="13" t="s">
        <v>2361</v>
      </c>
      <c r="S670" s="109" t="s">
        <v>6577</v>
      </c>
      <c r="T670" s="109" t="s">
        <v>6578</v>
      </c>
      <c r="U670" s="112" t="s">
        <v>2364</v>
      </c>
      <c r="V670" s="109" t="s">
        <v>2365</v>
      </c>
      <c r="W670" s="109" t="s">
        <v>2366</v>
      </c>
      <c r="X670" s="109" t="s">
        <v>2367</v>
      </c>
    </row>
    <row r="671" spans="2:24">
      <c r="B671" s="109"/>
      <c r="C671" s="109"/>
      <c r="D671" s="20" t="str">
        <f t="shared" ref="D671:D677" si="133">D670</f>
        <v>极链科技Video++</v>
      </c>
      <c r="E671" s="109"/>
      <c r="F671" s="112"/>
      <c r="G671" s="109"/>
      <c r="H671" s="109"/>
      <c r="I671" s="109"/>
      <c r="J671" s="109"/>
      <c r="K671" s="14" t="str">
        <f t="shared" ref="K671:K677" si="134">K670</f>
        <v>运营中</v>
      </c>
      <c r="L671" s="109"/>
      <c r="M671" s="109"/>
      <c r="N671" s="13"/>
      <c r="O671" s="24">
        <v>43221</v>
      </c>
      <c r="P671" s="13" t="s">
        <v>1045</v>
      </c>
      <c r="Q671" s="13" t="s">
        <v>6579</v>
      </c>
      <c r="R671" s="13" t="s">
        <v>6580</v>
      </c>
      <c r="S671" s="109"/>
      <c r="T671" s="109"/>
      <c r="U671" s="112"/>
      <c r="V671" s="109"/>
      <c r="W671" s="109"/>
      <c r="X671" s="109"/>
    </row>
    <row r="672" spans="2:24">
      <c r="B672" s="109"/>
      <c r="C672" s="109"/>
      <c r="D672" s="20" t="str">
        <f t="shared" si="133"/>
        <v>极链科技Video++</v>
      </c>
      <c r="E672" s="109"/>
      <c r="F672" s="112"/>
      <c r="G672" s="109"/>
      <c r="H672" s="109"/>
      <c r="I672" s="109"/>
      <c r="J672" s="109"/>
      <c r="K672" s="14" t="str">
        <f t="shared" si="134"/>
        <v>运营中</v>
      </c>
      <c r="L672" s="109"/>
      <c r="M672" s="109"/>
      <c r="N672" s="13"/>
      <c r="O672" s="24">
        <v>43206</v>
      </c>
      <c r="P672" s="13" t="s">
        <v>5613</v>
      </c>
      <c r="Q672" s="13" t="s">
        <v>6581</v>
      </c>
      <c r="R672" s="13" t="s">
        <v>2371</v>
      </c>
      <c r="S672" s="109"/>
      <c r="T672" s="109"/>
      <c r="U672" s="112"/>
      <c r="V672" s="109"/>
      <c r="W672" s="109"/>
      <c r="X672" s="109"/>
    </row>
    <row r="673" spans="2:24">
      <c r="B673" s="109"/>
      <c r="C673" s="109"/>
      <c r="D673" s="20" t="str">
        <f t="shared" si="133"/>
        <v>极链科技Video++</v>
      </c>
      <c r="E673" s="109"/>
      <c r="F673" s="112"/>
      <c r="G673" s="109"/>
      <c r="H673" s="109"/>
      <c r="I673" s="109"/>
      <c r="J673" s="109"/>
      <c r="K673" s="14" t="str">
        <f t="shared" si="134"/>
        <v>运营中</v>
      </c>
      <c r="L673" s="109"/>
      <c r="M673" s="109"/>
      <c r="N673" s="13"/>
      <c r="O673" s="24">
        <v>43074</v>
      </c>
      <c r="P673" s="13" t="s">
        <v>5754</v>
      </c>
      <c r="Q673" s="13" t="s">
        <v>1750</v>
      </c>
      <c r="R673" s="13" t="s">
        <v>2372</v>
      </c>
      <c r="S673" s="109"/>
      <c r="T673" s="109"/>
      <c r="U673" s="112"/>
      <c r="V673" s="109"/>
      <c r="W673" s="109"/>
      <c r="X673" s="109"/>
    </row>
    <row r="674" spans="2:24">
      <c r="B674" s="109"/>
      <c r="C674" s="109"/>
      <c r="D674" s="20" t="str">
        <f t="shared" si="133"/>
        <v>极链科技Video++</v>
      </c>
      <c r="E674" s="109"/>
      <c r="F674" s="112"/>
      <c r="G674" s="109"/>
      <c r="H674" s="109"/>
      <c r="I674" s="109"/>
      <c r="J674" s="109"/>
      <c r="K674" s="14" t="str">
        <f t="shared" si="134"/>
        <v>运营中</v>
      </c>
      <c r="L674" s="109"/>
      <c r="M674" s="109"/>
      <c r="N674" s="13"/>
      <c r="O674" s="24">
        <v>42894</v>
      </c>
      <c r="P674" s="13" t="s">
        <v>3648</v>
      </c>
      <c r="Q674" s="13" t="s">
        <v>6582</v>
      </c>
      <c r="R674" s="13" t="s">
        <v>455</v>
      </c>
      <c r="S674" s="109"/>
      <c r="T674" s="109"/>
      <c r="U674" s="112"/>
      <c r="V674" s="109"/>
      <c r="W674" s="109"/>
      <c r="X674" s="109"/>
    </row>
    <row r="675" spans="2:24">
      <c r="B675" s="109"/>
      <c r="C675" s="109"/>
      <c r="D675" s="20" t="str">
        <f t="shared" si="133"/>
        <v>极链科技Video++</v>
      </c>
      <c r="E675" s="109"/>
      <c r="F675" s="112"/>
      <c r="G675" s="109"/>
      <c r="H675" s="109"/>
      <c r="I675" s="109"/>
      <c r="J675" s="109"/>
      <c r="K675" s="14" t="str">
        <f t="shared" si="134"/>
        <v>运营中</v>
      </c>
      <c r="L675" s="109"/>
      <c r="M675" s="109"/>
      <c r="N675" s="13"/>
      <c r="O675" s="24">
        <v>42214</v>
      </c>
      <c r="P675" s="13" t="s">
        <v>3513</v>
      </c>
      <c r="Q675" s="13" t="s">
        <v>3514</v>
      </c>
      <c r="R675" s="13" t="s">
        <v>253</v>
      </c>
      <c r="S675" s="109"/>
      <c r="T675" s="109"/>
      <c r="U675" s="112"/>
      <c r="V675" s="109"/>
      <c r="W675" s="109"/>
      <c r="X675" s="109"/>
    </row>
    <row r="676" spans="2:24">
      <c r="B676" s="109"/>
      <c r="C676" s="109"/>
      <c r="D676" s="20" t="str">
        <f t="shared" si="133"/>
        <v>极链科技Video++</v>
      </c>
      <c r="E676" s="109"/>
      <c r="F676" s="112"/>
      <c r="G676" s="109"/>
      <c r="H676" s="109"/>
      <c r="I676" s="109"/>
      <c r="J676" s="109"/>
      <c r="K676" s="14" t="str">
        <f t="shared" si="134"/>
        <v>运营中</v>
      </c>
      <c r="L676" s="109"/>
      <c r="M676" s="109"/>
      <c r="N676" s="13"/>
      <c r="O676" s="24">
        <v>42034</v>
      </c>
      <c r="P676" s="13" t="s">
        <v>5474</v>
      </c>
      <c r="Q676" s="13" t="s">
        <v>6583</v>
      </c>
      <c r="R676" s="13" t="s">
        <v>6584</v>
      </c>
      <c r="S676" s="109"/>
      <c r="T676" s="109"/>
      <c r="U676" s="112"/>
      <c r="V676" s="109"/>
      <c r="W676" s="109"/>
      <c r="X676" s="109"/>
    </row>
    <row r="677" spans="2:24">
      <c r="B677" s="109"/>
      <c r="C677" s="109"/>
      <c r="D677" s="20" t="str">
        <f t="shared" si="133"/>
        <v>极链科技Video++</v>
      </c>
      <c r="E677" s="109"/>
      <c r="F677" s="112"/>
      <c r="G677" s="109"/>
      <c r="H677" s="109"/>
      <c r="I677" s="109"/>
      <c r="J677" s="109"/>
      <c r="K677" s="14" t="str">
        <f t="shared" si="134"/>
        <v>运营中</v>
      </c>
      <c r="L677" s="109"/>
      <c r="M677" s="109"/>
      <c r="N677" s="13"/>
      <c r="O677" s="24">
        <v>42004</v>
      </c>
      <c r="P677" s="13" t="s">
        <v>5697</v>
      </c>
      <c r="Q677" s="13" t="s">
        <v>5646</v>
      </c>
      <c r="R677" s="13" t="s">
        <v>253</v>
      </c>
      <c r="S677" s="109"/>
      <c r="T677" s="109"/>
      <c r="U677" s="112"/>
      <c r="V677" s="109"/>
      <c r="W677" s="109"/>
      <c r="X677" s="109"/>
    </row>
    <row r="678" spans="2:24">
      <c r="B678" s="109"/>
      <c r="C678" s="109" t="s">
        <v>2376</v>
      </c>
      <c r="D678" s="20" t="s">
        <v>6585</v>
      </c>
      <c r="E678" s="109" t="s">
        <v>6586</v>
      </c>
      <c r="F678" s="112" t="s">
        <v>6587</v>
      </c>
      <c r="G678" s="109" t="s">
        <v>6588</v>
      </c>
      <c r="H678" s="109" t="s">
        <v>2380</v>
      </c>
      <c r="I678" s="109" t="s">
        <v>2381</v>
      </c>
      <c r="J678" s="109" t="s">
        <v>406</v>
      </c>
      <c r="K678" s="14" t="s">
        <v>272</v>
      </c>
      <c r="L678" s="109" t="s">
        <v>1825</v>
      </c>
      <c r="M678" s="109" t="s">
        <v>5686</v>
      </c>
      <c r="N678" s="13"/>
      <c r="O678" s="24">
        <v>44334</v>
      </c>
      <c r="P678" s="13" t="s">
        <v>5613</v>
      </c>
      <c r="Q678" s="13" t="s">
        <v>1750</v>
      </c>
      <c r="R678" s="13" t="s">
        <v>2382</v>
      </c>
      <c r="S678" s="109" t="s">
        <v>6589</v>
      </c>
      <c r="T678" s="109" t="s">
        <v>6590</v>
      </c>
      <c r="U678" s="112" t="s">
        <v>2385</v>
      </c>
      <c r="V678" s="109" t="s">
        <v>2386</v>
      </c>
      <c r="W678" s="109" t="s">
        <v>2387</v>
      </c>
      <c r="X678" s="109"/>
    </row>
    <row r="679" spans="2:24">
      <c r="B679" s="109"/>
      <c r="C679" s="109"/>
      <c r="D679" s="20" t="str">
        <f>D678</f>
        <v>数梦工场</v>
      </c>
      <c r="E679" s="109"/>
      <c r="F679" s="112"/>
      <c r="G679" s="109"/>
      <c r="H679" s="109"/>
      <c r="I679" s="109"/>
      <c r="J679" s="109"/>
      <c r="K679" s="14" t="str">
        <f t="shared" ref="K679:K681" si="135">K678</f>
        <v>运营中</v>
      </c>
      <c r="L679" s="109"/>
      <c r="M679" s="109"/>
      <c r="N679" s="13"/>
      <c r="O679" s="24">
        <v>43734</v>
      </c>
      <c r="P679" s="13" t="s">
        <v>3648</v>
      </c>
      <c r="Q679" s="13" t="s">
        <v>6043</v>
      </c>
      <c r="R679" s="13" t="s">
        <v>2388</v>
      </c>
      <c r="S679" s="109"/>
      <c r="T679" s="109"/>
      <c r="U679" s="112"/>
      <c r="V679" s="109"/>
      <c r="W679" s="109"/>
      <c r="X679" s="109"/>
    </row>
    <row r="680" spans="2:24">
      <c r="B680" s="109"/>
      <c r="C680" s="109"/>
      <c r="D680" s="20" t="str">
        <f>D679</f>
        <v>数梦工场</v>
      </c>
      <c r="E680" s="109"/>
      <c r="F680" s="112"/>
      <c r="G680" s="109"/>
      <c r="H680" s="109"/>
      <c r="I680" s="109"/>
      <c r="J680" s="109"/>
      <c r="K680" s="14" t="str">
        <f t="shared" si="135"/>
        <v>运营中</v>
      </c>
      <c r="L680" s="109"/>
      <c r="M680" s="109"/>
      <c r="N680" s="13"/>
      <c r="O680" s="24">
        <v>42894</v>
      </c>
      <c r="P680" s="13" t="s">
        <v>3513</v>
      </c>
      <c r="Q680" s="13" t="s">
        <v>6591</v>
      </c>
      <c r="R680" s="13" t="s">
        <v>2390</v>
      </c>
      <c r="S680" s="109"/>
      <c r="T680" s="109"/>
      <c r="U680" s="112"/>
      <c r="V680" s="109"/>
      <c r="W680" s="109"/>
      <c r="X680" s="109"/>
    </row>
    <row r="681" spans="2:24">
      <c r="B681" s="109"/>
      <c r="C681" s="109"/>
      <c r="D681" s="20" t="str">
        <f>D680</f>
        <v>数梦工场</v>
      </c>
      <c r="E681" s="109"/>
      <c r="F681" s="112"/>
      <c r="G681" s="109"/>
      <c r="H681" s="109"/>
      <c r="I681" s="109"/>
      <c r="J681" s="109"/>
      <c r="K681" s="14" t="str">
        <f t="shared" si="135"/>
        <v>运营中</v>
      </c>
      <c r="L681" s="109"/>
      <c r="M681" s="109"/>
      <c r="N681" s="13"/>
      <c r="O681" s="24">
        <v>42240</v>
      </c>
      <c r="P681" s="13" t="s">
        <v>5474</v>
      </c>
      <c r="Q681" s="13" t="s">
        <v>6592</v>
      </c>
      <c r="R681" s="13" t="s">
        <v>2392</v>
      </c>
      <c r="S681" s="109"/>
      <c r="T681" s="109"/>
      <c r="U681" s="112"/>
      <c r="V681" s="109"/>
      <c r="W681" s="109"/>
      <c r="X681" s="109"/>
    </row>
    <row r="682" spans="2:24">
      <c r="B682" s="109"/>
      <c r="C682" s="109" t="s">
        <v>2393</v>
      </c>
      <c r="D682" s="20" t="s">
        <v>2394</v>
      </c>
      <c r="E682" s="109" t="s">
        <v>2394</v>
      </c>
      <c r="F682" s="112" t="s">
        <v>6593</v>
      </c>
      <c r="G682" s="109"/>
      <c r="H682" s="109" t="s">
        <v>2396</v>
      </c>
      <c r="I682" s="109" t="s">
        <v>2144</v>
      </c>
      <c r="J682" s="109" t="s">
        <v>1564</v>
      </c>
      <c r="K682" s="14" t="s">
        <v>272</v>
      </c>
      <c r="L682" s="109" t="s">
        <v>5651</v>
      </c>
      <c r="M682" s="109" t="s">
        <v>6594</v>
      </c>
      <c r="N682" s="13"/>
      <c r="O682" s="24">
        <v>42586</v>
      </c>
      <c r="P682" s="13" t="s">
        <v>1045</v>
      </c>
      <c r="Q682" s="13" t="s">
        <v>5862</v>
      </c>
      <c r="R682" s="13" t="s">
        <v>1751</v>
      </c>
      <c r="S682" s="109" t="s">
        <v>6595</v>
      </c>
      <c r="T682" s="109" t="s">
        <v>5750</v>
      </c>
      <c r="U682" s="112"/>
      <c r="V682" s="109"/>
      <c r="W682" s="109"/>
      <c r="X682" s="109"/>
    </row>
    <row r="683" spans="2:24">
      <c r="B683" s="109"/>
      <c r="C683" s="109"/>
      <c r="D683" s="20" t="str">
        <f>D682</f>
        <v>Quixey</v>
      </c>
      <c r="E683" s="109"/>
      <c r="F683" s="112"/>
      <c r="G683" s="109"/>
      <c r="H683" s="109"/>
      <c r="I683" s="109"/>
      <c r="J683" s="109"/>
      <c r="K683" s="14" t="str">
        <f t="shared" ref="K683:K686" si="136">K682</f>
        <v>运营中</v>
      </c>
      <c r="L683" s="109"/>
      <c r="M683" s="109"/>
      <c r="N683" s="13"/>
      <c r="O683" s="24">
        <v>42046</v>
      </c>
      <c r="P683" s="13" t="s">
        <v>1827</v>
      </c>
      <c r="Q683" s="13" t="s">
        <v>1991</v>
      </c>
      <c r="R683" s="13" t="s">
        <v>6596</v>
      </c>
      <c r="S683" s="109"/>
      <c r="T683" s="109"/>
      <c r="U683" s="112"/>
      <c r="V683" s="109"/>
      <c r="W683" s="109"/>
      <c r="X683" s="109"/>
    </row>
    <row r="684" spans="2:24">
      <c r="B684" s="109"/>
      <c r="C684" s="109"/>
      <c r="D684" s="20" t="str">
        <f>D683</f>
        <v>Quixey</v>
      </c>
      <c r="E684" s="109"/>
      <c r="F684" s="112"/>
      <c r="G684" s="109"/>
      <c r="H684" s="109"/>
      <c r="I684" s="109"/>
      <c r="J684" s="109"/>
      <c r="K684" s="14" t="str">
        <f t="shared" si="136"/>
        <v>运营中</v>
      </c>
      <c r="L684" s="109"/>
      <c r="M684" s="109"/>
      <c r="N684" s="13"/>
      <c r="O684" s="24">
        <v>41548</v>
      </c>
      <c r="P684" s="13" t="s">
        <v>5613</v>
      </c>
      <c r="Q684" s="13" t="s">
        <v>5360</v>
      </c>
      <c r="R684" s="13" t="s">
        <v>1751</v>
      </c>
      <c r="S684" s="109"/>
      <c r="T684" s="109"/>
      <c r="U684" s="112"/>
      <c r="V684" s="109"/>
      <c r="W684" s="109"/>
      <c r="X684" s="109"/>
    </row>
    <row r="685" spans="2:24">
      <c r="B685" s="109"/>
      <c r="C685" s="109"/>
      <c r="D685" s="20" t="str">
        <f>D684</f>
        <v>Quixey</v>
      </c>
      <c r="E685" s="109"/>
      <c r="F685" s="112"/>
      <c r="G685" s="109"/>
      <c r="H685" s="109"/>
      <c r="I685" s="109"/>
      <c r="J685" s="109"/>
      <c r="K685" s="14" t="str">
        <f t="shared" si="136"/>
        <v>运营中</v>
      </c>
      <c r="L685" s="109"/>
      <c r="M685" s="109"/>
      <c r="N685" s="13"/>
      <c r="O685" s="24">
        <v>41085</v>
      </c>
      <c r="P685" s="13" t="s">
        <v>3648</v>
      </c>
      <c r="Q685" s="13" t="s">
        <v>4307</v>
      </c>
      <c r="R685" s="13" t="s">
        <v>2400</v>
      </c>
      <c r="S685" s="109"/>
      <c r="T685" s="109"/>
      <c r="U685" s="112"/>
      <c r="V685" s="109"/>
      <c r="W685" s="109"/>
      <c r="X685" s="109"/>
    </row>
    <row r="686" spans="2:24">
      <c r="B686" s="109"/>
      <c r="C686" s="109"/>
      <c r="D686" s="20" t="str">
        <f>D685</f>
        <v>Quixey</v>
      </c>
      <c r="E686" s="109"/>
      <c r="F686" s="112"/>
      <c r="G686" s="109"/>
      <c r="H686" s="109"/>
      <c r="I686" s="109"/>
      <c r="J686" s="109"/>
      <c r="K686" s="14" t="str">
        <f t="shared" si="136"/>
        <v>运营中</v>
      </c>
      <c r="L686" s="109"/>
      <c r="M686" s="109"/>
      <c r="N686" s="13"/>
      <c r="O686" s="24">
        <v>40765</v>
      </c>
      <c r="P686" s="13" t="s">
        <v>3513</v>
      </c>
      <c r="Q686" s="13" t="s">
        <v>6597</v>
      </c>
      <c r="R686" s="13" t="s">
        <v>2402</v>
      </c>
      <c r="S686" s="109"/>
      <c r="T686" s="109"/>
      <c r="U686" s="112"/>
      <c r="V686" s="109"/>
      <c r="W686" s="109"/>
      <c r="X686" s="109"/>
    </row>
    <row r="687" spans="2:24">
      <c r="B687" s="109"/>
      <c r="C687" s="109" t="s">
        <v>2403</v>
      </c>
      <c r="D687" s="20" t="s">
        <v>6598</v>
      </c>
      <c r="E687" s="109" t="s">
        <v>6599</v>
      </c>
      <c r="F687" s="112" t="s">
        <v>2405</v>
      </c>
      <c r="G687" s="109" t="s">
        <v>6600</v>
      </c>
      <c r="H687" s="109" t="s">
        <v>2407</v>
      </c>
      <c r="I687" s="109" t="s">
        <v>2176</v>
      </c>
      <c r="J687" s="109" t="s">
        <v>271</v>
      </c>
      <c r="K687" s="14" t="s">
        <v>272</v>
      </c>
      <c r="L687" s="109" t="s">
        <v>1043</v>
      </c>
      <c r="M687" s="109" t="s">
        <v>1990</v>
      </c>
      <c r="N687" s="13"/>
      <c r="O687" s="24">
        <v>44091</v>
      </c>
      <c r="P687" s="13" t="s">
        <v>1045</v>
      </c>
      <c r="Q687" s="13" t="s">
        <v>5000</v>
      </c>
      <c r="R687" s="13" t="s">
        <v>5689</v>
      </c>
      <c r="S687" s="109" t="s">
        <v>6601</v>
      </c>
      <c r="T687" s="109" t="s">
        <v>6602</v>
      </c>
      <c r="U687" s="112" t="s">
        <v>2410</v>
      </c>
      <c r="V687" s="109" t="s">
        <v>2411</v>
      </c>
      <c r="W687" s="109" t="s">
        <v>2412</v>
      </c>
      <c r="X687" s="109" t="s">
        <v>2413</v>
      </c>
    </row>
    <row r="688" spans="2:24">
      <c r="B688" s="109"/>
      <c r="C688" s="109"/>
      <c r="D688" s="20" t="str">
        <f>D687</f>
        <v>天鹅到家</v>
      </c>
      <c r="E688" s="109"/>
      <c r="F688" s="112"/>
      <c r="G688" s="109"/>
      <c r="H688" s="109"/>
      <c r="I688" s="109"/>
      <c r="J688" s="109"/>
      <c r="K688" s="14" t="str">
        <f>K687</f>
        <v>运营中</v>
      </c>
      <c r="L688" s="109"/>
      <c r="M688" s="109"/>
      <c r="N688" s="13"/>
      <c r="O688" s="24">
        <v>42289</v>
      </c>
      <c r="P688" s="13" t="s">
        <v>3513</v>
      </c>
      <c r="Q688" s="13" t="s">
        <v>5019</v>
      </c>
      <c r="R688" s="13" t="s">
        <v>2414</v>
      </c>
      <c r="S688" s="109"/>
      <c r="T688" s="109"/>
      <c r="U688" s="112"/>
      <c r="V688" s="109"/>
      <c r="W688" s="109"/>
      <c r="X688" s="109"/>
    </row>
    <row r="689" spans="2:24">
      <c r="B689" s="109"/>
      <c r="C689" s="109" t="s">
        <v>2415</v>
      </c>
      <c r="D689" s="20" t="s">
        <v>6603</v>
      </c>
      <c r="E689" s="109" t="s">
        <v>6604</v>
      </c>
      <c r="F689" s="112" t="s">
        <v>2417</v>
      </c>
      <c r="G689" s="109" t="s">
        <v>6605</v>
      </c>
      <c r="H689" s="109" t="s">
        <v>2419</v>
      </c>
      <c r="I689" s="109" t="s">
        <v>2038</v>
      </c>
      <c r="J689" s="109" t="s">
        <v>630</v>
      </c>
      <c r="K689" s="14" t="s">
        <v>272</v>
      </c>
      <c r="L689" s="109" t="s">
        <v>4162</v>
      </c>
      <c r="M689" s="109" t="s">
        <v>5676</v>
      </c>
      <c r="N689" s="13">
        <v>1</v>
      </c>
      <c r="O689" s="24">
        <v>42067</v>
      </c>
      <c r="P689" s="13" t="s">
        <v>5810</v>
      </c>
      <c r="Q689" s="13" t="s">
        <v>6606</v>
      </c>
      <c r="R689" s="13" t="s">
        <v>2421</v>
      </c>
      <c r="S689" s="109" t="s">
        <v>6607</v>
      </c>
      <c r="T689" s="109" t="s">
        <v>6332</v>
      </c>
      <c r="U689" s="112" t="s">
        <v>2423</v>
      </c>
      <c r="V689" s="109"/>
      <c r="W689" s="109"/>
      <c r="X689" s="109"/>
    </row>
    <row r="690" spans="2:24">
      <c r="B690" s="109"/>
      <c r="C690" s="109"/>
      <c r="D690" s="20" t="str">
        <f>D689</f>
        <v>光线传媒</v>
      </c>
      <c r="E690" s="109"/>
      <c r="F690" s="112"/>
      <c r="G690" s="109"/>
      <c r="H690" s="109"/>
      <c r="I690" s="109"/>
      <c r="J690" s="109"/>
      <c r="K690" s="14" t="str">
        <f>K689</f>
        <v>运营中</v>
      </c>
      <c r="L690" s="109"/>
      <c r="M690" s="109"/>
      <c r="N690" s="13">
        <v>1</v>
      </c>
      <c r="O690" s="24">
        <v>40758</v>
      </c>
      <c r="P690" s="13" t="s">
        <v>5625</v>
      </c>
      <c r="Q690" s="13" t="s">
        <v>6608</v>
      </c>
      <c r="R690" s="13" t="s">
        <v>253</v>
      </c>
      <c r="S690" s="109"/>
      <c r="T690" s="109"/>
      <c r="U690" s="112"/>
      <c r="V690" s="109"/>
      <c r="W690" s="109"/>
      <c r="X690" s="109"/>
    </row>
    <row r="691" spans="2:24">
      <c r="B691" s="109"/>
      <c r="C691" s="109" t="s">
        <v>2425</v>
      </c>
      <c r="D691" s="20" t="s">
        <v>6609</v>
      </c>
      <c r="E691" s="109" t="s">
        <v>6610</v>
      </c>
      <c r="F691" s="112" t="s">
        <v>2427</v>
      </c>
      <c r="G691" s="109" t="s">
        <v>6611</v>
      </c>
      <c r="H691" s="109" t="s">
        <v>2429</v>
      </c>
      <c r="I691" s="109" t="s">
        <v>2430</v>
      </c>
      <c r="J691" s="109" t="s">
        <v>2431</v>
      </c>
      <c r="K691" s="14" t="s">
        <v>272</v>
      </c>
      <c r="L691" s="109" t="s">
        <v>3274</v>
      </c>
      <c r="M691" s="109" t="s">
        <v>6178</v>
      </c>
      <c r="N691" s="13">
        <v>1</v>
      </c>
      <c r="O691" s="24">
        <v>43951</v>
      </c>
      <c r="P691" s="13" t="s">
        <v>5810</v>
      </c>
      <c r="Q691" s="13" t="s">
        <v>1750</v>
      </c>
      <c r="R691" s="13" t="s">
        <v>1751</v>
      </c>
      <c r="S691" s="109" t="s">
        <v>6612</v>
      </c>
      <c r="T691" s="109" t="s">
        <v>1829</v>
      </c>
      <c r="U691" s="112" t="s">
        <v>2433</v>
      </c>
      <c r="V691" s="109" t="s">
        <v>2434</v>
      </c>
      <c r="W691" s="109" t="s">
        <v>2435</v>
      </c>
      <c r="X691" s="109" t="s">
        <v>2436</v>
      </c>
    </row>
    <row r="692" spans="2:24">
      <c r="B692" s="109"/>
      <c r="C692" s="109"/>
      <c r="D692" s="20" t="str">
        <f>D691</f>
        <v>韵达股份</v>
      </c>
      <c r="E692" s="109"/>
      <c r="F692" s="112"/>
      <c r="G692" s="109"/>
      <c r="H692" s="109"/>
      <c r="I692" s="109"/>
      <c r="J692" s="109"/>
      <c r="K692" s="14" t="str">
        <f t="shared" ref="K692:K695" si="137">K691</f>
        <v>运营中</v>
      </c>
      <c r="L692" s="109"/>
      <c r="M692" s="109"/>
      <c r="N692" s="13">
        <v>1</v>
      </c>
      <c r="O692" s="24">
        <v>42601</v>
      </c>
      <c r="P692" s="13" t="s">
        <v>5625</v>
      </c>
      <c r="Q692" s="13" t="s">
        <v>6613</v>
      </c>
      <c r="R692" s="13" t="s">
        <v>6614</v>
      </c>
      <c r="S692" s="109"/>
      <c r="T692" s="109"/>
      <c r="U692" s="112"/>
      <c r="V692" s="109"/>
      <c r="W692" s="109"/>
      <c r="X692" s="109"/>
    </row>
    <row r="693" spans="2:24">
      <c r="B693" s="109"/>
      <c r="C693" s="109"/>
      <c r="D693" s="20" t="str">
        <f>D692</f>
        <v>韵达股份</v>
      </c>
      <c r="E693" s="109"/>
      <c r="F693" s="112"/>
      <c r="G693" s="109"/>
      <c r="H693" s="109"/>
      <c r="I693" s="109"/>
      <c r="J693" s="109"/>
      <c r="K693" s="14" t="str">
        <f t="shared" si="137"/>
        <v>运营中</v>
      </c>
      <c r="L693" s="109"/>
      <c r="M693" s="109"/>
      <c r="N693" s="13">
        <v>1</v>
      </c>
      <c r="O693" s="24">
        <v>42552</v>
      </c>
      <c r="P693" s="13" t="s">
        <v>5709</v>
      </c>
      <c r="Q693" s="13" t="s">
        <v>6615</v>
      </c>
      <c r="R693" s="13" t="s">
        <v>6614</v>
      </c>
      <c r="S693" s="109"/>
      <c r="T693" s="109"/>
      <c r="U693" s="112"/>
      <c r="V693" s="109"/>
      <c r="W693" s="109"/>
      <c r="X693" s="109"/>
    </row>
    <row r="694" spans="2:24">
      <c r="B694" s="109"/>
      <c r="C694" s="109"/>
      <c r="D694" s="20" t="str">
        <f>D693</f>
        <v>韵达股份</v>
      </c>
      <c r="E694" s="109"/>
      <c r="F694" s="112"/>
      <c r="G694" s="109"/>
      <c r="H694" s="109"/>
      <c r="I694" s="109"/>
      <c r="J694" s="109"/>
      <c r="K694" s="14" t="str">
        <f t="shared" si="137"/>
        <v>运营中</v>
      </c>
      <c r="L694" s="109"/>
      <c r="M694" s="109"/>
      <c r="N694" s="13">
        <v>1</v>
      </c>
      <c r="O694" s="24">
        <v>42428</v>
      </c>
      <c r="P694" s="13" t="s">
        <v>1045</v>
      </c>
      <c r="Q694" s="13" t="s">
        <v>2030</v>
      </c>
      <c r="R694" s="13" t="s">
        <v>2440</v>
      </c>
      <c r="S694" s="109"/>
      <c r="T694" s="109"/>
      <c r="U694" s="112"/>
      <c r="V694" s="109"/>
      <c r="W694" s="109"/>
      <c r="X694" s="109"/>
    </row>
    <row r="695" spans="2:24">
      <c r="B695" s="109"/>
      <c r="C695" s="109"/>
      <c r="D695" s="20" t="str">
        <f>D694</f>
        <v>韵达股份</v>
      </c>
      <c r="E695" s="109"/>
      <c r="F695" s="112"/>
      <c r="G695" s="109"/>
      <c r="H695" s="109"/>
      <c r="I695" s="109"/>
      <c r="J695" s="109"/>
      <c r="K695" s="14" t="str">
        <f t="shared" si="137"/>
        <v>运营中</v>
      </c>
      <c r="L695" s="109"/>
      <c r="M695" s="109"/>
      <c r="N695" s="13">
        <v>1</v>
      </c>
      <c r="O695" s="24">
        <v>39147</v>
      </c>
      <c r="P695" s="13" t="s">
        <v>5625</v>
      </c>
      <c r="Q695" s="13" t="s">
        <v>6616</v>
      </c>
      <c r="R695" s="13" t="s">
        <v>253</v>
      </c>
      <c r="S695" s="109"/>
      <c r="T695" s="109"/>
      <c r="U695" s="112"/>
      <c r="V695" s="109"/>
      <c r="W695" s="109"/>
      <c r="X695" s="109"/>
    </row>
    <row r="696" spans="2:24">
      <c r="B696" s="109"/>
      <c r="C696" s="109" t="s">
        <v>2442</v>
      </c>
      <c r="D696" s="20" t="s">
        <v>2443</v>
      </c>
      <c r="E696" s="109" t="s">
        <v>2443</v>
      </c>
      <c r="F696" s="112" t="s">
        <v>6617</v>
      </c>
      <c r="G696" s="109"/>
      <c r="H696" s="109" t="s">
        <v>2445</v>
      </c>
      <c r="I696" s="109" t="s">
        <v>2446</v>
      </c>
      <c r="J696" s="109" t="s">
        <v>1564</v>
      </c>
      <c r="K696" s="14" t="s">
        <v>272</v>
      </c>
      <c r="L696" s="109" t="s">
        <v>4472</v>
      </c>
      <c r="M696" s="109" t="s">
        <v>5780</v>
      </c>
      <c r="N696" s="13">
        <v>1</v>
      </c>
      <c r="O696" s="24">
        <v>42465</v>
      </c>
      <c r="P696" s="13" t="s">
        <v>5810</v>
      </c>
      <c r="Q696" s="13" t="s">
        <v>5796</v>
      </c>
      <c r="R696" s="13" t="s">
        <v>2447</v>
      </c>
      <c r="S696" s="109" t="s">
        <v>6618</v>
      </c>
      <c r="T696" s="109" t="s">
        <v>6619</v>
      </c>
      <c r="U696" s="112" t="s">
        <v>2450</v>
      </c>
      <c r="V696" s="109"/>
      <c r="W696" s="109"/>
      <c r="X696" s="109" t="s">
        <v>2451</v>
      </c>
    </row>
    <row r="697" spans="2:24">
      <c r="B697" s="109"/>
      <c r="C697" s="109"/>
      <c r="D697" s="20" t="str">
        <f>D696</f>
        <v>Groupon</v>
      </c>
      <c r="E697" s="109"/>
      <c r="F697" s="112"/>
      <c r="G697" s="109"/>
      <c r="H697" s="109"/>
      <c r="I697" s="109"/>
      <c r="J697" s="109"/>
      <c r="K697" s="14" t="str">
        <f t="shared" ref="K697:K698" si="138">K696</f>
        <v>运营中</v>
      </c>
      <c r="L697" s="109"/>
      <c r="M697" s="109"/>
      <c r="N697" s="13">
        <v>1</v>
      </c>
      <c r="O697" s="24">
        <v>42413</v>
      </c>
      <c r="P697" s="13" t="s">
        <v>5810</v>
      </c>
      <c r="Q697" s="13" t="s">
        <v>5529</v>
      </c>
      <c r="R697" s="13" t="s">
        <v>1751</v>
      </c>
      <c r="S697" s="109"/>
      <c r="T697" s="109"/>
      <c r="U697" s="112"/>
      <c r="V697" s="109"/>
      <c r="W697" s="109"/>
      <c r="X697" s="109"/>
    </row>
    <row r="698" spans="2:24">
      <c r="B698" s="109"/>
      <c r="C698" s="109"/>
      <c r="D698" s="20" t="str">
        <f>D697</f>
        <v>Groupon</v>
      </c>
      <c r="E698" s="109"/>
      <c r="F698" s="112"/>
      <c r="G698" s="109"/>
      <c r="H698" s="109"/>
      <c r="I698" s="109"/>
      <c r="J698" s="109"/>
      <c r="K698" s="14" t="str">
        <f t="shared" si="138"/>
        <v>运营中</v>
      </c>
      <c r="L698" s="109"/>
      <c r="M698" s="109"/>
      <c r="N698" s="13">
        <v>1</v>
      </c>
      <c r="O698" s="24">
        <v>40848</v>
      </c>
      <c r="P698" s="13" t="s">
        <v>5625</v>
      </c>
      <c r="Q698" s="13" t="s">
        <v>5643</v>
      </c>
      <c r="R698" s="13" t="s">
        <v>253</v>
      </c>
      <c r="S698" s="109"/>
      <c r="T698" s="109"/>
      <c r="U698" s="112"/>
      <c r="V698" s="109"/>
      <c r="W698" s="109"/>
      <c r="X698" s="109"/>
    </row>
    <row r="699" spans="2:24">
      <c r="B699" s="109"/>
      <c r="C699" s="109" t="s">
        <v>2452</v>
      </c>
      <c r="D699" s="20" t="s">
        <v>6620</v>
      </c>
      <c r="E699" s="109" t="s">
        <v>6621</v>
      </c>
      <c r="F699" s="112" t="s">
        <v>2454</v>
      </c>
      <c r="G699" s="109" t="s">
        <v>6622</v>
      </c>
      <c r="H699" s="109" t="s">
        <v>2456</v>
      </c>
      <c r="I699" s="109" t="s">
        <v>1482</v>
      </c>
      <c r="J699" s="109" t="s">
        <v>385</v>
      </c>
      <c r="K699" s="14" t="s">
        <v>272</v>
      </c>
      <c r="L699" s="109" t="s">
        <v>4162</v>
      </c>
      <c r="M699" s="109" t="s">
        <v>6308</v>
      </c>
      <c r="N699" s="13">
        <v>1</v>
      </c>
      <c r="O699" s="24">
        <v>44945</v>
      </c>
      <c r="P699" s="13" t="s">
        <v>5625</v>
      </c>
      <c r="Q699" s="13" t="s">
        <v>6623</v>
      </c>
      <c r="R699" s="13" t="s">
        <v>253</v>
      </c>
      <c r="S699" s="109" t="s">
        <v>6624</v>
      </c>
      <c r="T699" s="109" t="s">
        <v>6625</v>
      </c>
      <c r="U699" s="112" t="s">
        <v>2460</v>
      </c>
      <c r="V699" s="109" t="s">
        <v>2461</v>
      </c>
      <c r="W699" s="109"/>
      <c r="X699" s="109"/>
    </row>
    <row r="700" spans="2:24">
      <c r="B700" s="109"/>
      <c r="C700" s="109"/>
      <c r="D700" s="20" t="str">
        <f t="shared" ref="D700:D708" si="139">D699</f>
        <v>乐华娱乐</v>
      </c>
      <c r="E700" s="109"/>
      <c r="F700" s="112"/>
      <c r="G700" s="109"/>
      <c r="H700" s="109"/>
      <c r="I700" s="109"/>
      <c r="J700" s="109"/>
      <c r="K700" s="14" t="str">
        <f t="shared" ref="K700:K708" si="140">K699</f>
        <v>运营中</v>
      </c>
      <c r="L700" s="109"/>
      <c r="M700" s="109"/>
      <c r="N700" s="13">
        <v>1</v>
      </c>
      <c r="O700" s="24">
        <v>44797</v>
      </c>
      <c r="P700" s="13" t="s">
        <v>5795</v>
      </c>
      <c r="Q700" s="13" t="s">
        <v>6626</v>
      </c>
      <c r="R700" s="13" t="s">
        <v>2463</v>
      </c>
      <c r="S700" s="109"/>
      <c r="T700" s="109"/>
      <c r="U700" s="112"/>
      <c r="V700" s="109"/>
      <c r="W700" s="109"/>
      <c r="X700" s="109"/>
    </row>
    <row r="701" spans="2:24">
      <c r="B701" s="109"/>
      <c r="C701" s="109"/>
      <c r="D701" s="20" t="str">
        <f t="shared" si="139"/>
        <v>乐华娱乐</v>
      </c>
      <c r="E701" s="109"/>
      <c r="F701" s="112"/>
      <c r="G701" s="109"/>
      <c r="H701" s="109"/>
      <c r="I701" s="109"/>
      <c r="J701" s="109"/>
      <c r="K701" s="14" t="str">
        <f t="shared" si="140"/>
        <v>运营中</v>
      </c>
      <c r="L701" s="109"/>
      <c r="M701" s="109"/>
      <c r="N701" s="13">
        <v>1</v>
      </c>
      <c r="O701" s="24">
        <v>44398</v>
      </c>
      <c r="P701" s="13" t="s">
        <v>1045</v>
      </c>
      <c r="Q701" s="13" t="s">
        <v>1750</v>
      </c>
      <c r="R701" s="13" t="s">
        <v>2464</v>
      </c>
      <c r="S701" s="109"/>
      <c r="T701" s="109"/>
      <c r="U701" s="112"/>
      <c r="V701" s="109"/>
      <c r="W701" s="109"/>
      <c r="X701" s="109"/>
    </row>
    <row r="702" spans="2:24">
      <c r="B702" s="109"/>
      <c r="C702" s="109"/>
      <c r="D702" s="20" t="str">
        <f t="shared" si="139"/>
        <v>乐华娱乐</v>
      </c>
      <c r="E702" s="109"/>
      <c r="F702" s="112"/>
      <c r="G702" s="109"/>
      <c r="H702" s="109"/>
      <c r="I702" s="109"/>
      <c r="J702" s="109"/>
      <c r="K702" s="14" t="str">
        <f t="shared" si="140"/>
        <v>运营中</v>
      </c>
      <c r="L702" s="109"/>
      <c r="M702" s="109"/>
      <c r="N702" s="13">
        <v>1</v>
      </c>
      <c r="O702" s="24">
        <v>43313</v>
      </c>
      <c r="P702" s="13" t="s">
        <v>1045</v>
      </c>
      <c r="Q702" s="13" t="s">
        <v>6627</v>
      </c>
      <c r="R702" s="13" t="s">
        <v>6628</v>
      </c>
      <c r="S702" s="109"/>
      <c r="T702" s="109"/>
      <c r="U702" s="112"/>
      <c r="V702" s="109"/>
      <c r="W702" s="109"/>
      <c r="X702" s="109"/>
    </row>
    <row r="703" spans="2:24">
      <c r="B703" s="109"/>
      <c r="C703" s="109"/>
      <c r="D703" s="20" t="str">
        <f t="shared" si="139"/>
        <v>乐华娱乐</v>
      </c>
      <c r="E703" s="109"/>
      <c r="F703" s="112"/>
      <c r="G703" s="109"/>
      <c r="H703" s="109"/>
      <c r="I703" s="109"/>
      <c r="J703" s="109"/>
      <c r="K703" s="14" t="str">
        <f t="shared" si="140"/>
        <v>运营中</v>
      </c>
      <c r="L703" s="109"/>
      <c r="M703" s="109"/>
      <c r="N703" s="13">
        <v>1</v>
      </c>
      <c r="O703" s="24">
        <v>43172</v>
      </c>
      <c r="P703" s="13" t="s">
        <v>5622</v>
      </c>
      <c r="Q703" s="13" t="s">
        <v>2030</v>
      </c>
      <c r="R703" s="13" t="s">
        <v>253</v>
      </c>
      <c r="S703" s="109"/>
      <c r="T703" s="109"/>
      <c r="U703" s="112"/>
      <c r="V703" s="109"/>
      <c r="W703" s="109"/>
      <c r="X703" s="109"/>
    </row>
    <row r="704" spans="2:24">
      <c r="B704" s="109"/>
      <c r="C704" s="109"/>
      <c r="D704" s="20" t="str">
        <f t="shared" si="139"/>
        <v>乐华娱乐</v>
      </c>
      <c r="E704" s="109"/>
      <c r="F704" s="112"/>
      <c r="G704" s="109"/>
      <c r="H704" s="109"/>
      <c r="I704" s="109"/>
      <c r="J704" s="109"/>
      <c r="K704" s="14" t="str">
        <f t="shared" si="140"/>
        <v>运营中</v>
      </c>
      <c r="L704" s="109"/>
      <c r="M704" s="109"/>
      <c r="N704" s="13">
        <v>1</v>
      </c>
      <c r="O704" s="24">
        <v>42342</v>
      </c>
      <c r="P704" s="13" t="s">
        <v>5709</v>
      </c>
      <c r="Q704" s="13" t="s">
        <v>6629</v>
      </c>
      <c r="R704" s="13" t="s">
        <v>6630</v>
      </c>
      <c r="S704" s="109"/>
      <c r="T704" s="109"/>
      <c r="U704" s="112"/>
      <c r="V704" s="109"/>
      <c r="W704" s="109"/>
      <c r="X704" s="109"/>
    </row>
    <row r="705" spans="2:24">
      <c r="B705" s="109"/>
      <c r="C705" s="109"/>
      <c r="D705" s="20" t="str">
        <f t="shared" si="139"/>
        <v>乐华娱乐</v>
      </c>
      <c r="E705" s="109"/>
      <c r="F705" s="112"/>
      <c r="G705" s="109"/>
      <c r="H705" s="109"/>
      <c r="I705" s="109"/>
      <c r="J705" s="109"/>
      <c r="K705" s="14" t="str">
        <f t="shared" si="140"/>
        <v>运营中</v>
      </c>
      <c r="L705" s="109"/>
      <c r="M705" s="109"/>
      <c r="N705" s="13">
        <v>1</v>
      </c>
      <c r="O705" s="24">
        <v>42269</v>
      </c>
      <c r="P705" s="13" t="s">
        <v>5664</v>
      </c>
      <c r="Q705" s="13" t="s">
        <v>3514</v>
      </c>
      <c r="R705" s="13" t="s">
        <v>253</v>
      </c>
      <c r="S705" s="109"/>
      <c r="T705" s="109"/>
      <c r="U705" s="112"/>
      <c r="V705" s="109"/>
      <c r="W705" s="109"/>
      <c r="X705" s="109"/>
    </row>
    <row r="706" spans="2:24">
      <c r="B706" s="109"/>
      <c r="C706" s="109"/>
      <c r="D706" s="20" t="str">
        <f t="shared" si="139"/>
        <v>乐华娱乐</v>
      </c>
      <c r="E706" s="109"/>
      <c r="F706" s="112"/>
      <c r="G706" s="109"/>
      <c r="H706" s="109"/>
      <c r="I706" s="109"/>
      <c r="J706" s="109"/>
      <c r="K706" s="14" t="str">
        <f t="shared" si="140"/>
        <v>运营中</v>
      </c>
      <c r="L706" s="109"/>
      <c r="M706" s="109"/>
      <c r="N706" s="13">
        <v>1</v>
      </c>
      <c r="O706" s="24">
        <v>41857</v>
      </c>
      <c r="P706" s="13" t="s">
        <v>3648</v>
      </c>
      <c r="Q706" s="13" t="s">
        <v>4754</v>
      </c>
      <c r="R706" s="13" t="s">
        <v>6631</v>
      </c>
      <c r="S706" s="109"/>
      <c r="T706" s="109"/>
      <c r="U706" s="112"/>
      <c r="V706" s="109"/>
      <c r="W706" s="109"/>
      <c r="X706" s="109"/>
    </row>
    <row r="707" spans="2:24">
      <c r="B707" s="109"/>
      <c r="C707" s="109"/>
      <c r="D707" s="20" t="str">
        <f t="shared" si="139"/>
        <v>乐华娱乐</v>
      </c>
      <c r="E707" s="109"/>
      <c r="F707" s="112"/>
      <c r="G707" s="109"/>
      <c r="H707" s="109"/>
      <c r="I707" s="109"/>
      <c r="J707" s="109"/>
      <c r="K707" s="14" t="str">
        <f t="shared" si="140"/>
        <v>运营中</v>
      </c>
      <c r="L707" s="109"/>
      <c r="M707" s="109"/>
      <c r="N707" s="13">
        <v>1</v>
      </c>
      <c r="O707" s="24">
        <v>41195</v>
      </c>
      <c r="P707" s="13" t="s">
        <v>3513</v>
      </c>
      <c r="Q707" s="13" t="s">
        <v>3514</v>
      </c>
      <c r="R707" s="13" t="s">
        <v>6004</v>
      </c>
      <c r="S707" s="109"/>
      <c r="T707" s="109"/>
      <c r="U707" s="112"/>
      <c r="V707" s="109"/>
      <c r="W707" s="109"/>
      <c r="X707" s="109"/>
    </row>
    <row r="708" spans="2:24">
      <c r="B708" s="109"/>
      <c r="C708" s="109"/>
      <c r="D708" s="20" t="str">
        <f t="shared" si="139"/>
        <v>乐华娱乐</v>
      </c>
      <c r="E708" s="109"/>
      <c r="F708" s="112"/>
      <c r="G708" s="109"/>
      <c r="H708" s="109"/>
      <c r="I708" s="109"/>
      <c r="J708" s="109"/>
      <c r="K708" s="14" t="str">
        <f t="shared" si="140"/>
        <v>运营中</v>
      </c>
      <c r="L708" s="109"/>
      <c r="M708" s="109"/>
      <c r="N708" s="13">
        <v>1</v>
      </c>
      <c r="O708" s="24">
        <v>39995</v>
      </c>
      <c r="P708" s="13" t="s">
        <v>5474</v>
      </c>
      <c r="Q708" s="13" t="s">
        <v>6632</v>
      </c>
      <c r="R708" s="13" t="s">
        <v>6633</v>
      </c>
      <c r="S708" s="109"/>
      <c r="T708" s="109"/>
      <c r="U708" s="112"/>
      <c r="V708" s="109"/>
      <c r="W708" s="109"/>
      <c r="X708" s="109"/>
    </row>
    <row r="709" spans="2:24">
      <c r="B709" s="109"/>
      <c r="C709" s="109" t="s">
        <v>2472</v>
      </c>
      <c r="D709" s="20" t="s">
        <v>6634</v>
      </c>
      <c r="E709" s="109" t="s">
        <v>6635</v>
      </c>
      <c r="F709" s="112" t="s">
        <v>6636</v>
      </c>
      <c r="G709" s="109" t="s">
        <v>6637</v>
      </c>
      <c r="H709" s="109" t="s">
        <v>2477</v>
      </c>
      <c r="I709" s="109" t="s">
        <v>2478</v>
      </c>
      <c r="J709" s="109" t="s">
        <v>271</v>
      </c>
      <c r="K709" s="14" t="s">
        <v>248</v>
      </c>
      <c r="L709" s="109" t="s">
        <v>2711</v>
      </c>
      <c r="M709" s="109" t="s">
        <v>4903</v>
      </c>
      <c r="N709" s="13"/>
      <c r="O709" s="24">
        <v>43172</v>
      </c>
      <c r="P709" s="13" t="s">
        <v>1045</v>
      </c>
      <c r="Q709" s="13" t="s">
        <v>6638</v>
      </c>
      <c r="R709" s="13" t="s">
        <v>2480</v>
      </c>
      <c r="S709" s="109" t="s">
        <v>6639</v>
      </c>
      <c r="T709" s="109" t="s">
        <v>6640</v>
      </c>
      <c r="U709" s="112" t="s">
        <v>2483</v>
      </c>
      <c r="V709" s="109" t="s">
        <v>2484</v>
      </c>
      <c r="W709" s="109" t="s">
        <v>2485</v>
      </c>
      <c r="X709" s="109" t="s">
        <v>2486</v>
      </c>
    </row>
    <row r="710" spans="2:24">
      <c r="B710" s="109"/>
      <c r="C710" s="109"/>
      <c r="D710" s="20" t="str">
        <f t="shared" ref="D710:D720" si="141">D709</f>
        <v>ofo小黄车</v>
      </c>
      <c r="E710" s="109"/>
      <c r="F710" s="112"/>
      <c r="G710" s="109"/>
      <c r="H710" s="109"/>
      <c r="I710" s="109"/>
      <c r="J710" s="109"/>
      <c r="K710" s="14" t="str">
        <f t="shared" ref="K710:K720" si="142">K709</f>
        <v>已关闭</v>
      </c>
      <c r="L710" s="109"/>
      <c r="M710" s="109"/>
      <c r="N710" s="13"/>
      <c r="O710" s="24">
        <v>43163</v>
      </c>
      <c r="P710" s="13" t="s">
        <v>1045</v>
      </c>
      <c r="Q710" s="13" t="s">
        <v>6641</v>
      </c>
      <c r="R710" s="13" t="s">
        <v>1751</v>
      </c>
      <c r="S710" s="109"/>
      <c r="T710" s="109"/>
      <c r="U710" s="112"/>
      <c r="V710" s="109"/>
      <c r="W710" s="109"/>
      <c r="X710" s="109"/>
    </row>
    <row r="711" spans="2:24">
      <c r="B711" s="109"/>
      <c r="C711" s="109"/>
      <c r="D711" s="20" t="str">
        <f t="shared" si="141"/>
        <v>ofo小黄车</v>
      </c>
      <c r="E711" s="109"/>
      <c r="F711" s="112"/>
      <c r="G711" s="109"/>
      <c r="H711" s="109"/>
      <c r="I711" s="109"/>
      <c r="J711" s="109"/>
      <c r="K711" s="14" t="str">
        <f t="shared" si="142"/>
        <v>已关闭</v>
      </c>
      <c r="L711" s="109"/>
      <c r="M711" s="109"/>
      <c r="N711" s="13"/>
      <c r="O711" s="24">
        <v>42917</v>
      </c>
      <c r="P711" s="13" t="s">
        <v>3276</v>
      </c>
      <c r="Q711" s="13" t="s">
        <v>5643</v>
      </c>
      <c r="R711" s="13" t="s">
        <v>2488</v>
      </c>
      <c r="S711" s="109"/>
      <c r="T711" s="109"/>
      <c r="U711" s="112"/>
      <c r="V711" s="109"/>
      <c r="W711" s="109"/>
      <c r="X711" s="109"/>
    </row>
    <row r="712" spans="2:24">
      <c r="B712" s="109"/>
      <c r="C712" s="109"/>
      <c r="D712" s="20" t="str">
        <f t="shared" si="141"/>
        <v>ofo小黄车</v>
      </c>
      <c r="E712" s="109"/>
      <c r="F712" s="112"/>
      <c r="G712" s="109"/>
      <c r="H712" s="109"/>
      <c r="I712" s="109"/>
      <c r="J712" s="109"/>
      <c r="K712" s="14" t="str">
        <f t="shared" si="142"/>
        <v>已关闭</v>
      </c>
      <c r="L712" s="109"/>
      <c r="M712" s="109"/>
      <c r="N712" s="13"/>
      <c r="O712" s="24">
        <v>42847</v>
      </c>
      <c r="P712" s="13" t="s">
        <v>2713</v>
      </c>
      <c r="Q712" s="13" t="s">
        <v>5529</v>
      </c>
      <c r="R712" s="13" t="s">
        <v>6507</v>
      </c>
      <c r="S712" s="109"/>
      <c r="T712" s="109"/>
      <c r="U712" s="112"/>
      <c r="V712" s="109"/>
      <c r="W712" s="109"/>
      <c r="X712" s="109"/>
    </row>
    <row r="713" spans="2:24">
      <c r="B713" s="109"/>
      <c r="C713" s="109"/>
      <c r="D713" s="20" t="str">
        <f t="shared" si="141"/>
        <v>ofo小黄车</v>
      </c>
      <c r="E713" s="109"/>
      <c r="F713" s="112"/>
      <c r="G713" s="109"/>
      <c r="H713" s="109"/>
      <c r="I713" s="109"/>
      <c r="J713" s="109"/>
      <c r="K713" s="14" t="str">
        <f t="shared" si="142"/>
        <v>已关闭</v>
      </c>
      <c r="L713" s="109"/>
      <c r="M713" s="109"/>
      <c r="N713" s="13"/>
      <c r="O713" s="24">
        <v>42795</v>
      </c>
      <c r="P713" s="13" t="s">
        <v>1827</v>
      </c>
      <c r="Q713" s="13" t="s">
        <v>6460</v>
      </c>
      <c r="R713" s="13" t="s">
        <v>2489</v>
      </c>
      <c r="S713" s="109"/>
      <c r="T713" s="109"/>
      <c r="U713" s="112"/>
      <c r="V713" s="109"/>
      <c r="W713" s="109"/>
      <c r="X713" s="109"/>
    </row>
    <row r="714" spans="2:24">
      <c r="B714" s="109"/>
      <c r="C714" s="109"/>
      <c r="D714" s="20" t="str">
        <f t="shared" si="141"/>
        <v>ofo小黄车</v>
      </c>
      <c r="E714" s="109"/>
      <c r="F714" s="112"/>
      <c r="G714" s="109"/>
      <c r="H714" s="109"/>
      <c r="I714" s="109"/>
      <c r="J714" s="109"/>
      <c r="K714" s="14" t="str">
        <f t="shared" si="142"/>
        <v>已关闭</v>
      </c>
      <c r="L714" s="109"/>
      <c r="M714" s="109"/>
      <c r="N714" s="13"/>
      <c r="O714" s="24">
        <v>42653</v>
      </c>
      <c r="P714" s="13" t="s">
        <v>5613</v>
      </c>
      <c r="Q714" s="13" t="s">
        <v>6642</v>
      </c>
      <c r="R714" s="13" t="s">
        <v>2491</v>
      </c>
      <c r="S714" s="109"/>
      <c r="T714" s="109"/>
      <c r="U714" s="112"/>
      <c r="V714" s="109"/>
      <c r="W714" s="109"/>
      <c r="X714" s="109"/>
    </row>
    <row r="715" spans="2:24">
      <c r="B715" s="109"/>
      <c r="C715" s="109"/>
      <c r="D715" s="20" t="str">
        <f t="shared" si="141"/>
        <v>ofo小黄车</v>
      </c>
      <c r="E715" s="109"/>
      <c r="F715" s="112"/>
      <c r="G715" s="109"/>
      <c r="H715" s="109"/>
      <c r="I715" s="109"/>
      <c r="J715" s="109"/>
      <c r="K715" s="14" t="str">
        <f t="shared" si="142"/>
        <v>已关闭</v>
      </c>
      <c r="L715" s="109"/>
      <c r="M715" s="109"/>
      <c r="N715" s="13"/>
      <c r="O715" s="24">
        <v>42639</v>
      </c>
      <c r="P715" s="13" t="s">
        <v>5754</v>
      </c>
      <c r="Q715" s="13" t="s">
        <v>5129</v>
      </c>
      <c r="R715" s="13" t="s">
        <v>5620</v>
      </c>
      <c r="S715" s="109"/>
      <c r="T715" s="109"/>
      <c r="U715" s="112"/>
      <c r="V715" s="109"/>
      <c r="W715" s="109"/>
      <c r="X715" s="109"/>
    </row>
    <row r="716" spans="2:24">
      <c r="B716" s="109"/>
      <c r="C716" s="109"/>
      <c r="D716" s="20" t="str">
        <f t="shared" si="141"/>
        <v>ofo小黄车</v>
      </c>
      <c r="E716" s="109"/>
      <c r="F716" s="112"/>
      <c r="G716" s="109"/>
      <c r="H716" s="109"/>
      <c r="I716" s="109"/>
      <c r="J716" s="109"/>
      <c r="K716" s="14" t="str">
        <f t="shared" si="142"/>
        <v>已关闭</v>
      </c>
      <c r="L716" s="109"/>
      <c r="M716" s="109"/>
      <c r="N716" s="13"/>
      <c r="O716" s="24">
        <v>42615</v>
      </c>
      <c r="P716" s="13" t="s">
        <v>3648</v>
      </c>
      <c r="Q716" s="13" t="s">
        <v>5129</v>
      </c>
      <c r="R716" s="13" t="s">
        <v>2492</v>
      </c>
      <c r="S716" s="109"/>
      <c r="T716" s="109"/>
      <c r="U716" s="112"/>
      <c r="V716" s="109"/>
      <c r="W716" s="109"/>
      <c r="X716" s="109"/>
    </row>
    <row r="717" spans="2:24">
      <c r="B717" s="109"/>
      <c r="C717" s="109"/>
      <c r="D717" s="20" t="str">
        <f t="shared" si="141"/>
        <v>ofo小黄车</v>
      </c>
      <c r="E717" s="109"/>
      <c r="F717" s="112"/>
      <c r="G717" s="109"/>
      <c r="H717" s="109"/>
      <c r="I717" s="109"/>
      <c r="J717" s="109"/>
      <c r="K717" s="14" t="str">
        <f t="shared" si="142"/>
        <v>已关闭</v>
      </c>
      <c r="L717" s="109"/>
      <c r="M717" s="109"/>
      <c r="N717" s="13"/>
      <c r="O717" s="24">
        <v>42462</v>
      </c>
      <c r="P717" s="13" t="s">
        <v>4306</v>
      </c>
      <c r="Q717" s="13" t="s">
        <v>5662</v>
      </c>
      <c r="R717" s="13" t="s">
        <v>2493</v>
      </c>
      <c r="S717" s="109"/>
      <c r="T717" s="109"/>
      <c r="U717" s="112"/>
      <c r="V717" s="109"/>
      <c r="W717" s="109"/>
      <c r="X717" s="109"/>
    </row>
    <row r="718" spans="2:24">
      <c r="B718" s="109"/>
      <c r="C718" s="109"/>
      <c r="D718" s="20" t="str">
        <f t="shared" si="141"/>
        <v>ofo小黄车</v>
      </c>
      <c r="E718" s="109"/>
      <c r="F718" s="112"/>
      <c r="G718" s="109"/>
      <c r="H718" s="109"/>
      <c r="I718" s="109"/>
      <c r="J718" s="109"/>
      <c r="K718" s="14" t="str">
        <f t="shared" si="142"/>
        <v>已关闭</v>
      </c>
      <c r="L718" s="109"/>
      <c r="M718" s="109"/>
      <c r="N718" s="13"/>
      <c r="O718" s="24">
        <v>42401</v>
      </c>
      <c r="P718" s="13" t="s">
        <v>3513</v>
      </c>
      <c r="Q718" s="13" t="s">
        <v>6643</v>
      </c>
      <c r="R718" s="13" t="s">
        <v>2495</v>
      </c>
      <c r="S718" s="109"/>
      <c r="T718" s="109"/>
      <c r="U718" s="112"/>
      <c r="V718" s="109"/>
      <c r="W718" s="109"/>
      <c r="X718" s="109"/>
    </row>
    <row r="719" spans="2:24">
      <c r="B719" s="109"/>
      <c r="C719" s="109"/>
      <c r="D719" s="20" t="str">
        <f t="shared" si="141"/>
        <v>ofo小黄车</v>
      </c>
      <c r="E719" s="109"/>
      <c r="F719" s="112"/>
      <c r="G719" s="109"/>
      <c r="H719" s="109"/>
      <c r="I719" s="109"/>
      <c r="J719" s="109"/>
      <c r="K719" s="14" t="str">
        <f t="shared" si="142"/>
        <v>已关闭</v>
      </c>
      <c r="L719" s="109"/>
      <c r="M719" s="109"/>
      <c r="N719" s="13"/>
      <c r="O719" s="24">
        <v>42340</v>
      </c>
      <c r="P719" s="13" t="s">
        <v>5454</v>
      </c>
      <c r="Q719" s="13" t="s">
        <v>6583</v>
      </c>
      <c r="R719" s="13" t="s">
        <v>2496</v>
      </c>
      <c r="S719" s="109"/>
      <c r="T719" s="109"/>
      <c r="U719" s="112"/>
      <c r="V719" s="109"/>
      <c r="W719" s="109"/>
      <c r="X719" s="109"/>
    </row>
    <row r="720" spans="2:24">
      <c r="B720" s="109"/>
      <c r="C720" s="109"/>
      <c r="D720" s="20" t="str">
        <f t="shared" si="141"/>
        <v>ofo小黄车</v>
      </c>
      <c r="E720" s="109"/>
      <c r="F720" s="112"/>
      <c r="G720" s="109"/>
      <c r="H720" s="109"/>
      <c r="I720" s="109"/>
      <c r="J720" s="109"/>
      <c r="K720" s="14" t="str">
        <f t="shared" si="142"/>
        <v>已关闭</v>
      </c>
      <c r="L720" s="109"/>
      <c r="M720" s="109"/>
      <c r="N720" s="13"/>
      <c r="O720" s="24">
        <v>42080</v>
      </c>
      <c r="P720" s="13" t="s">
        <v>5474</v>
      </c>
      <c r="Q720" s="13" t="s">
        <v>5646</v>
      </c>
      <c r="R720" s="13" t="s">
        <v>6644</v>
      </c>
      <c r="S720" s="109"/>
      <c r="T720" s="109"/>
      <c r="U720" s="112"/>
      <c r="V720" s="109"/>
      <c r="W720" s="109"/>
      <c r="X720" s="109"/>
    </row>
    <row r="721" spans="2:24">
      <c r="B721" s="109"/>
      <c r="C721" s="109" t="s">
        <v>2498</v>
      </c>
      <c r="D721" s="20" t="s">
        <v>6645</v>
      </c>
      <c r="E721" s="109" t="s">
        <v>6646</v>
      </c>
      <c r="F721" s="112" t="s">
        <v>2500</v>
      </c>
      <c r="G721" s="109" t="s">
        <v>6647</v>
      </c>
      <c r="H721" s="109" t="s">
        <v>2502</v>
      </c>
      <c r="I721" s="109" t="s">
        <v>2503</v>
      </c>
      <c r="J721" s="109" t="s">
        <v>406</v>
      </c>
      <c r="K721" s="14" t="s">
        <v>272</v>
      </c>
      <c r="L721" s="109" t="s">
        <v>4162</v>
      </c>
      <c r="M721" s="109" t="s">
        <v>6009</v>
      </c>
      <c r="N721" s="13">
        <v>1</v>
      </c>
      <c r="O721" s="24">
        <v>44532</v>
      </c>
      <c r="P721" s="13" t="s">
        <v>5625</v>
      </c>
      <c r="Q721" s="13" t="s">
        <v>6648</v>
      </c>
      <c r="R721" s="13" t="s">
        <v>253</v>
      </c>
      <c r="S721" s="109" t="s">
        <v>6649</v>
      </c>
      <c r="T721" s="109" t="s">
        <v>6650</v>
      </c>
      <c r="U721" s="112" t="s">
        <v>2507</v>
      </c>
      <c r="V721" s="109" t="s">
        <v>2508</v>
      </c>
      <c r="W721" s="109" t="s">
        <v>2509</v>
      </c>
      <c r="X721" s="109" t="s">
        <v>2510</v>
      </c>
    </row>
    <row r="722" spans="2:24">
      <c r="B722" s="109"/>
      <c r="C722" s="109"/>
      <c r="D722" s="20" t="str">
        <f>D721</f>
        <v>网易云音乐</v>
      </c>
      <c r="E722" s="109"/>
      <c r="F722" s="112"/>
      <c r="G722" s="109"/>
      <c r="H722" s="109"/>
      <c r="I722" s="109"/>
      <c r="J722" s="109"/>
      <c r="K722" s="14" t="str">
        <f t="shared" ref="K722:K725" si="143">K721</f>
        <v>运营中</v>
      </c>
      <c r="L722" s="109"/>
      <c r="M722" s="109"/>
      <c r="N722" s="13">
        <v>1</v>
      </c>
      <c r="O722" s="24">
        <v>44523</v>
      </c>
      <c r="P722" s="13" t="s">
        <v>5795</v>
      </c>
      <c r="Q722" s="13" t="s">
        <v>5945</v>
      </c>
      <c r="R722" s="13" t="s">
        <v>2511</v>
      </c>
      <c r="S722" s="109"/>
      <c r="T722" s="109"/>
      <c r="U722" s="112"/>
      <c r="V722" s="109"/>
      <c r="W722" s="109"/>
      <c r="X722" s="109"/>
    </row>
    <row r="723" spans="2:24">
      <c r="B723" s="109"/>
      <c r="C723" s="109"/>
      <c r="D723" s="20" t="str">
        <f>D722</f>
        <v>网易云音乐</v>
      </c>
      <c r="E723" s="109"/>
      <c r="F723" s="112"/>
      <c r="G723" s="109"/>
      <c r="H723" s="109"/>
      <c r="I723" s="109"/>
      <c r="J723" s="109"/>
      <c r="K723" s="14" t="str">
        <f t="shared" si="143"/>
        <v>运营中</v>
      </c>
      <c r="L723" s="109"/>
      <c r="M723" s="109"/>
      <c r="N723" s="13">
        <v>1</v>
      </c>
      <c r="O723" s="24">
        <v>43714</v>
      </c>
      <c r="P723" s="13" t="s">
        <v>5754</v>
      </c>
      <c r="Q723" s="13" t="s">
        <v>5643</v>
      </c>
      <c r="R723" s="13" t="s">
        <v>455</v>
      </c>
      <c r="S723" s="109"/>
      <c r="T723" s="109"/>
      <c r="U723" s="112"/>
      <c r="V723" s="109"/>
      <c r="W723" s="109"/>
      <c r="X723" s="109"/>
    </row>
    <row r="724" spans="2:24">
      <c r="B724" s="109"/>
      <c r="C724" s="109"/>
      <c r="D724" s="20" t="str">
        <f>D723</f>
        <v>网易云音乐</v>
      </c>
      <c r="E724" s="109"/>
      <c r="F724" s="112"/>
      <c r="G724" s="109"/>
      <c r="H724" s="109"/>
      <c r="I724" s="109"/>
      <c r="J724" s="109"/>
      <c r="K724" s="14" t="str">
        <f t="shared" si="143"/>
        <v>运营中</v>
      </c>
      <c r="L724" s="109"/>
      <c r="M724" s="109"/>
      <c r="N724" s="13">
        <v>1</v>
      </c>
      <c r="O724" s="24">
        <v>43417</v>
      </c>
      <c r="P724" s="13" t="s">
        <v>3648</v>
      </c>
      <c r="Q724" s="13" t="s">
        <v>5627</v>
      </c>
      <c r="R724" s="13" t="s">
        <v>6651</v>
      </c>
      <c r="S724" s="109"/>
      <c r="T724" s="109"/>
      <c r="U724" s="112"/>
      <c r="V724" s="109"/>
      <c r="W724" s="109"/>
      <c r="X724" s="109"/>
    </row>
    <row r="725" spans="2:24">
      <c r="B725" s="109"/>
      <c r="C725" s="109"/>
      <c r="D725" s="20" t="str">
        <f>D724</f>
        <v>网易云音乐</v>
      </c>
      <c r="E725" s="109"/>
      <c r="F725" s="112"/>
      <c r="G725" s="109"/>
      <c r="H725" s="109"/>
      <c r="I725" s="109"/>
      <c r="J725" s="109"/>
      <c r="K725" s="14" t="str">
        <f t="shared" si="143"/>
        <v>运营中</v>
      </c>
      <c r="L725" s="109"/>
      <c r="M725" s="109"/>
      <c r="N725" s="13">
        <v>1</v>
      </c>
      <c r="O725" s="24">
        <v>42836</v>
      </c>
      <c r="P725" s="13" t="s">
        <v>3513</v>
      </c>
      <c r="Q725" s="13" t="s">
        <v>6591</v>
      </c>
      <c r="R725" s="13" t="s">
        <v>2513</v>
      </c>
      <c r="S725" s="109"/>
      <c r="T725" s="109"/>
      <c r="U725" s="112"/>
      <c r="V725" s="109"/>
      <c r="W725" s="109"/>
      <c r="X725" s="109"/>
    </row>
    <row r="726" spans="2:24" ht="36">
      <c r="B726" s="109"/>
      <c r="C726" s="13" t="s">
        <v>740</v>
      </c>
      <c r="D726" s="25" t="s">
        <v>6652</v>
      </c>
      <c r="E726" s="13" t="s">
        <v>6653</v>
      </c>
      <c r="F726" s="18" t="s">
        <v>2515</v>
      </c>
      <c r="G726" s="13" t="s">
        <v>6654</v>
      </c>
      <c r="H726" s="13" t="s">
        <v>2517</v>
      </c>
      <c r="I726" s="13" t="s">
        <v>2518</v>
      </c>
      <c r="J726" s="13" t="s">
        <v>349</v>
      </c>
      <c r="K726" s="19" t="s">
        <v>272</v>
      </c>
      <c r="L726" s="13" t="s">
        <v>2711</v>
      </c>
      <c r="M726" s="13" t="s">
        <v>6655</v>
      </c>
      <c r="N726" s="13"/>
      <c r="O726" s="24">
        <v>42490</v>
      </c>
      <c r="P726" s="13" t="s">
        <v>1045</v>
      </c>
      <c r="Q726" s="13" t="s">
        <v>3514</v>
      </c>
      <c r="R726" s="13" t="s">
        <v>2520</v>
      </c>
      <c r="S726" s="13" t="s">
        <v>5169</v>
      </c>
      <c r="T726" s="13" t="s">
        <v>3517</v>
      </c>
      <c r="U726" s="18"/>
      <c r="V726" s="13"/>
      <c r="W726" s="13"/>
      <c r="X726" s="13"/>
    </row>
    <row r="727" spans="2:24">
      <c r="B727" s="109"/>
      <c r="C727" s="109" t="s">
        <v>2521</v>
      </c>
      <c r="D727" s="20" t="s">
        <v>6656</v>
      </c>
      <c r="E727" s="109" t="s">
        <v>6657</v>
      </c>
      <c r="F727" s="112" t="s">
        <v>6658</v>
      </c>
      <c r="G727" s="109" t="s">
        <v>6659</v>
      </c>
      <c r="H727" s="109"/>
      <c r="I727" s="109" t="s">
        <v>1125</v>
      </c>
      <c r="J727" s="109" t="s">
        <v>271</v>
      </c>
      <c r="K727" s="14" t="s">
        <v>272</v>
      </c>
      <c r="L727" s="109" t="s">
        <v>1825</v>
      </c>
      <c r="M727" s="109" t="s">
        <v>6025</v>
      </c>
      <c r="N727" s="13"/>
      <c r="O727" s="24">
        <v>44201</v>
      </c>
      <c r="P727" s="13" t="s">
        <v>1827</v>
      </c>
      <c r="Q727" s="13" t="s">
        <v>3483</v>
      </c>
      <c r="R727" s="13" t="s">
        <v>2525</v>
      </c>
      <c r="S727" s="109" t="s">
        <v>6660</v>
      </c>
      <c r="T727" s="109" t="s">
        <v>5765</v>
      </c>
      <c r="U727" s="112" t="s">
        <v>2527</v>
      </c>
      <c r="V727" s="109" t="s">
        <v>2528</v>
      </c>
      <c r="W727" s="109" t="s">
        <v>2529</v>
      </c>
      <c r="X727" s="109" t="s">
        <v>2530</v>
      </c>
    </row>
    <row r="728" spans="2:24">
      <c r="B728" s="109"/>
      <c r="C728" s="109"/>
      <c r="D728" s="20" t="str">
        <f>D727</f>
        <v>安华金和</v>
      </c>
      <c r="E728" s="109"/>
      <c r="F728" s="112"/>
      <c r="G728" s="109"/>
      <c r="H728" s="109"/>
      <c r="I728" s="109"/>
      <c r="J728" s="109"/>
      <c r="K728" s="14" t="str">
        <f t="shared" ref="K728:K730" si="144">K727</f>
        <v>运营中</v>
      </c>
      <c r="L728" s="109"/>
      <c r="M728" s="109"/>
      <c r="N728" s="13"/>
      <c r="O728" s="24">
        <v>43417</v>
      </c>
      <c r="P728" s="13" t="s">
        <v>5613</v>
      </c>
      <c r="Q728" s="13" t="s">
        <v>1750</v>
      </c>
      <c r="R728" s="13" t="s">
        <v>6661</v>
      </c>
      <c r="S728" s="109"/>
      <c r="T728" s="109"/>
      <c r="U728" s="112"/>
      <c r="V728" s="109"/>
      <c r="W728" s="109"/>
      <c r="X728" s="109"/>
    </row>
    <row r="729" spans="2:24">
      <c r="B729" s="109"/>
      <c r="C729" s="109"/>
      <c r="D729" s="20" t="str">
        <f>D728</f>
        <v>安华金和</v>
      </c>
      <c r="E729" s="109"/>
      <c r="F729" s="112"/>
      <c r="G729" s="109"/>
      <c r="H729" s="109"/>
      <c r="I729" s="109"/>
      <c r="J729" s="109"/>
      <c r="K729" s="14" t="str">
        <f t="shared" si="144"/>
        <v>运营中</v>
      </c>
      <c r="L729" s="109"/>
      <c r="M729" s="109"/>
      <c r="N729" s="13"/>
      <c r="O729" s="24">
        <v>42543</v>
      </c>
      <c r="P729" s="13" t="s">
        <v>3648</v>
      </c>
      <c r="Q729" s="13" t="s">
        <v>6020</v>
      </c>
      <c r="R729" s="13" t="s">
        <v>2532</v>
      </c>
      <c r="S729" s="109"/>
      <c r="T729" s="109"/>
      <c r="U729" s="112"/>
      <c r="V729" s="109"/>
      <c r="W729" s="109"/>
      <c r="X729" s="109"/>
    </row>
    <row r="730" spans="2:24">
      <c r="B730" s="109"/>
      <c r="C730" s="109"/>
      <c r="D730" s="20" t="str">
        <f>D729</f>
        <v>安华金和</v>
      </c>
      <c r="E730" s="109"/>
      <c r="F730" s="112"/>
      <c r="G730" s="109"/>
      <c r="H730" s="109"/>
      <c r="I730" s="109"/>
      <c r="J730" s="109"/>
      <c r="K730" s="14" t="str">
        <f t="shared" si="144"/>
        <v>运营中</v>
      </c>
      <c r="L730" s="109"/>
      <c r="M730" s="109"/>
      <c r="N730" s="13"/>
      <c r="O730" s="24">
        <v>41927</v>
      </c>
      <c r="P730" s="13" t="s">
        <v>3513</v>
      </c>
      <c r="Q730" s="13" t="s">
        <v>6662</v>
      </c>
      <c r="R730" s="13" t="s">
        <v>6663</v>
      </c>
      <c r="S730" s="109"/>
      <c r="T730" s="109"/>
      <c r="U730" s="112"/>
      <c r="V730" s="109"/>
      <c r="W730" s="109"/>
      <c r="X730" s="109"/>
    </row>
    <row r="731" spans="2:24">
      <c r="B731" s="109"/>
      <c r="C731" s="109" t="s">
        <v>1401</v>
      </c>
      <c r="D731" s="20" t="s">
        <v>6664</v>
      </c>
      <c r="E731" s="109" t="s">
        <v>6665</v>
      </c>
      <c r="F731" s="112" t="s">
        <v>2536</v>
      </c>
      <c r="G731" s="109" t="s">
        <v>6666</v>
      </c>
      <c r="H731" s="109" t="s">
        <v>2538</v>
      </c>
      <c r="I731" s="109" t="s">
        <v>1471</v>
      </c>
      <c r="J731" s="109" t="s">
        <v>2539</v>
      </c>
      <c r="K731" s="14" t="s">
        <v>272</v>
      </c>
      <c r="L731" s="109" t="s">
        <v>4472</v>
      </c>
      <c r="M731" s="109" t="s">
        <v>6667</v>
      </c>
      <c r="N731" s="13">
        <v>1</v>
      </c>
      <c r="O731" s="24">
        <v>44103</v>
      </c>
      <c r="P731" s="13" t="s">
        <v>5625</v>
      </c>
      <c r="Q731" s="13" t="s">
        <v>6668</v>
      </c>
      <c r="R731" s="13" t="s">
        <v>253</v>
      </c>
      <c r="S731" s="109" t="s">
        <v>6669</v>
      </c>
      <c r="T731" s="109" t="s">
        <v>6670</v>
      </c>
      <c r="U731" s="112" t="s">
        <v>2544</v>
      </c>
      <c r="V731" s="109" t="s">
        <v>2545</v>
      </c>
      <c r="W731" s="109" t="s">
        <v>2546</v>
      </c>
      <c r="X731" s="109" t="s">
        <v>2547</v>
      </c>
    </row>
    <row r="732" spans="2:24">
      <c r="B732" s="109"/>
      <c r="C732" s="109"/>
      <c r="D732" s="20" t="str">
        <f>D731</f>
        <v>丽人丽妆</v>
      </c>
      <c r="E732" s="109"/>
      <c r="F732" s="112"/>
      <c r="G732" s="109"/>
      <c r="H732" s="109"/>
      <c r="I732" s="109"/>
      <c r="J732" s="109"/>
      <c r="K732" s="14" t="str">
        <f t="shared" ref="K732:K733" si="145">K731</f>
        <v>运营中</v>
      </c>
      <c r="L732" s="109"/>
      <c r="M732" s="109"/>
      <c r="N732" s="13">
        <v>1</v>
      </c>
      <c r="O732" s="24">
        <v>42097</v>
      </c>
      <c r="P732" s="13" t="s">
        <v>3648</v>
      </c>
      <c r="Q732" s="13" t="s">
        <v>4732</v>
      </c>
      <c r="R732" s="13" t="s">
        <v>2548</v>
      </c>
      <c r="S732" s="109"/>
      <c r="T732" s="109"/>
      <c r="U732" s="112"/>
      <c r="V732" s="109"/>
      <c r="W732" s="109"/>
      <c r="X732" s="109"/>
    </row>
    <row r="733" spans="2:24">
      <c r="B733" s="109"/>
      <c r="C733" s="109"/>
      <c r="D733" s="20" t="str">
        <f>D732</f>
        <v>丽人丽妆</v>
      </c>
      <c r="E733" s="109"/>
      <c r="F733" s="112"/>
      <c r="G733" s="109"/>
      <c r="H733" s="109"/>
      <c r="I733" s="109"/>
      <c r="J733" s="109"/>
      <c r="K733" s="14" t="str">
        <f t="shared" si="145"/>
        <v>运营中</v>
      </c>
      <c r="L733" s="109"/>
      <c r="M733" s="109"/>
      <c r="N733" s="13">
        <v>1</v>
      </c>
      <c r="O733" s="24">
        <v>41013</v>
      </c>
      <c r="P733" s="13" t="s">
        <v>3513</v>
      </c>
      <c r="Q733" s="13" t="s">
        <v>5591</v>
      </c>
      <c r="R733" s="13" t="s">
        <v>1751</v>
      </c>
      <c r="S733" s="109"/>
      <c r="T733" s="109"/>
      <c r="U733" s="112"/>
      <c r="V733" s="109"/>
      <c r="W733" s="109"/>
      <c r="X733" s="109"/>
    </row>
    <row r="734" spans="2:24">
      <c r="B734" s="109"/>
      <c r="C734" s="109" t="s">
        <v>2549</v>
      </c>
      <c r="D734" s="20" t="s">
        <v>2550</v>
      </c>
      <c r="E734" s="109" t="s">
        <v>2550</v>
      </c>
      <c r="F734" s="112" t="s">
        <v>6671</v>
      </c>
      <c r="G734" s="109"/>
      <c r="H734" s="109" t="s">
        <v>2552</v>
      </c>
      <c r="I734" s="109" t="s">
        <v>1462</v>
      </c>
      <c r="J734" s="109" t="s">
        <v>1931</v>
      </c>
      <c r="K734" s="14" t="s">
        <v>272</v>
      </c>
      <c r="L734" s="109" t="s">
        <v>5651</v>
      </c>
      <c r="M734" s="109" t="s">
        <v>6594</v>
      </c>
      <c r="N734" s="13">
        <v>1</v>
      </c>
      <c r="O734" s="24">
        <v>43549</v>
      </c>
      <c r="P734" s="13" t="s">
        <v>5709</v>
      </c>
      <c r="Q734" s="13" t="s">
        <v>5000</v>
      </c>
      <c r="R734" s="13" t="s">
        <v>1751</v>
      </c>
      <c r="S734" s="109" t="s">
        <v>5181</v>
      </c>
      <c r="T734" s="109" t="s">
        <v>3664</v>
      </c>
      <c r="U734" s="112" t="s">
        <v>2554</v>
      </c>
      <c r="V734" s="109"/>
      <c r="W734" s="109"/>
      <c r="X734" s="109"/>
    </row>
    <row r="735" spans="2:24">
      <c r="B735" s="109"/>
      <c r="C735" s="109"/>
      <c r="D735" s="20" t="str">
        <f>D734</f>
        <v>InfinityAR</v>
      </c>
      <c r="E735" s="109"/>
      <c r="F735" s="112"/>
      <c r="G735" s="109"/>
      <c r="H735" s="109"/>
      <c r="I735" s="109"/>
      <c r="J735" s="109"/>
      <c r="K735" s="14" t="str">
        <f t="shared" ref="K735:K736" si="146">K734</f>
        <v>运营中</v>
      </c>
      <c r="L735" s="109"/>
      <c r="M735" s="109"/>
      <c r="N735" s="13">
        <v>1</v>
      </c>
      <c r="O735" s="24">
        <v>42676</v>
      </c>
      <c r="P735" s="13" t="s">
        <v>5754</v>
      </c>
      <c r="Q735" s="13" t="s">
        <v>6264</v>
      </c>
      <c r="R735" s="13" t="s">
        <v>1751</v>
      </c>
      <c r="S735" s="109"/>
      <c r="T735" s="109"/>
      <c r="U735" s="112"/>
      <c r="V735" s="109"/>
      <c r="W735" s="109"/>
      <c r="X735" s="109"/>
    </row>
    <row r="736" spans="2:24">
      <c r="B736" s="109"/>
      <c r="C736" s="109"/>
      <c r="D736" s="20" t="str">
        <f>D735</f>
        <v>InfinityAR</v>
      </c>
      <c r="E736" s="109"/>
      <c r="F736" s="112"/>
      <c r="G736" s="109"/>
      <c r="H736" s="109"/>
      <c r="I736" s="109"/>
      <c r="J736" s="109"/>
      <c r="K736" s="14" t="str">
        <f t="shared" si="146"/>
        <v>运营中</v>
      </c>
      <c r="L736" s="109"/>
      <c r="M736" s="109"/>
      <c r="N736" s="13">
        <v>1</v>
      </c>
      <c r="O736" s="24">
        <v>42104</v>
      </c>
      <c r="P736" s="13" t="s">
        <v>3648</v>
      </c>
      <c r="Q736" s="13" t="s">
        <v>5705</v>
      </c>
      <c r="R736" s="13" t="s">
        <v>253</v>
      </c>
      <c r="S736" s="109"/>
      <c r="T736" s="109"/>
      <c r="U736" s="112"/>
      <c r="V736" s="109"/>
      <c r="W736" s="109"/>
      <c r="X736" s="109"/>
    </row>
    <row r="737" spans="2:24">
      <c r="B737" s="109"/>
      <c r="C737" s="109" t="s">
        <v>2555</v>
      </c>
      <c r="D737" s="20" t="s">
        <v>6672</v>
      </c>
      <c r="E737" s="109" t="s">
        <v>6673</v>
      </c>
      <c r="F737" s="112" t="s">
        <v>2557</v>
      </c>
      <c r="G737" s="109" t="s">
        <v>6674</v>
      </c>
      <c r="H737" s="109" t="s">
        <v>2559</v>
      </c>
      <c r="I737" s="109" t="s">
        <v>2010</v>
      </c>
      <c r="J737" s="109" t="s">
        <v>1192</v>
      </c>
      <c r="K737" s="14" t="s">
        <v>272</v>
      </c>
      <c r="L737" s="109" t="s">
        <v>4472</v>
      </c>
      <c r="M737" s="109" t="s">
        <v>6675</v>
      </c>
      <c r="N737" s="13"/>
      <c r="O737" s="24">
        <v>43349</v>
      </c>
      <c r="P737" s="13" t="s">
        <v>5613</v>
      </c>
      <c r="Q737" s="13" t="s">
        <v>1750</v>
      </c>
      <c r="R737" s="13" t="s">
        <v>1751</v>
      </c>
      <c r="S737" s="109" t="s">
        <v>6676</v>
      </c>
      <c r="T737" s="109" t="s">
        <v>6677</v>
      </c>
      <c r="U737" s="112" t="s">
        <v>2563</v>
      </c>
      <c r="V737" s="109" t="s">
        <v>2564</v>
      </c>
      <c r="W737" s="109" t="s">
        <v>2565</v>
      </c>
      <c r="X737" s="109" t="s">
        <v>2566</v>
      </c>
    </row>
    <row r="738" spans="2:24">
      <c r="B738" s="109"/>
      <c r="C738" s="109"/>
      <c r="D738" s="20" t="str">
        <f>D737</f>
        <v>回收宝</v>
      </c>
      <c r="E738" s="109"/>
      <c r="F738" s="112"/>
      <c r="G738" s="109"/>
      <c r="H738" s="109"/>
      <c r="I738" s="109"/>
      <c r="J738" s="109"/>
      <c r="K738" s="14" t="str">
        <f t="shared" ref="K738:K742" si="147">K737</f>
        <v>运营中</v>
      </c>
      <c r="L738" s="109"/>
      <c r="M738" s="109"/>
      <c r="N738" s="13"/>
      <c r="O738" s="24">
        <v>43008</v>
      </c>
      <c r="P738" s="13" t="s">
        <v>3648</v>
      </c>
      <c r="Q738" s="13" t="s">
        <v>4754</v>
      </c>
      <c r="R738" s="13" t="s">
        <v>2567</v>
      </c>
      <c r="S738" s="109"/>
      <c r="T738" s="109"/>
      <c r="U738" s="112"/>
      <c r="V738" s="109"/>
      <c r="W738" s="109"/>
      <c r="X738" s="109"/>
    </row>
    <row r="739" spans="2:24">
      <c r="B739" s="109"/>
      <c r="C739" s="109"/>
      <c r="D739" s="20" t="str">
        <f>D738</f>
        <v>回收宝</v>
      </c>
      <c r="E739" s="109"/>
      <c r="F739" s="112"/>
      <c r="G739" s="109"/>
      <c r="H739" s="109"/>
      <c r="I739" s="109"/>
      <c r="J739" s="109"/>
      <c r="K739" s="14" t="str">
        <f t="shared" si="147"/>
        <v>运营中</v>
      </c>
      <c r="L739" s="109"/>
      <c r="M739" s="109"/>
      <c r="N739" s="13"/>
      <c r="O739" s="24">
        <v>42688</v>
      </c>
      <c r="P739" s="13" t="s">
        <v>4306</v>
      </c>
      <c r="Q739" s="13" t="s">
        <v>3514</v>
      </c>
      <c r="R739" s="13" t="s">
        <v>6678</v>
      </c>
      <c r="S739" s="109"/>
      <c r="T739" s="109"/>
      <c r="U739" s="112"/>
      <c r="V739" s="109"/>
      <c r="W739" s="109"/>
      <c r="X739" s="109"/>
    </row>
    <row r="740" spans="2:24">
      <c r="B740" s="109"/>
      <c r="C740" s="109"/>
      <c r="D740" s="20" t="str">
        <f>D739</f>
        <v>回收宝</v>
      </c>
      <c r="E740" s="109"/>
      <c r="F740" s="112"/>
      <c r="G740" s="109"/>
      <c r="H740" s="109"/>
      <c r="I740" s="109"/>
      <c r="J740" s="109"/>
      <c r="K740" s="14" t="str">
        <f t="shared" si="147"/>
        <v>运营中</v>
      </c>
      <c r="L740" s="109"/>
      <c r="M740" s="109"/>
      <c r="N740" s="13"/>
      <c r="O740" s="24">
        <v>42520</v>
      </c>
      <c r="P740" s="13" t="s">
        <v>3513</v>
      </c>
      <c r="Q740" s="13" t="s">
        <v>2030</v>
      </c>
      <c r="R740" s="13" t="s">
        <v>2569</v>
      </c>
      <c r="S740" s="109"/>
      <c r="T740" s="109"/>
      <c r="U740" s="112"/>
      <c r="V740" s="109"/>
      <c r="W740" s="109"/>
      <c r="X740" s="109"/>
    </row>
    <row r="741" spans="2:24">
      <c r="B741" s="109"/>
      <c r="C741" s="109"/>
      <c r="D741" s="20" t="str">
        <f>D740</f>
        <v>回收宝</v>
      </c>
      <c r="E741" s="109"/>
      <c r="F741" s="112"/>
      <c r="G741" s="109"/>
      <c r="H741" s="109"/>
      <c r="I741" s="109"/>
      <c r="J741" s="109"/>
      <c r="K741" s="14" t="str">
        <f t="shared" si="147"/>
        <v>运营中</v>
      </c>
      <c r="L741" s="109"/>
      <c r="M741" s="109"/>
      <c r="N741" s="13"/>
      <c r="O741" s="24">
        <v>42321</v>
      </c>
      <c r="P741" s="13" t="s">
        <v>5454</v>
      </c>
      <c r="Q741" s="13" t="s">
        <v>5662</v>
      </c>
      <c r="R741" s="13" t="s">
        <v>2570</v>
      </c>
      <c r="S741" s="109"/>
      <c r="T741" s="109"/>
      <c r="U741" s="112"/>
      <c r="V741" s="109"/>
      <c r="W741" s="109"/>
      <c r="X741" s="109"/>
    </row>
    <row r="742" spans="2:24">
      <c r="B742" s="109"/>
      <c r="C742" s="109"/>
      <c r="D742" s="20" t="str">
        <f>D741</f>
        <v>回收宝</v>
      </c>
      <c r="E742" s="109"/>
      <c r="F742" s="112"/>
      <c r="G742" s="109"/>
      <c r="H742" s="109"/>
      <c r="I742" s="109"/>
      <c r="J742" s="109"/>
      <c r="K742" s="14" t="str">
        <f t="shared" si="147"/>
        <v>运营中</v>
      </c>
      <c r="L742" s="109"/>
      <c r="M742" s="109"/>
      <c r="N742" s="13"/>
      <c r="O742" s="24">
        <v>42243</v>
      </c>
      <c r="P742" s="13" t="s">
        <v>5474</v>
      </c>
      <c r="Q742" s="13" t="s">
        <v>5617</v>
      </c>
      <c r="R742" s="13" t="s">
        <v>6679</v>
      </c>
      <c r="S742" s="109"/>
      <c r="T742" s="109"/>
      <c r="U742" s="112"/>
      <c r="V742" s="109"/>
      <c r="W742" s="109"/>
      <c r="X742" s="109"/>
    </row>
    <row r="743" spans="2:24">
      <c r="B743" s="109"/>
      <c r="C743" s="109" t="s">
        <v>2572</v>
      </c>
      <c r="D743" s="20" t="s">
        <v>2573</v>
      </c>
      <c r="E743" s="109" t="s">
        <v>2573</v>
      </c>
      <c r="F743" s="112" t="s">
        <v>6680</v>
      </c>
      <c r="G743" s="109"/>
      <c r="H743" s="109" t="s">
        <v>2575</v>
      </c>
      <c r="I743" s="109" t="s">
        <v>2576</v>
      </c>
      <c r="J743" s="109" t="s">
        <v>1564</v>
      </c>
      <c r="K743" s="14" t="s">
        <v>272</v>
      </c>
      <c r="L743" s="109" t="s">
        <v>4472</v>
      </c>
      <c r="M743" s="109" t="s">
        <v>5780</v>
      </c>
      <c r="N743" s="13">
        <v>1</v>
      </c>
      <c r="O743" s="24">
        <v>42234</v>
      </c>
      <c r="P743" s="13" t="s">
        <v>5709</v>
      </c>
      <c r="Q743" s="13" t="s">
        <v>6681</v>
      </c>
      <c r="R743" s="13" t="s">
        <v>253</v>
      </c>
      <c r="S743" s="109" t="s">
        <v>6682</v>
      </c>
      <c r="T743" s="109" t="s">
        <v>6683</v>
      </c>
      <c r="U743" s="112" t="s">
        <v>6684</v>
      </c>
      <c r="V743" s="109"/>
      <c r="W743" s="109"/>
      <c r="X743" s="109" t="s">
        <v>2581</v>
      </c>
    </row>
    <row r="744" spans="2:24">
      <c r="B744" s="109"/>
      <c r="C744" s="109"/>
      <c r="D744" s="20" t="str">
        <f>D743</f>
        <v>Zulily</v>
      </c>
      <c r="E744" s="109"/>
      <c r="F744" s="112"/>
      <c r="G744" s="109"/>
      <c r="H744" s="109"/>
      <c r="I744" s="109"/>
      <c r="J744" s="109"/>
      <c r="K744" s="14" t="str">
        <f>K743</f>
        <v>运营中</v>
      </c>
      <c r="L744" s="109"/>
      <c r="M744" s="109"/>
      <c r="N744" s="13">
        <v>1</v>
      </c>
      <c r="O744" s="24">
        <v>42135</v>
      </c>
      <c r="P744" s="13" t="s">
        <v>1045</v>
      </c>
      <c r="Q744" s="13" t="s">
        <v>6685</v>
      </c>
      <c r="R744" s="13" t="s">
        <v>1751</v>
      </c>
      <c r="S744" s="109"/>
      <c r="T744" s="109"/>
      <c r="U744" s="112"/>
      <c r="V744" s="109"/>
      <c r="W744" s="109"/>
      <c r="X744" s="109"/>
    </row>
    <row r="745" spans="2:24">
      <c r="B745" s="109"/>
      <c r="C745" s="109" t="s">
        <v>2583</v>
      </c>
      <c r="D745" s="20" t="s">
        <v>6686</v>
      </c>
      <c r="E745" s="109" t="s">
        <v>5732</v>
      </c>
      <c r="F745" s="112" t="s">
        <v>2584</v>
      </c>
      <c r="G745" s="109" t="s">
        <v>6687</v>
      </c>
      <c r="H745" s="109" t="s">
        <v>2586</v>
      </c>
      <c r="I745" s="109" t="s">
        <v>2587</v>
      </c>
      <c r="J745" s="109" t="s">
        <v>428</v>
      </c>
      <c r="K745" s="14" t="s">
        <v>272</v>
      </c>
      <c r="L745" s="109" t="s">
        <v>3274</v>
      </c>
      <c r="M745" s="109" t="s">
        <v>6178</v>
      </c>
      <c r="N745" s="13">
        <v>1</v>
      </c>
      <c r="O745" s="24">
        <v>44075</v>
      </c>
      <c r="P745" s="13" t="s">
        <v>5810</v>
      </c>
      <c r="Q745" s="13" t="s">
        <v>6688</v>
      </c>
      <c r="R745" s="13" t="s">
        <v>1751</v>
      </c>
      <c r="S745" s="109" t="s">
        <v>6689</v>
      </c>
      <c r="T745" s="109" t="s">
        <v>6690</v>
      </c>
      <c r="U745" s="112"/>
      <c r="V745" s="109"/>
      <c r="W745" s="109"/>
      <c r="X745" s="109"/>
    </row>
    <row r="746" spans="2:24">
      <c r="B746" s="109"/>
      <c r="C746" s="109"/>
      <c r="D746" s="20" t="str">
        <f>D745</f>
        <v>圆通速递</v>
      </c>
      <c r="E746" s="109"/>
      <c r="F746" s="112"/>
      <c r="G746" s="109"/>
      <c r="H746" s="109"/>
      <c r="I746" s="109"/>
      <c r="J746" s="109"/>
      <c r="K746" s="14" t="str">
        <f t="shared" ref="K746:K747" si="148">K745</f>
        <v>运营中</v>
      </c>
      <c r="L746" s="109"/>
      <c r="M746" s="109"/>
      <c r="N746" s="13">
        <v>1</v>
      </c>
      <c r="O746" s="24">
        <v>42451</v>
      </c>
      <c r="P746" s="13" t="s">
        <v>5625</v>
      </c>
      <c r="Q746" s="13" t="s">
        <v>6691</v>
      </c>
      <c r="R746" s="13" t="s">
        <v>6692</v>
      </c>
      <c r="S746" s="109"/>
      <c r="T746" s="109"/>
      <c r="U746" s="112"/>
      <c r="V746" s="109"/>
      <c r="W746" s="109"/>
      <c r="X746" s="109"/>
    </row>
    <row r="747" spans="2:24">
      <c r="B747" s="109"/>
      <c r="C747" s="109"/>
      <c r="D747" s="20" t="str">
        <f>D746</f>
        <v>圆通速递</v>
      </c>
      <c r="E747" s="109"/>
      <c r="F747" s="112"/>
      <c r="G747" s="109"/>
      <c r="H747" s="109"/>
      <c r="I747" s="109"/>
      <c r="J747" s="109"/>
      <c r="K747" s="14" t="str">
        <f t="shared" si="148"/>
        <v>运营中</v>
      </c>
      <c r="L747" s="109"/>
      <c r="M747" s="109"/>
      <c r="N747" s="13">
        <v>1</v>
      </c>
      <c r="O747" s="24">
        <v>42139</v>
      </c>
      <c r="P747" s="13" t="s">
        <v>3513</v>
      </c>
      <c r="Q747" s="13" t="s">
        <v>1750</v>
      </c>
      <c r="R747" s="13" t="s">
        <v>455</v>
      </c>
      <c r="S747" s="109"/>
      <c r="T747" s="109"/>
      <c r="U747" s="112"/>
      <c r="V747" s="109"/>
      <c r="W747" s="109"/>
      <c r="X747" s="109"/>
    </row>
    <row r="748" spans="2:24">
      <c r="B748" s="109"/>
      <c r="C748" s="109" t="s">
        <v>2593</v>
      </c>
      <c r="D748" s="20" t="s">
        <v>6693</v>
      </c>
      <c r="E748" s="109" t="s">
        <v>6694</v>
      </c>
      <c r="F748" s="112" t="s">
        <v>2595</v>
      </c>
      <c r="G748" s="109" t="s">
        <v>6695</v>
      </c>
      <c r="H748" s="109" t="s">
        <v>2597</v>
      </c>
      <c r="I748" s="109" t="s">
        <v>1462</v>
      </c>
      <c r="J748" s="109" t="s">
        <v>406</v>
      </c>
      <c r="K748" s="14" t="s">
        <v>272</v>
      </c>
      <c r="L748" s="109" t="s">
        <v>2711</v>
      </c>
      <c r="M748" s="109" t="s">
        <v>2712</v>
      </c>
      <c r="N748" s="13"/>
      <c r="O748" s="24">
        <v>44440</v>
      </c>
      <c r="P748" s="13" t="s">
        <v>1827</v>
      </c>
      <c r="Q748" s="13" t="s">
        <v>1750</v>
      </c>
      <c r="R748" s="13" t="s">
        <v>2599</v>
      </c>
      <c r="S748" s="109" t="s">
        <v>6696</v>
      </c>
      <c r="T748" s="109" t="s">
        <v>6697</v>
      </c>
      <c r="U748" s="112" t="s">
        <v>2602</v>
      </c>
      <c r="V748" s="109" t="s">
        <v>2603</v>
      </c>
      <c r="W748" s="109" t="s">
        <v>2604</v>
      </c>
      <c r="X748" s="109" t="s">
        <v>2605</v>
      </c>
    </row>
    <row r="749" spans="2:24">
      <c r="B749" s="109"/>
      <c r="C749" s="109"/>
      <c r="D749" s="20" t="str">
        <f t="shared" ref="D749:D754" si="149">D748</f>
        <v>驿公里</v>
      </c>
      <c r="E749" s="109"/>
      <c r="F749" s="112"/>
      <c r="G749" s="109"/>
      <c r="H749" s="109"/>
      <c r="I749" s="109"/>
      <c r="J749" s="109"/>
      <c r="K749" s="14" t="str">
        <f t="shared" ref="K749:K754" si="150">K748</f>
        <v>运营中</v>
      </c>
      <c r="L749" s="109"/>
      <c r="M749" s="109"/>
      <c r="N749" s="13"/>
      <c r="O749" s="24">
        <v>43969</v>
      </c>
      <c r="P749" s="13" t="s">
        <v>2029</v>
      </c>
      <c r="Q749" s="13" t="s">
        <v>5862</v>
      </c>
      <c r="R749" s="13" t="s">
        <v>2606</v>
      </c>
      <c r="S749" s="109"/>
      <c r="T749" s="109"/>
      <c r="U749" s="112"/>
      <c r="V749" s="109"/>
      <c r="W749" s="109"/>
      <c r="X749" s="109"/>
    </row>
    <row r="750" spans="2:24">
      <c r="B750" s="109"/>
      <c r="C750" s="109"/>
      <c r="D750" s="20" t="str">
        <f t="shared" si="149"/>
        <v>驿公里</v>
      </c>
      <c r="E750" s="109"/>
      <c r="F750" s="112"/>
      <c r="G750" s="109"/>
      <c r="H750" s="109"/>
      <c r="I750" s="109"/>
      <c r="J750" s="109"/>
      <c r="K750" s="14" t="str">
        <f t="shared" si="150"/>
        <v>运营中</v>
      </c>
      <c r="L750" s="109"/>
      <c r="M750" s="109"/>
      <c r="N750" s="13"/>
      <c r="O750" s="24">
        <v>43714</v>
      </c>
      <c r="P750" s="13" t="s">
        <v>5613</v>
      </c>
      <c r="Q750" s="13" t="s">
        <v>5891</v>
      </c>
      <c r="R750" s="13" t="s">
        <v>2607</v>
      </c>
      <c r="S750" s="109"/>
      <c r="T750" s="109"/>
      <c r="U750" s="112"/>
      <c r="V750" s="109"/>
      <c r="W750" s="109"/>
      <c r="X750" s="109"/>
    </row>
    <row r="751" spans="2:24">
      <c r="B751" s="109"/>
      <c r="C751" s="109"/>
      <c r="D751" s="20" t="str">
        <f t="shared" si="149"/>
        <v>驿公里</v>
      </c>
      <c r="E751" s="109"/>
      <c r="F751" s="112"/>
      <c r="G751" s="109"/>
      <c r="H751" s="109"/>
      <c r="I751" s="109"/>
      <c r="J751" s="109"/>
      <c r="K751" s="14" t="str">
        <f t="shared" si="150"/>
        <v>运营中</v>
      </c>
      <c r="L751" s="109"/>
      <c r="M751" s="109"/>
      <c r="N751" s="13"/>
      <c r="O751" s="24">
        <v>43448</v>
      </c>
      <c r="P751" s="13" t="s">
        <v>3648</v>
      </c>
      <c r="Q751" s="13" t="s">
        <v>2030</v>
      </c>
      <c r="R751" s="13" t="s">
        <v>1751</v>
      </c>
      <c r="S751" s="109"/>
      <c r="T751" s="109"/>
      <c r="U751" s="112"/>
      <c r="V751" s="109"/>
      <c r="W751" s="109"/>
      <c r="X751" s="109"/>
    </row>
    <row r="752" spans="2:24">
      <c r="B752" s="109"/>
      <c r="C752" s="109"/>
      <c r="D752" s="20" t="str">
        <f t="shared" si="149"/>
        <v>驿公里</v>
      </c>
      <c r="E752" s="109"/>
      <c r="F752" s="112"/>
      <c r="G752" s="109"/>
      <c r="H752" s="109"/>
      <c r="I752" s="109"/>
      <c r="J752" s="109"/>
      <c r="K752" s="14" t="str">
        <f t="shared" si="150"/>
        <v>运营中</v>
      </c>
      <c r="L752" s="109"/>
      <c r="M752" s="109"/>
      <c r="N752" s="13"/>
      <c r="O752" s="24">
        <v>42687</v>
      </c>
      <c r="P752" s="13" t="s">
        <v>4306</v>
      </c>
      <c r="Q752" s="13" t="s">
        <v>6020</v>
      </c>
      <c r="R752" s="13" t="s">
        <v>6698</v>
      </c>
      <c r="S752" s="109"/>
      <c r="T752" s="109"/>
      <c r="U752" s="112"/>
      <c r="V752" s="109"/>
      <c r="W752" s="109"/>
      <c r="X752" s="109"/>
    </row>
    <row r="753" spans="2:24">
      <c r="B753" s="109"/>
      <c r="C753" s="109"/>
      <c r="D753" s="20" t="str">
        <f t="shared" si="149"/>
        <v>驿公里</v>
      </c>
      <c r="E753" s="109"/>
      <c r="F753" s="112"/>
      <c r="G753" s="109"/>
      <c r="H753" s="109"/>
      <c r="I753" s="109"/>
      <c r="J753" s="109"/>
      <c r="K753" s="14" t="str">
        <f t="shared" si="150"/>
        <v>运营中</v>
      </c>
      <c r="L753" s="109"/>
      <c r="M753" s="109"/>
      <c r="N753" s="13"/>
      <c r="O753" s="24">
        <v>42230</v>
      </c>
      <c r="P753" s="13" t="s">
        <v>3513</v>
      </c>
      <c r="Q753" s="13" t="s">
        <v>5787</v>
      </c>
      <c r="R753" s="13" t="s">
        <v>6699</v>
      </c>
      <c r="S753" s="109"/>
      <c r="T753" s="109"/>
      <c r="U753" s="112"/>
      <c r="V753" s="109"/>
      <c r="W753" s="109"/>
      <c r="X753" s="109"/>
    </row>
    <row r="754" spans="2:24">
      <c r="B754" s="109"/>
      <c r="C754" s="109"/>
      <c r="D754" s="20" t="str">
        <f t="shared" si="149"/>
        <v>驿公里</v>
      </c>
      <c r="E754" s="109"/>
      <c r="F754" s="112"/>
      <c r="G754" s="109"/>
      <c r="H754" s="109"/>
      <c r="I754" s="109"/>
      <c r="J754" s="109"/>
      <c r="K754" s="14" t="str">
        <f t="shared" si="150"/>
        <v>运营中</v>
      </c>
      <c r="L754" s="109"/>
      <c r="M754" s="109"/>
      <c r="N754" s="13"/>
      <c r="O754" s="24">
        <v>41819</v>
      </c>
      <c r="P754" s="13" t="s">
        <v>5474</v>
      </c>
      <c r="Q754" s="13" t="s">
        <v>6700</v>
      </c>
      <c r="R754" s="13" t="s">
        <v>6699</v>
      </c>
      <c r="S754" s="109"/>
      <c r="T754" s="109"/>
      <c r="U754" s="112"/>
      <c r="V754" s="109"/>
      <c r="W754" s="109"/>
      <c r="X754" s="109"/>
    </row>
    <row r="755" spans="2:24">
      <c r="B755" s="109"/>
      <c r="C755" s="109" t="s">
        <v>2611</v>
      </c>
      <c r="D755" s="20" t="s">
        <v>2612</v>
      </c>
      <c r="E755" s="109" t="s">
        <v>2612</v>
      </c>
      <c r="F755" s="112" t="s">
        <v>6701</v>
      </c>
      <c r="G755" s="109"/>
      <c r="H755" s="109" t="s">
        <v>2614</v>
      </c>
      <c r="I755" s="109" t="s">
        <v>1944</v>
      </c>
      <c r="J755" s="109" t="s">
        <v>1564</v>
      </c>
      <c r="K755" s="14" t="s">
        <v>272</v>
      </c>
      <c r="L755" s="109" t="s">
        <v>2711</v>
      </c>
      <c r="M755" s="109" t="s">
        <v>4903</v>
      </c>
      <c r="N755" s="13"/>
      <c r="O755" s="24">
        <v>43126</v>
      </c>
      <c r="P755" s="13" t="s">
        <v>3648</v>
      </c>
      <c r="Q755" s="13" t="s">
        <v>5862</v>
      </c>
      <c r="R755" s="13" t="s">
        <v>2615</v>
      </c>
      <c r="S755" s="109" t="s">
        <v>6702</v>
      </c>
      <c r="T755" s="109" t="s">
        <v>5750</v>
      </c>
      <c r="U755" s="112" t="s">
        <v>2617</v>
      </c>
      <c r="V755" s="109"/>
      <c r="W755" s="109"/>
      <c r="X755" s="109"/>
    </row>
    <row r="756" spans="2:24">
      <c r="B756" s="109"/>
      <c r="C756" s="109"/>
      <c r="D756" s="20" t="str">
        <f>D755</f>
        <v>Nexar</v>
      </c>
      <c r="E756" s="109"/>
      <c r="F756" s="112"/>
      <c r="G756" s="109"/>
      <c r="H756" s="109"/>
      <c r="I756" s="109"/>
      <c r="J756" s="109"/>
      <c r="K756" s="14" t="str">
        <f t="shared" ref="K756:K757" si="151">K755</f>
        <v>运营中</v>
      </c>
      <c r="L756" s="109"/>
      <c r="M756" s="109"/>
      <c r="N756" s="13"/>
      <c r="O756" s="24">
        <v>42542</v>
      </c>
      <c r="P756" s="13" t="s">
        <v>3513</v>
      </c>
      <c r="Q756" s="13" t="s">
        <v>6703</v>
      </c>
      <c r="R756" s="13" t="s">
        <v>2619</v>
      </c>
      <c r="S756" s="109"/>
      <c r="T756" s="109"/>
      <c r="U756" s="112"/>
      <c r="V756" s="109"/>
      <c r="W756" s="109"/>
      <c r="X756" s="109"/>
    </row>
    <row r="757" spans="2:24">
      <c r="B757" s="109"/>
      <c r="C757" s="109"/>
      <c r="D757" s="20" t="str">
        <f>D756</f>
        <v>Nexar</v>
      </c>
      <c r="E757" s="109"/>
      <c r="F757" s="112"/>
      <c r="G757" s="109"/>
      <c r="H757" s="109"/>
      <c r="I757" s="109"/>
      <c r="J757" s="109"/>
      <c r="K757" s="14" t="str">
        <f t="shared" si="151"/>
        <v>运营中</v>
      </c>
      <c r="L757" s="109"/>
      <c r="M757" s="109"/>
      <c r="N757" s="13"/>
      <c r="O757" s="24">
        <v>42151</v>
      </c>
      <c r="P757" s="13" t="s">
        <v>5474</v>
      </c>
      <c r="Q757" s="13" t="s">
        <v>5742</v>
      </c>
      <c r="R757" s="13" t="s">
        <v>2620</v>
      </c>
      <c r="S757" s="109"/>
      <c r="T757" s="109"/>
      <c r="U757" s="112"/>
      <c r="V757" s="109"/>
      <c r="W757" s="109"/>
      <c r="X757" s="109"/>
    </row>
    <row r="758" spans="2:24">
      <c r="B758" s="109"/>
      <c r="C758" s="109" t="s">
        <v>2621</v>
      </c>
      <c r="D758" s="20" t="s">
        <v>6704</v>
      </c>
      <c r="E758" s="109" t="s">
        <v>6705</v>
      </c>
      <c r="F758" s="112" t="s">
        <v>2624</v>
      </c>
      <c r="G758" s="109" t="s">
        <v>6706</v>
      </c>
      <c r="H758" s="109" t="s">
        <v>2626</v>
      </c>
      <c r="I758" s="109" t="s">
        <v>2022</v>
      </c>
      <c r="J758" s="109" t="s">
        <v>2627</v>
      </c>
      <c r="K758" s="14" t="s">
        <v>272</v>
      </c>
      <c r="L758" s="109" t="s">
        <v>3661</v>
      </c>
      <c r="M758" s="109" t="s">
        <v>5359</v>
      </c>
      <c r="N758" s="13"/>
      <c r="O758" s="24">
        <v>43839</v>
      </c>
      <c r="P758" s="13" t="s">
        <v>4306</v>
      </c>
      <c r="Q758" s="13" t="s">
        <v>3514</v>
      </c>
      <c r="R758" s="13" t="s">
        <v>2628</v>
      </c>
      <c r="S758" s="109" t="s">
        <v>6707</v>
      </c>
      <c r="T758" s="109" t="s">
        <v>3517</v>
      </c>
      <c r="U758" s="112" t="s">
        <v>2630</v>
      </c>
      <c r="V758" s="109" t="s">
        <v>2631</v>
      </c>
      <c r="W758" s="109" t="s">
        <v>2632</v>
      </c>
      <c r="X758" s="109" t="s">
        <v>2633</v>
      </c>
    </row>
    <row r="759" spans="2:24">
      <c r="B759" s="109"/>
      <c r="C759" s="109"/>
      <c r="D759" s="20" t="str">
        <f>D758</f>
        <v>RoboMing明机器人</v>
      </c>
      <c r="E759" s="109"/>
      <c r="F759" s="112"/>
      <c r="G759" s="109"/>
      <c r="H759" s="109"/>
      <c r="I759" s="109"/>
      <c r="J759" s="109"/>
      <c r="K759" s="14" t="str">
        <f t="shared" ref="K759:K760" si="152">K758</f>
        <v>运营中</v>
      </c>
      <c r="L759" s="109"/>
      <c r="M759" s="109"/>
      <c r="N759" s="13"/>
      <c r="O759" s="24">
        <v>43355</v>
      </c>
      <c r="P759" s="13" t="s">
        <v>3513</v>
      </c>
      <c r="Q759" s="13" t="s">
        <v>5646</v>
      </c>
      <c r="R759" s="13" t="s">
        <v>2634</v>
      </c>
      <c r="S759" s="109"/>
      <c r="T759" s="109"/>
      <c r="U759" s="112"/>
      <c r="V759" s="109"/>
      <c r="W759" s="109"/>
      <c r="X759" s="109"/>
    </row>
    <row r="760" spans="2:24">
      <c r="B760" s="109"/>
      <c r="C760" s="109"/>
      <c r="D760" s="20" t="str">
        <f>D759</f>
        <v>RoboMing明机器人</v>
      </c>
      <c r="E760" s="109"/>
      <c r="F760" s="112"/>
      <c r="G760" s="109"/>
      <c r="H760" s="109"/>
      <c r="I760" s="109"/>
      <c r="J760" s="109"/>
      <c r="K760" s="14" t="str">
        <f t="shared" si="152"/>
        <v>运营中</v>
      </c>
      <c r="L760" s="109"/>
      <c r="M760" s="109"/>
      <c r="N760" s="13"/>
      <c r="O760" s="24">
        <v>41862</v>
      </c>
      <c r="P760" s="13" t="s">
        <v>5474</v>
      </c>
      <c r="Q760" s="13" t="s">
        <v>5646</v>
      </c>
      <c r="R760" s="13" t="s">
        <v>2635</v>
      </c>
      <c r="S760" s="109"/>
      <c r="T760" s="109"/>
      <c r="U760" s="112"/>
      <c r="V760" s="109"/>
      <c r="W760" s="109"/>
      <c r="X760" s="109"/>
    </row>
    <row r="761" spans="2:24">
      <c r="B761" s="109"/>
      <c r="C761" s="109" t="s">
        <v>2636</v>
      </c>
      <c r="D761" s="20" t="s">
        <v>6708</v>
      </c>
      <c r="E761" s="109" t="s">
        <v>6709</v>
      </c>
      <c r="F761" s="112" t="s">
        <v>2638</v>
      </c>
      <c r="G761" s="109" t="s">
        <v>6710</v>
      </c>
      <c r="H761" s="109" t="s">
        <v>2640</v>
      </c>
      <c r="I761" s="109" t="s">
        <v>2641</v>
      </c>
      <c r="J761" s="109" t="s">
        <v>497</v>
      </c>
      <c r="K761" s="14" t="s">
        <v>272</v>
      </c>
      <c r="L761" s="109" t="s">
        <v>5257</v>
      </c>
      <c r="M761" s="109" t="s">
        <v>5956</v>
      </c>
      <c r="N761" s="13">
        <v>1</v>
      </c>
      <c r="O761" s="24">
        <v>43299</v>
      </c>
      <c r="P761" s="13" t="s">
        <v>5810</v>
      </c>
      <c r="Q761" s="13" t="s">
        <v>6711</v>
      </c>
      <c r="R761" s="13" t="s">
        <v>1751</v>
      </c>
      <c r="S761" s="109" t="s">
        <v>6712</v>
      </c>
      <c r="T761" s="109" t="s">
        <v>6713</v>
      </c>
      <c r="U761" s="112" t="s">
        <v>2645</v>
      </c>
      <c r="V761" s="109" t="s">
        <v>2646</v>
      </c>
      <c r="W761" s="109" t="s">
        <v>2647</v>
      </c>
      <c r="X761" s="109"/>
    </row>
    <row r="762" spans="2:24">
      <c r="B762" s="109"/>
      <c r="C762" s="109"/>
      <c r="D762" s="20" t="str">
        <f t="shared" ref="D762:D768" si="153">D761</f>
        <v>分众传媒</v>
      </c>
      <c r="E762" s="109"/>
      <c r="F762" s="112"/>
      <c r="G762" s="109"/>
      <c r="H762" s="109"/>
      <c r="I762" s="109"/>
      <c r="J762" s="109"/>
      <c r="K762" s="14" t="str">
        <f t="shared" ref="K762:K768" si="154">K761</f>
        <v>运营中</v>
      </c>
      <c r="L762" s="109"/>
      <c r="M762" s="109"/>
      <c r="N762" s="13">
        <v>1</v>
      </c>
      <c r="O762" s="24">
        <v>42367</v>
      </c>
      <c r="P762" s="13" t="s">
        <v>5625</v>
      </c>
      <c r="Q762" s="13" t="s">
        <v>2030</v>
      </c>
      <c r="R762" s="13" t="s">
        <v>253</v>
      </c>
      <c r="S762" s="109"/>
      <c r="T762" s="109"/>
      <c r="U762" s="112"/>
      <c r="V762" s="109"/>
      <c r="W762" s="109"/>
      <c r="X762" s="109"/>
    </row>
    <row r="763" spans="2:24">
      <c r="B763" s="109"/>
      <c r="C763" s="109"/>
      <c r="D763" s="20" t="str">
        <f t="shared" si="153"/>
        <v>分众传媒</v>
      </c>
      <c r="E763" s="109"/>
      <c r="F763" s="112"/>
      <c r="G763" s="109"/>
      <c r="H763" s="109"/>
      <c r="I763" s="109"/>
      <c r="J763" s="109"/>
      <c r="K763" s="14" t="str">
        <f t="shared" si="154"/>
        <v>运营中</v>
      </c>
      <c r="L763" s="109"/>
      <c r="M763" s="109"/>
      <c r="N763" s="13">
        <v>1</v>
      </c>
      <c r="O763" s="24">
        <v>42175</v>
      </c>
      <c r="P763" s="13" t="s">
        <v>1045</v>
      </c>
      <c r="Q763" s="13" t="s">
        <v>4754</v>
      </c>
      <c r="R763" s="13" t="s">
        <v>6281</v>
      </c>
      <c r="S763" s="109"/>
      <c r="T763" s="109"/>
      <c r="U763" s="112"/>
      <c r="V763" s="109"/>
      <c r="W763" s="109"/>
      <c r="X763" s="109"/>
    </row>
    <row r="764" spans="2:24">
      <c r="B764" s="109"/>
      <c r="C764" s="109"/>
      <c r="D764" s="20" t="str">
        <f t="shared" si="153"/>
        <v>分众传媒</v>
      </c>
      <c r="E764" s="109"/>
      <c r="F764" s="112"/>
      <c r="G764" s="109"/>
      <c r="H764" s="109"/>
      <c r="I764" s="109"/>
      <c r="J764" s="109"/>
      <c r="K764" s="14" t="str">
        <f t="shared" si="154"/>
        <v>运营中</v>
      </c>
      <c r="L764" s="109"/>
      <c r="M764" s="109"/>
      <c r="N764" s="13">
        <v>1</v>
      </c>
      <c r="O764" s="24">
        <v>41407</v>
      </c>
      <c r="P764" s="13" t="s">
        <v>1045</v>
      </c>
      <c r="Q764" s="13" t="s">
        <v>5529</v>
      </c>
      <c r="R764" s="13" t="s">
        <v>2648</v>
      </c>
      <c r="S764" s="109"/>
      <c r="T764" s="109"/>
      <c r="U764" s="112"/>
      <c r="V764" s="109"/>
      <c r="W764" s="109"/>
      <c r="X764" s="109"/>
    </row>
    <row r="765" spans="2:24">
      <c r="B765" s="109"/>
      <c r="C765" s="109"/>
      <c r="D765" s="20" t="str">
        <f t="shared" si="153"/>
        <v>分众传媒</v>
      </c>
      <c r="E765" s="109"/>
      <c r="F765" s="112"/>
      <c r="G765" s="109"/>
      <c r="H765" s="109"/>
      <c r="I765" s="109"/>
      <c r="J765" s="109"/>
      <c r="K765" s="14" t="str">
        <f t="shared" si="154"/>
        <v>运营中</v>
      </c>
      <c r="L765" s="109"/>
      <c r="M765" s="109"/>
      <c r="N765" s="13">
        <v>1</v>
      </c>
      <c r="O765" s="24">
        <v>41273</v>
      </c>
      <c r="P765" s="13" t="s">
        <v>5622</v>
      </c>
      <c r="Q765" s="13" t="s">
        <v>5000</v>
      </c>
      <c r="R765" s="13" t="s">
        <v>2649</v>
      </c>
      <c r="S765" s="109"/>
      <c r="T765" s="109"/>
      <c r="U765" s="112"/>
      <c r="V765" s="109"/>
      <c r="W765" s="109"/>
      <c r="X765" s="109"/>
    </row>
    <row r="766" spans="2:24">
      <c r="B766" s="109"/>
      <c r="C766" s="109"/>
      <c r="D766" s="20" t="str">
        <f t="shared" si="153"/>
        <v>分众传媒</v>
      </c>
      <c r="E766" s="109"/>
      <c r="F766" s="112"/>
      <c r="G766" s="109"/>
      <c r="H766" s="109"/>
      <c r="I766" s="109"/>
      <c r="J766" s="109"/>
      <c r="K766" s="14" t="str">
        <f t="shared" si="154"/>
        <v>运营中</v>
      </c>
      <c r="L766" s="109"/>
      <c r="M766" s="109"/>
      <c r="N766" s="13">
        <v>1</v>
      </c>
      <c r="O766" s="24">
        <v>38546</v>
      </c>
      <c r="P766" s="13" t="s">
        <v>5625</v>
      </c>
      <c r="Q766" s="13" t="s">
        <v>6714</v>
      </c>
      <c r="R766" s="13" t="s">
        <v>253</v>
      </c>
      <c r="S766" s="109"/>
      <c r="T766" s="109"/>
      <c r="U766" s="112"/>
      <c r="V766" s="109"/>
      <c r="W766" s="109"/>
      <c r="X766" s="109"/>
    </row>
    <row r="767" spans="2:24">
      <c r="B767" s="109"/>
      <c r="C767" s="109"/>
      <c r="D767" s="20" t="str">
        <f t="shared" si="153"/>
        <v>分众传媒</v>
      </c>
      <c r="E767" s="109"/>
      <c r="F767" s="112"/>
      <c r="G767" s="109"/>
      <c r="H767" s="109"/>
      <c r="I767" s="109"/>
      <c r="J767" s="109"/>
      <c r="K767" s="14" t="str">
        <f t="shared" si="154"/>
        <v>运营中</v>
      </c>
      <c r="L767" s="109"/>
      <c r="M767" s="109"/>
      <c r="N767" s="13">
        <v>1</v>
      </c>
      <c r="O767" s="24">
        <v>37712</v>
      </c>
      <c r="P767" s="13" t="s">
        <v>3513</v>
      </c>
      <c r="Q767" s="13" t="s">
        <v>5389</v>
      </c>
      <c r="R767" s="13" t="s">
        <v>6715</v>
      </c>
      <c r="S767" s="109"/>
      <c r="T767" s="109"/>
      <c r="U767" s="112"/>
      <c r="V767" s="109"/>
      <c r="W767" s="109"/>
      <c r="X767" s="109"/>
    </row>
    <row r="768" spans="2:24">
      <c r="B768" s="109"/>
      <c r="C768" s="109"/>
      <c r="D768" s="20" t="str">
        <f t="shared" si="153"/>
        <v>分众传媒</v>
      </c>
      <c r="E768" s="109"/>
      <c r="F768" s="112"/>
      <c r="G768" s="109"/>
      <c r="H768" s="109"/>
      <c r="I768" s="109"/>
      <c r="J768" s="109"/>
      <c r="K768" s="14" t="str">
        <f t="shared" si="154"/>
        <v>运营中</v>
      </c>
      <c r="L768" s="109"/>
      <c r="M768" s="109"/>
      <c r="N768" s="13">
        <v>1</v>
      </c>
      <c r="O768" s="24">
        <v>37622</v>
      </c>
      <c r="P768" s="13" t="s">
        <v>5474</v>
      </c>
      <c r="Q768" s="13" t="s">
        <v>2030</v>
      </c>
      <c r="R768" s="13" t="s">
        <v>6011</v>
      </c>
      <c r="S768" s="109"/>
      <c r="T768" s="109"/>
      <c r="U768" s="112"/>
      <c r="V768" s="109"/>
      <c r="W768" s="109"/>
      <c r="X768" s="109"/>
    </row>
    <row r="769" spans="2:24">
      <c r="B769" s="109"/>
      <c r="C769" s="109" t="s">
        <v>2652</v>
      </c>
      <c r="D769" s="20" t="s">
        <v>2653</v>
      </c>
      <c r="E769" s="109" t="s">
        <v>2653</v>
      </c>
      <c r="F769" s="112" t="s">
        <v>6716</v>
      </c>
      <c r="G769" s="109"/>
      <c r="H769" s="109" t="s">
        <v>2655</v>
      </c>
      <c r="I769" s="109" t="s">
        <v>1158</v>
      </c>
      <c r="J769" s="109" t="s">
        <v>1931</v>
      </c>
      <c r="K769" s="14" t="s">
        <v>272</v>
      </c>
      <c r="L769" s="109" t="s">
        <v>1825</v>
      </c>
      <c r="M769" s="109" t="s">
        <v>470</v>
      </c>
      <c r="N769" s="13"/>
      <c r="O769" s="24">
        <v>44006</v>
      </c>
      <c r="P769" s="13" t="s">
        <v>5754</v>
      </c>
      <c r="Q769" s="13" t="s">
        <v>6717</v>
      </c>
      <c r="R769" s="13" t="s">
        <v>6718</v>
      </c>
      <c r="S769" s="109" t="s">
        <v>6719</v>
      </c>
      <c r="T769" s="109" t="s">
        <v>6720</v>
      </c>
      <c r="U769" s="112" t="s">
        <v>2660</v>
      </c>
      <c r="V769" s="109"/>
      <c r="W769" s="109"/>
      <c r="X769" s="109"/>
    </row>
    <row r="770" spans="2:24">
      <c r="B770" s="109"/>
      <c r="C770" s="109"/>
      <c r="D770" s="20" t="str">
        <f>D769</f>
        <v>SQream</v>
      </c>
      <c r="E770" s="109"/>
      <c r="F770" s="112"/>
      <c r="G770" s="109"/>
      <c r="H770" s="109"/>
      <c r="I770" s="109"/>
      <c r="J770" s="109"/>
      <c r="K770" s="14" t="str">
        <f t="shared" ref="K770:K772" si="155">K769</f>
        <v>运营中</v>
      </c>
      <c r="L770" s="109"/>
      <c r="M770" s="109"/>
      <c r="N770" s="13"/>
      <c r="O770" s="24">
        <v>43250</v>
      </c>
      <c r="P770" s="13" t="s">
        <v>3648</v>
      </c>
      <c r="Q770" s="13" t="s">
        <v>6721</v>
      </c>
      <c r="R770" s="13" t="s">
        <v>2662</v>
      </c>
      <c r="S770" s="109"/>
      <c r="T770" s="109"/>
      <c r="U770" s="112"/>
      <c r="V770" s="109"/>
      <c r="W770" s="109"/>
      <c r="X770" s="109"/>
    </row>
    <row r="771" spans="2:24">
      <c r="B771" s="109"/>
      <c r="C771" s="109"/>
      <c r="D771" s="20" t="str">
        <f>D770</f>
        <v>SQream</v>
      </c>
      <c r="E771" s="109"/>
      <c r="F771" s="112"/>
      <c r="G771" s="109"/>
      <c r="H771" s="109"/>
      <c r="I771" s="109"/>
      <c r="J771" s="109"/>
      <c r="K771" s="14" t="str">
        <f t="shared" si="155"/>
        <v>运营中</v>
      </c>
      <c r="L771" s="109"/>
      <c r="M771" s="109"/>
      <c r="N771" s="13"/>
      <c r="O771" s="24">
        <v>42160</v>
      </c>
      <c r="P771" s="13" t="s">
        <v>3513</v>
      </c>
      <c r="Q771" s="13" t="s">
        <v>6722</v>
      </c>
      <c r="R771" s="13" t="s">
        <v>2664</v>
      </c>
      <c r="S771" s="109"/>
      <c r="T771" s="109"/>
      <c r="U771" s="112"/>
      <c r="V771" s="109"/>
      <c r="W771" s="109"/>
      <c r="X771" s="109"/>
    </row>
    <row r="772" spans="2:24">
      <c r="B772" s="109"/>
      <c r="C772" s="109"/>
      <c r="D772" s="20" t="str">
        <f>D771</f>
        <v>SQream</v>
      </c>
      <c r="E772" s="109"/>
      <c r="F772" s="112"/>
      <c r="G772" s="109"/>
      <c r="H772" s="109"/>
      <c r="I772" s="109"/>
      <c r="J772" s="109"/>
      <c r="K772" s="14" t="str">
        <f t="shared" si="155"/>
        <v>运营中</v>
      </c>
      <c r="L772" s="109"/>
      <c r="M772" s="109"/>
      <c r="N772" s="13"/>
      <c r="O772" s="24">
        <v>40878</v>
      </c>
      <c r="P772" s="13" t="s">
        <v>5697</v>
      </c>
      <c r="Q772" s="13" t="s">
        <v>6723</v>
      </c>
      <c r="R772" s="13" t="s">
        <v>2666</v>
      </c>
      <c r="S772" s="109"/>
      <c r="T772" s="109"/>
      <c r="U772" s="112"/>
      <c r="V772" s="109"/>
      <c r="W772" s="109"/>
      <c r="X772" s="109"/>
    </row>
    <row r="773" spans="2:24">
      <c r="B773" s="109"/>
      <c r="C773" s="109" t="s">
        <v>2667</v>
      </c>
      <c r="D773" s="20" t="s">
        <v>2668</v>
      </c>
      <c r="E773" s="109" t="s">
        <v>2668</v>
      </c>
      <c r="F773" s="112" t="s">
        <v>6724</v>
      </c>
      <c r="G773" s="109"/>
      <c r="H773" s="109" t="s">
        <v>2670</v>
      </c>
      <c r="I773" s="109" t="s">
        <v>2176</v>
      </c>
      <c r="J773" s="109" t="s">
        <v>1725</v>
      </c>
      <c r="K773" s="14" t="s">
        <v>272</v>
      </c>
      <c r="L773" s="109" t="s">
        <v>4162</v>
      </c>
      <c r="M773" s="109" t="s">
        <v>929</v>
      </c>
      <c r="N773" s="13"/>
      <c r="O773" s="24">
        <v>43505</v>
      </c>
      <c r="P773" s="13" t="s">
        <v>3648</v>
      </c>
      <c r="Q773" s="13" t="s">
        <v>6725</v>
      </c>
      <c r="R773" s="13" t="s">
        <v>2672</v>
      </c>
      <c r="S773" s="109" t="s">
        <v>6726</v>
      </c>
      <c r="T773" s="109" t="s">
        <v>6727</v>
      </c>
      <c r="U773" s="112" t="s">
        <v>2675</v>
      </c>
      <c r="V773" s="109"/>
      <c r="W773" s="109"/>
      <c r="X773" s="109"/>
    </row>
    <row r="774" spans="2:24">
      <c r="B774" s="109"/>
      <c r="C774" s="109"/>
      <c r="D774" s="20" t="str">
        <f>D773</f>
        <v>Vidooly</v>
      </c>
      <c r="E774" s="109"/>
      <c r="F774" s="112"/>
      <c r="G774" s="109"/>
      <c r="H774" s="109"/>
      <c r="I774" s="109"/>
      <c r="J774" s="109"/>
      <c r="K774" s="14" t="str">
        <f t="shared" ref="K774:K775" si="156">K773</f>
        <v>运营中</v>
      </c>
      <c r="L774" s="109"/>
      <c r="M774" s="109"/>
      <c r="N774" s="13"/>
      <c r="O774" s="24">
        <v>42866</v>
      </c>
      <c r="P774" s="13" t="s">
        <v>3513</v>
      </c>
      <c r="Q774" s="13" t="s">
        <v>6728</v>
      </c>
      <c r="R774" s="13" t="s">
        <v>2677</v>
      </c>
      <c r="S774" s="109"/>
      <c r="T774" s="109"/>
      <c r="U774" s="112"/>
      <c r="V774" s="109"/>
      <c r="W774" s="109"/>
      <c r="X774" s="109"/>
    </row>
    <row r="775" spans="2:24">
      <c r="B775" s="109"/>
      <c r="C775" s="109"/>
      <c r="D775" s="20" t="str">
        <f>D774</f>
        <v>Vidooly</v>
      </c>
      <c r="E775" s="109"/>
      <c r="F775" s="112"/>
      <c r="G775" s="109"/>
      <c r="H775" s="109"/>
      <c r="I775" s="109"/>
      <c r="J775" s="109"/>
      <c r="K775" s="14" t="str">
        <f t="shared" si="156"/>
        <v>运营中</v>
      </c>
      <c r="L775" s="109"/>
      <c r="M775" s="109"/>
      <c r="N775" s="13"/>
      <c r="O775" s="24">
        <v>42159</v>
      </c>
      <c r="P775" s="13" t="s">
        <v>5697</v>
      </c>
      <c r="Q775" s="13" t="s">
        <v>5617</v>
      </c>
      <c r="R775" s="13" t="s">
        <v>1741</v>
      </c>
      <c r="S775" s="109"/>
      <c r="T775" s="109"/>
      <c r="U775" s="112"/>
      <c r="V775" s="109"/>
      <c r="W775" s="109"/>
      <c r="X775" s="109"/>
    </row>
    <row r="776" spans="2:24">
      <c r="B776" s="109"/>
      <c r="C776" s="109" t="s">
        <v>2678</v>
      </c>
      <c r="D776" s="20" t="s">
        <v>6729</v>
      </c>
      <c r="E776" s="109" t="s">
        <v>6730</v>
      </c>
      <c r="F776" s="112" t="s">
        <v>2680</v>
      </c>
      <c r="G776" s="109" t="s">
        <v>6731</v>
      </c>
      <c r="H776" s="109" t="s">
        <v>2682</v>
      </c>
      <c r="I776" s="109" t="s">
        <v>1462</v>
      </c>
      <c r="J776" s="109" t="s">
        <v>428</v>
      </c>
      <c r="K776" s="14" t="s">
        <v>272</v>
      </c>
      <c r="L776" s="109" t="s">
        <v>3274</v>
      </c>
      <c r="M776" s="109" t="s">
        <v>6732</v>
      </c>
      <c r="N776" s="13">
        <v>1</v>
      </c>
      <c r="O776" s="24">
        <v>43298</v>
      </c>
      <c r="P776" s="13" t="s">
        <v>1045</v>
      </c>
      <c r="Q776" s="13" t="s">
        <v>5796</v>
      </c>
      <c r="R776" s="13" t="s">
        <v>6733</v>
      </c>
      <c r="S776" s="109" t="s">
        <v>6734</v>
      </c>
      <c r="T776" s="109" t="s">
        <v>6619</v>
      </c>
      <c r="U776" s="112" t="s">
        <v>2686</v>
      </c>
      <c r="V776" s="109"/>
      <c r="W776" s="109" t="s">
        <v>2687</v>
      </c>
      <c r="X776" s="109" t="s">
        <v>2688</v>
      </c>
    </row>
    <row r="777" spans="2:24">
      <c r="B777" s="109"/>
      <c r="C777" s="109"/>
      <c r="D777" s="20" t="str">
        <f>D776</f>
        <v>快狗速运</v>
      </c>
      <c r="E777" s="109"/>
      <c r="F777" s="112"/>
      <c r="G777" s="109"/>
      <c r="H777" s="109"/>
      <c r="I777" s="109"/>
      <c r="J777" s="109"/>
      <c r="K777" s="14" t="str">
        <f t="shared" ref="K777:K781" si="157">K776</f>
        <v>运营中</v>
      </c>
      <c r="L777" s="109"/>
      <c r="M777" s="109"/>
      <c r="N777" s="13">
        <v>1</v>
      </c>
      <c r="O777" s="24">
        <v>42975</v>
      </c>
      <c r="P777" s="13" t="s">
        <v>5641</v>
      </c>
      <c r="Q777" s="13" t="s">
        <v>2030</v>
      </c>
      <c r="R777" s="13" t="s">
        <v>6735</v>
      </c>
      <c r="S777" s="109"/>
      <c r="T777" s="109"/>
      <c r="U777" s="112"/>
      <c r="V777" s="109"/>
      <c r="W777" s="109"/>
      <c r="X777" s="109"/>
    </row>
    <row r="778" spans="2:24">
      <c r="B778" s="109"/>
      <c r="C778" s="109"/>
      <c r="D778" s="20" t="str">
        <f>D777</f>
        <v>快狗速运</v>
      </c>
      <c r="E778" s="109"/>
      <c r="F778" s="112"/>
      <c r="G778" s="109"/>
      <c r="H778" s="109"/>
      <c r="I778" s="109"/>
      <c r="J778" s="109"/>
      <c r="K778" s="14" t="str">
        <f t="shared" si="157"/>
        <v>运营中</v>
      </c>
      <c r="L778" s="109"/>
      <c r="M778" s="109"/>
      <c r="N778" s="13">
        <v>1</v>
      </c>
      <c r="O778" s="24">
        <v>42495</v>
      </c>
      <c r="P778" s="13" t="s">
        <v>5613</v>
      </c>
      <c r="Q778" s="13" t="s">
        <v>5129</v>
      </c>
      <c r="R778" s="13" t="s">
        <v>2690</v>
      </c>
      <c r="S778" s="109"/>
      <c r="T778" s="109"/>
      <c r="U778" s="112"/>
      <c r="V778" s="109"/>
      <c r="W778" s="109"/>
      <c r="X778" s="109"/>
    </row>
    <row r="779" spans="2:24">
      <c r="B779" s="109"/>
      <c r="C779" s="109"/>
      <c r="D779" s="20" t="str">
        <f>D778</f>
        <v>快狗速运</v>
      </c>
      <c r="E779" s="109"/>
      <c r="F779" s="112"/>
      <c r="G779" s="109"/>
      <c r="H779" s="109"/>
      <c r="I779" s="109"/>
      <c r="J779" s="109"/>
      <c r="K779" s="14" t="str">
        <f t="shared" si="157"/>
        <v>运营中</v>
      </c>
      <c r="L779" s="109"/>
      <c r="M779" s="109"/>
      <c r="N779" s="13">
        <v>1</v>
      </c>
      <c r="O779" s="24">
        <v>42166</v>
      </c>
      <c r="P779" s="13" t="s">
        <v>5754</v>
      </c>
      <c r="Q779" s="13" t="s">
        <v>5129</v>
      </c>
      <c r="R779" s="13" t="s">
        <v>2691</v>
      </c>
      <c r="S779" s="109"/>
      <c r="T779" s="109"/>
      <c r="U779" s="112"/>
      <c r="V779" s="109"/>
      <c r="W779" s="109"/>
      <c r="X779" s="109"/>
    </row>
    <row r="780" spans="2:24">
      <c r="B780" s="109"/>
      <c r="C780" s="109"/>
      <c r="D780" s="20" t="str">
        <f>D779</f>
        <v>快狗速运</v>
      </c>
      <c r="E780" s="109"/>
      <c r="F780" s="112"/>
      <c r="G780" s="109"/>
      <c r="H780" s="109"/>
      <c r="I780" s="109"/>
      <c r="J780" s="109"/>
      <c r="K780" s="14" t="str">
        <f t="shared" si="157"/>
        <v>运营中</v>
      </c>
      <c r="L780" s="109"/>
      <c r="M780" s="109"/>
      <c r="N780" s="13">
        <v>1</v>
      </c>
      <c r="O780" s="24">
        <v>41944</v>
      </c>
      <c r="P780" s="13" t="s">
        <v>3648</v>
      </c>
      <c r="Q780" s="13" t="s">
        <v>5591</v>
      </c>
      <c r="R780" s="13" t="s">
        <v>2692</v>
      </c>
      <c r="S780" s="109"/>
      <c r="T780" s="109"/>
      <c r="U780" s="112"/>
      <c r="V780" s="109"/>
      <c r="W780" s="109"/>
      <c r="X780" s="109"/>
    </row>
    <row r="781" spans="2:24">
      <c r="B781" s="109"/>
      <c r="C781" s="109"/>
      <c r="D781" s="20" t="str">
        <f>D780</f>
        <v>快狗速运</v>
      </c>
      <c r="E781" s="109"/>
      <c r="F781" s="112"/>
      <c r="G781" s="109"/>
      <c r="H781" s="109"/>
      <c r="I781" s="109"/>
      <c r="J781" s="109"/>
      <c r="K781" s="14" t="str">
        <f t="shared" si="157"/>
        <v>运营中</v>
      </c>
      <c r="L781" s="109"/>
      <c r="M781" s="109"/>
      <c r="N781" s="13">
        <v>1</v>
      </c>
      <c r="O781" s="24">
        <v>41852</v>
      </c>
      <c r="P781" s="13" t="s">
        <v>3513</v>
      </c>
      <c r="Q781" s="13" t="s">
        <v>6736</v>
      </c>
      <c r="R781" s="13" t="s">
        <v>2694</v>
      </c>
      <c r="S781" s="109"/>
      <c r="T781" s="109"/>
      <c r="U781" s="112"/>
      <c r="V781" s="109"/>
      <c r="W781" s="109"/>
      <c r="X781" s="109"/>
    </row>
    <row r="782" spans="2:24" ht="409.5">
      <c r="B782" s="109"/>
      <c r="C782" s="13" t="s">
        <v>2695</v>
      </c>
      <c r="D782" s="25" t="s">
        <v>2696</v>
      </c>
      <c r="E782" s="13" t="s">
        <v>2696</v>
      </c>
      <c r="F782" s="18" t="s">
        <v>6737</v>
      </c>
      <c r="G782" s="13"/>
      <c r="H782" s="13"/>
      <c r="I782" s="13" t="s">
        <v>2698</v>
      </c>
      <c r="J782" s="13" t="s">
        <v>2261</v>
      </c>
      <c r="K782" s="19" t="s">
        <v>272</v>
      </c>
      <c r="L782" s="13" t="s">
        <v>3661</v>
      </c>
      <c r="M782" s="13" t="s">
        <v>5359</v>
      </c>
      <c r="N782" s="13"/>
      <c r="O782" s="24">
        <v>42173</v>
      </c>
      <c r="P782" s="13" t="s">
        <v>1045</v>
      </c>
      <c r="Q782" s="13" t="s">
        <v>6738</v>
      </c>
      <c r="R782" s="13" t="s">
        <v>2700</v>
      </c>
      <c r="S782" s="13" t="s">
        <v>6739</v>
      </c>
      <c r="T782" s="13" t="s">
        <v>6740</v>
      </c>
      <c r="U782" s="18" t="s">
        <v>2703</v>
      </c>
      <c r="V782" s="13"/>
      <c r="W782" s="13"/>
      <c r="X782" s="13"/>
    </row>
    <row r="783" spans="2:24">
      <c r="B783" s="109"/>
      <c r="C783" s="109" t="s">
        <v>2704</v>
      </c>
      <c r="D783" s="20" t="s">
        <v>6741</v>
      </c>
      <c r="E783" s="109" t="s">
        <v>2706</v>
      </c>
      <c r="F783" s="112" t="s">
        <v>2707</v>
      </c>
      <c r="G783" s="109" t="s">
        <v>6742</v>
      </c>
      <c r="H783" s="109" t="s">
        <v>2709</v>
      </c>
      <c r="I783" s="109" t="s">
        <v>2710</v>
      </c>
      <c r="J783" s="109" t="s">
        <v>1126</v>
      </c>
      <c r="K783" s="14" t="s">
        <v>272</v>
      </c>
      <c r="L783" s="109" t="s">
        <v>2711</v>
      </c>
      <c r="M783" s="109" t="s">
        <v>2712</v>
      </c>
      <c r="N783" s="13"/>
      <c r="O783" s="24">
        <v>44455</v>
      </c>
      <c r="P783" s="13" t="s">
        <v>2713</v>
      </c>
      <c r="Q783" s="13" t="s">
        <v>2714</v>
      </c>
      <c r="R783" s="13" t="s">
        <v>2715</v>
      </c>
      <c r="S783" s="109" t="s">
        <v>2716</v>
      </c>
      <c r="T783" s="109" t="s">
        <v>2717</v>
      </c>
      <c r="U783" s="112" t="s">
        <v>2718</v>
      </c>
      <c r="V783" s="109" t="s">
        <v>2719</v>
      </c>
      <c r="W783" s="109" t="s">
        <v>2720</v>
      </c>
      <c r="X783" s="109" t="s">
        <v>2721</v>
      </c>
    </row>
    <row r="784" spans="2:24">
      <c r="B784" s="109"/>
      <c r="C784" s="109"/>
      <c r="D784" s="20" t="str">
        <f t="shared" ref="D784:D790" si="158">D783</f>
        <v>新康众</v>
      </c>
      <c r="E784" s="109"/>
      <c r="F784" s="112"/>
      <c r="G784" s="109"/>
      <c r="H784" s="109"/>
      <c r="I784" s="109"/>
      <c r="J784" s="109"/>
      <c r="K784" s="14" t="str">
        <f t="shared" ref="K784:K790" si="159">K783</f>
        <v>运营中</v>
      </c>
      <c r="L784" s="109"/>
      <c r="M784" s="109"/>
      <c r="N784" s="13"/>
      <c r="O784" s="24">
        <v>43525</v>
      </c>
      <c r="P784" s="13" t="s">
        <v>2713</v>
      </c>
      <c r="Q784" s="13" t="s">
        <v>6743</v>
      </c>
      <c r="R784" s="13" t="s">
        <v>2723</v>
      </c>
      <c r="S784" s="109"/>
      <c r="T784" s="109"/>
      <c r="U784" s="112"/>
      <c r="V784" s="109"/>
      <c r="W784" s="109"/>
      <c r="X784" s="109"/>
    </row>
    <row r="785" spans="2:24">
      <c r="B785" s="109"/>
      <c r="C785" s="109"/>
      <c r="D785" s="20" t="str">
        <f t="shared" si="158"/>
        <v>新康众</v>
      </c>
      <c r="E785" s="109"/>
      <c r="F785" s="112"/>
      <c r="G785" s="109"/>
      <c r="H785" s="109"/>
      <c r="I785" s="109"/>
      <c r="J785" s="109"/>
      <c r="K785" s="14" t="str">
        <f t="shared" si="159"/>
        <v>运营中</v>
      </c>
      <c r="L785" s="109"/>
      <c r="M785" s="109"/>
      <c r="N785" s="13"/>
      <c r="O785" s="24">
        <v>43338</v>
      </c>
      <c r="P785" s="13" t="s">
        <v>1827</v>
      </c>
      <c r="Q785" s="13" t="s">
        <v>5082</v>
      </c>
      <c r="R785" s="13" t="s">
        <v>2724</v>
      </c>
      <c r="S785" s="109"/>
      <c r="T785" s="109"/>
      <c r="U785" s="112"/>
      <c r="V785" s="109"/>
      <c r="W785" s="109"/>
      <c r="X785" s="109"/>
    </row>
    <row r="786" spans="2:24">
      <c r="B786" s="109"/>
      <c r="C786" s="109"/>
      <c r="D786" s="20" t="str">
        <f t="shared" si="158"/>
        <v>新康众</v>
      </c>
      <c r="E786" s="109"/>
      <c r="F786" s="112"/>
      <c r="G786" s="109"/>
      <c r="H786" s="109"/>
      <c r="I786" s="109"/>
      <c r="J786" s="109"/>
      <c r="K786" s="14" t="str">
        <f t="shared" si="159"/>
        <v>运营中</v>
      </c>
      <c r="L786" s="109"/>
      <c r="M786" s="109"/>
      <c r="N786" s="13"/>
      <c r="O786" s="24">
        <v>43291</v>
      </c>
      <c r="P786" s="13" t="s">
        <v>5613</v>
      </c>
      <c r="Q786" s="13" t="s">
        <v>5000</v>
      </c>
      <c r="R786" s="13" t="s">
        <v>6744</v>
      </c>
      <c r="S786" s="109"/>
      <c r="T786" s="109"/>
      <c r="U786" s="112"/>
      <c r="V786" s="109"/>
      <c r="W786" s="109"/>
      <c r="X786" s="109"/>
    </row>
    <row r="787" spans="2:24">
      <c r="B787" s="109"/>
      <c r="C787" s="109"/>
      <c r="D787" s="20" t="str">
        <f t="shared" si="158"/>
        <v>新康众</v>
      </c>
      <c r="E787" s="109"/>
      <c r="F787" s="112"/>
      <c r="G787" s="109"/>
      <c r="H787" s="109"/>
      <c r="I787" s="109"/>
      <c r="J787" s="109"/>
      <c r="K787" s="14" t="str">
        <f t="shared" si="159"/>
        <v>运营中</v>
      </c>
      <c r="L787" s="109"/>
      <c r="M787" s="109"/>
      <c r="N787" s="13"/>
      <c r="O787" s="24">
        <v>42920</v>
      </c>
      <c r="P787" s="13" t="s">
        <v>5754</v>
      </c>
      <c r="Q787" s="13" t="s">
        <v>5360</v>
      </c>
      <c r="R787" s="13" t="s">
        <v>2726</v>
      </c>
      <c r="S787" s="109"/>
      <c r="T787" s="109"/>
      <c r="U787" s="112"/>
      <c r="V787" s="109"/>
      <c r="W787" s="109"/>
      <c r="X787" s="109"/>
    </row>
    <row r="788" spans="2:24">
      <c r="B788" s="109"/>
      <c r="C788" s="109"/>
      <c r="D788" s="20" t="str">
        <f t="shared" si="158"/>
        <v>新康众</v>
      </c>
      <c r="E788" s="109"/>
      <c r="F788" s="112"/>
      <c r="G788" s="109"/>
      <c r="H788" s="109"/>
      <c r="I788" s="109"/>
      <c r="J788" s="109"/>
      <c r="K788" s="14" t="str">
        <f t="shared" si="159"/>
        <v>运营中</v>
      </c>
      <c r="L788" s="109"/>
      <c r="M788" s="109"/>
      <c r="N788" s="13"/>
      <c r="O788" s="24">
        <v>42684</v>
      </c>
      <c r="P788" s="13" t="s">
        <v>3648</v>
      </c>
      <c r="Q788" s="13" t="s">
        <v>5360</v>
      </c>
      <c r="R788" s="13" t="s">
        <v>873</v>
      </c>
      <c r="S788" s="109"/>
      <c r="T788" s="109"/>
      <c r="U788" s="112"/>
      <c r="V788" s="109"/>
      <c r="W788" s="109"/>
      <c r="X788" s="109"/>
    </row>
    <row r="789" spans="2:24">
      <c r="B789" s="109"/>
      <c r="C789" s="109"/>
      <c r="D789" s="20" t="str">
        <f t="shared" si="158"/>
        <v>新康众</v>
      </c>
      <c r="E789" s="109"/>
      <c r="F789" s="112"/>
      <c r="G789" s="109"/>
      <c r="H789" s="109"/>
      <c r="I789" s="109"/>
      <c r="J789" s="109"/>
      <c r="K789" s="14" t="str">
        <f t="shared" si="159"/>
        <v>运营中</v>
      </c>
      <c r="L789" s="109"/>
      <c r="M789" s="109"/>
      <c r="N789" s="13"/>
      <c r="O789" s="24">
        <v>42178</v>
      </c>
      <c r="P789" s="13" t="s">
        <v>3513</v>
      </c>
      <c r="Q789" s="13" t="s">
        <v>3483</v>
      </c>
      <c r="R789" s="13" t="s">
        <v>2727</v>
      </c>
      <c r="S789" s="109"/>
      <c r="T789" s="109"/>
      <c r="U789" s="112"/>
      <c r="V789" s="109"/>
      <c r="W789" s="109"/>
      <c r="X789" s="109"/>
    </row>
    <row r="790" spans="2:24">
      <c r="B790" s="109"/>
      <c r="C790" s="109"/>
      <c r="D790" s="20" t="str">
        <f t="shared" si="158"/>
        <v>新康众</v>
      </c>
      <c r="E790" s="109"/>
      <c r="F790" s="112"/>
      <c r="G790" s="109"/>
      <c r="H790" s="109"/>
      <c r="I790" s="109"/>
      <c r="J790" s="109"/>
      <c r="K790" s="14" t="str">
        <f t="shared" si="159"/>
        <v>运营中</v>
      </c>
      <c r="L790" s="109"/>
      <c r="M790" s="109"/>
      <c r="N790" s="13"/>
      <c r="O790" s="24">
        <v>42003</v>
      </c>
      <c r="P790" s="13" t="s">
        <v>5454</v>
      </c>
      <c r="Q790" s="13" t="s">
        <v>5662</v>
      </c>
      <c r="R790" s="13" t="s">
        <v>253</v>
      </c>
      <c r="S790" s="109"/>
      <c r="T790" s="109"/>
      <c r="U790" s="112"/>
      <c r="V790" s="109"/>
      <c r="W790" s="109"/>
      <c r="X790" s="109"/>
    </row>
    <row r="791" spans="2:24" ht="36">
      <c r="B791" s="109"/>
      <c r="C791" s="13" t="s">
        <v>1774</v>
      </c>
      <c r="D791" s="25" t="s">
        <v>6745</v>
      </c>
      <c r="E791" s="13" t="s">
        <v>6746</v>
      </c>
      <c r="F791" s="18" t="s">
        <v>2729</v>
      </c>
      <c r="G791" s="13"/>
      <c r="H791" s="13" t="s">
        <v>2730</v>
      </c>
      <c r="I791" s="13" t="s">
        <v>629</v>
      </c>
      <c r="J791" s="13" t="s">
        <v>1780</v>
      </c>
      <c r="K791" s="19" t="s">
        <v>272</v>
      </c>
      <c r="L791" s="13" t="s">
        <v>3274</v>
      </c>
      <c r="M791" s="13" t="s">
        <v>4652</v>
      </c>
      <c r="N791" s="13"/>
      <c r="O791" s="24">
        <v>42193</v>
      </c>
      <c r="P791" s="13" t="s">
        <v>1045</v>
      </c>
      <c r="Q791" s="13" t="s">
        <v>6747</v>
      </c>
      <c r="R791" s="13" t="s">
        <v>1751</v>
      </c>
      <c r="S791" s="13" t="s">
        <v>6748</v>
      </c>
      <c r="T791" s="13" t="s">
        <v>6749</v>
      </c>
      <c r="U791" s="18"/>
      <c r="V791" s="13"/>
      <c r="W791" s="13"/>
      <c r="X791" s="13"/>
    </row>
    <row r="792" spans="2:24">
      <c r="B792" s="109"/>
      <c r="C792" s="109" t="s">
        <v>2735</v>
      </c>
      <c r="D792" s="20" t="s">
        <v>6750</v>
      </c>
      <c r="E792" s="109" t="s">
        <v>2737</v>
      </c>
      <c r="F792" s="112" t="s">
        <v>2738</v>
      </c>
      <c r="G792" s="109" t="s">
        <v>6751</v>
      </c>
      <c r="H792" s="109" t="s">
        <v>2740</v>
      </c>
      <c r="I792" s="109" t="s">
        <v>2010</v>
      </c>
      <c r="J792" s="109" t="s">
        <v>385</v>
      </c>
      <c r="K792" s="14" t="s">
        <v>272</v>
      </c>
      <c r="L792" s="109" t="s">
        <v>2788</v>
      </c>
      <c r="M792" s="109" t="s">
        <v>87</v>
      </c>
      <c r="N792" s="13"/>
      <c r="O792" s="24">
        <v>43664</v>
      </c>
      <c r="P792" s="13" t="s">
        <v>1827</v>
      </c>
      <c r="Q792" s="13" t="s">
        <v>3811</v>
      </c>
      <c r="R792" s="13" t="s">
        <v>6752</v>
      </c>
      <c r="S792" s="109" t="s">
        <v>6753</v>
      </c>
      <c r="T792" s="109" t="s">
        <v>4735</v>
      </c>
      <c r="U792" s="112" t="s">
        <v>2743</v>
      </c>
      <c r="V792" s="109" t="s">
        <v>2744</v>
      </c>
      <c r="W792" s="109" t="s">
        <v>2745</v>
      </c>
      <c r="X792" s="109" t="s">
        <v>2746</v>
      </c>
    </row>
    <row r="793" spans="2:24">
      <c r="B793" s="109"/>
      <c r="C793" s="109"/>
      <c r="D793" s="20" t="str">
        <f>D792</f>
        <v>小盒科技-作业盒子</v>
      </c>
      <c r="E793" s="109"/>
      <c r="F793" s="112"/>
      <c r="G793" s="109"/>
      <c r="H793" s="109"/>
      <c r="I793" s="109"/>
      <c r="J793" s="109"/>
      <c r="K793" s="14" t="str">
        <f t="shared" ref="K793:K797" si="160">K792</f>
        <v>运营中</v>
      </c>
      <c r="L793" s="109"/>
      <c r="M793" s="109"/>
      <c r="N793" s="13"/>
      <c r="O793" s="24">
        <v>43132</v>
      </c>
      <c r="P793" s="13" t="s">
        <v>5613</v>
      </c>
      <c r="Q793" s="13" t="s">
        <v>4732</v>
      </c>
      <c r="R793" s="13" t="s">
        <v>2747</v>
      </c>
      <c r="S793" s="109"/>
      <c r="T793" s="109"/>
      <c r="U793" s="112"/>
      <c r="V793" s="109"/>
      <c r="W793" s="109"/>
      <c r="X793" s="109"/>
    </row>
    <row r="794" spans="2:24">
      <c r="B794" s="109"/>
      <c r="C794" s="109"/>
      <c r="D794" s="20" t="str">
        <f>D793</f>
        <v>小盒科技-作业盒子</v>
      </c>
      <c r="E794" s="109"/>
      <c r="F794" s="112"/>
      <c r="G794" s="109"/>
      <c r="H794" s="109"/>
      <c r="I794" s="109"/>
      <c r="J794" s="109"/>
      <c r="K794" s="14" t="str">
        <f t="shared" si="160"/>
        <v>运营中</v>
      </c>
      <c r="L794" s="109"/>
      <c r="M794" s="109"/>
      <c r="N794" s="13"/>
      <c r="O794" s="24">
        <v>43020</v>
      </c>
      <c r="P794" s="13" t="s">
        <v>5754</v>
      </c>
      <c r="Q794" s="13" t="s">
        <v>3483</v>
      </c>
      <c r="R794" s="13" t="s">
        <v>6754</v>
      </c>
      <c r="S794" s="109"/>
      <c r="T794" s="109"/>
      <c r="U794" s="112"/>
      <c r="V794" s="109"/>
      <c r="W794" s="109"/>
      <c r="X794" s="109"/>
    </row>
    <row r="795" spans="2:24">
      <c r="B795" s="109"/>
      <c r="C795" s="109"/>
      <c r="D795" s="20" t="str">
        <f>D794</f>
        <v>小盒科技-作业盒子</v>
      </c>
      <c r="E795" s="109"/>
      <c r="F795" s="112"/>
      <c r="G795" s="109"/>
      <c r="H795" s="109"/>
      <c r="I795" s="109"/>
      <c r="J795" s="109"/>
      <c r="K795" s="14" t="str">
        <f t="shared" si="160"/>
        <v>运营中</v>
      </c>
      <c r="L795" s="109"/>
      <c r="M795" s="109"/>
      <c r="N795" s="13"/>
      <c r="O795" s="24">
        <v>42671</v>
      </c>
      <c r="P795" s="13" t="s">
        <v>3648</v>
      </c>
      <c r="Q795" s="13" t="s">
        <v>2030</v>
      </c>
      <c r="R795" s="13" t="s">
        <v>2749</v>
      </c>
      <c r="S795" s="109"/>
      <c r="T795" s="109"/>
      <c r="U795" s="112"/>
      <c r="V795" s="109"/>
      <c r="W795" s="109"/>
      <c r="X795" s="109"/>
    </row>
    <row r="796" spans="2:24">
      <c r="B796" s="109"/>
      <c r="C796" s="109"/>
      <c r="D796" s="20" t="str">
        <f>D795</f>
        <v>小盒科技-作业盒子</v>
      </c>
      <c r="E796" s="109"/>
      <c r="F796" s="112"/>
      <c r="G796" s="109"/>
      <c r="H796" s="109"/>
      <c r="I796" s="109"/>
      <c r="J796" s="109"/>
      <c r="K796" s="14" t="str">
        <f t="shared" si="160"/>
        <v>运营中</v>
      </c>
      <c r="L796" s="109"/>
      <c r="M796" s="109"/>
      <c r="N796" s="13"/>
      <c r="O796" s="24">
        <v>42195</v>
      </c>
      <c r="P796" s="13" t="s">
        <v>3513</v>
      </c>
      <c r="Q796" s="13" t="s">
        <v>5591</v>
      </c>
      <c r="R796" s="13" t="s">
        <v>2750</v>
      </c>
      <c r="S796" s="109"/>
      <c r="T796" s="109"/>
      <c r="U796" s="112"/>
      <c r="V796" s="109"/>
      <c r="W796" s="109"/>
      <c r="X796" s="109"/>
    </row>
    <row r="797" spans="2:24">
      <c r="B797" s="109"/>
      <c r="C797" s="109"/>
      <c r="D797" s="20" t="str">
        <f>D796</f>
        <v>小盒科技-作业盒子</v>
      </c>
      <c r="E797" s="109"/>
      <c r="F797" s="112"/>
      <c r="G797" s="109"/>
      <c r="H797" s="109"/>
      <c r="I797" s="109"/>
      <c r="J797" s="109"/>
      <c r="K797" s="14" t="str">
        <f t="shared" si="160"/>
        <v>运营中</v>
      </c>
      <c r="L797" s="109"/>
      <c r="M797" s="109"/>
      <c r="N797" s="13"/>
      <c r="O797" s="24">
        <v>41983</v>
      </c>
      <c r="P797" s="13" t="s">
        <v>5474</v>
      </c>
      <c r="Q797" s="13" t="s">
        <v>5617</v>
      </c>
      <c r="R797" s="13" t="s">
        <v>6755</v>
      </c>
      <c r="S797" s="109"/>
      <c r="T797" s="109"/>
      <c r="U797" s="112"/>
      <c r="V797" s="109"/>
      <c r="W797" s="109"/>
      <c r="X797" s="109"/>
    </row>
    <row r="798" spans="2:24">
      <c r="B798" s="109"/>
      <c r="C798" s="109" t="s">
        <v>2752</v>
      </c>
      <c r="D798" s="20" t="s">
        <v>2753</v>
      </c>
      <c r="E798" s="109" t="s">
        <v>2753</v>
      </c>
      <c r="F798" s="112" t="s">
        <v>6756</v>
      </c>
      <c r="G798" s="109"/>
      <c r="H798" s="109" t="s">
        <v>2755</v>
      </c>
      <c r="I798" s="109" t="s">
        <v>496</v>
      </c>
      <c r="J798" s="109" t="s">
        <v>1564</v>
      </c>
      <c r="K798" s="14" t="s">
        <v>272</v>
      </c>
      <c r="L798" s="109" t="s">
        <v>5472</v>
      </c>
      <c r="M798" s="109" t="s">
        <v>6757</v>
      </c>
      <c r="N798" s="13">
        <v>1</v>
      </c>
      <c r="O798" s="24">
        <v>42214</v>
      </c>
      <c r="P798" s="13" t="s">
        <v>1045</v>
      </c>
      <c r="Q798" s="13" t="s">
        <v>5591</v>
      </c>
      <c r="R798" s="13" t="s">
        <v>1751</v>
      </c>
      <c r="S798" s="109" t="s">
        <v>5593</v>
      </c>
      <c r="T798" s="109" t="s">
        <v>5594</v>
      </c>
      <c r="U798" s="112" t="s">
        <v>2758</v>
      </c>
      <c r="V798" s="109"/>
      <c r="W798" s="109"/>
      <c r="X798" s="109"/>
    </row>
    <row r="799" spans="2:24">
      <c r="B799" s="109"/>
      <c r="C799" s="109"/>
      <c r="D799" s="20" t="str">
        <f>D798</f>
        <v>Ouya</v>
      </c>
      <c r="E799" s="109"/>
      <c r="F799" s="112"/>
      <c r="G799" s="109"/>
      <c r="H799" s="109"/>
      <c r="I799" s="109"/>
      <c r="J799" s="109"/>
      <c r="K799" s="14" t="str">
        <f>K798</f>
        <v>运营中</v>
      </c>
      <c r="L799" s="109"/>
      <c r="M799" s="109"/>
      <c r="N799" s="13">
        <v>1</v>
      </c>
      <c r="O799" s="24">
        <v>42213</v>
      </c>
      <c r="P799" s="13" t="s">
        <v>5709</v>
      </c>
      <c r="Q799" s="13" t="s">
        <v>5000</v>
      </c>
      <c r="R799" s="13" t="s">
        <v>253</v>
      </c>
      <c r="S799" s="109"/>
      <c r="T799" s="109"/>
      <c r="U799" s="112"/>
      <c r="V799" s="109"/>
      <c r="W799" s="109"/>
      <c r="X799" s="109"/>
    </row>
    <row r="800" spans="2:24" ht="60">
      <c r="B800" s="109"/>
      <c r="C800" s="13" t="s">
        <v>2752</v>
      </c>
      <c r="D800" s="25" t="s">
        <v>6758</v>
      </c>
      <c r="E800" s="13" t="s">
        <v>5925</v>
      </c>
      <c r="F800" s="18" t="s">
        <v>2759</v>
      </c>
      <c r="G800" s="13" t="s">
        <v>6759</v>
      </c>
      <c r="H800" s="13" t="s">
        <v>2761</v>
      </c>
      <c r="I800" s="13" t="s">
        <v>2762</v>
      </c>
      <c r="J800" s="13" t="s">
        <v>406</v>
      </c>
      <c r="K800" s="19" t="s">
        <v>272</v>
      </c>
      <c r="L800" s="13" t="s">
        <v>1825</v>
      </c>
      <c r="M800" s="13" t="s">
        <v>3711</v>
      </c>
      <c r="N800" s="13"/>
      <c r="O800" s="24">
        <v>42214</v>
      </c>
      <c r="P800" s="13" t="s">
        <v>1045</v>
      </c>
      <c r="Q800" s="13" t="s">
        <v>6760</v>
      </c>
      <c r="R800" s="13" t="s">
        <v>1751</v>
      </c>
      <c r="S800" s="13" t="s">
        <v>6761</v>
      </c>
      <c r="T800" s="13" t="s">
        <v>6762</v>
      </c>
      <c r="U800" s="18" t="s">
        <v>2766</v>
      </c>
      <c r="V800" s="13" t="s">
        <v>2767</v>
      </c>
      <c r="W800" s="13"/>
      <c r="X800" s="13"/>
    </row>
    <row r="801" spans="2:24" ht="36">
      <c r="B801" s="109"/>
      <c r="C801" s="13" t="s">
        <v>2768</v>
      </c>
      <c r="D801" s="25" t="s">
        <v>6763</v>
      </c>
      <c r="E801" s="13" t="s">
        <v>6764</v>
      </c>
      <c r="F801" s="18" t="s">
        <v>2770</v>
      </c>
      <c r="G801" s="13" t="s">
        <v>6765</v>
      </c>
      <c r="H801" s="13" t="s">
        <v>2772</v>
      </c>
      <c r="I801" s="13" t="s">
        <v>2773</v>
      </c>
      <c r="J801" s="13" t="s">
        <v>428</v>
      </c>
      <c r="K801" s="19" t="s">
        <v>272</v>
      </c>
      <c r="L801" s="13" t="s">
        <v>3661</v>
      </c>
      <c r="M801" s="13" t="s">
        <v>4305</v>
      </c>
      <c r="N801" s="13"/>
      <c r="O801" s="24">
        <v>42230</v>
      </c>
      <c r="P801" s="13" t="s">
        <v>3513</v>
      </c>
      <c r="Q801" s="13" t="s">
        <v>6060</v>
      </c>
      <c r="R801" s="13" t="s">
        <v>2775</v>
      </c>
      <c r="S801" s="13" t="s">
        <v>6766</v>
      </c>
      <c r="T801" s="13" t="s">
        <v>4735</v>
      </c>
      <c r="U801" s="18" t="s">
        <v>2777</v>
      </c>
      <c r="V801" s="13" t="s">
        <v>2778</v>
      </c>
      <c r="W801" s="13" t="s">
        <v>2779</v>
      </c>
      <c r="X801" s="13" t="s">
        <v>2780</v>
      </c>
    </row>
    <row r="802" spans="2:24">
      <c r="B802" s="109"/>
      <c r="C802" s="109" t="s">
        <v>2781</v>
      </c>
      <c r="D802" s="20" t="s">
        <v>6767</v>
      </c>
      <c r="E802" s="109" t="s">
        <v>2783</v>
      </c>
      <c r="F802" s="112" t="s">
        <v>2784</v>
      </c>
      <c r="G802" s="109" t="s">
        <v>6768</v>
      </c>
      <c r="H802" s="109" t="s">
        <v>2786</v>
      </c>
      <c r="I802" s="109" t="s">
        <v>2787</v>
      </c>
      <c r="J802" s="109" t="s">
        <v>271</v>
      </c>
      <c r="K802" s="14" t="s">
        <v>272</v>
      </c>
      <c r="L802" s="109" t="s">
        <v>2788</v>
      </c>
      <c r="M802" s="109" t="s">
        <v>87</v>
      </c>
      <c r="N802" s="13"/>
      <c r="O802" s="24">
        <v>44193</v>
      </c>
      <c r="P802" s="13" t="s">
        <v>2789</v>
      </c>
      <c r="Q802" s="13" t="s">
        <v>2790</v>
      </c>
      <c r="R802" s="13" t="s">
        <v>2791</v>
      </c>
      <c r="S802" s="109" t="s">
        <v>2792</v>
      </c>
      <c r="T802" s="109" t="s">
        <v>2793</v>
      </c>
      <c r="U802" s="112" t="s">
        <v>2794</v>
      </c>
      <c r="V802" s="109" t="s">
        <v>2795</v>
      </c>
      <c r="W802" s="109" t="s">
        <v>2796</v>
      </c>
      <c r="X802" s="109" t="s">
        <v>2797</v>
      </c>
    </row>
    <row r="803" spans="2:24">
      <c r="B803" s="109"/>
      <c r="C803" s="109"/>
      <c r="D803" s="20" t="str">
        <f t="shared" ref="D803:D809" si="161">D802</f>
        <v>作业帮</v>
      </c>
      <c r="E803" s="109"/>
      <c r="F803" s="112"/>
      <c r="G803" s="109"/>
      <c r="H803" s="109"/>
      <c r="I803" s="109"/>
      <c r="J803" s="109"/>
      <c r="K803" s="14" t="str">
        <f t="shared" ref="K803:K809" si="162">K802</f>
        <v>运营中</v>
      </c>
      <c r="L803" s="109"/>
      <c r="M803" s="109"/>
      <c r="N803" s="13"/>
      <c r="O803" s="24">
        <v>44011</v>
      </c>
      <c r="P803" s="13" t="s">
        <v>3276</v>
      </c>
      <c r="Q803" s="13" t="s">
        <v>6769</v>
      </c>
      <c r="R803" s="13" t="s">
        <v>2799</v>
      </c>
      <c r="S803" s="109"/>
      <c r="T803" s="109"/>
      <c r="U803" s="112"/>
      <c r="V803" s="109"/>
      <c r="W803" s="109"/>
      <c r="X803" s="109"/>
    </row>
    <row r="804" spans="2:24">
      <c r="B804" s="109"/>
      <c r="C804" s="109"/>
      <c r="D804" s="20" t="str">
        <f t="shared" si="161"/>
        <v>作业帮</v>
      </c>
      <c r="E804" s="109"/>
      <c r="F804" s="112"/>
      <c r="G804" s="109"/>
      <c r="H804" s="109"/>
      <c r="I804" s="109"/>
      <c r="J804" s="109"/>
      <c r="K804" s="14" t="str">
        <f t="shared" si="162"/>
        <v>运营中</v>
      </c>
      <c r="L804" s="109"/>
      <c r="M804" s="109"/>
      <c r="N804" s="13"/>
      <c r="O804" s="24">
        <v>43406</v>
      </c>
      <c r="P804" s="13" t="s">
        <v>2713</v>
      </c>
      <c r="Q804" s="13" t="s">
        <v>1046</v>
      </c>
      <c r="R804" s="13" t="s">
        <v>6511</v>
      </c>
      <c r="S804" s="109"/>
      <c r="T804" s="109"/>
      <c r="U804" s="112"/>
      <c r="V804" s="109"/>
      <c r="W804" s="109"/>
      <c r="X804" s="109"/>
    </row>
    <row r="805" spans="2:24">
      <c r="B805" s="109"/>
      <c r="C805" s="109"/>
      <c r="D805" s="20" t="str">
        <f t="shared" si="161"/>
        <v>作业帮</v>
      </c>
      <c r="E805" s="109"/>
      <c r="F805" s="112"/>
      <c r="G805" s="109"/>
      <c r="H805" s="109"/>
      <c r="I805" s="109"/>
      <c r="J805" s="109"/>
      <c r="K805" s="14" t="str">
        <f t="shared" si="162"/>
        <v>运营中</v>
      </c>
      <c r="L805" s="109"/>
      <c r="M805" s="109"/>
      <c r="N805" s="13"/>
      <c r="O805" s="24">
        <v>43299</v>
      </c>
      <c r="P805" s="13" t="s">
        <v>1827</v>
      </c>
      <c r="Q805" s="13" t="s">
        <v>5945</v>
      </c>
      <c r="R805" s="13" t="s">
        <v>2800</v>
      </c>
      <c r="S805" s="109"/>
      <c r="T805" s="109"/>
      <c r="U805" s="112"/>
      <c r="V805" s="109"/>
      <c r="W805" s="109"/>
      <c r="X805" s="109"/>
    </row>
    <row r="806" spans="2:24">
      <c r="B806" s="109"/>
      <c r="C806" s="109"/>
      <c r="D806" s="20" t="str">
        <f t="shared" si="161"/>
        <v>作业帮</v>
      </c>
      <c r="E806" s="109"/>
      <c r="F806" s="112"/>
      <c r="G806" s="109"/>
      <c r="H806" s="109"/>
      <c r="I806" s="109"/>
      <c r="J806" s="109"/>
      <c r="K806" s="14" t="str">
        <f t="shared" si="162"/>
        <v>运营中</v>
      </c>
      <c r="L806" s="109"/>
      <c r="M806" s="109"/>
      <c r="N806" s="13"/>
      <c r="O806" s="24">
        <v>42961</v>
      </c>
      <c r="P806" s="13" t="s">
        <v>5613</v>
      </c>
      <c r="Q806" s="13" t="s">
        <v>3811</v>
      </c>
      <c r="R806" s="13" t="s">
        <v>2801</v>
      </c>
      <c r="S806" s="109"/>
      <c r="T806" s="109"/>
      <c r="U806" s="112"/>
      <c r="V806" s="109"/>
      <c r="W806" s="109"/>
      <c r="X806" s="109"/>
    </row>
    <row r="807" spans="2:24">
      <c r="B807" s="109"/>
      <c r="C807" s="109"/>
      <c r="D807" s="20" t="str">
        <f t="shared" si="161"/>
        <v>作业帮</v>
      </c>
      <c r="E807" s="109"/>
      <c r="F807" s="112"/>
      <c r="G807" s="109"/>
      <c r="H807" s="109"/>
      <c r="I807" s="109"/>
      <c r="J807" s="109"/>
      <c r="K807" s="14" t="str">
        <f t="shared" si="162"/>
        <v>运营中</v>
      </c>
      <c r="L807" s="109"/>
      <c r="M807" s="109"/>
      <c r="N807" s="13"/>
      <c r="O807" s="24">
        <v>42636</v>
      </c>
      <c r="P807" s="13" t="s">
        <v>3648</v>
      </c>
      <c r="Q807" s="13" t="s">
        <v>1991</v>
      </c>
      <c r="R807" s="13" t="s">
        <v>2802</v>
      </c>
      <c r="S807" s="109"/>
      <c r="T807" s="109"/>
      <c r="U807" s="112"/>
      <c r="V807" s="109"/>
      <c r="W807" s="109"/>
      <c r="X807" s="109"/>
    </row>
    <row r="808" spans="2:24">
      <c r="B808" s="109"/>
      <c r="C808" s="109"/>
      <c r="D808" s="20" t="str">
        <f t="shared" si="161"/>
        <v>作业帮</v>
      </c>
      <c r="E808" s="109"/>
      <c r="F808" s="112"/>
      <c r="G808" s="109"/>
      <c r="H808" s="109"/>
      <c r="I808" s="109"/>
      <c r="J808" s="109"/>
      <c r="K808" s="14" t="str">
        <f t="shared" si="162"/>
        <v>运营中</v>
      </c>
      <c r="L808" s="109"/>
      <c r="M808" s="109"/>
      <c r="N808" s="13"/>
      <c r="O808" s="24">
        <v>42496</v>
      </c>
      <c r="P808" s="13" t="s">
        <v>4306</v>
      </c>
      <c r="Q808" s="13" t="s">
        <v>5000</v>
      </c>
      <c r="R808" s="13" t="s">
        <v>5654</v>
      </c>
      <c r="S808" s="109"/>
      <c r="T808" s="109"/>
      <c r="U808" s="112"/>
      <c r="V808" s="109"/>
      <c r="W808" s="109"/>
      <c r="X808" s="109"/>
    </row>
    <row r="809" spans="2:24">
      <c r="B809" s="109"/>
      <c r="C809" s="109"/>
      <c r="D809" s="20" t="str">
        <f t="shared" si="161"/>
        <v>作业帮</v>
      </c>
      <c r="E809" s="109"/>
      <c r="F809" s="112"/>
      <c r="G809" s="109"/>
      <c r="H809" s="109"/>
      <c r="I809" s="109"/>
      <c r="J809" s="109"/>
      <c r="K809" s="14" t="str">
        <f t="shared" si="162"/>
        <v>运营中</v>
      </c>
      <c r="L809" s="109"/>
      <c r="M809" s="109"/>
      <c r="N809" s="13"/>
      <c r="O809" s="24">
        <v>42249</v>
      </c>
      <c r="P809" s="13" t="s">
        <v>3513</v>
      </c>
      <c r="Q809" s="13" t="s">
        <v>5947</v>
      </c>
      <c r="R809" s="13" t="s">
        <v>2803</v>
      </c>
      <c r="S809" s="109"/>
      <c r="T809" s="109"/>
      <c r="U809" s="112"/>
      <c r="V809" s="109"/>
      <c r="W809" s="109"/>
      <c r="X809" s="109"/>
    </row>
    <row r="810" spans="2:24" ht="36">
      <c r="B810" s="109"/>
      <c r="C810" s="13" t="s">
        <v>2804</v>
      </c>
      <c r="D810" s="25" t="s">
        <v>6770</v>
      </c>
      <c r="E810" s="13" t="s">
        <v>6771</v>
      </c>
      <c r="F810" s="18" t="s">
        <v>6772</v>
      </c>
      <c r="G810" s="13" t="s">
        <v>6773</v>
      </c>
      <c r="H810" s="13" t="s">
        <v>2808</v>
      </c>
      <c r="I810" s="13" t="s">
        <v>2809</v>
      </c>
      <c r="J810" s="13" t="s">
        <v>372</v>
      </c>
      <c r="K810" s="19" t="s">
        <v>272</v>
      </c>
      <c r="L810" s="13" t="s">
        <v>6329</v>
      </c>
      <c r="M810" s="13" t="s">
        <v>6774</v>
      </c>
      <c r="N810" s="13"/>
      <c r="O810" s="24">
        <v>42013</v>
      </c>
      <c r="P810" s="13" t="s">
        <v>3513</v>
      </c>
      <c r="Q810" s="13" t="s">
        <v>3514</v>
      </c>
      <c r="R810" s="13" t="s">
        <v>1751</v>
      </c>
      <c r="S810" s="13" t="s">
        <v>5169</v>
      </c>
      <c r="T810" s="13" t="s">
        <v>3517</v>
      </c>
      <c r="U810" s="18" t="s">
        <v>2811</v>
      </c>
      <c r="V810" s="13" t="s">
        <v>2812</v>
      </c>
      <c r="W810" s="13" t="s">
        <v>2813</v>
      </c>
      <c r="X810" s="13" t="s">
        <v>2814</v>
      </c>
    </row>
    <row r="811" spans="2:24">
      <c r="B811" s="109"/>
      <c r="C811" s="109" t="s">
        <v>2815</v>
      </c>
      <c r="D811" s="20" t="s">
        <v>2816</v>
      </c>
      <c r="E811" s="109" t="s">
        <v>2816</v>
      </c>
      <c r="F811" s="112" t="s">
        <v>6775</v>
      </c>
      <c r="G811" s="109"/>
      <c r="H811" s="109" t="s">
        <v>2818</v>
      </c>
      <c r="I811" s="109" t="s">
        <v>2819</v>
      </c>
      <c r="J811" s="109" t="s">
        <v>1564</v>
      </c>
      <c r="K811" s="14" t="s">
        <v>272</v>
      </c>
      <c r="L811" s="109" t="s">
        <v>4472</v>
      </c>
      <c r="M811" s="109" t="s">
        <v>5411</v>
      </c>
      <c r="N811" s="13"/>
      <c r="O811" s="24">
        <v>44658</v>
      </c>
      <c r="P811" s="13" t="s">
        <v>1045</v>
      </c>
      <c r="Q811" s="13" t="s">
        <v>5964</v>
      </c>
      <c r="R811" s="13" t="s">
        <v>2820</v>
      </c>
      <c r="S811" s="109" t="s">
        <v>6776</v>
      </c>
      <c r="T811" s="109" t="s">
        <v>6777</v>
      </c>
      <c r="U811" s="112" t="s">
        <v>2823</v>
      </c>
      <c r="V811" s="109"/>
      <c r="W811" s="109"/>
      <c r="X811" s="109"/>
    </row>
    <row r="812" spans="2:24">
      <c r="B812" s="109"/>
      <c r="C812" s="109"/>
      <c r="D812" s="20" t="str">
        <f t="shared" ref="D812:D819" si="163">D811</f>
        <v>Fanatics</v>
      </c>
      <c r="E812" s="109"/>
      <c r="F812" s="112"/>
      <c r="G812" s="109"/>
      <c r="H812" s="109"/>
      <c r="I812" s="109"/>
      <c r="J812" s="109"/>
      <c r="K812" s="14" t="str">
        <f t="shared" ref="K812:K819" si="164">K811</f>
        <v>运营中</v>
      </c>
      <c r="L812" s="109"/>
      <c r="M812" s="109"/>
      <c r="N812" s="13"/>
      <c r="O812" s="24">
        <v>44419</v>
      </c>
      <c r="P812" s="13" t="s">
        <v>4561</v>
      </c>
      <c r="Q812" s="13" t="s">
        <v>6778</v>
      </c>
      <c r="R812" s="13" t="s">
        <v>2825</v>
      </c>
      <c r="S812" s="109"/>
      <c r="T812" s="109"/>
      <c r="U812" s="112"/>
      <c r="V812" s="109"/>
      <c r="W812" s="109"/>
      <c r="X812" s="109"/>
    </row>
    <row r="813" spans="2:24">
      <c r="B813" s="109"/>
      <c r="C813" s="109"/>
      <c r="D813" s="20" t="str">
        <f t="shared" si="163"/>
        <v>Fanatics</v>
      </c>
      <c r="E813" s="109"/>
      <c r="F813" s="112"/>
      <c r="G813" s="109"/>
      <c r="H813" s="109"/>
      <c r="I813" s="109"/>
      <c r="J813" s="109"/>
      <c r="K813" s="14" t="str">
        <f t="shared" si="164"/>
        <v>运营中</v>
      </c>
      <c r="L813" s="109"/>
      <c r="M813" s="109"/>
      <c r="N813" s="13"/>
      <c r="O813" s="24">
        <v>44280</v>
      </c>
      <c r="P813" s="13" t="s">
        <v>5635</v>
      </c>
      <c r="Q813" s="13" t="s">
        <v>6779</v>
      </c>
      <c r="R813" s="13" t="s">
        <v>6780</v>
      </c>
      <c r="S813" s="109"/>
      <c r="T813" s="109"/>
      <c r="U813" s="112"/>
      <c r="V813" s="109"/>
      <c r="W813" s="109"/>
      <c r="X813" s="109"/>
    </row>
    <row r="814" spans="2:24">
      <c r="B814" s="109"/>
      <c r="C814" s="109"/>
      <c r="D814" s="20" t="str">
        <f t="shared" si="163"/>
        <v>Fanatics</v>
      </c>
      <c r="E814" s="109"/>
      <c r="F814" s="112"/>
      <c r="G814" s="109"/>
      <c r="H814" s="109"/>
      <c r="I814" s="109"/>
      <c r="J814" s="109"/>
      <c r="K814" s="14" t="str">
        <f t="shared" si="164"/>
        <v>运营中</v>
      </c>
      <c r="L814" s="109"/>
      <c r="M814" s="109"/>
      <c r="N814" s="13"/>
      <c r="O814" s="24">
        <v>44057</v>
      </c>
      <c r="P814" s="13" t="s">
        <v>1045</v>
      </c>
      <c r="Q814" s="13" t="s">
        <v>5945</v>
      </c>
      <c r="R814" s="13" t="s">
        <v>2828</v>
      </c>
      <c r="S814" s="109"/>
      <c r="T814" s="109"/>
      <c r="U814" s="112"/>
      <c r="V814" s="109"/>
      <c r="W814" s="109"/>
      <c r="X814" s="109"/>
    </row>
    <row r="815" spans="2:24">
      <c r="B815" s="109"/>
      <c r="C815" s="109"/>
      <c r="D815" s="20" t="str">
        <f t="shared" si="163"/>
        <v>Fanatics</v>
      </c>
      <c r="E815" s="109"/>
      <c r="F815" s="112"/>
      <c r="G815" s="109"/>
      <c r="H815" s="109"/>
      <c r="I815" s="109"/>
      <c r="J815" s="109"/>
      <c r="K815" s="14" t="str">
        <f t="shared" si="164"/>
        <v>运营中</v>
      </c>
      <c r="L815" s="109"/>
      <c r="M815" s="109"/>
      <c r="N815" s="13"/>
      <c r="O815" s="24">
        <v>42985</v>
      </c>
      <c r="P815" s="13" t="s">
        <v>1045</v>
      </c>
      <c r="Q815" s="13" t="s">
        <v>5637</v>
      </c>
      <c r="R815" s="13" t="s">
        <v>2164</v>
      </c>
      <c r="S815" s="109"/>
      <c r="T815" s="109"/>
      <c r="U815" s="112"/>
      <c r="V815" s="109"/>
      <c r="W815" s="109"/>
      <c r="X815" s="109"/>
    </row>
    <row r="816" spans="2:24">
      <c r="B816" s="109"/>
      <c r="C816" s="109"/>
      <c r="D816" s="20" t="str">
        <f t="shared" si="163"/>
        <v>Fanatics</v>
      </c>
      <c r="E816" s="109"/>
      <c r="F816" s="112"/>
      <c r="G816" s="109"/>
      <c r="H816" s="109"/>
      <c r="I816" s="109"/>
      <c r="J816" s="109"/>
      <c r="K816" s="14" t="str">
        <f t="shared" si="164"/>
        <v>运营中</v>
      </c>
      <c r="L816" s="109"/>
      <c r="M816" s="109"/>
      <c r="N816" s="13"/>
      <c r="O816" s="24">
        <v>42242</v>
      </c>
      <c r="P816" s="13" t="s">
        <v>1045</v>
      </c>
      <c r="Q816" s="13" t="s">
        <v>5019</v>
      </c>
      <c r="R816" s="13" t="s">
        <v>2829</v>
      </c>
      <c r="S816" s="109"/>
      <c r="T816" s="109"/>
      <c r="U816" s="112"/>
      <c r="V816" s="109"/>
      <c r="W816" s="109"/>
      <c r="X816" s="109"/>
    </row>
    <row r="817" spans="2:24">
      <c r="B817" s="109"/>
      <c r="C817" s="109"/>
      <c r="D817" s="20" t="str">
        <f t="shared" si="163"/>
        <v>Fanatics</v>
      </c>
      <c r="E817" s="109"/>
      <c r="F817" s="112"/>
      <c r="G817" s="109"/>
      <c r="H817" s="109"/>
      <c r="I817" s="109"/>
      <c r="J817" s="109"/>
      <c r="K817" s="14" t="str">
        <f t="shared" si="164"/>
        <v>运营中</v>
      </c>
      <c r="L817" s="109"/>
      <c r="M817" s="109"/>
      <c r="N817" s="13"/>
      <c r="O817" s="24">
        <v>41431</v>
      </c>
      <c r="P817" s="13" t="s">
        <v>1045</v>
      </c>
      <c r="Q817" s="13" t="s">
        <v>6188</v>
      </c>
      <c r="R817" s="13" t="s">
        <v>2830</v>
      </c>
      <c r="S817" s="109"/>
      <c r="T817" s="109"/>
      <c r="U817" s="112"/>
      <c r="V817" s="109"/>
      <c r="W817" s="109"/>
      <c r="X817" s="109"/>
    </row>
    <row r="818" spans="2:24">
      <c r="B818" s="109"/>
      <c r="C818" s="109"/>
      <c r="D818" s="20" t="str">
        <f t="shared" si="163"/>
        <v>Fanatics</v>
      </c>
      <c r="E818" s="109"/>
      <c r="F818" s="112"/>
      <c r="G818" s="109"/>
      <c r="H818" s="109"/>
      <c r="I818" s="109"/>
      <c r="J818" s="109"/>
      <c r="K818" s="14" t="str">
        <f t="shared" si="164"/>
        <v>运营中</v>
      </c>
      <c r="L818" s="109"/>
      <c r="M818" s="109"/>
      <c r="N818" s="13"/>
      <c r="O818" s="24">
        <v>41067</v>
      </c>
      <c r="P818" s="13" t="s">
        <v>1045</v>
      </c>
      <c r="Q818" s="13" t="s">
        <v>6781</v>
      </c>
      <c r="R818" s="13" t="s">
        <v>2832</v>
      </c>
      <c r="S818" s="109"/>
      <c r="T818" s="109"/>
      <c r="U818" s="112"/>
      <c r="V818" s="109"/>
      <c r="W818" s="109"/>
      <c r="X818" s="109"/>
    </row>
    <row r="819" spans="2:24">
      <c r="B819" s="109"/>
      <c r="C819" s="109"/>
      <c r="D819" s="20" t="str">
        <f t="shared" si="163"/>
        <v>Fanatics</v>
      </c>
      <c r="E819" s="109"/>
      <c r="F819" s="112"/>
      <c r="G819" s="109"/>
      <c r="H819" s="109"/>
      <c r="I819" s="109"/>
      <c r="J819" s="109"/>
      <c r="K819" s="14" t="str">
        <f t="shared" si="164"/>
        <v>运营中</v>
      </c>
      <c r="L819" s="109"/>
      <c r="M819" s="109"/>
      <c r="N819" s="13"/>
      <c r="O819" s="24">
        <v>40909</v>
      </c>
      <c r="P819" s="13" t="s">
        <v>5474</v>
      </c>
      <c r="Q819" s="13" t="s">
        <v>3811</v>
      </c>
      <c r="R819" s="13" t="s">
        <v>2833</v>
      </c>
      <c r="S819" s="109"/>
      <c r="T819" s="109"/>
      <c r="U819" s="112"/>
      <c r="V819" s="109"/>
      <c r="W819" s="109"/>
      <c r="X819" s="109"/>
    </row>
    <row r="820" spans="2:24" ht="36">
      <c r="B820" s="109"/>
      <c r="C820" s="13" t="s">
        <v>2834</v>
      </c>
      <c r="D820" s="25" t="s">
        <v>6782</v>
      </c>
      <c r="E820" s="13" t="s">
        <v>6783</v>
      </c>
      <c r="F820" s="18" t="s">
        <v>2836</v>
      </c>
      <c r="G820" s="13" t="s">
        <v>6784</v>
      </c>
      <c r="H820" s="13"/>
      <c r="I820" s="13" t="s">
        <v>2381</v>
      </c>
      <c r="J820" s="13" t="s">
        <v>630</v>
      </c>
      <c r="K820" s="19" t="s">
        <v>248</v>
      </c>
      <c r="L820" s="13" t="s">
        <v>6396</v>
      </c>
      <c r="M820" s="13" t="s">
        <v>6785</v>
      </c>
      <c r="N820" s="13"/>
      <c r="O820" s="24">
        <v>42118</v>
      </c>
      <c r="P820" s="13" t="s">
        <v>5474</v>
      </c>
      <c r="Q820" s="13" t="s">
        <v>2030</v>
      </c>
      <c r="R820" s="13" t="s">
        <v>1751</v>
      </c>
      <c r="S820" s="13" t="s">
        <v>6786</v>
      </c>
      <c r="T820" s="13" t="s">
        <v>3664</v>
      </c>
      <c r="U820" s="18" t="s">
        <v>2840</v>
      </c>
      <c r="V820" s="13"/>
      <c r="W820" s="13"/>
      <c r="X820" s="13"/>
    </row>
    <row r="821" spans="2:24">
      <c r="B821" s="109"/>
      <c r="C821" s="109" t="s">
        <v>2841</v>
      </c>
      <c r="D821" s="20" t="s">
        <v>6787</v>
      </c>
      <c r="E821" s="109" t="s">
        <v>2843</v>
      </c>
      <c r="F821" s="112" t="s">
        <v>2844</v>
      </c>
      <c r="G821" s="109" t="s">
        <v>6788</v>
      </c>
      <c r="H821" s="109" t="s">
        <v>2846</v>
      </c>
      <c r="I821" s="109" t="s">
        <v>2847</v>
      </c>
      <c r="J821" s="109" t="s">
        <v>497</v>
      </c>
      <c r="K821" s="14" t="s">
        <v>272</v>
      </c>
      <c r="L821" s="109" t="s">
        <v>4162</v>
      </c>
      <c r="M821" s="109" t="s">
        <v>6308</v>
      </c>
      <c r="N821" s="13">
        <v>1</v>
      </c>
      <c r="O821" s="24">
        <v>44924</v>
      </c>
      <c r="P821" s="13" t="s">
        <v>5625</v>
      </c>
      <c r="Q821" s="13" t="s">
        <v>6789</v>
      </c>
      <c r="R821" s="13" t="s">
        <v>253</v>
      </c>
      <c r="S821" s="109" t="s">
        <v>6790</v>
      </c>
      <c r="T821" s="109" t="s">
        <v>6791</v>
      </c>
      <c r="U821" s="112" t="s">
        <v>2851</v>
      </c>
      <c r="V821" s="109" t="s">
        <v>2852</v>
      </c>
      <c r="W821" s="109" t="s">
        <v>2853</v>
      </c>
      <c r="X821" s="109" t="s">
        <v>2854</v>
      </c>
    </row>
    <row r="822" spans="2:24">
      <c r="B822" s="109"/>
      <c r="C822" s="109"/>
      <c r="D822" s="20" t="str">
        <f>D821</f>
        <v>星空华文-灿星文化</v>
      </c>
      <c r="E822" s="109"/>
      <c r="F822" s="112"/>
      <c r="G822" s="109"/>
      <c r="H822" s="109"/>
      <c r="I822" s="109"/>
      <c r="J822" s="109"/>
      <c r="K822" s="14" t="str">
        <f t="shared" ref="K822:K826" si="165">K821</f>
        <v>运营中</v>
      </c>
      <c r="L822" s="109"/>
      <c r="M822" s="109"/>
      <c r="N822" s="13">
        <v>1</v>
      </c>
      <c r="O822" s="24">
        <v>43312</v>
      </c>
      <c r="P822" s="13" t="s">
        <v>1045</v>
      </c>
      <c r="Q822" s="13" t="s">
        <v>6792</v>
      </c>
      <c r="R822" s="13" t="s">
        <v>2856</v>
      </c>
      <c r="S822" s="109"/>
      <c r="T822" s="109"/>
      <c r="U822" s="112"/>
      <c r="V822" s="109"/>
      <c r="W822" s="109"/>
      <c r="X822" s="109"/>
    </row>
    <row r="823" spans="2:24">
      <c r="B823" s="109"/>
      <c r="C823" s="109"/>
      <c r="D823" s="20" t="str">
        <f>D822</f>
        <v>星空华文-灿星文化</v>
      </c>
      <c r="E823" s="109"/>
      <c r="F823" s="112"/>
      <c r="G823" s="109"/>
      <c r="H823" s="109"/>
      <c r="I823" s="109"/>
      <c r="J823" s="109"/>
      <c r="K823" s="14" t="str">
        <f t="shared" si="165"/>
        <v>运营中</v>
      </c>
      <c r="L823" s="109"/>
      <c r="M823" s="109"/>
      <c r="N823" s="13">
        <v>1</v>
      </c>
      <c r="O823" s="24">
        <v>43216</v>
      </c>
      <c r="P823" s="13" t="s">
        <v>5635</v>
      </c>
      <c r="Q823" s="13" t="s">
        <v>1750</v>
      </c>
      <c r="R823" s="13" t="s">
        <v>2857</v>
      </c>
      <c r="S823" s="109"/>
      <c r="T823" s="109"/>
      <c r="U823" s="112"/>
      <c r="V823" s="109"/>
      <c r="W823" s="109"/>
      <c r="X823" s="109"/>
    </row>
    <row r="824" spans="2:24">
      <c r="B824" s="109"/>
      <c r="C824" s="109"/>
      <c r="D824" s="20" t="str">
        <f>D823</f>
        <v>星空华文-灿星文化</v>
      </c>
      <c r="E824" s="109"/>
      <c r="F824" s="112"/>
      <c r="G824" s="109"/>
      <c r="H824" s="109"/>
      <c r="I824" s="109"/>
      <c r="J824" s="109"/>
      <c r="K824" s="14" t="str">
        <f t="shared" si="165"/>
        <v>运营中</v>
      </c>
      <c r="L824" s="109"/>
      <c r="M824" s="109"/>
      <c r="N824" s="13">
        <v>1</v>
      </c>
      <c r="O824" s="24">
        <v>43087</v>
      </c>
      <c r="P824" s="13" t="s">
        <v>1045</v>
      </c>
      <c r="Q824" s="13" t="s">
        <v>1750</v>
      </c>
      <c r="R824" s="13" t="s">
        <v>253</v>
      </c>
      <c r="S824" s="109"/>
      <c r="T824" s="109"/>
      <c r="U824" s="112"/>
      <c r="V824" s="109"/>
      <c r="W824" s="109"/>
      <c r="X824" s="109"/>
    </row>
    <row r="825" spans="2:24">
      <c r="B825" s="109"/>
      <c r="C825" s="109"/>
      <c r="D825" s="20" t="str">
        <f>D824</f>
        <v>星空华文-灿星文化</v>
      </c>
      <c r="E825" s="109"/>
      <c r="F825" s="112"/>
      <c r="G825" s="109"/>
      <c r="H825" s="109"/>
      <c r="I825" s="109"/>
      <c r="J825" s="109"/>
      <c r="K825" s="14" t="str">
        <f t="shared" si="165"/>
        <v>运营中</v>
      </c>
      <c r="L825" s="109"/>
      <c r="M825" s="109"/>
      <c r="N825" s="13">
        <v>1</v>
      </c>
      <c r="O825" s="24">
        <v>42487</v>
      </c>
      <c r="P825" s="13" t="s">
        <v>3648</v>
      </c>
      <c r="Q825" s="13" t="s">
        <v>4754</v>
      </c>
      <c r="R825" s="13" t="s">
        <v>2858</v>
      </c>
      <c r="S825" s="109"/>
      <c r="T825" s="109"/>
      <c r="U825" s="112"/>
      <c r="V825" s="109"/>
      <c r="W825" s="109"/>
      <c r="X825" s="109"/>
    </row>
    <row r="826" spans="2:24">
      <c r="B826" s="109"/>
      <c r="C826" s="109"/>
      <c r="D826" s="20" t="str">
        <f>D825</f>
        <v>星空华文-灿星文化</v>
      </c>
      <c r="E826" s="109"/>
      <c r="F826" s="112"/>
      <c r="G826" s="109"/>
      <c r="H826" s="109"/>
      <c r="I826" s="109"/>
      <c r="J826" s="109"/>
      <c r="K826" s="14" t="str">
        <f t="shared" si="165"/>
        <v>运营中</v>
      </c>
      <c r="L826" s="109"/>
      <c r="M826" s="109"/>
      <c r="N826" s="13">
        <v>1</v>
      </c>
      <c r="O826" s="24">
        <v>40685</v>
      </c>
      <c r="P826" s="13" t="s">
        <v>3513</v>
      </c>
      <c r="Q826" s="13" t="s">
        <v>3514</v>
      </c>
      <c r="R826" s="13" t="s">
        <v>6793</v>
      </c>
      <c r="S826" s="109"/>
      <c r="T826" s="109"/>
      <c r="U826" s="112"/>
      <c r="V826" s="109"/>
      <c r="W826" s="109"/>
      <c r="X826" s="109"/>
    </row>
    <row r="827" spans="2:24">
      <c r="B827" s="109"/>
      <c r="C827" s="109" t="s">
        <v>2860</v>
      </c>
      <c r="D827" s="20" t="s">
        <v>6794</v>
      </c>
      <c r="E827" s="109" t="s">
        <v>6795</v>
      </c>
      <c r="F827" s="112" t="s">
        <v>6796</v>
      </c>
      <c r="G827" s="109" t="s">
        <v>6797</v>
      </c>
      <c r="H827" s="109" t="s">
        <v>2864</v>
      </c>
      <c r="I827" s="109" t="s">
        <v>2865</v>
      </c>
      <c r="J827" s="109" t="s">
        <v>1472</v>
      </c>
      <c r="K827" s="14" t="s">
        <v>272</v>
      </c>
      <c r="L827" s="109" t="s">
        <v>4472</v>
      </c>
      <c r="M827" s="109" t="s">
        <v>5411</v>
      </c>
      <c r="N827" s="13">
        <v>1</v>
      </c>
      <c r="O827" s="24">
        <v>42612</v>
      </c>
      <c r="P827" s="13" t="s">
        <v>5709</v>
      </c>
      <c r="Q827" s="13" t="s">
        <v>6798</v>
      </c>
      <c r="R827" s="13" t="s">
        <v>6799</v>
      </c>
      <c r="S827" s="109" t="s">
        <v>6800</v>
      </c>
      <c r="T827" s="109" t="s">
        <v>6801</v>
      </c>
      <c r="U827" s="112" t="s">
        <v>2870</v>
      </c>
      <c r="V827" s="109" t="s">
        <v>2871</v>
      </c>
      <c r="W827" s="109" t="s">
        <v>2872</v>
      </c>
      <c r="X827" s="109" t="s">
        <v>2873</v>
      </c>
    </row>
    <row r="828" spans="2:24">
      <c r="B828" s="109"/>
      <c r="C828" s="109"/>
      <c r="D828" s="20" t="str">
        <f>D827</f>
        <v>名鞋库</v>
      </c>
      <c r="E828" s="109"/>
      <c r="F828" s="112"/>
      <c r="G828" s="109"/>
      <c r="H828" s="109"/>
      <c r="I828" s="109"/>
      <c r="J828" s="109"/>
      <c r="K828" s="14" t="str">
        <f>K827</f>
        <v>运营中</v>
      </c>
      <c r="L828" s="109"/>
      <c r="M828" s="109"/>
      <c r="N828" s="13">
        <v>1</v>
      </c>
      <c r="O828" s="24">
        <v>40724</v>
      </c>
      <c r="P828" s="13" t="s">
        <v>3513</v>
      </c>
      <c r="Q828" s="13" t="s">
        <v>5576</v>
      </c>
      <c r="R828" s="13" t="s">
        <v>1751</v>
      </c>
      <c r="S828" s="109"/>
      <c r="T828" s="109"/>
      <c r="U828" s="112"/>
      <c r="V828" s="109"/>
      <c r="W828" s="109"/>
      <c r="X828" s="109"/>
    </row>
    <row r="829" spans="2:24">
      <c r="B829" s="109"/>
      <c r="C829" s="109" t="s">
        <v>2874</v>
      </c>
      <c r="D829" s="20" t="s">
        <v>2875</v>
      </c>
      <c r="E829" s="109" t="s">
        <v>2875</v>
      </c>
      <c r="F829" s="112" t="s">
        <v>6802</v>
      </c>
      <c r="G829" s="109"/>
      <c r="H829" s="109" t="s">
        <v>2877</v>
      </c>
      <c r="I829" s="109" t="s">
        <v>270</v>
      </c>
      <c r="J829" s="109" t="s">
        <v>2878</v>
      </c>
      <c r="K829" s="14" t="s">
        <v>272</v>
      </c>
      <c r="L829" s="109" t="s">
        <v>4472</v>
      </c>
      <c r="M829" s="109" t="s">
        <v>5780</v>
      </c>
      <c r="N829" s="13">
        <v>1</v>
      </c>
      <c r="O829" s="24">
        <v>43228</v>
      </c>
      <c r="P829" s="13" t="s">
        <v>5709</v>
      </c>
      <c r="Q829" s="13" t="s">
        <v>6803</v>
      </c>
      <c r="R829" s="13" t="s">
        <v>1751</v>
      </c>
      <c r="S829" s="109" t="s">
        <v>6804</v>
      </c>
      <c r="T829" s="109" t="s">
        <v>3664</v>
      </c>
      <c r="U829" s="112" t="s">
        <v>2881</v>
      </c>
      <c r="V829" s="109"/>
      <c r="W829" s="109"/>
      <c r="X829" s="109"/>
    </row>
    <row r="830" spans="2:24">
      <c r="B830" s="109"/>
      <c r="C830" s="109"/>
      <c r="D830" s="20" t="str">
        <f>D829</f>
        <v>Daraz</v>
      </c>
      <c r="E830" s="109"/>
      <c r="F830" s="112"/>
      <c r="G830" s="109"/>
      <c r="H830" s="109"/>
      <c r="I830" s="109"/>
      <c r="J830" s="109"/>
      <c r="K830" s="14" t="str">
        <f>K829</f>
        <v>运营中</v>
      </c>
      <c r="L830" s="109"/>
      <c r="M830" s="109"/>
      <c r="N830" s="13">
        <v>1</v>
      </c>
      <c r="O830" s="24">
        <v>42270</v>
      </c>
      <c r="P830" s="13" t="s">
        <v>3513</v>
      </c>
      <c r="Q830" s="13" t="s">
        <v>6685</v>
      </c>
      <c r="R830" s="13" t="s">
        <v>253</v>
      </c>
      <c r="S830" s="109"/>
      <c r="T830" s="109"/>
      <c r="U830" s="112"/>
      <c r="V830" s="109"/>
      <c r="W830" s="109"/>
      <c r="X830" s="109"/>
    </row>
    <row r="831" spans="2:24">
      <c r="B831" s="109"/>
      <c r="C831" s="109" t="s">
        <v>2882</v>
      </c>
      <c r="D831" s="20" t="s">
        <v>6805</v>
      </c>
      <c r="E831" s="109" t="s">
        <v>6806</v>
      </c>
      <c r="F831" s="112" t="s">
        <v>2884</v>
      </c>
      <c r="G831" s="109" t="s">
        <v>6807</v>
      </c>
      <c r="H831" s="109" t="s">
        <v>2886</v>
      </c>
      <c r="I831" s="109" t="s">
        <v>2887</v>
      </c>
      <c r="J831" s="109" t="s">
        <v>630</v>
      </c>
      <c r="K831" s="14" t="s">
        <v>248</v>
      </c>
      <c r="L831" s="109" t="s">
        <v>4472</v>
      </c>
      <c r="M831" s="109" t="s">
        <v>5411</v>
      </c>
      <c r="N831" s="13"/>
      <c r="O831" s="24">
        <v>43350</v>
      </c>
      <c r="P831" s="13" t="s">
        <v>1045</v>
      </c>
      <c r="Q831" s="13" t="s">
        <v>5129</v>
      </c>
      <c r="R831" s="13" t="s">
        <v>1751</v>
      </c>
      <c r="S831" s="109" t="s">
        <v>6808</v>
      </c>
      <c r="T831" s="109" t="s">
        <v>5909</v>
      </c>
      <c r="U831" s="112" t="s">
        <v>2889</v>
      </c>
      <c r="V831" s="109" t="s">
        <v>2890</v>
      </c>
      <c r="W831" s="109" t="s">
        <v>2891</v>
      </c>
      <c r="X831" s="109" t="s">
        <v>2892</v>
      </c>
    </row>
    <row r="832" spans="2:24">
      <c r="B832" s="109"/>
      <c r="C832" s="109"/>
      <c r="D832" s="20" t="str">
        <f>D831</f>
        <v>衣二三</v>
      </c>
      <c r="E832" s="109"/>
      <c r="F832" s="112"/>
      <c r="G832" s="109"/>
      <c r="H832" s="109"/>
      <c r="I832" s="109"/>
      <c r="J832" s="109"/>
      <c r="K832" s="14" t="str">
        <f t="shared" ref="K832:K836" si="166">K831</f>
        <v>已关闭</v>
      </c>
      <c r="L832" s="109"/>
      <c r="M832" s="109"/>
      <c r="N832" s="13"/>
      <c r="O832" s="24">
        <v>42984</v>
      </c>
      <c r="P832" s="13" t="s">
        <v>5613</v>
      </c>
      <c r="Q832" s="13" t="s">
        <v>5360</v>
      </c>
      <c r="R832" s="13" t="s">
        <v>2893</v>
      </c>
      <c r="S832" s="109"/>
      <c r="T832" s="109"/>
      <c r="U832" s="112"/>
      <c r="V832" s="109"/>
      <c r="W832" s="109"/>
      <c r="X832" s="109"/>
    </row>
    <row r="833" spans="2:24">
      <c r="B833" s="109"/>
      <c r="C833" s="109"/>
      <c r="D833" s="20" t="str">
        <f>D832</f>
        <v>衣二三</v>
      </c>
      <c r="E833" s="109"/>
      <c r="F833" s="112"/>
      <c r="G833" s="109"/>
      <c r="H833" s="109"/>
      <c r="I833" s="109"/>
      <c r="J833" s="109"/>
      <c r="K833" s="14" t="str">
        <f t="shared" si="166"/>
        <v>已关闭</v>
      </c>
      <c r="L833" s="109"/>
      <c r="M833" s="109"/>
      <c r="N833" s="13"/>
      <c r="O833" s="24">
        <v>42811</v>
      </c>
      <c r="P833" s="13" t="s">
        <v>3648</v>
      </c>
      <c r="Q833" s="13" t="s">
        <v>4307</v>
      </c>
      <c r="R833" s="13" t="s">
        <v>6809</v>
      </c>
      <c r="S833" s="109"/>
      <c r="T833" s="109"/>
      <c r="U833" s="112"/>
      <c r="V833" s="109"/>
      <c r="W833" s="109"/>
      <c r="X833" s="109"/>
    </row>
    <row r="834" spans="2:24">
      <c r="B834" s="109"/>
      <c r="C834" s="109"/>
      <c r="D834" s="20" t="str">
        <f>D833</f>
        <v>衣二三</v>
      </c>
      <c r="E834" s="109"/>
      <c r="F834" s="112"/>
      <c r="G834" s="109"/>
      <c r="H834" s="109"/>
      <c r="I834" s="109"/>
      <c r="J834" s="109"/>
      <c r="K834" s="14" t="str">
        <f t="shared" si="166"/>
        <v>已关闭</v>
      </c>
      <c r="L834" s="109"/>
      <c r="M834" s="109"/>
      <c r="N834" s="13"/>
      <c r="O834" s="24">
        <v>42485</v>
      </c>
      <c r="P834" s="13" t="s">
        <v>4306</v>
      </c>
      <c r="Q834" s="13" t="s">
        <v>5591</v>
      </c>
      <c r="R834" s="13" t="s">
        <v>6810</v>
      </c>
      <c r="S834" s="109"/>
      <c r="T834" s="109"/>
      <c r="U834" s="112"/>
      <c r="V834" s="109"/>
      <c r="W834" s="109"/>
      <c r="X834" s="109"/>
    </row>
    <row r="835" spans="2:24">
      <c r="B835" s="109"/>
      <c r="C835" s="109"/>
      <c r="D835" s="20" t="str">
        <f>D834</f>
        <v>衣二三</v>
      </c>
      <c r="E835" s="109"/>
      <c r="F835" s="112"/>
      <c r="G835" s="109"/>
      <c r="H835" s="109"/>
      <c r="I835" s="109"/>
      <c r="J835" s="109"/>
      <c r="K835" s="14" t="str">
        <f t="shared" si="166"/>
        <v>已关闭</v>
      </c>
      <c r="L835" s="109"/>
      <c r="M835" s="109"/>
      <c r="N835" s="13"/>
      <c r="O835" s="24">
        <v>42283</v>
      </c>
      <c r="P835" s="13" t="s">
        <v>3513</v>
      </c>
      <c r="Q835" s="13" t="s">
        <v>5616</v>
      </c>
      <c r="R835" s="13" t="s">
        <v>2896</v>
      </c>
      <c r="S835" s="109"/>
      <c r="T835" s="109"/>
      <c r="U835" s="112"/>
      <c r="V835" s="109"/>
      <c r="W835" s="109"/>
      <c r="X835" s="109"/>
    </row>
    <row r="836" spans="2:24">
      <c r="B836" s="109"/>
      <c r="C836" s="109"/>
      <c r="D836" s="20" t="str">
        <f>D835</f>
        <v>衣二三</v>
      </c>
      <c r="E836" s="109"/>
      <c r="F836" s="112"/>
      <c r="G836" s="109"/>
      <c r="H836" s="109"/>
      <c r="I836" s="109"/>
      <c r="J836" s="109"/>
      <c r="K836" s="14" t="str">
        <f t="shared" si="166"/>
        <v>已关闭</v>
      </c>
      <c r="L836" s="109"/>
      <c r="M836" s="109"/>
      <c r="N836" s="13"/>
      <c r="O836" s="24">
        <v>42036</v>
      </c>
      <c r="P836" s="13" t="s">
        <v>5474</v>
      </c>
      <c r="Q836" s="13" t="s">
        <v>5646</v>
      </c>
      <c r="R836" s="13" t="s">
        <v>253</v>
      </c>
      <c r="S836" s="109"/>
      <c r="T836" s="109"/>
      <c r="U836" s="112"/>
      <c r="V836" s="109"/>
      <c r="W836" s="109"/>
      <c r="X836" s="109"/>
    </row>
    <row r="837" spans="2:24">
      <c r="B837" s="109"/>
      <c r="C837" s="109" t="s">
        <v>2897</v>
      </c>
      <c r="D837" s="20" t="s">
        <v>1998</v>
      </c>
      <c r="E837" s="109" t="s">
        <v>1998</v>
      </c>
      <c r="F837" s="112" t="s">
        <v>6811</v>
      </c>
      <c r="G837" s="109"/>
      <c r="H837" s="109" t="s">
        <v>2899</v>
      </c>
      <c r="I837" s="109" t="s">
        <v>246</v>
      </c>
      <c r="J837" s="109" t="s">
        <v>1725</v>
      </c>
      <c r="K837" s="14" t="s">
        <v>272</v>
      </c>
      <c r="L837" s="109" t="s">
        <v>3809</v>
      </c>
      <c r="M837" s="109" t="s">
        <v>6812</v>
      </c>
      <c r="N837" s="13"/>
      <c r="O837" s="24">
        <v>44396</v>
      </c>
      <c r="P837" s="13" t="s">
        <v>763</v>
      </c>
      <c r="Q837" s="13" t="s">
        <v>6813</v>
      </c>
      <c r="R837" s="13" t="s">
        <v>2902</v>
      </c>
      <c r="S837" s="109" t="s">
        <v>6814</v>
      </c>
      <c r="T837" s="109" t="s">
        <v>6815</v>
      </c>
      <c r="U837" s="112" t="s">
        <v>2905</v>
      </c>
      <c r="V837" s="109"/>
      <c r="W837" s="109"/>
      <c r="X837" s="109"/>
    </row>
    <row r="838" spans="2:24">
      <c r="B838" s="109"/>
      <c r="C838" s="109"/>
      <c r="D838" s="20" t="str">
        <f t="shared" ref="D838:D848" si="167">D837</f>
        <v>Paytm</v>
      </c>
      <c r="E838" s="109"/>
      <c r="F838" s="112"/>
      <c r="G838" s="109"/>
      <c r="H838" s="109"/>
      <c r="I838" s="109"/>
      <c r="J838" s="109"/>
      <c r="K838" s="14" t="str">
        <f t="shared" ref="K838:K848" si="168">K837</f>
        <v>运营中</v>
      </c>
      <c r="L838" s="109"/>
      <c r="M838" s="109"/>
      <c r="N838" s="13"/>
      <c r="O838" s="24">
        <v>44055</v>
      </c>
      <c r="P838" s="13" t="s">
        <v>1045</v>
      </c>
      <c r="Q838" s="13" t="s">
        <v>4732</v>
      </c>
      <c r="R838" s="13" t="s">
        <v>2906</v>
      </c>
      <c r="S838" s="109"/>
      <c r="T838" s="109"/>
      <c r="U838" s="112"/>
      <c r="V838" s="109"/>
      <c r="W838" s="109"/>
      <c r="X838" s="109"/>
    </row>
    <row r="839" spans="2:24">
      <c r="B839" s="109"/>
      <c r="C839" s="109"/>
      <c r="D839" s="20" t="str">
        <f t="shared" si="167"/>
        <v>Paytm</v>
      </c>
      <c r="E839" s="109"/>
      <c r="F839" s="112"/>
      <c r="G839" s="109"/>
      <c r="H839" s="109"/>
      <c r="I839" s="109"/>
      <c r="J839" s="109"/>
      <c r="K839" s="14" t="str">
        <f t="shared" si="168"/>
        <v>运营中</v>
      </c>
      <c r="L839" s="109"/>
      <c r="M839" s="109"/>
      <c r="N839" s="13"/>
      <c r="O839" s="24">
        <v>43794</v>
      </c>
      <c r="P839" s="13" t="s">
        <v>4561</v>
      </c>
      <c r="Q839" s="13" t="s">
        <v>5637</v>
      </c>
      <c r="R839" s="13" t="s">
        <v>2907</v>
      </c>
      <c r="S839" s="109"/>
      <c r="T839" s="109"/>
      <c r="U839" s="112"/>
      <c r="V839" s="109"/>
      <c r="W839" s="109"/>
      <c r="X839" s="109"/>
    </row>
    <row r="840" spans="2:24">
      <c r="B840" s="109"/>
      <c r="C840" s="109"/>
      <c r="D840" s="20" t="str">
        <f t="shared" si="167"/>
        <v>Paytm</v>
      </c>
      <c r="E840" s="109"/>
      <c r="F840" s="112"/>
      <c r="G840" s="109"/>
      <c r="H840" s="109"/>
      <c r="I840" s="109"/>
      <c r="J840" s="109"/>
      <c r="K840" s="14" t="str">
        <f t="shared" si="168"/>
        <v>运营中</v>
      </c>
      <c r="L840" s="109"/>
      <c r="M840" s="109"/>
      <c r="N840" s="13"/>
      <c r="O840" s="24">
        <v>43550</v>
      </c>
      <c r="P840" s="13" t="s">
        <v>1045</v>
      </c>
      <c r="Q840" s="13" t="s">
        <v>5360</v>
      </c>
      <c r="R840" s="13" t="s">
        <v>5632</v>
      </c>
      <c r="S840" s="109"/>
      <c r="T840" s="109"/>
      <c r="U840" s="112"/>
      <c r="V840" s="109"/>
      <c r="W840" s="109"/>
      <c r="X840" s="109"/>
    </row>
    <row r="841" spans="2:24">
      <c r="B841" s="109"/>
      <c r="C841" s="109"/>
      <c r="D841" s="20" t="str">
        <f t="shared" si="167"/>
        <v>Paytm</v>
      </c>
      <c r="E841" s="109"/>
      <c r="F841" s="112"/>
      <c r="G841" s="109"/>
      <c r="H841" s="109"/>
      <c r="I841" s="109"/>
      <c r="J841" s="109"/>
      <c r="K841" s="14" t="str">
        <f t="shared" si="168"/>
        <v>运营中</v>
      </c>
      <c r="L841" s="109"/>
      <c r="M841" s="109"/>
      <c r="N841" s="13"/>
      <c r="O841" s="24">
        <v>43340</v>
      </c>
      <c r="P841" s="13" t="s">
        <v>1045</v>
      </c>
      <c r="Q841" s="13" t="s">
        <v>6816</v>
      </c>
      <c r="R841" s="13" t="s">
        <v>2909</v>
      </c>
      <c r="S841" s="109"/>
      <c r="T841" s="109"/>
      <c r="U841" s="112"/>
      <c r="V841" s="109"/>
      <c r="W841" s="109"/>
      <c r="X841" s="109"/>
    </row>
    <row r="842" spans="2:24">
      <c r="B842" s="109"/>
      <c r="C842" s="109"/>
      <c r="D842" s="20" t="str">
        <f t="shared" si="167"/>
        <v>Paytm</v>
      </c>
      <c r="E842" s="109"/>
      <c r="F842" s="112"/>
      <c r="G842" s="109"/>
      <c r="H842" s="109"/>
      <c r="I842" s="109"/>
      <c r="J842" s="109"/>
      <c r="K842" s="14" t="str">
        <f t="shared" si="168"/>
        <v>运营中</v>
      </c>
      <c r="L842" s="109"/>
      <c r="M842" s="109"/>
      <c r="N842" s="13"/>
      <c r="O842" s="24">
        <v>43265</v>
      </c>
      <c r="P842" s="13" t="s">
        <v>1045</v>
      </c>
      <c r="Q842" s="13" t="s">
        <v>6817</v>
      </c>
      <c r="R842" s="13" t="s">
        <v>2911</v>
      </c>
      <c r="S842" s="109"/>
      <c r="T842" s="109"/>
      <c r="U842" s="112"/>
      <c r="V842" s="109"/>
      <c r="W842" s="109"/>
      <c r="X842" s="109"/>
    </row>
    <row r="843" spans="2:24">
      <c r="B843" s="109"/>
      <c r="C843" s="109"/>
      <c r="D843" s="20" t="str">
        <f t="shared" si="167"/>
        <v>Paytm</v>
      </c>
      <c r="E843" s="109"/>
      <c r="F843" s="112"/>
      <c r="G843" s="109"/>
      <c r="H843" s="109"/>
      <c r="I843" s="109"/>
      <c r="J843" s="109"/>
      <c r="K843" s="14" t="str">
        <f t="shared" si="168"/>
        <v>运营中</v>
      </c>
      <c r="L843" s="109"/>
      <c r="M843" s="109"/>
      <c r="N843" s="13"/>
      <c r="O843" s="24">
        <v>43068</v>
      </c>
      <c r="P843" s="13" t="s">
        <v>1045</v>
      </c>
      <c r="Q843" s="13" t="s">
        <v>5627</v>
      </c>
      <c r="R843" s="13" t="s">
        <v>6818</v>
      </c>
      <c r="S843" s="109"/>
      <c r="T843" s="109"/>
      <c r="U843" s="112"/>
      <c r="V843" s="109"/>
      <c r="W843" s="109"/>
      <c r="X843" s="109"/>
    </row>
    <row r="844" spans="2:24">
      <c r="B844" s="109"/>
      <c r="C844" s="109"/>
      <c r="D844" s="20" t="str">
        <f t="shared" si="167"/>
        <v>Paytm</v>
      </c>
      <c r="E844" s="109"/>
      <c r="F844" s="112"/>
      <c r="G844" s="109"/>
      <c r="H844" s="109"/>
      <c r="I844" s="109"/>
      <c r="J844" s="109"/>
      <c r="K844" s="14" t="str">
        <f t="shared" si="168"/>
        <v>运营中</v>
      </c>
      <c r="L844" s="109"/>
      <c r="M844" s="109"/>
      <c r="N844" s="13"/>
      <c r="O844" s="24">
        <v>42874</v>
      </c>
      <c r="P844" s="13" t="s">
        <v>1827</v>
      </c>
      <c r="Q844" s="13" t="s">
        <v>6819</v>
      </c>
      <c r="R844" s="13" t="s">
        <v>6818</v>
      </c>
      <c r="S844" s="109"/>
      <c r="T844" s="109"/>
      <c r="U844" s="112"/>
      <c r="V844" s="109"/>
      <c r="W844" s="109"/>
      <c r="X844" s="109"/>
    </row>
    <row r="845" spans="2:24">
      <c r="B845" s="109"/>
      <c r="C845" s="109"/>
      <c r="D845" s="20" t="str">
        <f t="shared" si="167"/>
        <v>Paytm</v>
      </c>
      <c r="E845" s="109"/>
      <c r="F845" s="112"/>
      <c r="G845" s="109"/>
      <c r="H845" s="109"/>
      <c r="I845" s="109"/>
      <c r="J845" s="109"/>
      <c r="K845" s="14" t="str">
        <f t="shared" si="168"/>
        <v>运营中</v>
      </c>
      <c r="L845" s="109"/>
      <c r="M845" s="109"/>
      <c r="N845" s="13"/>
      <c r="O845" s="24">
        <v>42614</v>
      </c>
      <c r="P845" s="13" t="s">
        <v>1045</v>
      </c>
      <c r="Q845" s="13" t="s">
        <v>1991</v>
      </c>
      <c r="R845" s="13" t="s">
        <v>6820</v>
      </c>
      <c r="S845" s="109"/>
      <c r="T845" s="109"/>
      <c r="U845" s="112"/>
      <c r="V845" s="109"/>
      <c r="W845" s="109"/>
      <c r="X845" s="109"/>
    </row>
    <row r="846" spans="2:24">
      <c r="B846" s="109"/>
      <c r="C846" s="109"/>
      <c r="D846" s="20" t="str">
        <f t="shared" si="167"/>
        <v>Paytm</v>
      </c>
      <c r="E846" s="109"/>
      <c r="F846" s="112"/>
      <c r="G846" s="109"/>
      <c r="H846" s="109"/>
      <c r="I846" s="109"/>
      <c r="J846" s="109"/>
      <c r="K846" s="14" t="str">
        <f t="shared" si="168"/>
        <v>运营中</v>
      </c>
      <c r="L846" s="109"/>
      <c r="M846" s="109"/>
      <c r="N846" s="13"/>
      <c r="O846" s="24">
        <v>42611</v>
      </c>
      <c r="P846" s="13" t="s">
        <v>5613</v>
      </c>
      <c r="Q846" s="13" t="s">
        <v>5529</v>
      </c>
      <c r="R846" s="13" t="s">
        <v>2915</v>
      </c>
      <c r="S846" s="109"/>
      <c r="T846" s="109"/>
      <c r="U846" s="112"/>
      <c r="V846" s="109"/>
      <c r="W846" s="109"/>
      <c r="X846" s="109"/>
    </row>
    <row r="847" spans="2:24">
      <c r="B847" s="109"/>
      <c r="C847" s="109"/>
      <c r="D847" s="20" t="str">
        <f t="shared" si="167"/>
        <v>Paytm</v>
      </c>
      <c r="E847" s="109"/>
      <c r="F847" s="112"/>
      <c r="G847" s="109"/>
      <c r="H847" s="109"/>
      <c r="I847" s="109"/>
      <c r="J847" s="109"/>
      <c r="K847" s="14" t="str">
        <f t="shared" si="168"/>
        <v>运营中</v>
      </c>
      <c r="L847" s="109"/>
      <c r="M847" s="109"/>
      <c r="N847" s="13"/>
      <c r="O847" s="24">
        <v>42276</v>
      </c>
      <c r="P847" s="13" t="s">
        <v>3648</v>
      </c>
      <c r="Q847" s="13" t="s">
        <v>6821</v>
      </c>
      <c r="R847" s="13" t="s">
        <v>586</v>
      </c>
      <c r="S847" s="109"/>
      <c r="T847" s="109"/>
      <c r="U847" s="112"/>
      <c r="V847" s="109"/>
      <c r="W847" s="109"/>
      <c r="X847" s="109"/>
    </row>
    <row r="848" spans="2:24">
      <c r="B848" s="109"/>
      <c r="C848" s="109"/>
      <c r="D848" s="20" t="str">
        <f t="shared" si="167"/>
        <v>Paytm</v>
      </c>
      <c r="E848" s="109"/>
      <c r="F848" s="112"/>
      <c r="G848" s="109"/>
      <c r="H848" s="109"/>
      <c r="I848" s="109"/>
      <c r="J848" s="109"/>
      <c r="K848" s="14" t="str">
        <f t="shared" si="168"/>
        <v>运营中</v>
      </c>
      <c r="L848" s="109"/>
      <c r="M848" s="109"/>
      <c r="N848" s="13"/>
      <c r="O848" s="24">
        <v>42036</v>
      </c>
      <c r="P848" s="13" t="s">
        <v>3513</v>
      </c>
      <c r="Q848" s="13" t="s">
        <v>6822</v>
      </c>
      <c r="R848" s="13" t="s">
        <v>6507</v>
      </c>
      <c r="S848" s="109"/>
      <c r="T848" s="109"/>
      <c r="U848" s="112"/>
      <c r="V848" s="109"/>
      <c r="W848" s="109"/>
      <c r="X848" s="109"/>
    </row>
    <row r="849" spans="2:24">
      <c r="B849" s="109"/>
      <c r="C849" s="109" t="s">
        <v>2918</v>
      </c>
      <c r="D849" s="20" t="s">
        <v>2919</v>
      </c>
      <c r="E849" s="109" t="s">
        <v>2919</v>
      </c>
      <c r="F849" s="112" t="s">
        <v>6823</v>
      </c>
      <c r="G849" s="109"/>
      <c r="H849" s="109" t="s">
        <v>2921</v>
      </c>
      <c r="I849" s="109" t="s">
        <v>616</v>
      </c>
      <c r="J849" s="109" t="s">
        <v>1564</v>
      </c>
      <c r="K849" s="14" t="s">
        <v>272</v>
      </c>
      <c r="L849" s="109" t="s">
        <v>4472</v>
      </c>
      <c r="M849" s="109" t="s">
        <v>5780</v>
      </c>
      <c r="N849" s="13">
        <v>1</v>
      </c>
      <c r="O849" s="24">
        <v>44169</v>
      </c>
      <c r="P849" s="13" t="s">
        <v>5709</v>
      </c>
      <c r="Q849" s="13" t="s">
        <v>5000</v>
      </c>
      <c r="R849" s="13" t="s">
        <v>2922</v>
      </c>
      <c r="S849" s="109" t="s">
        <v>6824</v>
      </c>
      <c r="T849" s="109" t="s">
        <v>3664</v>
      </c>
      <c r="U849" s="112" t="s">
        <v>2924</v>
      </c>
      <c r="V849" s="109"/>
      <c r="W849" s="109"/>
      <c r="X849" s="109"/>
    </row>
    <row r="850" spans="2:24">
      <c r="B850" s="109"/>
      <c r="C850" s="109"/>
      <c r="D850" s="20" t="str">
        <f>D849</f>
        <v>ShopRunner</v>
      </c>
      <c r="E850" s="109"/>
      <c r="F850" s="112"/>
      <c r="G850" s="109"/>
      <c r="H850" s="109"/>
      <c r="I850" s="109"/>
      <c r="J850" s="109"/>
      <c r="K850" s="14" t="str">
        <f>K849</f>
        <v>运营中</v>
      </c>
      <c r="L850" s="109"/>
      <c r="M850" s="109"/>
      <c r="N850" s="13">
        <v>1</v>
      </c>
      <c r="O850" s="24">
        <v>41558</v>
      </c>
      <c r="P850" s="13" t="s">
        <v>1045</v>
      </c>
      <c r="Q850" s="13" t="s">
        <v>6825</v>
      </c>
      <c r="R850" s="13" t="s">
        <v>1751</v>
      </c>
      <c r="S850" s="109"/>
      <c r="T850" s="109"/>
      <c r="U850" s="112"/>
      <c r="V850" s="109"/>
      <c r="W850" s="109"/>
      <c r="X850" s="109"/>
    </row>
    <row r="851" spans="2:24" ht="80.5">
      <c r="B851" s="109"/>
      <c r="C851" s="13" t="s">
        <v>2926</v>
      </c>
      <c r="D851" s="25" t="s">
        <v>2927</v>
      </c>
      <c r="E851" s="13" t="s">
        <v>2927</v>
      </c>
      <c r="F851" s="18" t="s">
        <v>6826</v>
      </c>
      <c r="G851" s="13"/>
      <c r="H851" s="13"/>
      <c r="I851" s="13" t="s">
        <v>2929</v>
      </c>
      <c r="J851" s="13" t="s">
        <v>1564</v>
      </c>
      <c r="K851" s="19" t="s">
        <v>272</v>
      </c>
      <c r="L851" s="13" t="s">
        <v>4472</v>
      </c>
      <c r="M851" s="13" t="s">
        <v>4473</v>
      </c>
      <c r="N851" s="13">
        <v>1</v>
      </c>
      <c r="O851" s="24">
        <v>40383</v>
      </c>
      <c r="P851" s="13" t="s">
        <v>5709</v>
      </c>
      <c r="Q851" s="13" t="s">
        <v>5000</v>
      </c>
      <c r="R851" s="13" t="s">
        <v>1751</v>
      </c>
      <c r="S851" s="13" t="s">
        <v>253</v>
      </c>
      <c r="T851" s="13" t="s">
        <v>3664</v>
      </c>
      <c r="U851" s="18" t="s">
        <v>2930</v>
      </c>
      <c r="V851" s="13"/>
      <c r="W851" s="13"/>
      <c r="X851" s="13"/>
    </row>
    <row r="852" spans="2:24" ht="57.5">
      <c r="B852" s="109"/>
      <c r="C852" s="13" t="s">
        <v>2931</v>
      </c>
      <c r="D852" s="25" t="s">
        <v>2932</v>
      </c>
      <c r="E852" s="13" t="s">
        <v>2932</v>
      </c>
      <c r="F852" s="18" t="s">
        <v>6827</v>
      </c>
      <c r="G852" s="13"/>
      <c r="H852" s="13" t="s">
        <v>2934</v>
      </c>
      <c r="I852" s="13" t="s">
        <v>2935</v>
      </c>
      <c r="J852" s="13" t="s">
        <v>1564</v>
      </c>
      <c r="K852" s="19" t="s">
        <v>272</v>
      </c>
      <c r="L852" s="13" t="s">
        <v>4472</v>
      </c>
      <c r="M852" s="13" t="s">
        <v>4473</v>
      </c>
      <c r="N852" s="13">
        <v>1</v>
      </c>
      <c r="O852" s="24">
        <v>40415</v>
      </c>
      <c r="P852" s="13" t="s">
        <v>5709</v>
      </c>
      <c r="Q852" s="13" t="s">
        <v>5000</v>
      </c>
      <c r="R852" s="13" t="s">
        <v>1751</v>
      </c>
      <c r="S852" s="13" t="s">
        <v>253</v>
      </c>
      <c r="T852" s="13" t="s">
        <v>3664</v>
      </c>
      <c r="U852" s="18" t="s">
        <v>2936</v>
      </c>
      <c r="V852" s="13"/>
      <c r="W852" s="13"/>
      <c r="X852" s="13"/>
    </row>
    <row r="853" spans="2:24" ht="48">
      <c r="B853" s="109"/>
      <c r="C853" s="13" t="s">
        <v>2937</v>
      </c>
      <c r="D853" s="25" t="s">
        <v>2938</v>
      </c>
      <c r="E853" s="13" t="s">
        <v>2938</v>
      </c>
      <c r="F853" s="18" t="s">
        <v>6828</v>
      </c>
      <c r="G853" s="13" t="s">
        <v>2940</v>
      </c>
      <c r="H853" s="13" t="s">
        <v>2941</v>
      </c>
      <c r="I853" s="13" t="s">
        <v>1040</v>
      </c>
      <c r="J853" s="13" t="s">
        <v>1502</v>
      </c>
      <c r="K853" s="19" t="s">
        <v>272</v>
      </c>
      <c r="L853" s="13" t="s">
        <v>2788</v>
      </c>
      <c r="M853" s="13" t="s">
        <v>6829</v>
      </c>
      <c r="N853" s="13"/>
      <c r="O853" s="24">
        <v>42258</v>
      </c>
      <c r="P853" s="13" t="s">
        <v>1045</v>
      </c>
      <c r="Q853" s="13" t="s">
        <v>6830</v>
      </c>
      <c r="R853" s="13" t="s">
        <v>1751</v>
      </c>
      <c r="S853" s="13" t="s">
        <v>6831</v>
      </c>
      <c r="T853" s="13" t="s">
        <v>6832</v>
      </c>
      <c r="U853" s="18" t="s">
        <v>6833</v>
      </c>
      <c r="V853" s="13"/>
      <c r="W853" s="13"/>
      <c r="X853" s="13"/>
    </row>
    <row r="854" spans="2:24">
      <c r="B854" s="109"/>
      <c r="C854" s="109" t="s">
        <v>2947</v>
      </c>
      <c r="D854" s="20" t="s">
        <v>6834</v>
      </c>
      <c r="E854" s="109" t="s">
        <v>2949</v>
      </c>
      <c r="F854" s="112" t="s">
        <v>2950</v>
      </c>
      <c r="G854" s="109" t="s">
        <v>6835</v>
      </c>
      <c r="H854" s="109" t="s">
        <v>2952</v>
      </c>
      <c r="I854" s="109" t="s">
        <v>2953</v>
      </c>
      <c r="J854" s="109" t="s">
        <v>406</v>
      </c>
      <c r="K854" s="14" t="s">
        <v>272</v>
      </c>
      <c r="L854" s="109" t="s">
        <v>4472</v>
      </c>
      <c r="M854" s="109" t="s">
        <v>5411</v>
      </c>
      <c r="N854" s="13"/>
      <c r="O854" s="24">
        <v>42254</v>
      </c>
      <c r="P854" s="13" t="s">
        <v>3648</v>
      </c>
      <c r="Q854" s="13" t="s">
        <v>3514</v>
      </c>
      <c r="R854" s="13" t="s">
        <v>430</v>
      </c>
      <c r="S854" s="109" t="s">
        <v>4884</v>
      </c>
      <c r="T854" s="109" t="s">
        <v>3517</v>
      </c>
      <c r="U854" s="112" t="s">
        <v>2955</v>
      </c>
      <c r="V854" s="109"/>
      <c r="W854" s="109"/>
      <c r="X854" s="109"/>
    </row>
    <row r="855" spans="2:24">
      <c r="B855" s="109"/>
      <c r="C855" s="109"/>
      <c r="D855" s="20" t="str">
        <f>D854</f>
        <v>阿卡Artka</v>
      </c>
      <c r="E855" s="109"/>
      <c r="F855" s="112"/>
      <c r="G855" s="109"/>
      <c r="H855" s="109"/>
      <c r="I855" s="109"/>
      <c r="J855" s="109"/>
      <c r="K855" s="14" t="str">
        <f>K854</f>
        <v>运营中</v>
      </c>
      <c r="L855" s="109"/>
      <c r="M855" s="109"/>
      <c r="N855" s="13"/>
      <c r="O855" s="24">
        <v>41960</v>
      </c>
      <c r="P855" s="13" t="s">
        <v>3513</v>
      </c>
      <c r="Q855" s="13" t="s">
        <v>3514</v>
      </c>
      <c r="R855" s="13" t="s">
        <v>6836</v>
      </c>
      <c r="S855" s="109"/>
      <c r="T855" s="109"/>
      <c r="U855" s="112"/>
      <c r="V855" s="109"/>
      <c r="W855" s="109"/>
      <c r="X855" s="109"/>
    </row>
    <row r="856" spans="2:24">
      <c r="B856" s="109"/>
      <c r="C856" s="109" t="s">
        <v>2957</v>
      </c>
      <c r="D856" s="20" t="s">
        <v>6837</v>
      </c>
      <c r="E856" s="109" t="s">
        <v>6838</v>
      </c>
      <c r="F856" s="112" t="s">
        <v>2959</v>
      </c>
      <c r="G856" s="109" t="s">
        <v>6839</v>
      </c>
      <c r="H856" s="109" t="s">
        <v>2961</v>
      </c>
      <c r="I856" s="109" t="s">
        <v>1905</v>
      </c>
      <c r="J856" s="109" t="s">
        <v>406</v>
      </c>
      <c r="K856" s="14" t="s">
        <v>272</v>
      </c>
      <c r="L856" s="109" t="s">
        <v>4472</v>
      </c>
      <c r="M856" s="109" t="s">
        <v>5411</v>
      </c>
      <c r="N856" s="13">
        <v>1</v>
      </c>
      <c r="O856" s="24">
        <v>44308</v>
      </c>
      <c r="P856" s="13" t="s">
        <v>5622</v>
      </c>
      <c r="Q856" s="13" t="s">
        <v>5529</v>
      </c>
      <c r="R856" s="13" t="s">
        <v>253</v>
      </c>
      <c r="S856" s="109" t="s">
        <v>6840</v>
      </c>
      <c r="T856" s="109" t="s">
        <v>3280</v>
      </c>
      <c r="U856" s="112" t="s">
        <v>2963</v>
      </c>
      <c r="V856" s="109" t="s">
        <v>2964</v>
      </c>
      <c r="W856" s="109"/>
      <c r="X856" s="109" t="s">
        <v>2965</v>
      </c>
    </row>
    <row r="857" spans="2:24">
      <c r="B857" s="109"/>
      <c r="C857" s="109"/>
      <c r="D857" s="20" t="str">
        <f t="shared" ref="D857:D864" si="169">D856</f>
        <v>如涵控股</v>
      </c>
      <c r="E857" s="109"/>
      <c r="F857" s="112"/>
      <c r="G857" s="109"/>
      <c r="H857" s="109"/>
      <c r="I857" s="109"/>
      <c r="J857" s="109"/>
      <c r="K857" s="14" t="str">
        <f t="shared" ref="K857:K864" si="170">K856</f>
        <v>运营中</v>
      </c>
      <c r="L857" s="109"/>
      <c r="M857" s="109"/>
      <c r="N857" s="13">
        <v>1</v>
      </c>
      <c r="O857" s="24">
        <v>43558</v>
      </c>
      <c r="P857" s="13" t="s">
        <v>5625</v>
      </c>
      <c r="Q857" s="13" t="s">
        <v>6841</v>
      </c>
      <c r="R857" s="13" t="s">
        <v>253</v>
      </c>
      <c r="S857" s="109"/>
      <c r="T857" s="109"/>
      <c r="U857" s="112"/>
      <c r="V857" s="109"/>
      <c r="W857" s="109"/>
      <c r="X857" s="109"/>
    </row>
    <row r="858" spans="2:24">
      <c r="B858" s="109"/>
      <c r="C858" s="109"/>
      <c r="D858" s="20" t="str">
        <f t="shared" si="169"/>
        <v>如涵控股</v>
      </c>
      <c r="E858" s="109"/>
      <c r="F858" s="112"/>
      <c r="G858" s="109"/>
      <c r="H858" s="109"/>
      <c r="I858" s="109"/>
      <c r="J858" s="109"/>
      <c r="K858" s="14" t="str">
        <f t="shared" si="170"/>
        <v>运营中</v>
      </c>
      <c r="L858" s="109"/>
      <c r="M858" s="109"/>
      <c r="N858" s="13">
        <v>1</v>
      </c>
      <c r="O858" s="24">
        <v>43217</v>
      </c>
      <c r="P858" s="13" t="s">
        <v>5622</v>
      </c>
      <c r="Q858" s="13" t="s">
        <v>2030</v>
      </c>
      <c r="R858" s="13" t="s">
        <v>253</v>
      </c>
      <c r="S858" s="109"/>
      <c r="T858" s="109"/>
      <c r="U858" s="112"/>
      <c r="V858" s="109"/>
      <c r="W858" s="109"/>
      <c r="X858" s="109"/>
    </row>
    <row r="859" spans="2:24">
      <c r="B859" s="109"/>
      <c r="C859" s="109"/>
      <c r="D859" s="20" t="str">
        <f t="shared" si="169"/>
        <v>如涵控股</v>
      </c>
      <c r="E859" s="109"/>
      <c r="F859" s="112"/>
      <c r="G859" s="109"/>
      <c r="H859" s="109"/>
      <c r="I859" s="109"/>
      <c r="J859" s="109"/>
      <c r="K859" s="14" t="str">
        <f t="shared" si="170"/>
        <v>运营中</v>
      </c>
      <c r="L859" s="109"/>
      <c r="M859" s="109"/>
      <c r="N859" s="13">
        <v>1</v>
      </c>
      <c r="O859" s="24">
        <v>42691</v>
      </c>
      <c r="P859" s="13" t="s">
        <v>4401</v>
      </c>
      <c r="Q859" s="13" t="s">
        <v>6842</v>
      </c>
      <c r="R859" s="13" t="s">
        <v>2968</v>
      </c>
      <c r="S859" s="109"/>
      <c r="T859" s="109"/>
      <c r="U859" s="112"/>
      <c r="V859" s="109"/>
      <c r="W859" s="109"/>
      <c r="X859" s="109"/>
    </row>
    <row r="860" spans="2:24">
      <c r="B860" s="109"/>
      <c r="C860" s="109"/>
      <c r="D860" s="20" t="str">
        <f t="shared" si="169"/>
        <v>如涵控股</v>
      </c>
      <c r="E860" s="109"/>
      <c r="F860" s="112"/>
      <c r="G860" s="109"/>
      <c r="H860" s="109"/>
      <c r="I860" s="109"/>
      <c r="J860" s="109"/>
      <c r="K860" s="14" t="str">
        <f t="shared" si="170"/>
        <v>运营中</v>
      </c>
      <c r="L860" s="109"/>
      <c r="M860" s="109"/>
      <c r="N860" s="13">
        <v>1</v>
      </c>
      <c r="O860" s="24">
        <v>42585</v>
      </c>
      <c r="P860" s="13" t="s">
        <v>5664</v>
      </c>
      <c r="Q860" s="13" t="s">
        <v>2030</v>
      </c>
      <c r="R860" s="13" t="s">
        <v>253</v>
      </c>
      <c r="S860" s="109"/>
      <c r="T860" s="109"/>
      <c r="U860" s="112"/>
      <c r="V860" s="109"/>
      <c r="W860" s="109"/>
      <c r="X860" s="109"/>
    </row>
    <row r="861" spans="2:24">
      <c r="B861" s="109"/>
      <c r="C861" s="109"/>
      <c r="D861" s="20" t="str">
        <f t="shared" si="169"/>
        <v>如涵控股</v>
      </c>
      <c r="E861" s="109"/>
      <c r="F861" s="112"/>
      <c r="G861" s="109"/>
      <c r="H861" s="109"/>
      <c r="I861" s="109"/>
      <c r="J861" s="109"/>
      <c r="K861" s="14" t="str">
        <f t="shared" si="170"/>
        <v>运营中</v>
      </c>
      <c r="L861" s="109"/>
      <c r="M861" s="109"/>
      <c r="N861" s="13">
        <v>1</v>
      </c>
      <c r="O861" s="24">
        <v>42583</v>
      </c>
      <c r="P861" s="13" t="s">
        <v>5613</v>
      </c>
      <c r="Q861" s="13" t="s">
        <v>6274</v>
      </c>
      <c r="R861" s="13" t="s">
        <v>5800</v>
      </c>
      <c r="S861" s="109"/>
      <c r="T861" s="109"/>
      <c r="U861" s="112"/>
      <c r="V861" s="109"/>
      <c r="W861" s="109"/>
      <c r="X861" s="109"/>
    </row>
    <row r="862" spans="2:24">
      <c r="B862" s="109"/>
      <c r="C862" s="109"/>
      <c r="D862" s="20" t="str">
        <f t="shared" si="169"/>
        <v>如涵控股</v>
      </c>
      <c r="E862" s="109"/>
      <c r="F862" s="112"/>
      <c r="G862" s="109"/>
      <c r="H862" s="109"/>
      <c r="I862" s="109"/>
      <c r="J862" s="109"/>
      <c r="K862" s="14" t="str">
        <f t="shared" si="170"/>
        <v>运营中</v>
      </c>
      <c r="L862" s="109"/>
      <c r="M862" s="109"/>
      <c r="N862" s="13">
        <v>1</v>
      </c>
      <c r="O862" s="24">
        <v>42303</v>
      </c>
      <c r="P862" s="13" t="s">
        <v>3648</v>
      </c>
      <c r="Q862" s="13" t="s">
        <v>6843</v>
      </c>
      <c r="R862" s="13" t="s">
        <v>2970</v>
      </c>
      <c r="S862" s="109"/>
      <c r="T862" s="109"/>
      <c r="U862" s="112"/>
      <c r="V862" s="109"/>
      <c r="W862" s="109"/>
      <c r="X862" s="109"/>
    </row>
    <row r="863" spans="2:24">
      <c r="B863" s="109"/>
      <c r="C863" s="109"/>
      <c r="D863" s="20" t="str">
        <f t="shared" si="169"/>
        <v>如涵控股</v>
      </c>
      <c r="E863" s="109"/>
      <c r="F863" s="112"/>
      <c r="G863" s="109"/>
      <c r="H863" s="109"/>
      <c r="I863" s="109"/>
      <c r="J863" s="109"/>
      <c r="K863" s="14" t="str">
        <f t="shared" si="170"/>
        <v>运营中</v>
      </c>
      <c r="L863" s="109"/>
      <c r="M863" s="109"/>
      <c r="N863" s="13">
        <v>1</v>
      </c>
      <c r="O863" s="24">
        <v>41974</v>
      </c>
      <c r="P863" s="13" t="s">
        <v>3513</v>
      </c>
      <c r="Q863" s="13" t="s">
        <v>3514</v>
      </c>
      <c r="R863" s="13" t="s">
        <v>2971</v>
      </c>
      <c r="S863" s="109"/>
      <c r="T863" s="109"/>
      <c r="U863" s="112"/>
      <c r="V863" s="109"/>
      <c r="W863" s="109"/>
      <c r="X863" s="109"/>
    </row>
    <row r="864" spans="2:24">
      <c r="B864" s="109"/>
      <c r="C864" s="109"/>
      <c r="D864" s="20" t="str">
        <f t="shared" si="169"/>
        <v>如涵控股</v>
      </c>
      <c r="E864" s="109"/>
      <c r="F864" s="112"/>
      <c r="G864" s="109"/>
      <c r="H864" s="109"/>
      <c r="I864" s="109"/>
      <c r="J864" s="109"/>
      <c r="K864" s="14" t="str">
        <f t="shared" si="170"/>
        <v>运营中</v>
      </c>
      <c r="L864" s="109"/>
      <c r="M864" s="109"/>
      <c r="N864" s="13">
        <v>1</v>
      </c>
      <c r="O864" s="24">
        <v>41278</v>
      </c>
      <c r="P864" s="13" t="s">
        <v>5474</v>
      </c>
      <c r="Q864" s="13" t="s">
        <v>5646</v>
      </c>
      <c r="R864" s="13" t="s">
        <v>6844</v>
      </c>
      <c r="S864" s="109"/>
      <c r="T864" s="109"/>
      <c r="U864" s="112"/>
      <c r="V864" s="109"/>
      <c r="W864" s="109"/>
      <c r="X864" s="109"/>
    </row>
    <row r="865" spans="2:24">
      <c r="B865" s="109"/>
      <c r="C865" s="109" t="s">
        <v>2973</v>
      </c>
      <c r="D865" s="20" t="s">
        <v>6845</v>
      </c>
      <c r="E865" s="109" t="s">
        <v>6846</v>
      </c>
      <c r="F865" s="112" t="s">
        <v>2975</v>
      </c>
      <c r="G865" s="109" t="s">
        <v>6847</v>
      </c>
      <c r="H865" s="109" t="s">
        <v>2977</v>
      </c>
      <c r="I865" s="109" t="s">
        <v>942</v>
      </c>
      <c r="J865" s="109" t="s">
        <v>271</v>
      </c>
      <c r="K865" s="14" t="s">
        <v>272</v>
      </c>
      <c r="L865" s="109" t="s">
        <v>5821</v>
      </c>
      <c r="M865" s="109" t="s">
        <v>6221</v>
      </c>
      <c r="N865" s="13">
        <v>1</v>
      </c>
      <c r="O865" s="24">
        <v>44538</v>
      </c>
      <c r="P865" s="13" t="s">
        <v>5625</v>
      </c>
      <c r="Q865" s="13" t="s">
        <v>6848</v>
      </c>
      <c r="R865" s="13" t="s">
        <v>253</v>
      </c>
      <c r="S865" s="109" t="s">
        <v>6849</v>
      </c>
      <c r="T865" s="109" t="s">
        <v>6850</v>
      </c>
      <c r="U865" s="112" t="s">
        <v>2981</v>
      </c>
      <c r="V865" s="109" t="s">
        <v>2982</v>
      </c>
      <c r="W865" s="109">
        <v>4000960960</v>
      </c>
      <c r="X865" s="109" t="s">
        <v>2983</v>
      </c>
    </row>
    <row r="866" spans="2:24">
      <c r="B866" s="109"/>
      <c r="C866" s="109"/>
      <c r="D866" s="20" t="str">
        <f>D865</f>
        <v>新浪微博</v>
      </c>
      <c r="E866" s="109"/>
      <c r="F866" s="112"/>
      <c r="G866" s="109"/>
      <c r="H866" s="109"/>
      <c r="I866" s="109"/>
      <c r="J866" s="109"/>
      <c r="K866" s="14" t="str">
        <f t="shared" ref="K866:K869" si="171">K865</f>
        <v>运营中</v>
      </c>
      <c r="L866" s="109"/>
      <c r="M866" s="109"/>
      <c r="N866" s="13">
        <v>1</v>
      </c>
      <c r="O866" s="24">
        <v>43922</v>
      </c>
      <c r="P866" s="13" t="s">
        <v>5810</v>
      </c>
      <c r="Q866" s="13" t="s">
        <v>1750</v>
      </c>
      <c r="R866" s="13" t="s">
        <v>6851</v>
      </c>
      <c r="S866" s="109"/>
      <c r="T866" s="109"/>
      <c r="U866" s="112"/>
      <c r="V866" s="109"/>
      <c r="W866" s="109"/>
      <c r="X866" s="109"/>
    </row>
    <row r="867" spans="2:24">
      <c r="B867" s="109"/>
      <c r="C867" s="109"/>
      <c r="D867" s="20" t="str">
        <f>D866</f>
        <v>新浪微博</v>
      </c>
      <c r="E867" s="109"/>
      <c r="F867" s="112"/>
      <c r="G867" s="109"/>
      <c r="H867" s="109"/>
      <c r="I867" s="109"/>
      <c r="J867" s="109"/>
      <c r="K867" s="14" t="str">
        <f t="shared" si="171"/>
        <v>运营中</v>
      </c>
      <c r="L867" s="109"/>
      <c r="M867" s="109"/>
      <c r="N867" s="13">
        <v>1</v>
      </c>
      <c r="O867" s="24">
        <v>42623</v>
      </c>
      <c r="P867" s="13" t="s">
        <v>5810</v>
      </c>
      <c r="Q867" s="13" t="s">
        <v>6822</v>
      </c>
      <c r="R867" s="13" t="s">
        <v>1751</v>
      </c>
      <c r="S867" s="109"/>
      <c r="T867" s="109"/>
      <c r="U867" s="112"/>
      <c r="V867" s="109"/>
      <c r="W867" s="109"/>
      <c r="X867" s="109"/>
    </row>
    <row r="868" spans="2:24">
      <c r="B868" s="109"/>
      <c r="C868" s="109"/>
      <c r="D868" s="20" t="str">
        <f>D867</f>
        <v>新浪微博</v>
      </c>
      <c r="E868" s="109"/>
      <c r="F868" s="112"/>
      <c r="G868" s="109"/>
      <c r="H868" s="109"/>
      <c r="I868" s="109"/>
      <c r="J868" s="109"/>
      <c r="K868" s="14" t="str">
        <f t="shared" si="171"/>
        <v>运营中</v>
      </c>
      <c r="L868" s="109"/>
      <c r="M868" s="109"/>
      <c r="N868" s="13">
        <v>1</v>
      </c>
      <c r="O868" s="24">
        <v>41746</v>
      </c>
      <c r="P868" s="13" t="s">
        <v>5625</v>
      </c>
      <c r="Q868" s="13" t="s">
        <v>6852</v>
      </c>
      <c r="R868" s="13" t="s">
        <v>253</v>
      </c>
      <c r="S868" s="109"/>
      <c r="T868" s="109"/>
      <c r="U868" s="112"/>
      <c r="V868" s="109"/>
      <c r="W868" s="109"/>
      <c r="X868" s="109"/>
    </row>
    <row r="869" spans="2:24">
      <c r="B869" s="109"/>
      <c r="C869" s="109"/>
      <c r="D869" s="20" t="str">
        <f>D868</f>
        <v>新浪微博</v>
      </c>
      <c r="E869" s="109"/>
      <c r="F869" s="112"/>
      <c r="G869" s="109"/>
      <c r="H869" s="109"/>
      <c r="I869" s="109"/>
      <c r="J869" s="109"/>
      <c r="K869" s="14" t="str">
        <f t="shared" si="171"/>
        <v>运营中</v>
      </c>
      <c r="L869" s="109"/>
      <c r="M869" s="109"/>
      <c r="N869" s="13">
        <v>1</v>
      </c>
      <c r="O869" s="24">
        <v>41393</v>
      </c>
      <c r="P869" s="13" t="s">
        <v>1045</v>
      </c>
      <c r="Q869" s="13" t="s">
        <v>6853</v>
      </c>
      <c r="R869" s="13" t="s">
        <v>1751</v>
      </c>
      <c r="S869" s="109"/>
      <c r="T869" s="109"/>
      <c r="U869" s="112"/>
      <c r="V869" s="109"/>
      <c r="W869" s="109"/>
      <c r="X869" s="109"/>
    </row>
    <row r="870" spans="2:24" ht="116.5">
      <c r="B870" s="109"/>
      <c r="C870" s="13" t="s">
        <v>2987</v>
      </c>
      <c r="D870" s="25" t="s">
        <v>2988</v>
      </c>
      <c r="E870" s="13" t="s">
        <v>2988</v>
      </c>
      <c r="F870" s="18" t="s">
        <v>6854</v>
      </c>
      <c r="G870" s="13"/>
      <c r="H870" s="13" t="s">
        <v>2990</v>
      </c>
      <c r="I870" s="13" t="s">
        <v>2991</v>
      </c>
      <c r="J870" s="13" t="s">
        <v>2992</v>
      </c>
      <c r="K870" s="19" t="s">
        <v>272</v>
      </c>
      <c r="L870" s="13" t="s">
        <v>6396</v>
      </c>
      <c r="M870" s="13" t="s">
        <v>6785</v>
      </c>
      <c r="N870" s="13"/>
      <c r="O870" s="24">
        <v>42311</v>
      </c>
      <c r="P870" s="13" t="s">
        <v>3513</v>
      </c>
      <c r="Q870" s="13" t="s">
        <v>6855</v>
      </c>
      <c r="R870" s="13" t="s">
        <v>1751</v>
      </c>
      <c r="S870" s="13" t="s">
        <v>6856</v>
      </c>
      <c r="T870" s="13" t="s">
        <v>6857</v>
      </c>
      <c r="U870" s="18" t="s">
        <v>6858</v>
      </c>
      <c r="V870" s="13"/>
      <c r="W870" s="13"/>
      <c r="X870" s="13"/>
    </row>
    <row r="871" spans="2:24">
      <c r="B871" s="109"/>
      <c r="C871" s="109" t="s">
        <v>2997</v>
      </c>
      <c r="D871" s="20" t="s">
        <v>6859</v>
      </c>
      <c r="E871" s="109" t="s">
        <v>6860</v>
      </c>
      <c r="F871" s="112" t="s">
        <v>2999</v>
      </c>
      <c r="G871" s="109" t="s">
        <v>6861</v>
      </c>
      <c r="H871" s="109" t="s">
        <v>3001</v>
      </c>
      <c r="I871" s="109" t="s">
        <v>784</v>
      </c>
      <c r="J871" s="109" t="s">
        <v>247</v>
      </c>
      <c r="K871" s="14" t="s">
        <v>272</v>
      </c>
      <c r="L871" s="109" t="s">
        <v>3274</v>
      </c>
      <c r="M871" s="109" t="s">
        <v>6862</v>
      </c>
      <c r="N871" s="13">
        <v>1</v>
      </c>
      <c r="O871" s="24">
        <v>43171</v>
      </c>
      <c r="P871" s="13" t="s">
        <v>5709</v>
      </c>
      <c r="Q871" s="13" t="s">
        <v>2030</v>
      </c>
      <c r="R871" s="13" t="s">
        <v>514</v>
      </c>
      <c r="S871" s="109" t="s">
        <v>4884</v>
      </c>
      <c r="T871" s="109" t="s">
        <v>3664</v>
      </c>
      <c r="U871" s="112" t="s">
        <v>3003</v>
      </c>
      <c r="V871" s="109" t="s">
        <v>3004</v>
      </c>
      <c r="W871" s="109" t="s">
        <v>3005</v>
      </c>
      <c r="X871" s="109" t="s">
        <v>3006</v>
      </c>
    </row>
    <row r="872" spans="2:24">
      <c r="B872" s="109"/>
      <c r="C872" s="109"/>
      <c r="D872" s="20" t="str">
        <f>D871</f>
        <v>万象物流</v>
      </c>
      <c r="E872" s="109"/>
      <c r="F872" s="112"/>
      <c r="G872" s="109"/>
      <c r="H872" s="109"/>
      <c r="I872" s="109"/>
      <c r="J872" s="109"/>
      <c r="K872" s="14" t="str">
        <f t="shared" ref="K872:K873" si="172">K871</f>
        <v>运营中</v>
      </c>
      <c r="L872" s="109"/>
      <c r="M872" s="109"/>
      <c r="N872" s="13">
        <v>1</v>
      </c>
      <c r="O872" s="24">
        <v>42532</v>
      </c>
      <c r="P872" s="13" t="s">
        <v>3648</v>
      </c>
      <c r="Q872" s="13" t="s">
        <v>2030</v>
      </c>
      <c r="R872" s="13" t="s">
        <v>3007</v>
      </c>
      <c r="S872" s="109"/>
      <c r="T872" s="109"/>
      <c r="U872" s="112"/>
      <c r="V872" s="109"/>
      <c r="W872" s="109"/>
      <c r="X872" s="109"/>
    </row>
    <row r="873" spans="2:24">
      <c r="B873" s="109"/>
      <c r="C873" s="109"/>
      <c r="D873" s="20" t="str">
        <f>D872</f>
        <v>万象物流</v>
      </c>
      <c r="E873" s="109"/>
      <c r="F873" s="112"/>
      <c r="G873" s="109"/>
      <c r="H873" s="109"/>
      <c r="I873" s="109"/>
      <c r="J873" s="109"/>
      <c r="K873" s="14" t="str">
        <f t="shared" si="172"/>
        <v>运营中</v>
      </c>
      <c r="L873" s="109"/>
      <c r="M873" s="109"/>
      <c r="N873" s="13">
        <v>1</v>
      </c>
      <c r="O873" s="24">
        <v>41075</v>
      </c>
      <c r="P873" s="13" t="s">
        <v>3513</v>
      </c>
      <c r="Q873" s="13" t="s">
        <v>3514</v>
      </c>
      <c r="R873" s="13" t="s">
        <v>1751</v>
      </c>
      <c r="S873" s="109"/>
      <c r="T873" s="109"/>
      <c r="U873" s="112"/>
      <c r="V873" s="109"/>
      <c r="W873" s="109"/>
      <c r="X873" s="109"/>
    </row>
    <row r="874" spans="2:24">
      <c r="B874" s="109"/>
      <c r="C874" s="109" t="s">
        <v>3008</v>
      </c>
      <c r="D874" s="20" t="s">
        <v>6863</v>
      </c>
      <c r="E874" s="109" t="s">
        <v>6864</v>
      </c>
      <c r="F874" s="112" t="s">
        <v>6865</v>
      </c>
      <c r="G874" s="109" t="s">
        <v>6866</v>
      </c>
      <c r="H874" s="109" t="s">
        <v>3012</v>
      </c>
      <c r="I874" s="109" t="s">
        <v>2887</v>
      </c>
      <c r="J874" s="109" t="s">
        <v>547</v>
      </c>
      <c r="K874" s="14" t="s">
        <v>272</v>
      </c>
      <c r="L874" s="109" t="s">
        <v>2711</v>
      </c>
      <c r="M874" s="109" t="s">
        <v>6867</v>
      </c>
      <c r="N874" s="13">
        <v>1</v>
      </c>
      <c r="O874" s="24">
        <v>45134</v>
      </c>
      <c r="P874" s="13" t="s">
        <v>5810</v>
      </c>
      <c r="Q874" s="13" t="s">
        <v>5643</v>
      </c>
      <c r="R874" s="13" t="s">
        <v>6868</v>
      </c>
      <c r="S874" s="109" t="s">
        <v>6869</v>
      </c>
      <c r="T874" s="109" t="s">
        <v>5772</v>
      </c>
      <c r="U874" s="112" t="s">
        <v>3016</v>
      </c>
      <c r="V874" s="109" t="s">
        <v>3017</v>
      </c>
      <c r="W874" s="109" t="s">
        <v>3018</v>
      </c>
      <c r="X874" s="109" t="s">
        <v>3019</v>
      </c>
    </row>
    <row r="875" spans="2:24">
      <c r="B875" s="109"/>
      <c r="C875" s="109"/>
      <c r="D875" s="20" t="str">
        <f t="shared" ref="D875:D888" si="173">D874</f>
        <v>小鹏汽车</v>
      </c>
      <c r="E875" s="109"/>
      <c r="F875" s="112"/>
      <c r="G875" s="109"/>
      <c r="H875" s="109"/>
      <c r="I875" s="109"/>
      <c r="J875" s="109"/>
      <c r="K875" s="14" t="str">
        <f t="shared" ref="K875:K888" si="174">K874</f>
        <v>运营中</v>
      </c>
      <c r="L875" s="109"/>
      <c r="M875" s="109"/>
      <c r="N875" s="13">
        <v>1</v>
      </c>
      <c r="O875" s="24">
        <v>44384</v>
      </c>
      <c r="P875" s="13" t="s">
        <v>5625</v>
      </c>
      <c r="Q875" s="13" t="s">
        <v>6870</v>
      </c>
      <c r="R875" s="13" t="s">
        <v>253</v>
      </c>
      <c r="S875" s="109"/>
      <c r="T875" s="109"/>
      <c r="U875" s="112"/>
      <c r="V875" s="109"/>
      <c r="W875" s="109"/>
      <c r="X875" s="109"/>
    </row>
    <row r="876" spans="2:24">
      <c r="B876" s="109"/>
      <c r="C876" s="109"/>
      <c r="D876" s="20" t="str">
        <f t="shared" si="173"/>
        <v>小鹏汽车</v>
      </c>
      <c r="E876" s="109"/>
      <c r="F876" s="112"/>
      <c r="G876" s="109"/>
      <c r="H876" s="109"/>
      <c r="I876" s="109"/>
      <c r="J876" s="109"/>
      <c r="K876" s="14" t="str">
        <f t="shared" si="174"/>
        <v>运营中</v>
      </c>
      <c r="L876" s="109"/>
      <c r="M876" s="109"/>
      <c r="N876" s="13">
        <v>1</v>
      </c>
      <c r="O876" s="24">
        <v>44270</v>
      </c>
      <c r="P876" s="13" t="s">
        <v>5810</v>
      </c>
      <c r="Q876" s="13" t="s">
        <v>5847</v>
      </c>
      <c r="R876" s="13" t="s">
        <v>6871</v>
      </c>
      <c r="S876" s="109"/>
      <c r="T876" s="109"/>
      <c r="U876" s="112"/>
      <c r="V876" s="109"/>
      <c r="W876" s="109"/>
      <c r="X876" s="109"/>
    </row>
    <row r="877" spans="2:24">
      <c r="B877" s="109"/>
      <c r="C877" s="109"/>
      <c r="D877" s="20" t="str">
        <f t="shared" si="173"/>
        <v>小鹏汽车</v>
      </c>
      <c r="E877" s="109"/>
      <c r="F877" s="112"/>
      <c r="G877" s="109"/>
      <c r="H877" s="109"/>
      <c r="I877" s="109"/>
      <c r="J877" s="109"/>
      <c r="K877" s="14" t="str">
        <f t="shared" si="174"/>
        <v>运营中</v>
      </c>
      <c r="L877" s="109"/>
      <c r="M877" s="109"/>
      <c r="N877" s="13">
        <v>1</v>
      </c>
      <c r="O877" s="24">
        <v>44102</v>
      </c>
      <c r="P877" s="13" t="s">
        <v>5810</v>
      </c>
      <c r="Q877" s="13" t="s">
        <v>6872</v>
      </c>
      <c r="R877" s="13" t="s">
        <v>6873</v>
      </c>
      <c r="S877" s="109"/>
      <c r="T877" s="109"/>
      <c r="U877" s="112"/>
      <c r="V877" s="109"/>
      <c r="W877" s="109"/>
      <c r="X877" s="109"/>
    </row>
    <row r="878" spans="2:24">
      <c r="B878" s="109"/>
      <c r="C878" s="109"/>
      <c r="D878" s="20" t="str">
        <f t="shared" si="173"/>
        <v>小鹏汽车</v>
      </c>
      <c r="E878" s="109"/>
      <c r="F878" s="112"/>
      <c r="G878" s="109"/>
      <c r="H878" s="109"/>
      <c r="I878" s="109"/>
      <c r="J878" s="109"/>
      <c r="K878" s="14" t="str">
        <f t="shared" si="174"/>
        <v>运营中</v>
      </c>
      <c r="L878" s="109"/>
      <c r="M878" s="109"/>
      <c r="N878" s="13">
        <v>1</v>
      </c>
      <c r="O878" s="24">
        <v>44070</v>
      </c>
      <c r="P878" s="13" t="s">
        <v>5625</v>
      </c>
      <c r="Q878" s="13" t="s">
        <v>6874</v>
      </c>
      <c r="R878" s="13" t="s">
        <v>253</v>
      </c>
      <c r="S878" s="109"/>
      <c r="T878" s="109"/>
      <c r="U878" s="112"/>
      <c r="V878" s="109"/>
      <c r="W878" s="109"/>
      <c r="X878" s="109"/>
    </row>
    <row r="879" spans="2:24">
      <c r="B879" s="109"/>
      <c r="C879" s="109"/>
      <c r="D879" s="20" t="str">
        <f t="shared" si="173"/>
        <v>小鹏汽车</v>
      </c>
      <c r="E879" s="109"/>
      <c r="F879" s="112"/>
      <c r="G879" s="109"/>
      <c r="H879" s="109"/>
      <c r="I879" s="109"/>
      <c r="J879" s="109"/>
      <c r="K879" s="14" t="str">
        <f t="shared" si="174"/>
        <v>运营中</v>
      </c>
      <c r="L879" s="109"/>
      <c r="M879" s="109"/>
      <c r="N879" s="13">
        <v>1</v>
      </c>
      <c r="O879" s="24">
        <v>44065</v>
      </c>
      <c r="P879" s="13" t="s">
        <v>5795</v>
      </c>
      <c r="Q879" s="13" t="s">
        <v>1046</v>
      </c>
      <c r="R879" s="13" t="s">
        <v>3025</v>
      </c>
      <c r="S879" s="109"/>
      <c r="T879" s="109"/>
      <c r="U879" s="112"/>
      <c r="V879" s="109"/>
      <c r="W879" s="109"/>
      <c r="X879" s="109"/>
    </row>
    <row r="880" spans="2:24">
      <c r="B880" s="109"/>
      <c r="C880" s="109"/>
      <c r="D880" s="20" t="str">
        <f t="shared" si="173"/>
        <v>小鹏汽车</v>
      </c>
      <c r="E880" s="109"/>
      <c r="F880" s="112"/>
      <c r="G880" s="109"/>
      <c r="H880" s="109"/>
      <c r="I880" s="109"/>
      <c r="J880" s="109"/>
      <c r="K880" s="14" t="str">
        <f t="shared" si="174"/>
        <v>运营中</v>
      </c>
      <c r="L880" s="109"/>
      <c r="M880" s="109"/>
      <c r="N880" s="13">
        <v>1</v>
      </c>
      <c r="O880" s="24">
        <v>44032</v>
      </c>
      <c r="P880" s="13" t="s">
        <v>2029</v>
      </c>
      <c r="Q880" s="13" t="s">
        <v>1046</v>
      </c>
      <c r="R880" s="13" t="s">
        <v>3026</v>
      </c>
      <c r="S880" s="109"/>
      <c r="T880" s="109"/>
      <c r="U880" s="112"/>
      <c r="V880" s="109"/>
      <c r="W880" s="109"/>
      <c r="X880" s="109"/>
    </row>
    <row r="881" spans="2:24">
      <c r="B881" s="109"/>
      <c r="C881" s="109"/>
      <c r="D881" s="20" t="str">
        <f t="shared" si="173"/>
        <v>小鹏汽车</v>
      </c>
      <c r="E881" s="109"/>
      <c r="F881" s="112"/>
      <c r="G881" s="109"/>
      <c r="H881" s="109"/>
      <c r="I881" s="109"/>
      <c r="J881" s="109"/>
      <c r="K881" s="14" t="str">
        <f t="shared" si="174"/>
        <v>运营中</v>
      </c>
      <c r="L881" s="109"/>
      <c r="M881" s="109"/>
      <c r="N881" s="13">
        <v>1</v>
      </c>
      <c r="O881" s="24">
        <v>43782</v>
      </c>
      <c r="P881" s="13" t="s">
        <v>5613</v>
      </c>
      <c r="Q881" s="13" t="s">
        <v>4562</v>
      </c>
      <c r="R881" s="13" t="s">
        <v>6875</v>
      </c>
      <c r="S881" s="109"/>
      <c r="T881" s="109"/>
      <c r="U881" s="112"/>
      <c r="V881" s="109"/>
      <c r="W881" s="109"/>
      <c r="X881" s="109"/>
    </row>
    <row r="882" spans="2:24">
      <c r="B882" s="109"/>
      <c r="C882" s="109"/>
      <c r="D882" s="20" t="str">
        <f t="shared" si="173"/>
        <v>小鹏汽车</v>
      </c>
      <c r="E882" s="109"/>
      <c r="F882" s="112"/>
      <c r="G882" s="109"/>
      <c r="H882" s="109"/>
      <c r="I882" s="109"/>
      <c r="J882" s="109"/>
      <c r="K882" s="14" t="str">
        <f t="shared" si="174"/>
        <v>运营中</v>
      </c>
      <c r="L882" s="109"/>
      <c r="M882" s="109"/>
      <c r="N882" s="13">
        <v>1</v>
      </c>
      <c r="O882" s="24">
        <v>43314</v>
      </c>
      <c r="P882" s="13" t="s">
        <v>5754</v>
      </c>
      <c r="Q882" s="13" t="s">
        <v>6872</v>
      </c>
      <c r="R882" s="13" t="s">
        <v>3028</v>
      </c>
      <c r="S882" s="109"/>
      <c r="T882" s="109"/>
      <c r="U882" s="112"/>
      <c r="V882" s="109"/>
      <c r="W882" s="109"/>
      <c r="X882" s="109"/>
    </row>
    <row r="883" spans="2:24">
      <c r="B883" s="109"/>
      <c r="C883" s="109"/>
      <c r="D883" s="20" t="str">
        <f t="shared" si="173"/>
        <v>小鹏汽车</v>
      </c>
      <c r="E883" s="109"/>
      <c r="F883" s="112"/>
      <c r="G883" s="109"/>
      <c r="H883" s="109"/>
      <c r="I883" s="109"/>
      <c r="J883" s="109"/>
      <c r="K883" s="14" t="str">
        <f t="shared" si="174"/>
        <v>运营中</v>
      </c>
      <c r="L883" s="109"/>
      <c r="M883" s="109"/>
      <c r="N883" s="13">
        <v>1</v>
      </c>
      <c r="O883" s="24">
        <v>43137</v>
      </c>
      <c r="P883" s="13" t="s">
        <v>1045</v>
      </c>
      <c r="Q883" s="13" t="s">
        <v>4754</v>
      </c>
      <c r="R883" s="13" t="s">
        <v>3029</v>
      </c>
      <c r="S883" s="109"/>
      <c r="T883" s="109"/>
      <c r="U883" s="112"/>
      <c r="V883" s="109"/>
      <c r="W883" s="109"/>
      <c r="X883" s="109"/>
    </row>
    <row r="884" spans="2:24">
      <c r="B884" s="109"/>
      <c r="C884" s="109"/>
      <c r="D884" s="20" t="str">
        <f t="shared" si="173"/>
        <v>小鹏汽车</v>
      </c>
      <c r="E884" s="109"/>
      <c r="F884" s="112"/>
      <c r="G884" s="109"/>
      <c r="H884" s="109"/>
      <c r="I884" s="109"/>
      <c r="J884" s="109"/>
      <c r="K884" s="14" t="str">
        <f t="shared" si="174"/>
        <v>运营中</v>
      </c>
      <c r="L884" s="109"/>
      <c r="M884" s="109"/>
      <c r="N884" s="13">
        <v>1</v>
      </c>
      <c r="O884" s="24">
        <v>43129</v>
      </c>
      <c r="P884" s="13" t="s">
        <v>3648</v>
      </c>
      <c r="Q884" s="13" t="s">
        <v>6876</v>
      </c>
      <c r="R884" s="13" t="s">
        <v>6877</v>
      </c>
      <c r="S884" s="109"/>
      <c r="T884" s="109"/>
      <c r="U884" s="112"/>
      <c r="V884" s="109"/>
      <c r="W884" s="109"/>
      <c r="X884" s="109"/>
    </row>
    <row r="885" spans="2:24">
      <c r="B885" s="109"/>
      <c r="C885" s="109"/>
      <c r="D885" s="20" t="str">
        <f t="shared" si="173"/>
        <v>小鹏汽车</v>
      </c>
      <c r="E885" s="109"/>
      <c r="F885" s="112"/>
      <c r="G885" s="109"/>
      <c r="H885" s="109"/>
      <c r="I885" s="109"/>
      <c r="J885" s="109"/>
      <c r="K885" s="14" t="str">
        <f t="shared" si="174"/>
        <v>运营中</v>
      </c>
      <c r="L885" s="109"/>
      <c r="M885" s="109"/>
      <c r="N885" s="13">
        <v>1</v>
      </c>
      <c r="O885" s="24">
        <v>43082</v>
      </c>
      <c r="P885" s="13" t="s">
        <v>4306</v>
      </c>
      <c r="Q885" s="13" t="s">
        <v>1750</v>
      </c>
      <c r="R885" s="13" t="s">
        <v>6878</v>
      </c>
      <c r="S885" s="109"/>
      <c r="T885" s="109"/>
      <c r="U885" s="112"/>
      <c r="V885" s="109"/>
      <c r="W885" s="109"/>
      <c r="X885" s="109"/>
    </row>
    <row r="886" spans="2:24">
      <c r="B886" s="109"/>
      <c r="C886" s="109"/>
      <c r="D886" s="20" t="str">
        <f t="shared" si="173"/>
        <v>小鹏汽车</v>
      </c>
      <c r="E886" s="109"/>
      <c r="F886" s="112"/>
      <c r="G886" s="109"/>
      <c r="H886" s="109"/>
      <c r="I886" s="109"/>
      <c r="J886" s="109"/>
      <c r="K886" s="14" t="str">
        <f t="shared" si="174"/>
        <v>运营中</v>
      </c>
      <c r="L886" s="109"/>
      <c r="M886" s="109"/>
      <c r="N886" s="13">
        <v>1</v>
      </c>
      <c r="O886" s="24">
        <v>42898</v>
      </c>
      <c r="P886" s="13" t="s">
        <v>3513</v>
      </c>
      <c r="Q886" s="13" t="s">
        <v>6876</v>
      </c>
      <c r="R886" s="13" t="s">
        <v>6879</v>
      </c>
      <c r="S886" s="109"/>
      <c r="T886" s="109"/>
      <c r="U886" s="112"/>
      <c r="V886" s="109"/>
      <c r="W886" s="109"/>
      <c r="X886" s="109"/>
    </row>
    <row r="887" spans="2:24">
      <c r="B887" s="109"/>
      <c r="C887" s="109"/>
      <c r="D887" s="20" t="str">
        <f t="shared" si="173"/>
        <v>小鹏汽车</v>
      </c>
      <c r="E887" s="109"/>
      <c r="F887" s="112"/>
      <c r="G887" s="109"/>
      <c r="H887" s="109"/>
      <c r="I887" s="109"/>
      <c r="J887" s="109"/>
      <c r="K887" s="14" t="str">
        <f t="shared" si="174"/>
        <v>运营中</v>
      </c>
      <c r="L887" s="109"/>
      <c r="M887" s="109"/>
      <c r="N887" s="13">
        <v>1</v>
      </c>
      <c r="O887" s="24">
        <v>42457</v>
      </c>
      <c r="P887" s="13" t="s">
        <v>5454</v>
      </c>
      <c r="Q887" s="13" t="s">
        <v>6225</v>
      </c>
      <c r="R887" s="13" t="s">
        <v>253</v>
      </c>
      <c r="S887" s="109"/>
      <c r="T887" s="109"/>
      <c r="U887" s="112"/>
      <c r="V887" s="109"/>
      <c r="W887" s="109"/>
      <c r="X887" s="109"/>
    </row>
    <row r="888" spans="2:24">
      <c r="B888" s="109"/>
      <c r="C888" s="109"/>
      <c r="D888" s="20" t="str">
        <f t="shared" si="173"/>
        <v>小鹏汽车</v>
      </c>
      <c r="E888" s="109"/>
      <c r="F888" s="112"/>
      <c r="G888" s="109"/>
      <c r="H888" s="109"/>
      <c r="I888" s="109"/>
      <c r="J888" s="109"/>
      <c r="K888" s="14" t="str">
        <f t="shared" si="174"/>
        <v>运营中</v>
      </c>
      <c r="L888" s="109"/>
      <c r="M888" s="109"/>
      <c r="N888" s="13">
        <v>1</v>
      </c>
      <c r="O888" s="24">
        <v>42121</v>
      </c>
      <c r="P888" s="13" t="s">
        <v>5474</v>
      </c>
      <c r="Q888" s="13" t="s">
        <v>3514</v>
      </c>
      <c r="R888" s="13" t="s">
        <v>3034</v>
      </c>
      <c r="S888" s="109"/>
      <c r="T888" s="109"/>
      <c r="U888" s="112"/>
      <c r="V888" s="109"/>
      <c r="W888" s="109"/>
      <c r="X888" s="109"/>
    </row>
    <row r="889" spans="2:24">
      <c r="B889" s="109"/>
      <c r="C889" s="109" t="s">
        <v>3035</v>
      </c>
      <c r="D889" s="20" t="s">
        <v>6880</v>
      </c>
      <c r="E889" s="109" t="s">
        <v>6881</v>
      </c>
      <c r="F889" s="112" t="s">
        <v>3037</v>
      </c>
      <c r="G889" s="109" t="s">
        <v>6882</v>
      </c>
      <c r="H889" s="109" t="s">
        <v>3039</v>
      </c>
      <c r="I889" s="109" t="s">
        <v>2313</v>
      </c>
      <c r="J889" s="109" t="s">
        <v>385</v>
      </c>
      <c r="K889" s="14" t="s">
        <v>272</v>
      </c>
      <c r="L889" s="109" t="s">
        <v>4162</v>
      </c>
      <c r="M889" s="109" t="s">
        <v>5676</v>
      </c>
      <c r="N889" s="13"/>
      <c r="O889" s="24">
        <v>42796</v>
      </c>
      <c r="P889" s="13" t="s">
        <v>3513</v>
      </c>
      <c r="Q889" s="13" t="s">
        <v>5427</v>
      </c>
      <c r="R889" s="13" t="s">
        <v>3040</v>
      </c>
      <c r="S889" s="109" t="s">
        <v>4403</v>
      </c>
      <c r="T889" s="109" t="s">
        <v>6883</v>
      </c>
      <c r="U889" s="112" t="s">
        <v>3042</v>
      </c>
      <c r="V889" s="109" t="s">
        <v>3043</v>
      </c>
      <c r="W889" s="109" t="s">
        <v>3044</v>
      </c>
      <c r="X889" s="109" t="s">
        <v>3045</v>
      </c>
    </row>
    <row r="890" spans="2:24">
      <c r="B890" s="109"/>
      <c r="C890" s="109"/>
      <c r="D890" s="20" t="str">
        <f>D889</f>
        <v>向上影业</v>
      </c>
      <c r="E890" s="109"/>
      <c r="F890" s="112"/>
      <c r="G890" s="109"/>
      <c r="H890" s="109"/>
      <c r="I890" s="109"/>
      <c r="J890" s="109"/>
      <c r="K890" s="14" t="str">
        <f>K889</f>
        <v>运营中</v>
      </c>
      <c r="L890" s="109"/>
      <c r="M890" s="109"/>
      <c r="N890" s="13"/>
      <c r="O890" s="24">
        <v>42173</v>
      </c>
      <c r="P890" s="13" t="s">
        <v>5474</v>
      </c>
      <c r="Q890" s="13" t="s">
        <v>3514</v>
      </c>
      <c r="R890" s="13" t="s">
        <v>3046</v>
      </c>
      <c r="S890" s="109"/>
      <c r="T890" s="109"/>
      <c r="U890" s="112"/>
      <c r="V890" s="109"/>
      <c r="W890" s="109"/>
      <c r="X890" s="109"/>
    </row>
    <row r="891" spans="2:24">
      <c r="B891" s="109"/>
      <c r="C891" s="109" t="s">
        <v>3047</v>
      </c>
      <c r="D891" s="20" t="s">
        <v>6884</v>
      </c>
      <c r="E891" s="109" t="s">
        <v>6885</v>
      </c>
      <c r="F891" s="112" t="s">
        <v>3049</v>
      </c>
      <c r="G891" s="109" t="s">
        <v>6886</v>
      </c>
      <c r="H891" s="109" t="s">
        <v>3051</v>
      </c>
      <c r="I891" s="109" t="s">
        <v>1857</v>
      </c>
      <c r="J891" s="109" t="s">
        <v>349</v>
      </c>
      <c r="K891" s="14" t="s">
        <v>272</v>
      </c>
      <c r="L891" s="109" t="s">
        <v>5472</v>
      </c>
      <c r="M891" s="109" t="s">
        <v>5528</v>
      </c>
      <c r="N891" s="13">
        <v>1</v>
      </c>
      <c r="O891" s="24">
        <v>42622</v>
      </c>
      <c r="P891" s="13" t="s">
        <v>5810</v>
      </c>
      <c r="Q891" s="13" t="s">
        <v>5427</v>
      </c>
      <c r="R891" s="13" t="s">
        <v>3053</v>
      </c>
      <c r="S891" s="109" t="s">
        <v>6887</v>
      </c>
      <c r="T891" s="109" t="s">
        <v>5441</v>
      </c>
      <c r="U891" s="112" t="s">
        <v>3055</v>
      </c>
      <c r="V891" s="109" t="s">
        <v>3056</v>
      </c>
      <c r="W891" s="109" t="s">
        <v>3057</v>
      </c>
      <c r="X891" s="109" t="s">
        <v>3058</v>
      </c>
    </row>
    <row r="892" spans="2:24">
      <c r="B892" s="109"/>
      <c r="C892" s="109"/>
      <c r="D892" s="20" t="str">
        <f>D891</f>
        <v>巨人网络</v>
      </c>
      <c r="E892" s="109"/>
      <c r="F892" s="112"/>
      <c r="G892" s="109"/>
      <c r="H892" s="109"/>
      <c r="I892" s="109"/>
      <c r="J892" s="109"/>
      <c r="K892" s="14" t="str">
        <f t="shared" ref="K892:K893" si="175">K891</f>
        <v>运营中</v>
      </c>
      <c r="L892" s="109"/>
      <c r="M892" s="109"/>
      <c r="N892" s="13">
        <v>1</v>
      </c>
      <c r="O892" s="24">
        <v>41385</v>
      </c>
      <c r="P892" s="13" t="s">
        <v>5810</v>
      </c>
      <c r="Q892" s="13" t="s">
        <v>4732</v>
      </c>
      <c r="R892" s="13" t="s">
        <v>253</v>
      </c>
      <c r="S892" s="109"/>
      <c r="T892" s="109"/>
      <c r="U892" s="112"/>
      <c r="V892" s="109"/>
      <c r="W892" s="109"/>
      <c r="X892" s="109"/>
    </row>
    <row r="893" spans="2:24">
      <c r="B893" s="109"/>
      <c r="C893" s="109"/>
      <c r="D893" s="20" t="str">
        <f>D892</f>
        <v>巨人网络</v>
      </c>
      <c r="E893" s="109"/>
      <c r="F893" s="112"/>
      <c r="G893" s="109"/>
      <c r="H893" s="109"/>
      <c r="I893" s="109"/>
      <c r="J893" s="109"/>
      <c r="K893" s="14" t="str">
        <f t="shared" si="175"/>
        <v>运营中</v>
      </c>
      <c r="L893" s="109"/>
      <c r="M893" s="109"/>
      <c r="N893" s="13">
        <v>1</v>
      </c>
      <c r="O893" s="24">
        <v>39387</v>
      </c>
      <c r="P893" s="13" t="s">
        <v>5625</v>
      </c>
      <c r="Q893" s="13" t="s">
        <v>5529</v>
      </c>
      <c r="R893" s="13" t="s">
        <v>253</v>
      </c>
      <c r="S893" s="109"/>
      <c r="T893" s="109"/>
      <c r="U893" s="112"/>
      <c r="V893" s="109"/>
      <c r="W893" s="109"/>
      <c r="X893" s="109"/>
    </row>
    <row r="894" spans="2:24">
      <c r="B894" s="109"/>
      <c r="C894" s="109" t="s">
        <v>967</v>
      </c>
      <c r="D894" s="20" t="s">
        <v>6888</v>
      </c>
      <c r="E894" s="109" t="s">
        <v>5940</v>
      </c>
      <c r="F894" s="112" t="s">
        <v>6889</v>
      </c>
      <c r="G894" s="109" t="s">
        <v>6890</v>
      </c>
      <c r="H894" s="109" t="s">
        <v>3061</v>
      </c>
      <c r="I894" s="109" t="s">
        <v>3062</v>
      </c>
      <c r="J894" s="109" t="s">
        <v>406</v>
      </c>
      <c r="K894" s="14" t="s">
        <v>272</v>
      </c>
      <c r="L894" s="109" t="s">
        <v>1043</v>
      </c>
      <c r="M894" s="109" t="s">
        <v>1990</v>
      </c>
      <c r="N894" s="13">
        <v>1</v>
      </c>
      <c r="O894" s="24">
        <v>43385</v>
      </c>
      <c r="P894" s="13" t="s">
        <v>5641</v>
      </c>
      <c r="Q894" s="13" t="s">
        <v>2030</v>
      </c>
      <c r="R894" s="13" t="s">
        <v>5938</v>
      </c>
      <c r="S894" s="109" t="s">
        <v>6891</v>
      </c>
      <c r="T894" s="109" t="s">
        <v>3664</v>
      </c>
      <c r="U894" s="112"/>
      <c r="V894" s="109" t="s">
        <v>3064</v>
      </c>
      <c r="W894" s="109" t="s">
        <v>3065</v>
      </c>
      <c r="X894" s="109"/>
    </row>
    <row r="895" spans="2:24">
      <c r="B895" s="109"/>
      <c r="C895" s="109"/>
      <c r="D895" s="20" t="str">
        <f>D894</f>
        <v>口碑</v>
      </c>
      <c r="E895" s="109"/>
      <c r="F895" s="112"/>
      <c r="G895" s="109"/>
      <c r="H895" s="109"/>
      <c r="I895" s="109"/>
      <c r="J895" s="109"/>
      <c r="K895" s="14" t="str">
        <f t="shared" ref="K895:K898" si="176">K894</f>
        <v>运营中</v>
      </c>
      <c r="L895" s="109"/>
      <c r="M895" s="109"/>
      <c r="N895" s="13">
        <v>1</v>
      </c>
      <c r="O895" s="24">
        <v>42759</v>
      </c>
      <c r="P895" s="13" t="s">
        <v>1045</v>
      </c>
      <c r="Q895" s="13" t="s">
        <v>6474</v>
      </c>
      <c r="R895" s="13" t="s">
        <v>3066</v>
      </c>
      <c r="S895" s="109"/>
      <c r="T895" s="109"/>
      <c r="U895" s="112"/>
      <c r="V895" s="109"/>
      <c r="W895" s="109"/>
      <c r="X895" s="109"/>
    </row>
    <row r="896" spans="2:24">
      <c r="B896" s="109"/>
      <c r="C896" s="109"/>
      <c r="D896" s="20" t="str">
        <f>D895</f>
        <v>口碑</v>
      </c>
      <c r="E896" s="109"/>
      <c r="F896" s="112"/>
      <c r="G896" s="109"/>
      <c r="H896" s="109"/>
      <c r="I896" s="109"/>
      <c r="J896" s="109"/>
      <c r="K896" s="14" t="str">
        <f t="shared" si="176"/>
        <v>运营中</v>
      </c>
      <c r="L896" s="109"/>
      <c r="M896" s="109"/>
      <c r="N896" s="13">
        <v>1</v>
      </c>
      <c r="O896" s="24">
        <v>42326</v>
      </c>
      <c r="P896" s="13" t="s">
        <v>1045</v>
      </c>
      <c r="Q896" s="13" t="s">
        <v>1750</v>
      </c>
      <c r="R896" s="13" t="s">
        <v>3067</v>
      </c>
      <c r="S896" s="109"/>
      <c r="T896" s="109"/>
      <c r="U896" s="112"/>
      <c r="V896" s="109"/>
      <c r="W896" s="109"/>
      <c r="X896" s="109"/>
    </row>
    <row r="897" spans="2:24">
      <c r="B897" s="109"/>
      <c r="C897" s="109"/>
      <c r="D897" s="20" t="str">
        <f>D896</f>
        <v>口碑</v>
      </c>
      <c r="E897" s="109"/>
      <c r="F897" s="112"/>
      <c r="G897" s="109"/>
      <c r="H897" s="109"/>
      <c r="I897" s="109"/>
      <c r="J897" s="109"/>
      <c r="K897" s="14" t="str">
        <f t="shared" si="176"/>
        <v>运营中</v>
      </c>
      <c r="L897" s="109"/>
      <c r="M897" s="109"/>
      <c r="N897" s="13">
        <v>1</v>
      </c>
      <c r="O897" s="24">
        <v>42156</v>
      </c>
      <c r="P897" s="13" t="s">
        <v>1045</v>
      </c>
      <c r="Q897" s="13" t="s">
        <v>6892</v>
      </c>
      <c r="R897" s="13" t="s">
        <v>586</v>
      </c>
      <c r="S897" s="109"/>
      <c r="T897" s="109"/>
      <c r="U897" s="112"/>
      <c r="V897" s="109"/>
      <c r="W897" s="109"/>
      <c r="X897" s="109"/>
    </row>
    <row r="898" spans="2:24">
      <c r="B898" s="109"/>
      <c r="C898" s="109"/>
      <c r="D898" s="20" t="str">
        <f>D897</f>
        <v>口碑</v>
      </c>
      <c r="E898" s="109"/>
      <c r="F898" s="112"/>
      <c r="G898" s="109"/>
      <c r="H898" s="109"/>
      <c r="I898" s="109"/>
      <c r="J898" s="109"/>
      <c r="K898" s="14" t="str">
        <f t="shared" si="176"/>
        <v>运营中</v>
      </c>
      <c r="L898" s="109"/>
      <c r="M898" s="109"/>
      <c r="N898" s="13">
        <v>1</v>
      </c>
      <c r="O898" s="24">
        <v>39015</v>
      </c>
      <c r="P898" s="13" t="s">
        <v>5709</v>
      </c>
      <c r="Q898" s="13" t="s">
        <v>5705</v>
      </c>
      <c r="R898" s="13" t="s">
        <v>1751</v>
      </c>
      <c r="S898" s="109"/>
      <c r="T898" s="109"/>
      <c r="U898" s="112"/>
      <c r="V898" s="109"/>
      <c r="W898" s="109"/>
      <c r="X898" s="109"/>
    </row>
    <row r="899" spans="2:24">
      <c r="B899" s="109"/>
      <c r="C899" s="109" t="s">
        <v>3069</v>
      </c>
      <c r="D899" s="20" t="s">
        <v>6893</v>
      </c>
      <c r="E899" s="109" t="s">
        <v>6894</v>
      </c>
      <c r="F899" s="112" t="s">
        <v>3071</v>
      </c>
      <c r="G899" s="109" t="s">
        <v>6895</v>
      </c>
      <c r="H899" s="109" t="s">
        <v>3073</v>
      </c>
      <c r="I899" s="109" t="s">
        <v>1422</v>
      </c>
      <c r="J899" s="109" t="s">
        <v>406</v>
      </c>
      <c r="K899" s="14" t="s">
        <v>272</v>
      </c>
      <c r="L899" s="109" t="s">
        <v>3274</v>
      </c>
      <c r="M899" s="109" t="s">
        <v>3275</v>
      </c>
      <c r="N899" s="13">
        <v>1</v>
      </c>
      <c r="O899" s="24">
        <v>44054</v>
      </c>
      <c r="P899" s="13" t="s">
        <v>5709</v>
      </c>
      <c r="Q899" s="13" t="s">
        <v>2030</v>
      </c>
      <c r="R899" s="13" t="s">
        <v>1751</v>
      </c>
      <c r="S899" s="109" t="s">
        <v>6896</v>
      </c>
      <c r="T899" s="109" t="s">
        <v>3664</v>
      </c>
      <c r="U899" s="112" t="s">
        <v>3075</v>
      </c>
      <c r="V899" s="109" t="s">
        <v>3076</v>
      </c>
      <c r="W899" s="109" t="s">
        <v>3077</v>
      </c>
      <c r="X899" s="109"/>
    </row>
    <row r="900" spans="2:24">
      <c r="B900" s="109"/>
      <c r="C900" s="109"/>
      <c r="D900" s="20" t="str">
        <f>D899</f>
        <v>心怡科技</v>
      </c>
      <c r="E900" s="109"/>
      <c r="F900" s="112"/>
      <c r="G900" s="109"/>
      <c r="H900" s="109"/>
      <c r="I900" s="109"/>
      <c r="J900" s="109"/>
      <c r="K900" s="14" t="str">
        <f t="shared" ref="K900:K903" si="177">K899</f>
        <v>运营中</v>
      </c>
      <c r="L900" s="109"/>
      <c r="M900" s="109"/>
      <c r="N900" s="13">
        <v>1</v>
      </c>
      <c r="O900" s="24">
        <v>42852</v>
      </c>
      <c r="P900" s="13" t="s">
        <v>5613</v>
      </c>
      <c r="Q900" s="13" t="s">
        <v>1750</v>
      </c>
      <c r="R900" s="13" t="s">
        <v>3078</v>
      </c>
      <c r="S900" s="109"/>
      <c r="T900" s="109"/>
      <c r="U900" s="112"/>
      <c r="V900" s="109"/>
      <c r="W900" s="109"/>
      <c r="X900" s="109"/>
    </row>
    <row r="901" spans="2:24">
      <c r="B901" s="109"/>
      <c r="C901" s="109"/>
      <c r="D901" s="20" t="str">
        <f>D900</f>
        <v>心怡科技</v>
      </c>
      <c r="E901" s="109"/>
      <c r="F901" s="112"/>
      <c r="G901" s="109"/>
      <c r="H901" s="109"/>
      <c r="I901" s="109"/>
      <c r="J901" s="109"/>
      <c r="K901" s="14" t="str">
        <f t="shared" si="177"/>
        <v>运营中</v>
      </c>
      <c r="L901" s="109"/>
      <c r="M901" s="109"/>
      <c r="N901" s="13">
        <v>1</v>
      </c>
      <c r="O901" s="24">
        <v>42361</v>
      </c>
      <c r="P901" s="13" t="s">
        <v>3648</v>
      </c>
      <c r="Q901" s="13" t="s">
        <v>3514</v>
      </c>
      <c r="R901" s="13" t="s">
        <v>3079</v>
      </c>
      <c r="S901" s="109"/>
      <c r="T901" s="109"/>
      <c r="U901" s="112"/>
      <c r="V901" s="109"/>
      <c r="W901" s="109"/>
      <c r="X901" s="109"/>
    </row>
    <row r="902" spans="2:24">
      <c r="B902" s="109"/>
      <c r="C902" s="109"/>
      <c r="D902" s="20" t="str">
        <f>D901</f>
        <v>心怡科技</v>
      </c>
      <c r="E902" s="109"/>
      <c r="F902" s="112"/>
      <c r="G902" s="109"/>
      <c r="H902" s="109"/>
      <c r="I902" s="109"/>
      <c r="J902" s="109"/>
      <c r="K902" s="14" t="str">
        <f t="shared" si="177"/>
        <v>运营中</v>
      </c>
      <c r="L902" s="109"/>
      <c r="M902" s="109"/>
      <c r="N902" s="13">
        <v>1</v>
      </c>
      <c r="O902" s="24">
        <v>41799</v>
      </c>
      <c r="P902" s="13" t="s">
        <v>3513</v>
      </c>
      <c r="Q902" s="13" t="s">
        <v>3514</v>
      </c>
      <c r="R902" s="13" t="s">
        <v>1751</v>
      </c>
      <c r="S902" s="109"/>
      <c r="T902" s="109"/>
      <c r="U902" s="112"/>
      <c r="V902" s="109"/>
      <c r="W902" s="109"/>
      <c r="X902" s="109"/>
    </row>
    <row r="903" spans="2:24">
      <c r="B903" s="109"/>
      <c r="C903" s="109"/>
      <c r="D903" s="20" t="str">
        <f>D902</f>
        <v>心怡科技</v>
      </c>
      <c r="E903" s="109"/>
      <c r="F903" s="112"/>
      <c r="G903" s="109"/>
      <c r="H903" s="109"/>
      <c r="I903" s="109"/>
      <c r="J903" s="109"/>
      <c r="K903" s="14" t="str">
        <f t="shared" si="177"/>
        <v>运营中</v>
      </c>
      <c r="L903" s="109"/>
      <c r="M903" s="109"/>
      <c r="N903" s="13">
        <v>1</v>
      </c>
      <c r="O903" s="24">
        <v>40247</v>
      </c>
      <c r="P903" s="13" t="s">
        <v>5474</v>
      </c>
      <c r="Q903" s="13" t="s">
        <v>3514</v>
      </c>
      <c r="R903" s="13" t="s">
        <v>6496</v>
      </c>
      <c r="S903" s="109"/>
      <c r="T903" s="109"/>
      <c r="U903" s="112"/>
      <c r="V903" s="109"/>
      <c r="W903" s="109"/>
      <c r="X903" s="109"/>
    </row>
    <row r="904" spans="2:24" ht="48">
      <c r="B904" s="109"/>
      <c r="C904" s="13" t="s">
        <v>3080</v>
      </c>
      <c r="D904" s="25" t="s">
        <v>6897</v>
      </c>
      <c r="E904" s="13" t="s">
        <v>6898</v>
      </c>
      <c r="F904" s="18" t="s">
        <v>3082</v>
      </c>
      <c r="G904" s="13" t="s">
        <v>6899</v>
      </c>
      <c r="H904" s="13" t="s">
        <v>3084</v>
      </c>
      <c r="I904" s="13" t="s">
        <v>533</v>
      </c>
      <c r="J904" s="13" t="s">
        <v>1858</v>
      </c>
      <c r="K904" s="19" t="s">
        <v>272</v>
      </c>
      <c r="L904" s="13" t="s">
        <v>4472</v>
      </c>
      <c r="M904" s="13" t="s">
        <v>6278</v>
      </c>
      <c r="N904" s="13"/>
      <c r="O904" s="24">
        <v>42336</v>
      </c>
      <c r="P904" s="13" t="s">
        <v>3513</v>
      </c>
      <c r="Q904" s="13" t="s">
        <v>6900</v>
      </c>
      <c r="R904" s="13" t="s">
        <v>1751</v>
      </c>
      <c r="S904" s="13" t="s">
        <v>6901</v>
      </c>
      <c r="T904" s="13" t="s">
        <v>6902</v>
      </c>
      <c r="U904" s="18"/>
      <c r="V904" s="13"/>
      <c r="W904" s="13"/>
      <c r="X904" s="13"/>
    </row>
    <row r="905" spans="2:24">
      <c r="B905" s="109"/>
      <c r="C905" s="109" t="s">
        <v>3088</v>
      </c>
      <c r="D905" s="20" t="s">
        <v>6903</v>
      </c>
      <c r="E905" s="109" t="s">
        <v>6904</v>
      </c>
      <c r="F905" s="112" t="s">
        <v>6905</v>
      </c>
      <c r="G905" s="109" t="s">
        <v>6906</v>
      </c>
      <c r="H905" s="109" t="s">
        <v>3092</v>
      </c>
      <c r="I905" s="109" t="s">
        <v>1632</v>
      </c>
      <c r="J905" s="109" t="s">
        <v>385</v>
      </c>
      <c r="K905" s="14" t="s">
        <v>272</v>
      </c>
      <c r="L905" s="109" t="s">
        <v>4162</v>
      </c>
      <c r="M905" s="109" t="s">
        <v>6200</v>
      </c>
      <c r="N905" s="13"/>
      <c r="O905" s="24">
        <v>42160</v>
      </c>
      <c r="P905" s="13" t="s">
        <v>3648</v>
      </c>
      <c r="Q905" s="13" t="s">
        <v>3514</v>
      </c>
      <c r="R905" s="13" t="s">
        <v>1751</v>
      </c>
      <c r="S905" s="109" t="s">
        <v>4905</v>
      </c>
      <c r="T905" s="109" t="s">
        <v>3517</v>
      </c>
      <c r="U905" s="112" t="s">
        <v>3094</v>
      </c>
      <c r="V905" s="109" t="s">
        <v>3095</v>
      </c>
      <c r="W905" s="109" t="s">
        <v>3096</v>
      </c>
      <c r="X905" s="109" t="s">
        <v>3097</v>
      </c>
    </row>
    <row r="906" spans="2:24">
      <c r="B906" s="109"/>
      <c r="C906" s="109"/>
      <c r="D906" s="20" t="str">
        <f>D905</f>
        <v>柚子</v>
      </c>
      <c r="E906" s="109"/>
      <c r="F906" s="112"/>
      <c r="G906" s="109"/>
      <c r="H906" s="109"/>
      <c r="I906" s="109"/>
      <c r="J906" s="109"/>
      <c r="K906" s="14" t="str">
        <f>K905</f>
        <v>运营中</v>
      </c>
      <c r="L906" s="109"/>
      <c r="M906" s="109"/>
      <c r="N906" s="13"/>
      <c r="O906" s="24">
        <v>41752</v>
      </c>
      <c r="P906" s="13" t="s">
        <v>3513</v>
      </c>
      <c r="Q906" s="13" t="s">
        <v>5662</v>
      </c>
      <c r="R906" s="13" t="s">
        <v>6907</v>
      </c>
      <c r="S906" s="109"/>
      <c r="T906" s="109"/>
      <c r="U906" s="112"/>
      <c r="V906" s="109"/>
      <c r="W906" s="109"/>
      <c r="X906" s="109"/>
    </row>
    <row r="907" spans="2:24">
      <c r="B907" s="109"/>
      <c r="C907" s="109" t="s">
        <v>3099</v>
      </c>
      <c r="D907" s="20" t="s">
        <v>6908</v>
      </c>
      <c r="E907" s="109" t="s">
        <v>6909</v>
      </c>
      <c r="F907" s="112" t="s">
        <v>3101</v>
      </c>
      <c r="G907" s="109" t="s">
        <v>6910</v>
      </c>
      <c r="H907" s="109" t="s">
        <v>3103</v>
      </c>
      <c r="I907" s="109" t="s">
        <v>3104</v>
      </c>
      <c r="J907" s="109" t="s">
        <v>2431</v>
      </c>
      <c r="K907" s="14" t="s">
        <v>272</v>
      </c>
      <c r="L907" s="109" t="s">
        <v>3274</v>
      </c>
      <c r="M907" s="109" t="s">
        <v>6178</v>
      </c>
      <c r="N907" s="13">
        <v>1</v>
      </c>
      <c r="O907" s="24">
        <v>45084</v>
      </c>
      <c r="P907" s="13" t="s">
        <v>5810</v>
      </c>
      <c r="Q907" s="13" t="s">
        <v>6911</v>
      </c>
      <c r="R907" s="13" t="s">
        <v>514</v>
      </c>
      <c r="S907" s="109" t="s">
        <v>6912</v>
      </c>
      <c r="T907" s="109" t="s">
        <v>6913</v>
      </c>
      <c r="U907" s="112" t="s">
        <v>3108</v>
      </c>
      <c r="V907" s="109" t="s">
        <v>3109</v>
      </c>
      <c r="W907" s="109">
        <v>95543</v>
      </c>
      <c r="X907" s="109"/>
    </row>
    <row r="908" spans="2:24">
      <c r="B908" s="109"/>
      <c r="C908" s="109"/>
      <c r="D908" s="20" t="str">
        <f>D907</f>
        <v>申通快递</v>
      </c>
      <c r="E908" s="109"/>
      <c r="F908" s="112"/>
      <c r="G908" s="109"/>
      <c r="H908" s="109"/>
      <c r="I908" s="109"/>
      <c r="J908" s="109"/>
      <c r="K908" s="14" t="str">
        <f t="shared" ref="K908:K912" si="178">K907</f>
        <v>运营中</v>
      </c>
      <c r="L908" s="109"/>
      <c r="M908" s="109"/>
      <c r="N908" s="13">
        <v>1</v>
      </c>
      <c r="O908" s="24">
        <v>44868</v>
      </c>
      <c r="P908" s="13" t="s">
        <v>5810</v>
      </c>
      <c r="Q908" s="13" t="s">
        <v>5219</v>
      </c>
      <c r="R908" s="13" t="s">
        <v>6914</v>
      </c>
      <c r="S908" s="109"/>
      <c r="T908" s="109"/>
      <c r="U908" s="112"/>
      <c r="V908" s="109"/>
      <c r="W908" s="109"/>
      <c r="X908" s="109"/>
    </row>
    <row r="909" spans="2:24">
      <c r="B909" s="109"/>
      <c r="C909" s="109"/>
      <c r="D909" s="20" t="str">
        <f>D908</f>
        <v>申通快递</v>
      </c>
      <c r="E909" s="109"/>
      <c r="F909" s="112"/>
      <c r="G909" s="109"/>
      <c r="H909" s="109"/>
      <c r="I909" s="109"/>
      <c r="J909" s="109"/>
      <c r="K909" s="14" t="str">
        <f t="shared" si="178"/>
        <v>运营中</v>
      </c>
      <c r="L909" s="109"/>
      <c r="M909" s="109"/>
      <c r="N909" s="13">
        <v>1</v>
      </c>
      <c r="O909" s="24">
        <v>43678</v>
      </c>
      <c r="P909" s="13" t="s">
        <v>5810</v>
      </c>
      <c r="Q909" s="13" t="s">
        <v>6915</v>
      </c>
      <c r="R909" s="13" t="s">
        <v>1751</v>
      </c>
      <c r="S909" s="109"/>
      <c r="T909" s="109"/>
      <c r="U909" s="112"/>
      <c r="V909" s="109"/>
      <c r="W909" s="109"/>
      <c r="X909" s="109"/>
    </row>
    <row r="910" spans="2:24">
      <c r="B910" s="109"/>
      <c r="C910" s="109"/>
      <c r="D910" s="20" t="str">
        <f>D909</f>
        <v>申通快递</v>
      </c>
      <c r="E910" s="109"/>
      <c r="F910" s="112"/>
      <c r="G910" s="109"/>
      <c r="H910" s="109"/>
      <c r="I910" s="109"/>
      <c r="J910" s="109"/>
      <c r="K910" s="14" t="str">
        <f t="shared" si="178"/>
        <v>运营中</v>
      </c>
      <c r="L910" s="109"/>
      <c r="M910" s="109"/>
      <c r="N910" s="13">
        <v>1</v>
      </c>
      <c r="O910" s="24">
        <v>43535</v>
      </c>
      <c r="P910" s="13" t="s">
        <v>5810</v>
      </c>
      <c r="Q910" s="13" t="s">
        <v>6916</v>
      </c>
      <c r="R910" s="13" t="s">
        <v>1751</v>
      </c>
      <c r="S910" s="109"/>
      <c r="T910" s="109"/>
      <c r="U910" s="112"/>
      <c r="V910" s="109"/>
      <c r="W910" s="109"/>
      <c r="X910" s="109"/>
    </row>
    <row r="911" spans="2:24">
      <c r="B911" s="109"/>
      <c r="C911" s="109"/>
      <c r="D911" s="20" t="str">
        <f>D910</f>
        <v>申通快递</v>
      </c>
      <c r="E911" s="109"/>
      <c r="F911" s="112"/>
      <c r="G911" s="109"/>
      <c r="H911" s="109"/>
      <c r="I911" s="109"/>
      <c r="J911" s="109"/>
      <c r="K911" s="14" t="str">
        <f t="shared" si="178"/>
        <v>运营中</v>
      </c>
      <c r="L911" s="109"/>
      <c r="M911" s="109"/>
      <c r="N911" s="13">
        <v>1</v>
      </c>
      <c r="O911" s="24">
        <v>42339</v>
      </c>
      <c r="P911" s="13" t="s">
        <v>5709</v>
      </c>
      <c r="Q911" s="13" t="s">
        <v>6917</v>
      </c>
      <c r="R911" s="13" t="s">
        <v>6918</v>
      </c>
      <c r="S911" s="109"/>
      <c r="T911" s="109"/>
      <c r="U911" s="112"/>
      <c r="V911" s="109"/>
      <c r="W911" s="109"/>
      <c r="X911" s="109"/>
    </row>
    <row r="912" spans="2:24">
      <c r="B912" s="109"/>
      <c r="C912" s="109"/>
      <c r="D912" s="20" t="str">
        <f>D911</f>
        <v>申通快递</v>
      </c>
      <c r="E912" s="109"/>
      <c r="F912" s="112"/>
      <c r="G912" s="109"/>
      <c r="H912" s="109"/>
      <c r="I912" s="109"/>
      <c r="J912" s="109"/>
      <c r="K912" s="14" t="str">
        <f t="shared" si="178"/>
        <v>运营中</v>
      </c>
      <c r="L912" s="109"/>
      <c r="M912" s="109"/>
      <c r="N912" s="13">
        <v>1</v>
      </c>
      <c r="O912" s="24">
        <v>40429</v>
      </c>
      <c r="P912" s="13" t="s">
        <v>5625</v>
      </c>
      <c r="Q912" s="13" t="s">
        <v>5847</v>
      </c>
      <c r="R912" s="13" t="s">
        <v>253</v>
      </c>
      <c r="S912" s="109"/>
      <c r="T912" s="109"/>
      <c r="U912" s="112"/>
      <c r="V912" s="109"/>
      <c r="W912" s="109"/>
      <c r="X912" s="109"/>
    </row>
    <row r="913" spans="2:24">
      <c r="B913" s="109"/>
      <c r="C913" s="109" t="s">
        <v>3116</v>
      </c>
      <c r="D913" s="20" t="s">
        <v>6919</v>
      </c>
      <c r="E913" s="109" t="s">
        <v>6920</v>
      </c>
      <c r="F913" s="112" t="s">
        <v>3118</v>
      </c>
      <c r="G913" s="109" t="s">
        <v>6921</v>
      </c>
      <c r="H913" s="109" t="s">
        <v>3120</v>
      </c>
      <c r="I913" s="109" t="s">
        <v>3121</v>
      </c>
      <c r="J913" s="109" t="s">
        <v>349</v>
      </c>
      <c r="K913" s="14" t="s">
        <v>272</v>
      </c>
      <c r="L913" s="109" t="s">
        <v>2711</v>
      </c>
      <c r="M913" s="109" t="s">
        <v>6655</v>
      </c>
      <c r="N913" s="13"/>
      <c r="O913" s="24">
        <v>45056</v>
      </c>
      <c r="P913" s="13" t="s">
        <v>1045</v>
      </c>
      <c r="Q913" s="13" t="s">
        <v>2030</v>
      </c>
      <c r="R913" s="13" t="s">
        <v>3122</v>
      </c>
      <c r="S913" s="109" t="s">
        <v>6922</v>
      </c>
      <c r="T913" s="109" t="s">
        <v>6923</v>
      </c>
      <c r="U913" s="112" t="s">
        <v>3125</v>
      </c>
      <c r="V913" s="109" t="s">
        <v>3126</v>
      </c>
      <c r="W913" s="109" t="s">
        <v>3127</v>
      </c>
      <c r="X913" s="109" t="s">
        <v>3128</v>
      </c>
    </row>
    <row r="914" spans="2:24">
      <c r="B914" s="109"/>
      <c r="C914" s="109"/>
      <c r="D914" s="20" t="str">
        <f>D913</f>
        <v>斑马智行</v>
      </c>
      <c r="E914" s="109"/>
      <c r="F914" s="112"/>
      <c r="G914" s="109"/>
      <c r="H914" s="109"/>
      <c r="I914" s="109"/>
      <c r="J914" s="109"/>
      <c r="K914" s="14" t="str">
        <f t="shared" ref="K914:K917" si="179">K913</f>
        <v>运营中</v>
      </c>
      <c r="L914" s="109"/>
      <c r="M914" s="109"/>
      <c r="N914" s="13"/>
      <c r="O914" s="24">
        <v>44391</v>
      </c>
      <c r="P914" s="13" t="s">
        <v>1045</v>
      </c>
      <c r="Q914" s="13" t="s">
        <v>3129</v>
      </c>
      <c r="R914" s="13" t="s">
        <v>3130</v>
      </c>
      <c r="S914" s="109"/>
      <c r="T914" s="109"/>
      <c r="U914" s="112"/>
      <c r="V914" s="109"/>
      <c r="W914" s="109"/>
      <c r="X914" s="109"/>
    </row>
    <row r="915" spans="2:24">
      <c r="B915" s="109"/>
      <c r="C915" s="109"/>
      <c r="D915" s="20" t="str">
        <f>D914</f>
        <v>斑马智行</v>
      </c>
      <c r="E915" s="109"/>
      <c r="F915" s="112"/>
      <c r="G915" s="109"/>
      <c r="H915" s="109"/>
      <c r="I915" s="109"/>
      <c r="J915" s="109"/>
      <c r="K915" s="14" t="str">
        <f t="shared" si="179"/>
        <v>运营中</v>
      </c>
      <c r="L915" s="109"/>
      <c r="M915" s="109"/>
      <c r="N915" s="13"/>
      <c r="O915" s="24">
        <v>44159</v>
      </c>
      <c r="P915" s="13" t="s">
        <v>1045</v>
      </c>
      <c r="Q915" s="13" t="s">
        <v>1750</v>
      </c>
      <c r="R915" s="13" t="s">
        <v>1751</v>
      </c>
      <c r="S915" s="109"/>
      <c r="T915" s="109"/>
      <c r="U915" s="112"/>
      <c r="V915" s="109"/>
      <c r="W915" s="109"/>
      <c r="X915" s="109"/>
    </row>
    <row r="916" spans="2:24">
      <c r="B916" s="109"/>
      <c r="C916" s="109"/>
      <c r="D916" s="20" t="str">
        <f>D915</f>
        <v>斑马智行</v>
      </c>
      <c r="E916" s="109"/>
      <c r="F916" s="112"/>
      <c r="G916" s="109"/>
      <c r="H916" s="109"/>
      <c r="I916" s="109"/>
      <c r="J916" s="109"/>
      <c r="K916" s="14" t="str">
        <f t="shared" si="179"/>
        <v>运营中</v>
      </c>
      <c r="L916" s="109"/>
      <c r="M916" s="109"/>
      <c r="N916" s="13"/>
      <c r="O916" s="24">
        <v>43356</v>
      </c>
      <c r="P916" s="13" t="s">
        <v>3513</v>
      </c>
      <c r="Q916" s="13" t="s">
        <v>5082</v>
      </c>
      <c r="R916" s="13" t="s">
        <v>3131</v>
      </c>
      <c r="S916" s="109"/>
      <c r="T916" s="109"/>
      <c r="U916" s="112"/>
      <c r="V916" s="109"/>
      <c r="W916" s="109"/>
      <c r="X916" s="109"/>
    </row>
    <row r="917" spans="2:24">
      <c r="B917" s="109"/>
      <c r="C917" s="109"/>
      <c r="D917" s="20" t="str">
        <f>D916</f>
        <v>斑马智行</v>
      </c>
      <c r="E917" s="109"/>
      <c r="F917" s="112"/>
      <c r="G917" s="109"/>
      <c r="H917" s="109"/>
      <c r="I917" s="109"/>
      <c r="J917" s="109"/>
      <c r="K917" s="14" t="str">
        <f t="shared" si="179"/>
        <v>运营中</v>
      </c>
      <c r="L917" s="109"/>
      <c r="M917" s="109"/>
      <c r="N917" s="13"/>
      <c r="O917" s="24">
        <v>42430</v>
      </c>
      <c r="P917" s="13" t="s">
        <v>1045</v>
      </c>
      <c r="Q917" s="13" t="s">
        <v>1750</v>
      </c>
      <c r="R917" s="13" t="s">
        <v>2520</v>
      </c>
      <c r="S917" s="109"/>
      <c r="T917" s="109"/>
      <c r="U917" s="112"/>
      <c r="V917" s="109"/>
      <c r="W917" s="109"/>
      <c r="X917" s="109"/>
    </row>
    <row r="918" spans="2:24">
      <c r="B918" s="109"/>
      <c r="C918" s="13" t="s">
        <v>3132</v>
      </c>
      <c r="D918" s="25" t="s">
        <v>6924</v>
      </c>
      <c r="E918" s="13" t="s">
        <v>6925</v>
      </c>
      <c r="F918" s="18" t="s">
        <v>3134</v>
      </c>
      <c r="G918" s="13" t="s">
        <v>6926</v>
      </c>
      <c r="H918" s="13"/>
      <c r="I918" s="13" t="s">
        <v>3136</v>
      </c>
      <c r="J918" s="13" t="s">
        <v>1502</v>
      </c>
      <c r="K918" s="19" t="s">
        <v>272</v>
      </c>
      <c r="L918" s="13" t="s">
        <v>4162</v>
      </c>
      <c r="M918" s="13" t="s">
        <v>5167</v>
      </c>
      <c r="N918" s="13">
        <v>1</v>
      </c>
      <c r="O918" s="24">
        <v>42349</v>
      </c>
      <c r="P918" s="13" t="s">
        <v>5709</v>
      </c>
      <c r="Q918" s="13" t="s">
        <v>6927</v>
      </c>
      <c r="R918" s="13" t="s">
        <v>1751</v>
      </c>
      <c r="S918" s="13" t="s">
        <v>6928</v>
      </c>
      <c r="T918" s="13" t="s">
        <v>6929</v>
      </c>
      <c r="U918" s="18"/>
      <c r="V918" s="13"/>
      <c r="W918" s="13"/>
      <c r="X918" s="13"/>
    </row>
    <row r="919" spans="2:24">
      <c r="B919" s="109"/>
      <c r="C919" s="109" t="s">
        <v>3140</v>
      </c>
      <c r="D919" s="20" t="s">
        <v>6930</v>
      </c>
      <c r="E919" s="109" t="s">
        <v>6931</v>
      </c>
      <c r="F919" s="112" t="s">
        <v>3142</v>
      </c>
      <c r="G919" s="109" t="s">
        <v>6932</v>
      </c>
      <c r="H919" s="109" t="s">
        <v>3144</v>
      </c>
      <c r="I919" s="109" t="s">
        <v>3145</v>
      </c>
      <c r="J919" s="109" t="s">
        <v>2627</v>
      </c>
      <c r="K919" s="14" t="s">
        <v>272</v>
      </c>
      <c r="L919" s="109" t="s">
        <v>5651</v>
      </c>
      <c r="M919" s="109" t="s">
        <v>6140</v>
      </c>
      <c r="N919" s="13"/>
      <c r="O919" s="24">
        <v>43756</v>
      </c>
      <c r="P919" s="13" t="s">
        <v>3513</v>
      </c>
      <c r="Q919" s="13" t="s">
        <v>6039</v>
      </c>
      <c r="R919" s="13" t="s">
        <v>3146</v>
      </c>
      <c r="S919" s="109" t="s">
        <v>6933</v>
      </c>
      <c r="T919" s="109" t="s">
        <v>6590</v>
      </c>
      <c r="U919" s="112" t="s">
        <v>3148</v>
      </c>
      <c r="V919" s="109" t="s">
        <v>3149</v>
      </c>
      <c r="W919" s="109" t="s">
        <v>3150</v>
      </c>
      <c r="X919" s="109" t="s">
        <v>3151</v>
      </c>
    </row>
    <row r="920" spans="2:24">
      <c r="B920" s="109"/>
      <c r="C920" s="109"/>
      <c r="D920" s="20" t="str">
        <f>D919</f>
        <v>千寻位置</v>
      </c>
      <c r="E920" s="109"/>
      <c r="F920" s="112"/>
      <c r="G920" s="109"/>
      <c r="H920" s="109"/>
      <c r="I920" s="109"/>
      <c r="J920" s="109"/>
      <c r="K920" s="14" t="str">
        <f>K919</f>
        <v>运营中</v>
      </c>
      <c r="L920" s="109"/>
      <c r="M920" s="109"/>
      <c r="N920" s="13"/>
      <c r="O920" s="24">
        <v>42234</v>
      </c>
      <c r="P920" s="13" t="s">
        <v>5474</v>
      </c>
      <c r="Q920" s="13" t="s">
        <v>3514</v>
      </c>
      <c r="R920" s="13" t="s">
        <v>1751</v>
      </c>
      <c r="S920" s="109"/>
      <c r="T920" s="109"/>
      <c r="U920" s="112"/>
      <c r="V920" s="109"/>
      <c r="W920" s="109"/>
      <c r="X920" s="109"/>
    </row>
    <row r="921" spans="2:24" ht="48">
      <c r="B921" s="109"/>
      <c r="C921" s="13" t="s">
        <v>3152</v>
      </c>
      <c r="D921" s="25" t="s">
        <v>6934</v>
      </c>
      <c r="E921" s="13" t="s">
        <v>6935</v>
      </c>
      <c r="F921" s="18" t="s">
        <v>3154</v>
      </c>
      <c r="G921" s="13" t="s">
        <v>6936</v>
      </c>
      <c r="H921" s="13" t="s">
        <v>3156</v>
      </c>
      <c r="I921" s="13" t="s">
        <v>2070</v>
      </c>
      <c r="J921" s="13" t="s">
        <v>3157</v>
      </c>
      <c r="K921" s="19" t="s">
        <v>248</v>
      </c>
      <c r="L921" s="13" t="s">
        <v>3274</v>
      </c>
      <c r="M921" s="13" t="s">
        <v>4652</v>
      </c>
      <c r="N921" s="13"/>
      <c r="O921" s="24">
        <v>40238</v>
      </c>
      <c r="P921" s="13" t="s">
        <v>3513</v>
      </c>
      <c r="Q921" s="13" t="s">
        <v>5680</v>
      </c>
      <c r="R921" s="13" t="s">
        <v>1751</v>
      </c>
      <c r="S921" s="13" t="s">
        <v>6937</v>
      </c>
      <c r="T921" s="13" t="s">
        <v>6938</v>
      </c>
      <c r="U921" s="18" t="s">
        <v>3160</v>
      </c>
      <c r="V921" s="13" t="s">
        <v>3161</v>
      </c>
      <c r="W921" s="13"/>
      <c r="X921" s="13"/>
    </row>
    <row r="922" spans="2:24">
      <c r="B922" s="109"/>
      <c r="C922" s="109" t="s">
        <v>3162</v>
      </c>
      <c r="D922" s="20" t="s">
        <v>6939</v>
      </c>
      <c r="E922" s="109" t="s">
        <v>6940</v>
      </c>
      <c r="F922" s="112" t="s">
        <v>6941</v>
      </c>
      <c r="G922" s="109" t="s">
        <v>6942</v>
      </c>
      <c r="H922" s="109" t="s">
        <v>3166</v>
      </c>
      <c r="I922" s="109" t="s">
        <v>2762</v>
      </c>
      <c r="J922" s="109" t="s">
        <v>406</v>
      </c>
      <c r="K922" s="14" t="s">
        <v>272</v>
      </c>
      <c r="L922" s="109" t="s">
        <v>3274</v>
      </c>
      <c r="M922" s="109" t="s">
        <v>6178</v>
      </c>
      <c r="N922" s="13">
        <v>1</v>
      </c>
      <c r="O922" s="24">
        <v>44498</v>
      </c>
      <c r="P922" s="13" t="s">
        <v>5709</v>
      </c>
      <c r="Q922" s="13" t="s">
        <v>6943</v>
      </c>
      <c r="R922" s="13" t="s">
        <v>6944</v>
      </c>
      <c r="S922" s="109" t="s">
        <v>6945</v>
      </c>
      <c r="T922" s="109" t="s">
        <v>6946</v>
      </c>
      <c r="U922" s="112" t="s">
        <v>3171</v>
      </c>
      <c r="V922" s="109" t="s">
        <v>3172</v>
      </c>
      <c r="W922" s="109" t="s">
        <v>3173</v>
      </c>
      <c r="X922" s="109" t="s">
        <v>3174</v>
      </c>
    </row>
    <row r="923" spans="2:24">
      <c r="B923" s="109"/>
      <c r="C923" s="109"/>
      <c r="D923" s="20" t="str">
        <f t="shared" ref="D923:D932" si="180">D922</f>
        <v>百世物流</v>
      </c>
      <c r="E923" s="109"/>
      <c r="F923" s="112"/>
      <c r="G923" s="109"/>
      <c r="H923" s="109"/>
      <c r="I923" s="109"/>
      <c r="J923" s="109"/>
      <c r="K923" s="14" t="str">
        <f t="shared" ref="K923:K932" si="181">K922</f>
        <v>运营中</v>
      </c>
      <c r="L923" s="109"/>
      <c r="M923" s="109"/>
      <c r="N923" s="13">
        <v>1</v>
      </c>
      <c r="O923" s="24">
        <v>42998</v>
      </c>
      <c r="P923" s="13" t="s">
        <v>5625</v>
      </c>
      <c r="Q923" s="13" t="s">
        <v>6460</v>
      </c>
      <c r="R923" s="13" t="s">
        <v>253</v>
      </c>
      <c r="S923" s="109"/>
      <c r="T923" s="109"/>
      <c r="U923" s="112"/>
      <c r="V923" s="109"/>
      <c r="W923" s="109"/>
      <c r="X923" s="109"/>
    </row>
    <row r="924" spans="2:24">
      <c r="B924" s="109"/>
      <c r="C924" s="109"/>
      <c r="D924" s="20" t="str">
        <f t="shared" si="180"/>
        <v>百世物流</v>
      </c>
      <c r="E924" s="109"/>
      <c r="F924" s="112"/>
      <c r="G924" s="109"/>
      <c r="H924" s="109"/>
      <c r="I924" s="109"/>
      <c r="J924" s="109"/>
      <c r="K924" s="14" t="str">
        <f t="shared" si="181"/>
        <v>运营中</v>
      </c>
      <c r="L924" s="109"/>
      <c r="M924" s="109"/>
      <c r="N924" s="13">
        <v>1</v>
      </c>
      <c r="O924" s="24">
        <v>42621</v>
      </c>
      <c r="P924" s="13" t="s">
        <v>1045</v>
      </c>
      <c r="Q924" s="13" t="s">
        <v>6947</v>
      </c>
      <c r="R924" s="13" t="s">
        <v>3176</v>
      </c>
      <c r="S924" s="109"/>
      <c r="T924" s="109"/>
      <c r="U924" s="112"/>
      <c r="V924" s="109"/>
      <c r="W924" s="109"/>
      <c r="X924" s="109"/>
    </row>
    <row r="925" spans="2:24">
      <c r="B925" s="109"/>
      <c r="C925" s="109"/>
      <c r="D925" s="20" t="str">
        <f t="shared" si="180"/>
        <v>百世物流</v>
      </c>
      <c r="E925" s="109"/>
      <c r="F925" s="112"/>
      <c r="G925" s="109"/>
      <c r="H925" s="109"/>
      <c r="I925" s="109"/>
      <c r="J925" s="109"/>
      <c r="K925" s="14" t="str">
        <f t="shared" si="181"/>
        <v>运营中</v>
      </c>
      <c r="L925" s="109"/>
      <c r="M925" s="109"/>
      <c r="N925" s="13">
        <v>1</v>
      </c>
      <c r="O925" s="24">
        <v>42402</v>
      </c>
      <c r="P925" s="13" t="s">
        <v>1045</v>
      </c>
      <c r="Q925" s="13" t="s">
        <v>5862</v>
      </c>
      <c r="R925" s="13" t="s">
        <v>6948</v>
      </c>
      <c r="S925" s="109"/>
      <c r="T925" s="109"/>
      <c r="U925" s="112"/>
      <c r="V925" s="109"/>
      <c r="W925" s="109"/>
      <c r="X925" s="109"/>
    </row>
    <row r="926" spans="2:24">
      <c r="B926" s="109"/>
      <c r="C926" s="109"/>
      <c r="D926" s="20" t="str">
        <f t="shared" si="180"/>
        <v>百世物流</v>
      </c>
      <c r="E926" s="109"/>
      <c r="F926" s="112"/>
      <c r="G926" s="109"/>
      <c r="H926" s="109"/>
      <c r="I926" s="109"/>
      <c r="J926" s="109"/>
      <c r="K926" s="14" t="str">
        <f t="shared" si="181"/>
        <v>运营中</v>
      </c>
      <c r="L926" s="109"/>
      <c r="M926" s="109"/>
      <c r="N926" s="13">
        <v>1</v>
      </c>
      <c r="O926" s="24">
        <v>42019</v>
      </c>
      <c r="P926" s="13" t="s">
        <v>5635</v>
      </c>
      <c r="Q926" s="13" t="s">
        <v>6949</v>
      </c>
      <c r="R926" s="13" t="s">
        <v>1751</v>
      </c>
      <c r="S926" s="109"/>
      <c r="T926" s="109"/>
      <c r="U926" s="112"/>
      <c r="V926" s="109"/>
      <c r="W926" s="109"/>
      <c r="X926" s="109"/>
    </row>
    <row r="927" spans="2:24">
      <c r="B927" s="109"/>
      <c r="C927" s="109"/>
      <c r="D927" s="20" t="str">
        <f t="shared" si="180"/>
        <v>百世物流</v>
      </c>
      <c r="E927" s="109"/>
      <c r="F927" s="112"/>
      <c r="G927" s="109"/>
      <c r="H927" s="109"/>
      <c r="I927" s="109"/>
      <c r="J927" s="109"/>
      <c r="K927" s="14" t="str">
        <f t="shared" si="181"/>
        <v>运营中</v>
      </c>
      <c r="L927" s="109"/>
      <c r="M927" s="109"/>
      <c r="N927" s="13">
        <v>1</v>
      </c>
      <c r="O927" s="24">
        <v>41664</v>
      </c>
      <c r="P927" s="13" t="s">
        <v>3276</v>
      </c>
      <c r="Q927" s="13" t="s">
        <v>5529</v>
      </c>
      <c r="R927" s="13" t="s">
        <v>873</v>
      </c>
      <c r="S927" s="109"/>
      <c r="T927" s="109"/>
      <c r="U927" s="112"/>
      <c r="V927" s="109"/>
      <c r="W927" s="109"/>
      <c r="X927" s="109"/>
    </row>
    <row r="928" spans="2:24">
      <c r="B928" s="109"/>
      <c r="C928" s="109"/>
      <c r="D928" s="20" t="str">
        <f t="shared" si="180"/>
        <v>百世物流</v>
      </c>
      <c r="E928" s="109"/>
      <c r="F928" s="112"/>
      <c r="G928" s="109"/>
      <c r="H928" s="109"/>
      <c r="I928" s="109"/>
      <c r="J928" s="109"/>
      <c r="K928" s="14" t="str">
        <f t="shared" si="181"/>
        <v>运营中</v>
      </c>
      <c r="L928" s="109"/>
      <c r="M928" s="109"/>
      <c r="N928" s="13">
        <v>1</v>
      </c>
      <c r="O928" s="24">
        <v>41274</v>
      </c>
      <c r="P928" s="13" t="s">
        <v>1827</v>
      </c>
      <c r="Q928" s="13" t="s">
        <v>5129</v>
      </c>
      <c r="R928" s="13" t="s">
        <v>3179</v>
      </c>
      <c r="S928" s="109"/>
      <c r="T928" s="109"/>
      <c r="U928" s="112"/>
      <c r="V928" s="109"/>
      <c r="W928" s="109"/>
      <c r="X928" s="109"/>
    </row>
    <row r="929" spans="2:24">
      <c r="B929" s="109"/>
      <c r="C929" s="109"/>
      <c r="D929" s="20" t="str">
        <f t="shared" si="180"/>
        <v>百世物流</v>
      </c>
      <c r="E929" s="109"/>
      <c r="F929" s="112"/>
      <c r="G929" s="109"/>
      <c r="H929" s="109"/>
      <c r="I929" s="109"/>
      <c r="J929" s="109"/>
      <c r="K929" s="14" t="str">
        <f t="shared" si="181"/>
        <v>运营中</v>
      </c>
      <c r="L929" s="109"/>
      <c r="M929" s="109"/>
      <c r="N929" s="13">
        <v>1</v>
      </c>
      <c r="O929" s="24">
        <v>40507</v>
      </c>
      <c r="P929" s="13" t="s">
        <v>5613</v>
      </c>
      <c r="Q929" s="13" t="s">
        <v>5129</v>
      </c>
      <c r="R929" s="13" t="s">
        <v>3180</v>
      </c>
      <c r="S929" s="109"/>
      <c r="T929" s="109"/>
      <c r="U929" s="112"/>
      <c r="V929" s="109"/>
      <c r="W929" s="109"/>
      <c r="X929" s="109"/>
    </row>
    <row r="930" spans="2:24">
      <c r="B930" s="109"/>
      <c r="C930" s="109"/>
      <c r="D930" s="20" t="str">
        <f t="shared" si="180"/>
        <v>百世物流</v>
      </c>
      <c r="E930" s="109"/>
      <c r="F930" s="112"/>
      <c r="G930" s="109"/>
      <c r="H930" s="109"/>
      <c r="I930" s="109"/>
      <c r="J930" s="109"/>
      <c r="K930" s="14" t="str">
        <f t="shared" si="181"/>
        <v>运营中</v>
      </c>
      <c r="L930" s="109"/>
      <c r="M930" s="109"/>
      <c r="N930" s="13">
        <v>1</v>
      </c>
      <c r="O930" s="24">
        <v>40019</v>
      </c>
      <c r="P930" s="13" t="s">
        <v>3648</v>
      </c>
      <c r="Q930" s="13" t="s">
        <v>5129</v>
      </c>
      <c r="R930" s="13" t="s">
        <v>5875</v>
      </c>
      <c r="S930" s="109"/>
      <c r="T930" s="109"/>
      <c r="U930" s="112"/>
      <c r="V930" s="109"/>
      <c r="W930" s="109"/>
      <c r="X930" s="109"/>
    </row>
    <row r="931" spans="2:24">
      <c r="B931" s="109"/>
      <c r="C931" s="109"/>
      <c r="D931" s="20" t="str">
        <f t="shared" si="180"/>
        <v>百世物流</v>
      </c>
      <c r="E931" s="109"/>
      <c r="F931" s="112"/>
      <c r="G931" s="109"/>
      <c r="H931" s="109"/>
      <c r="I931" s="109"/>
      <c r="J931" s="109"/>
      <c r="K931" s="14" t="str">
        <f t="shared" si="181"/>
        <v>运营中</v>
      </c>
      <c r="L931" s="109"/>
      <c r="M931" s="109"/>
      <c r="N931" s="13">
        <v>1</v>
      </c>
      <c r="O931" s="24">
        <v>39617</v>
      </c>
      <c r="P931" s="13" t="s">
        <v>3513</v>
      </c>
      <c r="Q931" s="13" t="s">
        <v>5576</v>
      </c>
      <c r="R931" s="13" t="s">
        <v>2700</v>
      </c>
      <c r="S931" s="109"/>
      <c r="T931" s="109"/>
      <c r="U931" s="112"/>
      <c r="V931" s="109"/>
      <c r="W931" s="109"/>
      <c r="X931" s="109"/>
    </row>
    <row r="932" spans="2:24">
      <c r="B932" s="109"/>
      <c r="C932" s="109"/>
      <c r="D932" s="20" t="str">
        <f t="shared" si="180"/>
        <v>百世物流</v>
      </c>
      <c r="E932" s="109"/>
      <c r="F932" s="112"/>
      <c r="G932" s="109"/>
      <c r="H932" s="109"/>
      <c r="I932" s="109"/>
      <c r="J932" s="109"/>
      <c r="K932" s="14" t="str">
        <f t="shared" si="181"/>
        <v>运营中</v>
      </c>
      <c r="L932" s="109"/>
      <c r="M932" s="109"/>
      <c r="N932" s="13">
        <v>1</v>
      </c>
      <c r="O932" s="24">
        <v>39569</v>
      </c>
      <c r="P932" s="13" t="s">
        <v>5474</v>
      </c>
      <c r="Q932" s="13" t="s">
        <v>6643</v>
      </c>
      <c r="R932" s="13" t="s">
        <v>3181</v>
      </c>
      <c r="S932" s="109"/>
      <c r="T932" s="109"/>
      <c r="U932" s="112"/>
      <c r="V932" s="109"/>
      <c r="W932" s="109"/>
      <c r="X932" s="109"/>
    </row>
    <row r="933" spans="2:24">
      <c r="B933" s="109"/>
      <c r="C933" s="109" t="s">
        <v>3182</v>
      </c>
      <c r="D933" s="20" t="s">
        <v>6950</v>
      </c>
      <c r="E933" s="109" t="s">
        <v>6951</v>
      </c>
      <c r="F933" s="112" t="s">
        <v>3184</v>
      </c>
      <c r="G933" s="109" t="s">
        <v>6952</v>
      </c>
      <c r="H933" s="109" t="s">
        <v>3186</v>
      </c>
      <c r="I933" s="109" t="s">
        <v>2773</v>
      </c>
      <c r="J933" s="109" t="s">
        <v>1192</v>
      </c>
      <c r="K933" s="14" t="s">
        <v>272</v>
      </c>
      <c r="L933" s="109" t="s">
        <v>5611</v>
      </c>
      <c r="M933" s="109" t="s">
        <v>6953</v>
      </c>
      <c r="N933" s="13"/>
      <c r="O933" s="24">
        <v>42186</v>
      </c>
      <c r="P933" s="13" t="s">
        <v>5474</v>
      </c>
      <c r="Q933" s="13" t="s">
        <v>5646</v>
      </c>
      <c r="R933" s="13" t="s">
        <v>2520</v>
      </c>
      <c r="S933" s="109" t="s">
        <v>6954</v>
      </c>
      <c r="T933" s="109" t="s">
        <v>6233</v>
      </c>
      <c r="U933" s="112" t="s">
        <v>3189</v>
      </c>
      <c r="V933" s="109" t="s">
        <v>6955</v>
      </c>
      <c r="W933" s="109">
        <v>17722690399</v>
      </c>
      <c r="X933" s="109" t="s">
        <v>3191</v>
      </c>
    </row>
    <row r="934" spans="2:24">
      <c r="B934" s="109"/>
      <c r="C934" s="109"/>
      <c r="D934" s="20" t="str">
        <f>D933</f>
        <v>西行客旅行</v>
      </c>
      <c r="E934" s="109"/>
      <c r="F934" s="112"/>
      <c r="G934" s="109"/>
      <c r="H934" s="109"/>
      <c r="I934" s="109"/>
      <c r="J934" s="109"/>
      <c r="K934" s="14" t="str">
        <f>K933</f>
        <v>运营中</v>
      </c>
      <c r="L934" s="109"/>
      <c r="M934" s="109"/>
      <c r="N934" s="13"/>
      <c r="O934" s="24">
        <v>42155</v>
      </c>
      <c r="P934" s="13" t="s">
        <v>5697</v>
      </c>
      <c r="Q934" s="13" t="s">
        <v>5646</v>
      </c>
      <c r="R934" s="13" t="s">
        <v>253</v>
      </c>
      <c r="S934" s="109"/>
      <c r="T934" s="109"/>
      <c r="U934" s="112"/>
      <c r="V934" s="109"/>
      <c r="W934" s="109"/>
      <c r="X934" s="109"/>
    </row>
    <row r="935" spans="2:24">
      <c r="B935" s="109"/>
      <c r="C935" s="109" t="s">
        <v>3192</v>
      </c>
      <c r="D935" s="20" t="s">
        <v>6956</v>
      </c>
      <c r="E935" s="109" t="s">
        <v>6957</v>
      </c>
      <c r="F935" s="112" t="s">
        <v>3194</v>
      </c>
      <c r="G935" s="109" t="s">
        <v>6958</v>
      </c>
      <c r="H935" s="109" t="s">
        <v>3196</v>
      </c>
      <c r="I935" s="109" t="s">
        <v>427</v>
      </c>
      <c r="J935" s="109" t="s">
        <v>547</v>
      </c>
      <c r="K935" s="14" t="s">
        <v>272</v>
      </c>
      <c r="L935" s="109" t="s">
        <v>6396</v>
      </c>
      <c r="M935" s="109" t="s">
        <v>6397</v>
      </c>
      <c r="N935" s="13"/>
      <c r="O935" s="24">
        <v>45096</v>
      </c>
      <c r="P935" s="13" t="s">
        <v>1827</v>
      </c>
      <c r="Q935" s="13" t="s">
        <v>1750</v>
      </c>
      <c r="R935" s="13" t="s">
        <v>3197</v>
      </c>
      <c r="S935" s="109" t="s">
        <v>6959</v>
      </c>
      <c r="T935" s="109" t="s">
        <v>5916</v>
      </c>
      <c r="U935" s="112" t="s">
        <v>3199</v>
      </c>
      <c r="V935" s="109" t="s">
        <v>3200</v>
      </c>
      <c r="W935" s="109" t="s">
        <v>3201</v>
      </c>
      <c r="X935" s="109" t="s">
        <v>3202</v>
      </c>
    </row>
    <row r="936" spans="2:24">
      <c r="B936" s="109"/>
      <c r="C936" s="109"/>
      <c r="D936" s="20" t="str">
        <f>D935</f>
        <v>三维家</v>
      </c>
      <c r="E936" s="109"/>
      <c r="F936" s="112"/>
      <c r="G936" s="109"/>
      <c r="H936" s="109"/>
      <c r="I936" s="109"/>
      <c r="J936" s="109"/>
      <c r="K936" s="14" t="str">
        <f t="shared" ref="K936:K939" si="182">K935</f>
        <v>运营中</v>
      </c>
      <c r="L936" s="109"/>
      <c r="M936" s="109"/>
      <c r="N936" s="13"/>
      <c r="O936" s="24">
        <v>43738</v>
      </c>
      <c r="P936" s="13" t="s">
        <v>1045</v>
      </c>
      <c r="Q936" s="13" t="s">
        <v>5847</v>
      </c>
      <c r="R936" s="13" t="s">
        <v>1751</v>
      </c>
      <c r="S936" s="109"/>
      <c r="T936" s="109"/>
      <c r="U936" s="112"/>
      <c r="V936" s="109"/>
      <c r="W936" s="109"/>
      <c r="X936" s="109"/>
    </row>
    <row r="937" spans="2:24">
      <c r="B937" s="109"/>
      <c r="C937" s="109"/>
      <c r="D937" s="20" t="str">
        <f>D936</f>
        <v>三维家</v>
      </c>
      <c r="E937" s="109"/>
      <c r="F937" s="112"/>
      <c r="G937" s="109"/>
      <c r="H937" s="109"/>
      <c r="I937" s="109"/>
      <c r="J937" s="109"/>
      <c r="K937" s="14" t="str">
        <f t="shared" si="182"/>
        <v>运营中</v>
      </c>
      <c r="L937" s="109"/>
      <c r="M937" s="109"/>
      <c r="N937" s="13"/>
      <c r="O937" s="24">
        <v>43186</v>
      </c>
      <c r="P937" s="13" t="s">
        <v>3648</v>
      </c>
      <c r="Q937" s="13" t="s">
        <v>4754</v>
      </c>
      <c r="R937" s="13" t="s">
        <v>6960</v>
      </c>
      <c r="S937" s="109"/>
      <c r="T937" s="109"/>
      <c r="U937" s="112"/>
      <c r="V937" s="109"/>
      <c r="W937" s="109"/>
      <c r="X937" s="109"/>
    </row>
    <row r="938" spans="2:24">
      <c r="B938" s="109"/>
      <c r="C938" s="109"/>
      <c r="D938" s="20" t="str">
        <f>D937</f>
        <v>三维家</v>
      </c>
      <c r="E938" s="109"/>
      <c r="F938" s="112"/>
      <c r="G938" s="109"/>
      <c r="H938" s="109"/>
      <c r="I938" s="109"/>
      <c r="J938" s="109"/>
      <c r="K938" s="14" t="str">
        <f t="shared" si="182"/>
        <v>运营中</v>
      </c>
      <c r="L938" s="109"/>
      <c r="M938" s="109"/>
      <c r="N938" s="13"/>
      <c r="O938" s="24">
        <v>42184</v>
      </c>
      <c r="P938" s="13" t="s">
        <v>3513</v>
      </c>
      <c r="Q938" s="13" t="s">
        <v>3514</v>
      </c>
      <c r="R938" s="13" t="s">
        <v>3204</v>
      </c>
      <c r="S938" s="109"/>
      <c r="T938" s="109"/>
      <c r="U938" s="112"/>
      <c r="V938" s="109"/>
      <c r="W938" s="109"/>
      <c r="X938" s="109"/>
    </row>
    <row r="939" spans="2:24">
      <c r="B939" s="109"/>
      <c r="C939" s="109"/>
      <c r="D939" s="20" t="str">
        <f>D938</f>
        <v>三维家</v>
      </c>
      <c r="E939" s="109"/>
      <c r="F939" s="112"/>
      <c r="G939" s="109"/>
      <c r="H939" s="109"/>
      <c r="I939" s="109"/>
      <c r="J939" s="109"/>
      <c r="K939" s="14" t="str">
        <f t="shared" si="182"/>
        <v>运营中</v>
      </c>
      <c r="L939" s="109"/>
      <c r="M939" s="109"/>
      <c r="N939" s="13"/>
      <c r="O939" s="24">
        <v>41791</v>
      </c>
      <c r="P939" s="13" t="s">
        <v>5474</v>
      </c>
      <c r="Q939" s="13" t="s">
        <v>6274</v>
      </c>
      <c r="R939" s="13" t="s">
        <v>6961</v>
      </c>
      <c r="S939" s="109"/>
      <c r="T939" s="109"/>
      <c r="U939" s="112"/>
      <c r="V939" s="109"/>
      <c r="W939" s="109"/>
      <c r="X939" s="109"/>
    </row>
    <row r="940" spans="2:24">
      <c r="B940" s="109"/>
      <c r="C940" s="109" t="s">
        <v>3206</v>
      </c>
      <c r="D940" s="20" t="s">
        <v>6962</v>
      </c>
      <c r="E940" s="109" t="s">
        <v>6963</v>
      </c>
      <c r="F940" s="112" t="s">
        <v>3208</v>
      </c>
      <c r="G940" s="109" t="s">
        <v>6964</v>
      </c>
      <c r="H940" s="109" t="s">
        <v>3210</v>
      </c>
      <c r="I940" s="109" t="s">
        <v>2887</v>
      </c>
      <c r="J940" s="109" t="s">
        <v>349</v>
      </c>
      <c r="K940" s="14" t="s">
        <v>272</v>
      </c>
      <c r="L940" s="109" t="s">
        <v>4472</v>
      </c>
      <c r="M940" s="109" t="s">
        <v>5575</v>
      </c>
      <c r="N940" s="13"/>
      <c r="O940" s="24">
        <v>44425</v>
      </c>
      <c r="P940" s="13" t="s">
        <v>2029</v>
      </c>
      <c r="Q940" s="13" t="s">
        <v>5000</v>
      </c>
      <c r="R940" s="13" t="s">
        <v>3211</v>
      </c>
      <c r="S940" s="109" t="s">
        <v>6965</v>
      </c>
      <c r="T940" s="109" t="s">
        <v>6360</v>
      </c>
      <c r="U940" s="112" t="s">
        <v>3213</v>
      </c>
      <c r="V940" s="109" t="s">
        <v>3214</v>
      </c>
      <c r="W940" s="109" t="s">
        <v>3215</v>
      </c>
      <c r="X940" s="109" t="s">
        <v>3216</v>
      </c>
    </row>
    <row r="941" spans="2:24">
      <c r="B941" s="109"/>
      <c r="C941" s="109"/>
      <c r="D941" s="20" t="str">
        <f t="shared" ref="D941:D947" si="183">D940</f>
        <v>日日煮</v>
      </c>
      <c r="E941" s="109"/>
      <c r="F941" s="112"/>
      <c r="G941" s="109"/>
      <c r="H941" s="109"/>
      <c r="I941" s="109"/>
      <c r="J941" s="109"/>
      <c r="K941" s="14" t="str">
        <f t="shared" ref="K941:K947" si="184">K940</f>
        <v>运营中</v>
      </c>
      <c r="L941" s="109"/>
      <c r="M941" s="109"/>
      <c r="N941" s="13"/>
      <c r="O941" s="24">
        <v>44250</v>
      </c>
      <c r="P941" s="13" t="s">
        <v>5613</v>
      </c>
      <c r="Q941" s="13" t="s">
        <v>5947</v>
      </c>
      <c r="R941" s="13" t="s">
        <v>6966</v>
      </c>
      <c r="S941" s="109"/>
      <c r="T941" s="109"/>
      <c r="U941" s="112"/>
      <c r="V941" s="109"/>
      <c r="W941" s="109"/>
      <c r="X941" s="109"/>
    </row>
    <row r="942" spans="2:24">
      <c r="B942" s="109"/>
      <c r="C942" s="109"/>
      <c r="D942" s="20" t="str">
        <f t="shared" si="183"/>
        <v>日日煮</v>
      </c>
      <c r="E942" s="109"/>
      <c r="F942" s="112"/>
      <c r="G942" s="109"/>
      <c r="H942" s="109"/>
      <c r="I942" s="109"/>
      <c r="J942" s="109"/>
      <c r="K942" s="14" t="str">
        <f t="shared" si="184"/>
        <v>运营中</v>
      </c>
      <c r="L942" s="109"/>
      <c r="M942" s="109"/>
      <c r="N942" s="13"/>
      <c r="O942" s="24">
        <v>44062</v>
      </c>
      <c r="P942" s="13" t="s">
        <v>5754</v>
      </c>
      <c r="Q942" s="13" t="s">
        <v>4307</v>
      </c>
      <c r="R942" s="13" t="s">
        <v>6967</v>
      </c>
      <c r="S942" s="109"/>
      <c r="T942" s="109"/>
      <c r="U942" s="112"/>
      <c r="V942" s="109"/>
      <c r="W942" s="109"/>
      <c r="X942" s="109"/>
    </row>
    <row r="943" spans="2:24">
      <c r="B943" s="109"/>
      <c r="C943" s="109"/>
      <c r="D943" s="20" t="str">
        <f t="shared" si="183"/>
        <v>日日煮</v>
      </c>
      <c r="E943" s="109"/>
      <c r="F943" s="112"/>
      <c r="G943" s="109"/>
      <c r="H943" s="109"/>
      <c r="I943" s="109"/>
      <c r="J943" s="109"/>
      <c r="K943" s="14" t="str">
        <f t="shared" si="184"/>
        <v>运营中</v>
      </c>
      <c r="L943" s="109"/>
      <c r="M943" s="109"/>
      <c r="N943" s="13"/>
      <c r="O943" s="24">
        <v>42929</v>
      </c>
      <c r="P943" s="13" t="s">
        <v>3648</v>
      </c>
      <c r="Q943" s="13" t="s">
        <v>5427</v>
      </c>
      <c r="R943" s="13" t="s">
        <v>3219</v>
      </c>
      <c r="S943" s="109"/>
      <c r="T943" s="109"/>
      <c r="U943" s="112"/>
      <c r="V943" s="109"/>
      <c r="W943" s="109"/>
      <c r="X943" s="109"/>
    </row>
    <row r="944" spans="2:24">
      <c r="B944" s="109"/>
      <c r="C944" s="109"/>
      <c r="D944" s="20" t="str">
        <f t="shared" si="183"/>
        <v>日日煮</v>
      </c>
      <c r="E944" s="109"/>
      <c r="F944" s="112"/>
      <c r="G944" s="109"/>
      <c r="H944" s="109"/>
      <c r="I944" s="109"/>
      <c r="J944" s="109"/>
      <c r="K944" s="14" t="str">
        <f t="shared" si="184"/>
        <v>运营中</v>
      </c>
      <c r="L944" s="109"/>
      <c r="M944" s="109"/>
      <c r="N944" s="13"/>
      <c r="O944" s="24">
        <v>42643</v>
      </c>
      <c r="P944" s="13" t="s">
        <v>4306</v>
      </c>
      <c r="Q944" s="13" t="s">
        <v>6343</v>
      </c>
      <c r="R944" s="13" t="s">
        <v>1751</v>
      </c>
      <c r="S944" s="109"/>
      <c r="T944" s="109"/>
      <c r="U944" s="112"/>
      <c r="V944" s="109"/>
      <c r="W944" s="109"/>
      <c r="X944" s="109"/>
    </row>
    <row r="945" spans="2:24">
      <c r="B945" s="109"/>
      <c r="C945" s="109"/>
      <c r="D945" s="20" t="str">
        <f t="shared" si="183"/>
        <v>日日煮</v>
      </c>
      <c r="E945" s="109"/>
      <c r="F945" s="112"/>
      <c r="G945" s="109"/>
      <c r="H945" s="109"/>
      <c r="I945" s="109"/>
      <c r="J945" s="109"/>
      <c r="K945" s="14" t="str">
        <f t="shared" si="184"/>
        <v>运营中</v>
      </c>
      <c r="L945" s="109"/>
      <c r="M945" s="109"/>
      <c r="N945" s="13"/>
      <c r="O945" s="24">
        <v>42403</v>
      </c>
      <c r="P945" s="13" t="s">
        <v>3513</v>
      </c>
      <c r="Q945" s="13" t="s">
        <v>6343</v>
      </c>
      <c r="R945" s="13" t="s">
        <v>6968</v>
      </c>
      <c r="S945" s="109"/>
      <c r="T945" s="109"/>
      <c r="U945" s="112"/>
      <c r="V945" s="109"/>
      <c r="W945" s="109"/>
      <c r="X945" s="109"/>
    </row>
    <row r="946" spans="2:24">
      <c r="B946" s="109"/>
      <c r="C946" s="109"/>
      <c r="D946" s="20" t="str">
        <f t="shared" si="183"/>
        <v>日日煮</v>
      </c>
      <c r="E946" s="109"/>
      <c r="F946" s="112"/>
      <c r="G946" s="109"/>
      <c r="H946" s="109"/>
      <c r="I946" s="109"/>
      <c r="J946" s="109"/>
      <c r="K946" s="14" t="str">
        <f t="shared" si="184"/>
        <v>运营中</v>
      </c>
      <c r="L946" s="109"/>
      <c r="M946" s="109"/>
      <c r="N946" s="13"/>
      <c r="O946" s="24">
        <v>42161</v>
      </c>
      <c r="P946" s="13" t="s">
        <v>5454</v>
      </c>
      <c r="Q946" s="13" t="s">
        <v>2030</v>
      </c>
      <c r="R946" s="13" t="s">
        <v>5736</v>
      </c>
      <c r="S946" s="109"/>
      <c r="T946" s="109"/>
      <c r="U946" s="112"/>
      <c r="V946" s="109"/>
      <c r="W946" s="109"/>
      <c r="X946" s="109"/>
    </row>
    <row r="947" spans="2:24">
      <c r="B947" s="109"/>
      <c r="C947" s="109"/>
      <c r="D947" s="20" t="str">
        <f t="shared" si="183"/>
        <v>日日煮</v>
      </c>
      <c r="E947" s="109"/>
      <c r="F947" s="112"/>
      <c r="G947" s="109"/>
      <c r="H947" s="109"/>
      <c r="I947" s="109"/>
      <c r="J947" s="109"/>
      <c r="K947" s="14" t="str">
        <f t="shared" si="184"/>
        <v>运营中</v>
      </c>
      <c r="L947" s="109"/>
      <c r="M947" s="109"/>
      <c r="N947" s="13"/>
      <c r="O947" s="24">
        <v>41962</v>
      </c>
      <c r="P947" s="13" t="s">
        <v>5474</v>
      </c>
      <c r="Q947" s="13" t="s">
        <v>2030</v>
      </c>
      <c r="R947" s="13" t="s">
        <v>6969</v>
      </c>
      <c r="S947" s="109"/>
      <c r="T947" s="109"/>
      <c r="U947" s="112"/>
      <c r="V947" s="109"/>
      <c r="W947" s="109"/>
      <c r="X947" s="109"/>
    </row>
    <row r="948" spans="2:24">
      <c r="B948" s="109"/>
      <c r="C948" s="109" t="s">
        <v>3222</v>
      </c>
      <c r="D948" s="20" t="s">
        <v>6970</v>
      </c>
      <c r="E948" s="109" t="s">
        <v>6971</v>
      </c>
      <c r="F948" s="112" t="s">
        <v>6972</v>
      </c>
      <c r="G948" s="109"/>
      <c r="H948" s="109" t="s">
        <v>3226</v>
      </c>
      <c r="I948" s="109" t="s">
        <v>3227</v>
      </c>
      <c r="J948" s="109" t="s">
        <v>3228</v>
      </c>
      <c r="K948" s="14" t="s">
        <v>272</v>
      </c>
      <c r="L948" s="109" t="s">
        <v>4162</v>
      </c>
      <c r="M948" s="109" t="s">
        <v>6308</v>
      </c>
      <c r="N948" s="13"/>
      <c r="O948" s="24">
        <v>44964</v>
      </c>
      <c r="P948" s="13" t="s">
        <v>1045</v>
      </c>
      <c r="Q948" s="13" t="s">
        <v>6973</v>
      </c>
      <c r="R948" s="13" t="s">
        <v>3230</v>
      </c>
      <c r="S948" s="109" t="s">
        <v>6974</v>
      </c>
      <c r="T948" s="109" t="s">
        <v>6975</v>
      </c>
      <c r="U948" s="112" t="s">
        <v>3233</v>
      </c>
      <c r="V948" s="109"/>
      <c r="W948" s="109"/>
      <c r="X948" s="109"/>
    </row>
    <row r="949" spans="2:24">
      <c r="B949" s="109"/>
      <c r="C949" s="109"/>
      <c r="D949" s="20" t="str">
        <f>D948</f>
        <v>SM娱乐</v>
      </c>
      <c r="E949" s="109"/>
      <c r="F949" s="112"/>
      <c r="G949" s="109"/>
      <c r="H949" s="109"/>
      <c r="I949" s="109"/>
      <c r="J949" s="109"/>
      <c r="K949" s="14" t="str">
        <f>K948</f>
        <v>运营中</v>
      </c>
      <c r="L949" s="109"/>
      <c r="M949" s="109"/>
      <c r="N949" s="13"/>
      <c r="O949" s="24">
        <v>42411</v>
      </c>
      <c r="P949" s="13" t="s">
        <v>1045</v>
      </c>
      <c r="Q949" s="13" t="s">
        <v>6976</v>
      </c>
      <c r="R949" s="13" t="s">
        <v>1751</v>
      </c>
      <c r="S949" s="109"/>
      <c r="T949" s="109"/>
      <c r="U949" s="112"/>
      <c r="V949" s="109"/>
      <c r="W949" s="109"/>
      <c r="X949" s="109"/>
    </row>
    <row r="950" spans="2:24" ht="36">
      <c r="B950" s="109"/>
      <c r="C950" s="13" t="s">
        <v>3235</v>
      </c>
      <c r="D950" s="25" t="s">
        <v>6977</v>
      </c>
      <c r="E950" s="13" t="s">
        <v>6978</v>
      </c>
      <c r="F950" s="18" t="s">
        <v>6979</v>
      </c>
      <c r="G950" s="13" t="s">
        <v>6980</v>
      </c>
      <c r="H950" s="13" t="s">
        <v>3239</v>
      </c>
      <c r="I950" s="13" t="s">
        <v>629</v>
      </c>
      <c r="J950" s="13" t="s">
        <v>1809</v>
      </c>
      <c r="K950" s="19" t="s">
        <v>272</v>
      </c>
      <c r="L950" s="13" t="s">
        <v>4162</v>
      </c>
      <c r="M950" s="13" t="s">
        <v>6200</v>
      </c>
      <c r="N950" s="13">
        <v>1</v>
      </c>
      <c r="O950" s="24">
        <v>42436</v>
      </c>
      <c r="P950" s="13" t="s">
        <v>5709</v>
      </c>
      <c r="Q950" s="13" t="s">
        <v>6981</v>
      </c>
      <c r="R950" s="13" t="s">
        <v>1751</v>
      </c>
      <c r="S950" s="13" t="s">
        <v>6982</v>
      </c>
      <c r="T950" s="13" t="s">
        <v>6983</v>
      </c>
      <c r="U950" s="18"/>
      <c r="V950" s="13"/>
      <c r="W950" s="13" t="s">
        <v>3243</v>
      </c>
      <c r="X950" s="13" t="s">
        <v>3244</v>
      </c>
    </row>
    <row r="951" spans="2:24">
      <c r="B951" s="109"/>
      <c r="C951" s="109" t="s">
        <v>3245</v>
      </c>
      <c r="D951" s="20" t="s">
        <v>6984</v>
      </c>
      <c r="E951" s="109" t="s">
        <v>6985</v>
      </c>
      <c r="F951" s="112" t="s">
        <v>3247</v>
      </c>
      <c r="G951" s="109" t="s">
        <v>6986</v>
      </c>
      <c r="H951" s="109" t="s">
        <v>3249</v>
      </c>
      <c r="I951" s="109" t="s">
        <v>3250</v>
      </c>
      <c r="J951" s="109" t="s">
        <v>406</v>
      </c>
      <c r="K951" s="14" t="s">
        <v>272</v>
      </c>
      <c r="L951" s="109" t="s">
        <v>3274</v>
      </c>
      <c r="M951" s="109" t="s">
        <v>3275</v>
      </c>
      <c r="N951" s="13"/>
      <c r="O951" s="24">
        <v>43777</v>
      </c>
      <c r="P951" s="13" t="s">
        <v>1045</v>
      </c>
      <c r="Q951" s="13" t="s">
        <v>6987</v>
      </c>
      <c r="R951" s="13" t="s">
        <v>1751</v>
      </c>
      <c r="S951" s="109" t="s">
        <v>6988</v>
      </c>
      <c r="T951" s="109" t="s">
        <v>6989</v>
      </c>
      <c r="U951" s="112" t="s">
        <v>3254</v>
      </c>
      <c r="V951" s="109" t="s">
        <v>3255</v>
      </c>
      <c r="W951" s="109" t="s">
        <v>3256</v>
      </c>
      <c r="X951" s="109"/>
    </row>
    <row r="952" spans="2:24">
      <c r="B952" s="109"/>
      <c r="C952" s="109"/>
      <c r="D952" s="20" t="str">
        <f>D951</f>
        <v>菜鸟网络</v>
      </c>
      <c r="E952" s="109"/>
      <c r="F952" s="112"/>
      <c r="G952" s="109"/>
      <c r="H952" s="109"/>
      <c r="I952" s="109"/>
      <c r="J952" s="109"/>
      <c r="K952" s="14" t="str">
        <f t="shared" ref="K952:K954" si="185">K951</f>
        <v>运营中</v>
      </c>
      <c r="L952" s="109"/>
      <c r="M952" s="109"/>
      <c r="N952" s="13"/>
      <c r="O952" s="24">
        <v>43004</v>
      </c>
      <c r="P952" s="13" t="s">
        <v>1045</v>
      </c>
      <c r="Q952" s="13" t="s">
        <v>6990</v>
      </c>
      <c r="R952" s="13" t="s">
        <v>1751</v>
      </c>
      <c r="S952" s="109"/>
      <c r="T952" s="109"/>
      <c r="U952" s="112"/>
      <c r="V952" s="109"/>
      <c r="W952" s="109"/>
      <c r="X952" s="109"/>
    </row>
    <row r="953" spans="2:24">
      <c r="B953" s="109"/>
      <c r="C953" s="109"/>
      <c r="D953" s="20" t="str">
        <f>D952</f>
        <v>菜鸟网络</v>
      </c>
      <c r="E953" s="109"/>
      <c r="F953" s="112"/>
      <c r="G953" s="109"/>
      <c r="H953" s="109"/>
      <c r="I953" s="109"/>
      <c r="J953" s="109"/>
      <c r="K953" s="14" t="str">
        <f t="shared" si="185"/>
        <v>运营中</v>
      </c>
      <c r="L953" s="109"/>
      <c r="M953" s="109"/>
      <c r="N953" s="13"/>
      <c r="O953" s="24">
        <v>42443</v>
      </c>
      <c r="P953" s="13" t="s">
        <v>3513</v>
      </c>
      <c r="Q953" s="13" t="s">
        <v>5219</v>
      </c>
      <c r="R953" s="13" t="s">
        <v>3258</v>
      </c>
      <c r="S953" s="109"/>
      <c r="T953" s="109"/>
      <c r="U953" s="112"/>
      <c r="V953" s="109"/>
      <c r="W953" s="109"/>
      <c r="X953" s="109"/>
    </row>
    <row r="954" spans="2:24">
      <c r="B954" s="109"/>
      <c r="C954" s="109"/>
      <c r="D954" s="20" t="str">
        <f>D953</f>
        <v>菜鸟网络</v>
      </c>
      <c r="E954" s="109"/>
      <c r="F954" s="112"/>
      <c r="G954" s="109"/>
      <c r="H954" s="109"/>
      <c r="I954" s="109"/>
      <c r="J954" s="109"/>
      <c r="K954" s="14" t="str">
        <f t="shared" si="185"/>
        <v>运营中</v>
      </c>
      <c r="L954" s="109"/>
      <c r="M954" s="109"/>
      <c r="N954" s="13"/>
      <c r="O954" s="24">
        <v>41487</v>
      </c>
      <c r="P954" s="13" t="s">
        <v>5474</v>
      </c>
      <c r="Q954" s="13" t="s">
        <v>1750</v>
      </c>
      <c r="R954" s="13" t="s">
        <v>6496</v>
      </c>
      <c r="S954" s="109"/>
      <c r="T954" s="109"/>
      <c r="U954" s="112"/>
      <c r="V954" s="109"/>
      <c r="W954" s="109"/>
      <c r="X954" s="109"/>
    </row>
    <row r="955" spans="2:24">
      <c r="B955" s="109"/>
      <c r="C955" s="109" t="s">
        <v>3259</v>
      </c>
      <c r="D955" s="20" t="s">
        <v>6991</v>
      </c>
      <c r="E955" s="109" t="s">
        <v>3261</v>
      </c>
      <c r="F955" s="112" t="s">
        <v>3262</v>
      </c>
      <c r="G955" s="109" t="s">
        <v>6992</v>
      </c>
      <c r="H955" s="109" t="s">
        <v>3264</v>
      </c>
      <c r="I955" s="109" t="s">
        <v>3265</v>
      </c>
      <c r="J955" s="109" t="s">
        <v>2627</v>
      </c>
      <c r="K955" s="14" t="s">
        <v>272</v>
      </c>
      <c r="L955" s="109" t="s">
        <v>6329</v>
      </c>
      <c r="M955" s="109" t="s">
        <v>6330</v>
      </c>
      <c r="N955" s="13"/>
      <c r="O955" s="24">
        <v>43193</v>
      </c>
      <c r="P955" s="13" t="s">
        <v>3513</v>
      </c>
      <c r="Q955" s="13" t="s">
        <v>6290</v>
      </c>
      <c r="R955" s="13" t="s">
        <v>3266</v>
      </c>
      <c r="S955" s="109" t="s">
        <v>6291</v>
      </c>
      <c r="T955" s="109" t="s">
        <v>5845</v>
      </c>
      <c r="U955" s="112" t="s">
        <v>3267</v>
      </c>
      <c r="V955" s="109" t="s">
        <v>3268</v>
      </c>
      <c r="W955" s="109"/>
      <c r="X955" s="109" t="s">
        <v>3269</v>
      </c>
    </row>
    <row r="956" spans="2:24">
      <c r="B956" s="109"/>
      <c r="C956" s="109"/>
      <c r="D956" s="20" t="str">
        <f>D955</f>
        <v>橙狮体育-阿里体育</v>
      </c>
      <c r="E956" s="109"/>
      <c r="F956" s="112"/>
      <c r="G956" s="109"/>
      <c r="H956" s="109"/>
      <c r="I956" s="109"/>
      <c r="J956" s="109"/>
      <c r="K956" s="14" t="str">
        <f>K955</f>
        <v>运营中</v>
      </c>
      <c r="L956" s="109"/>
      <c r="M956" s="109"/>
      <c r="N956" s="13"/>
      <c r="O956" s="24">
        <v>42255</v>
      </c>
      <c r="P956" s="13" t="s">
        <v>5474</v>
      </c>
      <c r="Q956" s="13" t="s">
        <v>1750</v>
      </c>
      <c r="R956" s="13" t="s">
        <v>3270</v>
      </c>
      <c r="S956" s="109"/>
      <c r="T956" s="109"/>
      <c r="U956" s="112"/>
      <c r="V956" s="109"/>
      <c r="W956" s="109"/>
      <c r="X956" s="109"/>
    </row>
    <row r="957" spans="2:24">
      <c r="B957" s="109"/>
      <c r="C957" s="109" t="s">
        <v>3271</v>
      </c>
      <c r="D957" s="20" t="s">
        <v>168</v>
      </c>
      <c r="E957" s="109" t="s">
        <v>168</v>
      </c>
      <c r="F957" s="112" t="s">
        <v>3272</v>
      </c>
      <c r="G957" s="109"/>
      <c r="H957" s="109" t="s">
        <v>3273</v>
      </c>
      <c r="I957" s="109" t="s">
        <v>427</v>
      </c>
      <c r="J957" s="109" t="s">
        <v>1780</v>
      </c>
      <c r="K957" s="14" t="s">
        <v>272</v>
      </c>
      <c r="L957" s="109" t="s">
        <v>3274</v>
      </c>
      <c r="M957" s="109" t="s">
        <v>3275</v>
      </c>
      <c r="N957" s="13"/>
      <c r="O957" s="24">
        <v>44465</v>
      </c>
      <c r="P957" s="13" t="s">
        <v>3276</v>
      </c>
      <c r="Q957" s="13" t="s">
        <v>3277</v>
      </c>
      <c r="R957" s="13" t="s">
        <v>3278</v>
      </c>
      <c r="S957" s="109" t="s">
        <v>3279</v>
      </c>
      <c r="T957" s="109" t="s">
        <v>3280</v>
      </c>
      <c r="U957" s="112" t="s">
        <v>3281</v>
      </c>
      <c r="V957" s="109"/>
      <c r="W957" s="109"/>
      <c r="X957" s="109"/>
    </row>
    <row r="958" spans="2:24">
      <c r="B958" s="109"/>
      <c r="C958" s="109"/>
      <c r="D958" s="20" t="str">
        <f>D957</f>
        <v>Ninja Van</v>
      </c>
      <c r="E958" s="109"/>
      <c r="F958" s="112"/>
      <c r="G958" s="109"/>
      <c r="H958" s="109"/>
      <c r="I958" s="109"/>
      <c r="J958" s="109"/>
      <c r="K958" s="14" t="str">
        <f t="shared" ref="K958:K961" si="186">K957</f>
        <v>运营中</v>
      </c>
      <c r="L958" s="109"/>
      <c r="M958" s="109"/>
      <c r="N958" s="13"/>
      <c r="O958" s="24">
        <v>43957</v>
      </c>
      <c r="P958" s="13" t="s">
        <v>1827</v>
      </c>
      <c r="Q958" s="13" t="s">
        <v>6993</v>
      </c>
      <c r="R958" s="13" t="s">
        <v>3283</v>
      </c>
      <c r="S958" s="109"/>
      <c r="T958" s="109"/>
      <c r="U958" s="112"/>
      <c r="V958" s="109"/>
      <c r="W958" s="109"/>
      <c r="X958" s="109"/>
    </row>
    <row r="959" spans="2:24">
      <c r="B959" s="109"/>
      <c r="C959" s="109"/>
      <c r="D959" s="20" t="str">
        <f>D958</f>
        <v>Ninja Van</v>
      </c>
      <c r="E959" s="109"/>
      <c r="F959" s="112"/>
      <c r="G959" s="109"/>
      <c r="H959" s="109"/>
      <c r="I959" s="109"/>
      <c r="J959" s="109"/>
      <c r="K959" s="14" t="str">
        <f t="shared" si="186"/>
        <v>运营中</v>
      </c>
      <c r="L959" s="109"/>
      <c r="M959" s="109"/>
      <c r="N959" s="13"/>
      <c r="O959" s="24">
        <v>43581</v>
      </c>
      <c r="P959" s="13" t="s">
        <v>1045</v>
      </c>
      <c r="Q959" s="13" t="s">
        <v>6803</v>
      </c>
      <c r="R959" s="13" t="s">
        <v>3284</v>
      </c>
      <c r="S959" s="109"/>
      <c r="T959" s="109"/>
      <c r="U959" s="112"/>
      <c r="V959" s="109"/>
      <c r="W959" s="109"/>
      <c r="X959" s="109"/>
    </row>
    <row r="960" spans="2:24">
      <c r="B960" s="109"/>
      <c r="C960" s="109"/>
      <c r="D960" s="20" t="str">
        <f>D959</f>
        <v>Ninja Van</v>
      </c>
      <c r="E960" s="109"/>
      <c r="F960" s="112"/>
      <c r="G960" s="109"/>
      <c r="H960" s="109"/>
      <c r="I960" s="109"/>
      <c r="J960" s="109"/>
      <c r="K960" s="14" t="str">
        <f t="shared" si="186"/>
        <v>运营中</v>
      </c>
      <c r="L960" s="109"/>
      <c r="M960" s="109"/>
      <c r="N960" s="13"/>
      <c r="O960" s="24">
        <v>42480</v>
      </c>
      <c r="P960" s="13" t="s">
        <v>3648</v>
      </c>
      <c r="Q960" s="13" t="s">
        <v>5862</v>
      </c>
      <c r="R960" s="13" t="s">
        <v>3285</v>
      </c>
      <c r="S960" s="109"/>
      <c r="T960" s="109"/>
      <c r="U960" s="112"/>
      <c r="V960" s="109"/>
      <c r="W960" s="109"/>
      <c r="X960" s="109"/>
    </row>
    <row r="961" spans="2:24">
      <c r="B961" s="109"/>
      <c r="C961" s="109"/>
      <c r="D961" s="20" t="str">
        <f>D960</f>
        <v>Ninja Van</v>
      </c>
      <c r="E961" s="109"/>
      <c r="F961" s="112"/>
      <c r="G961" s="109"/>
      <c r="H961" s="109"/>
      <c r="I961" s="109"/>
      <c r="J961" s="109"/>
      <c r="K961" s="14" t="str">
        <f t="shared" si="186"/>
        <v>运营中</v>
      </c>
      <c r="L961" s="109"/>
      <c r="M961" s="109"/>
      <c r="N961" s="13"/>
      <c r="O961" s="24">
        <v>42005</v>
      </c>
      <c r="P961" s="13" t="s">
        <v>3513</v>
      </c>
      <c r="Q961" s="13" t="s">
        <v>5903</v>
      </c>
      <c r="R961" s="13" t="s">
        <v>253</v>
      </c>
      <c r="S961" s="109"/>
      <c r="T961" s="109"/>
      <c r="U961" s="112"/>
      <c r="V961" s="109"/>
      <c r="W961" s="109"/>
      <c r="X961" s="109"/>
    </row>
    <row r="962" spans="2:24" ht="36">
      <c r="B962" s="109"/>
      <c r="C962" s="13" t="s">
        <v>3286</v>
      </c>
      <c r="D962" s="25" t="s">
        <v>3287</v>
      </c>
      <c r="E962" s="13" t="s">
        <v>3287</v>
      </c>
      <c r="F962" s="18" t="s">
        <v>6994</v>
      </c>
      <c r="G962" s="13" t="s">
        <v>3287</v>
      </c>
      <c r="H962" s="13" t="s">
        <v>3289</v>
      </c>
      <c r="I962" s="13" t="s">
        <v>2887</v>
      </c>
      <c r="J962" s="13" t="s">
        <v>1502</v>
      </c>
      <c r="K962" s="19" t="s">
        <v>272</v>
      </c>
      <c r="L962" s="13" t="s">
        <v>4472</v>
      </c>
      <c r="M962" s="13" t="s">
        <v>5411</v>
      </c>
      <c r="N962" s="13"/>
      <c r="O962" s="24">
        <v>42495</v>
      </c>
      <c r="P962" s="13" t="s">
        <v>5474</v>
      </c>
      <c r="Q962" s="13" t="s">
        <v>5616</v>
      </c>
      <c r="R962" s="13" t="s">
        <v>3290</v>
      </c>
      <c r="S962" s="13" t="s">
        <v>6995</v>
      </c>
      <c r="T962" s="13" t="s">
        <v>6996</v>
      </c>
      <c r="U962" s="18"/>
      <c r="V962" s="13" t="s">
        <v>3293</v>
      </c>
      <c r="W962" s="13" t="s">
        <v>3294</v>
      </c>
      <c r="X962" s="13" t="s">
        <v>3295</v>
      </c>
    </row>
    <row r="963" spans="2:24">
      <c r="B963" s="109"/>
      <c r="C963" s="109" t="s">
        <v>3296</v>
      </c>
      <c r="D963" s="20" t="s">
        <v>3297</v>
      </c>
      <c r="E963" s="109" t="s">
        <v>3297</v>
      </c>
      <c r="F963" s="112" t="s">
        <v>6997</v>
      </c>
      <c r="G963" s="109" t="s">
        <v>3299</v>
      </c>
      <c r="H963" s="109" t="s">
        <v>3300</v>
      </c>
      <c r="I963" s="109" t="s">
        <v>1944</v>
      </c>
      <c r="J963" s="109" t="s">
        <v>1502</v>
      </c>
      <c r="K963" s="14" t="s">
        <v>272</v>
      </c>
      <c r="L963" s="109" t="s">
        <v>4472</v>
      </c>
      <c r="M963" s="109" t="s">
        <v>4473</v>
      </c>
      <c r="N963" s="13"/>
      <c r="O963" s="24">
        <v>44048</v>
      </c>
      <c r="P963" s="13" t="s">
        <v>3513</v>
      </c>
      <c r="Q963" s="13" t="s">
        <v>4307</v>
      </c>
      <c r="R963" s="13" t="s">
        <v>6998</v>
      </c>
      <c r="S963" s="109" t="s">
        <v>5181</v>
      </c>
      <c r="T963" s="109" t="s">
        <v>4309</v>
      </c>
      <c r="U963" s="112" t="s">
        <v>3302</v>
      </c>
      <c r="V963" s="109"/>
      <c r="W963" s="109"/>
      <c r="X963" s="109" t="s">
        <v>3303</v>
      </c>
    </row>
    <row r="964" spans="2:24">
      <c r="B964" s="109"/>
      <c r="C964" s="109"/>
      <c r="D964" s="20" t="str">
        <f>D963</f>
        <v>Shopline</v>
      </c>
      <c r="E964" s="109"/>
      <c r="F964" s="112"/>
      <c r="G964" s="109"/>
      <c r="H964" s="109"/>
      <c r="I964" s="109"/>
      <c r="J964" s="109"/>
      <c r="K964" s="14" t="str">
        <f>K963</f>
        <v>运营中</v>
      </c>
      <c r="L964" s="109"/>
      <c r="M964" s="109"/>
      <c r="N964" s="13"/>
      <c r="O964" s="24">
        <v>42495</v>
      </c>
      <c r="P964" s="13" t="s">
        <v>5474</v>
      </c>
      <c r="Q964" s="13" t="s">
        <v>5616</v>
      </c>
      <c r="R964" s="13" t="s">
        <v>3290</v>
      </c>
      <c r="S964" s="109"/>
      <c r="T964" s="109"/>
      <c r="U964" s="112"/>
      <c r="V964" s="109"/>
      <c r="W964" s="109"/>
      <c r="X964" s="109"/>
    </row>
    <row r="965" spans="2:24">
      <c r="B965" s="109"/>
      <c r="C965" s="109" t="s">
        <v>3304</v>
      </c>
      <c r="D965" s="20" t="s">
        <v>6999</v>
      </c>
      <c r="E965" s="109" t="s">
        <v>7000</v>
      </c>
      <c r="F965" s="112" t="s">
        <v>3306</v>
      </c>
      <c r="G965" s="109" t="s">
        <v>7001</v>
      </c>
      <c r="H965" s="109" t="s">
        <v>3308</v>
      </c>
      <c r="I965" s="109" t="s">
        <v>1944</v>
      </c>
      <c r="J965" s="109" t="s">
        <v>1041</v>
      </c>
      <c r="K965" s="14" t="s">
        <v>248</v>
      </c>
      <c r="L965" s="109" t="s">
        <v>4162</v>
      </c>
      <c r="M965" s="109" t="s">
        <v>6200</v>
      </c>
      <c r="N965" s="13"/>
      <c r="O965" s="24">
        <v>42520</v>
      </c>
      <c r="P965" s="13" t="s">
        <v>3648</v>
      </c>
      <c r="Q965" s="13" t="s">
        <v>2030</v>
      </c>
      <c r="R965" s="13" t="s">
        <v>1751</v>
      </c>
      <c r="S965" s="109" t="s">
        <v>7002</v>
      </c>
      <c r="T965" s="109" t="s">
        <v>3664</v>
      </c>
      <c r="U965" s="112"/>
      <c r="V965" s="109" t="s">
        <v>3310</v>
      </c>
      <c r="W965" s="109" t="s">
        <v>3311</v>
      </c>
      <c r="X965" s="109" t="s">
        <v>3312</v>
      </c>
    </row>
    <row r="966" spans="2:24">
      <c r="B966" s="109"/>
      <c r="C966" s="109"/>
      <c r="D966" s="20" t="str">
        <f>D965</f>
        <v>娱亚互动</v>
      </c>
      <c r="E966" s="109"/>
      <c r="F966" s="112"/>
      <c r="G966" s="109"/>
      <c r="H966" s="109"/>
      <c r="I966" s="109"/>
      <c r="J966" s="109"/>
      <c r="K966" s="14" t="str">
        <f t="shared" ref="K966:K967" si="187">K965</f>
        <v>已关闭</v>
      </c>
      <c r="L966" s="109"/>
      <c r="M966" s="109"/>
      <c r="N966" s="13"/>
      <c r="O966" s="24">
        <v>42370</v>
      </c>
      <c r="P966" s="13" t="s">
        <v>3513</v>
      </c>
      <c r="Q966" s="13" t="s">
        <v>5644</v>
      </c>
      <c r="R966" s="13" t="s">
        <v>3313</v>
      </c>
      <c r="S966" s="109"/>
      <c r="T966" s="109"/>
      <c r="U966" s="112"/>
      <c r="V966" s="109"/>
      <c r="W966" s="109"/>
      <c r="X966" s="109"/>
    </row>
    <row r="967" spans="2:24">
      <c r="B967" s="109"/>
      <c r="C967" s="109"/>
      <c r="D967" s="20" t="str">
        <f>D966</f>
        <v>娱亚互动</v>
      </c>
      <c r="E967" s="109"/>
      <c r="F967" s="112"/>
      <c r="G967" s="109"/>
      <c r="H967" s="109"/>
      <c r="I967" s="109"/>
      <c r="J967" s="109"/>
      <c r="K967" s="14" t="str">
        <f t="shared" si="187"/>
        <v>已关闭</v>
      </c>
      <c r="L967" s="109"/>
      <c r="M967" s="109"/>
      <c r="N967" s="13"/>
      <c r="O967" s="24">
        <v>41852</v>
      </c>
      <c r="P967" s="13" t="s">
        <v>5474</v>
      </c>
      <c r="Q967" s="13" t="s">
        <v>7003</v>
      </c>
      <c r="R967" s="13" t="s">
        <v>3313</v>
      </c>
      <c r="S967" s="109"/>
      <c r="T967" s="109"/>
      <c r="U967" s="112"/>
      <c r="V967" s="109"/>
      <c r="W967" s="109"/>
      <c r="X967" s="109"/>
    </row>
    <row r="968" spans="2:24">
      <c r="B968" s="109"/>
      <c r="C968" s="109" t="s">
        <v>3315</v>
      </c>
      <c r="D968" s="20" t="s">
        <v>3316</v>
      </c>
      <c r="E968" s="109" t="s">
        <v>3316</v>
      </c>
      <c r="F968" s="112" t="s">
        <v>7004</v>
      </c>
      <c r="G968" s="109"/>
      <c r="H968" s="109" t="s">
        <v>3318</v>
      </c>
      <c r="I968" s="109" t="s">
        <v>3250</v>
      </c>
      <c r="J968" s="109" t="s">
        <v>1931</v>
      </c>
      <c r="K968" s="14" t="s">
        <v>272</v>
      </c>
      <c r="L968" s="109" t="s">
        <v>5651</v>
      </c>
      <c r="M968" s="109" t="s">
        <v>6594</v>
      </c>
      <c r="N968" s="13"/>
      <c r="O968" s="24">
        <v>42866</v>
      </c>
      <c r="P968" s="13" t="s">
        <v>3648</v>
      </c>
      <c r="Q968" s="13" t="s">
        <v>5576</v>
      </c>
      <c r="R968" s="13" t="s">
        <v>3319</v>
      </c>
      <c r="S968" s="109" t="s">
        <v>7005</v>
      </c>
      <c r="T968" s="109" t="s">
        <v>5579</v>
      </c>
      <c r="U968" s="112" t="s">
        <v>3321</v>
      </c>
      <c r="V968" s="109" t="s">
        <v>3322</v>
      </c>
      <c r="W968" s="109" t="s">
        <v>3323</v>
      </c>
      <c r="X968" s="109" t="s">
        <v>3324</v>
      </c>
    </row>
    <row r="969" spans="2:24">
      <c r="B969" s="109"/>
      <c r="C969" s="109"/>
      <c r="D969" s="20" t="str">
        <f>D968</f>
        <v>Twiggle</v>
      </c>
      <c r="E969" s="109"/>
      <c r="F969" s="112"/>
      <c r="G969" s="109"/>
      <c r="H969" s="109"/>
      <c r="I969" s="109"/>
      <c r="J969" s="109"/>
      <c r="K969" s="14" t="str">
        <f>K968</f>
        <v>运营中</v>
      </c>
      <c r="L969" s="109"/>
      <c r="M969" s="109"/>
      <c r="N969" s="13"/>
      <c r="O969" s="24">
        <v>42522</v>
      </c>
      <c r="P969" s="13" t="s">
        <v>3513</v>
      </c>
      <c r="Q969" s="13" t="s">
        <v>7006</v>
      </c>
      <c r="R969" s="13" t="s">
        <v>3326</v>
      </c>
      <c r="S969" s="109"/>
      <c r="T969" s="109"/>
      <c r="U969" s="112"/>
      <c r="V969" s="109"/>
      <c r="W969" s="109"/>
      <c r="X969" s="109"/>
    </row>
    <row r="970" spans="2:24" ht="48">
      <c r="B970" s="109"/>
      <c r="C970" s="13" t="s">
        <v>3327</v>
      </c>
      <c r="D970" s="25" t="s">
        <v>7007</v>
      </c>
      <c r="E970" s="13" t="s">
        <v>7008</v>
      </c>
      <c r="F970" s="18" t="s">
        <v>3329</v>
      </c>
      <c r="G970" s="13" t="s">
        <v>7009</v>
      </c>
      <c r="H970" s="13" t="s">
        <v>3331</v>
      </c>
      <c r="I970" s="13" t="s">
        <v>3332</v>
      </c>
      <c r="J970" s="13" t="s">
        <v>406</v>
      </c>
      <c r="K970" s="19" t="s">
        <v>272</v>
      </c>
      <c r="L970" s="13" t="s">
        <v>4472</v>
      </c>
      <c r="M970" s="13" t="s">
        <v>4731</v>
      </c>
      <c r="N970" s="13"/>
      <c r="O970" s="24">
        <v>42435</v>
      </c>
      <c r="P970" s="13" t="s">
        <v>3513</v>
      </c>
      <c r="Q970" s="13" t="s">
        <v>3811</v>
      </c>
      <c r="R970" s="13" t="s">
        <v>1751</v>
      </c>
      <c r="S970" s="13" t="s">
        <v>7010</v>
      </c>
      <c r="T970" s="13" t="s">
        <v>3814</v>
      </c>
      <c r="U970" s="18" t="s">
        <v>3335</v>
      </c>
      <c r="V970" s="13"/>
      <c r="W970" s="13" t="s">
        <v>3336</v>
      </c>
      <c r="X970" s="13" t="s">
        <v>3337</v>
      </c>
    </row>
    <row r="971" spans="2:24">
      <c r="B971" s="109"/>
      <c r="C971" s="109" t="s">
        <v>3338</v>
      </c>
      <c r="D971" s="20" t="s">
        <v>7011</v>
      </c>
      <c r="E971" s="109" t="s">
        <v>7012</v>
      </c>
      <c r="F971" s="112" t="s">
        <v>3340</v>
      </c>
      <c r="G971" s="109" t="s">
        <v>7013</v>
      </c>
      <c r="H971" s="109" t="s">
        <v>3342</v>
      </c>
      <c r="I971" s="109" t="s">
        <v>1808</v>
      </c>
      <c r="J971" s="109" t="s">
        <v>1858</v>
      </c>
      <c r="K971" s="14" t="s">
        <v>272</v>
      </c>
      <c r="L971" s="109" t="s">
        <v>3661</v>
      </c>
      <c r="M971" s="109" t="s">
        <v>6438</v>
      </c>
      <c r="N971" s="13">
        <v>1</v>
      </c>
      <c r="O971" s="24">
        <v>42963</v>
      </c>
      <c r="P971" s="13" t="s">
        <v>5810</v>
      </c>
      <c r="Q971" s="13" t="s">
        <v>7014</v>
      </c>
      <c r="R971" s="13" t="s">
        <v>3344</v>
      </c>
      <c r="S971" s="109" t="s">
        <v>7015</v>
      </c>
      <c r="T971" s="109" t="s">
        <v>7016</v>
      </c>
      <c r="U971" s="112" t="s">
        <v>3347</v>
      </c>
      <c r="V971" s="109" t="s">
        <v>3348</v>
      </c>
      <c r="W971" s="109" t="s">
        <v>3349</v>
      </c>
      <c r="X971" s="109"/>
    </row>
    <row r="972" spans="2:24">
      <c r="B972" s="109"/>
      <c r="C972" s="109"/>
      <c r="D972" s="20" t="str">
        <f>D971</f>
        <v>中国联通</v>
      </c>
      <c r="E972" s="109"/>
      <c r="F972" s="112"/>
      <c r="G972" s="109"/>
      <c r="H972" s="109"/>
      <c r="I972" s="109"/>
      <c r="J972" s="109"/>
      <c r="K972" s="14" t="str">
        <f>K971</f>
        <v>运营中</v>
      </c>
      <c r="L972" s="109"/>
      <c r="M972" s="109"/>
      <c r="N972" s="13">
        <v>1</v>
      </c>
      <c r="O972" s="24">
        <v>37538</v>
      </c>
      <c r="P972" s="13" t="s">
        <v>5625</v>
      </c>
      <c r="Q972" s="13" t="s">
        <v>2030</v>
      </c>
      <c r="R972" s="13" t="s">
        <v>253</v>
      </c>
      <c r="S972" s="109"/>
      <c r="T972" s="109"/>
      <c r="U972" s="112"/>
      <c r="V972" s="109"/>
      <c r="W972" s="109"/>
      <c r="X972" s="109"/>
    </row>
    <row r="973" spans="2:24">
      <c r="B973" s="109"/>
      <c r="C973" s="109" t="s">
        <v>3350</v>
      </c>
      <c r="D973" s="20" t="s">
        <v>7017</v>
      </c>
      <c r="E973" s="109" t="s">
        <v>7018</v>
      </c>
      <c r="F973" s="112" t="s">
        <v>3352</v>
      </c>
      <c r="G973" s="109" t="s">
        <v>7019</v>
      </c>
      <c r="H973" s="109" t="s">
        <v>3354</v>
      </c>
      <c r="I973" s="109" t="s">
        <v>3355</v>
      </c>
      <c r="J973" s="109" t="s">
        <v>428</v>
      </c>
      <c r="K973" s="14" t="s">
        <v>272</v>
      </c>
      <c r="L973" s="109" t="s">
        <v>1825</v>
      </c>
      <c r="M973" s="109" t="s">
        <v>7020</v>
      </c>
      <c r="N973" s="13"/>
      <c r="O973" s="24">
        <v>42887</v>
      </c>
      <c r="P973" s="13" t="s">
        <v>4401</v>
      </c>
      <c r="Q973" s="13" t="s">
        <v>6371</v>
      </c>
      <c r="R973" s="13" t="s">
        <v>1751</v>
      </c>
      <c r="S973" s="109" t="s">
        <v>7021</v>
      </c>
      <c r="T973" s="109" t="s">
        <v>7022</v>
      </c>
      <c r="U973" s="112" t="s">
        <v>3359</v>
      </c>
      <c r="V973" s="109" t="s">
        <v>3360</v>
      </c>
      <c r="W973" s="109" t="s">
        <v>3361</v>
      </c>
      <c r="X973" s="109" t="s">
        <v>3362</v>
      </c>
    </row>
    <row r="974" spans="2:24">
      <c r="B974" s="109"/>
      <c r="C974" s="109"/>
      <c r="D974" s="20" t="str">
        <f>D973</f>
        <v>百胜软件</v>
      </c>
      <c r="E974" s="109"/>
      <c r="F974" s="112"/>
      <c r="G974" s="109"/>
      <c r="H974" s="109"/>
      <c r="I974" s="109"/>
      <c r="J974" s="109"/>
      <c r="K974" s="14" t="str">
        <f t="shared" ref="K974:K977" si="188">K973</f>
        <v>运营中</v>
      </c>
      <c r="L974" s="109"/>
      <c r="M974" s="109"/>
      <c r="N974" s="13"/>
      <c r="O974" s="24">
        <v>42879</v>
      </c>
      <c r="P974" s="13" t="s">
        <v>4401</v>
      </c>
      <c r="Q974" s="13" t="s">
        <v>6209</v>
      </c>
      <c r="R974" s="13" t="s">
        <v>1751</v>
      </c>
      <c r="S974" s="109"/>
      <c r="T974" s="109"/>
      <c r="U974" s="112"/>
      <c r="V974" s="109"/>
      <c r="W974" s="109"/>
      <c r="X974" s="109"/>
    </row>
    <row r="975" spans="2:24">
      <c r="B975" s="109"/>
      <c r="C975" s="109"/>
      <c r="D975" s="20" t="str">
        <f>D974</f>
        <v>百胜软件</v>
      </c>
      <c r="E975" s="109"/>
      <c r="F975" s="112"/>
      <c r="G975" s="109"/>
      <c r="H975" s="109"/>
      <c r="I975" s="109"/>
      <c r="J975" s="109"/>
      <c r="K975" s="14" t="str">
        <f t="shared" si="188"/>
        <v>运营中</v>
      </c>
      <c r="L975" s="109"/>
      <c r="M975" s="109"/>
      <c r="N975" s="13"/>
      <c r="O975" s="24">
        <v>42208</v>
      </c>
      <c r="P975" s="13" t="s">
        <v>5664</v>
      </c>
      <c r="Q975" s="13" t="s">
        <v>2030</v>
      </c>
      <c r="R975" s="13" t="s">
        <v>253</v>
      </c>
      <c r="S975" s="109"/>
      <c r="T975" s="109"/>
      <c r="U975" s="112"/>
      <c r="V975" s="109"/>
      <c r="W975" s="109"/>
      <c r="X975" s="109"/>
    </row>
    <row r="976" spans="2:24">
      <c r="B976" s="109"/>
      <c r="C976" s="109"/>
      <c r="D976" s="20" t="str">
        <f>D975</f>
        <v>百胜软件</v>
      </c>
      <c r="E976" s="109"/>
      <c r="F976" s="112"/>
      <c r="G976" s="109"/>
      <c r="H976" s="109"/>
      <c r="I976" s="109"/>
      <c r="J976" s="109"/>
      <c r="K976" s="14" t="str">
        <f t="shared" si="188"/>
        <v>运营中</v>
      </c>
      <c r="L976" s="109"/>
      <c r="M976" s="109"/>
      <c r="N976" s="13"/>
      <c r="O976" s="24">
        <v>40606</v>
      </c>
      <c r="P976" s="13" t="s">
        <v>3513</v>
      </c>
      <c r="Q976" s="13" t="s">
        <v>6209</v>
      </c>
      <c r="R976" s="13" t="s">
        <v>3363</v>
      </c>
      <c r="S976" s="109"/>
      <c r="T976" s="109"/>
      <c r="U976" s="112"/>
      <c r="V976" s="109"/>
      <c r="W976" s="109"/>
      <c r="X976" s="109"/>
    </row>
    <row r="977" spans="2:24">
      <c r="B977" s="109"/>
      <c r="C977" s="109"/>
      <c r="D977" s="20" t="str">
        <f>D976</f>
        <v>百胜软件</v>
      </c>
      <c r="E977" s="109"/>
      <c r="F977" s="112"/>
      <c r="G977" s="109"/>
      <c r="H977" s="109"/>
      <c r="I977" s="109"/>
      <c r="J977" s="109"/>
      <c r="K977" s="14" t="str">
        <f t="shared" si="188"/>
        <v>运营中</v>
      </c>
      <c r="L977" s="109"/>
      <c r="M977" s="109"/>
      <c r="N977" s="13"/>
      <c r="O977" s="24">
        <v>40486</v>
      </c>
      <c r="P977" s="13" t="s">
        <v>5474</v>
      </c>
      <c r="Q977" s="13" t="s">
        <v>7023</v>
      </c>
      <c r="R977" s="13" t="s">
        <v>7024</v>
      </c>
      <c r="S977" s="109"/>
      <c r="T977" s="109"/>
      <c r="U977" s="112"/>
      <c r="V977" s="109"/>
      <c r="W977" s="109"/>
      <c r="X977" s="109"/>
    </row>
    <row r="978" spans="2:24">
      <c r="B978" s="109"/>
      <c r="C978" s="109" t="s">
        <v>3366</v>
      </c>
      <c r="D978" s="20" t="s">
        <v>3367</v>
      </c>
      <c r="E978" s="109" t="s">
        <v>3367</v>
      </c>
      <c r="F978" s="112" t="s">
        <v>7025</v>
      </c>
      <c r="G978" s="109"/>
      <c r="H978" s="109" t="s">
        <v>3369</v>
      </c>
      <c r="I978" s="109" t="s">
        <v>629</v>
      </c>
      <c r="J978" s="109" t="s">
        <v>1931</v>
      </c>
      <c r="K978" s="14" t="s">
        <v>272</v>
      </c>
      <c r="L978" s="109" t="s">
        <v>3661</v>
      </c>
      <c r="M978" s="109" t="s">
        <v>4305</v>
      </c>
      <c r="N978" s="13"/>
      <c r="O978" s="24">
        <v>42755</v>
      </c>
      <c r="P978" s="13" t="s">
        <v>1827</v>
      </c>
      <c r="Q978" s="13" t="s">
        <v>6218</v>
      </c>
      <c r="R978" s="13" t="s">
        <v>1751</v>
      </c>
      <c r="S978" s="109" t="s">
        <v>7026</v>
      </c>
      <c r="T978" s="109" t="s">
        <v>7027</v>
      </c>
      <c r="U978" s="112" t="s">
        <v>3372</v>
      </c>
      <c r="V978" s="109"/>
      <c r="W978" s="109"/>
      <c r="X978" s="109" t="s">
        <v>3373</v>
      </c>
    </row>
    <row r="979" spans="2:24">
      <c r="B979" s="109"/>
      <c r="C979" s="109"/>
      <c r="D979" s="20" t="str">
        <f>D978</f>
        <v>Lumus</v>
      </c>
      <c r="E979" s="109"/>
      <c r="F979" s="112"/>
      <c r="G979" s="109"/>
      <c r="H979" s="109"/>
      <c r="I979" s="109"/>
      <c r="J979" s="109"/>
      <c r="K979" s="14" t="str">
        <f t="shared" ref="K979:K981" si="189">K978</f>
        <v>运营中</v>
      </c>
      <c r="L979" s="109"/>
      <c r="M979" s="109"/>
      <c r="N979" s="13"/>
      <c r="O979" s="24">
        <v>42724</v>
      </c>
      <c r="P979" s="13" t="s">
        <v>5613</v>
      </c>
      <c r="Q979" s="13" t="s">
        <v>5862</v>
      </c>
      <c r="R979" s="13" t="s">
        <v>3374</v>
      </c>
      <c r="S979" s="109"/>
      <c r="T979" s="109"/>
      <c r="U979" s="112"/>
      <c r="V979" s="109"/>
      <c r="W979" s="109"/>
      <c r="X979" s="109"/>
    </row>
    <row r="980" spans="2:24">
      <c r="B980" s="109"/>
      <c r="C980" s="109"/>
      <c r="D980" s="20" t="str">
        <f>D979</f>
        <v>Lumus</v>
      </c>
      <c r="E980" s="109"/>
      <c r="F980" s="112"/>
      <c r="G980" s="109"/>
      <c r="H980" s="109"/>
      <c r="I980" s="109"/>
      <c r="J980" s="109"/>
      <c r="K980" s="14" t="str">
        <f t="shared" si="189"/>
        <v>运营中</v>
      </c>
      <c r="L980" s="109"/>
      <c r="M980" s="109"/>
      <c r="N980" s="13"/>
      <c r="O980" s="24">
        <v>42536</v>
      </c>
      <c r="P980" s="13" t="s">
        <v>3648</v>
      </c>
      <c r="Q980" s="13" t="s">
        <v>5576</v>
      </c>
      <c r="R980" s="13" t="s">
        <v>3375</v>
      </c>
      <c r="S980" s="109"/>
      <c r="T980" s="109"/>
      <c r="U980" s="112"/>
      <c r="V980" s="109"/>
      <c r="W980" s="109"/>
      <c r="X980" s="109"/>
    </row>
    <row r="981" spans="2:24">
      <c r="B981" s="109"/>
      <c r="C981" s="109"/>
      <c r="D981" s="20" t="str">
        <f>D980</f>
        <v>Lumus</v>
      </c>
      <c r="E981" s="109"/>
      <c r="F981" s="112"/>
      <c r="G981" s="109"/>
      <c r="H981" s="109"/>
      <c r="I981" s="109"/>
      <c r="J981" s="109"/>
      <c r="K981" s="14" t="str">
        <f t="shared" si="189"/>
        <v>运营中</v>
      </c>
      <c r="L981" s="109"/>
      <c r="M981" s="109"/>
      <c r="N981" s="13"/>
      <c r="O981" s="24">
        <v>38376</v>
      </c>
      <c r="P981" s="13" t="s">
        <v>3513</v>
      </c>
      <c r="Q981" s="13" t="s">
        <v>6218</v>
      </c>
      <c r="R981" s="13" t="s">
        <v>3376</v>
      </c>
      <c r="S981" s="109"/>
      <c r="T981" s="109"/>
      <c r="U981" s="112"/>
      <c r="V981" s="109"/>
      <c r="W981" s="109"/>
      <c r="X981" s="109"/>
    </row>
    <row r="982" spans="2:24">
      <c r="B982" s="109"/>
      <c r="C982" s="109" t="s">
        <v>3377</v>
      </c>
      <c r="D982" s="20" t="s">
        <v>7028</v>
      </c>
      <c r="E982" s="109" t="s">
        <v>7029</v>
      </c>
      <c r="F982" s="112" t="s">
        <v>3379</v>
      </c>
      <c r="G982" s="109" t="s">
        <v>7030</v>
      </c>
      <c r="H982" s="109" t="s">
        <v>3381</v>
      </c>
      <c r="I982" s="109" t="s">
        <v>2313</v>
      </c>
      <c r="J982" s="109" t="s">
        <v>3382</v>
      </c>
      <c r="K982" s="14" t="s">
        <v>272</v>
      </c>
      <c r="L982" s="109" t="s">
        <v>4162</v>
      </c>
      <c r="M982" s="109" t="s">
        <v>5464</v>
      </c>
      <c r="N982" s="13"/>
      <c r="O982" s="24">
        <v>43287</v>
      </c>
      <c r="P982" s="13" t="s">
        <v>3513</v>
      </c>
      <c r="Q982" s="13" t="s">
        <v>2030</v>
      </c>
      <c r="R982" s="13" t="s">
        <v>1751</v>
      </c>
      <c r="S982" s="109" t="s">
        <v>7031</v>
      </c>
      <c r="T982" s="109" t="s">
        <v>3664</v>
      </c>
      <c r="U982" s="112" t="s">
        <v>3384</v>
      </c>
      <c r="V982" s="109" t="s">
        <v>3385</v>
      </c>
      <c r="W982" s="109" t="s">
        <v>3386</v>
      </c>
      <c r="X982" s="109" t="s">
        <v>3387</v>
      </c>
    </row>
    <row r="983" spans="2:24">
      <c r="B983" s="109"/>
      <c r="C983" s="109"/>
      <c r="D983" s="20" t="str">
        <f>D982</f>
        <v>神居动漫</v>
      </c>
      <c r="E983" s="109"/>
      <c r="F983" s="112"/>
      <c r="G983" s="109"/>
      <c r="H983" s="109"/>
      <c r="I983" s="109"/>
      <c r="J983" s="109"/>
      <c r="K983" s="14" t="str">
        <f t="shared" ref="K983:K984" si="190">K982</f>
        <v>运营中</v>
      </c>
      <c r="L983" s="109"/>
      <c r="M983" s="109"/>
      <c r="N983" s="13"/>
      <c r="O983" s="24">
        <v>42972</v>
      </c>
      <c r="P983" s="13" t="s">
        <v>5454</v>
      </c>
      <c r="Q983" s="13" t="s">
        <v>2030</v>
      </c>
      <c r="R983" s="13" t="s">
        <v>7032</v>
      </c>
      <c r="S983" s="109"/>
      <c r="T983" s="109"/>
      <c r="U983" s="112"/>
      <c r="V983" s="109"/>
      <c r="W983" s="109"/>
      <c r="X983" s="109"/>
    </row>
    <row r="984" spans="2:24">
      <c r="B984" s="109"/>
      <c r="C984" s="109"/>
      <c r="D984" s="20" t="str">
        <f>D983</f>
        <v>神居动漫</v>
      </c>
      <c r="E984" s="109"/>
      <c r="F984" s="112"/>
      <c r="G984" s="109"/>
      <c r="H984" s="109"/>
      <c r="I984" s="109"/>
      <c r="J984" s="109"/>
      <c r="K984" s="14" t="str">
        <f t="shared" si="190"/>
        <v>运营中</v>
      </c>
      <c r="L984" s="109"/>
      <c r="M984" s="109"/>
      <c r="N984" s="13"/>
      <c r="O984" s="24">
        <v>42576</v>
      </c>
      <c r="P984" s="13" t="s">
        <v>5474</v>
      </c>
      <c r="Q984" s="13" t="s">
        <v>6700</v>
      </c>
      <c r="R984" s="13" t="s">
        <v>3389</v>
      </c>
      <c r="S984" s="109"/>
      <c r="T984" s="109"/>
      <c r="U984" s="112"/>
      <c r="V984" s="109"/>
      <c r="W984" s="109"/>
      <c r="X984" s="109"/>
    </row>
    <row r="985" spans="2:24">
      <c r="B985" s="109"/>
      <c r="C985" s="109" t="s">
        <v>3390</v>
      </c>
      <c r="D985" s="20" t="s">
        <v>7033</v>
      </c>
      <c r="E985" s="109" t="s">
        <v>7034</v>
      </c>
      <c r="F985" s="112" t="s">
        <v>3392</v>
      </c>
      <c r="G985" s="109" t="s">
        <v>7035</v>
      </c>
      <c r="H985" s="109" t="s">
        <v>3394</v>
      </c>
      <c r="I985" s="109" t="s">
        <v>2022</v>
      </c>
      <c r="J985" s="109" t="s">
        <v>3395</v>
      </c>
      <c r="K985" s="14" t="s">
        <v>272</v>
      </c>
      <c r="L985" s="109" t="s">
        <v>3548</v>
      </c>
      <c r="M985" s="109" t="s">
        <v>7036</v>
      </c>
      <c r="N985" s="13"/>
      <c r="O985" s="24">
        <v>45119</v>
      </c>
      <c r="P985" s="13" t="s">
        <v>763</v>
      </c>
      <c r="Q985" s="13" t="s">
        <v>3483</v>
      </c>
      <c r="R985" s="13" t="s">
        <v>3397</v>
      </c>
      <c r="S985" s="109" t="s">
        <v>7037</v>
      </c>
      <c r="T985" s="109" t="s">
        <v>5765</v>
      </c>
      <c r="U985" s="112" t="s">
        <v>3399</v>
      </c>
      <c r="V985" s="109" t="s">
        <v>3400</v>
      </c>
      <c r="W985" s="109" t="s">
        <v>3401</v>
      </c>
      <c r="X985" s="109" t="s">
        <v>3402</v>
      </c>
    </row>
    <row r="986" spans="2:24">
      <c r="B986" s="109"/>
      <c r="C986" s="109"/>
      <c r="D986" s="20" t="str">
        <f t="shared" ref="D986:D991" si="191">D985</f>
        <v>欧谱曼迪</v>
      </c>
      <c r="E986" s="109"/>
      <c r="F986" s="112"/>
      <c r="G986" s="109"/>
      <c r="H986" s="109"/>
      <c r="I986" s="109"/>
      <c r="J986" s="109"/>
      <c r="K986" s="14" t="str">
        <f t="shared" ref="K986:K991" si="192">K985</f>
        <v>运营中</v>
      </c>
      <c r="L986" s="109"/>
      <c r="M986" s="109"/>
      <c r="N986" s="13"/>
      <c r="O986" s="24">
        <v>44827</v>
      </c>
      <c r="P986" s="13" t="s">
        <v>1045</v>
      </c>
      <c r="Q986" s="13" t="s">
        <v>2030</v>
      </c>
      <c r="R986" s="13" t="s">
        <v>1751</v>
      </c>
      <c r="S986" s="109"/>
      <c r="T986" s="109"/>
      <c r="U986" s="112"/>
      <c r="V986" s="109"/>
      <c r="W986" s="109"/>
      <c r="X986" s="109"/>
    </row>
    <row r="987" spans="2:24">
      <c r="B987" s="109"/>
      <c r="C987" s="109"/>
      <c r="D987" s="20" t="str">
        <f t="shared" si="191"/>
        <v>欧谱曼迪</v>
      </c>
      <c r="E987" s="109"/>
      <c r="F987" s="112"/>
      <c r="G987" s="109"/>
      <c r="H987" s="109"/>
      <c r="I987" s="109"/>
      <c r="J987" s="109"/>
      <c r="K987" s="14" t="str">
        <f t="shared" si="192"/>
        <v>运营中</v>
      </c>
      <c r="L987" s="109"/>
      <c r="M987" s="109"/>
      <c r="N987" s="13"/>
      <c r="O987" s="24">
        <v>44392</v>
      </c>
      <c r="P987" s="13" t="s">
        <v>1827</v>
      </c>
      <c r="Q987" s="13" t="s">
        <v>1750</v>
      </c>
      <c r="R987" s="13" t="s">
        <v>3403</v>
      </c>
      <c r="S987" s="109"/>
      <c r="T987" s="109"/>
      <c r="U987" s="112"/>
      <c r="V987" s="109"/>
      <c r="W987" s="109"/>
      <c r="X987" s="109"/>
    </row>
    <row r="988" spans="2:24">
      <c r="B988" s="109"/>
      <c r="C988" s="109"/>
      <c r="D988" s="20" t="str">
        <f t="shared" si="191"/>
        <v>欧谱曼迪</v>
      </c>
      <c r="E988" s="109"/>
      <c r="F988" s="112"/>
      <c r="G988" s="109"/>
      <c r="H988" s="109"/>
      <c r="I988" s="109"/>
      <c r="J988" s="109"/>
      <c r="K988" s="14" t="str">
        <f t="shared" si="192"/>
        <v>运营中</v>
      </c>
      <c r="L988" s="109"/>
      <c r="M988" s="109"/>
      <c r="N988" s="13"/>
      <c r="O988" s="24">
        <v>43930</v>
      </c>
      <c r="P988" s="13" t="s">
        <v>5613</v>
      </c>
      <c r="Q988" s="13" t="s">
        <v>2030</v>
      </c>
      <c r="R988" s="13" t="s">
        <v>3404</v>
      </c>
      <c r="S988" s="109"/>
      <c r="T988" s="109"/>
      <c r="U988" s="112"/>
      <c r="V988" s="109"/>
      <c r="W988" s="109"/>
      <c r="X988" s="109"/>
    </row>
    <row r="989" spans="2:24">
      <c r="B989" s="109"/>
      <c r="C989" s="109"/>
      <c r="D989" s="20" t="str">
        <f t="shared" si="191"/>
        <v>欧谱曼迪</v>
      </c>
      <c r="E989" s="109"/>
      <c r="F989" s="112"/>
      <c r="G989" s="109"/>
      <c r="H989" s="109"/>
      <c r="I989" s="109"/>
      <c r="J989" s="109"/>
      <c r="K989" s="14" t="str">
        <f t="shared" si="192"/>
        <v>运营中</v>
      </c>
      <c r="L989" s="109"/>
      <c r="M989" s="109"/>
      <c r="N989" s="13"/>
      <c r="O989" s="24">
        <v>43236</v>
      </c>
      <c r="P989" s="13" t="s">
        <v>3648</v>
      </c>
      <c r="Q989" s="13" t="s">
        <v>2030</v>
      </c>
      <c r="R989" s="13" t="s">
        <v>3405</v>
      </c>
      <c r="S989" s="109"/>
      <c r="T989" s="109"/>
      <c r="U989" s="112"/>
      <c r="V989" s="109"/>
      <c r="W989" s="109"/>
      <c r="X989" s="109"/>
    </row>
    <row r="990" spans="2:24">
      <c r="B990" s="109"/>
      <c r="C990" s="109"/>
      <c r="D990" s="20" t="str">
        <f t="shared" si="191"/>
        <v>欧谱曼迪</v>
      </c>
      <c r="E990" s="109"/>
      <c r="F990" s="112"/>
      <c r="G990" s="109"/>
      <c r="H990" s="109"/>
      <c r="I990" s="109"/>
      <c r="J990" s="109"/>
      <c r="K990" s="14" t="str">
        <f t="shared" si="192"/>
        <v>运营中</v>
      </c>
      <c r="L990" s="109"/>
      <c r="M990" s="109"/>
      <c r="N990" s="13"/>
      <c r="O990" s="24">
        <v>42545</v>
      </c>
      <c r="P990" s="13" t="s">
        <v>3513</v>
      </c>
      <c r="Q990" s="13" t="s">
        <v>6274</v>
      </c>
      <c r="R990" s="13" t="s">
        <v>6281</v>
      </c>
      <c r="S990" s="109"/>
      <c r="T990" s="109"/>
      <c r="U990" s="112"/>
      <c r="V990" s="109"/>
      <c r="W990" s="109"/>
      <c r="X990" s="109"/>
    </row>
    <row r="991" spans="2:24">
      <c r="B991" s="109"/>
      <c r="C991" s="109"/>
      <c r="D991" s="20" t="str">
        <f t="shared" si="191"/>
        <v>欧谱曼迪</v>
      </c>
      <c r="E991" s="109"/>
      <c r="F991" s="112"/>
      <c r="G991" s="109"/>
      <c r="H991" s="109"/>
      <c r="I991" s="109"/>
      <c r="J991" s="109"/>
      <c r="K991" s="14" t="str">
        <f t="shared" si="192"/>
        <v>运营中</v>
      </c>
      <c r="L991" s="109"/>
      <c r="M991" s="109"/>
      <c r="N991" s="13"/>
      <c r="O991" s="24">
        <v>42471</v>
      </c>
      <c r="P991" s="13" t="s">
        <v>5474</v>
      </c>
      <c r="Q991" s="13" t="s">
        <v>5646</v>
      </c>
      <c r="R991" s="13" t="s">
        <v>3406</v>
      </c>
      <c r="S991" s="109"/>
      <c r="T991" s="109"/>
      <c r="U991" s="112"/>
      <c r="V991" s="109"/>
      <c r="W991" s="109"/>
      <c r="X991" s="109"/>
    </row>
    <row r="992" spans="2:24">
      <c r="B992" s="109"/>
      <c r="C992" s="109" t="s">
        <v>3407</v>
      </c>
      <c r="D992" s="20" t="s">
        <v>3408</v>
      </c>
      <c r="E992" s="109" t="s">
        <v>3408</v>
      </c>
      <c r="F992" s="112" t="s">
        <v>7038</v>
      </c>
      <c r="G992" s="109"/>
      <c r="H992" s="109" t="s">
        <v>3410</v>
      </c>
      <c r="I992" s="109" t="s">
        <v>616</v>
      </c>
      <c r="J992" s="109" t="s">
        <v>1564</v>
      </c>
      <c r="K992" s="14" t="s">
        <v>272</v>
      </c>
      <c r="L992" s="109" t="s">
        <v>1825</v>
      </c>
      <c r="M992" s="109" t="s">
        <v>5763</v>
      </c>
      <c r="N992" s="13"/>
      <c r="O992" s="24">
        <v>42656</v>
      </c>
      <c r="P992" s="13" t="s">
        <v>1045</v>
      </c>
      <c r="Q992" s="13" t="s">
        <v>5000</v>
      </c>
      <c r="R992" s="13" t="s">
        <v>1751</v>
      </c>
      <c r="S992" s="109" t="s">
        <v>7039</v>
      </c>
      <c r="T992" s="109" t="s">
        <v>3664</v>
      </c>
      <c r="U992" s="112" t="s">
        <v>3412</v>
      </c>
      <c r="V992" s="109"/>
      <c r="W992" s="109"/>
      <c r="X992" s="109" t="s">
        <v>3413</v>
      </c>
    </row>
    <row r="993" spans="2:24">
      <c r="B993" s="109"/>
      <c r="C993" s="109"/>
      <c r="D993" s="20" t="str">
        <f>D992</f>
        <v>PlaceIQ</v>
      </c>
      <c r="E993" s="109"/>
      <c r="F993" s="112"/>
      <c r="G993" s="109"/>
      <c r="H993" s="109"/>
      <c r="I993" s="109"/>
      <c r="J993" s="109"/>
      <c r="K993" s="14" t="str">
        <f t="shared" ref="K993:K996" si="193">K992</f>
        <v>运营中</v>
      </c>
      <c r="L993" s="109"/>
      <c r="M993" s="109"/>
      <c r="N993" s="13"/>
      <c r="O993" s="24">
        <v>42383</v>
      </c>
      <c r="P993" s="13" t="s">
        <v>1827</v>
      </c>
      <c r="Q993" s="13" t="s">
        <v>5947</v>
      </c>
      <c r="R993" s="13" t="s">
        <v>1751</v>
      </c>
      <c r="S993" s="109"/>
      <c r="T993" s="109"/>
      <c r="U993" s="112"/>
      <c r="V993" s="109"/>
      <c r="W993" s="109"/>
      <c r="X993" s="109"/>
    </row>
    <row r="994" spans="2:24">
      <c r="B994" s="109"/>
      <c r="C994" s="109"/>
      <c r="D994" s="20" t="str">
        <f>D993</f>
        <v>PlaceIQ</v>
      </c>
      <c r="E994" s="109"/>
      <c r="F994" s="112"/>
      <c r="G994" s="109"/>
      <c r="H994" s="109"/>
      <c r="I994" s="109"/>
      <c r="J994" s="109"/>
      <c r="K994" s="14" t="str">
        <f t="shared" si="193"/>
        <v>运营中</v>
      </c>
      <c r="L994" s="109"/>
      <c r="M994" s="109"/>
      <c r="N994" s="13"/>
      <c r="O994" s="24">
        <v>41685</v>
      </c>
      <c r="P994" s="13" t="s">
        <v>5613</v>
      </c>
      <c r="Q994" s="13" t="s">
        <v>5576</v>
      </c>
      <c r="R994" s="13" t="s">
        <v>3414</v>
      </c>
      <c r="S994" s="109"/>
      <c r="T994" s="109"/>
      <c r="U994" s="112"/>
      <c r="V994" s="109"/>
      <c r="W994" s="109"/>
      <c r="X994" s="109"/>
    </row>
    <row r="995" spans="2:24">
      <c r="B995" s="109"/>
      <c r="C995" s="109"/>
      <c r="D995" s="20" t="str">
        <f>D994</f>
        <v>PlaceIQ</v>
      </c>
      <c r="E995" s="109"/>
      <c r="F995" s="112"/>
      <c r="G995" s="109"/>
      <c r="H995" s="109"/>
      <c r="I995" s="109"/>
      <c r="J995" s="109"/>
      <c r="K995" s="14" t="str">
        <f t="shared" si="193"/>
        <v>运营中</v>
      </c>
      <c r="L995" s="109"/>
      <c r="M995" s="109"/>
      <c r="N995" s="13"/>
      <c r="O995" s="24">
        <v>41406</v>
      </c>
      <c r="P995" s="13" t="s">
        <v>3648</v>
      </c>
      <c r="Q995" s="13" t="s">
        <v>7040</v>
      </c>
      <c r="R995" s="13" t="s">
        <v>3416</v>
      </c>
      <c r="S995" s="109"/>
      <c r="T995" s="109"/>
      <c r="U995" s="112"/>
      <c r="V995" s="109"/>
      <c r="W995" s="109"/>
      <c r="X995" s="109"/>
    </row>
    <row r="996" spans="2:24">
      <c r="B996" s="109"/>
      <c r="C996" s="109"/>
      <c r="D996" s="20" t="str">
        <f>D995</f>
        <v>PlaceIQ</v>
      </c>
      <c r="E996" s="109"/>
      <c r="F996" s="112"/>
      <c r="G996" s="109"/>
      <c r="H996" s="109"/>
      <c r="I996" s="109"/>
      <c r="J996" s="109"/>
      <c r="K996" s="14" t="str">
        <f t="shared" si="193"/>
        <v>运营中</v>
      </c>
      <c r="L996" s="109"/>
      <c r="M996" s="109"/>
      <c r="N996" s="13"/>
      <c r="O996" s="24">
        <v>40878</v>
      </c>
      <c r="P996" s="13" t="s">
        <v>3513</v>
      </c>
      <c r="Q996" s="13" t="s">
        <v>7041</v>
      </c>
      <c r="R996" s="13" t="s">
        <v>3418</v>
      </c>
      <c r="S996" s="109"/>
      <c r="T996" s="109"/>
      <c r="U996" s="112"/>
      <c r="V996" s="109"/>
      <c r="W996" s="109"/>
      <c r="X996" s="109"/>
    </row>
    <row r="997" spans="2:24">
      <c r="B997" s="109"/>
      <c r="C997" s="109" t="s">
        <v>2636</v>
      </c>
      <c r="D997" s="20" t="s">
        <v>7042</v>
      </c>
      <c r="E997" s="109" t="s">
        <v>7043</v>
      </c>
      <c r="F997" s="112" t="s">
        <v>3420</v>
      </c>
      <c r="G997" s="109" t="s">
        <v>7044</v>
      </c>
      <c r="H997" s="109" t="s">
        <v>3422</v>
      </c>
      <c r="I997" s="109" t="s">
        <v>868</v>
      </c>
      <c r="J997" s="109" t="s">
        <v>1041</v>
      </c>
      <c r="K997" s="14" t="s">
        <v>272</v>
      </c>
      <c r="L997" s="109" t="s">
        <v>1825</v>
      </c>
      <c r="M997" s="109" t="s">
        <v>5763</v>
      </c>
      <c r="N997" s="13"/>
      <c r="O997" s="24">
        <v>43299</v>
      </c>
      <c r="P997" s="13" t="s">
        <v>3648</v>
      </c>
      <c r="Q997" s="13" t="s">
        <v>7045</v>
      </c>
      <c r="R997" s="13" t="s">
        <v>3424</v>
      </c>
      <c r="S997" s="109" t="s">
        <v>7046</v>
      </c>
      <c r="T997" s="109" t="s">
        <v>7022</v>
      </c>
      <c r="U997" s="112"/>
      <c r="V997" s="109" t="s">
        <v>3426</v>
      </c>
      <c r="W997" s="109" t="s">
        <v>3427</v>
      </c>
      <c r="X997" s="109" t="s">
        <v>3428</v>
      </c>
    </row>
    <row r="998" spans="2:24">
      <c r="B998" s="109"/>
      <c r="C998" s="109"/>
      <c r="D998" s="20" t="str">
        <f>D997</f>
        <v>上海秉坤</v>
      </c>
      <c r="E998" s="109"/>
      <c r="F998" s="112"/>
      <c r="G998" s="109"/>
      <c r="H998" s="109"/>
      <c r="I998" s="109"/>
      <c r="J998" s="109"/>
      <c r="K998" s="14" t="str">
        <f>K997</f>
        <v>运营中</v>
      </c>
      <c r="L998" s="109"/>
      <c r="M998" s="109"/>
      <c r="N998" s="13"/>
      <c r="O998" s="24">
        <v>42712</v>
      </c>
      <c r="P998" s="13" t="s">
        <v>3513</v>
      </c>
      <c r="Q998" s="13" t="s">
        <v>3514</v>
      </c>
      <c r="R998" s="13" t="s">
        <v>3429</v>
      </c>
      <c r="S998" s="109"/>
      <c r="T998" s="109"/>
      <c r="U998" s="112"/>
      <c r="V998" s="109"/>
      <c r="W998" s="109"/>
      <c r="X998" s="109"/>
    </row>
    <row r="999" spans="2:24" ht="60">
      <c r="B999" s="109"/>
      <c r="C999" s="13" t="s">
        <v>3430</v>
      </c>
      <c r="D999" s="25" t="s">
        <v>7047</v>
      </c>
      <c r="E999" s="13" t="s">
        <v>3432</v>
      </c>
      <c r="F999" s="18" t="s">
        <v>7048</v>
      </c>
      <c r="G999" s="13" t="s">
        <v>7049</v>
      </c>
      <c r="H999" s="13" t="s">
        <v>3435</v>
      </c>
      <c r="I999" s="13" t="s">
        <v>3436</v>
      </c>
      <c r="J999" s="13" t="s">
        <v>271</v>
      </c>
      <c r="K999" s="19" t="s">
        <v>272</v>
      </c>
      <c r="L999" s="13" t="s">
        <v>5651</v>
      </c>
      <c r="M999" s="13" t="s">
        <v>7050</v>
      </c>
      <c r="N999" s="13"/>
      <c r="O999" s="24">
        <v>42405</v>
      </c>
      <c r="P999" s="13" t="s">
        <v>3513</v>
      </c>
      <c r="Q999" s="13" t="s">
        <v>3514</v>
      </c>
      <c r="R999" s="13" t="s">
        <v>3438</v>
      </c>
      <c r="S999" s="13" t="s">
        <v>5169</v>
      </c>
      <c r="T999" s="13" t="s">
        <v>3517</v>
      </c>
      <c r="U999" s="18" t="s">
        <v>3439</v>
      </c>
      <c r="V999" s="13" t="s">
        <v>3440</v>
      </c>
      <c r="W999" s="13" t="s">
        <v>3441</v>
      </c>
      <c r="X999" s="13" t="s">
        <v>3442</v>
      </c>
    </row>
    <row r="1000" spans="2:24">
      <c r="B1000" s="109"/>
      <c r="C1000" s="109" t="s">
        <v>3443</v>
      </c>
      <c r="D1000" s="20" t="s">
        <v>7051</v>
      </c>
      <c r="E1000" s="109" t="s">
        <v>3445</v>
      </c>
      <c r="F1000" s="112" t="s">
        <v>3446</v>
      </c>
      <c r="G1000" s="109" t="s">
        <v>7052</v>
      </c>
      <c r="H1000" s="109" t="s">
        <v>3448</v>
      </c>
      <c r="I1000" s="109" t="s">
        <v>3449</v>
      </c>
      <c r="J1000" s="109" t="s">
        <v>1215</v>
      </c>
      <c r="K1000" s="14" t="s">
        <v>272</v>
      </c>
      <c r="L1000" s="109" t="s">
        <v>3661</v>
      </c>
      <c r="M1000" s="109" t="s">
        <v>4305</v>
      </c>
      <c r="N1000" s="13">
        <v>1</v>
      </c>
      <c r="O1000" s="24">
        <v>44865</v>
      </c>
      <c r="P1000" s="13" t="s">
        <v>5625</v>
      </c>
      <c r="Q1000" s="13" t="s">
        <v>7053</v>
      </c>
      <c r="R1000" s="13" t="s">
        <v>253</v>
      </c>
      <c r="S1000" s="109" t="s">
        <v>7054</v>
      </c>
      <c r="T1000" s="109" t="s">
        <v>7055</v>
      </c>
      <c r="U1000" s="112" t="s">
        <v>3453</v>
      </c>
      <c r="V1000" s="109" t="s">
        <v>3454</v>
      </c>
      <c r="W1000" s="109" t="s">
        <v>3455</v>
      </c>
      <c r="X1000" s="109" t="s">
        <v>3456</v>
      </c>
    </row>
    <row r="1001" spans="2:24">
      <c r="B1001" s="109"/>
      <c r="C1001" s="109"/>
      <c r="D1001" s="20" t="str">
        <f>D1000</f>
        <v>玩美移动PerfectCorp</v>
      </c>
      <c r="E1001" s="109"/>
      <c r="F1001" s="112"/>
      <c r="G1001" s="109"/>
      <c r="H1001" s="109"/>
      <c r="I1001" s="109"/>
      <c r="J1001" s="109"/>
      <c r="K1001" s="14" t="str">
        <f t="shared" ref="K1001:K1003" si="194">K1000</f>
        <v>运营中</v>
      </c>
      <c r="L1001" s="109"/>
      <c r="M1001" s="109"/>
      <c r="N1001" s="13">
        <v>1</v>
      </c>
      <c r="O1001" s="24">
        <v>44203</v>
      </c>
      <c r="P1001" s="13" t="s">
        <v>5613</v>
      </c>
      <c r="Q1001" s="13" t="s">
        <v>5360</v>
      </c>
      <c r="R1001" s="13" t="s">
        <v>3457</v>
      </c>
      <c r="S1001" s="109"/>
      <c r="T1001" s="109"/>
      <c r="U1001" s="112"/>
      <c r="V1001" s="109"/>
      <c r="W1001" s="109"/>
      <c r="X1001" s="109"/>
    </row>
    <row r="1002" spans="2:24">
      <c r="B1002" s="109"/>
      <c r="C1002" s="109"/>
      <c r="D1002" s="20" t="str">
        <f>D1001</f>
        <v>玩美移动PerfectCorp</v>
      </c>
      <c r="E1002" s="109"/>
      <c r="F1002" s="112"/>
      <c r="G1002" s="109"/>
      <c r="H1002" s="109"/>
      <c r="I1002" s="109"/>
      <c r="J1002" s="109"/>
      <c r="K1002" s="14" t="str">
        <f t="shared" si="194"/>
        <v>运营中</v>
      </c>
      <c r="L1002" s="109"/>
      <c r="M1002" s="109"/>
      <c r="N1002" s="13">
        <v>1</v>
      </c>
      <c r="O1002" s="24">
        <v>43728</v>
      </c>
      <c r="P1002" s="13" t="s">
        <v>3648</v>
      </c>
      <c r="Q1002" s="13" t="s">
        <v>5129</v>
      </c>
      <c r="R1002" s="13" t="s">
        <v>3458</v>
      </c>
      <c r="S1002" s="109"/>
      <c r="T1002" s="109"/>
      <c r="U1002" s="112"/>
      <c r="V1002" s="109"/>
      <c r="W1002" s="109"/>
      <c r="X1002" s="109"/>
    </row>
    <row r="1003" spans="2:24">
      <c r="B1003" s="109"/>
      <c r="C1003" s="109"/>
      <c r="D1003" s="20" t="str">
        <f>D1002</f>
        <v>玩美移动PerfectCorp</v>
      </c>
      <c r="E1003" s="109"/>
      <c r="F1003" s="112"/>
      <c r="G1003" s="109"/>
      <c r="H1003" s="109"/>
      <c r="I1003" s="109"/>
      <c r="J1003" s="109"/>
      <c r="K1003" s="14" t="str">
        <f t="shared" si="194"/>
        <v>运营中</v>
      </c>
      <c r="L1003" s="109"/>
      <c r="M1003" s="109"/>
      <c r="N1003" s="13">
        <v>1</v>
      </c>
      <c r="O1003" s="24">
        <v>43026</v>
      </c>
      <c r="P1003" s="13" t="s">
        <v>3513</v>
      </c>
      <c r="Q1003" s="13" t="s">
        <v>5947</v>
      </c>
      <c r="R1003" s="13" t="s">
        <v>3459</v>
      </c>
      <c r="S1003" s="109"/>
      <c r="T1003" s="109"/>
      <c r="U1003" s="112"/>
      <c r="V1003" s="109"/>
      <c r="W1003" s="109"/>
      <c r="X1003" s="109"/>
    </row>
    <row r="1004" spans="2:24" ht="48">
      <c r="B1004" s="109"/>
      <c r="C1004" s="13" t="s">
        <v>3460</v>
      </c>
      <c r="D1004" s="25" t="s">
        <v>7056</v>
      </c>
      <c r="E1004" s="13" t="s">
        <v>7057</v>
      </c>
      <c r="F1004" s="18" t="s">
        <v>3462</v>
      </c>
      <c r="G1004" s="13" t="s">
        <v>7058</v>
      </c>
      <c r="H1004" s="13"/>
      <c r="I1004" s="13" t="s">
        <v>3464</v>
      </c>
      <c r="J1004" s="13" t="s">
        <v>385</v>
      </c>
      <c r="K1004" s="19" t="s">
        <v>248</v>
      </c>
      <c r="L1004" s="13" t="s">
        <v>2788</v>
      </c>
      <c r="M1004" s="13" t="s">
        <v>6829</v>
      </c>
      <c r="N1004" s="13"/>
      <c r="O1004" s="24">
        <v>42463</v>
      </c>
      <c r="P1004" s="13" t="s">
        <v>5474</v>
      </c>
      <c r="Q1004" s="13" t="s">
        <v>7059</v>
      </c>
      <c r="R1004" s="13" t="s">
        <v>2414</v>
      </c>
      <c r="S1004" s="13" t="s">
        <v>7060</v>
      </c>
      <c r="T1004" s="13" t="s">
        <v>7061</v>
      </c>
      <c r="U1004" s="18" t="s">
        <v>3468</v>
      </c>
      <c r="V1004" s="13" t="s">
        <v>3469</v>
      </c>
      <c r="W1004" s="13" t="s">
        <v>3470</v>
      </c>
      <c r="X1004" s="13" t="s">
        <v>3471</v>
      </c>
    </row>
    <row r="1005" spans="2:24">
      <c r="B1005" s="109"/>
      <c r="C1005" s="109" t="s">
        <v>3472</v>
      </c>
      <c r="D1005" s="20" t="s">
        <v>7062</v>
      </c>
      <c r="E1005" s="109" t="s">
        <v>7063</v>
      </c>
      <c r="F1005" s="112" t="s">
        <v>7064</v>
      </c>
      <c r="G1005" s="109" t="s">
        <v>7065</v>
      </c>
      <c r="H1005" s="109" t="s">
        <v>3476</v>
      </c>
      <c r="I1005" s="109" t="s">
        <v>2518</v>
      </c>
      <c r="J1005" s="109" t="s">
        <v>497</v>
      </c>
      <c r="K1005" s="14" t="s">
        <v>272</v>
      </c>
      <c r="L1005" s="109" t="s">
        <v>1825</v>
      </c>
      <c r="M1005" s="109" t="s">
        <v>5843</v>
      </c>
      <c r="N1005" s="13"/>
      <c r="O1005" s="24">
        <v>44311</v>
      </c>
      <c r="P1005" s="13" t="s">
        <v>1827</v>
      </c>
      <c r="Q1005" s="13" t="s">
        <v>1750</v>
      </c>
      <c r="R1005" s="13" t="s">
        <v>3477</v>
      </c>
      <c r="S1005" s="109" t="s">
        <v>7066</v>
      </c>
      <c r="T1005" s="109" t="s">
        <v>6697</v>
      </c>
      <c r="U1005" s="112" t="s">
        <v>3479</v>
      </c>
      <c r="V1005" s="109" t="s">
        <v>3480</v>
      </c>
      <c r="W1005" s="109" t="s">
        <v>3481</v>
      </c>
      <c r="X1005" s="109" t="s">
        <v>3482</v>
      </c>
    </row>
    <row r="1006" spans="2:24">
      <c r="B1006" s="109"/>
      <c r="C1006" s="109"/>
      <c r="D1006" s="20" t="str">
        <f t="shared" ref="D1006:D1012" si="195">D1005</f>
        <v>乐言科技</v>
      </c>
      <c r="E1006" s="109"/>
      <c r="F1006" s="112"/>
      <c r="G1006" s="109"/>
      <c r="H1006" s="109"/>
      <c r="I1006" s="109"/>
      <c r="J1006" s="109"/>
      <c r="K1006" s="14" t="str">
        <f t="shared" ref="K1006:K1012" si="196">K1005</f>
        <v>运营中</v>
      </c>
      <c r="L1006" s="109"/>
      <c r="M1006" s="109"/>
      <c r="N1006" s="13"/>
      <c r="O1006" s="24">
        <v>44270</v>
      </c>
      <c r="P1006" s="13" t="s">
        <v>2029</v>
      </c>
      <c r="Q1006" s="13" t="s">
        <v>3483</v>
      </c>
      <c r="R1006" s="13" t="s">
        <v>1751</v>
      </c>
      <c r="S1006" s="109"/>
      <c r="T1006" s="109"/>
      <c r="U1006" s="112"/>
      <c r="V1006" s="109"/>
      <c r="W1006" s="109"/>
      <c r="X1006" s="109"/>
    </row>
    <row r="1007" spans="2:24">
      <c r="B1007" s="109"/>
      <c r="C1007" s="109"/>
      <c r="D1007" s="20" t="str">
        <f t="shared" si="195"/>
        <v>乐言科技</v>
      </c>
      <c r="E1007" s="109"/>
      <c r="F1007" s="112"/>
      <c r="G1007" s="109"/>
      <c r="H1007" s="109"/>
      <c r="I1007" s="109"/>
      <c r="J1007" s="109"/>
      <c r="K1007" s="14" t="str">
        <f t="shared" si="196"/>
        <v>运营中</v>
      </c>
      <c r="L1007" s="109"/>
      <c r="M1007" s="109"/>
      <c r="N1007" s="13"/>
      <c r="O1007" s="24">
        <v>44093</v>
      </c>
      <c r="P1007" s="13" t="s">
        <v>2029</v>
      </c>
      <c r="Q1007" s="13" t="s">
        <v>2030</v>
      </c>
      <c r="R1007" s="13" t="s">
        <v>7067</v>
      </c>
      <c r="S1007" s="109"/>
      <c r="T1007" s="109"/>
      <c r="U1007" s="112"/>
      <c r="V1007" s="109"/>
      <c r="W1007" s="109"/>
      <c r="X1007" s="109"/>
    </row>
    <row r="1008" spans="2:24">
      <c r="B1008" s="109"/>
      <c r="C1008" s="109"/>
      <c r="D1008" s="20" t="str">
        <f t="shared" si="195"/>
        <v>乐言科技</v>
      </c>
      <c r="E1008" s="109"/>
      <c r="F1008" s="112"/>
      <c r="G1008" s="109"/>
      <c r="H1008" s="109"/>
      <c r="I1008" s="109"/>
      <c r="J1008" s="109"/>
      <c r="K1008" s="14" t="str">
        <f t="shared" si="196"/>
        <v>运营中</v>
      </c>
      <c r="L1008" s="109"/>
      <c r="M1008" s="109"/>
      <c r="N1008" s="13"/>
      <c r="O1008" s="24">
        <v>43970</v>
      </c>
      <c r="P1008" s="13" t="s">
        <v>5613</v>
      </c>
      <c r="Q1008" s="13" t="s">
        <v>5816</v>
      </c>
      <c r="R1008" s="13" t="s">
        <v>3485</v>
      </c>
      <c r="S1008" s="109"/>
      <c r="T1008" s="109"/>
      <c r="U1008" s="112"/>
      <c r="V1008" s="109"/>
      <c r="W1008" s="109"/>
      <c r="X1008" s="109"/>
    </row>
    <row r="1009" spans="2:24">
      <c r="B1009" s="109"/>
      <c r="C1009" s="109"/>
      <c r="D1009" s="20" t="str">
        <f t="shared" si="195"/>
        <v>乐言科技</v>
      </c>
      <c r="E1009" s="109"/>
      <c r="F1009" s="112"/>
      <c r="G1009" s="109"/>
      <c r="H1009" s="109"/>
      <c r="I1009" s="109"/>
      <c r="J1009" s="109"/>
      <c r="K1009" s="14" t="str">
        <f t="shared" si="196"/>
        <v>运营中</v>
      </c>
      <c r="L1009" s="109"/>
      <c r="M1009" s="109"/>
      <c r="N1009" s="13"/>
      <c r="O1009" s="24">
        <v>43838</v>
      </c>
      <c r="P1009" s="13" t="s">
        <v>3648</v>
      </c>
      <c r="Q1009" s="13" t="s">
        <v>2030</v>
      </c>
      <c r="R1009" s="13" t="s">
        <v>7068</v>
      </c>
      <c r="S1009" s="109"/>
      <c r="T1009" s="109"/>
      <c r="U1009" s="112"/>
      <c r="V1009" s="109"/>
      <c r="W1009" s="109"/>
      <c r="X1009" s="109"/>
    </row>
    <row r="1010" spans="2:24">
      <c r="B1010" s="109"/>
      <c r="C1010" s="109"/>
      <c r="D1010" s="20" t="str">
        <f t="shared" si="195"/>
        <v>乐言科技</v>
      </c>
      <c r="E1010" s="109"/>
      <c r="F1010" s="112"/>
      <c r="G1010" s="109"/>
      <c r="H1010" s="109"/>
      <c r="I1010" s="109"/>
      <c r="J1010" s="109"/>
      <c r="K1010" s="14" t="str">
        <f t="shared" si="196"/>
        <v>运营中</v>
      </c>
      <c r="L1010" s="109"/>
      <c r="M1010" s="109"/>
      <c r="N1010" s="13"/>
      <c r="O1010" s="24">
        <v>43230</v>
      </c>
      <c r="P1010" s="13" t="s">
        <v>4306</v>
      </c>
      <c r="Q1010" s="13" t="s">
        <v>3514</v>
      </c>
      <c r="R1010" s="13" t="s">
        <v>3487</v>
      </c>
      <c r="S1010" s="109"/>
      <c r="T1010" s="109"/>
      <c r="U1010" s="112"/>
      <c r="V1010" s="109"/>
      <c r="W1010" s="109"/>
      <c r="X1010" s="109"/>
    </row>
    <row r="1011" spans="2:24">
      <c r="B1011" s="109"/>
      <c r="C1011" s="109"/>
      <c r="D1011" s="20" t="str">
        <f t="shared" si="195"/>
        <v>乐言科技</v>
      </c>
      <c r="E1011" s="109"/>
      <c r="F1011" s="112"/>
      <c r="G1011" s="109"/>
      <c r="H1011" s="109"/>
      <c r="I1011" s="109"/>
      <c r="J1011" s="109"/>
      <c r="K1011" s="14" t="str">
        <f t="shared" si="196"/>
        <v>运营中</v>
      </c>
      <c r="L1011" s="109"/>
      <c r="M1011" s="109"/>
      <c r="N1011" s="13"/>
      <c r="O1011" s="24">
        <v>42774</v>
      </c>
      <c r="P1011" s="13" t="s">
        <v>3513</v>
      </c>
      <c r="Q1011" s="13" t="s">
        <v>5646</v>
      </c>
      <c r="R1011" s="13" t="s">
        <v>7069</v>
      </c>
      <c r="S1011" s="109"/>
      <c r="T1011" s="109"/>
      <c r="U1011" s="112"/>
      <c r="V1011" s="109"/>
      <c r="W1011" s="109"/>
      <c r="X1011" s="109"/>
    </row>
    <row r="1012" spans="2:24">
      <c r="B1012" s="109"/>
      <c r="C1012" s="109"/>
      <c r="D1012" s="20" t="str">
        <f t="shared" si="195"/>
        <v>乐言科技</v>
      </c>
      <c r="E1012" s="109"/>
      <c r="F1012" s="112"/>
      <c r="G1012" s="109"/>
      <c r="H1012" s="109"/>
      <c r="I1012" s="109"/>
      <c r="J1012" s="109"/>
      <c r="K1012" s="14" t="str">
        <f t="shared" si="196"/>
        <v>运营中</v>
      </c>
      <c r="L1012" s="109"/>
      <c r="M1012" s="109"/>
      <c r="N1012" s="13"/>
      <c r="O1012" s="24">
        <v>42516</v>
      </c>
      <c r="P1012" s="13" t="s">
        <v>5474</v>
      </c>
      <c r="Q1012" s="13" t="s">
        <v>5646</v>
      </c>
      <c r="R1012" s="13" t="s">
        <v>5743</v>
      </c>
      <c r="S1012" s="109"/>
      <c r="T1012" s="109"/>
      <c r="U1012" s="112"/>
      <c r="V1012" s="109"/>
      <c r="W1012" s="109"/>
      <c r="X1012" s="109"/>
    </row>
    <row r="1013" spans="2:24">
      <c r="B1013" s="109"/>
      <c r="C1013" s="109" t="s">
        <v>3489</v>
      </c>
      <c r="D1013" s="20" t="s">
        <v>7070</v>
      </c>
      <c r="E1013" s="109" t="s">
        <v>7071</v>
      </c>
      <c r="F1013" s="112" t="s">
        <v>3492</v>
      </c>
      <c r="G1013" s="109" t="s">
        <v>7072</v>
      </c>
      <c r="H1013" s="109" t="s">
        <v>3494</v>
      </c>
      <c r="I1013" s="109" t="s">
        <v>3495</v>
      </c>
      <c r="J1013" s="109" t="s">
        <v>1192</v>
      </c>
      <c r="K1013" s="14" t="s">
        <v>272</v>
      </c>
      <c r="L1013" s="109" t="s">
        <v>1825</v>
      </c>
      <c r="M1013" s="109" t="s">
        <v>3711</v>
      </c>
      <c r="N1013" s="13"/>
      <c r="O1013" s="24">
        <v>45022</v>
      </c>
      <c r="P1013" s="13" t="s">
        <v>763</v>
      </c>
      <c r="Q1013" s="13" t="s">
        <v>2030</v>
      </c>
      <c r="R1013" s="13" t="s">
        <v>3496</v>
      </c>
      <c r="S1013" s="109" t="s">
        <v>7073</v>
      </c>
      <c r="T1013" s="109" t="s">
        <v>3664</v>
      </c>
      <c r="U1013" s="112" t="s">
        <v>3498</v>
      </c>
      <c r="V1013" s="109" t="s">
        <v>3499</v>
      </c>
      <c r="W1013" s="109" t="s">
        <v>3500</v>
      </c>
      <c r="X1013" s="109" t="s">
        <v>3501</v>
      </c>
    </row>
    <row r="1014" spans="2:24">
      <c r="B1014" s="109"/>
      <c r="C1014" s="109"/>
      <c r="D1014" s="20" t="str">
        <f t="shared" ref="D1014:D1019" si="197">D1013</f>
        <v>Renderbus瑞云科技</v>
      </c>
      <c r="E1014" s="109"/>
      <c r="F1014" s="112"/>
      <c r="G1014" s="109"/>
      <c r="H1014" s="109"/>
      <c r="I1014" s="109"/>
      <c r="J1014" s="109"/>
      <c r="K1014" s="14" t="str">
        <f t="shared" ref="K1014:K1019" si="198">K1013</f>
        <v>运营中</v>
      </c>
      <c r="L1014" s="109"/>
      <c r="M1014" s="109"/>
      <c r="N1014" s="13"/>
      <c r="O1014" s="24">
        <v>44659</v>
      </c>
      <c r="P1014" s="13" t="s">
        <v>1045</v>
      </c>
      <c r="Q1014" s="13" t="s">
        <v>2030</v>
      </c>
      <c r="R1014" s="13" t="s">
        <v>3502</v>
      </c>
      <c r="S1014" s="109"/>
      <c r="T1014" s="109"/>
      <c r="U1014" s="112"/>
      <c r="V1014" s="109"/>
      <c r="W1014" s="109"/>
      <c r="X1014" s="109"/>
    </row>
    <row r="1015" spans="2:24">
      <c r="B1015" s="109"/>
      <c r="C1015" s="109"/>
      <c r="D1015" s="20" t="str">
        <f t="shared" si="197"/>
        <v>Renderbus瑞云科技</v>
      </c>
      <c r="E1015" s="109"/>
      <c r="F1015" s="112"/>
      <c r="G1015" s="109"/>
      <c r="H1015" s="109"/>
      <c r="I1015" s="109"/>
      <c r="J1015" s="109"/>
      <c r="K1015" s="14" t="str">
        <f t="shared" si="198"/>
        <v>运营中</v>
      </c>
      <c r="L1015" s="109"/>
      <c r="M1015" s="109"/>
      <c r="N1015" s="13"/>
      <c r="O1015" s="24">
        <v>44480</v>
      </c>
      <c r="P1015" s="13" t="s">
        <v>1045</v>
      </c>
      <c r="Q1015" s="13" t="s">
        <v>2030</v>
      </c>
      <c r="R1015" s="13" t="s">
        <v>7074</v>
      </c>
      <c r="S1015" s="109"/>
      <c r="T1015" s="109"/>
      <c r="U1015" s="112"/>
      <c r="V1015" s="109"/>
      <c r="W1015" s="109"/>
      <c r="X1015" s="109"/>
    </row>
    <row r="1016" spans="2:24">
      <c r="B1016" s="109"/>
      <c r="C1016" s="109"/>
      <c r="D1016" s="20" t="str">
        <f t="shared" si="197"/>
        <v>Renderbus瑞云科技</v>
      </c>
      <c r="E1016" s="109"/>
      <c r="F1016" s="112"/>
      <c r="G1016" s="109"/>
      <c r="H1016" s="109"/>
      <c r="I1016" s="109"/>
      <c r="J1016" s="109"/>
      <c r="K1016" s="14" t="str">
        <f t="shared" si="198"/>
        <v>运营中</v>
      </c>
      <c r="L1016" s="109"/>
      <c r="M1016" s="109"/>
      <c r="N1016" s="13"/>
      <c r="O1016" s="24">
        <v>44215</v>
      </c>
      <c r="P1016" s="13" t="s">
        <v>5613</v>
      </c>
      <c r="Q1016" s="13" t="s">
        <v>1750</v>
      </c>
      <c r="R1016" s="13" t="s">
        <v>3504</v>
      </c>
      <c r="S1016" s="109"/>
      <c r="T1016" s="109"/>
      <c r="U1016" s="112"/>
      <c r="V1016" s="109"/>
      <c r="W1016" s="109"/>
      <c r="X1016" s="109"/>
    </row>
    <row r="1017" spans="2:24">
      <c r="B1017" s="109"/>
      <c r="C1017" s="109"/>
      <c r="D1017" s="20" t="str">
        <f t="shared" si="197"/>
        <v>Renderbus瑞云科技</v>
      </c>
      <c r="E1017" s="109"/>
      <c r="F1017" s="112"/>
      <c r="G1017" s="109"/>
      <c r="H1017" s="109"/>
      <c r="I1017" s="109"/>
      <c r="J1017" s="109"/>
      <c r="K1017" s="14" t="str">
        <f t="shared" si="198"/>
        <v>运营中</v>
      </c>
      <c r="L1017" s="109"/>
      <c r="M1017" s="109"/>
      <c r="N1017" s="13"/>
      <c r="O1017" s="24">
        <v>43936</v>
      </c>
      <c r="P1017" s="13" t="s">
        <v>3648</v>
      </c>
      <c r="Q1017" s="13" t="s">
        <v>3514</v>
      </c>
      <c r="R1017" s="13" t="s">
        <v>3505</v>
      </c>
      <c r="S1017" s="109"/>
      <c r="T1017" s="109"/>
      <c r="U1017" s="112"/>
      <c r="V1017" s="109"/>
      <c r="W1017" s="109"/>
      <c r="X1017" s="109"/>
    </row>
    <row r="1018" spans="2:24">
      <c r="B1018" s="109"/>
      <c r="C1018" s="109"/>
      <c r="D1018" s="20" t="str">
        <f t="shared" si="197"/>
        <v>Renderbus瑞云科技</v>
      </c>
      <c r="E1018" s="109"/>
      <c r="F1018" s="112"/>
      <c r="G1018" s="109"/>
      <c r="H1018" s="109"/>
      <c r="I1018" s="109"/>
      <c r="J1018" s="109"/>
      <c r="K1018" s="14" t="str">
        <f t="shared" si="198"/>
        <v>运营中</v>
      </c>
      <c r="L1018" s="109"/>
      <c r="M1018" s="109"/>
      <c r="N1018" s="13"/>
      <c r="O1018" s="24">
        <v>43273</v>
      </c>
      <c r="P1018" s="13" t="s">
        <v>3513</v>
      </c>
      <c r="Q1018" s="13" t="s">
        <v>3514</v>
      </c>
      <c r="R1018" s="13" t="s">
        <v>5655</v>
      </c>
      <c r="S1018" s="109"/>
      <c r="T1018" s="109"/>
      <c r="U1018" s="112"/>
      <c r="V1018" s="109"/>
      <c r="W1018" s="109"/>
      <c r="X1018" s="109"/>
    </row>
    <row r="1019" spans="2:24">
      <c r="B1019" s="109"/>
      <c r="C1019" s="109"/>
      <c r="D1019" s="20" t="str">
        <f t="shared" si="197"/>
        <v>Renderbus瑞云科技</v>
      </c>
      <c r="E1019" s="109"/>
      <c r="F1019" s="112"/>
      <c r="G1019" s="109"/>
      <c r="H1019" s="109"/>
      <c r="I1019" s="109"/>
      <c r="J1019" s="109"/>
      <c r="K1019" s="14" t="str">
        <f t="shared" si="198"/>
        <v>运营中</v>
      </c>
      <c r="L1019" s="109"/>
      <c r="M1019" s="109"/>
      <c r="N1019" s="13"/>
      <c r="O1019" s="24">
        <v>42551</v>
      </c>
      <c r="P1019" s="13" t="s">
        <v>5474</v>
      </c>
      <c r="Q1019" s="13" t="s">
        <v>5646</v>
      </c>
      <c r="R1019" s="13" t="s">
        <v>1751</v>
      </c>
      <c r="S1019" s="109"/>
      <c r="T1019" s="109"/>
      <c r="U1019" s="112"/>
      <c r="V1019" s="109"/>
      <c r="W1019" s="109"/>
      <c r="X1019" s="109"/>
    </row>
    <row r="1020" spans="2:24">
      <c r="B1020" s="109"/>
      <c r="C1020" s="109" t="s">
        <v>3506</v>
      </c>
      <c r="D1020" s="20" t="s">
        <v>7075</v>
      </c>
      <c r="E1020" s="109" t="s">
        <v>3508</v>
      </c>
      <c r="F1020" s="112" t="s">
        <v>3509</v>
      </c>
      <c r="G1020" s="109" t="s">
        <v>7076</v>
      </c>
      <c r="H1020" s="109" t="s">
        <v>3511</v>
      </c>
      <c r="I1020" s="109" t="s">
        <v>2313</v>
      </c>
      <c r="J1020" s="109" t="s">
        <v>3512</v>
      </c>
      <c r="K1020" s="14" t="s">
        <v>272</v>
      </c>
      <c r="L1020" s="109" t="s">
        <v>1825</v>
      </c>
      <c r="M1020" s="109" t="s">
        <v>470</v>
      </c>
      <c r="N1020" s="13"/>
      <c r="O1020" s="24">
        <v>45015</v>
      </c>
      <c r="P1020" s="13" t="s">
        <v>3513</v>
      </c>
      <c r="Q1020" s="13" t="s">
        <v>3514</v>
      </c>
      <c r="R1020" s="13" t="s">
        <v>3515</v>
      </c>
      <c r="S1020" s="109" t="s">
        <v>3516</v>
      </c>
      <c r="T1020" s="109" t="s">
        <v>3517</v>
      </c>
      <c r="U1020" s="112" t="s">
        <v>3518</v>
      </c>
      <c r="V1020" s="109" t="s">
        <v>3519</v>
      </c>
      <c r="W1020" s="109"/>
      <c r="X1020" s="109" t="s">
        <v>3520</v>
      </c>
    </row>
    <row r="1021" spans="2:24">
      <c r="B1021" s="109"/>
      <c r="C1021" s="109"/>
      <c r="D1021" s="20" t="str">
        <f>D1020</f>
        <v>中测智绘</v>
      </c>
      <c r="E1021" s="109"/>
      <c r="F1021" s="112"/>
      <c r="G1021" s="109"/>
      <c r="H1021" s="109"/>
      <c r="I1021" s="109"/>
      <c r="J1021" s="109"/>
      <c r="K1021" s="14" t="str">
        <f t="shared" ref="K1021:K1022" si="199">K1020</f>
        <v>运营中</v>
      </c>
      <c r="L1021" s="109"/>
      <c r="M1021" s="109"/>
      <c r="N1021" s="13"/>
      <c r="O1021" s="24">
        <v>44445</v>
      </c>
      <c r="P1021" s="13" t="s">
        <v>5454</v>
      </c>
      <c r="Q1021" s="13" t="s">
        <v>2030</v>
      </c>
      <c r="R1021" s="13" t="s">
        <v>7077</v>
      </c>
      <c r="S1021" s="109"/>
      <c r="T1021" s="109"/>
      <c r="U1021" s="112"/>
      <c r="V1021" s="109"/>
      <c r="W1021" s="109"/>
      <c r="X1021" s="109"/>
    </row>
    <row r="1022" spans="2:24">
      <c r="B1022" s="109"/>
      <c r="C1022" s="109"/>
      <c r="D1022" s="20" t="str">
        <f>D1021</f>
        <v>中测智绘</v>
      </c>
      <c r="E1022" s="109"/>
      <c r="F1022" s="112"/>
      <c r="G1022" s="109"/>
      <c r="H1022" s="109"/>
      <c r="I1022" s="109"/>
      <c r="J1022" s="109"/>
      <c r="K1022" s="14" t="str">
        <f t="shared" si="199"/>
        <v>运营中</v>
      </c>
      <c r="L1022" s="109"/>
      <c r="M1022" s="109"/>
      <c r="N1022" s="13"/>
      <c r="O1022" s="24">
        <v>43009</v>
      </c>
      <c r="P1022" s="13" t="s">
        <v>5474</v>
      </c>
      <c r="Q1022" s="13" t="s">
        <v>7059</v>
      </c>
      <c r="R1022" s="13" t="s">
        <v>253</v>
      </c>
      <c r="S1022" s="109"/>
      <c r="T1022" s="109"/>
      <c r="U1022" s="112"/>
      <c r="V1022" s="109"/>
      <c r="W1022" s="109"/>
      <c r="X1022" s="109"/>
    </row>
    <row r="1023" spans="2:24">
      <c r="B1023" s="109"/>
      <c r="C1023" s="109" t="s">
        <v>3522</v>
      </c>
      <c r="D1023" s="20" t="s">
        <v>7078</v>
      </c>
      <c r="E1023" s="109" t="s">
        <v>7079</v>
      </c>
      <c r="F1023" s="112" t="s">
        <v>3524</v>
      </c>
      <c r="G1023" s="109" t="s">
        <v>7080</v>
      </c>
      <c r="H1023" s="109" t="s">
        <v>3526</v>
      </c>
      <c r="I1023" s="109" t="s">
        <v>3527</v>
      </c>
      <c r="J1023" s="109" t="s">
        <v>973</v>
      </c>
      <c r="K1023" s="14" t="s">
        <v>272</v>
      </c>
      <c r="L1023" s="109" t="s">
        <v>6396</v>
      </c>
      <c r="M1023" s="109" t="s">
        <v>6397</v>
      </c>
      <c r="N1023" s="13">
        <v>1</v>
      </c>
      <c r="O1023" s="24">
        <v>44944</v>
      </c>
      <c r="P1023" s="13" t="s">
        <v>5810</v>
      </c>
      <c r="Q1023" s="13" t="s">
        <v>7081</v>
      </c>
      <c r="R1023" s="13" t="s">
        <v>7082</v>
      </c>
      <c r="S1023" s="109" t="s">
        <v>7083</v>
      </c>
      <c r="T1023" s="109" t="s">
        <v>7084</v>
      </c>
      <c r="U1023" s="112" t="s">
        <v>3532</v>
      </c>
      <c r="V1023" s="109" t="s">
        <v>3533</v>
      </c>
      <c r="W1023" s="109" t="s">
        <v>3534</v>
      </c>
      <c r="X1023" s="109" t="s">
        <v>3535</v>
      </c>
    </row>
    <row r="1024" spans="2:24">
      <c r="B1024" s="109"/>
      <c r="C1024" s="109"/>
      <c r="D1024" s="20" t="str">
        <f t="shared" ref="D1024:D1029" si="200">D1023</f>
        <v>美凯龙</v>
      </c>
      <c r="E1024" s="109"/>
      <c r="F1024" s="112"/>
      <c r="G1024" s="109"/>
      <c r="H1024" s="109"/>
      <c r="I1024" s="109"/>
      <c r="J1024" s="109"/>
      <c r="K1024" s="14" t="str">
        <f t="shared" ref="K1024:K1029" si="201">K1023</f>
        <v>运营中</v>
      </c>
      <c r="L1024" s="109"/>
      <c r="M1024" s="109"/>
      <c r="N1024" s="13">
        <v>1</v>
      </c>
      <c r="O1024" s="24">
        <v>43600</v>
      </c>
      <c r="P1024" s="13" t="s">
        <v>5810</v>
      </c>
      <c r="Q1024" s="13" t="s">
        <v>7085</v>
      </c>
      <c r="R1024" s="13" t="s">
        <v>1751</v>
      </c>
      <c r="S1024" s="109"/>
      <c r="T1024" s="109"/>
      <c r="U1024" s="112"/>
      <c r="V1024" s="109"/>
      <c r="W1024" s="109"/>
      <c r="X1024" s="109"/>
    </row>
    <row r="1025" spans="2:24">
      <c r="B1025" s="109"/>
      <c r="C1025" s="109"/>
      <c r="D1025" s="20" t="str">
        <f t="shared" si="200"/>
        <v>美凯龙</v>
      </c>
      <c r="E1025" s="109"/>
      <c r="F1025" s="112"/>
      <c r="G1025" s="109"/>
      <c r="H1025" s="109"/>
      <c r="I1025" s="109"/>
      <c r="J1025" s="109"/>
      <c r="K1025" s="14" t="str">
        <f t="shared" si="201"/>
        <v>运营中</v>
      </c>
      <c r="L1025" s="109"/>
      <c r="M1025" s="109"/>
      <c r="N1025" s="13">
        <v>1</v>
      </c>
      <c r="O1025" s="24">
        <v>43117</v>
      </c>
      <c r="P1025" s="13" t="s">
        <v>5625</v>
      </c>
      <c r="Q1025" s="13" t="s">
        <v>7086</v>
      </c>
      <c r="R1025" s="13" t="s">
        <v>253</v>
      </c>
      <c r="S1025" s="109"/>
      <c r="T1025" s="109"/>
      <c r="U1025" s="112"/>
      <c r="V1025" s="109"/>
      <c r="W1025" s="109"/>
      <c r="X1025" s="109"/>
    </row>
    <row r="1026" spans="2:24">
      <c r="B1026" s="109"/>
      <c r="C1026" s="109"/>
      <c r="D1026" s="20" t="str">
        <f t="shared" si="200"/>
        <v>美凯龙</v>
      </c>
      <c r="E1026" s="109"/>
      <c r="F1026" s="112"/>
      <c r="G1026" s="109"/>
      <c r="H1026" s="109"/>
      <c r="I1026" s="109"/>
      <c r="J1026" s="109"/>
      <c r="K1026" s="14" t="str">
        <f t="shared" si="201"/>
        <v>运营中</v>
      </c>
      <c r="L1026" s="109"/>
      <c r="M1026" s="109"/>
      <c r="N1026" s="13">
        <v>1</v>
      </c>
      <c r="O1026" s="24">
        <v>42181</v>
      </c>
      <c r="P1026" s="13" t="s">
        <v>5625</v>
      </c>
      <c r="Q1026" s="13" t="s">
        <v>7087</v>
      </c>
      <c r="R1026" s="13" t="s">
        <v>253</v>
      </c>
      <c r="S1026" s="109"/>
      <c r="T1026" s="109"/>
      <c r="U1026" s="112"/>
      <c r="V1026" s="109"/>
      <c r="W1026" s="109"/>
      <c r="X1026" s="109"/>
    </row>
    <row r="1027" spans="2:24">
      <c r="B1027" s="109"/>
      <c r="C1027" s="109"/>
      <c r="D1027" s="20" t="str">
        <f t="shared" si="200"/>
        <v>美凯龙</v>
      </c>
      <c r="E1027" s="109"/>
      <c r="F1027" s="112"/>
      <c r="G1027" s="109"/>
      <c r="H1027" s="109"/>
      <c r="I1027" s="109"/>
      <c r="J1027" s="109"/>
      <c r="K1027" s="14" t="str">
        <f t="shared" si="201"/>
        <v>运营中</v>
      </c>
      <c r="L1027" s="109"/>
      <c r="M1027" s="109"/>
      <c r="N1027" s="13">
        <v>1</v>
      </c>
      <c r="O1027" s="24">
        <v>40330</v>
      </c>
      <c r="P1027" s="13" t="s">
        <v>5613</v>
      </c>
      <c r="Q1027" s="13" t="s">
        <v>7088</v>
      </c>
      <c r="R1027" s="13" t="s">
        <v>3540</v>
      </c>
      <c r="S1027" s="109"/>
      <c r="T1027" s="109"/>
      <c r="U1027" s="112"/>
      <c r="V1027" s="109"/>
      <c r="W1027" s="109"/>
      <c r="X1027" s="109"/>
    </row>
    <row r="1028" spans="2:24">
      <c r="B1028" s="109"/>
      <c r="C1028" s="109"/>
      <c r="D1028" s="20" t="str">
        <f t="shared" si="200"/>
        <v>美凯龙</v>
      </c>
      <c r="E1028" s="109"/>
      <c r="F1028" s="112"/>
      <c r="G1028" s="109"/>
      <c r="H1028" s="109"/>
      <c r="I1028" s="109"/>
      <c r="J1028" s="109"/>
      <c r="K1028" s="14" t="str">
        <f t="shared" si="201"/>
        <v>运营中</v>
      </c>
      <c r="L1028" s="109"/>
      <c r="M1028" s="109"/>
      <c r="N1028" s="13">
        <v>1</v>
      </c>
      <c r="O1028" s="24">
        <v>39873</v>
      </c>
      <c r="P1028" s="13" t="s">
        <v>3648</v>
      </c>
      <c r="Q1028" s="13" t="s">
        <v>5847</v>
      </c>
      <c r="R1028" s="13" t="s">
        <v>7089</v>
      </c>
      <c r="S1028" s="109"/>
      <c r="T1028" s="109"/>
      <c r="U1028" s="112"/>
      <c r="V1028" s="109"/>
      <c r="W1028" s="109"/>
      <c r="X1028" s="109"/>
    </row>
    <row r="1029" spans="2:24">
      <c r="B1029" s="109"/>
      <c r="C1029" s="109"/>
      <c r="D1029" s="20" t="str">
        <f t="shared" si="200"/>
        <v>美凯龙</v>
      </c>
      <c r="E1029" s="109"/>
      <c r="F1029" s="112"/>
      <c r="G1029" s="109"/>
      <c r="H1029" s="109"/>
      <c r="I1029" s="109"/>
      <c r="J1029" s="109"/>
      <c r="K1029" s="14" t="str">
        <f t="shared" si="201"/>
        <v>运营中</v>
      </c>
      <c r="L1029" s="109"/>
      <c r="M1029" s="109"/>
      <c r="N1029" s="13">
        <v>1</v>
      </c>
      <c r="O1029" s="24">
        <v>39508</v>
      </c>
      <c r="P1029" s="13" t="s">
        <v>3513</v>
      </c>
      <c r="Q1029" s="13" t="s">
        <v>5847</v>
      </c>
      <c r="R1029" s="13" t="s">
        <v>7089</v>
      </c>
      <c r="S1029" s="109"/>
      <c r="T1029" s="109"/>
      <c r="U1029" s="112"/>
      <c r="V1029" s="109"/>
      <c r="W1029" s="109"/>
      <c r="X1029" s="109"/>
    </row>
    <row r="1030" spans="2:24">
      <c r="B1030" s="109"/>
      <c r="C1030" s="109" t="s">
        <v>3542</v>
      </c>
      <c r="D1030" s="20" t="s">
        <v>7090</v>
      </c>
      <c r="E1030" s="109" t="s">
        <v>3544</v>
      </c>
      <c r="F1030" s="112" t="s">
        <v>3545</v>
      </c>
      <c r="G1030" s="109" t="s">
        <v>7091</v>
      </c>
      <c r="H1030" s="109" t="s">
        <v>3547</v>
      </c>
      <c r="I1030" s="109" t="s">
        <v>2887</v>
      </c>
      <c r="J1030" s="109" t="s">
        <v>547</v>
      </c>
      <c r="K1030" s="14" t="s">
        <v>272</v>
      </c>
      <c r="L1030" s="109" t="s">
        <v>3548</v>
      </c>
      <c r="M1030" s="109" t="s">
        <v>3549</v>
      </c>
      <c r="N1030" s="13"/>
      <c r="O1030" s="24">
        <v>44483</v>
      </c>
      <c r="P1030" s="13" t="s">
        <v>1827</v>
      </c>
      <c r="Q1030" s="13" t="s">
        <v>3550</v>
      </c>
      <c r="R1030" s="13" t="s">
        <v>3551</v>
      </c>
      <c r="S1030" s="109" t="s">
        <v>3552</v>
      </c>
      <c r="T1030" s="109" t="s">
        <v>3553</v>
      </c>
      <c r="U1030" s="112" t="s">
        <v>3554</v>
      </c>
      <c r="V1030" s="109" t="s">
        <v>3555</v>
      </c>
      <c r="W1030" s="109" t="s">
        <v>3556</v>
      </c>
      <c r="X1030" s="109" t="s">
        <v>3557</v>
      </c>
    </row>
    <row r="1031" spans="2:24">
      <c r="B1031" s="109"/>
      <c r="C1031" s="109"/>
      <c r="D1031" s="20" t="str">
        <f t="shared" ref="D1031:D1036" si="202">D1030</f>
        <v>康立明生物</v>
      </c>
      <c r="E1031" s="109"/>
      <c r="F1031" s="112"/>
      <c r="G1031" s="109"/>
      <c r="H1031" s="109"/>
      <c r="I1031" s="109"/>
      <c r="J1031" s="109"/>
      <c r="K1031" s="14" t="str">
        <f t="shared" ref="K1031:K1036" si="203">K1030</f>
        <v>运营中</v>
      </c>
      <c r="L1031" s="109"/>
      <c r="M1031" s="109"/>
      <c r="N1031" s="13"/>
      <c r="O1031" s="24">
        <v>44101</v>
      </c>
      <c r="P1031" s="13" t="s">
        <v>5613</v>
      </c>
      <c r="Q1031" s="13" t="s">
        <v>6043</v>
      </c>
      <c r="R1031" s="13" t="s">
        <v>7092</v>
      </c>
      <c r="S1031" s="109"/>
      <c r="T1031" s="109"/>
      <c r="U1031" s="112"/>
      <c r="V1031" s="109"/>
      <c r="W1031" s="109"/>
      <c r="X1031" s="109"/>
    </row>
    <row r="1032" spans="2:24">
      <c r="B1032" s="109"/>
      <c r="C1032" s="109"/>
      <c r="D1032" s="20" t="str">
        <f t="shared" si="202"/>
        <v>康立明生物</v>
      </c>
      <c r="E1032" s="109"/>
      <c r="F1032" s="112"/>
      <c r="G1032" s="109"/>
      <c r="H1032" s="109"/>
      <c r="I1032" s="109"/>
      <c r="J1032" s="109"/>
      <c r="K1032" s="14" t="str">
        <f t="shared" si="203"/>
        <v>运营中</v>
      </c>
      <c r="L1032" s="109"/>
      <c r="M1032" s="109"/>
      <c r="N1032" s="13"/>
      <c r="O1032" s="24">
        <v>43697</v>
      </c>
      <c r="P1032" s="13" t="s">
        <v>1045</v>
      </c>
      <c r="Q1032" s="13" t="s">
        <v>2030</v>
      </c>
      <c r="R1032" s="13" t="s">
        <v>3559</v>
      </c>
      <c r="S1032" s="109"/>
      <c r="T1032" s="109"/>
      <c r="U1032" s="112"/>
      <c r="V1032" s="109"/>
      <c r="W1032" s="109"/>
      <c r="X1032" s="109"/>
    </row>
    <row r="1033" spans="2:24">
      <c r="B1033" s="109"/>
      <c r="C1033" s="109"/>
      <c r="D1033" s="20" t="str">
        <f t="shared" si="202"/>
        <v>康立明生物</v>
      </c>
      <c r="E1033" s="109"/>
      <c r="F1033" s="112"/>
      <c r="G1033" s="109"/>
      <c r="H1033" s="109"/>
      <c r="I1033" s="109"/>
      <c r="J1033" s="109"/>
      <c r="K1033" s="14" t="str">
        <f t="shared" si="203"/>
        <v>运营中</v>
      </c>
      <c r="L1033" s="109"/>
      <c r="M1033" s="109"/>
      <c r="N1033" s="13"/>
      <c r="O1033" s="24">
        <v>43567</v>
      </c>
      <c r="P1033" s="13" t="s">
        <v>3648</v>
      </c>
      <c r="Q1033" s="13" t="s">
        <v>4754</v>
      </c>
      <c r="R1033" s="13" t="s">
        <v>7093</v>
      </c>
      <c r="S1033" s="109"/>
      <c r="T1033" s="109"/>
      <c r="U1033" s="112"/>
      <c r="V1033" s="109"/>
      <c r="W1033" s="109"/>
      <c r="X1033" s="109"/>
    </row>
    <row r="1034" spans="2:24">
      <c r="B1034" s="109"/>
      <c r="C1034" s="109"/>
      <c r="D1034" s="20" t="str">
        <f t="shared" si="202"/>
        <v>康立明生物</v>
      </c>
      <c r="E1034" s="109"/>
      <c r="F1034" s="112"/>
      <c r="G1034" s="109"/>
      <c r="H1034" s="109"/>
      <c r="I1034" s="109"/>
      <c r="J1034" s="109"/>
      <c r="K1034" s="14" t="str">
        <f t="shared" si="203"/>
        <v>运营中</v>
      </c>
      <c r="L1034" s="109"/>
      <c r="M1034" s="109"/>
      <c r="N1034" s="13"/>
      <c r="O1034" s="24">
        <v>42929</v>
      </c>
      <c r="P1034" s="13" t="s">
        <v>3513</v>
      </c>
      <c r="Q1034" s="13" t="s">
        <v>2030</v>
      </c>
      <c r="R1034" s="13" t="s">
        <v>3561</v>
      </c>
      <c r="S1034" s="109"/>
      <c r="T1034" s="109"/>
      <c r="U1034" s="112"/>
      <c r="V1034" s="109"/>
      <c r="W1034" s="109"/>
      <c r="X1034" s="109"/>
    </row>
    <row r="1035" spans="2:24">
      <c r="B1035" s="109"/>
      <c r="C1035" s="109"/>
      <c r="D1035" s="20" t="str">
        <f t="shared" si="202"/>
        <v>康立明生物</v>
      </c>
      <c r="E1035" s="109"/>
      <c r="F1035" s="112"/>
      <c r="G1035" s="109"/>
      <c r="H1035" s="109"/>
      <c r="I1035" s="109"/>
      <c r="J1035" s="109"/>
      <c r="K1035" s="14" t="str">
        <f t="shared" si="203"/>
        <v>运营中</v>
      </c>
      <c r="L1035" s="109"/>
      <c r="M1035" s="109"/>
      <c r="N1035" s="13"/>
      <c r="O1035" s="24">
        <v>42546</v>
      </c>
      <c r="P1035" s="13" t="s">
        <v>5454</v>
      </c>
      <c r="Q1035" s="13" t="s">
        <v>2030</v>
      </c>
      <c r="R1035" s="13" t="s">
        <v>7094</v>
      </c>
      <c r="S1035" s="109"/>
      <c r="T1035" s="109"/>
      <c r="U1035" s="112"/>
      <c r="V1035" s="109"/>
      <c r="W1035" s="109"/>
      <c r="X1035" s="109"/>
    </row>
    <row r="1036" spans="2:24">
      <c r="B1036" s="109"/>
      <c r="C1036" s="109"/>
      <c r="D1036" s="20" t="str">
        <f t="shared" si="202"/>
        <v>康立明生物</v>
      </c>
      <c r="E1036" s="109"/>
      <c r="F1036" s="112"/>
      <c r="G1036" s="109"/>
      <c r="H1036" s="109"/>
      <c r="I1036" s="109"/>
      <c r="J1036" s="109"/>
      <c r="K1036" s="14" t="str">
        <f t="shared" si="203"/>
        <v>运营中</v>
      </c>
      <c r="L1036" s="109"/>
      <c r="M1036" s="109"/>
      <c r="N1036" s="13"/>
      <c r="O1036" s="24">
        <v>42016</v>
      </c>
      <c r="P1036" s="13" t="s">
        <v>5474</v>
      </c>
      <c r="Q1036" s="13" t="s">
        <v>5646</v>
      </c>
      <c r="R1036" s="13" t="s">
        <v>7095</v>
      </c>
      <c r="S1036" s="109"/>
      <c r="T1036" s="109"/>
      <c r="U1036" s="112"/>
      <c r="V1036" s="109"/>
      <c r="W1036" s="109"/>
      <c r="X1036" s="109"/>
    </row>
    <row r="1037" spans="2:24">
      <c r="B1037" s="109"/>
      <c r="C1037" s="109" t="s">
        <v>1401</v>
      </c>
      <c r="D1037" s="20" t="s">
        <v>7096</v>
      </c>
      <c r="E1037" s="109" t="s">
        <v>7097</v>
      </c>
      <c r="F1037" s="112" t="s">
        <v>3565</v>
      </c>
      <c r="G1037" s="109" t="s">
        <v>7098</v>
      </c>
      <c r="H1037" s="109" t="s">
        <v>3567</v>
      </c>
      <c r="I1037" s="109" t="s">
        <v>3568</v>
      </c>
      <c r="J1037" s="109" t="s">
        <v>2431</v>
      </c>
      <c r="K1037" s="14" t="s">
        <v>272</v>
      </c>
      <c r="L1037" s="109" t="s">
        <v>3274</v>
      </c>
      <c r="M1037" s="109" t="s">
        <v>6178</v>
      </c>
      <c r="N1037" s="13">
        <v>1</v>
      </c>
      <c r="O1037" s="24">
        <v>44103</v>
      </c>
      <c r="P1037" s="13" t="s">
        <v>5625</v>
      </c>
      <c r="Q1037" s="13" t="s">
        <v>7099</v>
      </c>
      <c r="R1037" s="13" t="s">
        <v>253</v>
      </c>
      <c r="S1037" s="109" t="s">
        <v>7100</v>
      </c>
      <c r="T1037" s="109" t="s">
        <v>7101</v>
      </c>
      <c r="U1037" s="112" t="s">
        <v>3572</v>
      </c>
      <c r="V1037" s="109" t="s">
        <v>3573</v>
      </c>
      <c r="W1037" s="109">
        <v>95311</v>
      </c>
      <c r="X1037" s="109" t="s">
        <v>3574</v>
      </c>
    </row>
    <row r="1038" spans="2:24">
      <c r="B1038" s="109"/>
      <c r="C1038" s="109"/>
      <c r="D1038" s="20" t="str">
        <f>D1037</f>
        <v>中通快递</v>
      </c>
      <c r="E1038" s="109"/>
      <c r="F1038" s="112"/>
      <c r="G1038" s="109"/>
      <c r="H1038" s="109"/>
      <c r="I1038" s="109"/>
      <c r="J1038" s="109"/>
      <c r="K1038" s="14" t="str">
        <f t="shared" ref="K1038:K1041" si="204">K1037</f>
        <v>运营中</v>
      </c>
      <c r="L1038" s="109"/>
      <c r="M1038" s="109"/>
      <c r="N1038" s="13">
        <v>1</v>
      </c>
      <c r="O1038" s="24">
        <v>43250</v>
      </c>
      <c r="P1038" s="13" t="s">
        <v>5810</v>
      </c>
      <c r="Q1038" s="13" t="s">
        <v>7102</v>
      </c>
      <c r="R1038" s="13" t="s">
        <v>3576</v>
      </c>
      <c r="S1038" s="109"/>
      <c r="T1038" s="109"/>
      <c r="U1038" s="112"/>
      <c r="V1038" s="109"/>
      <c r="W1038" s="109"/>
      <c r="X1038" s="109"/>
    </row>
    <row r="1039" spans="2:24">
      <c r="B1039" s="109"/>
      <c r="C1039" s="109"/>
      <c r="D1039" s="20" t="str">
        <f>D1038</f>
        <v>中通快递</v>
      </c>
      <c r="E1039" s="109"/>
      <c r="F1039" s="112"/>
      <c r="G1039" s="109"/>
      <c r="H1039" s="109"/>
      <c r="I1039" s="109"/>
      <c r="J1039" s="109"/>
      <c r="K1039" s="14" t="str">
        <f t="shared" si="204"/>
        <v>运营中</v>
      </c>
      <c r="L1039" s="109"/>
      <c r="M1039" s="109"/>
      <c r="N1039" s="13">
        <v>1</v>
      </c>
      <c r="O1039" s="24">
        <v>42670</v>
      </c>
      <c r="P1039" s="13" t="s">
        <v>5625</v>
      </c>
      <c r="Q1039" s="13" t="s">
        <v>6819</v>
      </c>
      <c r="R1039" s="13" t="s">
        <v>253</v>
      </c>
      <c r="S1039" s="109"/>
      <c r="T1039" s="109"/>
      <c r="U1039" s="112"/>
      <c r="V1039" s="109"/>
      <c r="W1039" s="109"/>
      <c r="X1039" s="109"/>
    </row>
    <row r="1040" spans="2:24">
      <c r="B1040" s="109"/>
      <c r="C1040" s="109"/>
      <c r="D1040" s="20" t="str">
        <f>D1039</f>
        <v>中通快递</v>
      </c>
      <c r="E1040" s="109"/>
      <c r="F1040" s="112"/>
      <c r="G1040" s="109"/>
      <c r="H1040" s="109"/>
      <c r="I1040" s="109"/>
      <c r="J1040" s="109"/>
      <c r="K1040" s="14" t="str">
        <f t="shared" si="204"/>
        <v>运营中</v>
      </c>
      <c r="L1040" s="109"/>
      <c r="M1040" s="109"/>
      <c r="N1040" s="13">
        <v>1</v>
      </c>
      <c r="O1040" s="24">
        <v>42164</v>
      </c>
      <c r="P1040" s="13" t="s">
        <v>3648</v>
      </c>
      <c r="Q1040" s="13" t="s">
        <v>6039</v>
      </c>
      <c r="R1040" s="13" t="s">
        <v>3577</v>
      </c>
      <c r="S1040" s="109"/>
      <c r="T1040" s="109"/>
      <c r="U1040" s="112"/>
      <c r="V1040" s="109"/>
      <c r="W1040" s="109"/>
      <c r="X1040" s="109"/>
    </row>
    <row r="1041" spans="2:24">
      <c r="B1041" s="109"/>
      <c r="C1041" s="109"/>
      <c r="D1041" s="20" t="str">
        <f>D1040</f>
        <v>中通快递</v>
      </c>
      <c r="E1041" s="109"/>
      <c r="F1041" s="112"/>
      <c r="G1041" s="109"/>
      <c r="H1041" s="109"/>
      <c r="I1041" s="109"/>
      <c r="J1041" s="109"/>
      <c r="K1041" s="14" t="str">
        <f t="shared" si="204"/>
        <v>运营中</v>
      </c>
      <c r="L1041" s="109"/>
      <c r="M1041" s="109"/>
      <c r="N1041" s="13">
        <v>1</v>
      </c>
      <c r="O1041" s="24">
        <v>41411</v>
      </c>
      <c r="P1041" s="13" t="s">
        <v>3513</v>
      </c>
      <c r="Q1041" s="13" t="s">
        <v>3514</v>
      </c>
      <c r="R1041" s="13" t="s">
        <v>3578</v>
      </c>
      <c r="S1041" s="109"/>
      <c r="T1041" s="109"/>
      <c r="U1041" s="112"/>
      <c r="V1041" s="109"/>
      <c r="W1041" s="109"/>
      <c r="X1041" s="109"/>
    </row>
    <row r="1042" spans="2:24">
      <c r="B1042" s="109"/>
      <c r="C1042" s="109" t="s">
        <v>3579</v>
      </c>
      <c r="D1042" s="20" t="s">
        <v>7103</v>
      </c>
      <c r="E1042" s="109" t="s">
        <v>7104</v>
      </c>
      <c r="F1042" s="112" t="s">
        <v>3581</v>
      </c>
      <c r="G1042" s="109" t="s">
        <v>7105</v>
      </c>
      <c r="H1042" s="109" t="s">
        <v>3583</v>
      </c>
      <c r="I1042" s="109" t="s">
        <v>3584</v>
      </c>
      <c r="J1042" s="109" t="s">
        <v>247</v>
      </c>
      <c r="K1042" s="14" t="s">
        <v>272</v>
      </c>
      <c r="L1042" s="109" t="s">
        <v>2711</v>
      </c>
      <c r="M1042" s="109" t="s">
        <v>4903</v>
      </c>
      <c r="N1042" s="13">
        <v>1</v>
      </c>
      <c r="O1042" s="24">
        <v>44509</v>
      </c>
      <c r="P1042" s="13" t="s">
        <v>1045</v>
      </c>
      <c r="Q1042" s="13" t="s">
        <v>6222</v>
      </c>
      <c r="R1042" s="13" t="s">
        <v>586</v>
      </c>
      <c r="S1042" s="109" t="s">
        <v>7106</v>
      </c>
      <c r="T1042" s="109" t="s">
        <v>7107</v>
      </c>
      <c r="U1042" s="112" t="s">
        <v>3587</v>
      </c>
      <c r="V1042" s="109" t="s">
        <v>3588</v>
      </c>
      <c r="W1042" s="109" t="s">
        <v>3589</v>
      </c>
      <c r="X1042" s="109" t="s">
        <v>3590</v>
      </c>
    </row>
    <row r="1043" spans="2:24">
      <c r="B1043" s="109"/>
      <c r="C1043" s="109"/>
      <c r="D1043" s="20" t="str">
        <f t="shared" ref="D1043:D1052" si="205">D1042</f>
        <v>哈啰</v>
      </c>
      <c r="E1043" s="109"/>
      <c r="F1043" s="112"/>
      <c r="G1043" s="109"/>
      <c r="H1043" s="109"/>
      <c r="I1043" s="109"/>
      <c r="J1043" s="109"/>
      <c r="K1043" s="14" t="str">
        <f t="shared" ref="K1043:K1052" si="206">K1042</f>
        <v>运营中</v>
      </c>
      <c r="L1043" s="109"/>
      <c r="M1043" s="109"/>
      <c r="N1043" s="13">
        <v>1</v>
      </c>
      <c r="O1043" s="24">
        <v>43662</v>
      </c>
      <c r="P1043" s="13" t="s">
        <v>1045</v>
      </c>
      <c r="Q1043" s="13" t="s">
        <v>4562</v>
      </c>
      <c r="R1043" s="13" t="s">
        <v>6507</v>
      </c>
      <c r="S1043" s="109"/>
      <c r="T1043" s="109"/>
      <c r="U1043" s="112"/>
      <c r="V1043" s="109"/>
      <c r="W1043" s="109"/>
      <c r="X1043" s="109"/>
    </row>
    <row r="1044" spans="2:24">
      <c r="B1044" s="109"/>
      <c r="C1044" s="109"/>
      <c r="D1044" s="20" t="str">
        <f t="shared" si="205"/>
        <v>哈啰</v>
      </c>
      <c r="E1044" s="109"/>
      <c r="F1044" s="112"/>
      <c r="G1044" s="109"/>
      <c r="H1044" s="109"/>
      <c r="I1044" s="109"/>
      <c r="J1044" s="109"/>
      <c r="K1044" s="14" t="str">
        <f t="shared" si="206"/>
        <v>运营中</v>
      </c>
      <c r="L1044" s="109"/>
      <c r="M1044" s="109"/>
      <c r="N1044" s="13">
        <v>1</v>
      </c>
      <c r="O1044" s="24">
        <v>43346</v>
      </c>
      <c r="P1044" s="13" t="s">
        <v>1045</v>
      </c>
      <c r="Q1044" s="13" t="s">
        <v>6872</v>
      </c>
      <c r="R1044" s="13" t="s">
        <v>3591</v>
      </c>
      <c r="S1044" s="109"/>
      <c r="T1044" s="109"/>
      <c r="U1044" s="112"/>
      <c r="V1044" s="109"/>
      <c r="W1044" s="109"/>
      <c r="X1044" s="109"/>
    </row>
    <row r="1045" spans="2:24">
      <c r="B1045" s="109"/>
      <c r="C1045" s="109"/>
      <c r="D1045" s="20" t="str">
        <f t="shared" si="205"/>
        <v>哈啰</v>
      </c>
      <c r="E1045" s="109"/>
      <c r="F1045" s="112"/>
      <c r="G1045" s="109"/>
      <c r="H1045" s="109"/>
      <c r="I1045" s="109"/>
      <c r="J1045" s="109"/>
      <c r="K1045" s="14" t="str">
        <f t="shared" si="206"/>
        <v>运营中</v>
      </c>
      <c r="L1045" s="109"/>
      <c r="M1045" s="109"/>
      <c r="N1045" s="13">
        <v>1</v>
      </c>
      <c r="O1045" s="24">
        <v>43252</v>
      </c>
      <c r="P1045" s="13" t="s">
        <v>5635</v>
      </c>
      <c r="Q1045" s="13" t="s">
        <v>6060</v>
      </c>
      <c r="R1045" s="13" t="s">
        <v>6507</v>
      </c>
      <c r="S1045" s="109"/>
      <c r="T1045" s="109"/>
      <c r="U1045" s="112"/>
      <c r="V1045" s="109"/>
      <c r="W1045" s="109"/>
      <c r="X1045" s="109"/>
    </row>
    <row r="1046" spans="2:24">
      <c r="B1046" s="109"/>
      <c r="C1046" s="109"/>
      <c r="D1046" s="20" t="str">
        <f t="shared" si="205"/>
        <v>哈啰</v>
      </c>
      <c r="E1046" s="109"/>
      <c r="F1046" s="112"/>
      <c r="G1046" s="109"/>
      <c r="H1046" s="109"/>
      <c r="I1046" s="109"/>
      <c r="J1046" s="109"/>
      <c r="K1046" s="14" t="str">
        <f t="shared" si="206"/>
        <v>运营中</v>
      </c>
      <c r="L1046" s="109"/>
      <c r="M1046" s="109"/>
      <c r="N1046" s="13">
        <v>1</v>
      </c>
      <c r="O1046" s="24">
        <v>43203</v>
      </c>
      <c r="P1046" s="13" t="s">
        <v>3276</v>
      </c>
      <c r="Q1046" s="13" t="s">
        <v>5643</v>
      </c>
      <c r="R1046" s="13" t="s">
        <v>3592</v>
      </c>
      <c r="S1046" s="109"/>
      <c r="T1046" s="109"/>
      <c r="U1046" s="112"/>
      <c r="V1046" s="109"/>
      <c r="W1046" s="109"/>
      <c r="X1046" s="109"/>
    </row>
    <row r="1047" spans="2:24">
      <c r="B1047" s="109"/>
      <c r="C1047" s="109"/>
      <c r="D1047" s="20" t="str">
        <f t="shared" si="205"/>
        <v>哈啰</v>
      </c>
      <c r="E1047" s="109"/>
      <c r="F1047" s="112"/>
      <c r="G1047" s="109"/>
      <c r="H1047" s="109"/>
      <c r="I1047" s="109"/>
      <c r="J1047" s="109"/>
      <c r="K1047" s="14" t="str">
        <f t="shared" si="206"/>
        <v>运营中</v>
      </c>
      <c r="L1047" s="109"/>
      <c r="M1047" s="109"/>
      <c r="N1047" s="13">
        <v>1</v>
      </c>
      <c r="O1047" s="24">
        <v>43073</v>
      </c>
      <c r="P1047" s="13" t="s">
        <v>1827</v>
      </c>
      <c r="Q1047" s="13" t="s">
        <v>5945</v>
      </c>
      <c r="R1047" s="13" t="s">
        <v>3593</v>
      </c>
      <c r="S1047" s="109"/>
      <c r="T1047" s="109"/>
      <c r="U1047" s="112"/>
      <c r="V1047" s="109"/>
      <c r="W1047" s="109"/>
      <c r="X1047" s="109"/>
    </row>
    <row r="1048" spans="2:24">
      <c r="B1048" s="109"/>
      <c r="C1048" s="109"/>
      <c r="D1048" s="20" t="str">
        <f t="shared" si="205"/>
        <v>哈啰</v>
      </c>
      <c r="E1048" s="109"/>
      <c r="F1048" s="112"/>
      <c r="G1048" s="109"/>
      <c r="H1048" s="109"/>
      <c r="I1048" s="109"/>
      <c r="J1048" s="109"/>
      <c r="K1048" s="14" t="str">
        <f t="shared" si="206"/>
        <v>运营中</v>
      </c>
      <c r="L1048" s="109"/>
      <c r="M1048" s="109"/>
      <c r="N1048" s="13">
        <v>1</v>
      </c>
      <c r="O1048" s="24">
        <v>43032</v>
      </c>
      <c r="P1048" s="13" t="s">
        <v>5641</v>
      </c>
      <c r="Q1048" s="13" t="s">
        <v>2030</v>
      </c>
      <c r="R1048" s="13" t="s">
        <v>7108</v>
      </c>
      <c r="S1048" s="109"/>
      <c r="T1048" s="109"/>
      <c r="U1048" s="112"/>
      <c r="V1048" s="109"/>
      <c r="W1048" s="109"/>
      <c r="X1048" s="109"/>
    </row>
    <row r="1049" spans="2:24">
      <c r="B1049" s="109"/>
      <c r="C1049" s="109"/>
      <c r="D1049" s="20" t="str">
        <f t="shared" si="205"/>
        <v>哈啰</v>
      </c>
      <c r="E1049" s="109"/>
      <c r="F1049" s="112"/>
      <c r="G1049" s="109"/>
      <c r="H1049" s="109"/>
      <c r="I1049" s="109"/>
      <c r="J1049" s="109"/>
      <c r="K1049" s="14" t="str">
        <f t="shared" si="206"/>
        <v>运营中</v>
      </c>
      <c r="L1049" s="109"/>
      <c r="M1049" s="109"/>
      <c r="N1049" s="13">
        <v>1</v>
      </c>
      <c r="O1049" s="24">
        <v>42915</v>
      </c>
      <c r="P1049" s="13" t="s">
        <v>5754</v>
      </c>
      <c r="Q1049" s="13" t="s">
        <v>1750</v>
      </c>
      <c r="R1049" s="13" t="s">
        <v>7109</v>
      </c>
      <c r="S1049" s="109"/>
      <c r="T1049" s="109"/>
      <c r="U1049" s="112"/>
      <c r="V1049" s="109"/>
      <c r="W1049" s="109"/>
      <c r="X1049" s="109"/>
    </row>
    <row r="1050" spans="2:24">
      <c r="B1050" s="109"/>
      <c r="C1050" s="109"/>
      <c r="D1050" s="20" t="str">
        <f t="shared" si="205"/>
        <v>哈啰</v>
      </c>
      <c r="E1050" s="109"/>
      <c r="F1050" s="112"/>
      <c r="G1050" s="109"/>
      <c r="H1050" s="109"/>
      <c r="I1050" s="109"/>
      <c r="J1050" s="109"/>
      <c r="K1050" s="14" t="str">
        <f t="shared" si="206"/>
        <v>运营中</v>
      </c>
      <c r="L1050" s="109"/>
      <c r="M1050" s="109"/>
      <c r="N1050" s="13">
        <v>1</v>
      </c>
      <c r="O1050" s="24">
        <v>42842</v>
      </c>
      <c r="P1050" s="13" t="s">
        <v>3648</v>
      </c>
      <c r="Q1050" s="13" t="s">
        <v>1750</v>
      </c>
      <c r="R1050" s="13" t="s">
        <v>7110</v>
      </c>
      <c r="S1050" s="109"/>
      <c r="T1050" s="109"/>
      <c r="U1050" s="112"/>
      <c r="V1050" s="109"/>
      <c r="W1050" s="109"/>
      <c r="X1050" s="109"/>
    </row>
    <row r="1051" spans="2:24">
      <c r="B1051" s="109"/>
      <c r="C1051" s="109"/>
      <c r="D1051" s="20" t="str">
        <f t="shared" si="205"/>
        <v>哈啰</v>
      </c>
      <c r="E1051" s="109"/>
      <c r="F1051" s="112"/>
      <c r="G1051" s="109"/>
      <c r="H1051" s="109"/>
      <c r="I1051" s="109"/>
      <c r="J1051" s="109"/>
      <c r="K1051" s="14" t="str">
        <f t="shared" si="206"/>
        <v>运营中</v>
      </c>
      <c r="L1051" s="109"/>
      <c r="M1051" s="109"/>
      <c r="N1051" s="13">
        <v>1</v>
      </c>
      <c r="O1051" s="24">
        <v>42747</v>
      </c>
      <c r="P1051" s="13" t="s">
        <v>4306</v>
      </c>
      <c r="Q1051" s="13" t="s">
        <v>3514</v>
      </c>
      <c r="R1051" s="13" t="s">
        <v>7111</v>
      </c>
      <c r="S1051" s="109"/>
      <c r="T1051" s="109"/>
      <c r="U1051" s="112"/>
      <c r="V1051" s="109"/>
      <c r="W1051" s="109"/>
      <c r="X1051" s="109"/>
    </row>
    <row r="1052" spans="2:24">
      <c r="B1052" s="109"/>
      <c r="C1052" s="109"/>
      <c r="D1052" s="20" t="str">
        <f t="shared" si="205"/>
        <v>哈啰</v>
      </c>
      <c r="E1052" s="109"/>
      <c r="F1052" s="112"/>
      <c r="G1052" s="109"/>
      <c r="H1052" s="109"/>
      <c r="I1052" s="109"/>
      <c r="J1052" s="109"/>
      <c r="K1052" s="14" t="str">
        <f t="shared" si="206"/>
        <v>运营中</v>
      </c>
      <c r="L1052" s="109"/>
      <c r="M1052" s="109"/>
      <c r="N1052" s="13">
        <v>1</v>
      </c>
      <c r="O1052" s="24">
        <v>42678</v>
      </c>
      <c r="P1052" s="13" t="s">
        <v>3513</v>
      </c>
      <c r="Q1052" s="13" t="s">
        <v>3514</v>
      </c>
      <c r="R1052" s="13" t="s">
        <v>7112</v>
      </c>
      <c r="S1052" s="109"/>
      <c r="T1052" s="109"/>
      <c r="U1052" s="112"/>
      <c r="V1052" s="109"/>
      <c r="W1052" s="109"/>
      <c r="X1052" s="109"/>
    </row>
    <row r="1053" spans="2:24">
      <c r="B1053" s="109"/>
      <c r="C1053" s="109" t="s">
        <v>3599</v>
      </c>
      <c r="D1053" s="20" t="s">
        <v>3600</v>
      </c>
      <c r="E1053" s="109" t="s">
        <v>3600</v>
      </c>
      <c r="F1053" s="112" t="s">
        <v>7113</v>
      </c>
      <c r="G1053" s="109" t="s">
        <v>3602</v>
      </c>
      <c r="H1053" s="109" t="s">
        <v>3603</v>
      </c>
      <c r="I1053" s="109" t="s">
        <v>3332</v>
      </c>
      <c r="J1053" s="109" t="s">
        <v>3604</v>
      </c>
      <c r="K1053" s="14" t="s">
        <v>272</v>
      </c>
      <c r="L1053" s="109" t="s">
        <v>7114</v>
      </c>
      <c r="M1053" s="109" t="s">
        <v>7115</v>
      </c>
      <c r="N1053" s="13"/>
      <c r="O1053" s="24">
        <v>43712</v>
      </c>
      <c r="P1053" s="13" t="s">
        <v>3513</v>
      </c>
      <c r="Q1053" s="13" t="s">
        <v>5644</v>
      </c>
      <c r="R1053" s="13" t="s">
        <v>3607</v>
      </c>
      <c r="S1053" s="109" t="s">
        <v>7116</v>
      </c>
      <c r="T1053" s="109" t="s">
        <v>5671</v>
      </c>
      <c r="U1053" s="112"/>
      <c r="V1053" s="109"/>
      <c r="W1053" s="109"/>
      <c r="X1053" s="109"/>
    </row>
    <row r="1054" spans="2:24">
      <c r="B1054" s="109"/>
      <c r="C1054" s="109"/>
      <c r="D1054" s="20" t="str">
        <f>D1053</f>
        <v>Bitmark</v>
      </c>
      <c r="E1054" s="109"/>
      <c r="F1054" s="112"/>
      <c r="G1054" s="109"/>
      <c r="H1054" s="109"/>
      <c r="I1054" s="109"/>
      <c r="J1054" s="109"/>
      <c r="K1054" s="14" t="str">
        <f>K1053</f>
        <v>运营中</v>
      </c>
      <c r="L1054" s="109"/>
      <c r="M1054" s="109"/>
      <c r="N1054" s="13"/>
      <c r="O1054" s="24">
        <v>42692</v>
      </c>
      <c r="P1054" s="13" t="s">
        <v>5697</v>
      </c>
      <c r="Q1054" s="13" t="s">
        <v>7117</v>
      </c>
      <c r="R1054" s="13" t="s">
        <v>3610</v>
      </c>
      <c r="S1054" s="109"/>
      <c r="T1054" s="109"/>
      <c r="U1054" s="112"/>
      <c r="V1054" s="109"/>
      <c r="W1054" s="109"/>
      <c r="X1054" s="109"/>
    </row>
    <row r="1055" spans="2:24">
      <c r="B1055" s="109"/>
      <c r="C1055" s="109" t="s">
        <v>3611</v>
      </c>
      <c r="D1055" s="20" t="s">
        <v>7118</v>
      </c>
      <c r="E1055" s="109" t="s">
        <v>7119</v>
      </c>
      <c r="F1055" s="112" t="s">
        <v>3613</v>
      </c>
      <c r="G1055" s="109" t="s">
        <v>7120</v>
      </c>
      <c r="H1055" s="109" t="s">
        <v>3615</v>
      </c>
      <c r="I1055" s="109" t="s">
        <v>3616</v>
      </c>
      <c r="J1055" s="109" t="s">
        <v>3617</v>
      </c>
      <c r="K1055" s="14" t="s">
        <v>272</v>
      </c>
      <c r="L1055" s="109" t="s">
        <v>4472</v>
      </c>
      <c r="M1055" s="109" t="s">
        <v>5780</v>
      </c>
      <c r="N1055" s="13">
        <v>1</v>
      </c>
      <c r="O1055" s="24">
        <v>42692</v>
      </c>
      <c r="P1055" s="13" t="s">
        <v>5810</v>
      </c>
      <c r="Q1055" s="13" t="s">
        <v>7121</v>
      </c>
      <c r="R1055" s="13" t="s">
        <v>1751</v>
      </c>
      <c r="S1055" s="109" t="s">
        <v>7122</v>
      </c>
      <c r="T1055" s="109" t="s">
        <v>7123</v>
      </c>
      <c r="U1055" s="112" t="s">
        <v>3621</v>
      </c>
      <c r="V1055" s="109" t="s">
        <v>3622</v>
      </c>
      <c r="W1055" s="109" t="s">
        <v>3623</v>
      </c>
      <c r="X1055" s="109" t="s">
        <v>3624</v>
      </c>
    </row>
    <row r="1056" spans="2:24">
      <c r="B1056" s="109"/>
      <c r="C1056" s="109"/>
      <c r="D1056" s="20" t="str">
        <f>D1055</f>
        <v>三江购物</v>
      </c>
      <c r="E1056" s="109"/>
      <c r="F1056" s="112"/>
      <c r="G1056" s="109"/>
      <c r="H1056" s="109"/>
      <c r="I1056" s="109"/>
      <c r="J1056" s="109"/>
      <c r="K1056" s="14" t="str">
        <f>K1055</f>
        <v>运营中</v>
      </c>
      <c r="L1056" s="109"/>
      <c r="M1056" s="109"/>
      <c r="N1056" s="13">
        <v>1</v>
      </c>
      <c r="O1056" s="24">
        <v>40604</v>
      </c>
      <c r="P1056" s="13" t="s">
        <v>5625</v>
      </c>
      <c r="Q1056" s="13" t="s">
        <v>1750</v>
      </c>
      <c r="R1056" s="13" t="s">
        <v>253</v>
      </c>
      <c r="S1056" s="109"/>
      <c r="T1056" s="109"/>
      <c r="U1056" s="112"/>
      <c r="V1056" s="109"/>
      <c r="W1056" s="109"/>
      <c r="X1056" s="109"/>
    </row>
    <row r="1057" spans="2:24">
      <c r="B1057" s="109"/>
      <c r="C1057" s="109" t="s">
        <v>3625</v>
      </c>
      <c r="D1057" s="20" t="s">
        <v>3626</v>
      </c>
      <c r="E1057" s="109" t="s">
        <v>3626</v>
      </c>
      <c r="F1057" s="112" t="s">
        <v>7124</v>
      </c>
      <c r="G1057" s="109"/>
      <c r="H1057" s="109" t="s">
        <v>3628</v>
      </c>
      <c r="I1057" s="109" t="s">
        <v>3629</v>
      </c>
      <c r="J1057" s="109" t="s">
        <v>1564</v>
      </c>
      <c r="K1057" s="14" t="s">
        <v>272</v>
      </c>
      <c r="L1057" s="109" t="s">
        <v>3661</v>
      </c>
      <c r="M1057" s="109" t="s">
        <v>5031</v>
      </c>
      <c r="N1057" s="13">
        <v>1</v>
      </c>
      <c r="O1057" s="24">
        <v>43627</v>
      </c>
      <c r="P1057" s="13" t="s">
        <v>5709</v>
      </c>
      <c r="Q1057" s="13" t="s">
        <v>5000</v>
      </c>
      <c r="R1057" s="13" t="s">
        <v>3630</v>
      </c>
      <c r="S1057" s="109" t="s">
        <v>7125</v>
      </c>
      <c r="T1057" s="109" t="s">
        <v>3664</v>
      </c>
      <c r="U1057" s="112" t="s">
        <v>3632</v>
      </c>
      <c r="V1057" s="109"/>
      <c r="W1057" s="109"/>
      <c r="X1057" s="109" t="s">
        <v>3633</v>
      </c>
    </row>
    <row r="1058" spans="2:24">
      <c r="B1058" s="109"/>
      <c r="C1058" s="109"/>
      <c r="D1058" s="20" t="str">
        <f>D1057</f>
        <v>Barefoot</v>
      </c>
      <c r="E1058" s="109"/>
      <c r="F1058" s="112"/>
      <c r="G1058" s="109"/>
      <c r="H1058" s="109"/>
      <c r="I1058" s="109"/>
      <c r="J1058" s="109"/>
      <c r="K1058" s="14" t="str">
        <f t="shared" ref="K1058:K1059" si="207">K1057</f>
        <v>运营中</v>
      </c>
      <c r="L1058" s="109"/>
      <c r="M1058" s="109"/>
      <c r="N1058" s="13">
        <v>1</v>
      </c>
      <c r="O1058" s="24">
        <v>42697</v>
      </c>
      <c r="P1058" s="13" t="s">
        <v>1045</v>
      </c>
      <c r="Q1058" s="13" t="s">
        <v>7126</v>
      </c>
      <c r="R1058" s="13" t="s">
        <v>810</v>
      </c>
      <c r="S1058" s="109"/>
      <c r="T1058" s="109"/>
      <c r="U1058" s="112"/>
      <c r="V1058" s="109"/>
      <c r="W1058" s="109"/>
      <c r="X1058" s="109"/>
    </row>
    <row r="1059" spans="2:24">
      <c r="B1059" s="109"/>
      <c r="C1059" s="109"/>
      <c r="D1059" s="20" t="str">
        <f>D1058</f>
        <v>Barefoot</v>
      </c>
      <c r="E1059" s="109"/>
      <c r="F1059" s="112"/>
      <c r="G1059" s="109"/>
      <c r="H1059" s="109"/>
      <c r="I1059" s="109"/>
      <c r="J1059" s="109"/>
      <c r="K1059" s="14" t="str">
        <f t="shared" si="207"/>
        <v>运营中</v>
      </c>
      <c r="L1059" s="109"/>
      <c r="M1059" s="109"/>
      <c r="N1059" s="13">
        <v>1</v>
      </c>
      <c r="O1059" s="24">
        <v>42532</v>
      </c>
      <c r="P1059" s="13" t="s">
        <v>3648</v>
      </c>
      <c r="Q1059" s="13" t="s">
        <v>5880</v>
      </c>
      <c r="R1059" s="13" t="s">
        <v>3635</v>
      </c>
      <c r="S1059" s="109"/>
      <c r="T1059" s="109"/>
      <c r="U1059" s="112"/>
      <c r="V1059" s="109"/>
      <c r="W1059" s="109"/>
      <c r="X1059" s="109"/>
    </row>
    <row r="1060" spans="2:24">
      <c r="B1060" s="109"/>
      <c r="C1060" s="109" t="s">
        <v>3636</v>
      </c>
      <c r="D1060" s="20" t="s">
        <v>7127</v>
      </c>
      <c r="E1060" s="109" t="s">
        <v>3638</v>
      </c>
      <c r="F1060" s="112" t="s">
        <v>3639</v>
      </c>
      <c r="G1060" s="109" t="s">
        <v>7128</v>
      </c>
      <c r="H1060" s="109" t="s">
        <v>3641</v>
      </c>
      <c r="I1060" s="109" t="s">
        <v>3629</v>
      </c>
      <c r="J1060" s="109" t="s">
        <v>1192</v>
      </c>
      <c r="K1060" s="14" t="s">
        <v>272</v>
      </c>
      <c r="L1060" s="109" t="s">
        <v>3661</v>
      </c>
      <c r="M1060" s="109" t="s">
        <v>5565</v>
      </c>
      <c r="N1060" s="13"/>
      <c r="O1060" s="24">
        <v>45128</v>
      </c>
      <c r="P1060" s="13" t="s">
        <v>5613</v>
      </c>
      <c r="Q1060" s="13" t="s">
        <v>2030</v>
      </c>
      <c r="R1060" s="13" t="s">
        <v>3643</v>
      </c>
      <c r="S1060" s="109" t="s">
        <v>5710</v>
      </c>
      <c r="T1060" s="109" t="s">
        <v>5441</v>
      </c>
      <c r="U1060" s="112" t="s">
        <v>3644</v>
      </c>
      <c r="V1060" s="109" t="s">
        <v>3645</v>
      </c>
      <c r="W1060" s="109" t="s">
        <v>3646</v>
      </c>
      <c r="X1060" s="109" t="s">
        <v>3647</v>
      </c>
    </row>
    <row r="1061" spans="2:24">
      <c r="B1061" s="109"/>
      <c r="C1061" s="109"/>
      <c r="D1061" s="20" t="str">
        <f>D1060</f>
        <v>霍曼HomeRun</v>
      </c>
      <c r="E1061" s="109"/>
      <c r="F1061" s="112"/>
      <c r="G1061" s="109"/>
      <c r="H1061" s="109"/>
      <c r="I1061" s="109"/>
      <c r="J1061" s="109"/>
      <c r="K1061" s="14" t="str">
        <f t="shared" ref="K1061:K1065" si="208">K1060</f>
        <v>运营中</v>
      </c>
      <c r="L1061" s="109"/>
      <c r="M1061" s="109"/>
      <c r="N1061" s="13"/>
      <c r="O1061" s="24">
        <v>44728</v>
      </c>
      <c r="P1061" s="13" t="s">
        <v>3648</v>
      </c>
      <c r="Q1061" s="13" t="s">
        <v>2030</v>
      </c>
      <c r="R1061" s="13" t="s">
        <v>3649</v>
      </c>
      <c r="S1061" s="109"/>
      <c r="T1061" s="109"/>
      <c r="U1061" s="112"/>
      <c r="V1061" s="109"/>
      <c r="W1061" s="109"/>
      <c r="X1061" s="109"/>
    </row>
    <row r="1062" spans="2:24">
      <c r="B1062" s="109"/>
      <c r="C1062" s="109"/>
      <c r="D1062" s="20" t="str">
        <f>D1061</f>
        <v>霍曼HomeRun</v>
      </c>
      <c r="E1062" s="109"/>
      <c r="F1062" s="112"/>
      <c r="G1062" s="109"/>
      <c r="H1062" s="109"/>
      <c r="I1062" s="109"/>
      <c r="J1062" s="109"/>
      <c r="K1062" s="14" t="str">
        <f t="shared" si="208"/>
        <v>运营中</v>
      </c>
      <c r="L1062" s="109"/>
      <c r="M1062" s="109"/>
      <c r="N1062" s="13"/>
      <c r="O1062" s="24">
        <v>44364</v>
      </c>
      <c r="P1062" s="13" t="s">
        <v>3513</v>
      </c>
      <c r="Q1062" s="13" t="s">
        <v>2030</v>
      </c>
      <c r="R1062" s="13" t="s">
        <v>7129</v>
      </c>
      <c r="S1062" s="109"/>
      <c r="T1062" s="109"/>
      <c r="U1062" s="112"/>
      <c r="V1062" s="109"/>
      <c r="W1062" s="109"/>
      <c r="X1062" s="109"/>
    </row>
    <row r="1063" spans="2:24">
      <c r="B1063" s="109"/>
      <c r="C1063" s="109"/>
      <c r="D1063" s="20" t="str">
        <f>D1062</f>
        <v>霍曼HomeRun</v>
      </c>
      <c r="E1063" s="109"/>
      <c r="F1063" s="112"/>
      <c r="G1063" s="109"/>
      <c r="H1063" s="109"/>
      <c r="I1063" s="109"/>
      <c r="J1063" s="109"/>
      <c r="K1063" s="14" t="str">
        <f t="shared" si="208"/>
        <v>运营中</v>
      </c>
      <c r="L1063" s="109"/>
      <c r="M1063" s="109"/>
      <c r="N1063" s="13"/>
      <c r="O1063" s="24">
        <v>43598</v>
      </c>
      <c r="P1063" s="13" t="s">
        <v>5454</v>
      </c>
      <c r="Q1063" s="13" t="s">
        <v>5662</v>
      </c>
      <c r="R1063" s="13" t="s">
        <v>7130</v>
      </c>
      <c r="S1063" s="109"/>
      <c r="T1063" s="109"/>
      <c r="U1063" s="112"/>
      <c r="V1063" s="109"/>
      <c r="W1063" s="109"/>
      <c r="X1063" s="109"/>
    </row>
    <row r="1064" spans="2:24">
      <c r="B1064" s="109"/>
      <c r="C1064" s="109"/>
      <c r="D1064" s="20" t="str">
        <f>D1063</f>
        <v>霍曼HomeRun</v>
      </c>
      <c r="E1064" s="109"/>
      <c r="F1064" s="112"/>
      <c r="G1064" s="109"/>
      <c r="H1064" s="109"/>
      <c r="I1064" s="109"/>
      <c r="J1064" s="109"/>
      <c r="K1064" s="14" t="str">
        <f t="shared" si="208"/>
        <v>运营中</v>
      </c>
      <c r="L1064" s="109"/>
      <c r="M1064" s="109"/>
      <c r="N1064" s="13"/>
      <c r="O1064" s="24">
        <v>42697</v>
      </c>
      <c r="P1064" s="13" t="s">
        <v>5454</v>
      </c>
      <c r="Q1064" s="13" t="s">
        <v>6700</v>
      </c>
      <c r="R1064" s="13" t="s">
        <v>7131</v>
      </c>
      <c r="S1064" s="109"/>
      <c r="T1064" s="109"/>
      <c r="U1064" s="112"/>
      <c r="V1064" s="109"/>
      <c r="W1064" s="109"/>
      <c r="X1064" s="109"/>
    </row>
    <row r="1065" spans="2:24">
      <c r="B1065" s="109"/>
      <c r="C1065" s="109"/>
      <c r="D1065" s="20" t="str">
        <f>D1064</f>
        <v>霍曼HomeRun</v>
      </c>
      <c r="E1065" s="109"/>
      <c r="F1065" s="112"/>
      <c r="G1065" s="109"/>
      <c r="H1065" s="109"/>
      <c r="I1065" s="109"/>
      <c r="J1065" s="109"/>
      <c r="K1065" s="14" t="str">
        <f t="shared" si="208"/>
        <v>运营中</v>
      </c>
      <c r="L1065" s="109"/>
      <c r="M1065" s="109"/>
      <c r="N1065" s="13"/>
      <c r="O1065" s="24">
        <v>42186</v>
      </c>
      <c r="P1065" s="13" t="s">
        <v>5474</v>
      </c>
      <c r="Q1065" s="13" t="s">
        <v>7132</v>
      </c>
      <c r="R1065" s="13" t="s">
        <v>7133</v>
      </c>
      <c r="S1065" s="109"/>
      <c r="T1065" s="109"/>
      <c r="U1065" s="112"/>
      <c r="V1065" s="109"/>
      <c r="W1065" s="109"/>
      <c r="X1065" s="109"/>
    </row>
    <row r="1066" spans="2:24">
      <c r="B1066" s="109"/>
      <c r="C1066" s="109" t="s">
        <v>3655</v>
      </c>
      <c r="D1066" s="20" t="s">
        <v>7134</v>
      </c>
      <c r="E1066" s="109" t="s">
        <v>3657</v>
      </c>
      <c r="F1066" s="112" t="s">
        <v>3658</v>
      </c>
      <c r="G1066" s="109" t="s">
        <v>7135</v>
      </c>
      <c r="H1066" s="109" t="s">
        <v>3660</v>
      </c>
      <c r="I1066" s="109" t="s">
        <v>2313</v>
      </c>
      <c r="J1066" s="109" t="s">
        <v>2627</v>
      </c>
      <c r="K1066" s="14" t="s">
        <v>272</v>
      </c>
      <c r="L1066" s="109" t="s">
        <v>3661</v>
      </c>
      <c r="M1066" s="109" t="s">
        <v>3662</v>
      </c>
      <c r="N1066" s="13"/>
      <c r="O1066" s="24">
        <v>44650</v>
      </c>
      <c r="P1066" s="13" t="s">
        <v>1045</v>
      </c>
      <c r="Q1066" s="13" t="s">
        <v>2030</v>
      </c>
      <c r="R1066" s="13" t="s">
        <v>1751</v>
      </c>
      <c r="S1066" s="109" t="s">
        <v>3663</v>
      </c>
      <c r="T1066" s="109" t="s">
        <v>3664</v>
      </c>
      <c r="U1066" s="112" t="s">
        <v>3665</v>
      </c>
      <c r="V1066" s="109" t="s">
        <v>3666</v>
      </c>
      <c r="W1066" s="109" t="s">
        <v>3667</v>
      </c>
      <c r="X1066" s="109" t="s">
        <v>3668</v>
      </c>
    </row>
    <row r="1067" spans="2:24">
      <c r="B1067" s="109"/>
      <c r="C1067" s="109"/>
      <c r="D1067" s="20" t="str">
        <f>D1066</f>
        <v>亿可能源Equota</v>
      </c>
      <c r="E1067" s="109"/>
      <c r="F1067" s="112"/>
      <c r="G1067" s="109"/>
      <c r="H1067" s="109"/>
      <c r="I1067" s="109"/>
      <c r="J1067" s="109"/>
      <c r="K1067" s="14" t="str">
        <f t="shared" ref="K1067:K1068" si="209">K1066</f>
        <v>运营中</v>
      </c>
      <c r="L1067" s="109"/>
      <c r="M1067" s="109"/>
      <c r="N1067" s="13"/>
      <c r="O1067" s="24">
        <v>44322</v>
      </c>
      <c r="P1067" s="13" t="s">
        <v>5454</v>
      </c>
      <c r="Q1067" s="13" t="s">
        <v>2030</v>
      </c>
      <c r="R1067" s="13" t="s">
        <v>7136</v>
      </c>
      <c r="S1067" s="109"/>
      <c r="T1067" s="109"/>
      <c r="U1067" s="112"/>
      <c r="V1067" s="109"/>
      <c r="W1067" s="109"/>
      <c r="X1067" s="109"/>
    </row>
    <row r="1068" spans="2:24">
      <c r="B1068" s="109"/>
      <c r="C1068" s="109"/>
      <c r="D1068" s="20" t="str">
        <f>D1067</f>
        <v>亿可能源Equota</v>
      </c>
      <c r="E1068" s="109"/>
      <c r="F1068" s="112"/>
      <c r="G1068" s="109"/>
      <c r="H1068" s="109"/>
      <c r="I1068" s="109"/>
      <c r="J1068" s="109"/>
      <c r="K1068" s="14" t="str">
        <f t="shared" si="209"/>
        <v>运营中</v>
      </c>
      <c r="L1068" s="109"/>
      <c r="M1068" s="109"/>
      <c r="N1068" s="13"/>
      <c r="O1068" s="24">
        <v>41974</v>
      </c>
      <c r="P1068" s="13" t="s">
        <v>5474</v>
      </c>
      <c r="Q1068" s="13" t="s">
        <v>7137</v>
      </c>
      <c r="R1068" s="13" t="s">
        <v>7138</v>
      </c>
      <c r="S1068" s="109"/>
      <c r="T1068" s="109"/>
      <c r="U1068" s="112"/>
      <c r="V1068" s="109"/>
      <c r="W1068" s="109"/>
      <c r="X1068" s="109"/>
    </row>
    <row r="1069" spans="2:24">
      <c r="B1069" s="109"/>
      <c r="C1069" s="109" t="s">
        <v>3672</v>
      </c>
      <c r="D1069" s="20" t="s">
        <v>7139</v>
      </c>
      <c r="E1069" s="109" t="s">
        <v>7140</v>
      </c>
      <c r="F1069" s="112" t="s">
        <v>7141</v>
      </c>
      <c r="G1069" s="109" t="s">
        <v>7142</v>
      </c>
      <c r="H1069" s="109" t="s">
        <v>3676</v>
      </c>
      <c r="I1069" s="109" t="s">
        <v>964</v>
      </c>
      <c r="J1069" s="109" t="s">
        <v>1215</v>
      </c>
      <c r="K1069" s="14" t="s">
        <v>272</v>
      </c>
      <c r="L1069" s="109" t="s">
        <v>6396</v>
      </c>
      <c r="M1069" s="109" t="s">
        <v>7143</v>
      </c>
      <c r="N1069" s="13">
        <v>1</v>
      </c>
      <c r="O1069" s="24">
        <v>44043</v>
      </c>
      <c r="P1069" s="13" t="s">
        <v>5810</v>
      </c>
      <c r="Q1069" s="13" t="s">
        <v>7144</v>
      </c>
      <c r="R1069" s="13" t="s">
        <v>253</v>
      </c>
      <c r="S1069" s="109" t="s">
        <v>7145</v>
      </c>
      <c r="T1069" s="109" t="s">
        <v>7146</v>
      </c>
      <c r="U1069" s="112" t="s">
        <v>3681</v>
      </c>
      <c r="V1069" s="109" t="s">
        <v>3682</v>
      </c>
      <c r="W1069" s="109" t="s">
        <v>3683</v>
      </c>
      <c r="X1069" s="109" t="s">
        <v>3684</v>
      </c>
    </row>
    <row r="1070" spans="2:24">
      <c r="B1070" s="109"/>
      <c r="C1070" s="109"/>
      <c r="D1070" s="20" t="str">
        <f>D1069</f>
        <v>易居</v>
      </c>
      <c r="E1070" s="109"/>
      <c r="F1070" s="112"/>
      <c r="G1070" s="109"/>
      <c r="H1070" s="109"/>
      <c r="I1070" s="109"/>
      <c r="J1070" s="109"/>
      <c r="K1070" s="14" t="str">
        <f t="shared" ref="K1070:K1072" si="210">K1069</f>
        <v>运营中</v>
      </c>
      <c r="L1070" s="109"/>
      <c r="M1070" s="109"/>
      <c r="N1070" s="13">
        <v>1</v>
      </c>
      <c r="O1070" s="24">
        <v>43301</v>
      </c>
      <c r="P1070" s="13" t="s">
        <v>5625</v>
      </c>
      <c r="Q1070" s="13" t="s">
        <v>7147</v>
      </c>
      <c r="R1070" s="13" t="s">
        <v>253</v>
      </c>
      <c r="S1070" s="109"/>
      <c r="T1070" s="109"/>
      <c r="U1070" s="112"/>
      <c r="V1070" s="109"/>
      <c r="W1070" s="109"/>
      <c r="X1070" s="109"/>
    </row>
    <row r="1071" spans="2:24">
      <c r="B1071" s="109"/>
      <c r="C1071" s="109"/>
      <c r="D1071" s="20" t="str">
        <f>D1070</f>
        <v>易居</v>
      </c>
      <c r="E1071" s="109"/>
      <c r="F1071" s="112"/>
      <c r="G1071" s="109"/>
      <c r="H1071" s="109"/>
      <c r="I1071" s="109"/>
      <c r="J1071" s="109"/>
      <c r="K1071" s="14" t="str">
        <f t="shared" si="210"/>
        <v>运营中</v>
      </c>
      <c r="L1071" s="109"/>
      <c r="M1071" s="109"/>
      <c r="N1071" s="13">
        <v>1</v>
      </c>
      <c r="O1071" s="24">
        <v>43287</v>
      </c>
      <c r="P1071" s="13" t="s">
        <v>5795</v>
      </c>
      <c r="Q1071" s="13" t="s">
        <v>7148</v>
      </c>
      <c r="R1071" s="13" t="s">
        <v>3687</v>
      </c>
      <c r="S1071" s="109"/>
      <c r="T1071" s="109"/>
      <c r="U1071" s="112"/>
      <c r="V1071" s="109"/>
      <c r="W1071" s="109"/>
      <c r="X1071" s="109"/>
    </row>
    <row r="1072" spans="2:24">
      <c r="B1072" s="109"/>
      <c r="C1072" s="109"/>
      <c r="D1072" s="20" t="str">
        <f>D1071</f>
        <v>易居</v>
      </c>
      <c r="E1072" s="109"/>
      <c r="F1072" s="112"/>
      <c r="G1072" s="109"/>
      <c r="H1072" s="109"/>
      <c r="I1072" s="109"/>
      <c r="J1072" s="109"/>
      <c r="K1072" s="14" t="str">
        <f t="shared" si="210"/>
        <v>运营中</v>
      </c>
      <c r="L1072" s="109"/>
      <c r="M1072" s="109"/>
      <c r="N1072" s="13">
        <v>1</v>
      </c>
      <c r="O1072" s="24">
        <v>42610</v>
      </c>
      <c r="P1072" s="13" t="s">
        <v>5810</v>
      </c>
      <c r="Q1072" s="13" t="s">
        <v>2030</v>
      </c>
      <c r="R1072" s="13" t="s">
        <v>3688</v>
      </c>
      <c r="S1072" s="109"/>
      <c r="T1072" s="109"/>
      <c r="U1072" s="112"/>
      <c r="V1072" s="109"/>
      <c r="W1072" s="109"/>
      <c r="X1072" s="109"/>
    </row>
    <row r="1073" spans="2:24">
      <c r="B1073" s="109"/>
      <c r="C1073" s="109" t="s">
        <v>3689</v>
      </c>
      <c r="D1073" s="20" t="s">
        <v>3690</v>
      </c>
      <c r="E1073" s="109" t="s">
        <v>3690</v>
      </c>
      <c r="F1073" s="112" t="s">
        <v>7149</v>
      </c>
      <c r="G1073" s="109"/>
      <c r="H1073" s="109" t="s">
        <v>3692</v>
      </c>
      <c r="I1073" s="109" t="s">
        <v>246</v>
      </c>
      <c r="J1073" s="109" t="s">
        <v>1931</v>
      </c>
      <c r="K1073" s="14" t="s">
        <v>272</v>
      </c>
      <c r="L1073" s="109" t="s">
        <v>3661</v>
      </c>
      <c r="M1073" s="109" t="s">
        <v>6438</v>
      </c>
      <c r="N1073" s="13">
        <v>1</v>
      </c>
      <c r="O1073" s="24">
        <v>43480</v>
      </c>
      <c r="P1073" s="13" t="s">
        <v>5709</v>
      </c>
      <c r="Q1073" s="13" t="s">
        <v>7150</v>
      </c>
      <c r="R1073" s="13" t="s">
        <v>7151</v>
      </c>
      <c r="S1073" s="109" t="s">
        <v>7152</v>
      </c>
      <c r="T1073" s="109" t="s">
        <v>7153</v>
      </c>
      <c r="U1073" s="112" t="s">
        <v>3697</v>
      </c>
      <c r="V1073" s="109"/>
      <c r="W1073" s="109"/>
      <c r="X1073" s="109"/>
    </row>
    <row r="1074" spans="2:24">
      <c r="B1074" s="109"/>
      <c r="C1074" s="109"/>
      <c r="D1074" s="20" t="str">
        <f>D1073</f>
        <v>CorePhotonics</v>
      </c>
      <c r="E1074" s="109"/>
      <c r="F1074" s="112"/>
      <c r="G1074" s="109"/>
      <c r="H1074" s="109"/>
      <c r="I1074" s="109"/>
      <c r="J1074" s="109"/>
      <c r="K1074" s="14" t="str">
        <f t="shared" ref="K1074:K1077" si="211">K1073</f>
        <v>运营中</v>
      </c>
      <c r="L1074" s="109"/>
      <c r="M1074" s="109"/>
      <c r="N1074" s="13"/>
      <c r="O1074" s="24">
        <v>42747</v>
      </c>
      <c r="P1074" s="13" t="s">
        <v>1827</v>
      </c>
      <c r="Q1074" s="13" t="s">
        <v>5576</v>
      </c>
      <c r="R1074" s="13" t="s">
        <v>7154</v>
      </c>
      <c r="S1074" s="109"/>
      <c r="T1074" s="109"/>
      <c r="U1074" s="112"/>
      <c r="V1074" s="109"/>
      <c r="W1074" s="109"/>
      <c r="X1074" s="109"/>
    </row>
    <row r="1075" spans="2:24">
      <c r="B1075" s="109"/>
      <c r="C1075" s="109"/>
      <c r="D1075" s="20" t="str">
        <f>D1074</f>
        <v>CorePhotonics</v>
      </c>
      <c r="E1075" s="109"/>
      <c r="F1075" s="112"/>
      <c r="G1075" s="109"/>
      <c r="H1075" s="109"/>
      <c r="I1075" s="109"/>
      <c r="J1075" s="109"/>
      <c r="K1075" s="14" t="str">
        <f t="shared" si="211"/>
        <v>运营中</v>
      </c>
      <c r="L1075" s="109"/>
      <c r="M1075" s="109"/>
      <c r="N1075" s="13"/>
      <c r="O1075" s="24">
        <v>42309</v>
      </c>
      <c r="P1075" s="13" t="s">
        <v>5613</v>
      </c>
      <c r="Q1075" s="13" t="s">
        <v>7155</v>
      </c>
      <c r="R1075" s="13" t="s">
        <v>1751</v>
      </c>
      <c r="S1075" s="109"/>
      <c r="T1075" s="109"/>
      <c r="U1075" s="112"/>
      <c r="V1075" s="109"/>
      <c r="W1075" s="109"/>
      <c r="X1075" s="109"/>
    </row>
    <row r="1076" spans="2:24">
      <c r="B1076" s="109"/>
      <c r="C1076" s="109"/>
      <c r="D1076" s="20" t="str">
        <f>D1075</f>
        <v>CorePhotonics</v>
      </c>
      <c r="E1076" s="109"/>
      <c r="F1076" s="112"/>
      <c r="G1076" s="109"/>
      <c r="H1076" s="109"/>
      <c r="I1076" s="109"/>
      <c r="J1076" s="109"/>
      <c r="K1076" s="14" t="str">
        <f t="shared" si="211"/>
        <v>运营中</v>
      </c>
      <c r="L1076" s="109"/>
      <c r="M1076" s="109"/>
      <c r="N1076" s="13"/>
      <c r="O1076" s="24">
        <v>42037</v>
      </c>
      <c r="P1076" s="13" t="s">
        <v>3648</v>
      </c>
      <c r="Q1076" s="13" t="s">
        <v>7156</v>
      </c>
      <c r="R1076" s="13" t="s">
        <v>7157</v>
      </c>
      <c r="S1076" s="109"/>
      <c r="T1076" s="109"/>
      <c r="U1076" s="112"/>
      <c r="V1076" s="109"/>
      <c r="W1076" s="109"/>
      <c r="X1076" s="109"/>
    </row>
    <row r="1077" spans="2:24">
      <c r="B1077" s="109"/>
      <c r="C1077" s="109"/>
      <c r="D1077" s="20" t="str">
        <f>D1076</f>
        <v>CorePhotonics</v>
      </c>
      <c r="E1077" s="109"/>
      <c r="F1077" s="112"/>
      <c r="G1077" s="109"/>
      <c r="H1077" s="109"/>
      <c r="I1077" s="109"/>
      <c r="J1077" s="109"/>
      <c r="K1077" s="14" t="str">
        <f t="shared" si="211"/>
        <v>运营中</v>
      </c>
      <c r="L1077" s="109"/>
      <c r="M1077" s="109"/>
      <c r="N1077" s="13"/>
      <c r="O1077" s="24">
        <v>41303</v>
      </c>
      <c r="P1077" s="13" t="s">
        <v>3513</v>
      </c>
      <c r="Q1077" s="13" t="s">
        <v>7158</v>
      </c>
      <c r="R1077" s="13" t="s">
        <v>7159</v>
      </c>
      <c r="S1077" s="109"/>
      <c r="T1077" s="109"/>
      <c r="U1077" s="112"/>
      <c r="V1077" s="109"/>
      <c r="W1077" s="109"/>
      <c r="X1077" s="109"/>
    </row>
    <row r="1078" spans="2:24">
      <c r="B1078" s="109"/>
      <c r="C1078" s="109" t="s">
        <v>3704</v>
      </c>
      <c r="D1078" s="20" t="s">
        <v>7160</v>
      </c>
      <c r="E1078" s="109" t="s">
        <v>3706</v>
      </c>
      <c r="F1078" s="112" t="s">
        <v>3707</v>
      </c>
      <c r="G1078" s="109" t="s">
        <v>7161</v>
      </c>
      <c r="H1078" s="109" t="s">
        <v>3709</v>
      </c>
      <c r="I1078" s="109" t="s">
        <v>3710</v>
      </c>
      <c r="J1078" s="109" t="s">
        <v>406</v>
      </c>
      <c r="K1078" s="14" t="s">
        <v>272</v>
      </c>
      <c r="L1078" s="109" t="s">
        <v>1825</v>
      </c>
      <c r="M1078" s="109" t="s">
        <v>3711</v>
      </c>
      <c r="N1078" s="13"/>
      <c r="O1078" s="24">
        <v>43837</v>
      </c>
      <c r="P1078" s="13" t="s">
        <v>3648</v>
      </c>
      <c r="Q1078" s="13" t="s">
        <v>2030</v>
      </c>
      <c r="R1078" s="13" t="s">
        <v>3712</v>
      </c>
      <c r="S1078" s="109" t="s">
        <v>3713</v>
      </c>
      <c r="T1078" s="109" t="s">
        <v>3664</v>
      </c>
      <c r="U1078" s="112" t="s">
        <v>3714</v>
      </c>
      <c r="V1078" s="109" t="s">
        <v>3715</v>
      </c>
      <c r="W1078" s="109" t="s">
        <v>3716</v>
      </c>
      <c r="X1078" s="109" t="s">
        <v>3717</v>
      </c>
    </row>
    <row r="1079" spans="2:24">
      <c r="B1079" s="109"/>
      <c r="C1079" s="109"/>
      <c r="D1079" s="20" t="str">
        <f>D1078</f>
        <v>谐云科技</v>
      </c>
      <c r="E1079" s="109"/>
      <c r="F1079" s="112"/>
      <c r="G1079" s="109"/>
      <c r="H1079" s="109"/>
      <c r="I1079" s="109"/>
      <c r="J1079" s="109"/>
      <c r="K1079" s="14" t="str">
        <f t="shared" ref="K1079:K1082" si="212">K1078</f>
        <v>运营中</v>
      </c>
      <c r="L1079" s="109"/>
      <c r="M1079" s="109"/>
      <c r="N1079" s="13"/>
      <c r="O1079" s="24">
        <v>43809</v>
      </c>
      <c r="P1079" s="13" t="s">
        <v>1045</v>
      </c>
      <c r="Q1079" s="13" t="s">
        <v>7162</v>
      </c>
      <c r="R1079" s="13" t="s">
        <v>1751</v>
      </c>
      <c r="S1079" s="109"/>
      <c r="T1079" s="109"/>
      <c r="U1079" s="112"/>
      <c r="V1079" s="109"/>
      <c r="W1079" s="109"/>
      <c r="X1079" s="109"/>
    </row>
    <row r="1080" spans="2:24">
      <c r="B1080" s="109"/>
      <c r="C1080" s="109"/>
      <c r="D1080" s="20" t="str">
        <f>D1079</f>
        <v>谐云科技</v>
      </c>
      <c r="E1080" s="109"/>
      <c r="F1080" s="112"/>
      <c r="G1080" s="109"/>
      <c r="H1080" s="109"/>
      <c r="I1080" s="109"/>
      <c r="J1080" s="109"/>
      <c r="K1080" s="14" t="str">
        <f t="shared" si="212"/>
        <v>运营中</v>
      </c>
      <c r="L1080" s="109"/>
      <c r="M1080" s="109"/>
      <c r="N1080" s="13"/>
      <c r="O1080" s="24">
        <v>43193</v>
      </c>
      <c r="P1080" s="13" t="s">
        <v>3513</v>
      </c>
      <c r="Q1080" s="13" t="s">
        <v>2030</v>
      </c>
      <c r="R1080" s="13" t="s">
        <v>3719</v>
      </c>
      <c r="S1080" s="109"/>
      <c r="T1080" s="109"/>
      <c r="U1080" s="112"/>
      <c r="V1080" s="109"/>
      <c r="W1080" s="109"/>
      <c r="X1080" s="109"/>
    </row>
    <row r="1081" spans="2:24">
      <c r="B1081" s="109"/>
      <c r="C1081" s="109"/>
      <c r="D1081" s="20" t="str">
        <f>D1080</f>
        <v>谐云科技</v>
      </c>
      <c r="E1081" s="109"/>
      <c r="F1081" s="112"/>
      <c r="G1081" s="109"/>
      <c r="H1081" s="109"/>
      <c r="I1081" s="109"/>
      <c r="J1081" s="109"/>
      <c r="K1081" s="14" t="str">
        <f t="shared" si="212"/>
        <v>运营中</v>
      </c>
      <c r="L1081" s="109"/>
      <c r="M1081" s="109"/>
      <c r="N1081" s="13"/>
      <c r="O1081" s="24">
        <v>42933</v>
      </c>
      <c r="P1081" s="13" t="s">
        <v>5454</v>
      </c>
      <c r="Q1081" s="13" t="s">
        <v>2030</v>
      </c>
      <c r="R1081" s="13" t="s">
        <v>3720</v>
      </c>
      <c r="S1081" s="109"/>
      <c r="T1081" s="109"/>
      <c r="U1081" s="112"/>
      <c r="V1081" s="109"/>
      <c r="W1081" s="109"/>
      <c r="X1081" s="109"/>
    </row>
    <row r="1082" spans="2:24">
      <c r="B1082" s="109"/>
      <c r="C1082" s="109"/>
      <c r="D1082" s="20" t="str">
        <f>D1081</f>
        <v>谐云科技</v>
      </c>
      <c r="E1082" s="109"/>
      <c r="F1082" s="112"/>
      <c r="G1082" s="109"/>
      <c r="H1082" s="109"/>
      <c r="I1082" s="109"/>
      <c r="J1082" s="109"/>
      <c r="K1082" s="14" t="str">
        <f t="shared" si="212"/>
        <v>运营中</v>
      </c>
      <c r="L1082" s="109"/>
      <c r="M1082" s="109"/>
      <c r="N1082" s="13"/>
      <c r="O1082" s="24">
        <v>42758</v>
      </c>
      <c r="P1082" s="13" t="s">
        <v>5474</v>
      </c>
      <c r="Q1082" s="13" t="s">
        <v>2030</v>
      </c>
      <c r="R1082" s="13" t="s">
        <v>7163</v>
      </c>
      <c r="S1082" s="109"/>
      <c r="T1082" s="109"/>
      <c r="U1082" s="112"/>
      <c r="V1082" s="109"/>
      <c r="W1082" s="109"/>
      <c r="X1082" s="109"/>
    </row>
    <row r="1083" spans="2:24">
      <c r="B1083" s="109"/>
      <c r="C1083" s="109" t="s">
        <v>3722</v>
      </c>
      <c r="D1083" s="20" t="s">
        <v>3723</v>
      </c>
      <c r="E1083" s="109" t="s">
        <v>3723</v>
      </c>
      <c r="F1083" s="112" t="s">
        <v>7164</v>
      </c>
      <c r="G1083" s="109"/>
      <c r="H1083" s="109" t="s">
        <v>3725</v>
      </c>
      <c r="I1083" s="109" t="s">
        <v>246</v>
      </c>
      <c r="J1083" s="109" t="s">
        <v>3726</v>
      </c>
      <c r="K1083" s="14" t="s">
        <v>272</v>
      </c>
      <c r="L1083" s="109" t="s">
        <v>2711</v>
      </c>
      <c r="M1083" s="109" t="s">
        <v>7165</v>
      </c>
      <c r="N1083" s="13"/>
      <c r="O1083" s="24">
        <v>43362</v>
      </c>
      <c r="P1083" s="13" t="s">
        <v>5613</v>
      </c>
      <c r="Q1083" s="13" t="s">
        <v>5907</v>
      </c>
      <c r="R1083" s="13" t="s">
        <v>3728</v>
      </c>
      <c r="S1083" s="109" t="s">
        <v>7166</v>
      </c>
      <c r="T1083" s="109" t="s">
        <v>5909</v>
      </c>
      <c r="U1083" s="112" t="s">
        <v>3730</v>
      </c>
      <c r="V1083" s="109"/>
      <c r="W1083" s="109"/>
      <c r="X1083" s="109" t="s">
        <v>3731</v>
      </c>
    </row>
    <row r="1084" spans="2:24">
      <c r="B1084" s="109"/>
      <c r="C1084" s="109"/>
      <c r="D1084" s="20" t="str">
        <f>D1083</f>
        <v>WayRay</v>
      </c>
      <c r="E1084" s="109"/>
      <c r="F1084" s="112"/>
      <c r="G1084" s="109"/>
      <c r="H1084" s="109"/>
      <c r="I1084" s="109"/>
      <c r="J1084" s="109"/>
      <c r="K1084" s="14" t="str">
        <f t="shared" ref="K1084:K1085" si="213">K1083</f>
        <v>运营中</v>
      </c>
      <c r="L1084" s="109"/>
      <c r="M1084" s="109"/>
      <c r="N1084" s="13"/>
      <c r="O1084" s="24">
        <v>42809</v>
      </c>
      <c r="P1084" s="13" t="s">
        <v>3648</v>
      </c>
      <c r="Q1084" s="13" t="s">
        <v>6264</v>
      </c>
      <c r="R1084" s="13" t="s">
        <v>3732</v>
      </c>
      <c r="S1084" s="109"/>
      <c r="T1084" s="109"/>
      <c r="U1084" s="112"/>
      <c r="V1084" s="109"/>
      <c r="W1084" s="109"/>
      <c r="X1084" s="109"/>
    </row>
    <row r="1085" spans="2:24">
      <c r="B1085" s="109"/>
      <c r="C1085" s="109"/>
      <c r="D1085" s="20" t="str">
        <f>D1084</f>
        <v>WayRay</v>
      </c>
      <c r="E1085" s="109"/>
      <c r="F1085" s="112"/>
      <c r="G1085" s="109"/>
      <c r="H1085" s="109"/>
      <c r="I1085" s="109"/>
      <c r="J1085" s="109"/>
      <c r="K1085" s="14" t="str">
        <f t="shared" si="213"/>
        <v>运营中</v>
      </c>
      <c r="L1085" s="109"/>
      <c r="M1085" s="109"/>
      <c r="N1085" s="13"/>
      <c r="O1085" s="24">
        <v>42522</v>
      </c>
      <c r="P1085" s="13" t="s">
        <v>3513</v>
      </c>
      <c r="Q1085" s="13" t="s">
        <v>5591</v>
      </c>
      <c r="R1085" s="13" t="s">
        <v>253</v>
      </c>
      <c r="S1085" s="109"/>
      <c r="T1085" s="109"/>
      <c r="U1085" s="112"/>
      <c r="V1085" s="109"/>
      <c r="W1085" s="109"/>
      <c r="X1085" s="109"/>
    </row>
    <row r="1086" spans="2:24" ht="48">
      <c r="B1086" s="109"/>
      <c r="C1086" s="13" t="s">
        <v>3733</v>
      </c>
      <c r="D1086" s="25" t="s">
        <v>7167</v>
      </c>
      <c r="E1086" s="13" t="s">
        <v>7168</v>
      </c>
      <c r="F1086" s="18" t="s">
        <v>7169</v>
      </c>
      <c r="G1086" s="13" t="s">
        <v>7170</v>
      </c>
      <c r="H1086" s="13" t="s">
        <v>3738</v>
      </c>
      <c r="I1086" s="13" t="s">
        <v>1922</v>
      </c>
      <c r="J1086" s="13" t="s">
        <v>406</v>
      </c>
      <c r="K1086" s="19" t="s">
        <v>272</v>
      </c>
      <c r="L1086" s="13" t="s">
        <v>4472</v>
      </c>
      <c r="M1086" s="13" t="s">
        <v>7171</v>
      </c>
      <c r="N1086" s="13"/>
      <c r="O1086" s="24">
        <v>42369</v>
      </c>
      <c r="P1086" s="13" t="s">
        <v>5474</v>
      </c>
      <c r="Q1086" s="13" t="s">
        <v>7172</v>
      </c>
      <c r="R1086" s="13" t="s">
        <v>3741</v>
      </c>
      <c r="S1086" s="13" t="s">
        <v>7173</v>
      </c>
      <c r="T1086" s="13" t="s">
        <v>5273</v>
      </c>
      <c r="U1086" s="18" t="s">
        <v>3744</v>
      </c>
      <c r="V1086" s="13" t="s">
        <v>3745</v>
      </c>
      <c r="W1086" s="13"/>
      <c r="X1086" s="13"/>
    </row>
    <row r="1087" spans="2:24">
      <c r="B1087" s="109"/>
      <c r="C1087" s="109" t="s">
        <v>3746</v>
      </c>
      <c r="D1087" s="20" t="s">
        <v>7174</v>
      </c>
      <c r="E1087" s="109" t="s">
        <v>7175</v>
      </c>
      <c r="F1087" s="112" t="s">
        <v>3748</v>
      </c>
      <c r="G1087" s="109" t="s">
        <v>7176</v>
      </c>
      <c r="H1087" s="109" t="s">
        <v>3750</v>
      </c>
      <c r="I1087" s="109" t="s">
        <v>3584</v>
      </c>
      <c r="J1087" s="109" t="s">
        <v>271</v>
      </c>
      <c r="K1087" s="14" t="s">
        <v>272</v>
      </c>
      <c r="L1087" s="109" t="s">
        <v>3661</v>
      </c>
      <c r="M1087" s="109" t="s">
        <v>5031</v>
      </c>
      <c r="N1087" s="13">
        <v>1</v>
      </c>
      <c r="O1087" s="24">
        <v>45030</v>
      </c>
      <c r="P1087" s="13" t="s">
        <v>5810</v>
      </c>
      <c r="Q1087" s="13" t="s">
        <v>7177</v>
      </c>
      <c r="R1087" s="13" t="s">
        <v>7178</v>
      </c>
      <c r="S1087" s="109" t="s">
        <v>7179</v>
      </c>
      <c r="T1087" s="109" t="s">
        <v>7180</v>
      </c>
      <c r="U1087" s="112" t="s">
        <v>3755</v>
      </c>
      <c r="V1087" s="109" t="s">
        <v>3756</v>
      </c>
      <c r="W1087" s="109" t="s">
        <v>3757</v>
      </c>
      <c r="X1087" s="109" t="s">
        <v>3758</v>
      </c>
    </row>
    <row r="1088" spans="2:24">
      <c r="B1088" s="109"/>
      <c r="C1088" s="109"/>
      <c r="D1088" s="20" t="str">
        <f t="shared" ref="D1088:D1094" si="214">D1087</f>
        <v>寒武纪</v>
      </c>
      <c r="E1088" s="109"/>
      <c r="F1088" s="112"/>
      <c r="G1088" s="109"/>
      <c r="H1088" s="109"/>
      <c r="I1088" s="109"/>
      <c r="J1088" s="109"/>
      <c r="K1088" s="14" t="str">
        <f t="shared" ref="K1088:K1094" si="215">K1087</f>
        <v>运营中</v>
      </c>
      <c r="L1088" s="109"/>
      <c r="M1088" s="109"/>
      <c r="N1088" s="13">
        <v>1</v>
      </c>
      <c r="O1088" s="24">
        <v>44032</v>
      </c>
      <c r="P1088" s="13" t="s">
        <v>5625</v>
      </c>
      <c r="Q1088" s="13" t="s">
        <v>7181</v>
      </c>
      <c r="R1088" s="13" t="s">
        <v>253</v>
      </c>
      <c r="S1088" s="109"/>
      <c r="T1088" s="109"/>
      <c r="U1088" s="112"/>
      <c r="V1088" s="109"/>
      <c r="W1088" s="109"/>
      <c r="X1088" s="109"/>
    </row>
    <row r="1089" spans="2:24">
      <c r="B1089" s="109"/>
      <c r="C1089" s="109"/>
      <c r="D1089" s="20" t="str">
        <f t="shared" si="214"/>
        <v>寒武纪</v>
      </c>
      <c r="E1089" s="109"/>
      <c r="F1089" s="112"/>
      <c r="G1089" s="109"/>
      <c r="H1089" s="109"/>
      <c r="I1089" s="109"/>
      <c r="J1089" s="109"/>
      <c r="K1089" s="14" t="str">
        <f t="shared" si="215"/>
        <v>运营中</v>
      </c>
      <c r="L1089" s="109"/>
      <c r="M1089" s="109"/>
      <c r="N1089" s="13">
        <v>1</v>
      </c>
      <c r="O1089" s="24">
        <v>43271</v>
      </c>
      <c r="P1089" s="13" t="s">
        <v>3648</v>
      </c>
      <c r="Q1089" s="13" t="s">
        <v>5529</v>
      </c>
      <c r="R1089" s="13" t="s">
        <v>3760</v>
      </c>
      <c r="S1089" s="109"/>
      <c r="T1089" s="109"/>
      <c r="U1089" s="112"/>
      <c r="V1089" s="109"/>
      <c r="W1089" s="109"/>
      <c r="X1089" s="109"/>
    </row>
    <row r="1090" spans="2:24">
      <c r="B1090" s="109"/>
      <c r="C1090" s="109"/>
      <c r="D1090" s="20" t="str">
        <f t="shared" si="214"/>
        <v>寒武纪</v>
      </c>
      <c r="E1090" s="109"/>
      <c r="F1090" s="112"/>
      <c r="G1090" s="109"/>
      <c r="H1090" s="109"/>
      <c r="I1090" s="109"/>
      <c r="J1090" s="109"/>
      <c r="K1090" s="14" t="str">
        <f t="shared" si="215"/>
        <v>运营中</v>
      </c>
      <c r="L1090" s="109"/>
      <c r="M1090" s="109"/>
      <c r="N1090" s="13">
        <v>1</v>
      </c>
      <c r="O1090" s="24">
        <v>43256</v>
      </c>
      <c r="P1090" s="13" t="s">
        <v>1045</v>
      </c>
      <c r="Q1090" s="13" t="s">
        <v>4904</v>
      </c>
      <c r="R1090" s="13" t="s">
        <v>3762</v>
      </c>
      <c r="S1090" s="109"/>
      <c r="T1090" s="109"/>
      <c r="U1090" s="112"/>
      <c r="V1090" s="109"/>
      <c r="W1090" s="109"/>
      <c r="X1090" s="109"/>
    </row>
    <row r="1091" spans="2:24">
      <c r="B1091" s="109"/>
      <c r="C1091" s="109"/>
      <c r="D1091" s="20" t="str">
        <f t="shared" si="214"/>
        <v>寒武纪</v>
      </c>
      <c r="E1091" s="109"/>
      <c r="F1091" s="112"/>
      <c r="G1091" s="109"/>
      <c r="H1091" s="109"/>
      <c r="I1091" s="109"/>
      <c r="J1091" s="109"/>
      <c r="K1091" s="14" t="str">
        <f t="shared" si="215"/>
        <v>运营中</v>
      </c>
      <c r="L1091" s="109"/>
      <c r="M1091" s="109"/>
      <c r="N1091" s="13">
        <v>1</v>
      </c>
      <c r="O1091" s="24">
        <v>43194</v>
      </c>
      <c r="P1091" s="13" t="s">
        <v>4306</v>
      </c>
      <c r="Q1091" s="13" t="s">
        <v>2030</v>
      </c>
      <c r="R1091" s="13" t="s">
        <v>3763</v>
      </c>
      <c r="S1091" s="109"/>
      <c r="T1091" s="109"/>
      <c r="U1091" s="112"/>
      <c r="V1091" s="109"/>
      <c r="W1091" s="109"/>
      <c r="X1091" s="109"/>
    </row>
    <row r="1092" spans="2:24">
      <c r="B1092" s="109"/>
      <c r="C1092" s="109"/>
      <c r="D1092" s="20" t="str">
        <f t="shared" si="214"/>
        <v>寒武纪</v>
      </c>
      <c r="E1092" s="109"/>
      <c r="F1092" s="112"/>
      <c r="G1092" s="109"/>
      <c r="H1092" s="109"/>
      <c r="I1092" s="109"/>
      <c r="J1092" s="109"/>
      <c r="K1092" s="14" t="str">
        <f t="shared" si="215"/>
        <v>运营中</v>
      </c>
      <c r="L1092" s="109"/>
      <c r="M1092" s="109"/>
      <c r="N1092" s="13">
        <v>1</v>
      </c>
      <c r="O1092" s="24">
        <v>42965</v>
      </c>
      <c r="P1092" s="13" t="s">
        <v>3513</v>
      </c>
      <c r="Q1092" s="13" t="s">
        <v>4732</v>
      </c>
      <c r="R1092" s="13" t="s">
        <v>3764</v>
      </c>
      <c r="S1092" s="109"/>
      <c r="T1092" s="109"/>
      <c r="U1092" s="112"/>
      <c r="V1092" s="109"/>
      <c r="W1092" s="109"/>
      <c r="X1092" s="109"/>
    </row>
    <row r="1093" spans="2:24">
      <c r="B1093" s="109"/>
      <c r="C1093" s="109"/>
      <c r="D1093" s="20" t="str">
        <f t="shared" si="214"/>
        <v>寒武纪</v>
      </c>
      <c r="E1093" s="109"/>
      <c r="F1093" s="112"/>
      <c r="G1093" s="109"/>
      <c r="H1093" s="109"/>
      <c r="I1093" s="109"/>
      <c r="J1093" s="109"/>
      <c r="K1093" s="14" t="str">
        <f t="shared" si="215"/>
        <v>运营中</v>
      </c>
      <c r="L1093" s="109"/>
      <c r="M1093" s="109"/>
      <c r="N1093" s="13">
        <v>1</v>
      </c>
      <c r="O1093" s="24">
        <v>42592</v>
      </c>
      <c r="P1093" s="13" t="s">
        <v>5454</v>
      </c>
      <c r="Q1093" s="13" t="s">
        <v>3514</v>
      </c>
      <c r="R1093" s="13" t="s">
        <v>3765</v>
      </c>
      <c r="S1093" s="109"/>
      <c r="T1093" s="109"/>
      <c r="U1093" s="112"/>
      <c r="V1093" s="109"/>
      <c r="W1093" s="109"/>
      <c r="X1093" s="109"/>
    </row>
    <row r="1094" spans="2:24">
      <c r="B1094" s="109"/>
      <c r="C1094" s="109"/>
      <c r="D1094" s="20" t="str">
        <f t="shared" si="214"/>
        <v>寒武纪</v>
      </c>
      <c r="E1094" s="109"/>
      <c r="F1094" s="112"/>
      <c r="G1094" s="109"/>
      <c r="H1094" s="109"/>
      <c r="I1094" s="109"/>
      <c r="J1094" s="109"/>
      <c r="K1094" s="14" t="str">
        <f t="shared" si="215"/>
        <v>运营中</v>
      </c>
      <c r="L1094" s="109"/>
      <c r="M1094" s="109"/>
      <c r="N1094" s="13">
        <v>1</v>
      </c>
      <c r="O1094" s="24">
        <v>42478</v>
      </c>
      <c r="P1094" s="13" t="s">
        <v>5474</v>
      </c>
      <c r="Q1094" s="13" t="s">
        <v>3514</v>
      </c>
      <c r="R1094" s="13" t="s">
        <v>7182</v>
      </c>
      <c r="S1094" s="109"/>
      <c r="T1094" s="109"/>
      <c r="U1094" s="112"/>
      <c r="V1094" s="109"/>
      <c r="W1094" s="109"/>
      <c r="X1094" s="109"/>
    </row>
    <row r="1095" spans="2:24">
      <c r="B1095" s="109"/>
      <c r="C1095" s="109" t="s">
        <v>1209</v>
      </c>
      <c r="D1095" s="20" t="s">
        <v>7183</v>
      </c>
      <c r="E1095" s="109" t="s">
        <v>7184</v>
      </c>
      <c r="F1095" s="112" t="s">
        <v>7185</v>
      </c>
      <c r="G1095" s="109" t="s">
        <v>7186</v>
      </c>
      <c r="H1095" s="109" t="s">
        <v>3770</v>
      </c>
      <c r="I1095" s="109" t="s">
        <v>3771</v>
      </c>
      <c r="J1095" s="109" t="s">
        <v>428</v>
      </c>
      <c r="K1095" s="14" t="s">
        <v>272</v>
      </c>
      <c r="L1095" s="109" t="s">
        <v>4472</v>
      </c>
      <c r="M1095" s="109" t="s">
        <v>6376</v>
      </c>
      <c r="N1095" s="13">
        <v>1</v>
      </c>
      <c r="O1095" s="24">
        <v>44287</v>
      </c>
      <c r="P1095" s="13" t="s">
        <v>5625</v>
      </c>
      <c r="Q1095" s="13" t="s">
        <v>3811</v>
      </c>
      <c r="R1095" s="13" t="s">
        <v>253</v>
      </c>
      <c r="S1095" s="109" t="s">
        <v>7187</v>
      </c>
      <c r="T1095" s="109" t="s">
        <v>6053</v>
      </c>
      <c r="U1095" s="112" t="s">
        <v>3773</v>
      </c>
      <c r="V1095" s="109" t="s">
        <v>3774</v>
      </c>
      <c r="W1095" s="109" t="s">
        <v>3775</v>
      </c>
      <c r="X1095" s="109"/>
    </row>
    <row r="1096" spans="2:24">
      <c r="B1096" s="109"/>
      <c r="C1096" s="109"/>
      <c r="D1096" s="20" t="str">
        <f t="shared" ref="D1096:D1102" si="216">D1095</f>
        <v>怪兽充电</v>
      </c>
      <c r="E1096" s="109"/>
      <c r="F1096" s="112"/>
      <c r="G1096" s="109"/>
      <c r="H1096" s="109"/>
      <c r="I1096" s="109"/>
      <c r="J1096" s="109"/>
      <c r="K1096" s="14" t="str">
        <f t="shared" ref="K1096:K1102" si="217">K1095</f>
        <v>运营中</v>
      </c>
      <c r="L1096" s="109"/>
      <c r="M1096" s="109"/>
      <c r="N1096" s="13">
        <v>1</v>
      </c>
      <c r="O1096" s="24">
        <v>44285</v>
      </c>
      <c r="P1096" s="13" t="s">
        <v>5795</v>
      </c>
      <c r="Q1096" s="13" t="s">
        <v>6259</v>
      </c>
      <c r="R1096" s="13" t="s">
        <v>3776</v>
      </c>
      <c r="S1096" s="109"/>
      <c r="T1096" s="109"/>
      <c r="U1096" s="112"/>
      <c r="V1096" s="109"/>
      <c r="W1096" s="109"/>
      <c r="X1096" s="109"/>
    </row>
    <row r="1097" spans="2:24">
      <c r="B1097" s="109"/>
      <c r="C1097" s="109"/>
      <c r="D1097" s="20" t="str">
        <f t="shared" si="216"/>
        <v>怪兽充电</v>
      </c>
      <c r="E1097" s="109"/>
      <c r="F1097" s="112"/>
      <c r="G1097" s="109"/>
      <c r="H1097" s="109"/>
      <c r="I1097" s="109"/>
      <c r="J1097" s="109"/>
      <c r="K1097" s="14" t="str">
        <f t="shared" si="217"/>
        <v>运营中</v>
      </c>
      <c r="L1097" s="109"/>
      <c r="M1097" s="109"/>
      <c r="N1097" s="13">
        <v>1</v>
      </c>
      <c r="O1097" s="24">
        <v>44268</v>
      </c>
      <c r="P1097" s="13" t="s">
        <v>1827</v>
      </c>
      <c r="Q1097" s="13" t="s">
        <v>7188</v>
      </c>
      <c r="R1097" s="13" t="s">
        <v>3778</v>
      </c>
      <c r="S1097" s="109"/>
      <c r="T1097" s="109"/>
      <c r="U1097" s="112"/>
      <c r="V1097" s="109"/>
      <c r="W1097" s="109"/>
      <c r="X1097" s="109"/>
    </row>
    <row r="1098" spans="2:24">
      <c r="B1098" s="109"/>
      <c r="C1098" s="109"/>
      <c r="D1098" s="20" t="str">
        <f t="shared" si="216"/>
        <v>怪兽充电</v>
      </c>
      <c r="E1098" s="109"/>
      <c r="F1098" s="112"/>
      <c r="G1098" s="109"/>
      <c r="H1098" s="109"/>
      <c r="I1098" s="109"/>
      <c r="J1098" s="109"/>
      <c r="K1098" s="14" t="str">
        <f t="shared" si="217"/>
        <v>运营中</v>
      </c>
      <c r="L1098" s="109"/>
      <c r="M1098" s="109"/>
      <c r="N1098" s="13">
        <v>1</v>
      </c>
      <c r="O1098" s="24">
        <v>43823</v>
      </c>
      <c r="P1098" s="13" t="s">
        <v>5613</v>
      </c>
      <c r="Q1098" s="13" t="s">
        <v>5847</v>
      </c>
      <c r="R1098" s="13" t="s">
        <v>3779</v>
      </c>
      <c r="S1098" s="109"/>
      <c r="T1098" s="109"/>
      <c r="U1098" s="112"/>
      <c r="V1098" s="109"/>
      <c r="W1098" s="109"/>
      <c r="X1098" s="109"/>
    </row>
    <row r="1099" spans="2:24">
      <c r="B1099" s="109"/>
      <c r="C1099" s="109"/>
      <c r="D1099" s="20" t="str">
        <f t="shared" si="216"/>
        <v>怪兽充电</v>
      </c>
      <c r="E1099" s="109"/>
      <c r="F1099" s="112"/>
      <c r="G1099" s="109"/>
      <c r="H1099" s="109"/>
      <c r="I1099" s="109"/>
      <c r="J1099" s="109"/>
      <c r="K1099" s="14" t="str">
        <f t="shared" si="217"/>
        <v>运营中</v>
      </c>
      <c r="L1099" s="109"/>
      <c r="M1099" s="109"/>
      <c r="N1099" s="13">
        <v>1</v>
      </c>
      <c r="O1099" s="24">
        <v>43465</v>
      </c>
      <c r="P1099" s="13" t="s">
        <v>5754</v>
      </c>
      <c r="Q1099" s="13" t="s">
        <v>5862</v>
      </c>
      <c r="R1099" s="13" t="s">
        <v>3780</v>
      </c>
      <c r="S1099" s="109"/>
      <c r="T1099" s="109"/>
      <c r="U1099" s="112"/>
      <c r="V1099" s="109"/>
      <c r="W1099" s="109"/>
      <c r="X1099" s="109"/>
    </row>
    <row r="1100" spans="2:24">
      <c r="B1100" s="109"/>
      <c r="C1100" s="109"/>
      <c r="D1100" s="20" t="str">
        <f t="shared" si="216"/>
        <v>怪兽充电</v>
      </c>
      <c r="E1100" s="109"/>
      <c r="F1100" s="112"/>
      <c r="G1100" s="109"/>
      <c r="H1100" s="109"/>
      <c r="I1100" s="109"/>
      <c r="J1100" s="109"/>
      <c r="K1100" s="14" t="str">
        <f t="shared" si="217"/>
        <v>运营中</v>
      </c>
      <c r="L1100" s="109"/>
      <c r="M1100" s="109"/>
      <c r="N1100" s="13">
        <v>1</v>
      </c>
      <c r="O1100" s="24">
        <v>43062</v>
      </c>
      <c r="P1100" s="13" t="s">
        <v>3648</v>
      </c>
      <c r="Q1100" s="13" t="s">
        <v>3483</v>
      </c>
      <c r="R1100" s="13" t="s">
        <v>3781</v>
      </c>
      <c r="S1100" s="109"/>
      <c r="T1100" s="109"/>
      <c r="U1100" s="112"/>
      <c r="V1100" s="109"/>
      <c r="W1100" s="109"/>
      <c r="X1100" s="109"/>
    </row>
    <row r="1101" spans="2:24">
      <c r="B1101" s="109"/>
      <c r="C1101" s="109"/>
      <c r="D1101" s="20" t="str">
        <f t="shared" si="216"/>
        <v>怪兽充电</v>
      </c>
      <c r="E1101" s="109"/>
      <c r="F1101" s="112"/>
      <c r="G1101" s="109"/>
      <c r="H1101" s="109"/>
      <c r="I1101" s="109"/>
      <c r="J1101" s="109"/>
      <c r="K1101" s="14" t="str">
        <f t="shared" si="217"/>
        <v>运营中</v>
      </c>
      <c r="L1101" s="109"/>
      <c r="M1101" s="109"/>
      <c r="N1101" s="13">
        <v>1</v>
      </c>
      <c r="O1101" s="24">
        <v>42943</v>
      </c>
      <c r="P1101" s="13" t="s">
        <v>3513</v>
      </c>
      <c r="Q1101" s="13" t="s">
        <v>1750</v>
      </c>
      <c r="R1101" s="13" t="s">
        <v>3782</v>
      </c>
      <c r="S1101" s="109"/>
      <c r="T1101" s="109"/>
      <c r="U1101" s="112"/>
      <c r="V1101" s="109"/>
      <c r="W1101" s="109"/>
      <c r="X1101" s="109"/>
    </row>
    <row r="1102" spans="2:24">
      <c r="B1102" s="109"/>
      <c r="C1102" s="109"/>
      <c r="D1102" s="20" t="str">
        <f t="shared" si="216"/>
        <v>怪兽充电</v>
      </c>
      <c r="E1102" s="109"/>
      <c r="F1102" s="112"/>
      <c r="G1102" s="109"/>
      <c r="H1102" s="109"/>
      <c r="I1102" s="109"/>
      <c r="J1102" s="109"/>
      <c r="K1102" s="14" t="str">
        <f t="shared" si="217"/>
        <v>运营中</v>
      </c>
      <c r="L1102" s="109"/>
      <c r="M1102" s="109"/>
      <c r="N1102" s="13">
        <v>1</v>
      </c>
      <c r="O1102" s="24">
        <v>42846</v>
      </c>
      <c r="P1102" s="13" t="s">
        <v>5474</v>
      </c>
      <c r="Q1102" s="13" t="s">
        <v>3514</v>
      </c>
      <c r="R1102" s="13" t="s">
        <v>3783</v>
      </c>
      <c r="S1102" s="109"/>
      <c r="T1102" s="109"/>
      <c r="U1102" s="112"/>
      <c r="V1102" s="109"/>
      <c r="W1102" s="109"/>
      <c r="X1102" s="109"/>
    </row>
    <row r="1103" spans="2:24">
      <c r="B1103" s="109"/>
      <c r="C1103" s="109" t="s">
        <v>3784</v>
      </c>
      <c r="D1103" s="20" t="s">
        <v>3785</v>
      </c>
      <c r="E1103" s="109" t="s">
        <v>3785</v>
      </c>
      <c r="F1103" s="112" t="s">
        <v>7189</v>
      </c>
      <c r="G1103" s="109"/>
      <c r="H1103" s="109" t="s">
        <v>3787</v>
      </c>
      <c r="I1103" s="109" t="s">
        <v>3332</v>
      </c>
      <c r="J1103" s="109" t="s">
        <v>1564</v>
      </c>
      <c r="K1103" s="14" t="s">
        <v>272</v>
      </c>
      <c r="L1103" s="109" t="s">
        <v>2711</v>
      </c>
      <c r="M1103" s="109" t="s">
        <v>3788</v>
      </c>
      <c r="N1103" s="13">
        <v>1</v>
      </c>
      <c r="O1103" s="24">
        <v>44358</v>
      </c>
      <c r="P1103" s="13" t="s">
        <v>5709</v>
      </c>
      <c r="Q1103" s="13" t="s">
        <v>5000</v>
      </c>
      <c r="R1103" s="13" t="s">
        <v>7190</v>
      </c>
      <c r="S1103" s="109" t="s">
        <v>7191</v>
      </c>
      <c r="T1103" s="109" t="s">
        <v>3664</v>
      </c>
      <c r="U1103" s="112" t="s">
        <v>7192</v>
      </c>
      <c r="V1103" s="109"/>
      <c r="W1103" s="109"/>
      <c r="X1103" s="109"/>
    </row>
    <row r="1104" spans="2:24">
      <c r="B1104" s="109"/>
      <c r="C1104" s="109"/>
      <c r="D1104" s="20" t="str">
        <f>D1103</f>
        <v>DeepMap</v>
      </c>
      <c r="E1104" s="109"/>
      <c r="F1104" s="112"/>
      <c r="G1104" s="109"/>
      <c r="H1104" s="109"/>
      <c r="I1104" s="109"/>
      <c r="J1104" s="109"/>
      <c r="K1104" s="14" t="str">
        <f t="shared" ref="K1104:K1107" si="218">K1103</f>
        <v>运营中</v>
      </c>
      <c r="L1104" s="109"/>
      <c r="M1104" s="109"/>
      <c r="N1104" s="13">
        <v>1</v>
      </c>
      <c r="O1104" s="24">
        <v>43469</v>
      </c>
      <c r="P1104" s="13" t="s">
        <v>1045</v>
      </c>
      <c r="Q1104" s="13" t="s">
        <v>5000</v>
      </c>
      <c r="R1104" s="13" t="s">
        <v>3457</v>
      </c>
      <c r="S1104" s="109"/>
      <c r="T1104" s="109"/>
      <c r="U1104" s="112"/>
      <c r="V1104" s="109"/>
      <c r="W1104" s="109"/>
      <c r="X1104" s="109"/>
    </row>
    <row r="1105" spans="2:24">
      <c r="B1105" s="109"/>
      <c r="C1105" s="109"/>
      <c r="D1105" s="20" t="str">
        <f>D1104</f>
        <v>DeepMap</v>
      </c>
      <c r="E1105" s="109"/>
      <c r="F1105" s="112"/>
      <c r="G1105" s="109"/>
      <c r="H1105" s="109"/>
      <c r="I1105" s="109"/>
      <c r="J1105" s="109"/>
      <c r="K1105" s="14" t="str">
        <f t="shared" si="218"/>
        <v>运营中</v>
      </c>
      <c r="L1105" s="109"/>
      <c r="M1105" s="109"/>
      <c r="N1105" s="13">
        <v>1</v>
      </c>
      <c r="O1105" s="24">
        <v>43290</v>
      </c>
      <c r="P1105" s="13" t="s">
        <v>3648</v>
      </c>
      <c r="Q1105" s="13" t="s">
        <v>1991</v>
      </c>
      <c r="R1105" s="13" t="s">
        <v>3792</v>
      </c>
      <c r="S1105" s="109"/>
      <c r="T1105" s="109"/>
      <c r="U1105" s="112"/>
      <c r="V1105" s="109"/>
      <c r="W1105" s="109"/>
      <c r="X1105" s="109"/>
    </row>
    <row r="1106" spans="2:24">
      <c r="B1106" s="109"/>
      <c r="C1106" s="109"/>
      <c r="D1106" s="20" t="str">
        <f>D1105</f>
        <v>DeepMap</v>
      </c>
      <c r="E1106" s="109"/>
      <c r="F1106" s="112"/>
      <c r="G1106" s="109"/>
      <c r="H1106" s="109"/>
      <c r="I1106" s="109"/>
      <c r="J1106" s="109"/>
      <c r="K1106" s="14" t="str">
        <f t="shared" si="218"/>
        <v>运营中</v>
      </c>
      <c r="L1106" s="109"/>
      <c r="M1106" s="109"/>
      <c r="N1106" s="13">
        <v>1</v>
      </c>
      <c r="O1106" s="24">
        <v>42860</v>
      </c>
      <c r="P1106" s="13" t="s">
        <v>3513</v>
      </c>
      <c r="Q1106" s="13" t="s">
        <v>5947</v>
      </c>
      <c r="R1106" s="13" t="s">
        <v>3793</v>
      </c>
      <c r="S1106" s="109"/>
      <c r="T1106" s="109"/>
      <c r="U1106" s="112"/>
      <c r="V1106" s="109"/>
      <c r="W1106" s="109"/>
      <c r="X1106" s="109"/>
    </row>
    <row r="1107" spans="2:24">
      <c r="B1107" s="109"/>
      <c r="C1107" s="109"/>
      <c r="D1107" s="20" t="str">
        <f>D1106</f>
        <v>DeepMap</v>
      </c>
      <c r="E1107" s="109"/>
      <c r="F1107" s="112"/>
      <c r="G1107" s="109"/>
      <c r="H1107" s="109"/>
      <c r="I1107" s="109"/>
      <c r="J1107" s="109"/>
      <c r="K1107" s="14" t="str">
        <f t="shared" si="218"/>
        <v>运营中</v>
      </c>
      <c r="L1107" s="109"/>
      <c r="M1107" s="109"/>
      <c r="N1107" s="13">
        <v>1</v>
      </c>
      <c r="O1107" s="24">
        <v>42491</v>
      </c>
      <c r="P1107" s="13" t="s">
        <v>5474</v>
      </c>
      <c r="Q1107" s="13" t="s">
        <v>7155</v>
      </c>
      <c r="R1107" s="13" t="s">
        <v>5645</v>
      </c>
      <c r="S1107" s="109"/>
      <c r="T1107" s="109"/>
      <c r="U1107" s="112"/>
      <c r="V1107" s="109"/>
      <c r="W1107" s="109"/>
      <c r="X1107" s="109"/>
    </row>
    <row r="1108" spans="2:24">
      <c r="B1108" s="109"/>
      <c r="C1108" s="109" t="s">
        <v>3794</v>
      </c>
      <c r="D1108" s="20" t="s">
        <v>3795</v>
      </c>
      <c r="E1108" s="109" t="s">
        <v>3795</v>
      </c>
      <c r="F1108" s="112" t="s">
        <v>7193</v>
      </c>
      <c r="G1108" s="109"/>
      <c r="H1108" s="109" t="s">
        <v>3797</v>
      </c>
      <c r="I1108" s="109" t="s">
        <v>3798</v>
      </c>
      <c r="J1108" s="109" t="s">
        <v>1564</v>
      </c>
      <c r="K1108" s="14" t="s">
        <v>272</v>
      </c>
      <c r="L1108" s="109" t="s">
        <v>1825</v>
      </c>
      <c r="M1108" s="109" t="s">
        <v>5686</v>
      </c>
      <c r="N1108" s="13"/>
      <c r="O1108" s="24">
        <v>43008</v>
      </c>
      <c r="P1108" s="13" t="s">
        <v>2029</v>
      </c>
      <c r="Q1108" s="13" t="s">
        <v>7194</v>
      </c>
      <c r="R1108" s="13" t="s">
        <v>1751</v>
      </c>
      <c r="S1108" s="109" t="s">
        <v>7195</v>
      </c>
      <c r="T1108" s="109" t="s">
        <v>7196</v>
      </c>
      <c r="U1108" s="112" t="s">
        <v>3802</v>
      </c>
      <c r="V1108" s="109"/>
      <c r="W1108" s="109"/>
      <c r="X1108" s="109"/>
    </row>
    <row r="1109" spans="2:24">
      <c r="B1109" s="109"/>
      <c r="C1109" s="109"/>
      <c r="D1109" s="20" t="str">
        <f>D1108</f>
        <v>MariaDB</v>
      </c>
      <c r="E1109" s="109"/>
      <c r="F1109" s="112"/>
      <c r="G1109" s="109"/>
      <c r="H1109" s="109"/>
      <c r="I1109" s="109"/>
      <c r="J1109" s="109"/>
      <c r="K1109" s="14" t="str">
        <f>K1108</f>
        <v>运营中</v>
      </c>
      <c r="L1109" s="109"/>
      <c r="M1109" s="109"/>
      <c r="N1109" s="13"/>
      <c r="O1109" s="24">
        <v>42864</v>
      </c>
      <c r="P1109" s="13" t="s">
        <v>5613</v>
      </c>
      <c r="Q1109" s="13" t="s">
        <v>7197</v>
      </c>
      <c r="R1109" s="13" t="s">
        <v>3804</v>
      </c>
      <c r="S1109" s="109"/>
      <c r="T1109" s="109"/>
      <c r="U1109" s="112"/>
      <c r="V1109" s="109"/>
      <c r="W1109" s="109"/>
      <c r="X1109" s="109"/>
    </row>
    <row r="1110" spans="2:24">
      <c r="B1110" s="109"/>
      <c r="C1110" s="109" t="s">
        <v>3579</v>
      </c>
      <c r="D1110" s="20" t="s">
        <v>7198</v>
      </c>
      <c r="E1110" s="109" t="s">
        <v>3806</v>
      </c>
      <c r="F1110" s="112" t="s">
        <v>3807</v>
      </c>
      <c r="G1110" s="109"/>
      <c r="H1110" s="109" t="s">
        <v>3808</v>
      </c>
      <c r="I1110" s="109" t="s">
        <v>3584</v>
      </c>
      <c r="J1110" s="109" t="s">
        <v>1502</v>
      </c>
      <c r="K1110" s="14" t="s">
        <v>272</v>
      </c>
      <c r="L1110" s="109" t="s">
        <v>3809</v>
      </c>
      <c r="M1110" s="109" t="s">
        <v>3810</v>
      </c>
      <c r="N1110" s="13"/>
      <c r="O1110" s="24">
        <v>44509</v>
      </c>
      <c r="P1110" s="13" t="s">
        <v>3648</v>
      </c>
      <c r="Q1110" s="13" t="s">
        <v>3811</v>
      </c>
      <c r="R1110" s="13" t="s">
        <v>3812</v>
      </c>
      <c r="S1110" s="109" t="s">
        <v>3813</v>
      </c>
      <c r="T1110" s="109" t="s">
        <v>3814</v>
      </c>
      <c r="U1110" s="112" t="s">
        <v>3815</v>
      </c>
      <c r="V1110" s="109"/>
      <c r="W1110" s="109"/>
      <c r="X1110" s="109"/>
    </row>
    <row r="1111" spans="2:24">
      <c r="B1111" s="109"/>
      <c r="C1111" s="109"/>
      <c r="D1111" s="20" t="str">
        <f>D1110</f>
        <v>桥彼道Qupital</v>
      </c>
      <c r="E1111" s="109"/>
      <c r="F1111" s="112"/>
      <c r="G1111" s="109"/>
      <c r="H1111" s="109"/>
      <c r="I1111" s="109"/>
      <c r="J1111" s="109"/>
      <c r="K1111" s="14" t="str">
        <f t="shared" ref="K1111:K1112" si="219">K1110</f>
        <v>运营中</v>
      </c>
      <c r="L1111" s="109"/>
      <c r="M1111" s="109"/>
      <c r="N1111" s="13"/>
      <c r="O1111" s="24">
        <v>43551</v>
      </c>
      <c r="P1111" s="13" t="s">
        <v>3513</v>
      </c>
      <c r="Q1111" s="13" t="s">
        <v>5576</v>
      </c>
      <c r="R1111" s="13" t="s">
        <v>3816</v>
      </c>
      <c r="S1111" s="109"/>
      <c r="T1111" s="109"/>
      <c r="U1111" s="112"/>
      <c r="V1111" s="109"/>
      <c r="W1111" s="109"/>
      <c r="X1111" s="109"/>
    </row>
    <row r="1112" spans="2:24">
      <c r="B1112" s="109"/>
      <c r="C1112" s="109"/>
      <c r="D1112" s="20" t="str">
        <f>D1111</f>
        <v>桥彼道Qupital</v>
      </c>
      <c r="E1112" s="109"/>
      <c r="F1112" s="112"/>
      <c r="G1112" s="109"/>
      <c r="H1112" s="109"/>
      <c r="I1112" s="109"/>
      <c r="J1112" s="109"/>
      <c r="K1112" s="14" t="str">
        <f t="shared" si="219"/>
        <v>运营中</v>
      </c>
      <c r="L1112" s="109"/>
      <c r="M1112" s="109"/>
      <c r="N1112" s="13"/>
      <c r="O1112" s="24">
        <v>42873</v>
      </c>
      <c r="P1112" s="13" t="s">
        <v>5697</v>
      </c>
      <c r="Q1112" s="13" t="s">
        <v>5735</v>
      </c>
      <c r="R1112" s="13" t="s">
        <v>7199</v>
      </c>
      <c r="S1112" s="109"/>
      <c r="T1112" s="109"/>
      <c r="U1112" s="112"/>
      <c r="V1112" s="109"/>
      <c r="W1112" s="109"/>
      <c r="X1112" s="109"/>
    </row>
    <row r="1113" spans="2:24">
      <c r="B1113" s="109"/>
      <c r="C1113" s="109" t="s">
        <v>3818</v>
      </c>
      <c r="D1113" s="20" t="s">
        <v>7200</v>
      </c>
      <c r="E1113" s="109" t="s">
        <v>7201</v>
      </c>
      <c r="F1113" s="112" t="s">
        <v>3820</v>
      </c>
      <c r="G1113" s="109" t="s">
        <v>7202</v>
      </c>
      <c r="H1113" s="109" t="s">
        <v>3822</v>
      </c>
      <c r="I1113" s="109" t="s">
        <v>3823</v>
      </c>
      <c r="J1113" s="109" t="s">
        <v>547</v>
      </c>
      <c r="K1113" s="14" t="s">
        <v>272</v>
      </c>
      <c r="L1113" s="109" t="s">
        <v>1043</v>
      </c>
      <c r="M1113" s="109" t="s">
        <v>5889</v>
      </c>
      <c r="N1113" s="13"/>
      <c r="O1113" s="24">
        <v>44004</v>
      </c>
      <c r="P1113" s="13" t="s">
        <v>1045</v>
      </c>
      <c r="Q1113" s="13" t="s">
        <v>2030</v>
      </c>
      <c r="R1113" s="13" t="s">
        <v>5654</v>
      </c>
      <c r="S1113" s="109" t="s">
        <v>7203</v>
      </c>
      <c r="T1113" s="109" t="s">
        <v>3664</v>
      </c>
      <c r="U1113" s="112" t="s">
        <v>3825</v>
      </c>
      <c r="V1113" s="109" t="s">
        <v>3826</v>
      </c>
      <c r="W1113" s="109" t="s">
        <v>3827</v>
      </c>
      <c r="X1113" s="109" t="s">
        <v>3828</v>
      </c>
    </row>
    <row r="1114" spans="2:24">
      <c r="B1114" s="109"/>
      <c r="C1114" s="109"/>
      <c r="D1114" s="20" t="str">
        <f t="shared" ref="D1114:D1119" si="220">D1113</f>
        <v>盖得排行</v>
      </c>
      <c r="E1114" s="109"/>
      <c r="F1114" s="112"/>
      <c r="G1114" s="109"/>
      <c r="H1114" s="109"/>
      <c r="I1114" s="109"/>
      <c r="J1114" s="109"/>
      <c r="K1114" s="14" t="str">
        <f t="shared" ref="K1114:K1119" si="221">K1113</f>
        <v>运营中</v>
      </c>
      <c r="L1114" s="109"/>
      <c r="M1114" s="109"/>
      <c r="N1114" s="13"/>
      <c r="O1114" s="24">
        <v>43545</v>
      </c>
      <c r="P1114" s="13" t="s">
        <v>1045</v>
      </c>
      <c r="Q1114" s="13" t="s">
        <v>2030</v>
      </c>
      <c r="R1114" s="13" t="s">
        <v>7204</v>
      </c>
      <c r="S1114" s="109"/>
      <c r="T1114" s="109"/>
      <c r="U1114" s="112"/>
      <c r="V1114" s="109"/>
      <c r="W1114" s="109"/>
      <c r="X1114" s="109"/>
    </row>
    <row r="1115" spans="2:24">
      <c r="B1115" s="109"/>
      <c r="C1115" s="109"/>
      <c r="D1115" s="20" t="str">
        <f t="shared" si="220"/>
        <v>盖得排行</v>
      </c>
      <c r="E1115" s="109"/>
      <c r="F1115" s="112"/>
      <c r="G1115" s="109"/>
      <c r="H1115" s="109"/>
      <c r="I1115" s="109"/>
      <c r="J1115" s="109"/>
      <c r="K1115" s="14" t="str">
        <f t="shared" si="221"/>
        <v>运营中</v>
      </c>
      <c r="L1115" s="109"/>
      <c r="M1115" s="109"/>
      <c r="N1115" s="13"/>
      <c r="O1115" s="24">
        <v>43272</v>
      </c>
      <c r="P1115" s="13" t="s">
        <v>3648</v>
      </c>
      <c r="Q1115" s="13" t="s">
        <v>6020</v>
      </c>
      <c r="R1115" s="13" t="s">
        <v>3830</v>
      </c>
      <c r="S1115" s="109"/>
      <c r="T1115" s="109"/>
      <c r="U1115" s="112"/>
      <c r="V1115" s="109"/>
      <c r="W1115" s="109"/>
      <c r="X1115" s="109"/>
    </row>
    <row r="1116" spans="2:24">
      <c r="B1116" s="109"/>
      <c r="C1116" s="109"/>
      <c r="D1116" s="20" t="str">
        <f t="shared" si="220"/>
        <v>盖得排行</v>
      </c>
      <c r="E1116" s="109"/>
      <c r="F1116" s="112"/>
      <c r="G1116" s="109"/>
      <c r="H1116" s="109"/>
      <c r="I1116" s="109"/>
      <c r="J1116" s="109"/>
      <c r="K1116" s="14" t="str">
        <f t="shared" si="221"/>
        <v>运营中</v>
      </c>
      <c r="L1116" s="109"/>
      <c r="M1116" s="109"/>
      <c r="N1116" s="13"/>
      <c r="O1116" s="24">
        <v>43089</v>
      </c>
      <c r="P1116" s="13" t="s">
        <v>3513</v>
      </c>
      <c r="Q1116" s="13" t="s">
        <v>5662</v>
      </c>
      <c r="R1116" s="13" t="s">
        <v>7205</v>
      </c>
      <c r="S1116" s="109"/>
      <c r="T1116" s="109"/>
      <c r="U1116" s="112"/>
      <c r="V1116" s="109"/>
      <c r="W1116" s="109"/>
      <c r="X1116" s="109"/>
    </row>
    <row r="1117" spans="2:24">
      <c r="B1117" s="109"/>
      <c r="C1117" s="109"/>
      <c r="D1117" s="20" t="str">
        <f t="shared" si="220"/>
        <v>盖得排行</v>
      </c>
      <c r="E1117" s="109"/>
      <c r="F1117" s="112"/>
      <c r="G1117" s="109"/>
      <c r="H1117" s="109"/>
      <c r="I1117" s="109"/>
      <c r="J1117" s="109"/>
      <c r="K1117" s="14" t="str">
        <f t="shared" si="221"/>
        <v>运营中</v>
      </c>
      <c r="L1117" s="109"/>
      <c r="M1117" s="109"/>
      <c r="N1117" s="13"/>
      <c r="O1117" s="24">
        <v>42978</v>
      </c>
      <c r="P1117" s="13" t="s">
        <v>5454</v>
      </c>
      <c r="Q1117" s="13" t="s">
        <v>5662</v>
      </c>
      <c r="R1117" s="13" t="s">
        <v>3832</v>
      </c>
      <c r="S1117" s="109"/>
      <c r="T1117" s="109"/>
      <c r="U1117" s="112"/>
      <c r="V1117" s="109"/>
      <c r="W1117" s="109"/>
      <c r="X1117" s="109"/>
    </row>
    <row r="1118" spans="2:24">
      <c r="B1118" s="109"/>
      <c r="C1118" s="109"/>
      <c r="D1118" s="20" t="str">
        <f t="shared" si="220"/>
        <v>盖得排行</v>
      </c>
      <c r="E1118" s="109"/>
      <c r="F1118" s="112"/>
      <c r="G1118" s="109"/>
      <c r="H1118" s="109"/>
      <c r="I1118" s="109"/>
      <c r="J1118" s="109"/>
      <c r="K1118" s="14" t="str">
        <f t="shared" si="221"/>
        <v>运营中</v>
      </c>
      <c r="L1118" s="109"/>
      <c r="M1118" s="109"/>
      <c r="N1118" s="13"/>
      <c r="O1118" s="24">
        <v>42878</v>
      </c>
      <c r="P1118" s="13" t="s">
        <v>5454</v>
      </c>
      <c r="Q1118" s="13" t="s">
        <v>7206</v>
      </c>
      <c r="R1118" s="13" t="s">
        <v>7207</v>
      </c>
      <c r="S1118" s="109"/>
      <c r="T1118" s="109"/>
      <c r="U1118" s="112"/>
      <c r="V1118" s="109"/>
      <c r="W1118" s="109"/>
      <c r="X1118" s="109"/>
    </row>
    <row r="1119" spans="2:24">
      <c r="B1119" s="109"/>
      <c r="C1119" s="109"/>
      <c r="D1119" s="20" t="str">
        <f t="shared" si="220"/>
        <v>盖得排行</v>
      </c>
      <c r="E1119" s="109"/>
      <c r="F1119" s="112"/>
      <c r="G1119" s="109"/>
      <c r="H1119" s="109"/>
      <c r="I1119" s="109"/>
      <c r="J1119" s="109"/>
      <c r="K1119" s="14" t="str">
        <f t="shared" si="221"/>
        <v>运营中</v>
      </c>
      <c r="L1119" s="109"/>
      <c r="M1119" s="109"/>
      <c r="N1119" s="13"/>
      <c r="O1119" s="24">
        <v>42499</v>
      </c>
      <c r="P1119" s="13" t="s">
        <v>5474</v>
      </c>
      <c r="Q1119" s="13" t="s">
        <v>2030</v>
      </c>
      <c r="R1119" s="13" t="s">
        <v>3835</v>
      </c>
      <c r="S1119" s="109"/>
      <c r="T1119" s="109"/>
      <c r="U1119" s="112"/>
      <c r="V1119" s="109"/>
      <c r="W1119" s="109"/>
      <c r="X1119" s="109"/>
    </row>
    <row r="1120" spans="2:24">
      <c r="B1120" s="109"/>
      <c r="C1120" s="109" t="s">
        <v>3836</v>
      </c>
      <c r="D1120" s="20" t="s">
        <v>7208</v>
      </c>
      <c r="E1120" s="109" t="s">
        <v>7209</v>
      </c>
      <c r="F1120" s="112" t="s">
        <v>3838</v>
      </c>
      <c r="G1120" s="109" t="s">
        <v>7210</v>
      </c>
      <c r="H1120" s="109" t="s">
        <v>3840</v>
      </c>
      <c r="I1120" s="109" t="s">
        <v>3841</v>
      </c>
      <c r="J1120" s="109" t="s">
        <v>3842</v>
      </c>
      <c r="K1120" s="14" t="s">
        <v>272</v>
      </c>
      <c r="L1120" s="109" t="s">
        <v>3661</v>
      </c>
      <c r="M1120" s="109" t="s">
        <v>5565</v>
      </c>
      <c r="N1120" s="13"/>
      <c r="O1120" s="24">
        <v>42880</v>
      </c>
      <c r="P1120" s="13" t="s">
        <v>3648</v>
      </c>
      <c r="Q1120" s="13" t="s">
        <v>7211</v>
      </c>
      <c r="R1120" s="13" t="s">
        <v>3844</v>
      </c>
      <c r="S1120" s="109" t="s">
        <v>7212</v>
      </c>
      <c r="T1120" s="109" t="s">
        <v>7213</v>
      </c>
      <c r="U1120" s="112" t="s">
        <v>3847</v>
      </c>
      <c r="V1120" s="109" t="s">
        <v>7214</v>
      </c>
      <c r="W1120" s="109" t="s">
        <v>3849</v>
      </c>
      <c r="X1120" s="109" t="s">
        <v>3850</v>
      </c>
    </row>
    <row r="1121" spans="2:24">
      <c r="B1121" s="109"/>
      <c r="C1121" s="109"/>
      <c r="D1121" s="20" t="str">
        <f>D1120</f>
        <v>海尔家居</v>
      </c>
      <c r="E1121" s="109"/>
      <c r="F1121" s="112"/>
      <c r="G1121" s="109"/>
      <c r="H1121" s="109"/>
      <c r="I1121" s="109"/>
      <c r="J1121" s="109"/>
      <c r="K1121" s="14" t="str">
        <f>K1120</f>
        <v>运营中</v>
      </c>
      <c r="L1121" s="109"/>
      <c r="M1121" s="109"/>
      <c r="N1121" s="13"/>
      <c r="O1121" s="24">
        <v>41616</v>
      </c>
      <c r="P1121" s="13" t="s">
        <v>1045</v>
      </c>
      <c r="Q1121" s="13" t="s">
        <v>7215</v>
      </c>
      <c r="R1121" s="13" t="s">
        <v>1751</v>
      </c>
      <c r="S1121" s="109"/>
      <c r="T1121" s="109"/>
      <c r="U1121" s="112"/>
      <c r="V1121" s="109"/>
      <c r="W1121" s="109"/>
      <c r="X1121" s="109"/>
    </row>
    <row r="1122" spans="2:24">
      <c r="B1122" s="109"/>
      <c r="C1122" s="109" t="s">
        <v>3852</v>
      </c>
      <c r="D1122" s="20" t="s">
        <v>7216</v>
      </c>
      <c r="E1122" s="109" t="s">
        <v>7217</v>
      </c>
      <c r="F1122" s="112" t="s">
        <v>7218</v>
      </c>
      <c r="G1122" s="109" t="s">
        <v>7219</v>
      </c>
      <c r="H1122" s="109" t="s">
        <v>3856</v>
      </c>
      <c r="I1122" s="109" t="s">
        <v>3857</v>
      </c>
      <c r="J1122" s="109" t="s">
        <v>973</v>
      </c>
      <c r="K1122" s="14" t="s">
        <v>272</v>
      </c>
      <c r="L1122" s="109" t="s">
        <v>1043</v>
      </c>
      <c r="M1122" s="109" t="s">
        <v>1990</v>
      </c>
      <c r="N1122" s="13">
        <v>1</v>
      </c>
      <c r="O1122" s="24">
        <v>42882</v>
      </c>
      <c r="P1122" s="13" t="s">
        <v>5810</v>
      </c>
      <c r="Q1122" s="13" t="s">
        <v>1750</v>
      </c>
      <c r="R1122" s="13" t="s">
        <v>1751</v>
      </c>
      <c r="S1122" s="109" t="s">
        <v>7220</v>
      </c>
      <c r="T1122" s="109" t="s">
        <v>1829</v>
      </c>
      <c r="U1122" s="112"/>
      <c r="V1122" s="109" t="s">
        <v>3859</v>
      </c>
      <c r="W1122" s="109" t="s">
        <v>3860</v>
      </c>
      <c r="X1122" s="109" t="s">
        <v>3861</v>
      </c>
    </row>
    <row r="1123" spans="2:24">
      <c r="B1123" s="109"/>
      <c r="C1123" s="109"/>
      <c r="D1123" s="20" t="str">
        <f>D1122</f>
        <v>联华超市</v>
      </c>
      <c r="E1123" s="109"/>
      <c r="F1123" s="112"/>
      <c r="G1123" s="109"/>
      <c r="H1123" s="109"/>
      <c r="I1123" s="109"/>
      <c r="J1123" s="109"/>
      <c r="K1123" s="14" t="str">
        <f t="shared" ref="K1123:K1124" si="222">K1122</f>
        <v>运营中</v>
      </c>
      <c r="L1123" s="109"/>
      <c r="M1123" s="109"/>
      <c r="N1123" s="13">
        <v>1</v>
      </c>
      <c r="O1123" s="24">
        <v>42727</v>
      </c>
      <c r="P1123" s="13" t="s">
        <v>5810</v>
      </c>
      <c r="Q1123" s="13" t="s">
        <v>7221</v>
      </c>
      <c r="R1123" s="13" t="s">
        <v>5826</v>
      </c>
      <c r="S1123" s="109"/>
      <c r="T1123" s="109"/>
      <c r="U1123" s="112"/>
      <c r="V1123" s="109"/>
      <c r="W1123" s="109"/>
      <c r="X1123" s="109"/>
    </row>
    <row r="1124" spans="2:24">
      <c r="B1124" s="109"/>
      <c r="C1124" s="109"/>
      <c r="D1124" s="20" t="str">
        <f>D1123</f>
        <v>联华超市</v>
      </c>
      <c r="E1124" s="109"/>
      <c r="F1124" s="112"/>
      <c r="G1124" s="109"/>
      <c r="H1124" s="109"/>
      <c r="I1124" s="109"/>
      <c r="J1124" s="109"/>
      <c r="K1124" s="14" t="str">
        <f t="shared" si="222"/>
        <v>运营中</v>
      </c>
      <c r="L1124" s="109"/>
      <c r="M1124" s="109"/>
      <c r="N1124" s="13">
        <v>1</v>
      </c>
      <c r="O1124" s="24">
        <v>37799</v>
      </c>
      <c r="P1124" s="13" t="s">
        <v>5625</v>
      </c>
      <c r="Q1124" s="13" t="s">
        <v>7148</v>
      </c>
      <c r="R1124" s="13" t="s">
        <v>253</v>
      </c>
      <c r="S1124" s="109"/>
      <c r="T1124" s="109"/>
      <c r="U1124" s="112"/>
      <c r="V1124" s="109"/>
      <c r="W1124" s="109"/>
      <c r="X1124" s="109"/>
    </row>
    <row r="1125" spans="2:24" ht="48">
      <c r="B1125" s="109"/>
      <c r="C1125" s="13" t="s">
        <v>3863</v>
      </c>
      <c r="D1125" s="25" t="s">
        <v>7222</v>
      </c>
      <c r="E1125" s="13" t="s">
        <v>7223</v>
      </c>
      <c r="F1125" s="18" t="s">
        <v>7224</v>
      </c>
      <c r="G1125" s="13" t="s">
        <v>7225</v>
      </c>
      <c r="H1125" s="13"/>
      <c r="I1125" s="13" t="s">
        <v>3867</v>
      </c>
      <c r="J1125" s="13" t="s">
        <v>271</v>
      </c>
      <c r="K1125" s="19" t="s">
        <v>272</v>
      </c>
      <c r="L1125" s="13" t="s">
        <v>1825</v>
      </c>
      <c r="M1125" s="13" t="s">
        <v>1826</v>
      </c>
      <c r="N1125" s="13">
        <v>1</v>
      </c>
      <c r="O1125" s="24">
        <v>43223</v>
      </c>
      <c r="P1125" s="13" t="s">
        <v>5709</v>
      </c>
      <c r="Q1125" s="13" t="s">
        <v>2030</v>
      </c>
      <c r="R1125" s="13" t="s">
        <v>1751</v>
      </c>
      <c r="S1125" s="13" t="s">
        <v>253</v>
      </c>
      <c r="T1125" s="13" t="s">
        <v>3664</v>
      </c>
      <c r="U1125" s="18" t="s">
        <v>3868</v>
      </c>
      <c r="V1125" s="13" t="s">
        <v>3869</v>
      </c>
      <c r="W1125" s="13" t="s">
        <v>3870</v>
      </c>
      <c r="X1125" s="13" t="s">
        <v>3871</v>
      </c>
    </row>
    <row r="1126" spans="2:24">
      <c r="B1126" s="109"/>
      <c r="C1126" s="109" t="s">
        <v>3872</v>
      </c>
      <c r="D1126" s="20" t="s">
        <v>7226</v>
      </c>
      <c r="E1126" s="109" t="s">
        <v>7227</v>
      </c>
      <c r="F1126" s="112" t="s">
        <v>7228</v>
      </c>
      <c r="G1126" s="109" t="s">
        <v>7229</v>
      </c>
      <c r="H1126" s="109" t="s">
        <v>3877</v>
      </c>
      <c r="I1126" s="109" t="s">
        <v>3121</v>
      </c>
      <c r="J1126" s="109" t="s">
        <v>547</v>
      </c>
      <c r="K1126" s="14" t="s">
        <v>272</v>
      </c>
      <c r="L1126" s="109" t="s">
        <v>4162</v>
      </c>
      <c r="M1126" s="109" t="s">
        <v>929</v>
      </c>
      <c r="N1126" s="13"/>
      <c r="O1126" s="24">
        <v>42905</v>
      </c>
      <c r="P1126" s="13" t="s">
        <v>3513</v>
      </c>
      <c r="Q1126" s="13" t="s">
        <v>5129</v>
      </c>
      <c r="R1126" s="13" t="s">
        <v>3878</v>
      </c>
      <c r="S1126" s="109" t="s">
        <v>7230</v>
      </c>
      <c r="T1126" s="109" t="s">
        <v>4309</v>
      </c>
      <c r="U1126" s="112" t="s">
        <v>3880</v>
      </c>
      <c r="V1126" s="109" t="s">
        <v>3881</v>
      </c>
      <c r="W1126" s="109" t="s">
        <v>3882</v>
      </c>
      <c r="X1126" s="109"/>
    </row>
    <row r="1127" spans="2:24">
      <c r="B1127" s="109"/>
      <c r="C1127" s="109"/>
      <c r="D1127" s="20" t="str">
        <f>D1126</f>
        <v>Nonolive世讯科技</v>
      </c>
      <c r="E1127" s="109"/>
      <c r="F1127" s="112"/>
      <c r="G1127" s="109"/>
      <c r="H1127" s="109"/>
      <c r="I1127" s="109"/>
      <c r="J1127" s="109"/>
      <c r="K1127" s="14" t="str">
        <f>K1126</f>
        <v>运营中</v>
      </c>
      <c r="L1127" s="109"/>
      <c r="M1127" s="109"/>
      <c r="N1127" s="13"/>
      <c r="O1127" s="24">
        <v>42516</v>
      </c>
      <c r="P1127" s="13" t="s">
        <v>5474</v>
      </c>
      <c r="Q1127" s="13" t="s">
        <v>3514</v>
      </c>
      <c r="R1127" s="13" t="s">
        <v>7231</v>
      </c>
      <c r="S1127" s="109"/>
      <c r="T1127" s="109"/>
      <c r="U1127" s="112"/>
      <c r="V1127" s="109"/>
      <c r="W1127" s="109"/>
      <c r="X1127" s="109"/>
    </row>
    <row r="1128" spans="2:24">
      <c r="B1128" s="109"/>
      <c r="C1128" s="109" t="s">
        <v>3884</v>
      </c>
      <c r="D1128" s="20" t="s">
        <v>7232</v>
      </c>
      <c r="E1128" s="109" t="s">
        <v>7233</v>
      </c>
      <c r="F1128" s="112" t="s">
        <v>3886</v>
      </c>
      <c r="G1128" s="109" t="s">
        <v>7234</v>
      </c>
      <c r="H1128" s="109" t="s">
        <v>3888</v>
      </c>
      <c r="I1128" s="109" t="s">
        <v>3889</v>
      </c>
      <c r="J1128" s="109" t="s">
        <v>1237</v>
      </c>
      <c r="K1128" s="14" t="s">
        <v>272</v>
      </c>
      <c r="L1128" s="109" t="s">
        <v>1825</v>
      </c>
      <c r="M1128" s="109" t="s">
        <v>3711</v>
      </c>
      <c r="N1128" s="13"/>
      <c r="O1128" s="24">
        <v>44426</v>
      </c>
      <c r="P1128" s="13" t="s">
        <v>3648</v>
      </c>
      <c r="Q1128" s="13" t="s">
        <v>2030</v>
      </c>
      <c r="R1128" s="13" t="s">
        <v>3890</v>
      </c>
      <c r="S1128" s="109" t="s">
        <v>7235</v>
      </c>
      <c r="T1128" s="109" t="s">
        <v>7236</v>
      </c>
      <c r="U1128" s="112" t="s">
        <v>3893</v>
      </c>
      <c r="V1128" s="109" t="s">
        <v>3894</v>
      </c>
      <c r="W1128" s="109" t="s">
        <v>3895</v>
      </c>
      <c r="X1128" s="109" t="s">
        <v>3896</v>
      </c>
    </row>
    <row r="1129" spans="2:24">
      <c r="B1129" s="109"/>
      <c r="C1129" s="109"/>
      <c r="D1129" s="20" t="str">
        <f>D1128</f>
        <v>华栖云</v>
      </c>
      <c r="E1129" s="109"/>
      <c r="F1129" s="112"/>
      <c r="G1129" s="109"/>
      <c r="H1129" s="109"/>
      <c r="I1129" s="109"/>
      <c r="J1129" s="109"/>
      <c r="K1129" s="14" t="str">
        <f t="shared" ref="K1129:K1130" si="223">K1128</f>
        <v>运营中</v>
      </c>
      <c r="L1129" s="109"/>
      <c r="M1129" s="109"/>
      <c r="N1129" s="13"/>
      <c r="O1129" s="24">
        <v>43333</v>
      </c>
      <c r="P1129" s="13" t="s">
        <v>3513</v>
      </c>
      <c r="Q1129" s="13" t="s">
        <v>5427</v>
      </c>
      <c r="R1129" s="13" t="s">
        <v>7237</v>
      </c>
      <c r="S1129" s="109"/>
      <c r="T1129" s="109"/>
      <c r="U1129" s="112"/>
      <c r="V1129" s="109"/>
      <c r="W1129" s="109"/>
      <c r="X1129" s="109"/>
    </row>
    <row r="1130" spans="2:24">
      <c r="B1130" s="109"/>
      <c r="C1130" s="109"/>
      <c r="D1130" s="20" t="str">
        <f>D1129</f>
        <v>华栖云</v>
      </c>
      <c r="E1130" s="109"/>
      <c r="F1130" s="112"/>
      <c r="G1130" s="109"/>
      <c r="H1130" s="109"/>
      <c r="I1130" s="109"/>
      <c r="J1130" s="109"/>
      <c r="K1130" s="14" t="str">
        <f t="shared" si="223"/>
        <v>运营中</v>
      </c>
      <c r="L1130" s="109"/>
      <c r="M1130" s="109"/>
      <c r="N1130" s="13"/>
      <c r="O1130" s="24">
        <v>42763</v>
      </c>
      <c r="P1130" s="13" t="s">
        <v>5474</v>
      </c>
      <c r="Q1130" s="13" t="s">
        <v>5646</v>
      </c>
      <c r="R1130" s="13" t="s">
        <v>1751</v>
      </c>
      <c r="S1130" s="109"/>
      <c r="T1130" s="109"/>
      <c r="U1130" s="112"/>
      <c r="V1130" s="109"/>
      <c r="W1130" s="109"/>
      <c r="X1130" s="109"/>
    </row>
    <row r="1131" spans="2:24">
      <c r="B1131" s="109"/>
      <c r="C1131" s="109" t="s">
        <v>3898</v>
      </c>
      <c r="D1131" s="20" t="s">
        <v>7238</v>
      </c>
      <c r="E1131" s="109" t="s">
        <v>7239</v>
      </c>
      <c r="F1131" s="112" t="s">
        <v>3900</v>
      </c>
      <c r="G1131" s="109" t="s">
        <v>7240</v>
      </c>
      <c r="H1131" s="109" t="s">
        <v>3902</v>
      </c>
      <c r="I1131" s="109" t="s">
        <v>3903</v>
      </c>
      <c r="J1131" s="109" t="s">
        <v>547</v>
      </c>
      <c r="K1131" s="14" t="s">
        <v>272</v>
      </c>
      <c r="L1131" s="109" t="s">
        <v>1825</v>
      </c>
      <c r="M1131" s="109" t="s">
        <v>5763</v>
      </c>
      <c r="N1131" s="13"/>
      <c r="O1131" s="24">
        <v>44545</v>
      </c>
      <c r="P1131" s="13" t="s">
        <v>5754</v>
      </c>
      <c r="Q1131" s="13" t="s">
        <v>4754</v>
      </c>
      <c r="R1131" s="13" t="s">
        <v>3904</v>
      </c>
      <c r="S1131" s="109" t="s">
        <v>1828</v>
      </c>
      <c r="T1131" s="109" t="s">
        <v>7241</v>
      </c>
      <c r="U1131" s="112" t="s">
        <v>3907</v>
      </c>
      <c r="V1131" s="109" t="s">
        <v>3908</v>
      </c>
      <c r="W1131" s="109" t="s">
        <v>3909</v>
      </c>
      <c r="X1131" s="109" t="s">
        <v>3910</v>
      </c>
    </row>
    <row r="1132" spans="2:24">
      <c r="B1132" s="109"/>
      <c r="C1132" s="109"/>
      <c r="D1132" s="20" t="str">
        <f>D1131</f>
        <v>探迹科技</v>
      </c>
      <c r="E1132" s="109"/>
      <c r="F1132" s="112"/>
      <c r="G1132" s="109"/>
      <c r="H1132" s="109"/>
      <c r="I1132" s="109"/>
      <c r="J1132" s="109"/>
      <c r="K1132" s="14" t="str">
        <f t="shared" ref="K1132:K1135" si="224">K1131</f>
        <v>运营中</v>
      </c>
      <c r="L1132" s="109"/>
      <c r="M1132" s="109"/>
      <c r="N1132" s="13"/>
      <c r="O1132" s="24">
        <v>44027</v>
      </c>
      <c r="P1132" s="13" t="s">
        <v>3648</v>
      </c>
      <c r="Q1132" s="13" t="s">
        <v>6371</v>
      </c>
      <c r="R1132" s="13" t="s">
        <v>3911</v>
      </c>
      <c r="S1132" s="109"/>
      <c r="T1132" s="109"/>
      <c r="U1132" s="112"/>
      <c r="V1132" s="109"/>
      <c r="W1132" s="109"/>
      <c r="X1132" s="109"/>
    </row>
    <row r="1133" spans="2:24">
      <c r="B1133" s="109"/>
      <c r="C1133" s="109"/>
      <c r="D1133" s="20" t="str">
        <f>D1132</f>
        <v>探迹科技</v>
      </c>
      <c r="E1133" s="109"/>
      <c r="F1133" s="112"/>
      <c r="G1133" s="109"/>
      <c r="H1133" s="109"/>
      <c r="I1133" s="109"/>
      <c r="J1133" s="109"/>
      <c r="K1133" s="14" t="str">
        <f t="shared" si="224"/>
        <v>运营中</v>
      </c>
      <c r="L1133" s="109"/>
      <c r="M1133" s="109"/>
      <c r="N1133" s="13"/>
      <c r="O1133" s="24">
        <v>43340</v>
      </c>
      <c r="P1133" s="13" t="s">
        <v>3513</v>
      </c>
      <c r="Q1133" s="13" t="s">
        <v>4904</v>
      </c>
      <c r="R1133" s="13" t="s">
        <v>3912</v>
      </c>
      <c r="S1133" s="109"/>
      <c r="T1133" s="109"/>
      <c r="U1133" s="112"/>
      <c r="V1133" s="109"/>
      <c r="W1133" s="109"/>
      <c r="X1133" s="109"/>
    </row>
    <row r="1134" spans="2:24">
      <c r="B1134" s="109"/>
      <c r="C1134" s="109"/>
      <c r="D1134" s="20" t="str">
        <f>D1133</f>
        <v>探迹科技</v>
      </c>
      <c r="E1134" s="109"/>
      <c r="F1134" s="112"/>
      <c r="G1134" s="109"/>
      <c r="H1134" s="109"/>
      <c r="I1134" s="109"/>
      <c r="J1134" s="109"/>
      <c r="K1134" s="14" t="str">
        <f t="shared" si="224"/>
        <v>运营中</v>
      </c>
      <c r="L1134" s="109"/>
      <c r="M1134" s="109"/>
      <c r="N1134" s="13"/>
      <c r="O1134" s="24">
        <v>42705</v>
      </c>
      <c r="P1134" s="13" t="s">
        <v>5454</v>
      </c>
      <c r="Q1134" s="13" t="s">
        <v>3514</v>
      </c>
      <c r="R1134" s="13" t="s">
        <v>3913</v>
      </c>
      <c r="S1134" s="109"/>
      <c r="T1134" s="109"/>
      <c r="U1134" s="112"/>
      <c r="V1134" s="109"/>
      <c r="W1134" s="109"/>
      <c r="X1134" s="109"/>
    </row>
    <row r="1135" spans="2:24">
      <c r="B1135" s="109"/>
      <c r="C1135" s="109"/>
      <c r="D1135" s="20" t="str">
        <f>D1134</f>
        <v>探迹科技</v>
      </c>
      <c r="E1135" s="109"/>
      <c r="F1135" s="112"/>
      <c r="G1135" s="109"/>
      <c r="H1135" s="109"/>
      <c r="I1135" s="109"/>
      <c r="J1135" s="109"/>
      <c r="K1135" s="14" t="str">
        <f t="shared" si="224"/>
        <v>运营中</v>
      </c>
      <c r="L1135" s="109"/>
      <c r="M1135" s="109"/>
      <c r="N1135" s="13"/>
      <c r="O1135" s="24">
        <v>42563</v>
      </c>
      <c r="P1135" s="13" t="s">
        <v>5474</v>
      </c>
      <c r="Q1135" s="13" t="s">
        <v>5646</v>
      </c>
      <c r="R1135" s="13" t="s">
        <v>5682</v>
      </c>
      <c r="S1135" s="109"/>
      <c r="T1135" s="109"/>
      <c r="U1135" s="112"/>
      <c r="V1135" s="109"/>
      <c r="W1135" s="109"/>
      <c r="X1135" s="109"/>
    </row>
    <row r="1136" spans="2:24" ht="48">
      <c r="B1136" s="109"/>
      <c r="C1136" s="13" t="s">
        <v>3914</v>
      </c>
      <c r="D1136" s="25" t="s">
        <v>7242</v>
      </c>
      <c r="E1136" s="13" t="s">
        <v>7243</v>
      </c>
      <c r="F1136" s="18" t="s">
        <v>3916</v>
      </c>
      <c r="G1136" s="13" t="s">
        <v>7244</v>
      </c>
      <c r="H1136" s="13" t="s">
        <v>3918</v>
      </c>
      <c r="I1136" s="13" t="s">
        <v>3919</v>
      </c>
      <c r="J1136" s="13" t="s">
        <v>547</v>
      </c>
      <c r="K1136" s="19" t="s">
        <v>272</v>
      </c>
      <c r="L1136" s="13" t="s">
        <v>4472</v>
      </c>
      <c r="M1136" s="13" t="s">
        <v>5780</v>
      </c>
      <c r="N1136" s="13"/>
      <c r="O1136" s="24">
        <v>43059</v>
      </c>
      <c r="P1136" s="13" t="s">
        <v>1045</v>
      </c>
      <c r="Q1136" s="13" t="s">
        <v>7245</v>
      </c>
      <c r="R1136" s="13" t="s">
        <v>1751</v>
      </c>
      <c r="S1136" s="13" t="s">
        <v>7246</v>
      </c>
      <c r="T1136" s="13" t="s">
        <v>7247</v>
      </c>
      <c r="U1136" s="18" t="s">
        <v>3923</v>
      </c>
      <c r="V1136" s="13" t="s">
        <v>3924</v>
      </c>
      <c r="W1136" s="13" t="s">
        <v>3925</v>
      </c>
      <c r="X1136" s="13" t="s">
        <v>3926</v>
      </c>
    </row>
    <row r="1137" spans="2:24">
      <c r="B1137" s="109"/>
      <c r="C1137" s="109" t="s">
        <v>2033</v>
      </c>
      <c r="D1137" s="20" t="s">
        <v>7248</v>
      </c>
      <c r="E1137" s="109" t="s">
        <v>7249</v>
      </c>
      <c r="F1137" s="112" t="s">
        <v>7250</v>
      </c>
      <c r="G1137" s="109" t="s">
        <v>7251</v>
      </c>
      <c r="H1137" s="109" t="s">
        <v>3930</v>
      </c>
      <c r="I1137" s="109" t="s">
        <v>3931</v>
      </c>
      <c r="J1137" s="109" t="s">
        <v>3932</v>
      </c>
      <c r="K1137" s="14" t="s">
        <v>272</v>
      </c>
      <c r="L1137" s="109" t="s">
        <v>1825</v>
      </c>
      <c r="M1137" s="109" t="s">
        <v>7252</v>
      </c>
      <c r="N1137" s="13"/>
      <c r="O1137" s="24">
        <v>43139</v>
      </c>
      <c r="P1137" s="13" t="s">
        <v>4401</v>
      </c>
      <c r="Q1137" s="13" t="s">
        <v>4904</v>
      </c>
      <c r="R1137" s="13" t="s">
        <v>1751</v>
      </c>
      <c r="S1137" s="109" t="s">
        <v>7253</v>
      </c>
      <c r="T1137" s="109" t="s">
        <v>4885</v>
      </c>
      <c r="U1137" s="112" t="s">
        <v>3936</v>
      </c>
      <c r="V1137" s="109" t="s">
        <v>3937</v>
      </c>
      <c r="W1137" s="109" t="s">
        <v>3938</v>
      </c>
      <c r="X1137" s="109" t="s">
        <v>3939</v>
      </c>
    </row>
    <row r="1138" spans="2:24">
      <c r="B1138" s="109"/>
      <c r="C1138" s="109"/>
      <c r="D1138" s="20" t="str">
        <f>D1137</f>
        <v>龙图信息</v>
      </c>
      <c r="E1138" s="109"/>
      <c r="F1138" s="112"/>
      <c r="G1138" s="109"/>
      <c r="H1138" s="109"/>
      <c r="I1138" s="109"/>
      <c r="J1138" s="109"/>
      <c r="K1138" s="14" t="str">
        <f t="shared" ref="K1138:K1140" si="225">K1137</f>
        <v>运营中</v>
      </c>
      <c r="L1138" s="109"/>
      <c r="M1138" s="109"/>
      <c r="N1138" s="13"/>
      <c r="O1138" s="24">
        <v>42949</v>
      </c>
      <c r="P1138" s="13" t="s">
        <v>4401</v>
      </c>
      <c r="Q1138" s="13" t="s">
        <v>5787</v>
      </c>
      <c r="R1138" s="13" t="s">
        <v>1751</v>
      </c>
      <c r="S1138" s="109"/>
      <c r="T1138" s="109"/>
      <c r="U1138" s="112"/>
      <c r="V1138" s="109"/>
      <c r="W1138" s="109"/>
      <c r="X1138" s="109"/>
    </row>
    <row r="1139" spans="2:24">
      <c r="B1139" s="109"/>
      <c r="C1139" s="109"/>
      <c r="D1139" s="20" t="str">
        <f>D1138</f>
        <v>龙图信息</v>
      </c>
      <c r="E1139" s="109"/>
      <c r="F1139" s="112"/>
      <c r="G1139" s="109"/>
      <c r="H1139" s="109"/>
      <c r="I1139" s="109"/>
      <c r="J1139" s="109"/>
      <c r="K1139" s="14" t="str">
        <f t="shared" si="225"/>
        <v>运营中</v>
      </c>
      <c r="L1139" s="109"/>
      <c r="M1139" s="109"/>
      <c r="N1139" s="13"/>
      <c r="O1139" s="24">
        <v>42758</v>
      </c>
      <c r="P1139" s="13" t="s">
        <v>4401</v>
      </c>
      <c r="Q1139" s="13" t="s">
        <v>5787</v>
      </c>
      <c r="R1139" s="13" t="s">
        <v>1751</v>
      </c>
      <c r="S1139" s="109"/>
      <c r="T1139" s="109"/>
      <c r="U1139" s="112"/>
      <c r="V1139" s="109"/>
      <c r="W1139" s="109"/>
      <c r="X1139" s="109"/>
    </row>
    <row r="1140" spans="2:24">
      <c r="B1140" s="109"/>
      <c r="C1140" s="109"/>
      <c r="D1140" s="20" t="str">
        <f>D1139</f>
        <v>龙图信息</v>
      </c>
      <c r="E1140" s="109"/>
      <c r="F1140" s="112"/>
      <c r="G1140" s="109"/>
      <c r="H1140" s="109"/>
      <c r="I1140" s="109"/>
      <c r="J1140" s="109"/>
      <c r="K1140" s="14" t="str">
        <f t="shared" si="225"/>
        <v>运营中</v>
      </c>
      <c r="L1140" s="109"/>
      <c r="M1140" s="109"/>
      <c r="N1140" s="13"/>
      <c r="O1140" s="24">
        <v>42124</v>
      </c>
      <c r="P1140" s="13" t="s">
        <v>5664</v>
      </c>
      <c r="Q1140" s="13" t="s">
        <v>2030</v>
      </c>
      <c r="R1140" s="13" t="s">
        <v>253</v>
      </c>
      <c r="S1140" s="109"/>
      <c r="T1140" s="109"/>
      <c r="U1140" s="112"/>
      <c r="V1140" s="109"/>
      <c r="W1140" s="109"/>
      <c r="X1140" s="109"/>
    </row>
    <row r="1141" spans="2:24">
      <c r="B1141" s="109"/>
      <c r="C1141" s="109" t="s">
        <v>3940</v>
      </c>
      <c r="D1141" s="20" t="s">
        <v>7254</v>
      </c>
      <c r="E1141" s="109" t="s">
        <v>7255</v>
      </c>
      <c r="F1141" s="112" t="s">
        <v>3942</v>
      </c>
      <c r="G1141" s="109" t="s">
        <v>7256</v>
      </c>
      <c r="H1141" s="109" t="s">
        <v>3944</v>
      </c>
      <c r="I1141" s="109" t="s">
        <v>3464</v>
      </c>
      <c r="J1141" s="109" t="s">
        <v>271</v>
      </c>
      <c r="K1141" s="14" t="s">
        <v>272</v>
      </c>
      <c r="L1141" s="109" t="s">
        <v>1825</v>
      </c>
      <c r="M1141" s="109" t="s">
        <v>7252</v>
      </c>
      <c r="N1141" s="13"/>
      <c r="O1141" s="24">
        <v>44557</v>
      </c>
      <c r="P1141" s="13" t="s">
        <v>2029</v>
      </c>
      <c r="Q1141" s="13" t="s">
        <v>7257</v>
      </c>
      <c r="R1141" s="13" t="s">
        <v>3946</v>
      </c>
      <c r="S1141" s="109" t="s">
        <v>7258</v>
      </c>
      <c r="T1141" s="109" t="s">
        <v>6590</v>
      </c>
      <c r="U1141" s="112" t="s">
        <v>3948</v>
      </c>
      <c r="V1141" s="109" t="s">
        <v>3949</v>
      </c>
      <c r="W1141" s="109" t="s">
        <v>3950</v>
      </c>
      <c r="X1141" s="109" t="s">
        <v>3951</v>
      </c>
    </row>
    <row r="1142" spans="2:24">
      <c r="B1142" s="109"/>
      <c r="C1142" s="109"/>
      <c r="D1142" s="20" t="str">
        <f>D1141</f>
        <v>百望云</v>
      </c>
      <c r="E1142" s="109"/>
      <c r="F1142" s="112"/>
      <c r="G1142" s="109"/>
      <c r="H1142" s="109"/>
      <c r="I1142" s="109"/>
      <c r="J1142" s="109"/>
      <c r="K1142" s="14" t="str">
        <f t="shared" ref="K1142:K1144" si="226">K1141</f>
        <v>运营中</v>
      </c>
      <c r="L1142" s="109"/>
      <c r="M1142" s="109"/>
      <c r="N1142" s="13"/>
      <c r="O1142" s="24">
        <v>44201</v>
      </c>
      <c r="P1142" s="13" t="s">
        <v>5613</v>
      </c>
      <c r="Q1142" s="13" t="s">
        <v>7259</v>
      </c>
      <c r="R1142" s="13" t="s">
        <v>7260</v>
      </c>
      <c r="S1142" s="109"/>
      <c r="T1142" s="109"/>
      <c r="U1142" s="112"/>
      <c r="V1142" s="109"/>
      <c r="W1142" s="109"/>
      <c r="X1142" s="109"/>
    </row>
    <row r="1143" spans="2:24">
      <c r="B1143" s="109"/>
      <c r="C1143" s="109"/>
      <c r="D1143" s="20" t="str">
        <f>D1142</f>
        <v>百望云</v>
      </c>
      <c r="E1143" s="109"/>
      <c r="F1143" s="112"/>
      <c r="G1143" s="109"/>
      <c r="H1143" s="109"/>
      <c r="I1143" s="109"/>
      <c r="J1143" s="109"/>
      <c r="K1143" s="14" t="str">
        <f t="shared" si="226"/>
        <v>运营中</v>
      </c>
      <c r="L1143" s="109"/>
      <c r="M1143" s="109"/>
      <c r="N1143" s="13"/>
      <c r="O1143" s="24">
        <v>43825</v>
      </c>
      <c r="P1143" s="13" t="s">
        <v>3648</v>
      </c>
      <c r="Q1143" s="13" t="s">
        <v>7261</v>
      </c>
      <c r="R1143" s="13" t="s">
        <v>3955</v>
      </c>
      <c r="S1143" s="109"/>
      <c r="T1143" s="109"/>
      <c r="U1143" s="112"/>
      <c r="V1143" s="109"/>
      <c r="W1143" s="109"/>
      <c r="X1143" s="109"/>
    </row>
    <row r="1144" spans="2:24">
      <c r="B1144" s="109"/>
      <c r="C1144" s="109"/>
      <c r="D1144" s="20" t="str">
        <f>D1143</f>
        <v>百望云</v>
      </c>
      <c r="E1144" s="109"/>
      <c r="F1144" s="112"/>
      <c r="G1144" s="109"/>
      <c r="H1144" s="109"/>
      <c r="I1144" s="109"/>
      <c r="J1144" s="109"/>
      <c r="K1144" s="14" t="str">
        <f t="shared" si="226"/>
        <v>运营中</v>
      </c>
      <c r="L1144" s="109"/>
      <c r="M1144" s="109"/>
      <c r="N1144" s="13"/>
      <c r="O1144" s="24">
        <v>43070</v>
      </c>
      <c r="P1144" s="13" t="s">
        <v>3513</v>
      </c>
      <c r="Q1144" s="13" t="s">
        <v>7262</v>
      </c>
      <c r="R1144" s="13" t="s">
        <v>3957</v>
      </c>
      <c r="S1144" s="109"/>
      <c r="T1144" s="109"/>
      <c r="U1144" s="112"/>
      <c r="V1144" s="109"/>
      <c r="W1144" s="109"/>
      <c r="X1144" s="109"/>
    </row>
    <row r="1145" spans="2:24" ht="24">
      <c r="B1145" s="109"/>
      <c r="C1145" s="13" t="s">
        <v>3958</v>
      </c>
      <c r="D1145" s="25" t="s">
        <v>7263</v>
      </c>
      <c r="E1145" s="13" t="s">
        <v>7264</v>
      </c>
      <c r="F1145" s="18" t="s">
        <v>7265</v>
      </c>
      <c r="G1145" s="13" t="s">
        <v>7266</v>
      </c>
      <c r="H1145" s="13"/>
      <c r="I1145" s="13" t="s">
        <v>3584</v>
      </c>
      <c r="J1145" s="13" t="s">
        <v>406</v>
      </c>
      <c r="K1145" s="19" t="s">
        <v>272</v>
      </c>
      <c r="L1145" s="13" t="s">
        <v>4162</v>
      </c>
      <c r="M1145" s="13" t="s">
        <v>7267</v>
      </c>
      <c r="N1145" s="13"/>
      <c r="O1145" s="24">
        <v>41671</v>
      </c>
      <c r="P1145" s="13" t="s">
        <v>1045</v>
      </c>
      <c r="Q1145" s="13" t="s">
        <v>5787</v>
      </c>
      <c r="R1145" s="13" t="s">
        <v>1751</v>
      </c>
      <c r="S1145" s="13" t="s">
        <v>5169</v>
      </c>
      <c r="T1145" s="13" t="s">
        <v>3517</v>
      </c>
      <c r="U1145" s="18" t="s">
        <v>3963</v>
      </c>
      <c r="V1145" s="13" t="s">
        <v>3964</v>
      </c>
      <c r="W1145" s="13" t="s">
        <v>3965</v>
      </c>
      <c r="X1145" s="13"/>
    </row>
    <row r="1146" spans="2:24" ht="48">
      <c r="B1146" s="109"/>
      <c r="C1146" s="13" t="s">
        <v>3966</v>
      </c>
      <c r="D1146" s="25" t="s">
        <v>7268</v>
      </c>
      <c r="E1146" s="13" t="s">
        <v>7269</v>
      </c>
      <c r="F1146" s="18" t="s">
        <v>3968</v>
      </c>
      <c r="G1146" s="13" t="s">
        <v>7270</v>
      </c>
      <c r="H1146" s="13"/>
      <c r="I1146" s="13" t="s">
        <v>3970</v>
      </c>
      <c r="J1146" s="13" t="s">
        <v>3971</v>
      </c>
      <c r="K1146" s="19" t="s">
        <v>272</v>
      </c>
      <c r="L1146" s="13" t="s">
        <v>4472</v>
      </c>
      <c r="M1146" s="13" t="s">
        <v>5780</v>
      </c>
      <c r="N1146" s="13"/>
      <c r="O1146" s="24">
        <v>42704</v>
      </c>
      <c r="P1146" s="13" t="s">
        <v>1045</v>
      </c>
      <c r="Q1146" s="13" t="s">
        <v>6039</v>
      </c>
      <c r="R1146" s="13" t="s">
        <v>3972</v>
      </c>
      <c r="S1146" s="13" t="s">
        <v>7271</v>
      </c>
      <c r="T1146" s="13" t="s">
        <v>1753</v>
      </c>
      <c r="U1146" s="18" t="s">
        <v>3975</v>
      </c>
      <c r="V1146" s="13" t="s">
        <v>3976</v>
      </c>
      <c r="W1146" s="13" t="s">
        <v>3977</v>
      </c>
      <c r="X1146" s="13" t="s">
        <v>3978</v>
      </c>
    </row>
    <row r="1147" spans="2:24" ht="69">
      <c r="B1147" s="109"/>
      <c r="C1147" s="13" t="s">
        <v>3979</v>
      </c>
      <c r="D1147" s="25" t="s">
        <v>3980</v>
      </c>
      <c r="E1147" s="13" t="s">
        <v>3980</v>
      </c>
      <c r="F1147" s="18" t="s">
        <v>7272</v>
      </c>
      <c r="G1147" s="13"/>
      <c r="H1147" s="13" t="s">
        <v>3982</v>
      </c>
      <c r="I1147" s="13" t="s">
        <v>3983</v>
      </c>
      <c r="J1147" s="13" t="s">
        <v>3984</v>
      </c>
      <c r="K1147" s="19" t="s">
        <v>272</v>
      </c>
      <c r="L1147" s="13" t="s">
        <v>1825</v>
      </c>
      <c r="M1147" s="13" t="s">
        <v>5686</v>
      </c>
      <c r="N1147" s="13"/>
      <c r="O1147" s="24">
        <v>42710</v>
      </c>
      <c r="P1147" s="13" t="s">
        <v>1045</v>
      </c>
      <c r="Q1147" s="13" t="s">
        <v>7003</v>
      </c>
      <c r="R1147" s="13" t="s">
        <v>1751</v>
      </c>
      <c r="S1147" s="13" t="s">
        <v>7273</v>
      </c>
      <c r="T1147" s="13" t="s">
        <v>7274</v>
      </c>
      <c r="U1147" s="18" t="s">
        <v>3987</v>
      </c>
      <c r="V1147" s="13"/>
      <c r="W1147" s="13"/>
      <c r="X1147" s="13"/>
    </row>
    <row r="1148" spans="2:24" ht="36">
      <c r="B1148" s="109"/>
      <c r="C1148" s="13" t="s">
        <v>3988</v>
      </c>
      <c r="D1148" s="25" t="s">
        <v>7275</v>
      </c>
      <c r="E1148" s="13" t="s">
        <v>7276</v>
      </c>
      <c r="F1148" s="18" t="s">
        <v>3990</v>
      </c>
      <c r="G1148" s="13" t="s">
        <v>7277</v>
      </c>
      <c r="H1148" s="13"/>
      <c r="I1148" s="13" t="s">
        <v>3867</v>
      </c>
      <c r="J1148" s="13" t="s">
        <v>3617</v>
      </c>
      <c r="K1148" s="19" t="s">
        <v>248</v>
      </c>
      <c r="L1148" s="13" t="s">
        <v>4472</v>
      </c>
      <c r="M1148" s="13" t="s">
        <v>4473</v>
      </c>
      <c r="N1148" s="13"/>
      <c r="O1148" s="24">
        <v>42696</v>
      </c>
      <c r="P1148" s="13" t="s">
        <v>1045</v>
      </c>
      <c r="Q1148" s="13" t="s">
        <v>6020</v>
      </c>
      <c r="R1148" s="13" t="s">
        <v>3992</v>
      </c>
      <c r="S1148" s="13" t="s">
        <v>6005</v>
      </c>
      <c r="T1148" s="13" t="s">
        <v>7278</v>
      </c>
      <c r="U1148" s="18" t="s">
        <v>3994</v>
      </c>
      <c r="V1148" s="13" t="s">
        <v>3995</v>
      </c>
      <c r="W1148" s="13"/>
      <c r="X1148" s="13"/>
    </row>
    <row r="1149" spans="2:24" ht="48">
      <c r="B1149" s="109"/>
      <c r="C1149" s="13" t="s">
        <v>3996</v>
      </c>
      <c r="D1149" s="25" t="s">
        <v>7279</v>
      </c>
      <c r="E1149" s="13" t="s">
        <v>7280</v>
      </c>
      <c r="F1149" s="18" t="s">
        <v>7281</v>
      </c>
      <c r="G1149" s="13" t="s">
        <v>7282</v>
      </c>
      <c r="H1149" s="13" t="s">
        <v>4001</v>
      </c>
      <c r="I1149" s="13" t="s">
        <v>3121</v>
      </c>
      <c r="J1149" s="13" t="s">
        <v>1472</v>
      </c>
      <c r="K1149" s="19" t="s">
        <v>272</v>
      </c>
      <c r="L1149" s="13" t="s">
        <v>6329</v>
      </c>
      <c r="M1149" s="13" t="s">
        <v>7283</v>
      </c>
      <c r="N1149" s="13"/>
      <c r="O1149" s="24">
        <v>42459</v>
      </c>
      <c r="P1149" s="13" t="s">
        <v>5474</v>
      </c>
      <c r="Q1149" s="13" t="s">
        <v>7284</v>
      </c>
      <c r="R1149" s="13" t="s">
        <v>4004</v>
      </c>
      <c r="S1149" s="13" t="s">
        <v>7285</v>
      </c>
      <c r="T1149" s="13" t="s">
        <v>7286</v>
      </c>
      <c r="U1149" s="18" t="s">
        <v>4007</v>
      </c>
      <c r="V1149" s="13" t="s">
        <v>4008</v>
      </c>
      <c r="W1149" s="13"/>
      <c r="X1149" s="13"/>
    </row>
    <row r="1150" spans="2:24" ht="131.5">
      <c r="B1150" s="109"/>
      <c r="C1150" s="13" t="s">
        <v>1710</v>
      </c>
      <c r="D1150" s="25" t="s">
        <v>7287</v>
      </c>
      <c r="E1150" s="13" t="s">
        <v>7288</v>
      </c>
      <c r="F1150" s="18" t="s">
        <v>4011</v>
      </c>
      <c r="G1150" s="13" t="s">
        <v>7289</v>
      </c>
      <c r="H1150" s="13" t="s">
        <v>4013</v>
      </c>
      <c r="I1150" s="13" t="s">
        <v>1606</v>
      </c>
      <c r="J1150" s="13" t="s">
        <v>1215</v>
      </c>
      <c r="K1150" s="19" t="s">
        <v>272</v>
      </c>
      <c r="L1150" s="13" t="s">
        <v>4162</v>
      </c>
      <c r="M1150" s="13" t="s">
        <v>6308</v>
      </c>
      <c r="N1150" s="13"/>
      <c r="O1150" s="24">
        <v>42159</v>
      </c>
      <c r="P1150" s="13" t="s">
        <v>1045</v>
      </c>
      <c r="Q1150" s="13" t="s">
        <v>7290</v>
      </c>
      <c r="R1150" s="13" t="s">
        <v>1751</v>
      </c>
      <c r="S1150" s="13" t="s">
        <v>7291</v>
      </c>
      <c r="T1150" s="13" t="s">
        <v>7292</v>
      </c>
      <c r="U1150" s="18" t="s">
        <v>4017</v>
      </c>
      <c r="V1150" s="13" t="s">
        <v>4018</v>
      </c>
      <c r="W1150" s="13" t="s">
        <v>4019</v>
      </c>
      <c r="X1150" s="13" t="s">
        <v>4020</v>
      </c>
    </row>
    <row r="1151" spans="2:24" ht="24">
      <c r="B1151" s="109"/>
      <c r="C1151" s="13" t="s">
        <v>4021</v>
      </c>
      <c r="D1151" s="25" t="s">
        <v>7293</v>
      </c>
      <c r="E1151" s="13" t="s">
        <v>7294</v>
      </c>
      <c r="F1151" s="18" t="s">
        <v>7295</v>
      </c>
      <c r="G1151" s="13" t="s">
        <v>7296</v>
      </c>
      <c r="H1151" s="13" t="s">
        <v>4025</v>
      </c>
      <c r="I1151" s="13" t="s">
        <v>2787</v>
      </c>
      <c r="J1151" s="13" t="s">
        <v>547</v>
      </c>
      <c r="K1151" s="19" t="s">
        <v>272</v>
      </c>
      <c r="L1151" s="13" t="s">
        <v>3274</v>
      </c>
      <c r="M1151" s="13" t="s">
        <v>6862</v>
      </c>
      <c r="N1151" s="13"/>
      <c r="O1151" s="24">
        <v>42179</v>
      </c>
      <c r="P1151" s="13" t="s">
        <v>5474</v>
      </c>
      <c r="Q1151" s="13" t="s">
        <v>7297</v>
      </c>
      <c r="R1151" s="13" t="s">
        <v>4027</v>
      </c>
      <c r="S1151" s="13" t="s">
        <v>7298</v>
      </c>
      <c r="T1151" s="13" t="s">
        <v>7299</v>
      </c>
      <c r="U1151" s="18" t="s">
        <v>4030</v>
      </c>
      <c r="V1151" s="13" t="s">
        <v>4031</v>
      </c>
      <c r="W1151" s="13" t="s">
        <v>4032</v>
      </c>
      <c r="X1151" s="13" t="s">
        <v>4033</v>
      </c>
    </row>
    <row r="1152" spans="2:24">
      <c r="B1152" s="109"/>
      <c r="C1152" s="109" t="s">
        <v>3377</v>
      </c>
      <c r="D1152" s="20" t="s">
        <v>7300</v>
      </c>
      <c r="E1152" s="109" t="s">
        <v>7301</v>
      </c>
      <c r="F1152" s="112" t="s">
        <v>4035</v>
      </c>
      <c r="G1152" s="109" t="s">
        <v>7302</v>
      </c>
      <c r="H1152" s="109" t="s">
        <v>4037</v>
      </c>
      <c r="I1152" s="109" t="s">
        <v>2991</v>
      </c>
      <c r="J1152" s="109" t="s">
        <v>3842</v>
      </c>
      <c r="K1152" s="14" t="s">
        <v>272</v>
      </c>
      <c r="L1152" s="109" t="s">
        <v>3274</v>
      </c>
      <c r="M1152" s="109" t="s">
        <v>3275</v>
      </c>
      <c r="N1152" s="13"/>
      <c r="O1152" s="24">
        <v>43287</v>
      </c>
      <c r="P1152" s="13" t="s">
        <v>5754</v>
      </c>
      <c r="Q1152" s="13" t="s">
        <v>6043</v>
      </c>
      <c r="R1152" s="13" t="s">
        <v>4038</v>
      </c>
      <c r="S1152" s="109" t="s">
        <v>7303</v>
      </c>
      <c r="T1152" s="109" t="s">
        <v>7304</v>
      </c>
      <c r="U1152" s="112" t="s">
        <v>4041</v>
      </c>
      <c r="V1152" s="109" t="s">
        <v>7305</v>
      </c>
      <c r="W1152" s="109" t="s">
        <v>4043</v>
      </c>
      <c r="X1152" s="109" t="s">
        <v>4044</v>
      </c>
    </row>
    <row r="1153" spans="2:24">
      <c r="B1153" s="109"/>
      <c r="C1153" s="109"/>
      <c r="D1153" s="20" t="str">
        <f>D1152</f>
        <v>日日顺物流</v>
      </c>
      <c r="E1153" s="109"/>
      <c r="F1153" s="112"/>
      <c r="G1153" s="109"/>
      <c r="H1153" s="109"/>
      <c r="I1153" s="109"/>
      <c r="J1153" s="109"/>
      <c r="K1153" s="14" t="str">
        <f t="shared" ref="K1153:K1154" si="227">K1152</f>
        <v>运营中</v>
      </c>
      <c r="L1153" s="109"/>
      <c r="M1153" s="109"/>
      <c r="N1153" s="13"/>
      <c r="O1153" s="24">
        <v>43004</v>
      </c>
      <c r="P1153" s="13" t="s">
        <v>3648</v>
      </c>
      <c r="Q1153" s="13" t="s">
        <v>7306</v>
      </c>
      <c r="R1153" s="13" t="s">
        <v>7307</v>
      </c>
      <c r="S1153" s="109"/>
      <c r="T1153" s="109"/>
      <c r="U1153" s="112"/>
      <c r="V1153" s="109"/>
      <c r="W1153" s="109"/>
      <c r="X1153" s="109"/>
    </row>
    <row r="1154" spans="2:24">
      <c r="B1154" s="109"/>
      <c r="C1154" s="109"/>
      <c r="D1154" s="20" t="str">
        <f>D1153</f>
        <v>日日顺物流</v>
      </c>
      <c r="E1154" s="109"/>
      <c r="F1154" s="112"/>
      <c r="G1154" s="109"/>
      <c r="H1154" s="109"/>
      <c r="I1154" s="109"/>
      <c r="J1154" s="109"/>
      <c r="K1154" s="14" t="str">
        <f t="shared" si="227"/>
        <v>运营中</v>
      </c>
      <c r="L1154" s="109"/>
      <c r="M1154" s="109"/>
      <c r="N1154" s="13"/>
      <c r="O1154" s="24">
        <v>42886</v>
      </c>
      <c r="P1154" s="13" t="s">
        <v>3513</v>
      </c>
      <c r="Q1154" s="13" t="s">
        <v>6039</v>
      </c>
      <c r="R1154" s="13" t="s">
        <v>1751</v>
      </c>
      <c r="S1154" s="109"/>
      <c r="T1154" s="109"/>
      <c r="U1154" s="112"/>
      <c r="V1154" s="109"/>
      <c r="W1154" s="109"/>
      <c r="X1154" s="109"/>
    </row>
    <row r="1155" spans="2:24">
      <c r="B1155" s="109"/>
      <c r="C1155" s="109" t="s">
        <v>4047</v>
      </c>
      <c r="D1155" s="20" t="s">
        <v>7308</v>
      </c>
      <c r="E1155" s="109" t="s">
        <v>7309</v>
      </c>
      <c r="F1155" s="112" t="s">
        <v>4049</v>
      </c>
      <c r="G1155" s="109" t="s">
        <v>7310</v>
      </c>
      <c r="H1155" s="109" t="s">
        <v>4051</v>
      </c>
      <c r="I1155" s="109" t="s">
        <v>4052</v>
      </c>
      <c r="J1155" s="109" t="s">
        <v>406</v>
      </c>
      <c r="K1155" s="14" t="s">
        <v>272</v>
      </c>
      <c r="L1155" s="109" t="s">
        <v>3661</v>
      </c>
      <c r="M1155" s="109" t="s">
        <v>5031</v>
      </c>
      <c r="N1155" s="13">
        <v>1</v>
      </c>
      <c r="O1155" s="24">
        <v>43210</v>
      </c>
      <c r="P1155" s="13" t="s">
        <v>5709</v>
      </c>
      <c r="Q1155" s="13" t="s">
        <v>2030</v>
      </c>
      <c r="R1155" s="13" t="s">
        <v>1751</v>
      </c>
      <c r="S1155" s="109" t="s">
        <v>5169</v>
      </c>
      <c r="T1155" s="109" t="s">
        <v>3664</v>
      </c>
      <c r="U1155" s="112" t="s">
        <v>4053</v>
      </c>
      <c r="V1155" s="109" t="s">
        <v>4054</v>
      </c>
      <c r="W1155" s="109" t="s">
        <v>4055</v>
      </c>
      <c r="X1155" s="109" t="s">
        <v>4056</v>
      </c>
    </row>
    <row r="1156" spans="2:24">
      <c r="B1156" s="109"/>
      <c r="C1156" s="109"/>
      <c r="D1156" s="20" t="str">
        <f>D1155</f>
        <v>中天微</v>
      </c>
      <c r="E1156" s="109"/>
      <c r="F1156" s="112"/>
      <c r="G1156" s="109"/>
      <c r="H1156" s="109"/>
      <c r="I1156" s="109"/>
      <c r="J1156" s="109"/>
      <c r="K1156" s="14" t="str">
        <f>K1155</f>
        <v>运营中</v>
      </c>
      <c r="L1156" s="109"/>
      <c r="M1156" s="109"/>
      <c r="N1156" s="13">
        <v>1</v>
      </c>
      <c r="O1156" s="24">
        <v>42397</v>
      </c>
      <c r="P1156" s="13" t="s">
        <v>1045</v>
      </c>
      <c r="Q1156" s="13" t="s">
        <v>3514</v>
      </c>
      <c r="R1156" s="13" t="s">
        <v>1751</v>
      </c>
      <c r="S1156" s="109"/>
      <c r="T1156" s="109"/>
      <c r="U1156" s="112"/>
      <c r="V1156" s="109"/>
      <c r="W1156" s="109"/>
      <c r="X1156" s="109"/>
    </row>
    <row r="1157" spans="2:24" ht="48">
      <c r="B1157" s="109"/>
      <c r="C1157" s="13" t="s">
        <v>4057</v>
      </c>
      <c r="D1157" s="25" t="s">
        <v>7311</v>
      </c>
      <c r="E1157" s="13" t="s">
        <v>7312</v>
      </c>
      <c r="F1157" s="18" t="s">
        <v>4059</v>
      </c>
      <c r="G1157" s="13" t="s">
        <v>7313</v>
      </c>
      <c r="H1157" s="13"/>
      <c r="I1157" s="13" t="s">
        <v>616</v>
      </c>
      <c r="J1157" s="13" t="s">
        <v>973</v>
      </c>
      <c r="K1157" s="19" t="s">
        <v>272</v>
      </c>
      <c r="L1157" s="13" t="s">
        <v>5501</v>
      </c>
      <c r="M1157" s="13" t="s">
        <v>5502</v>
      </c>
      <c r="N1157" s="13"/>
      <c r="O1157" s="24">
        <v>40536</v>
      </c>
      <c r="P1157" s="13" t="s">
        <v>5697</v>
      </c>
      <c r="Q1157" s="13" t="s">
        <v>2030</v>
      </c>
      <c r="R1157" s="13" t="s">
        <v>7314</v>
      </c>
      <c r="S1157" s="13" t="s">
        <v>6786</v>
      </c>
      <c r="T1157" s="13" t="s">
        <v>3664</v>
      </c>
      <c r="U1157" s="18" t="s">
        <v>4064</v>
      </c>
      <c r="V1157" s="13" t="s">
        <v>4065</v>
      </c>
      <c r="W1157" s="13" t="s">
        <v>4066</v>
      </c>
      <c r="X1157" s="13" t="s">
        <v>4067</v>
      </c>
    </row>
    <row r="1158" spans="2:24">
      <c r="B1158" s="109"/>
      <c r="C1158" s="109" t="s">
        <v>4068</v>
      </c>
      <c r="D1158" s="20" t="s">
        <v>7315</v>
      </c>
      <c r="E1158" s="109" t="s">
        <v>7316</v>
      </c>
      <c r="F1158" s="112" t="s">
        <v>7317</v>
      </c>
      <c r="G1158" s="109" t="s">
        <v>7318</v>
      </c>
      <c r="H1158" s="109" t="s">
        <v>4072</v>
      </c>
      <c r="I1158" s="109" t="s">
        <v>3903</v>
      </c>
      <c r="J1158" s="109" t="s">
        <v>428</v>
      </c>
      <c r="K1158" s="14" t="s">
        <v>272</v>
      </c>
      <c r="L1158" s="109" t="s">
        <v>4162</v>
      </c>
      <c r="M1158" s="109" t="s">
        <v>5167</v>
      </c>
      <c r="N1158" s="13">
        <v>1</v>
      </c>
      <c r="O1158" s="24">
        <v>45008</v>
      </c>
      <c r="P1158" s="13" t="s">
        <v>5622</v>
      </c>
      <c r="Q1158" s="13" t="s">
        <v>5000</v>
      </c>
      <c r="R1158" s="13" t="s">
        <v>253</v>
      </c>
      <c r="S1158" s="109" t="s">
        <v>7319</v>
      </c>
      <c r="T1158" s="109" t="s">
        <v>3664</v>
      </c>
      <c r="U1158" s="112" t="s">
        <v>4074</v>
      </c>
      <c r="V1158" s="109" t="s">
        <v>4075</v>
      </c>
      <c r="W1158" s="109" t="s">
        <v>4076</v>
      </c>
      <c r="X1158" s="109" t="s">
        <v>4077</v>
      </c>
    </row>
    <row r="1159" spans="2:24">
      <c r="B1159" s="109"/>
      <c r="C1159" s="109"/>
      <c r="D1159" s="20" t="str">
        <f t="shared" ref="D1159:D1165" si="228">D1158</f>
        <v>趣头条</v>
      </c>
      <c r="E1159" s="109"/>
      <c r="F1159" s="112"/>
      <c r="G1159" s="109"/>
      <c r="H1159" s="109"/>
      <c r="I1159" s="109"/>
      <c r="J1159" s="109"/>
      <c r="K1159" s="14" t="str">
        <f t="shared" ref="K1159:K1165" si="229">K1158</f>
        <v>运营中</v>
      </c>
      <c r="L1159" s="109"/>
      <c r="M1159" s="109"/>
      <c r="N1159" s="13">
        <v>1</v>
      </c>
      <c r="O1159" s="24">
        <v>43666</v>
      </c>
      <c r="P1159" s="13" t="s">
        <v>5810</v>
      </c>
      <c r="Q1159" s="13" t="s">
        <v>2030</v>
      </c>
      <c r="R1159" s="13" t="s">
        <v>7320</v>
      </c>
      <c r="S1159" s="109"/>
      <c r="T1159" s="109"/>
      <c r="U1159" s="112"/>
      <c r="V1159" s="109"/>
      <c r="W1159" s="109"/>
      <c r="X1159" s="109"/>
    </row>
    <row r="1160" spans="2:24">
      <c r="B1160" s="109"/>
      <c r="C1160" s="109"/>
      <c r="D1160" s="20" t="str">
        <f t="shared" si="228"/>
        <v>趣头条</v>
      </c>
      <c r="E1160" s="109"/>
      <c r="F1160" s="112"/>
      <c r="G1160" s="109"/>
      <c r="H1160" s="109"/>
      <c r="I1160" s="109"/>
      <c r="J1160" s="109"/>
      <c r="K1160" s="14" t="str">
        <f t="shared" si="229"/>
        <v>运营中</v>
      </c>
      <c r="L1160" s="109"/>
      <c r="M1160" s="109"/>
      <c r="N1160" s="13">
        <v>1</v>
      </c>
      <c r="O1160" s="24">
        <v>43553</v>
      </c>
      <c r="P1160" s="13" t="s">
        <v>5810</v>
      </c>
      <c r="Q1160" s="13" t="s">
        <v>7321</v>
      </c>
      <c r="R1160" s="13" t="s">
        <v>1751</v>
      </c>
      <c r="S1160" s="109"/>
      <c r="T1160" s="109"/>
      <c r="U1160" s="112"/>
      <c r="V1160" s="109"/>
      <c r="W1160" s="109"/>
      <c r="X1160" s="109"/>
    </row>
    <row r="1161" spans="2:24">
      <c r="B1161" s="109"/>
      <c r="C1161" s="109"/>
      <c r="D1161" s="20" t="str">
        <f t="shared" si="228"/>
        <v>趣头条</v>
      </c>
      <c r="E1161" s="109"/>
      <c r="F1161" s="112"/>
      <c r="G1161" s="109"/>
      <c r="H1161" s="109"/>
      <c r="I1161" s="109"/>
      <c r="J1161" s="109"/>
      <c r="K1161" s="14" t="str">
        <f t="shared" si="229"/>
        <v>运营中</v>
      </c>
      <c r="L1161" s="109"/>
      <c r="M1161" s="109"/>
      <c r="N1161" s="13">
        <v>1</v>
      </c>
      <c r="O1161" s="24">
        <v>43357</v>
      </c>
      <c r="P1161" s="13" t="s">
        <v>5625</v>
      </c>
      <c r="Q1161" s="13" t="s">
        <v>7322</v>
      </c>
      <c r="R1161" s="13" t="s">
        <v>253</v>
      </c>
      <c r="S1161" s="109"/>
      <c r="T1161" s="109"/>
      <c r="U1161" s="112"/>
      <c r="V1161" s="109"/>
      <c r="W1161" s="109"/>
      <c r="X1161" s="109"/>
    </row>
    <row r="1162" spans="2:24">
      <c r="B1162" s="109"/>
      <c r="C1162" s="109"/>
      <c r="D1162" s="20" t="str">
        <f t="shared" si="228"/>
        <v>趣头条</v>
      </c>
      <c r="E1162" s="109"/>
      <c r="F1162" s="112"/>
      <c r="G1162" s="109"/>
      <c r="H1162" s="109"/>
      <c r="I1162" s="109"/>
      <c r="J1162" s="109"/>
      <c r="K1162" s="14" t="str">
        <f t="shared" si="229"/>
        <v>运营中</v>
      </c>
      <c r="L1162" s="109"/>
      <c r="M1162" s="109"/>
      <c r="N1162" s="13">
        <v>1</v>
      </c>
      <c r="O1162" s="24">
        <v>43313</v>
      </c>
      <c r="P1162" s="13" t="s">
        <v>1045</v>
      </c>
      <c r="Q1162" s="13" t="s">
        <v>5907</v>
      </c>
      <c r="R1162" s="13" t="s">
        <v>7323</v>
      </c>
      <c r="S1162" s="109"/>
      <c r="T1162" s="109"/>
      <c r="U1162" s="112"/>
      <c r="V1162" s="109"/>
      <c r="W1162" s="109"/>
      <c r="X1162" s="109"/>
    </row>
    <row r="1163" spans="2:24">
      <c r="B1163" s="109"/>
      <c r="C1163" s="109"/>
      <c r="D1163" s="20" t="str">
        <f t="shared" si="228"/>
        <v>趣头条</v>
      </c>
      <c r="E1163" s="109"/>
      <c r="F1163" s="112"/>
      <c r="G1163" s="109"/>
      <c r="H1163" s="109"/>
      <c r="I1163" s="109"/>
      <c r="J1163" s="109"/>
      <c r="K1163" s="14" t="str">
        <f t="shared" si="229"/>
        <v>运营中</v>
      </c>
      <c r="L1163" s="109"/>
      <c r="M1163" s="109"/>
      <c r="N1163" s="13">
        <v>1</v>
      </c>
      <c r="O1163" s="24">
        <v>43173</v>
      </c>
      <c r="P1163" s="13" t="s">
        <v>3648</v>
      </c>
      <c r="Q1163" s="13" t="s">
        <v>2714</v>
      </c>
      <c r="R1163" s="13" t="s">
        <v>4082</v>
      </c>
      <c r="S1163" s="109"/>
      <c r="T1163" s="109"/>
      <c r="U1163" s="112"/>
      <c r="V1163" s="109"/>
      <c r="W1163" s="109"/>
      <c r="X1163" s="109"/>
    </row>
    <row r="1164" spans="2:24">
      <c r="B1164" s="109"/>
      <c r="C1164" s="109"/>
      <c r="D1164" s="20" t="str">
        <f t="shared" si="228"/>
        <v>趣头条</v>
      </c>
      <c r="E1164" s="109"/>
      <c r="F1164" s="112"/>
      <c r="G1164" s="109"/>
      <c r="H1164" s="109"/>
      <c r="I1164" s="109"/>
      <c r="J1164" s="109"/>
      <c r="K1164" s="14" t="str">
        <f t="shared" si="229"/>
        <v>运营中</v>
      </c>
      <c r="L1164" s="109"/>
      <c r="M1164" s="109"/>
      <c r="N1164" s="13">
        <v>1</v>
      </c>
      <c r="O1164" s="24">
        <v>43018</v>
      </c>
      <c r="P1164" s="13" t="s">
        <v>3513</v>
      </c>
      <c r="Q1164" s="13" t="s">
        <v>6225</v>
      </c>
      <c r="R1164" s="13" t="s">
        <v>4083</v>
      </c>
      <c r="S1164" s="109"/>
      <c r="T1164" s="109"/>
      <c r="U1164" s="112"/>
      <c r="V1164" s="109"/>
      <c r="W1164" s="109"/>
      <c r="X1164" s="109"/>
    </row>
    <row r="1165" spans="2:24">
      <c r="B1165" s="109"/>
      <c r="C1165" s="109"/>
      <c r="D1165" s="20" t="str">
        <f t="shared" si="228"/>
        <v>趣头条</v>
      </c>
      <c r="E1165" s="109"/>
      <c r="F1165" s="112"/>
      <c r="G1165" s="109"/>
      <c r="H1165" s="109"/>
      <c r="I1165" s="109"/>
      <c r="J1165" s="109"/>
      <c r="K1165" s="14" t="str">
        <f t="shared" si="229"/>
        <v>运营中</v>
      </c>
      <c r="L1165" s="109"/>
      <c r="M1165" s="109"/>
      <c r="N1165" s="13">
        <v>1</v>
      </c>
      <c r="O1165" s="24">
        <v>42614</v>
      </c>
      <c r="P1165" s="13" t="s">
        <v>5474</v>
      </c>
      <c r="Q1165" s="13" t="s">
        <v>3514</v>
      </c>
      <c r="R1165" s="13" t="s">
        <v>7324</v>
      </c>
      <c r="S1165" s="109"/>
      <c r="T1165" s="109"/>
      <c r="U1165" s="112"/>
      <c r="V1165" s="109"/>
      <c r="W1165" s="109"/>
      <c r="X1165" s="109"/>
    </row>
    <row r="1166" spans="2:24">
      <c r="B1166" s="109"/>
      <c r="C1166" s="109" t="s">
        <v>4085</v>
      </c>
      <c r="D1166" s="20" t="s">
        <v>7325</v>
      </c>
      <c r="E1166" s="109" t="s">
        <v>7326</v>
      </c>
      <c r="F1166" s="112" t="s">
        <v>7327</v>
      </c>
      <c r="G1166" s="109" t="s">
        <v>7328</v>
      </c>
      <c r="H1166" s="109" t="s">
        <v>4089</v>
      </c>
      <c r="I1166" s="109" t="s">
        <v>3931</v>
      </c>
      <c r="J1166" s="109" t="s">
        <v>271</v>
      </c>
      <c r="K1166" s="14" t="s">
        <v>272</v>
      </c>
      <c r="L1166" s="109" t="s">
        <v>2711</v>
      </c>
      <c r="M1166" s="109" t="s">
        <v>7329</v>
      </c>
      <c r="N1166" s="13"/>
      <c r="O1166" s="24">
        <v>44180</v>
      </c>
      <c r="P1166" s="13" t="s">
        <v>4401</v>
      </c>
      <c r="Q1166" s="13" t="s">
        <v>7330</v>
      </c>
      <c r="R1166" s="13" t="s">
        <v>7331</v>
      </c>
      <c r="S1166" s="109" t="s">
        <v>7332</v>
      </c>
      <c r="T1166" s="109" t="s">
        <v>7333</v>
      </c>
      <c r="U1166" s="112" t="s">
        <v>4095</v>
      </c>
      <c r="V1166" s="109" t="s">
        <v>4096</v>
      </c>
      <c r="W1166" s="109" t="s">
        <v>4097</v>
      </c>
      <c r="X1166" s="109" t="s">
        <v>4098</v>
      </c>
    </row>
    <row r="1167" spans="2:24">
      <c r="B1167" s="109"/>
      <c r="C1167" s="109"/>
      <c r="D1167" s="20" t="str">
        <f t="shared" ref="D1167:D1172" si="230">D1166</f>
        <v>神州优车集团</v>
      </c>
      <c r="E1167" s="109"/>
      <c r="F1167" s="112"/>
      <c r="G1167" s="109"/>
      <c r="H1167" s="109"/>
      <c r="I1167" s="109"/>
      <c r="J1167" s="109"/>
      <c r="K1167" s="14" t="str">
        <f t="shared" ref="K1167:K1172" si="231">K1166</f>
        <v>运营中</v>
      </c>
      <c r="L1167" s="109"/>
      <c r="M1167" s="109"/>
      <c r="N1167" s="13"/>
      <c r="O1167" s="24">
        <v>42892</v>
      </c>
      <c r="P1167" s="13" t="s">
        <v>4401</v>
      </c>
      <c r="Q1167" s="13" t="s">
        <v>6606</v>
      </c>
      <c r="R1167" s="13" t="s">
        <v>7334</v>
      </c>
      <c r="S1167" s="109"/>
      <c r="T1167" s="109"/>
      <c r="U1167" s="112"/>
      <c r="V1167" s="109"/>
      <c r="W1167" s="109"/>
      <c r="X1167" s="109"/>
    </row>
    <row r="1168" spans="2:24">
      <c r="B1168" s="109"/>
      <c r="C1168" s="109"/>
      <c r="D1168" s="20" t="str">
        <f t="shared" si="230"/>
        <v>神州优车集团</v>
      </c>
      <c r="E1168" s="109"/>
      <c r="F1168" s="112"/>
      <c r="G1168" s="109"/>
      <c r="H1168" s="109"/>
      <c r="I1168" s="109"/>
      <c r="J1168" s="109"/>
      <c r="K1168" s="14" t="str">
        <f t="shared" si="231"/>
        <v>运营中</v>
      </c>
      <c r="L1168" s="109"/>
      <c r="M1168" s="109"/>
      <c r="N1168" s="13"/>
      <c r="O1168" s="24">
        <v>42573</v>
      </c>
      <c r="P1168" s="13" t="s">
        <v>5664</v>
      </c>
      <c r="Q1168" s="13" t="s">
        <v>2030</v>
      </c>
      <c r="R1168" s="13" t="s">
        <v>253</v>
      </c>
      <c r="S1168" s="109"/>
      <c r="T1168" s="109"/>
      <c r="U1168" s="112"/>
      <c r="V1168" s="109"/>
      <c r="W1168" s="109"/>
      <c r="X1168" s="109"/>
    </row>
    <row r="1169" spans="2:24">
      <c r="B1169" s="109"/>
      <c r="C1169" s="109"/>
      <c r="D1169" s="20" t="str">
        <f t="shared" si="230"/>
        <v>神州优车集团</v>
      </c>
      <c r="E1169" s="109"/>
      <c r="F1169" s="112"/>
      <c r="G1169" s="109"/>
      <c r="H1169" s="109"/>
      <c r="I1169" s="109"/>
      <c r="J1169" s="109"/>
      <c r="K1169" s="14" t="str">
        <f t="shared" si="231"/>
        <v>运营中</v>
      </c>
      <c r="L1169" s="109"/>
      <c r="M1169" s="109"/>
      <c r="N1169" s="13"/>
      <c r="O1169" s="24">
        <v>42538</v>
      </c>
      <c r="P1169" s="13" t="s">
        <v>1827</v>
      </c>
      <c r="Q1169" s="13" t="s">
        <v>7335</v>
      </c>
      <c r="R1169" s="13" t="s">
        <v>4101</v>
      </c>
      <c r="S1169" s="109"/>
      <c r="T1169" s="109"/>
      <c r="U1169" s="112"/>
      <c r="V1169" s="109"/>
      <c r="W1169" s="109"/>
      <c r="X1169" s="109"/>
    </row>
    <row r="1170" spans="2:24">
      <c r="B1170" s="109"/>
      <c r="C1170" s="109"/>
      <c r="D1170" s="20" t="str">
        <f t="shared" si="230"/>
        <v>神州优车集团</v>
      </c>
      <c r="E1170" s="109"/>
      <c r="F1170" s="112"/>
      <c r="G1170" s="109"/>
      <c r="H1170" s="109"/>
      <c r="I1170" s="109"/>
      <c r="J1170" s="109"/>
      <c r="K1170" s="14" t="str">
        <f t="shared" si="231"/>
        <v>运营中</v>
      </c>
      <c r="L1170" s="109"/>
      <c r="M1170" s="109"/>
      <c r="N1170" s="13"/>
      <c r="O1170" s="24">
        <v>42453</v>
      </c>
      <c r="P1170" s="13" t="s">
        <v>5613</v>
      </c>
      <c r="Q1170" s="13" t="s">
        <v>7336</v>
      </c>
      <c r="R1170" s="13" t="s">
        <v>4103</v>
      </c>
      <c r="S1170" s="109"/>
      <c r="T1170" s="109"/>
      <c r="U1170" s="112"/>
      <c r="V1170" s="109"/>
      <c r="W1170" s="109"/>
      <c r="X1170" s="109"/>
    </row>
    <row r="1171" spans="2:24">
      <c r="B1171" s="109"/>
      <c r="C1171" s="109"/>
      <c r="D1171" s="20" t="str">
        <f t="shared" si="230"/>
        <v>神州优车集团</v>
      </c>
      <c r="E1171" s="109"/>
      <c r="F1171" s="112"/>
      <c r="G1171" s="109"/>
      <c r="H1171" s="109"/>
      <c r="I1171" s="109"/>
      <c r="J1171" s="109"/>
      <c r="K1171" s="14" t="str">
        <f t="shared" si="231"/>
        <v>运营中</v>
      </c>
      <c r="L1171" s="109"/>
      <c r="M1171" s="109"/>
      <c r="N1171" s="13"/>
      <c r="O1171" s="24">
        <v>42264</v>
      </c>
      <c r="P1171" s="13" t="s">
        <v>3648</v>
      </c>
      <c r="Q1171" s="13" t="s">
        <v>6949</v>
      </c>
      <c r="R1171" s="13" t="s">
        <v>4104</v>
      </c>
      <c r="S1171" s="109"/>
      <c r="T1171" s="109"/>
      <c r="U1171" s="112"/>
      <c r="V1171" s="109"/>
      <c r="W1171" s="109"/>
      <c r="X1171" s="109"/>
    </row>
    <row r="1172" spans="2:24">
      <c r="B1172" s="109"/>
      <c r="C1172" s="109"/>
      <c r="D1172" s="20" t="str">
        <f t="shared" si="230"/>
        <v>神州优车集团</v>
      </c>
      <c r="E1172" s="109"/>
      <c r="F1172" s="112"/>
      <c r="G1172" s="109"/>
      <c r="H1172" s="109"/>
      <c r="I1172" s="109"/>
      <c r="J1172" s="109"/>
      <c r="K1172" s="14" t="str">
        <f t="shared" si="231"/>
        <v>运营中</v>
      </c>
      <c r="L1172" s="109"/>
      <c r="M1172" s="109"/>
      <c r="N1172" s="13"/>
      <c r="O1172" s="24">
        <v>42187</v>
      </c>
      <c r="P1172" s="13" t="s">
        <v>3513</v>
      </c>
      <c r="Q1172" s="13" t="s">
        <v>5796</v>
      </c>
      <c r="R1172" s="13" t="s">
        <v>4105</v>
      </c>
      <c r="S1172" s="109"/>
      <c r="T1172" s="109"/>
      <c r="U1172" s="112"/>
      <c r="V1172" s="109"/>
      <c r="W1172" s="109"/>
      <c r="X1172" s="109"/>
    </row>
    <row r="1173" spans="2:24">
      <c r="B1173" s="109"/>
      <c r="C1173" s="109" t="s">
        <v>4106</v>
      </c>
      <c r="D1173" s="20" t="s">
        <v>7337</v>
      </c>
      <c r="E1173" s="109" t="s">
        <v>7338</v>
      </c>
      <c r="F1173" s="112" t="s">
        <v>7339</v>
      </c>
      <c r="G1173" s="109" t="s">
        <v>7340</v>
      </c>
      <c r="H1173" s="109" t="s">
        <v>4110</v>
      </c>
      <c r="I1173" s="109" t="s">
        <v>1139</v>
      </c>
      <c r="J1173" s="109" t="s">
        <v>271</v>
      </c>
      <c r="K1173" s="14" t="s">
        <v>272</v>
      </c>
      <c r="L1173" s="109" t="s">
        <v>2711</v>
      </c>
      <c r="M1173" s="109" t="s">
        <v>4903</v>
      </c>
      <c r="N1173" s="13">
        <v>1</v>
      </c>
      <c r="O1173" s="24">
        <v>44056</v>
      </c>
      <c r="P1173" s="13" t="s">
        <v>5810</v>
      </c>
      <c r="Q1173" s="13" t="s">
        <v>7341</v>
      </c>
      <c r="R1173" s="13" t="s">
        <v>4112</v>
      </c>
      <c r="S1173" s="109" t="s">
        <v>7342</v>
      </c>
      <c r="T1173" s="109" t="s">
        <v>7343</v>
      </c>
      <c r="U1173" s="112" t="s">
        <v>4115</v>
      </c>
      <c r="V1173" s="109" t="s">
        <v>4116</v>
      </c>
      <c r="W1173" s="109" t="s">
        <v>4117</v>
      </c>
      <c r="X1173" s="109" t="s">
        <v>4118</v>
      </c>
    </row>
    <row r="1174" spans="2:24">
      <c r="B1174" s="109"/>
      <c r="C1174" s="109"/>
      <c r="D1174" s="20" t="str">
        <f>D1173</f>
        <v>千方科技</v>
      </c>
      <c r="E1174" s="109"/>
      <c r="F1174" s="112"/>
      <c r="G1174" s="109"/>
      <c r="H1174" s="109"/>
      <c r="I1174" s="109"/>
      <c r="J1174" s="109"/>
      <c r="K1174" s="14" t="str">
        <f t="shared" ref="K1174:K1175" si="232">K1173</f>
        <v>运营中</v>
      </c>
      <c r="L1174" s="109"/>
      <c r="M1174" s="109"/>
      <c r="N1174" s="13">
        <v>1</v>
      </c>
      <c r="O1174" s="24">
        <v>43612</v>
      </c>
      <c r="P1174" s="13" t="s">
        <v>5810</v>
      </c>
      <c r="Q1174" s="13" t="s">
        <v>7344</v>
      </c>
      <c r="R1174" s="13" t="s">
        <v>1751</v>
      </c>
      <c r="S1174" s="109"/>
      <c r="T1174" s="109"/>
      <c r="U1174" s="112"/>
      <c r="V1174" s="109"/>
      <c r="W1174" s="109"/>
      <c r="X1174" s="109"/>
    </row>
    <row r="1175" spans="2:24">
      <c r="B1175" s="109"/>
      <c r="C1175" s="109"/>
      <c r="D1175" s="20" t="str">
        <f>D1174</f>
        <v>千方科技</v>
      </c>
      <c r="E1175" s="109"/>
      <c r="F1175" s="112"/>
      <c r="G1175" s="109"/>
      <c r="H1175" s="109"/>
      <c r="I1175" s="109"/>
      <c r="J1175" s="109"/>
      <c r="K1175" s="14" t="str">
        <f t="shared" si="232"/>
        <v>运营中</v>
      </c>
      <c r="L1175" s="109"/>
      <c r="M1175" s="109"/>
      <c r="N1175" s="13">
        <v>1</v>
      </c>
      <c r="O1175" s="24">
        <v>40255</v>
      </c>
      <c r="P1175" s="13" t="s">
        <v>5625</v>
      </c>
      <c r="Q1175" s="13" t="s">
        <v>2030</v>
      </c>
      <c r="R1175" s="13" t="s">
        <v>253</v>
      </c>
      <c r="S1175" s="109"/>
      <c r="T1175" s="109"/>
      <c r="U1175" s="112"/>
      <c r="V1175" s="109"/>
      <c r="W1175" s="109"/>
      <c r="X1175" s="109"/>
    </row>
    <row r="1176" spans="2:24">
      <c r="B1176" s="109"/>
      <c r="C1176" s="109" t="s">
        <v>4120</v>
      </c>
      <c r="D1176" s="20" t="s">
        <v>7345</v>
      </c>
      <c r="E1176" s="109" t="s">
        <v>7346</v>
      </c>
      <c r="F1176" s="112" t="s">
        <v>4122</v>
      </c>
      <c r="G1176" s="109" t="s">
        <v>7347</v>
      </c>
      <c r="H1176" s="109" t="s">
        <v>4124</v>
      </c>
      <c r="I1176" s="109" t="s">
        <v>1150</v>
      </c>
      <c r="J1176" s="109" t="s">
        <v>385</v>
      </c>
      <c r="K1176" s="14" t="s">
        <v>272</v>
      </c>
      <c r="L1176" s="109" t="s">
        <v>1825</v>
      </c>
      <c r="M1176" s="109" t="s">
        <v>5843</v>
      </c>
      <c r="N1176" s="13">
        <v>1</v>
      </c>
      <c r="O1176" s="24">
        <v>43921</v>
      </c>
      <c r="P1176" s="13" t="s">
        <v>1045</v>
      </c>
      <c r="Q1176" s="13" t="s">
        <v>2030</v>
      </c>
      <c r="R1176" s="13" t="s">
        <v>1751</v>
      </c>
      <c r="S1176" s="109" t="s">
        <v>7348</v>
      </c>
      <c r="T1176" s="109" t="s">
        <v>3664</v>
      </c>
      <c r="U1176" s="112" t="s">
        <v>4126</v>
      </c>
      <c r="V1176" s="109" t="s">
        <v>4127</v>
      </c>
      <c r="W1176" s="109" t="s">
        <v>4128</v>
      </c>
      <c r="X1176" s="109" t="s">
        <v>4129</v>
      </c>
    </row>
    <row r="1177" spans="2:24">
      <c r="B1177" s="109"/>
      <c r="C1177" s="109"/>
      <c r="D1177" s="20" t="str">
        <f>D1176</f>
        <v>时代凌宇</v>
      </c>
      <c r="E1177" s="109"/>
      <c r="F1177" s="112"/>
      <c r="G1177" s="109"/>
      <c r="H1177" s="109"/>
      <c r="I1177" s="109"/>
      <c r="J1177" s="109"/>
      <c r="K1177" s="14" t="str">
        <f t="shared" ref="K1177:K1179" si="233">K1176</f>
        <v>运营中</v>
      </c>
      <c r="L1177" s="109"/>
      <c r="M1177" s="109"/>
      <c r="N1177" s="13">
        <v>1</v>
      </c>
      <c r="O1177" s="24">
        <v>43637</v>
      </c>
      <c r="P1177" s="13" t="s">
        <v>1045</v>
      </c>
      <c r="Q1177" s="13" t="s">
        <v>2030</v>
      </c>
      <c r="R1177" s="13" t="s">
        <v>4130</v>
      </c>
      <c r="S1177" s="109"/>
      <c r="T1177" s="109"/>
      <c r="U1177" s="112"/>
      <c r="V1177" s="109"/>
      <c r="W1177" s="109"/>
      <c r="X1177" s="109"/>
    </row>
    <row r="1178" spans="2:24">
      <c r="B1178" s="109"/>
      <c r="C1178" s="109"/>
      <c r="D1178" s="20" t="str">
        <f>D1177</f>
        <v>时代凌宇</v>
      </c>
      <c r="E1178" s="109"/>
      <c r="F1178" s="112"/>
      <c r="G1178" s="109"/>
      <c r="H1178" s="109"/>
      <c r="I1178" s="109"/>
      <c r="J1178" s="109"/>
      <c r="K1178" s="14" t="str">
        <f t="shared" si="233"/>
        <v>运营中</v>
      </c>
      <c r="L1178" s="109"/>
      <c r="M1178" s="109"/>
      <c r="N1178" s="13">
        <v>1</v>
      </c>
      <c r="O1178" s="24">
        <v>43311</v>
      </c>
      <c r="P1178" s="13" t="s">
        <v>5622</v>
      </c>
      <c r="Q1178" s="13" t="s">
        <v>2030</v>
      </c>
      <c r="R1178" s="13" t="s">
        <v>253</v>
      </c>
      <c r="S1178" s="109"/>
      <c r="T1178" s="109"/>
      <c r="U1178" s="112"/>
      <c r="V1178" s="109"/>
      <c r="W1178" s="109"/>
      <c r="X1178" s="109"/>
    </row>
    <row r="1179" spans="2:24">
      <c r="B1179" s="109"/>
      <c r="C1179" s="109"/>
      <c r="D1179" s="20" t="str">
        <f>D1178</f>
        <v>时代凌宇</v>
      </c>
      <c r="E1179" s="109"/>
      <c r="F1179" s="112"/>
      <c r="G1179" s="109"/>
      <c r="H1179" s="109"/>
      <c r="I1179" s="109"/>
      <c r="J1179" s="109"/>
      <c r="K1179" s="14" t="str">
        <f t="shared" si="233"/>
        <v>运营中</v>
      </c>
      <c r="L1179" s="109"/>
      <c r="M1179" s="109"/>
      <c r="N1179" s="13">
        <v>1</v>
      </c>
      <c r="O1179" s="24">
        <v>42191</v>
      </c>
      <c r="P1179" s="13" t="s">
        <v>5664</v>
      </c>
      <c r="Q1179" s="13" t="s">
        <v>2030</v>
      </c>
      <c r="R1179" s="13" t="s">
        <v>253</v>
      </c>
      <c r="S1179" s="109"/>
      <c r="T1179" s="109"/>
      <c r="U1179" s="112"/>
      <c r="V1179" s="109"/>
      <c r="W1179" s="109"/>
      <c r="X1179" s="109"/>
    </row>
    <row r="1180" spans="2:24">
      <c r="B1180" s="109"/>
      <c r="C1180" s="109" t="s">
        <v>4131</v>
      </c>
      <c r="D1180" s="20" t="s">
        <v>7349</v>
      </c>
      <c r="E1180" s="109" t="s">
        <v>7350</v>
      </c>
      <c r="F1180" s="112" t="s">
        <v>4133</v>
      </c>
      <c r="G1180" s="109" t="s">
        <v>7351</v>
      </c>
      <c r="H1180" s="109" t="s">
        <v>4135</v>
      </c>
      <c r="I1180" s="109" t="s">
        <v>3867</v>
      </c>
      <c r="J1180" s="109" t="s">
        <v>406</v>
      </c>
      <c r="K1180" s="14" t="s">
        <v>272</v>
      </c>
      <c r="L1180" s="109" t="s">
        <v>1825</v>
      </c>
      <c r="M1180" s="109" t="s">
        <v>5843</v>
      </c>
      <c r="N1180" s="13"/>
      <c r="O1180" s="24">
        <v>44203</v>
      </c>
      <c r="P1180" s="13" t="s">
        <v>1045</v>
      </c>
      <c r="Q1180" s="13" t="s">
        <v>2030</v>
      </c>
      <c r="R1180" s="13" t="s">
        <v>6027</v>
      </c>
      <c r="S1180" s="109" t="s">
        <v>7352</v>
      </c>
      <c r="T1180" s="109" t="s">
        <v>3664</v>
      </c>
      <c r="U1180" s="112" t="s">
        <v>4137</v>
      </c>
      <c r="V1180" s="109" t="s">
        <v>4138</v>
      </c>
      <c r="W1180" s="109" t="s">
        <v>4139</v>
      </c>
      <c r="X1180" s="109" t="s">
        <v>4140</v>
      </c>
    </row>
    <row r="1181" spans="2:24">
      <c r="B1181" s="109"/>
      <c r="C1181" s="109"/>
      <c r="D1181" s="20" t="str">
        <f>D1180</f>
        <v>魔点科技</v>
      </c>
      <c r="E1181" s="109"/>
      <c r="F1181" s="112"/>
      <c r="G1181" s="109"/>
      <c r="H1181" s="109"/>
      <c r="I1181" s="109"/>
      <c r="J1181" s="109"/>
      <c r="K1181" s="14" t="str">
        <f t="shared" ref="K1181:K1184" si="234">K1180</f>
        <v>运营中</v>
      </c>
      <c r="L1181" s="109"/>
      <c r="M1181" s="109"/>
      <c r="N1181" s="13"/>
      <c r="O1181" s="24">
        <v>44161</v>
      </c>
      <c r="P1181" s="13" t="s">
        <v>5613</v>
      </c>
      <c r="Q1181" s="13" t="s">
        <v>6371</v>
      </c>
      <c r="R1181" s="13" t="s">
        <v>4141</v>
      </c>
      <c r="S1181" s="109"/>
      <c r="T1181" s="109"/>
      <c r="U1181" s="112"/>
      <c r="V1181" s="109"/>
      <c r="W1181" s="109"/>
      <c r="X1181" s="109"/>
    </row>
    <row r="1182" spans="2:24">
      <c r="B1182" s="109"/>
      <c r="C1182" s="109"/>
      <c r="D1182" s="20" t="str">
        <f>D1181</f>
        <v>魔点科技</v>
      </c>
      <c r="E1182" s="109"/>
      <c r="F1182" s="112"/>
      <c r="G1182" s="109"/>
      <c r="H1182" s="109"/>
      <c r="I1182" s="109"/>
      <c r="J1182" s="109"/>
      <c r="K1182" s="14" t="str">
        <f t="shared" si="234"/>
        <v>运营中</v>
      </c>
      <c r="L1182" s="109"/>
      <c r="M1182" s="109"/>
      <c r="N1182" s="13"/>
      <c r="O1182" s="24">
        <v>43894</v>
      </c>
      <c r="P1182" s="13" t="s">
        <v>7353</v>
      </c>
      <c r="Q1182" s="13" t="s">
        <v>3514</v>
      </c>
      <c r="R1182" s="13" t="s">
        <v>4143</v>
      </c>
      <c r="S1182" s="109"/>
      <c r="T1182" s="109"/>
      <c r="U1182" s="112"/>
      <c r="V1182" s="109"/>
      <c r="W1182" s="109"/>
      <c r="X1182" s="109"/>
    </row>
    <row r="1183" spans="2:24">
      <c r="B1183" s="109"/>
      <c r="C1183" s="109"/>
      <c r="D1183" s="20" t="str">
        <f>D1182</f>
        <v>魔点科技</v>
      </c>
      <c r="E1183" s="109"/>
      <c r="F1183" s="112"/>
      <c r="G1183" s="109"/>
      <c r="H1183" s="109"/>
      <c r="I1183" s="109"/>
      <c r="J1183" s="109"/>
      <c r="K1183" s="14" t="str">
        <f t="shared" si="234"/>
        <v>运营中</v>
      </c>
      <c r="L1183" s="109"/>
      <c r="M1183" s="109"/>
      <c r="N1183" s="13"/>
      <c r="O1183" s="24">
        <v>43465</v>
      </c>
      <c r="P1183" s="13" t="s">
        <v>7353</v>
      </c>
      <c r="Q1183" s="13" t="s">
        <v>6044</v>
      </c>
      <c r="R1183" s="13" t="s">
        <v>4144</v>
      </c>
      <c r="S1183" s="109"/>
      <c r="T1183" s="109"/>
      <c r="U1183" s="112"/>
      <c r="V1183" s="109"/>
      <c r="W1183" s="109"/>
      <c r="X1183" s="109"/>
    </row>
    <row r="1184" spans="2:24">
      <c r="B1184" s="109"/>
      <c r="C1184" s="109"/>
      <c r="D1184" s="20" t="str">
        <f>D1183</f>
        <v>魔点科技</v>
      </c>
      <c r="E1184" s="109"/>
      <c r="F1184" s="112"/>
      <c r="G1184" s="109"/>
      <c r="H1184" s="109"/>
      <c r="I1184" s="109"/>
      <c r="J1184" s="109"/>
      <c r="K1184" s="14" t="str">
        <f t="shared" si="234"/>
        <v>运营中</v>
      </c>
      <c r="L1184" s="109"/>
      <c r="M1184" s="109"/>
      <c r="N1184" s="13"/>
      <c r="O1184" s="24">
        <v>43105</v>
      </c>
      <c r="P1184" s="13" t="s">
        <v>3513</v>
      </c>
      <c r="Q1184" s="13" t="s">
        <v>3514</v>
      </c>
      <c r="R1184" s="13" t="s">
        <v>4145</v>
      </c>
      <c r="S1184" s="109"/>
      <c r="T1184" s="109"/>
      <c r="U1184" s="112"/>
      <c r="V1184" s="109"/>
      <c r="W1184" s="109"/>
      <c r="X1184" s="109"/>
    </row>
    <row r="1185" spans="2:24" ht="48">
      <c r="B1185" s="109"/>
      <c r="C1185" s="13" t="s">
        <v>4146</v>
      </c>
      <c r="D1185" s="25" t="s">
        <v>7354</v>
      </c>
      <c r="E1185" s="13" t="s">
        <v>7355</v>
      </c>
      <c r="F1185" s="18" t="s">
        <v>7356</v>
      </c>
      <c r="G1185" s="13" t="s">
        <v>7357</v>
      </c>
      <c r="H1185" s="13" t="s">
        <v>4150</v>
      </c>
      <c r="I1185" s="13" t="s">
        <v>3710</v>
      </c>
      <c r="J1185" s="13" t="s">
        <v>406</v>
      </c>
      <c r="K1185" s="19" t="s">
        <v>272</v>
      </c>
      <c r="L1185" s="13" t="s">
        <v>1825</v>
      </c>
      <c r="M1185" s="13" t="s">
        <v>470</v>
      </c>
      <c r="N1185" s="13"/>
      <c r="O1185" s="24">
        <v>42639</v>
      </c>
      <c r="P1185" s="13" t="s">
        <v>1045</v>
      </c>
      <c r="Q1185" s="13" t="s">
        <v>3514</v>
      </c>
      <c r="R1185" s="13" t="s">
        <v>1751</v>
      </c>
      <c r="S1185" s="13" t="s">
        <v>5169</v>
      </c>
      <c r="T1185" s="13" t="s">
        <v>5273</v>
      </c>
      <c r="U1185" s="18" t="s">
        <v>4151</v>
      </c>
      <c r="V1185" s="13" t="s">
        <v>4152</v>
      </c>
      <c r="W1185" s="13" t="s">
        <v>4153</v>
      </c>
      <c r="X1185" s="13" t="s">
        <v>4154</v>
      </c>
    </row>
    <row r="1186" spans="2:24">
      <c r="B1186" s="109"/>
      <c r="C1186" s="109" t="s">
        <v>1900</v>
      </c>
      <c r="D1186" s="20" t="s">
        <v>7358</v>
      </c>
      <c r="E1186" s="109" t="s">
        <v>4156</v>
      </c>
      <c r="F1186" s="112" t="s">
        <v>4157</v>
      </c>
      <c r="G1186" s="109" t="s">
        <v>7359</v>
      </c>
      <c r="H1186" s="109" t="s">
        <v>4159</v>
      </c>
      <c r="I1186" s="109" t="s">
        <v>4160</v>
      </c>
      <c r="J1186" s="109" t="s">
        <v>4161</v>
      </c>
      <c r="K1186" s="14" t="s">
        <v>272</v>
      </c>
      <c r="L1186" s="109" t="s">
        <v>4162</v>
      </c>
      <c r="M1186" s="109" t="s">
        <v>4163</v>
      </c>
      <c r="N1186" s="13"/>
      <c r="O1186" s="24">
        <v>44725</v>
      </c>
      <c r="P1186" s="13" t="s">
        <v>1045</v>
      </c>
      <c r="Q1186" s="13" t="s">
        <v>2030</v>
      </c>
      <c r="R1186" s="13" t="s">
        <v>1751</v>
      </c>
      <c r="S1186" s="109" t="s">
        <v>4164</v>
      </c>
      <c r="T1186" s="109" t="s">
        <v>3664</v>
      </c>
      <c r="U1186" s="112" t="s">
        <v>4165</v>
      </c>
      <c r="V1186" s="109" t="s">
        <v>4166</v>
      </c>
      <c r="W1186" s="109"/>
      <c r="X1186" s="109"/>
    </row>
    <row r="1187" spans="2:24">
      <c r="B1187" s="109"/>
      <c r="C1187" s="109"/>
      <c r="D1187" s="20" t="str">
        <f>D1186</f>
        <v>单立人喜剧</v>
      </c>
      <c r="E1187" s="109"/>
      <c r="F1187" s="112"/>
      <c r="G1187" s="109"/>
      <c r="H1187" s="109"/>
      <c r="I1187" s="109"/>
      <c r="J1187" s="109"/>
      <c r="K1187" s="14" t="str">
        <f t="shared" ref="K1187:K1189" si="235">K1186</f>
        <v>运营中</v>
      </c>
      <c r="L1187" s="109"/>
      <c r="M1187" s="109"/>
      <c r="N1187" s="13"/>
      <c r="O1187" s="24">
        <v>43248</v>
      </c>
      <c r="P1187" s="13" t="s">
        <v>3513</v>
      </c>
      <c r="Q1187" s="13" t="s">
        <v>2030</v>
      </c>
      <c r="R1187" s="13" t="s">
        <v>6244</v>
      </c>
      <c r="S1187" s="109"/>
      <c r="T1187" s="109"/>
      <c r="U1187" s="112"/>
      <c r="V1187" s="109"/>
      <c r="W1187" s="109"/>
      <c r="X1187" s="109"/>
    </row>
    <row r="1188" spans="2:24">
      <c r="B1188" s="109"/>
      <c r="C1188" s="109"/>
      <c r="D1188" s="20" t="str">
        <f>D1187</f>
        <v>单立人喜剧</v>
      </c>
      <c r="E1188" s="109"/>
      <c r="F1188" s="112"/>
      <c r="G1188" s="109"/>
      <c r="H1188" s="109"/>
      <c r="I1188" s="109"/>
      <c r="J1188" s="109"/>
      <c r="K1188" s="14" t="str">
        <f t="shared" si="235"/>
        <v>运营中</v>
      </c>
      <c r="L1188" s="109"/>
      <c r="M1188" s="109"/>
      <c r="N1188" s="13"/>
      <c r="O1188" s="24">
        <v>42963</v>
      </c>
      <c r="P1188" s="13" t="s">
        <v>5474</v>
      </c>
      <c r="Q1188" s="13" t="s">
        <v>2030</v>
      </c>
      <c r="R1188" s="13" t="s">
        <v>7360</v>
      </c>
      <c r="S1188" s="109"/>
      <c r="T1188" s="109"/>
      <c r="U1188" s="112"/>
      <c r="V1188" s="109"/>
      <c r="W1188" s="109"/>
      <c r="X1188" s="109"/>
    </row>
    <row r="1189" spans="2:24">
      <c r="B1189" s="109"/>
      <c r="C1189" s="109"/>
      <c r="D1189" s="20" t="str">
        <f>D1188</f>
        <v>单立人喜剧</v>
      </c>
      <c r="E1189" s="109"/>
      <c r="F1189" s="112"/>
      <c r="G1189" s="109"/>
      <c r="H1189" s="109"/>
      <c r="I1189" s="109"/>
      <c r="J1189" s="109"/>
      <c r="K1189" s="14" t="str">
        <f t="shared" si="235"/>
        <v>运营中</v>
      </c>
      <c r="L1189" s="109"/>
      <c r="M1189" s="109"/>
      <c r="N1189" s="13"/>
      <c r="O1189" s="24">
        <v>42753</v>
      </c>
      <c r="P1189" s="13" t="s">
        <v>5697</v>
      </c>
      <c r="Q1189" s="13" t="s">
        <v>2030</v>
      </c>
      <c r="R1189" s="13" t="s">
        <v>253</v>
      </c>
      <c r="S1189" s="109"/>
      <c r="T1189" s="109"/>
      <c r="U1189" s="112"/>
      <c r="V1189" s="109"/>
      <c r="W1189" s="109"/>
      <c r="X1189" s="109"/>
    </row>
    <row r="1190" spans="2:24">
      <c r="B1190" s="109"/>
      <c r="C1190" s="109" t="s">
        <v>4168</v>
      </c>
      <c r="D1190" s="20" t="s">
        <v>7361</v>
      </c>
      <c r="E1190" s="109" t="s">
        <v>6033</v>
      </c>
      <c r="F1190" s="112" t="s">
        <v>7362</v>
      </c>
      <c r="G1190" s="109" t="s">
        <v>7363</v>
      </c>
      <c r="H1190" s="109" t="s">
        <v>4171</v>
      </c>
      <c r="I1190" s="109" t="s">
        <v>4172</v>
      </c>
      <c r="J1190" s="109" t="s">
        <v>385</v>
      </c>
      <c r="K1190" s="14" t="s">
        <v>272</v>
      </c>
      <c r="L1190" s="109" t="s">
        <v>3809</v>
      </c>
      <c r="M1190" s="109" t="s">
        <v>7364</v>
      </c>
      <c r="N1190" s="13">
        <v>1</v>
      </c>
      <c r="O1190" s="24">
        <v>44137</v>
      </c>
      <c r="P1190" s="13" t="s">
        <v>5625</v>
      </c>
      <c r="Q1190" s="13" t="s">
        <v>7365</v>
      </c>
      <c r="R1190" s="13" t="s">
        <v>253</v>
      </c>
      <c r="S1190" s="109" t="s">
        <v>7366</v>
      </c>
      <c r="T1190" s="109" t="s">
        <v>7367</v>
      </c>
      <c r="U1190" s="112"/>
      <c r="V1190" s="109" t="s">
        <v>4177</v>
      </c>
      <c r="W1190" s="109" t="s">
        <v>4178</v>
      </c>
      <c r="X1190" s="109" t="s">
        <v>4179</v>
      </c>
    </row>
    <row r="1191" spans="2:24">
      <c r="B1191" s="109"/>
      <c r="C1191" s="109"/>
      <c r="D1191" s="20" t="str">
        <f>D1190</f>
        <v>中金公司</v>
      </c>
      <c r="E1191" s="109"/>
      <c r="F1191" s="112"/>
      <c r="G1191" s="109"/>
      <c r="H1191" s="109"/>
      <c r="I1191" s="109"/>
      <c r="J1191" s="109"/>
      <c r="K1191" s="14" t="str">
        <f t="shared" ref="K1191:K1194" si="236">K1190</f>
        <v>运营中</v>
      </c>
      <c r="L1191" s="109"/>
      <c r="M1191" s="109"/>
      <c r="N1191" s="13">
        <v>1</v>
      </c>
      <c r="O1191" s="24">
        <v>43515</v>
      </c>
      <c r="P1191" s="13" t="s">
        <v>5810</v>
      </c>
      <c r="Q1191" s="13" t="s">
        <v>7148</v>
      </c>
      <c r="R1191" s="13" t="s">
        <v>1751</v>
      </c>
      <c r="S1191" s="109"/>
      <c r="T1191" s="109"/>
      <c r="U1191" s="112"/>
      <c r="V1191" s="109"/>
      <c r="W1191" s="109"/>
      <c r="X1191" s="109"/>
    </row>
    <row r="1192" spans="2:24">
      <c r="B1192" s="109"/>
      <c r="C1192" s="109"/>
      <c r="D1192" s="20" t="str">
        <f>D1191</f>
        <v>中金公司</v>
      </c>
      <c r="E1192" s="109"/>
      <c r="F1192" s="112"/>
      <c r="G1192" s="109"/>
      <c r="H1192" s="109"/>
      <c r="I1192" s="109"/>
      <c r="J1192" s="109"/>
      <c r="K1192" s="14" t="str">
        <f t="shared" si="236"/>
        <v>运营中</v>
      </c>
      <c r="L1192" s="109"/>
      <c r="M1192" s="109"/>
      <c r="N1192" s="13">
        <v>1</v>
      </c>
      <c r="O1192" s="24">
        <v>42998</v>
      </c>
      <c r="P1192" s="13" t="s">
        <v>5810</v>
      </c>
      <c r="Q1192" s="13" t="s">
        <v>7368</v>
      </c>
      <c r="R1192" s="13" t="s">
        <v>5755</v>
      </c>
      <c r="S1192" s="109"/>
      <c r="T1192" s="109"/>
      <c r="U1192" s="112"/>
      <c r="V1192" s="109"/>
      <c r="W1192" s="109"/>
      <c r="X1192" s="109"/>
    </row>
    <row r="1193" spans="2:24">
      <c r="B1193" s="109"/>
      <c r="C1193" s="109"/>
      <c r="D1193" s="20" t="str">
        <f>D1192</f>
        <v>中金公司</v>
      </c>
      <c r="E1193" s="109"/>
      <c r="F1193" s="112"/>
      <c r="G1193" s="109"/>
      <c r="H1193" s="109"/>
      <c r="I1193" s="109"/>
      <c r="J1193" s="109"/>
      <c r="K1193" s="14" t="str">
        <f t="shared" si="236"/>
        <v>运营中</v>
      </c>
      <c r="L1193" s="109"/>
      <c r="M1193" s="109"/>
      <c r="N1193" s="13">
        <v>1</v>
      </c>
      <c r="O1193" s="24">
        <v>42317</v>
      </c>
      <c r="P1193" s="13" t="s">
        <v>5625</v>
      </c>
      <c r="Q1193" s="13" t="s">
        <v>7369</v>
      </c>
      <c r="R1193" s="13" t="s">
        <v>253</v>
      </c>
      <c r="S1193" s="109"/>
      <c r="T1193" s="109"/>
      <c r="U1193" s="112"/>
      <c r="V1193" s="109"/>
      <c r="W1193" s="109"/>
      <c r="X1193" s="109"/>
    </row>
    <row r="1194" spans="2:24">
      <c r="B1194" s="109"/>
      <c r="C1194" s="109"/>
      <c r="D1194" s="20" t="str">
        <f>D1193</f>
        <v>中金公司</v>
      </c>
      <c r="E1194" s="109"/>
      <c r="F1194" s="112"/>
      <c r="G1194" s="109"/>
      <c r="H1194" s="109"/>
      <c r="I1194" s="109"/>
      <c r="J1194" s="109"/>
      <c r="K1194" s="14" t="str">
        <f t="shared" si="236"/>
        <v>运营中</v>
      </c>
      <c r="L1194" s="109"/>
      <c r="M1194" s="109"/>
      <c r="N1194" s="13">
        <v>1</v>
      </c>
      <c r="O1194" s="24">
        <v>41239</v>
      </c>
      <c r="P1194" s="13" t="s">
        <v>3513</v>
      </c>
      <c r="Q1194" s="13" t="s">
        <v>2030</v>
      </c>
      <c r="R1194" s="13" t="s">
        <v>7370</v>
      </c>
      <c r="S1194" s="109"/>
      <c r="T1194" s="109"/>
      <c r="U1194" s="112"/>
      <c r="V1194" s="109"/>
      <c r="W1194" s="109"/>
      <c r="X1194" s="109"/>
    </row>
    <row r="1195" spans="2:24">
      <c r="B1195" s="109"/>
      <c r="C1195" s="109" t="s">
        <v>4183</v>
      </c>
      <c r="D1195" s="20" t="s">
        <v>7371</v>
      </c>
      <c r="E1195" s="109" t="s">
        <v>7372</v>
      </c>
      <c r="F1195" s="112" t="s">
        <v>4185</v>
      </c>
      <c r="G1195" s="109" t="s">
        <v>7373</v>
      </c>
      <c r="H1195" s="109" t="s">
        <v>4187</v>
      </c>
      <c r="I1195" s="109" t="s">
        <v>3495</v>
      </c>
      <c r="J1195" s="109" t="s">
        <v>4188</v>
      </c>
      <c r="K1195" s="14" t="s">
        <v>272</v>
      </c>
      <c r="L1195" s="109" t="s">
        <v>1043</v>
      </c>
      <c r="M1195" s="109" t="s">
        <v>1044</v>
      </c>
      <c r="N1195" s="13">
        <v>1</v>
      </c>
      <c r="O1195" s="24">
        <v>43005</v>
      </c>
      <c r="P1195" s="13" t="s">
        <v>5810</v>
      </c>
      <c r="Q1195" s="13" t="s">
        <v>2030</v>
      </c>
      <c r="R1195" s="13" t="s">
        <v>4190</v>
      </c>
      <c r="S1195" s="109" t="s">
        <v>7374</v>
      </c>
      <c r="T1195" s="109" t="s">
        <v>3664</v>
      </c>
      <c r="U1195" s="112" t="s">
        <v>4192</v>
      </c>
      <c r="V1195" s="109" t="s">
        <v>4193</v>
      </c>
      <c r="W1195" s="109" t="s">
        <v>4194</v>
      </c>
      <c r="X1195" s="109"/>
    </row>
    <row r="1196" spans="2:24">
      <c r="B1196" s="109"/>
      <c r="C1196" s="109"/>
      <c r="D1196" s="20" t="str">
        <f>D1195</f>
        <v>新华都</v>
      </c>
      <c r="E1196" s="109"/>
      <c r="F1196" s="112"/>
      <c r="G1196" s="109"/>
      <c r="H1196" s="109"/>
      <c r="I1196" s="109"/>
      <c r="J1196" s="109"/>
      <c r="K1196" s="14" t="str">
        <f>K1195</f>
        <v>运营中</v>
      </c>
      <c r="L1196" s="109"/>
      <c r="M1196" s="109"/>
      <c r="N1196" s="13">
        <v>1</v>
      </c>
      <c r="O1196" s="24">
        <v>39660</v>
      </c>
      <c r="P1196" s="13" t="s">
        <v>5625</v>
      </c>
      <c r="Q1196" s="13" t="s">
        <v>7375</v>
      </c>
      <c r="R1196" s="13" t="s">
        <v>253</v>
      </c>
      <c r="S1196" s="109"/>
      <c r="T1196" s="109"/>
      <c r="U1196" s="112"/>
      <c r="V1196" s="109"/>
      <c r="W1196" s="109"/>
      <c r="X1196" s="109"/>
    </row>
    <row r="1197" spans="2:24">
      <c r="B1197" s="109"/>
      <c r="C1197" s="109" t="s">
        <v>4196</v>
      </c>
      <c r="D1197" s="20" t="s">
        <v>7376</v>
      </c>
      <c r="E1197" s="109" t="s">
        <v>7377</v>
      </c>
      <c r="F1197" s="112" t="s">
        <v>7378</v>
      </c>
      <c r="G1197" s="109" t="s">
        <v>7379</v>
      </c>
      <c r="H1197" s="109" t="s">
        <v>4200</v>
      </c>
      <c r="I1197" s="109" t="s">
        <v>3629</v>
      </c>
      <c r="J1197" s="109" t="s">
        <v>349</v>
      </c>
      <c r="K1197" s="14" t="s">
        <v>272</v>
      </c>
      <c r="L1197" s="109" t="s">
        <v>1825</v>
      </c>
      <c r="M1197" s="109" t="s">
        <v>5763</v>
      </c>
      <c r="N1197" s="13"/>
      <c r="O1197" s="24">
        <v>43578</v>
      </c>
      <c r="P1197" s="13" t="s">
        <v>3648</v>
      </c>
      <c r="Q1197" s="13" t="s">
        <v>3514</v>
      </c>
      <c r="R1197" s="13" t="s">
        <v>1751</v>
      </c>
      <c r="S1197" s="109" t="s">
        <v>7380</v>
      </c>
      <c r="T1197" s="109" t="s">
        <v>3517</v>
      </c>
      <c r="U1197" s="112" t="s">
        <v>4202</v>
      </c>
      <c r="V1197" s="109" t="s">
        <v>4203</v>
      </c>
      <c r="W1197" s="109" t="s">
        <v>4204</v>
      </c>
      <c r="X1197" s="109" t="s">
        <v>4205</v>
      </c>
    </row>
    <row r="1198" spans="2:24">
      <c r="B1198" s="109"/>
      <c r="C1198" s="109"/>
      <c r="D1198" s="20" t="str">
        <f>D1197</f>
        <v>商帆</v>
      </c>
      <c r="E1198" s="109"/>
      <c r="F1198" s="112"/>
      <c r="G1198" s="109"/>
      <c r="H1198" s="109"/>
      <c r="I1198" s="109"/>
      <c r="J1198" s="109"/>
      <c r="K1198" s="14" t="str">
        <f t="shared" ref="K1198:K1199" si="237">K1197</f>
        <v>运营中</v>
      </c>
      <c r="L1198" s="109"/>
      <c r="M1198" s="109"/>
      <c r="N1198" s="13"/>
      <c r="O1198" s="24">
        <v>43060</v>
      </c>
      <c r="P1198" s="13" t="s">
        <v>3513</v>
      </c>
      <c r="Q1198" s="13" t="s">
        <v>3514</v>
      </c>
      <c r="R1198" s="13" t="s">
        <v>7381</v>
      </c>
      <c r="S1198" s="109"/>
      <c r="T1198" s="109"/>
      <c r="U1198" s="112"/>
      <c r="V1198" s="109"/>
      <c r="W1198" s="109"/>
      <c r="X1198" s="109"/>
    </row>
    <row r="1199" spans="2:24">
      <c r="B1199" s="109"/>
      <c r="C1199" s="109"/>
      <c r="D1199" s="20" t="str">
        <f>D1198</f>
        <v>商帆</v>
      </c>
      <c r="E1199" s="109"/>
      <c r="F1199" s="112"/>
      <c r="G1199" s="109"/>
      <c r="H1199" s="109"/>
      <c r="I1199" s="109"/>
      <c r="J1199" s="109"/>
      <c r="K1199" s="14" t="str">
        <f t="shared" si="237"/>
        <v>运营中</v>
      </c>
      <c r="L1199" s="109"/>
      <c r="M1199" s="109"/>
      <c r="N1199" s="13"/>
      <c r="O1199" s="24">
        <v>42522</v>
      </c>
      <c r="P1199" s="13" t="s">
        <v>5454</v>
      </c>
      <c r="Q1199" s="13" t="s">
        <v>3514</v>
      </c>
      <c r="R1199" s="13" t="s">
        <v>4207</v>
      </c>
      <c r="S1199" s="109"/>
      <c r="T1199" s="109"/>
      <c r="U1199" s="112"/>
      <c r="V1199" s="109"/>
      <c r="W1199" s="109"/>
      <c r="X1199" s="109"/>
    </row>
    <row r="1200" spans="2:24" ht="72">
      <c r="B1200" s="109"/>
      <c r="C1200" s="13" t="s">
        <v>4208</v>
      </c>
      <c r="D1200" s="25" t="s">
        <v>7382</v>
      </c>
      <c r="E1200" s="13" t="s">
        <v>4210</v>
      </c>
      <c r="F1200" s="18" t="s">
        <v>4211</v>
      </c>
      <c r="G1200" s="13" t="s">
        <v>7383</v>
      </c>
      <c r="H1200" s="13" t="s">
        <v>4213</v>
      </c>
      <c r="I1200" s="13" t="s">
        <v>4214</v>
      </c>
      <c r="J1200" s="13" t="s">
        <v>1237</v>
      </c>
      <c r="K1200" s="19" t="s">
        <v>272</v>
      </c>
      <c r="L1200" s="13" t="s">
        <v>1825</v>
      </c>
      <c r="M1200" s="13" t="s">
        <v>1826</v>
      </c>
      <c r="N1200" s="13"/>
      <c r="O1200" s="24">
        <v>44224</v>
      </c>
      <c r="P1200" s="13" t="s">
        <v>1045</v>
      </c>
      <c r="Q1200" s="13" t="s">
        <v>2030</v>
      </c>
      <c r="R1200" s="13" t="s">
        <v>1751</v>
      </c>
      <c r="S1200" s="13" t="s">
        <v>4215</v>
      </c>
      <c r="T1200" s="13" t="s">
        <v>3664</v>
      </c>
      <c r="U1200" s="18" t="s">
        <v>4216</v>
      </c>
      <c r="V1200" s="13" t="s">
        <v>4217</v>
      </c>
      <c r="W1200" s="13" t="s">
        <v>4218</v>
      </c>
      <c r="X1200" s="13" t="s">
        <v>4219</v>
      </c>
    </row>
    <row r="1201" spans="2:24">
      <c r="B1201" s="109"/>
      <c r="C1201" s="109" t="s">
        <v>4220</v>
      </c>
      <c r="D1201" s="20" t="s">
        <v>7384</v>
      </c>
      <c r="E1201" s="109" t="s">
        <v>7385</v>
      </c>
      <c r="F1201" s="112" t="s">
        <v>7386</v>
      </c>
      <c r="G1201" s="109" t="s">
        <v>7387</v>
      </c>
      <c r="H1201" s="109" t="s">
        <v>4224</v>
      </c>
      <c r="I1201" s="109" t="s">
        <v>4225</v>
      </c>
      <c r="J1201" s="109" t="s">
        <v>4226</v>
      </c>
      <c r="K1201" s="14" t="s">
        <v>272</v>
      </c>
      <c r="L1201" s="109" t="s">
        <v>1043</v>
      </c>
      <c r="M1201" s="109" t="s">
        <v>7388</v>
      </c>
      <c r="N1201" s="13"/>
      <c r="O1201" s="24">
        <v>43031</v>
      </c>
      <c r="P1201" s="13" t="s">
        <v>4401</v>
      </c>
      <c r="Q1201" s="13" t="s">
        <v>7389</v>
      </c>
      <c r="R1201" s="13" t="s">
        <v>4229</v>
      </c>
      <c r="S1201" s="109" t="s">
        <v>7390</v>
      </c>
      <c r="T1201" s="109" t="s">
        <v>7391</v>
      </c>
      <c r="U1201" s="112" t="s">
        <v>4232</v>
      </c>
      <c r="V1201" s="109" t="s">
        <v>4233</v>
      </c>
      <c r="W1201" s="109" t="s">
        <v>4234</v>
      </c>
      <c r="X1201" s="109" t="s">
        <v>4235</v>
      </c>
    </row>
    <row r="1202" spans="2:24">
      <c r="B1202" s="109"/>
      <c r="C1202" s="109"/>
      <c r="D1202" s="20" t="str">
        <f>D1201</f>
        <v>东方股份</v>
      </c>
      <c r="E1202" s="109"/>
      <c r="F1202" s="112"/>
      <c r="G1202" s="109"/>
      <c r="H1202" s="109"/>
      <c r="I1202" s="109"/>
      <c r="J1202" s="109"/>
      <c r="K1202" s="14" t="str">
        <f>K1201</f>
        <v>运营中</v>
      </c>
      <c r="L1202" s="109"/>
      <c r="M1202" s="109"/>
      <c r="N1202" s="13"/>
      <c r="O1202" s="24">
        <v>42244</v>
      </c>
      <c r="P1202" s="13" t="s">
        <v>5664</v>
      </c>
      <c r="Q1202" s="13" t="s">
        <v>2030</v>
      </c>
      <c r="R1202" s="13" t="s">
        <v>253</v>
      </c>
      <c r="S1202" s="109"/>
      <c r="T1202" s="109"/>
      <c r="U1202" s="112"/>
      <c r="V1202" s="109"/>
      <c r="W1202" s="109"/>
      <c r="X1202" s="109"/>
    </row>
    <row r="1203" spans="2:24">
      <c r="B1203" s="109"/>
      <c r="C1203" s="109" t="s">
        <v>4236</v>
      </c>
      <c r="D1203" s="20" t="s">
        <v>7392</v>
      </c>
      <c r="E1203" s="109" t="s">
        <v>7393</v>
      </c>
      <c r="F1203" s="112" t="s">
        <v>7394</v>
      </c>
      <c r="G1203" s="109" t="s">
        <v>7395</v>
      </c>
      <c r="H1203" s="109" t="s">
        <v>4241</v>
      </c>
      <c r="I1203" s="109" t="s">
        <v>4160</v>
      </c>
      <c r="J1203" s="109" t="s">
        <v>1192</v>
      </c>
      <c r="K1203" s="14" t="s">
        <v>272</v>
      </c>
      <c r="L1203" s="109" t="s">
        <v>3661</v>
      </c>
      <c r="M1203" s="109" t="s">
        <v>4305</v>
      </c>
      <c r="N1203" s="13"/>
      <c r="O1203" s="24">
        <v>44799</v>
      </c>
      <c r="P1203" s="13" t="s">
        <v>1045</v>
      </c>
      <c r="Q1203" s="13" t="s">
        <v>5000</v>
      </c>
      <c r="R1203" s="13" t="s">
        <v>4242</v>
      </c>
      <c r="S1203" s="109" t="s">
        <v>7396</v>
      </c>
      <c r="T1203" s="109" t="s">
        <v>3280</v>
      </c>
      <c r="U1203" s="112" t="s">
        <v>4244</v>
      </c>
      <c r="V1203" s="109" t="s">
        <v>4245</v>
      </c>
      <c r="W1203" s="109" t="s">
        <v>4246</v>
      </c>
      <c r="X1203" s="109" t="s">
        <v>4247</v>
      </c>
    </row>
    <row r="1204" spans="2:24">
      <c r="B1204" s="109"/>
      <c r="C1204" s="109"/>
      <c r="D1204" s="20" t="str">
        <f t="shared" ref="D1204:D1211" si="238">D1203</f>
        <v>nreal太若科技</v>
      </c>
      <c r="E1204" s="109"/>
      <c r="F1204" s="112"/>
      <c r="G1204" s="109"/>
      <c r="H1204" s="109"/>
      <c r="I1204" s="109"/>
      <c r="J1204" s="109"/>
      <c r="K1204" s="14" t="str">
        <f t="shared" ref="K1204:K1211" si="239">K1203</f>
        <v>运营中</v>
      </c>
      <c r="L1204" s="109"/>
      <c r="M1204" s="109"/>
      <c r="N1204" s="13"/>
      <c r="O1204" s="24">
        <v>44650</v>
      </c>
      <c r="P1204" s="13" t="s">
        <v>2029</v>
      </c>
      <c r="Q1204" s="13" t="s">
        <v>1991</v>
      </c>
      <c r="R1204" s="13" t="s">
        <v>1751</v>
      </c>
      <c r="S1204" s="109"/>
      <c r="T1204" s="109"/>
      <c r="U1204" s="112"/>
      <c r="V1204" s="109"/>
      <c r="W1204" s="109"/>
      <c r="X1204" s="109"/>
    </row>
    <row r="1205" spans="2:24">
      <c r="B1205" s="109"/>
      <c r="C1205" s="109"/>
      <c r="D1205" s="20" t="str">
        <f t="shared" si="238"/>
        <v>nreal太若科技</v>
      </c>
      <c r="E1205" s="109"/>
      <c r="F1205" s="112"/>
      <c r="G1205" s="109"/>
      <c r="H1205" s="109"/>
      <c r="I1205" s="109"/>
      <c r="J1205" s="109"/>
      <c r="K1205" s="14" t="str">
        <f t="shared" si="239"/>
        <v>运营中</v>
      </c>
      <c r="L1205" s="109"/>
      <c r="M1205" s="109"/>
      <c r="N1205" s="13"/>
      <c r="O1205" s="24">
        <v>44462</v>
      </c>
      <c r="P1205" s="13" t="s">
        <v>5613</v>
      </c>
      <c r="Q1205" s="13" t="s">
        <v>4732</v>
      </c>
      <c r="R1205" s="13" t="s">
        <v>4248</v>
      </c>
      <c r="S1205" s="109"/>
      <c r="T1205" s="109"/>
      <c r="U1205" s="112"/>
      <c r="V1205" s="109"/>
      <c r="W1205" s="109"/>
      <c r="X1205" s="109"/>
    </row>
    <row r="1206" spans="2:24">
      <c r="B1206" s="109"/>
      <c r="C1206" s="109"/>
      <c r="D1206" s="20" t="str">
        <f t="shared" si="238"/>
        <v>nreal太若科技</v>
      </c>
      <c r="E1206" s="109"/>
      <c r="F1206" s="112"/>
      <c r="G1206" s="109"/>
      <c r="H1206" s="109"/>
      <c r="I1206" s="109"/>
      <c r="J1206" s="109"/>
      <c r="K1206" s="14" t="str">
        <f t="shared" si="239"/>
        <v>运营中</v>
      </c>
      <c r="L1206" s="109"/>
      <c r="M1206" s="109"/>
      <c r="N1206" s="13"/>
      <c r="O1206" s="24">
        <v>44259</v>
      </c>
      <c r="P1206" s="13" t="s">
        <v>5754</v>
      </c>
      <c r="Q1206" s="13" t="s">
        <v>5000</v>
      </c>
      <c r="R1206" s="13" t="s">
        <v>7397</v>
      </c>
      <c r="S1206" s="109"/>
      <c r="T1206" s="109"/>
      <c r="U1206" s="112"/>
      <c r="V1206" s="109"/>
      <c r="W1206" s="109"/>
      <c r="X1206" s="109"/>
    </row>
    <row r="1207" spans="2:24">
      <c r="B1207" s="109"/>
      <c r="C1207" s="109"/>
      <c r="D1207" s="20" t="str">
        <f t="shared" si="238"/>
        <v>nreal太若科技</v>
      </c>
      <c r="E1207" s="109"/>
      <c r="F1207" s="112"/>
      <c r="G1207" s="109"/>
      <c r="H1207" s="109"/>
      <c r="I1207" s="109"/>
      <c r="J1207" s="109"/>
      <c r="K1207" s="14" t="str">
        <f t="shared" si="239"/>
        <v>运营中</v>
      </c>
      <c r="L1207" s="109"/>
      <c r="M1207" s="109"/>
      <c r="N1207" s="13"/>
      <c r="O1207" s="24">
        <v>44078</v>
      </c>
      <c r="P1207" s="13" t="s">
        <v>3648</v>
      </c>
      <c r="Q1207" s="13" t="s">
        <v>5389</v>
      </c>
      <c r="R1207" s="13" t="s">
        <v>4250</v>
      </c>
      <c r="S1207" s="109"/>
      <c r="T1207" s="109"/>
      <c r="U1207" s="112"/>
      <c r="V1207" s="109"/>
      <c r="W1207" s="109"/>
      <c r="X1207" s="109"/>
    </row>
    <row r="1208" spans="2:24">
      <c r="B1208" s="109"/>
      <c r="C1208" s="109"/>
      <c r="D1208" s="20" t="str">
        <f t="shared" si="238"/>
        <v>nreal太若科技</v>
      </c>
      <c r="E1208" s="109"/>
      <c r="F1208" s="112"/>
      <c r="G1208" s="109"/>
      <c r="H1208" s="109"/>
      <c r="I1208" s="109"/>
      <c r="J1208" s="109"/>
      <c r="K1208" s="14" t="str">
        <f t="shared" si="239"/>
        <v>运营中</v>
      </c>
      <c r="L1208" s="109"/>
      <c r="M1208" s="109"/>
      <c r="N1208" s="13"/>
      <c r="O1208" s="24">
        <v>43519</v>
      </c>
      <c r="P1208" s="13" t="s">
        <v>4306</v>
      </c>
      <c r="Q1208" s="13" t="s">
        <v>7398</v>
      </c>
      <c r="R1208" s="13" t="s">
        <v>4252</v>
      </c>
      <c r="S1208" s="109"/>
      <c r="T1208" s="109"/>
      <c r="U1208" s="112"/>
      <c r="V1208" s="109"/>
      <c r="W1208" s="109"/>
      <c r="X1208" s="109"/>
    </row>
    <row r="1209" spans="2:24">
      <c r="B1209" s="109"/>
      <c r="C1209" s="109"/>
      <c r="D1209" s="20" t="str">
        <f t="shared" si="238"/>
        <v>nreal太若科技</v>
      </c>
      <c r="E1209" s="109"/>
      <c r="F1209" s="112"/>
      <c r="G1209" s="109"/>
      <c r="H1209" s="109"/>
      <c r="I1209" s="109"/>
      <c r="J1209" s="109"/>
      <c r="K1209" s="14" t="str">
        <f t="shared" si="239"/>
        <v>运营中</v>
      </c>
      <c r="L1209" s="109"/>
      <c r="M1209" s="109"/>
      <c r="N1209" s="13"/>
      <c r="O1209" s="24">
        <v>43473</v>
      </c>
      <c r="P1209" s="13" t="s">
        <v>3513</v>
      </c>
      <c r="Q1209" s="13" t="s">
        <v>5576</v>
      </c>
      <c r="R1209" s="13" t="s">
        <v>4253</v>
      </c>
      <c r="S1209" s="109"/>
      <c r="T1209" s="109"/>
      <c r="U1209" s="112"/>
      <c r="V1209" s="109"/>
      <c r="W1209" s="109"/>
      <c r="X1209" s="109"/>
    </row>
    <row r="1210" spans="2:24">
      <c r="B1210" s="109"/>
      <c r="C1210" s="109"/>
      <c r="D1210" s="20" t="str">
        <f t="shared" si="238"/>
        <v>nreal太若科技</v>
      </c>
      <c r="E1210" s="109"/>
      <c r="F1210" s="112"/>
      <c r="G1210" s="109"/>
      <c r="H1210" s="109"/>
      <c r="I1210" s="109"/>
      <c r="J1210" s="109"/>
      <c r="K1210" s="14" t="str">
        <f t="shared" si="239"/>
        <v>运营中</v>
      </c>
      <c r="L1210" s="109"/>
      <c r="M1210" s="109"/>
      <c r="N1210" s="13"/>
      <c r="O1210" s="24">
        <v>43305</v>
      </c>
      <c r="P1210" s="13" t="s">
        <v>5454</v>
      </c>
      <c r="Q1210" s="13" t="s">
        <v>5646</v>
      </c>
      <c r="R1210" s="13" t="s">
        <v>7399</v>
      </c>
      <c r="S1210" s="109"/>
      <c r="T1210" s="109"/>
      <c r="U1210" s="112"/>
      <c r="V1210" s="109"/>
      <c r="W1210" s="109"/>
      <c r="X1210" s="109"/>
    </row>
    <row r="1211" spans="2:24">
      <c r="B1211" s="109"/>
      <c r="C1211" s="109"/>
      <c r="D1211" s="20" t="str">
        <f t="shared" si="238"/>
        <v>nreal太若科技</v>
      </c>
      <c r="E1211" s="109"/>
      <c r="F1211" s="112"/>
      <c r="G1211" s="109"/>
      <c r="H1211" s="109"/>
      <c r="I1211" s="109"/>
      <c r="J1211" s="109"/>
      <c r="K1211" s="14" t="str">
        <f t="shared" si="239"/>
        <v>运营中</v>
      </c>
      <c r="L1211" s="109"/>
      <c r="M1211" s="109"/>
      <c r="N1211" s="13"/>
      <c r="O1211" s="24">
        <v>43004</v>
      </c>
      <c r="P1211" s="13" t="s">
        <v>5474</v>
      </c>
      <c r="Q1211" s="13" t="s">
        <v>5616</v>
      </c>
      <c r="R1211" s="13" t="s">
        <v>4255</v>
      </c>
      <c r="S1211" s="109"/>
      <c r="T1211" s="109"/>
      <c r="U1211" s="112"/>
      <c r="V1211" s="109"/>
      <c r="W1211" s="109"/>
      <c r="X1211" s="109"/>
    </row>
    <row r="1212" spans="2:24">
      <c r="B1212" s="109"/>
      <c r="C1212" s="109" t="s">
        <v>4256</v>
      </c>
      <c r="D1212" s="20" t="s">
        <v>7400</v>
      </c>
      <c r="E1212" s="109" t="s">
        <v>4258</v>
      </c>
      <c r="F1212" s="112" t="s">
        <v>4259</v>
      </c>
      <c r="G1212" s="109" t="s">
        <v>7401</v>
      </c>
      <c r="H1212" s="109" t="s">
        <v>4261</v>
      </c>
      <c r="I1212" s="109" t="s">
        <v>2773</v>
      </c>
      <c r="J1212" s="109" t="s">
        <v>428</v>
      </c>
      <c r="K1212" s="14" t="s">
        <v>272</v>
      </c>
      <c r="L1212" s="109" t="s">
        <v>3661</v>
      </c>
      <c r="M1212" s="109" t="s">
        <v>5031</v>
      </c>
      <c r="N1212" s="13">
        <v>1</v>
      </c>
      <c r="O1212" s="24">
        <v>44575</v>
      </c>
      <c r="P1212" s="13" t="s">
        <v>5625</v>
      </c>
      <c r="Q1212" s="13" t="s">
        <v>7402</v>
      </c>
      <c r="R1212" s="13" t="s">
        <v>253</v>
      </c>
      <c r="S1212" s="109" t="s">
        <v>7403</v>
      </c>
      <c r="T1212" s="109" t="s">
        <v>7404</v>
      </c>
      <c r="U1212" s="112" t="s">
        <v>4265</v>
      </c>
      <c r="V1212" s="109" t="s">
        <v>4266</v>
      </c>
      <c r="W1212" s="109" t="s">
        <v>4267</v>
      </c>
      <c r="X1212" s="109" t="s">
        <v>4268</v>
      </c>
    </row>
    <row r="1213" spans="2:24">
      <c r="B1213" s="109"/>
      <c r="C1213" s="109"/>
      <c r="D1213" s="20" t="str">
        <f t="shared" ref="D1213:D1220" si="240">D1212</f>
        <v>翱捷科技ASR</v>
      </c>
      <c r="E1213" s="109"/>
      <c r="F1213" s="112"/>
      <c r="G1213" s="109"/>
      <c r="H1213" s="109"/>
      <c r="I1213" s="109"/>
      <c r="J1213" s="109"/>
      <c r="K1213" s="14" t="str">
        <f t="shared" ref="K1213:K1220" si="241">K1212</f>
        <v>运营中</v>
      </c>
      <c r="L1213" s="109"/>
      <c r="M1213" s="109"/>
      <c r="N1213" s="13">
        <v>1</v>
      </c>
      <c r="O1213" s="24">
        <v>43951</v>
      </c>
      <c r="P1213" s="13" t="s">
        <v>2713</v>
      </c>
      <c r="Q1213" s="13" t="s">
        <v>7053</v>
      </c>
      <c r="R1213" s="13" t="s">
        <v>4269</v>
      </c>
      <c r="S1213" s="109"/>
      <c r="T1213" s="109"/>
      <c r="U1213" s="112"/>
      <c r="V1213" s="109"/>
      <c r="W1213" s="109"/>
      <c r="X1213" s="109"/>
    </row>
    <row r="1214" spans="2:24">
      <c r="B1214" s="109"/>
      <c r="C1214" s="109"/>
      <c r="D1214" s="20" t="str">
        <f t="shared" si="240"/>
        <v>翱捷科技ASR</v>
      </c>
      <c r="E1214" s="109"/>
      <c r="F1214" s="112"/>
      <c r="G1214" s="109"/>
      <c r="H1214" s="109"/>
      <c r="I1214" s="109"/>
      <c r="J1214" s="109"/>
      <c r="K1214" s="14" t="str">
        <f t="shared" si="241"/>
        <v>运营中</v>
      </c>
      <c r="L1214" s="109"/>
      <c r="M1214" s="109"/>
      <c r="N1214" s="13">
        <v>1</v>
      </c>
      <c r="O1214" s="24">
        <v>43886</v>
      </c>
      <c r="P1214" s="13" t="s">
        <v>1045</v>
      </c>
      <c r="Q1214" s="13" t="s">
        <v>1750</v>
      </c>
      <c r="R1214" s="13" t="s">
        <v>4270</v>
      </c>
      <c r="S1214" s="109"/>
      <c r="T1214" s="109"/>
      <c r="U1214" s="112"/>
      <c r="V1214" s="109"/>
      <c r="W1214" s="109"/>
      <c r="X1214" s="109"/>
    </row>
    <row r="1215" spans="2:24">
      <c r="B1215" s="109"/>
      <c r="C1215" s="109"/>
      <c r="D1215" s="20" t="str">
        <f t="shared" si="240"/>
        <v>翱捷科技ASR</v>
      </c>
      <c r="E1215" s="109"/>
      <c r="F1215" s="112"/>
      <c r="G1215" s="109"/>
      <c r="H1215" s="109"/>
      <c r="I1215" s="109"/>
      <c r="J1215" s="109"/>
      <c r="K1215" s="14" t="str">
        <f t="shared" si="241"/>
        <v>运营中</v>
      </c>
      <c r="L1215" s="109"/>
      <c r="M1215" s="109"/>
      <c r="N1215" s="13">
        <v>1</v>
      </c>
      <c r="O1215" s="24">
        <v>43622</v>
      </c>
      <c r="P1215" s="13" t="s">
        <v>1827</v>
      </c>
      <c r="Q1215" s="13" t="s">
        <v>1750</v>
      </c>
      <c r="R1215" s="13" t="s">
        <v>7405</v>
      </c>
      <c r="S1215" s="109"/>
      <c r="T1215" s="109"/>
      <c r="U1215" s="112"/>
      <c r="V1215" s="109"/>
      <c r="W1215" s="109"/>
      <c r="X1215" s="109"/>
    </row>
    <row r="1216" spans="2:24">
      <c r="B1216" s="109"/>
      <c r="C1216" s="109"/>
      <c r="D1216" s="20" t="str">
        <f t="shared" si="240"/>
        <v>翱捷科技ASR</v>
      </c>
      <c r="E1216" s="109"/>
      <c r="F1216" s="112"/>
      <c r="G1216" s="109"/>
      <c r="H1216" s="109"/>
      <c r="I1216" s="109"/>
      <c r="J1216" s="109"/>
      <c r="K1216" s="14" t="str">
        <f t="shared" si="241"/>
        <v>运营中</v>
      </c>
      <c r="L1216" s="109"/>
      <c r="M1216" s="109"/>
      <c r="N1216" s="13">
        <v>1</v>
      </c>
      <c r="O1216" s="24">
        <v>43578</v>
      </c>
      <c r="P1216" s="13" t="s">
        <v>5613</v>
      </c>
      <c r="Q1216" s="13" t="s">
        <v>1750</v>
      </c>
      <c r="R1216" s="13" t="s">
        <v>4272</v>
      </c>
      <c r="S1216" s="109"/>
      <c r="T1216" s="109"/>
      <c r="U1216" s="112"/>
      <c r="V1216" s="109"/>
      <c r="W1216" s="109"/>
      <c r="X1216" s="109"/>
    </row>
    <row r="1217" spans="2:24">
      <c r="B1217" s="109"/>
      <c r="C1217" s="109"/>
      <c r="D1217" s="20" t="str">
        <f t="shared" si="240"/>
        <v>翱捷科技ASR</v>
      </c>
      <c r="E1217" s="109"/>
      <c r="F1217" s="112"/>
      <c r="G1217" s="109"/>
      <c r="H1217" s="109"/>
      <c r="I1217" s="109"/>
      <c r="J1217" s="109"/>
      <c r="K1217" s="14" t="str">
        <f t="shared" si="241"/>
        <v>运营中</v>
      </c>
      <c r="L1217" s="109"/>
      <c r="M1217" s="109"/>
      <c r="N1217" s="13">
        <v>1</v>
      </c>
      <c r="O1217" s="24">
        <v>43294</v>
      </c>
      <c r="P1217" s="13" t="s">
        <v>3648</v>
      </c>
      <c r="Q1217" s="13" t="s">
        <v>4732</v>
      </c>
      <c r="R1217" s="13" t="s">
        <v>7406</v>
      </c>
      <c r="S1217" s="109"/>
      <c r="T1217" s="109"/>
      <c r="U1217" s="112"/>
      <c r="V1217" s="109"/>
      <c r="W1217" s="109"/>
      <c r="X1217" s="109"/>
    </row>
    <row r="1218" spans="2:24">
      <c r="B1218" s="109"/>
      <c r="C1218" s="109"/>
      <c r="D1218" s="20" t="str">
        <f t="shared" si="240"/>
        <v>翱捷科技ASR</v>
      </c>
      <c r="E1218" s="109"/>
      <c r="F1218" s="112"/>
      <c r="G1218" s="109"/>
      <c r="H1218" s="109"/>
      <c r="I1218" s="109"/>
      <c r="J1218" s="109"/>
      <c r="K1218" s="14" t="str">
        <f t="shared" si="241"/>
        <v>运营中</v>
      </c>
      <c r="L1218" s="109"/>
      <c r="M1218" s="109"/>
      <c r="N1218" s="13">
        <v>1</v>
      </c>
      <c r="O1218" s="24">
        <v>42955</v>
      </c>
      <c r="P1218" s="13" t="s">
        <v>3513</v>
      </c>
      <c r="Q1218" s="13" t="s">
        <v>3811</v>
      </c>
      <c r="R1218" s="13" t="s">
        <v>4274</v>
      </c>
      <c r="S1218" s="109"/>
      <c r="T1218" s="109"/>
      <c r="U1218" s="112"/>
      <c r="V1218" s="109"/>
      <c r="W1218" s="109"/>
      <c r="X1218" s="109"/>
    </row>
    <row r="1219" spans="2:24">
      <c r="B1219" s="109"/>
      <c r="C1219" s="109"/>
      <c r="D1219" s="20" t="str">
        <f t="shared" si="240"/>
        <v>翱捷科技ASR</v>
      </c>
      <c r="E1219" s="109"/>
      <c r="F1219" s="112"/>
      <c r="G1219" s="109"/>
      <c r="H1219" s="109"/>
      <c r="I1219" s="109"/>
      <c r="J1219" s="109"/>
      <c r="K1219" s="14" t="str">
        <f t="shared" si="241"/>
        <v>运营中</v>
      </c>
      <c r="L1219" s="109"/>
      <c r="M1219" s="109"/>
      <c r="N1219" s="13">
        <v>1</v>
      </c>
      <c r="O1219" s="24">
        <v>42705</v>
      </c>
      <c r="P1219" s="13" t="s">
        <v>5454</v>
      </c>
      <c r="Q1219" s="13" t="s">
        <v>5000</v>
      </c>
      <c r="R1219" s="13" t="s">
        <v>4275</v>
      </c>
      <c r="S1219" s="109"/>
      <c r="T1219" s="109"/>
      <c r="U1219" s="112"/>
      <c r="V1219" s="109"/>
      <c r="W1219" s="109"/>
      <c r="X1219" s="109"/>
    </row>
    <row r="1220" spans="2:24">
      <c r="B1220" s="109"/>
      <c r="C1220" s="109"/>
      <c r="D1220" s="20" t="str">
        <f t="shared" si="240"/>
        <v>翱捷科技ASR</v>
      </c>
      <c r="E1220" s="109"/>
      <c r="F1220" s="112"/>
      <c r="G1220" s="109"/>
      <c r="H1220" s="109"/>
      <c r="I1220" s="109"/>
      <c r="J1220" s="109"/>
      <c r="K1220" s="14" t="str">
        <f t="shared" si="241"/>
        <v>运营中</v>
      </c>
      <c r="L1220" s="109"/>
      <c r="M1220" s="109"/>
      <c r="N1220" s="13">
        <v>1</v>
      </c>
      <c r="O1220" s="24">
        <v>42314</v>
      </c>
      <c r="P1220" s="13" t="s">
        <v>5474</v>
      </c>
      <c r="Q1220" s="13" t="s">
        <v>5616</v>
      </c>
      <c r="R1220" s="13" t="s">
        <v>4276</v>
      </c>
      <c r="S1220" s="109"/>
      <c r="T1220" s="109"/>
      <c r="U1220" s="112"/>
      <c r="V1220" s="109"/>
      <c r="W1220" s="109"/>
      <c r="X1220" s="109"/>
    </row>
    <row r="1221" spans="2:24">
      <c r="B1221" s="109"/>
      <c r="C1221" s="109" t="s">
        <v>4277</v>
      </c>
      <c r="D1221" s="20" t="s">
        <v>7407</v>
      </c>
      <c r="E1221" s="109" t="s">
        <v>7408</v>
      </c>
      <c r="F1221" s="112" t="s">
        <v>4279</v>
      </c>
      <c r="G1221" s="109" t="s">
        <v>7409</v>
      </c>
      <c r="H1221" s="109" t="s">
        <v>4281</v>
      </c>
      <c r="I1221" s="109" t="s">
        <v>4282</v>
      </c>
      <c r="J1221" s="109" t="s">
        <v>385</v>
      </c>
      <c r="K1221" s="14" t="s">
        <v>272</v>
      </c>
      <c r="L1221" s="109" t="s">
        <v>4162</v>
      </c>
      <c r="M1221" s="109" t="s">
        <v>5676</v>
      </c>
      <c r="N1221" s="13">
        <v>1</v>
      </c>
      <c r="O1221" s="24">
        <v>44145</v>
      </c>
      <c r="P1221" s="13" t="s">
        <v>5810</v>
      </c>
      <c r="Q1221" s="13" t="s">
        <v>3129</v>
      </c>
      <c r="R1221" s="13" t="s">
        <v>4283</v>
      </c>
      <c r="S1221" s="109" t="s">
        <v>7410</v>
      </c>
      <c r="T1221" s="109" t="s">
        <v>7411</v>
      </c>
      <c r="U1221" s="112" t="s">
        <v>4286</v>
      </c>
      <c r="V1221" s="109" t="s">
        <v>4287</v>
      </c>
      <c r="W1221" s="109" t="s">
        <v>4288</v>
      </c>
      <c r="X1221" s="109" t="s">
        <v>4289</v>
      </c>
    </row>
    <row r="1222" spans="2:24">
      <c r="B1222" s="109"/>
      <c r="C1222" s="109"/>
      <c r="D1222" s="20" t="str">
        <f>D1221</f>
        <v>万达电影</v>
      </c>
      <c r="E1222" s="109"/>
      <c r="F1222" s="112"/>
      <c r="G1222" s="109"/>
      <c r="H1222" s="109"/>
      <c r="I1222" s="109"/>
      <c r="J1222" s="109"/>
      <c r="K1222" s="14" t="str">
        <f t="shared" ref="K1222:K1226" si="242">K1221</f>
        <v>运营中</v>
      </c>
      <c r="L1222" s="109"/>
      <c r="M1222" s="109"/>
      <c r="N1222" s="13">
        <v>1</v>
      </c>
      <c r="O1222" s="24">
        <v>43609</v>
      </c>
      <c r="P1222" s="13" t="s">
        <v>5810</v>
      </c>
      <c r="Q1222" s="13" t="s">
        <v>7412</v>
      </c>
      <c r="R1222" s="13" t="s">
        <v>4291</v>
      </c>
      <c r="S1222" s="109"/>
      <c r="T1222" s="109"/>
      <c r="U1222" s="112"/>
      <c r="V1222" s="109"/>
      <c r="W1222" s="109"/>
      <c r="X1222" s="109"/>
    </row>
    <row r="1223" spans="2:24">
      <c r="B1223" s="109"/>
      <c r="C1223" s="109"/>
      <c r="D1223" s="20" t="str">
        <f>D1222</f>
        <v>万达电影</v>
      </c>
      <c r="E1223" s="109"/>
      <c r="F1223" s="112"/>
      <c r="G1223" s="109"/>
      <c r="H1223" s="109"/>
      <c r="I1223" s="109"/>
      <c r="J1223" s="109"/>
      <c r="K1223" s="14" t="str">
        <f t="shared" si="242"/>
        <v>运营中</v>
      </c>
      <c r="L1223" s="109"/>
      <c r="M1223" s="109"/>
      <c r="N1223" s="13">
        <v>1</v>
      </c>
      <c r="O1223" s="24">
        <v>43136</v>
      </c>
      <c r="P1223" s="13" t="s">
        <v>5810</v>
      </c>
      <c r="Q1223" s="13" t="s">
        <v>7413</v>
      </c>
      <c r="R1223" s="13" t="s">
        <v>4293</v>
      </c>
      <c r="S1223" s="109"/>
      <c r="T1223" s="109"/>
      <c r="U1223" s="112"/>
      <c r="V1223" s="109"/>
      <c r="W1223" s="109"/>
      <c r="X1223" s="109"/>
    </row>
    <row r="1224" spans="2:24">
      <c r="B1224" s="109"/>
      <c r="C1224" s="109"/>
      <c r="D1224" s="20" t="str">
        <f>D1223</f>
        <v>万达电影</v>
      </c>
      <c r="E1224" s="109"/>
      <c r="F1224" s="112"/>
      <c r="G1224" s="109"/>
      <c r="H1224" s="109"/>
      <c r="I1224" s="109"/>
      <c r="J1224" s="109"/>
      <c r="K1224" s="14" t="str">
        <f t="shared" si="242"/>
        <v>运营中</v>
      </c>
      <c r="L1224" s="109"/>
      <c r="M1224" s="109"/>
      <c r="N1224" s="13">
        <v>1</v>
      </c>
      <c r="O1224" s="24">
        <v>42444</v>
      </c>
      <c r="P1224" s="13" t="s">
        <v>5810</v>
      </c>
      <c r="Q1224" s="13" t="s">
        <v>7414</v>
      </c>
      <c r="R1224" s="13" t="s">
        <v>7415</v>
      </c>
      <c r="S1224" s="109"/>
      <c r="T1224" s="109"/>
      <c r="U1224" s="112"/>
      <c r="V1224" s="109"/>
      <c r="W1224" s="109"/>
      <c r="X1224" s="109"/>
    </row>
    <row r="1225" spans="2:24">
      <c r="B1225" s="109"/>
      <c r="C1225" s="109"/>
      <c r="D1225" s="20" t="str">
        <f>D1224</f>
        <v>万达电影</v>
      </c>
      <c r="E1225" s="109"/>
      <c r="F1225" s="112"/>
      <c r="G1225" s="109"/>
      <c r="H1225" s="109"/>
      <c r="I1225" s="109"/>
      <c r="J1225" s="109"/>
      <c r="K1225" s="14" t="str">
        <f t="shared" si="242"/>
        <v>运营中</v>
      </c>
      <c r="L1225" s="109"/>
      <c r="M1225" s="109"/>
      <c r="N1225" s="13">
        <v>1</v>
      </c>
      <c r="O1225" s="24">
        <v>42433</v>
      </c>
      <c r="P1225" s="13" t="s">
        <v>5810</v>
      </c>
      <c r="Q1225" s="13" t="s">
        <v>7416</v>
      </c>
      <c r="R1225" s="13" t="s">
        <v>7417</v>
      </c>
      <c r="S1225" s="109"/>
      <c r="T1225" s="109"/>
      <c r="U1225" s="112"/>
      <c r="V1225" s="109"/>
      <c r="W1225" s="109"/>
      <c r="X1225" s="109"/>
    </row>
    <row r="1226" spans="2:24">
      <c r="B1226" s="109"/>
      <c r="C1226" s="109"/>
      <c r="D1226" s="20" t="str">
        <f>D1225</f>
        <v>万达电影</v>
      </c>
      <c r="E1226" s="109"/>
      <c r="F1226" s="112"/>
      <c r="G1226" s="109"/>
      <c r="H1226" s="109"/>
      <c r="I1226" s="109"/>
      <c r="J1226" s="109"/>
      <c r="K1226" s="14" t="str">
        <f t="shared" si="242"/>
        <v>运营中</v>
      </c>
      <c r="L1226" s="109"/>
      <c r="M1226" s="109"/>
      <c r="N1226" s="13">
        <v>1</v>
      </c>
      <c r="O1226" s="24">
        <v>42026</v>
      </c>
      <c r="P1226" s="13" t="s">
        <v>5625</v>
      </c>
      <c r="Q1226" s="13" t="s">
        <v>7418</v>
      </c>
      <c r="R1226" s="13" t="s">
        <v>253</v>
      </c>
      <c r="S1226" s="109"/>
      <c r="T1226" s="109"/>
      <c r="U1226" s="112"/>
      <c r="V1226" s="109"/>
      <c r="W1226" s="109"/>
      <c r="X1226" s="109"/>
    </row>
    <row r="1227" spans="2:24">
      <c r="B1227" s="109"/>
      <c r="C1227" s="109" t="s">
        <v>4299</v>
      </c>
      <c r="D1227" s="20" t="s">
        <v>7419</v>
      </c>
      <c r="E1227" s="109" t="s">
        <v>4301</v>
      </c>
      <c r="F1227" s="112" t="s">
        <v>4302</v>
      </c>
      <c r="G1227" s="109" t="s">
        <v>7420</v>
      </c>
      <c r="H1227" s="109" t="s">
        <v>4304</v>
      </c>
      <c r="I1227" s="109" t="s">
        <v>3823</v>
      </c>
      <c r="J1227" s="109" t="s">
        <v>428</v>
      </c>
      <c r="K1227" s="14" t="s">
        <v>272</v>
      </c>
      <c r="L1227" s="109" t="s">
        <v>3661</v>
      </c>
      <c r="M1227" s="109" t="s">
        <v>4305</v>
      </c>
      <c r="N1227" s="13"/>
      <c r="O1227" s="24">
        <v>44502</v>
      </c>
      <c r="P1227" s="13" t="s">
        <v>4306</v>
      </c>
      <c r="Q1227" s="13" t="s">
        <v>4307</v>
      </c>
      <c r="R1227" s="13" t="s">
        <v>1751</v>
      </c>
      <c r="S1227" s="109" t="s">
        <v>4308</v>
      </c>
      <c r="T1227" s="109" t="s">
        <v>4309</v>
      </c>
      <c r="U1227" s="112" t="s">
        <v>4310</v>
      </c>
      <c r="V1227" s="109" t="s">
        <v>4311</v>
      </c>
      <c r="W1227" s="109"/>
      <c r="X1227" s="109" t="s">
        <v>4312</v>
      </c>
    </row>
    <row r="1228" spans="2:24">
      <c r="B1228" s="109"/>
      <c r="C1228" s="109"/>
      <c r="D1228" s="20" t="str">
        <f>D1227</f>
        <v>叠境数字</v>
      </c>
      <c r="E1228" s="109"/>
      <c r="F1228" s="112"/>
      <c r="G1228" s="109"/>
      <c r="H1228" s="109"/>
      <c r="I1228" s="109"/>
      <c r="J1228" s="109"/>
      <c r="K1228" s="14" t="str">
        <f t="shared" ref="K1228:K1231" si="243">K1227</f>
        <v>运营中</v>
      </c>
      <c r="L1228" s="109"/>
      <c r="M1228" s="109"/>
      <c r="N1228" s="13"/>
      <c r="O1228" s="24">
        <v>43684</v>
      </c>
      <c r="P1228" s="13" t="s">
        <v>4306</v>
      </c>
      <c r="Q1228" s="13" t="s">
        <v>3514</v>
      </c>
      <c r="R1228" s="13" t="s">
        <v>6580</v>
      </c>
      <c r="S1228" s="109"/>
      <c r="T1228" s="109"/>
      <c r="U1228" s="112"/>
      <c r="V1228" s="109"/>
      <c r="W1228" s="109"/>
      <c r="X1228" s="109"/>
    </row>
    <row r="1229" spans="2:24">
      <c r="B1229" s="109"/>
      <c r="C1229" s="109"/>
      <c r="D1229" s="20" t="str">
        <f>D1228</f>
        <v>叠境数字</v>
      </c>
      <c r="E1229" s="109"/>
      <c r="F1229" s="112"/>
      <c r="G1229" s="109"/>
      <c r="H1229" s="109"/>
      <c r="I1229" s="109"/>
      <c r="J1229" s="109"/>
      <c r="K1229" s="14" t="str">
        <f t="shared" si="243"/>
        <v>运营中</v>
      </c>
      <c r="L1229" s="109"/>
      <c r="M1229" s="109"/>
      <c r="N1229" s="13"/>
      <c r="O1229" s="24">
        <v>43417</v>
      </c>
      <c r="P1229" s="13" t="s">
        <v>3513</v>
      </c>
      <c r="Q1229" s="13" t="s">
        <v>5427</v>
      </c>
      <c r="R1229" s="13" t="s">
        <v>7421</v>
      </c>
      <c r="S1229" s="109"/>
      <c r="T1229" s="109"/>
      <c r="U1229" s="112"/>
      <c r="V1229" s="109"/>
      <c r="W1229" s="109"/>
      <c r="X1229" s="109"/>
    </row>
    <row r="1230" spans="2:24">
      <c r="B1230" s="109"/>
      <c r="C1230" s="109"/>
      <c r="D1230" s="20" t="str">
        <f>D1229</f>
        <v>叠境数字</v>
      </c>
      <c r="E1230" s="109"/>
      <c r="F1230" s="112"/>
      <c r="G1230" s="109"/>
      <c r="H1230" s="109"/>
      <c r="I1230" s="109"/>
      <c r="J1230" s="109"/>
      <c r="K1230" s="14" t="str">
        <f t="shared" si="243"/>
        <v>运营中</v>
      </c>
      <c r="L1230" s="109"/>
      <c r="M1230" s="109"/>
      <c r="N1230" s="13"/>
      <c r="O1230" s="24">
        <v>43096</v>
      </c>
      <c r="P1230" s="13" t="s">
        <v>5454</v>
      </c>
      <c r="Q1230" s="13" t="s">
        <v>1750</v>
      </c>
      <c r="R1230" s="13" t="s">
        <v>4314</v>
      </c>
      <c r="S1230" s="109"/>
      <c r="T1230" s="109"/>
      <c r="U1230" s="112"/>
      <c r="V1230" s="109"/>
      <c r="W1230" s="109"/>
      <c r="X1230" s="109"/>
    </row>
    <row r="1231" spans="2:24">
      <c r="B1231" s="109"/>
      <c r="C1231" s="109"/>
      <c r="D1231" s="20" t="str">
        <f>D1230</f>
        <v>叠境数字</v>
      </c>
      <c r="E1231" s="109"/>
      <c r="F1231" s="112"/>
      <c r="G1231" s="109"/>
      <c r="H1231" s="109"/>
      <c r="I1231" s="109"/>
      <c r="J1231" s="109"/>
      <c r="K1231" s="14" t="str">
        <f t="shared" si="243"/>
        <v>运营中</v>
      </c>
      <c r="L1231" s="109"/>
      <c r="M1231" s="109"/>
      <c r="N1231" s="13"/>
      <c r="O1231" s="24">
        <v>42578</v>
      </c>
      <c r="P1231" s="13" t="s">
        <v>5474</v>
      </c>
      <c r="Q1231" s="13" t="s">
        <v>6209</v>
      </c>
      <c r="R1231" s="13" t="s">
        <v>7422</v>
      </c>
      <c r="S1231" s="109"/>
      <c r="T1231" s="109"/>
      <c r="U1231" s="112"/>
      <c r="V1231" s="109"/>
      <c r="W1231" s="109"/>
      <c r="X1231" s="109"/>
    </row>
    <row r="1232" spans="2:24" ht="24">
      <c r="B1232" s="109"/>
      <c r="C1232" s="13" t="s">
        <v>4316</v>
      </c>
      <c r="D1232" s="25" t="s">
        <v>7423</v>
      </c>
      <c r="E1232" s="13" t="s">
        <v>7424</v>
      </c>
      <c r="F1232" s="18" t="s">
        <v>7425</v>
      </c>
      <c r="G1232" s="13" t="s">
        <v>7426</v>
      </c>
      <c r="H1232" s="13" t="s">
        <v>4320</v>
      </c>
      <c r="I1232" s="13" t="s">
        <v>1606</v>
      </c>
      <c r="J1232" s="13" t="s">
        <v>4321</v>
      </c>
      <c r="K1232" s="19" t="s">
        <v>272</v>
      </c>
      <c r="L1232" s="13" t="s">
        <v>5437</v>
      </c>
      <c r="M1232" s="13" t="s">
        <v>7427</v>
      </c>
      <c r="N1232" s="13"/>
      <c r="O1232" s="24">
        <v>43133</v>
      </c>
      <c r="P1232" s="13" t="s">
        <v>3513</v>
      </c>
      <c r="Q1232" s="13" t="s">
        <v>1750</v>
      </c>
      <c r="R1232" s="13" t="s">
        <v>4323</v>
      </c>
      <c r="S1232" s="13" t="s">
        <v>5504</v>
      </c>
      <c r="T1232" s="13" t="s">
        <v>1829</v>
      </c>
      <c r="U1232" s="18" t="s">
        <v>4324</v>
      </c>
      <c r="V1232" s="13" t="s">
        <v>4325</v>
      </c>
      <c r="W1232" s="13" t="s">
        <v>4326</v>
      </c>
      <c r="X1232" s="13" t="s">
        <v>4327</v>
      </c>
    </row>
    <row r="1233" spans="2:24">
      <c r="B1233" s="109"/>
      <c r="C1233" s="109" t="s">
        <v>4328</v>
      </c>
      <c r="D1233" s="20" t="s">
        <v>7428</v>
      </c>
      <c r="E1233" s="109" t="s">
        <v>7429</v>
      </c>
      <c r="F1233" s="112" t="s">
        <v>4330</v>
      </c>
      <c r="G1233" s="109" t="s">
        <v>7430</v>
      </c>
      <c r="H1233" s="109" t="s">
        <v>4332</v>
      </c>
      <c r="I1233" s="109" t="s">
        <v>4333</v>
      </c>
      <c r="J1233" s="109" t="s">
        <v>406</v>
      </c>
      <c r="K1233" s="14" t="s">
        <v>272</v>
      </c>
      <c r="L1233" s="109" t="s">
        <v>4472</v>
      </c>
      <c r="M1233" s="109" t="s">
        <v>5225</v>
      </c>
      <c r="N1233" s="13">
        <v>1</v>
      </c>
      <c r="O1233" s="24">
        <v>43980</v>
      </c>
      <c r="P1233" s="13" t="s">
        <v>5709</v>
      </c>
      <c r="Q1233" s="13" t="s">
        <v>2030</v>
      </c>
      <c r="R1233" s="13" t="s">
        <v>4334</v>
      </c>
      <c r="S1233" s="109" t="s">
        <v>4215</v>
      </c>
      <c r="T1233" s="109" t="s">
        <v>3664</v>
      </c>
      <c r="U1233" s="112" t="s">
        <v>4336</v>
      </c>
      <c r="V1233" s="109" t="s">
        <v>4337</v>
      </c>
      <c r="W1233" s="109" t="s">
        <v>4338</v>
      </c>
      <c r="X1233" s="109" t="s">
        <v>4339</v>
      </c>
    </row>
    <row r="1234" spans="2:24">
      <c r="B1234" s="109"/>
      <c r="C1234" s="109"/>
      <c r="D1234" s="20" t="str">
        <f>D1233</f>
        <v>企加云</v>
      </c>
      <c r="E1234" s="109"/>
      <c r="F1234" s="112"/>
      <c r="G1234" s="109"/>
      <c r="H1234" s="109"/>
      <c r="I1234" s="109"/>
      <c r="J1234" s="109"/>
      <c r="K1234" s="14" t="str">
        <f>K1233</f>
        <v>运营中</v>
      </c>
      <c r="L1234" s="109"/>
      <c r="M1234" s="109"/>
      <c r="N1234" s="13">
        <v>1</v>
      </c>
      <c r="O1234" s="24">
        <v>43076</v>
      </c>
      <c r="P1234" s="13" t="s">
        <v>3513</v>
      </c>
      <c r="Q1234" s="13" t="s">
        <v>2030</v>
      </c>
      <c r="R1234" s="13" t="s">
        <v>4340</v>
      </c>
      <c r="S1234" s="109"/>
      <c r="T1234" s="109"/>
      <c r="U1234" s="112"/>
      <c r="V1234" s="109"/>
      <c r="W1234" s="109"/>
      <c r="X1234" s="109"/>
    </row>
    <row r="1235" spans="2:24">
      <c r="B1235" s="109"/>
      <c r="C1235" s="109" t="s">
        <v>4341</v>
      </c>
      <c r="D1235" s="20" t="s">
        <v>7431</v>
      </c>
      <c r="E1235" s="109" t="s">
        <v>7432</v>
      </c>
      <c r="F1235" s="112" t="s">
        <v>4343</v>
      </c>
      <c r="G1235" s="109" t="s">
        <v>7433</v>
      </c>
      <c r="H1235" s="109" t="s">
        <v>4345</v>
      </c>
      <c r="I1235" s="109" t="s">
        <v>1471</v>
      </c>
      <c r="J1235" s="109" t="s">
        <v>1192</v>
      </c>
      <c r="K1235" s="14" t="s">
        <v>272</v>
      </c>
      <c r="L1235" s="109" t="s">
        <v>1825</v>
      </c>
      <c r="M1235" s="109" t="s">
        <v>1826</v>
      </c>
      <c r="N1235" s="13"/>
      <c r="O1235" s="24">
        <v>44621</v>
      </c>
      <c r="P1235" s="13" t="s">
        <v>5613</v>
      </c>
      <c r="Q1235" s="13" t="s">
        <v>1750</v>
      </c>
      <c r="R1235" s="13" t="s">
        <v>4346</v>
      </c>
      <c r="S1235" s="109" t="s">
        <v>7434</v>
      </c>
      <c r="T1235" s="109" t="s">
        <v>1829</v>
      </c>
      <c r="U1235" s="112" t="s">
        <v>4348</v>
      </c>
      <c r="V1235" s="109" t="s">
        <v>4349</v>
      </c>
      <c r="W1235" s="109" t="s">
        <v>4350</v>
      </c>
      <c r="X1235" s="109" t="s">
        <v>4351</v>
      </c>
    </row>
    <row r="1236" spans="2:24">
      <c r="B1236" s="109"/>
      <c r="C1236" s="109"/>
      <c r="D1236" s="20" t="str">
        <f>D1235</f>
        <v>奥哲</v>
      </c>
      <c r="E1236" s="109"/>
      <c r="F1236" s="112"/>
      <c r="G1236" s="109"/>
      <c r="H1236" s="109"/>
      <c r="I1236" s="109"/>
      <c r="J1236" s="109"/>
      <c r="K1236" s="14" t="str">
        <f t="shared" ref="K1236:K1239" si="244">K1235</f>
        <v>运营中</v>
      </c>
      <c r="L1236" s="109"/>
      <c r="M1236" s="109"/>
      <c r="N1236" s="13"/>
      <c r="O1236" s="24">
        <v>44158</v>
      </c>
      <c r="P1236" s="13" t="s">
        <v>5754</v>
      </c>
      <c r="Q1236" s="13" t="s">
        <v>3483</v>
      </c>
      <c r="R1236" s="13" t="s">
        <v>4352</v>
      </c>
      <c r="S1236" s="109"/>
      <c r="T1236" s="109"/>
      <c r="U1236" s="112"/>
      <c r="V1236" s="109"/>
      <c r="W1236" s="109"/>
      <c r="X1236" s="109"/>
    </row>
    <row r="1237" spans="2:24">
      <c r="B1237" s="109"/>
      <c r="C1237" s="109"/>
      <c r="D1237" s="20" t="str">
        <f>D1236</f>
        <v>奥哲</v>
      </c>
      <c r="E1237" s="109"/>
      <c r="F1237" s="112"/>
      <c r="G1237" s="109"/>
      <c r="H1237" s="109"/>
      <c r="I1237" s="109"/>
      <c r="J1237" s="109"/>
      <c r="K1237" s="14" t="str">
        <f t="shared" si="244"/>
        <v>运营中</v>
      </c>
      <c r="L1237" s="109"/>
      <c r="M1237" s="109"/>
      <c r="N1237" s="13"/>
      <c r="O1237" s="24">
        <v>43549</v>
      </c>
      <c r="P1237" s="13" t="s">
        <v>3648</v>
      </c>
      <c r="Q1237" s="13" t="s">
        <v>1750</v>
      </c>
      <c r="R1237" s="13" t="s">
        <v>7435</v>
      </c>
      <c r="S1237" s="109"/>
      <c r="T1237" s="109"/>
      <c r="U1237" s="112"/>
      <c r="V1237" s="109"/>
      <c r="W1237" s="109"/>
      <c r="X1237" s="109"/>
    </row>
    <row r="1238" spans="2:24">
      <c r="B1238" s="109"/>
      <c r="C1238" s="109"/>
      <c r="D1238" s="20" t="str">
        <f>D1237</f>
        <v>奥哲</v>
      </c>
      <c r="E1238" s="109"/>
      <c r="F1238" s="112"/>
      <c r="G1238" s="109"/>
      <c r="H1238" s="109"/>
      <c r="I1238" s="109"/>
      <c r="J1238" s="109"/>
      <c r="K1238" s="14" t="str">
        <f t="shared" si="244"/>
        <v>运营中</v>
      </c>
      <c r="L1238" s="109"/>
      <c r="M1238" s="109"/>
      <c r="N1238" s="13"/>
      <c r="O1238" s="24">
        <v>43251</v>
      </c>
      <c r="P1238" s="13" t="s">
        <v>4306</v>
      </c>
      <c r="Q1238" s="13" t="s">
        <v>6020</v>
      </c>
      <c r="R1238" s="13" t="s">
        <v>1751</v>
      </c>
      <c r="S1238" s="109"/>
      <c r="T1238" s="109"/>
      <c r="U1238" s="112"/>
      <c r="V1238" s="109"/>
      <c r="W1238" s="109"/>
      <c r="X1238" s="109"/>
    </row>
    <row r="1239" spans="2:24">
      <c r="B1239" s="109"/>
      <c r="C1239" s="109"/>
      <c r="D1239" s="20" t="str">
        <f>D1238</f>
        <v>奥哲</v>
      </c>
      <c r="E1239" s="109"/>
      <c r="F1239" s="112"/>
      <c r="G1239" s="109"/>
      <c r="H1239" s="109"/>
      <c r="I1239" s="109"/>
      <c r="J1239" s="109"/>
      <c r="K1239" s="14" t="str">
        <f t="shared" si="244"/>
        <v>运营中</v>
      </c>
      <c r="L1239" s="109"/>
      <c r="M1239" s="109"/>
      <c r="N1239" s="13"/>
      <c r="O1239" s="24">
        <v>42967</v>
      </c>
      <c r="P1239" s="13" t="s">
        <v>3513</v>
      </c>
      <c r="Q1239" s="13" t="s">
        <v>4904</v>
      </c>
      <c r="R1239" s="13" t="s">
        <v>7436</v>
      </c>
      <c r="S1239" s="109"/>
      <c r="T1239" s="109"/>
      <c r="U1239" s="112"/>
      <c r="V1239" s="109"/>
      <c r="W1239" s="109"/>
      <c r="X1239" s="109"/>
    </row>
    <row r="1240" spans="2:24">
      <c r="B1240" s="109"/>
      <c r="C1240" s="109" t="s">
        <v>4355</v>
      </c>
      <c r="D1240" s="20" t="s">
        <v>7437</v>
      </c>
      <c r="E1240" s="109" t="s">
        <v>7438</v>
      </c>
      <c r="F1240" s="112" t="s">
        <v>4357</v>
      </c>
      <c r="G1240" s="109" t="s">
        <v>7439</v>
      </c>
      <c r="H1240" s="109" t="s">
        <v>4359</v>
      </c>
      <c r="I1240" s="109" t="s">
        <v>4360</v>
      </c>
      <c r="J1240" s="109" t="s">
        <v>1126</v>
      </c>
      <c r="K1240" s="14" t="s">
        <v>272</v>
      </c>
      <c r="L1240" s="109" t="s">
        <v>1825</v>
      </c>
      <c r="M1240" s="109" t="s">
        <v>1826</v>
      </c>
      <c r="N1240" s="13">
        <v>1</v>
      </c>
      <c r="O1240" s="24">
        <v>43140</v>
      </c>
      <c r="P1240" s="13" t="s">
        <v>5709</v>
      </c>
      <c r="Q1240" s="13" t="s">
        <v>7440</v>
      </c>
      <c r="R1240" s="13" t="s">
        <v>1751</v>
      </c>
      <c r="S1240" s="109" t="s">
        <v>7441</v>
      </c>
      <c r="T1240" s="109" t="s">
        <v>7442</v>
      </c>
      <c r="U1240" s="112" t="s">
        <v>4364</v>
      </c>
      <c r="V1240" s="109" t="s">
        <v>4365</v>
      </c>
      <c r="W1240" s="109" t="s">
        <v>4366</v>
      </c>
      <c r="X1240" s="109" t="s">
        <v>4367</v>
      </c>
    </row>
    <row r="1241" spans="2:24">
      <c r="B1241" s="109"/>
      <c r="C1241" s="109"/>
      <c r="D1241" s="20" t="str">
        <f>D1240</f>
        <v>浩鲸科技</v>
      </c>
      <c r="E1241" s="109"/>
      <c r="F1241" s="112"/>
      <c r="G1241" s="109"/>
      <c r="H1241" s="109"/>
      <c r="I1241" s="109"/>
      <c r="J1241" s="109"/>
      <c r="K1241" s="14" t="str">
        <f>K1240</f>
        <v>运营中</v>
      </c>
      <c r="L1241" s="109"/>
      <c r="M1241" s="109"/>
      <c r="N1241" s="13">
        <v>1</v>
      </c>
      <c r="O1241" s="24">
        <v>42466</v>
      </c>
      <c r="P1241" s="13" t="s">
        <v>5664</v>
      </c>
      <c r="Q1241" s="13" t="s">
        <v>2030</v>
      </c>
      <c r="R1241" s="13" t="s">
        <v>253</v>
      </c>
      <c r="S1241" s="109"/>
      <c r="T1241" s="109"/>
      <c r="U1241" s="112"/>
      <c r="V1241" s="109"/>
      <c r="W1241" s="109"/>
      <c r="X1241" s="109"/>
    </row>
    <row r="1242" spans="2:24">
      <c r="B1242" s="109"/>
      <c r="C1242" s="109" t="s">
        <v>4368</v>
      </c>
      <c r="D1242" s="20" t="s">
        <v>7443</v>
      </c>
      <c r="E1242" s="109" t="s">
        <v>7444</v>
      </c>
      <c r="F1242" s="112" t="s">
        <v>4370</v>
      </c>
      <c r="G1242" s="109" t="s">
        <v>7445</v>
      </c>
      <c r="H1242" s="109" t="s">
        <v>4372</v>
      </c>
      <c r="I1242" s="109" t="s">
        <v>2787</v>
      </c>
      <c r="J1242" s="109" t="s">
        <v>428</v>
      </c>
      <c r="K1242" s="14" t="s">
        <v>272</v>
      </c>
      <c r="L1242" s="109" t="s">
        <v>3661</v>
      </c>
      <c r="M1242" s="109" t="s">
        <v>5031</v>
      </c>
      <c r="N1242" s="13">
        <v>1</v>
      </c>
      <c r="O1242" s="24">
        <v>44181</v>
      </c>
      <c r="P1242" s="13" t="s">
        <v>5625</v>
      </c>
      <c r="Q1242" s="13" t="s">
        <v>6060</v>
      </c>
      <c r="R1242" s="13" t="s">
        <v>253</v>
      </c>
      <c r="S1242" s="109" t="s">
        <v>5897</v>
      </c>
      <c r="T1242" s="109" t="s">
        <v>7446</v>
      </c>
      <c r="U1242" s="112" t="s">
        <v>4374</v>
      </c>
      <c r="V1242" s="109" t="s">
        <v>4375</v>
      </c>
      <c r="W1242" s="109" t="s">
        <v>4376</v>
      </c>
      <c r="X1242" s="109" t="s">
        <v>4377</v>
      </c>
    </row>
    <row r="1243" spans="2:24">
      <c r="B1243" s="109"/>
      <c r="C1243" s="109"/>
      <c r="D1243" s="20" t="str">
        <f>D1242</f>
        <v>恒玄科技</v>
      </c>
      <c r="E1243" s="109"/>
      <c r="F1243" s="112"/>
      <c r="G1243" s="109"/>
      <c r="H1243" s="109"/>
      <c r="I1243" s="109"/>
      <c r="J1243" s="109"/>
      <c r="K1243" s="14" t="str">
        <f t="shared" ref="K1243:K1245" si="245">K1242</f>
        <v>运营中</v>
      </c>
      <c r="L1243" s="109"/>
      <c r="M1243" s="109"/>
      <c r="N1243" s="13">
        <v>1</v>
      </c>
      <c r="O1243" s="24">
        <v>43673</v>
      </c>
      <c r="P1243" s="13" t="s">
        <v>4306</v>
      </c>
      <c r="Q1243" s="13" t="s">
        <v>3514</v>
      </c>
      <c r="R1243" s="13" t="s">
        <v>4378</v>
      </c>
      <c r="S1243" s="109"/>
      <c r="T1243" s="109"/>
      <c r="U1243" s="112"/>
      <c r="V1243" s="109"/>
      <c r="W1243" s="109"/>
      <c r="X1243" s="109"/>
    </row>
    <row r="1244" spans="2:24">
      <c r="B1244" s="109"/>
      <c r="C1244" s="109"/>
      <c r="D1244" s="20" t="str">
        <f>D1243</f>
        <v>恒玄科技</v>
      </c>
      <c r="E1244" s="109"/>
      <c r="F1244" s="112"/>
      <c r="G1244" s="109"/>
      <c r="H1244" s="109"/>
      <c r="I1244" s="109"/>
      <c r="J1244" s="109"/>
      <c r="K1244" s="14" t="str">
        <f t="shared" si="245"/>
        <v>运营中</v>
      </c>
      <c r="L1244" s="109"/>
      <c r="M1244" s="109"/>
      <c r="N1244" s="13">
        <v>1</v>
      </c>
      <c r="O1244" s="24">
        <v>43658</v>
      </c>
      <c r="P1244" s="13" t="s">
        <v>1045</v>
      </c>
      <c r="Q1244" s="13" t="s">
        <v>1750</v>
      </c>
      <c r="R1244" s="13" t="s">
        <v>4379</v>
      </c>
      <c r="S1244" s="109"/>
      <c r="T1244" s="109"/>
      <c r="U1244" s="112"/>
      <c r="V1244" s="109"/>
      <c r="W1244" s="109"/>
      <c r="X1244" s="109"/>
    </row>
    <row r="1245" spans="2:24">
      <c r="B1245" s="109"/>
      <c r="C1245" s="109"/>
      <c r="D1245" s="20" t="str">
        <f>D1244</f>
        <v>恒玄科技</v>
      </c>
      <c r="E1245" s="109"/>
      <c r="F1245" s="112"/>
      <c r="G1245" s="109"/>
      <c r="H1245" s="109"/>
      <c r="I1245" s="109"/>
      <c r="J1245" s="109"/>
      <c r="K1245" s="14" t="str">
        <f t="shared" si="245"/>
        <v>运营中</v>
      </c>
      <c r="L1245" s="109"/>
      <c r="M1245" s="109"/>
      <c r="N1245" s="13">
        <v>1</v>
      </c>
      <c r="O1245" s="24">
        <v>43096</v>
      </c>
      <c r="P1245" s="13" t="s">
        <v>3513</v>
      </c>
      <c r="Q1245" s="13" t="s">
        <v>3514</v>
      </c>
      <c r="R1245" s="13" t="s">
        <v>7447</v>
      </c>
      <c r="S1245" s="109"/>
      <c r="T1245" s="109"/>
      <c r="U1245" s="112"/>
      <c r="V1245" s="109"/>
      <c r="W1245" s="109"/>
      <c r="X1245" s="109"/>
    </row>
    <row r="1246" spans="2:24">
      <c r="B1246" s="109"/>
      <c r="C1246" s="109" t="s">
        <v>2279</v>
      </c>
      <c r="D1246" s="20" t="s">
        <v>7448</v>
      </c>
      <c r="E1246" s="109" t="s">
        <v>7449</v>
      </c>
      <c r="F1246" s="112" t="s">
        <v>4382</v>
      </c>
      <c r="G1246" s="109" t="s">
        <v>7450</v>
      </c>
      <c r="H1246" s="109" t="s">
        <v>4384</v>
      </c>
      <c r="I1246" s="109" t="s">
        <v>2010</v>
      </c>
      <c r="J1246" s="109" t="s">
        <v>271</v>
      </c>
      <c r="K1246" s="14" t="s">
        <v>272</v>
      </c>
      <c r="L1246" s="109" t="s">
        <v>3661</v>
      </c>
      <c r="M1246" s="109" t="s">
        <v>6438</v>
      </c>
      <c r="N1246" s="13">
        <v>1</v>
      </c>
      <c r="O1246" s="24">
        <v>43320</v>
      </c>
      <c r="P1246" s="13" t="s">
        <v>5625</v>
      </c>
      <c r="Q1246" s="13" t="s">
        <v>7451</v>
      </c>
      <c r="R1246" s="13" t="s">
        <v>253</v>
      </c>
      <c r="S1246" s="109" t="s">
        <v>7452</v>
      </c>
      <c r="T1246" s="109" t="s">
        <v>7453</v>
      </c>
      <c r="U1246" s="112" t="s">
        <v>4388</v>
      </c>
      <c r="V1246" s="109" t="s">
        <v>4389</v>
      </c>
      <c r="W1246" s="109" t="s">
        <v>4390</v>
      </c>
      <c r="X1246" s="109" t="s">
        <v>4391</v>
      </c>
    </row>
    <row r="1247" spans="2:24">
      <c r="B1247" s="109"/>
      <c r="C1247" s="109"/>
      <c r="D1247" s="20" t="str">
        <f>D1246</f>
        <v>中国铁塔</v>
      </c>
      <c r="E1247" s="109"/>
      <c r="F1247" s="112"/>
      <c r="G1247" s="109"/>
      <c r="H1247" s="109"/>
      <c r="I1247" s="109"/>
      <c r="J1247" s="109"/>
      <c r="K1247" s="14" t="str">
        <f t="shared" ref="K1247:K1248" si="246">K1246</f>
        <v>运营中</v>
      </c>
      <c r="L1247" s="109"/>
      <c r="M1247" s="109"/>
      <c r="N1247" s="13">
        <v>1</v>
      </c>
      <c r="O1247" s="24">
        <v>43319</v>
      </c>
      <c r="P1247" s="13" t="s">
        <v>5795</v>
      </c>
      <c r="Q1247" s="13" t="s">
        <v>4732</v>
      </c>
      <c r="R1247" s="13" t="s">
        <v>7454</v>
      </c>
      <c r="S1247" s="109"/>
      <c r="T1247" s="109"/>
      <c r="U1247" s="112"/>
      <c r="V1247" s="109"/>
      <c r="W1247" s="109"/>
      <c r="X1247" s="109"/>
    </row>
    <row r="1248" spans="2:24">
      <c r="B1248" s="109"/>
      <c r="C1248" s="109"/>
      <c r="D1248" s="20" t="str">
        <f>D1247</f>
        <v>中国铁塔</v>
      </c>
      <c r="E1248" s="109"/>
      <c r="F1248" s="112"/>
      <c r="G1248" s="109"/>
      <c r="H1248" s="109"/>
      <c r="I1248" s="109"/>
      <c r="J1248" s="109"/>
      <c r="K1248" s="14" t="str">
        <f t="shared" si="246"/>
        <v>运营中</v>
      </c>
      <c r="L1248" s="109"/>
      <c r="M1248" s="109"/>
      <c r="N1248" s="13">
        <v>1</v>
      </c>
      <c r="O1248" s="24">
        <v>42938</v>
      </c>
      <c r="P1248" s="13" t="s">
        <v>763</v>
      </c>
      <c r="Q1248" s="13" t="s">
        <v>2030</v>
      </c>
      <c r="R1248" s="13" t="s">
        <v>4393</v>
      </c>
      <c r="S1248" s="109"/>
      <c r="T1248" s="109"/>
      <c r="U1248" s="112"/>
      <c r="V1248" s="109"/>
      <c r="W1248" s="109"/>
      <c r="X1248" s="109"/>
    </row>
    <row r="1249" spans="2:24">
      <c r="B1249" s="109"/>
      <c r="C1249" s="109" t="s">
        <v>4394</v>
      </c>
      <c r="D1249" s="20" t="s">
        <v>7455</v>
      </c>
      <c r="E1249" s="109" t="s">
        <v>4396</v>
      </c>
      <c r="F1249" s="112" t="s">
        <v>4397</v>
      </c>
      <c r="G1249" s="109" t="s">
        <v>7456</v>
      </c>
      <c r="H1249" s="109" t="s">
        <v>4399</v>
      </c>
      <c r="I1249" s="109" t="s">
        <v>511</v>
      </c>
      <c r="J1249" s="109" t="s">
        <v>4400</v>
      </c>
      <c r="K1249" s="14" t="s">
        <v>272</v>
      </c>
      <c r="L1249" s="109" t="s">
        <v>1825</v>
      </c>
      <c r="M1249" s="109" t="s">
        <v>1826</v>
      </c>
      <c r="N1249" s="13"/>
      <c r="O1249" s="24">
        <v>44904</v>
      </c>
      <c r="P1249" s="13" t="s">
        <v>4401</v>
      </c>
      <c r="Q1249" s="13" t="s">
        <v>4402</v>
      </c>
      <c r="R1249" s="13" t="s">
        <v>1751</v>
      </c>
      <c r="S1249" s="109" t="s">
        <v>4403</v>
      </c>
      <c r="T1249" s="109" t="s">
        <v>4404</v>
      </c>
      <c r="U1249" s="112" t="s">
        <v>4405</v>
      </c>
      <c r="V1249" s="109" t="s">
        <v>4406</v>
      </c>
      <c r="W1249" s="109" t="s">
        <v>4407</v>
      </c>
      <c r="X1249" s="109" t="s">
        <v>4408</v>
      </c>
    </row>
    <row r="1250" spans="2:24">
      <c r="B1250" s="109"/>
      <c r="C1250" s="109"/>
      <c r="D1250" s="20" t="str">
        <f>D1249</f>
        <v>清众科技</v>
      </c>
      <c r="E1250" s="109"/>
      <c r="F1250" s="112"/>
      <c r="G1250" s="109"/>
      <c r="H1250" s="109"/>
      <c r="I1250" s="109"/>
      <c r="J1250" s="109"/>
      <c r="K1250" s="14" t="str">
        <f>K1249</f>
        <v>运营中</v>
      </c>
      <c r="L1250" s="109"/>
      <c r="M1250" s="109"/>
      <c r="N1250" s="13"/>
      <c r="O1250" s="24">
        <v>42307</v>
      </c>
      <c r="P1250" s="13" t="s">
        <v>5664</v>
      </c>
      <c r="Q1250" s="13" t="s">
        <v>2030</v>
      </c>
      <c r="R1250" s="13" t="s">
        <v>253</v>
      </c>
      <c r="S1250" s="109"/>
      <c r="T1250" s="109"/>
      <c r="U1250" s="112"/>
      <c r="V1250" s="109"/>
      <c r="W1250" s="109"/>
      <c r="X1250" s="109"/>
    </row>
    <row r="1251" spans="2:24" ht="48">
      <c r="B1251" s="109"/>
      <c r="C1251" s="13" t="s">
        <v>4409</v>
      </c>
      <c r="D1251" s="25" t="s">
        <v>7457</v>
      </c>
      <c r="E1251" s="13" t="s">
        <v>7458</v>
      </c>
      <c r="F1251" s="18" t="s">
        <v>7459</v>
      </c>
      <c r="G1251" s="13" t="s">
        <v>7460</v>
      </c>
      <c r="H1251" s="13" t="s">
        <v>4413</v>
      </c>
      <c r="I1251" s="13" t="s">
        <v>4414</v>
      </c>
      <c r="J1251" s="13" t="s">
        <v>547</v>
      </c>
      <c r="K1251" s="19" t="s">
        <v>272</v>
      </c>
      <c r="L1251" s="13" t="s">
        <v>4162</v>
      </c>
      <c r="M1251" s="13" t="s">
        <v>5167</v>
      </c>
      <c r="N1251" s="13">
        <v>1</v>
      </c>
      <c r="O1251" s="24">
        <v>42948</v>
      </c>
      <c r="P1251" s="13" t="s">
        <v>5709</v>
      </c>
      <c r="Q1251" s="13" t="s">
        <v>2030</v>
      </c>
      <c r="R1251" s="13" t="s">
        <v>1751</v>
      </c>
      <c r="S1251" s="13" t="s">
        <v>253</v>
      </c>
      <c r="T1251" s="13" t="s">
        <v>3664</v>
      </c>
      <c r="U1251" s="18" t="s">
        <v>4415</v>
      </c>
      <c r="V1251" s="13" t="s">
        <v>4416</v>
      </c>
      <c r="W1251" s="13" t="s">
        <v>4417</v>
      </c>
      <c r="X1251" s="13" t="s">
        <v>4418</v>
      </c>
    </row>
    <row r="1252" spans="2:24" ht="36">
      <c r="B1252" s="109"/>
      <c r="C1252" s="13" t="s">
        <v>4419</v>
      </c>
      <c r="D1252" s="25" t="s">
        <v>7461</v>
      </c>
      <c r="E1252" s="13" t="s">
        <v>7462</v>
      </c>
      <c r="F1252" s="18" t="s">
        <v>7463</v>
      </c>
      <c r="G1252" s="13" t="s">
        <v>7464</v>
      </c>
      <c r="H1252" s="13" t="s">
        <v>4423</v>
      </c>
      <c r="I1252" s="13" t="s">
        <v>4424</v>
      </c>
      <c r="J1252" s="13" t="s">
        <v>497</v>
      </c>
      <c r="K1252" s="19" t="s">
        <v>272</v>
      </c>
      <c r="L1252" s="13" t="s">
        <v>4472</v>
      </c>
      <c r="M1252" s="13" t="s">
        <v>5575</v>
      </c>
      <c r="N1252" s="13"/>
      <c r="O1252" s="24">
        <v>43095</v>
      </c>
      <c r="P1252" s="13" t="s">
        <v>1045</v>
      </c>
      <c r="Q1252" s="13" t="s">
        <v>6564</v>
      </c>
      <c r="R1252" s="13" t="s">
        <v>455</v>
      </c>
      <c r="S1252" s="13" t="s">
        <v>7465</v>
      </c>
      <c r="T1252" s="13" t="s">
        <v>7466</v>
      </c>
      <c r="U1252" s="18" t="s">
        <v>4427</v>
      </c>
      <c r="V1252" s="13" t="s">
        <v>4428</v>
      </c>
      <c r="W1252" s="13" t="s">
        <v>4429</v>
      </c>
      <c r="X1252" s="13" t="s">
        <v>4430</v>
      </c>
    </row>
    <row r="1253" spans="2:24">
      <c r="B1253" s="109"/>
      <c r="C1253" s="109" t="s">
        <v>4431</v>
      </c>
      <c r="D1253" s="20" t="s">
        <v>4432</v>
      </c>
      <c r="E1253" s="109" t="s">
        <v>4432</v>
      </c>
      <c r="F1253" s="112" t="s">
        <v>7467</v>
      </c>
      <c r="G1253" s="109"/>
      <c r="H1253" s="109" t="s">
        <v>4434</v>
      </c>
      <c r="I1253" s="109" t="s">
        <v>3265</v>
      </c>
      <c r="J1253" s="109" t="s">
        <v>1725</v>
      </c>
      <c r="K1253" s="14" t="s">
        <v>272</v>
      </c>
      <c r="L1253" s="109" t="s">
        <v>3274</v>
      </c>
      <c r="M1253" s="109" t="s">
        <v>5729</v>
      </c>
      <c r="N1253" s="13"/>
      <c r="O1253" s="24">
        <v>44601</v>
      </c>
      <c r="P1253" s="13" t="s">
        <v>3276</v>
      </c>
      <c r="Q1253" s="13" t="s">
        <v>5019</v>
      </c>
      <c r="R1253" s="13" t="s">
        <v>7468</v>
      </c>
      <c r="S1253" s="109" t="s">
        <v>7469</v>
      </c>
      <c r="T1253" s="109" t="s">
        <v>1994</v>
      </c>
      <c r="U1253" s="112" t="s">
        <v>4438</v>
      </c>
      <c r="V1253" s="109"/>
      <c r="W1253" s="109"/>
      <c r="X1253" s="109" t="s">
        <v>4439</v>
      </c>
    </row>
    <row r="1254" spans="2:24">
      <c r="B1254" s="109"/>
      <c r="C1254" s="109"/>
      <c r="D1254" s="20" t="str">
        <f t="shared" ref="D1254:D1260" si="247">D1253</f>
        <v>XpressBees</v>
      </c>
      <c r="E1254" s="109"/>
      <c r="F1254" s="112"/>
      <c r="G1254" s="109"/>
      <c r="H1254" s="109"/>
      <c r="I1254" s="109"/>
      <c r="J1254" s="109"/>
      <c r="K1254" s="14" t="str">
        <f t="shared" ref="K1254:K1260" si="248">K1253</f>
        <v>运营中</v>
      </c>
      <c r="L1254" s="109"/>
      <c r="M1254" s="109"/>
      <c r="N1254" s="13"/>
      <c r="O1254" s="24">
        <v>44146</v>
      </c>
      <c r="P1254" s="13" t="s">
        <v>3276</v>
      </c>
      <c r="Q1254" s="13" t="s">
        <v>6259</v>
      </c>
      <c r="R1254" s="13" t="s">
        <v>4440</v>
      </c>
      <c r="S1254" s="109"/>
      <c r="T1254" s="109"/>
      <c r="U1254" s="112"/>
      <c r="V1254" s="109"/>
      <c r="W1254" s="109"/>
      <c r="X1254" s="109"/>
    </row>
    <row r="1255" spans="2:24">
      <c r="B1255" s="109"/>
      <c r="C1255" s="109"/>
      <c r="D1255" s="20" t="str">
        <f t="shared" si="247"/>
        <v>XpressBees</v>
      </c>
      <c r="E1255" s="109"/>
      <c r="F1255" s="112"/>
      <c r="G1255" s="109"/>
      <c r="H1255" s="109"/>
      <c r="I1255" s="109"/>
      <c r="J1255" s="109"/>
      <c r="K1255" s="14" t="str">
        <f t="shared" si="248"/>
        <v>运营中</v>
      </c>
      <c r="L1255" s="109"/>
      <c r="M1255" s="109"/>
      <c r="N1255" s="13"/>
      <c r="O1255" s="24">
        <v>43826</v>
      </c>
      <c r="P1255" s="13" t="s">
        <v>2713</v>
      </c>
      <c r="Q1255" s="13" t="s">
        <v>5591</v>
      </c>
      <c r="R1255" s="13" t="s">
        <v>1751</v>
      </c>
      <c r="S1255" s="109"/>
      <c r="T1255" s="109"/>
      <c r="U1255" s="112"/>
      <c r="V1255" s="109"/>
      <c r="W1255" s="109"/>
      <c r="X1255" s="109"/>
    </row>
    <row r="1256" spans="2:24">
      <c r="B1256" s="109"/>
      <c r="C1256" s="109"/>
      <c r="D1256" s="20" t="str">
        <f t="shared" si="247"/>
        <v>XpressBees</v>
      </c>
      <c r="E1256" s="109"/>
      <c r="F1256" s="112"/>
      <c r="G1256" s="109"/>
      <c r="H1256" s="109"/>
      <c r="I1256" s="109"/>
      <c r="J1256" s="109"/>
      <c r="K1256" s="14" t="str">
        <f t="shared" si="248"/>
        <v>运营中</v>
      </c>
      <c r="L1256" s="109"/>
      <c r="M1256" s="109"/>
      <c r="N1256" s="13"/>
      <c r="O1256" s="24">
        <v>43516</v>
      </c>
      <c r="P1256" s="13" t="s">
        <v>1045</v>
      </c>
      <c r="Q1256" s="13" t="s">
        <v>7470</v>
      </c>
      <c r="R1256" s="13" t="s">
        <v>7471</v>
      </c>
      <c r="S1256" s="109"/>
      <c r="T1256" s="109"/>
      <c r="U1256" s="112"/>
      <c r="V1256" s="109"/>
      <c r="W1256" s="109"/>
      <c r="X1256" s="109"/>
    </row>
    <row r="1257" spans="2:24">
      <c r="B1257" s="109"/>
      <c r="C1257" s="109"/>
      <c r="D1257" s="20" t="str">
        <f t="shared" si="247"/>
        <v>XpressBees</v>
      </c>
      <c r="E1257" s="109"/>
      <c r="F1257" s="112"/>
      <c r="G1257" s="109"/>
      <c r="H1257" s="109"/>
      <c r="I1257" s="109"/>
      <c r="J1257" s="109"/>
      <c r="K1257" s="14" t="str">
        <f t="shared" si="248"/>
        <v>运营中</v>
      </c>
      <c r="L1257" s="109"/>
      <c r="M1257" s="109"/>
      <c r="N1257" s="13"/>
      <c r="O1257" s="24">
        <v>43130</v>
      </c>
      <c r="P1257" s="13" t="s">
        <v>1827</v>
      </c>
      <c r="Q1257" s="13" t="s">
        <v>7472</v>
      </c>
      <c r="R1257" s="13" t="s">
        <v>1751</v>
      </c>
      <c r="S1257" s="109"/>
      <c r="T1257" s="109"/>
      <c r="U1257" s="112"/>
      <c r="V1257" s="109"/>
      <c r="W1257" s="109"/>
      <c r="X1257" s="109"/>
    </row>
    <row r="1258" spans="2:24">
      <c r="B1258" s="109"/>
      <c r="C1258" s="109"/>
      <c r="D1258" s="20" t="str">
        <f t="shared" si="247"/>
        <v>XpressBees</v>
      </c>
      <c r="E1258" s="109"/>
      <c r="F1258" s="112"/>
      <c r="G1258" s="109"/>
      <c r="H1258" s="109"/>
      <c r="I1258" s="109"/>
      <c r="J1258" s="109"/>
      <c r="K1258" s="14" t="str">
        <f t="shared" si="248"/>
        <v>运营中</v>
      </c>
      <c r="L1258" s="109"/>
      <c r="M1258" s="109"/>
      <c r="N1258" s="13"/>
      <c r="O1258" s="24">
        <v>43103</v>
      </c>
      <c r="P1258" s="13" t="s">
        <v>5613</v>
      </c>
      <c r="Q1258" s="13" t="s">
        <v>4732</v>
      </c>
      <c r="R1258" s="13" t="s">
        <v>253</v>
      </c>
      <c r="S1258" s="109"/>
      <c r="T1258" s="109"/>
      <c r="U1258" s="112"/>
      <c r="V1258" s="109"/>
      <c r="W1258" s="109"/>
      <c r="X1258" s="109"/>
    </row>
    <row r="1259" spans="2:24">
      <c r="B1259" s="109"/>
      <c r="C1259" s="109"/>
      <c r="D1259" s="20" t="str">
        <f t="shared" si="247"/>
        <v>XpressBees</v>
      </c>
      <c r="E1259" s="109"/>
      <c r="F1259" s="112"/>
      <c r="G1259" s="109"/>
      <c r="H1259" s="109"/>
      <c r="I1259" s="109"/>
      <c r="J1259" s="109"/>
      <c r="K1259" s="14" t="str">
        <f t="shared" si="248"/>
        <v>运营中</v>
      </c>
      <c r="L1259" s="109"/>
      <c r="M1259" s="109"/>
      <c r="N1259" s="13"/>
      <c r="O1259" s="24">
        <v>42767</v>
      </c>
      <c r="P1259" s="13" t="s">
        <v>3648</v>
      </c>
      <c r="Q1259" s="13" t="s">
        <v>7473</v>
      </c>
      <c r="R1259" s="13" t="s">
        <v>4445</v>
      </c>
      <c r="S1259" s="109"/>
      <c r="T1259" s="109"/>
      <c r="U1259" s="112"/>
      <c r="V1259" s="109"/>
      <c r="W1259" s="109"/>
      <c r="X1259" s="109"/>
    </row>
    <row r="1260" spans="2:24">
      <c r="B1260" s="109"/>
      <c r="C1260" s="109"/>
      <c r="D1260" s="20" t="str">
        <f t="shared" si="247"/>
        <v>XpressBees</v>
      </c>
      <c r="E1260" s="109"/>
      <c r="F1260" s="112"/>
      <c r="G1260" s="109"/>
      <c r="H1260" s="109"/>
      <c r="I1260" s="109"/>
      <c r="J1260" s="109"/>
      <c r="K1260" s="14" t="str">
        <f t="shared" si="248"/>
        <v>运营中</v>
      </c>
      <c r="L1260" s="109"/>
      <c r="M1260" s="109"/>
      <c r="N1260" s="13"/>
      <c r="O1260" s="24">
        <v>42414</v>
      </c>
      <c r="P1260" s="13" t="s">
        <v>3513</v>
      </c>
      <c r="Q1260" s="13" t="s">
        <v>7474</v>
      </c>
      <c r="R1260" s="13" t="s">
        <v>4447</v>
      </c>
      <c r="S1260" s="109"/>
      <c r="T1260" s="109"/>
      <c r="U1260" s="112"/>
      <c r="V1260" s="109"/>
      <c r="W1260" s="109"/>
      <c r="X1260" s="109"/>
    </row>
    <row r="1261" spans="2:24" ht="48">
      <c r="B1261" s="109"/>
      <c r="C1261" s="13" t="s">
        <v>1840</v>
      </c>
      <c r="D1261" s="25" t="s">
        <v>7475</v>
      </c>
      <c r="E1261" s="13" t="s">
        <v>7476</v>
      </c>
      <c r="F1261" s="18" t="s">
        <v>7477</v>
      </c>
      <c r="G1261" s="13" t="s">
        <v>7478</v>
      </c>
      <c r="H1261" s="13"/>
      <c r="I1261" s="13" t="s">
        <v>837</v>
      </c>
      <c r="J1261" s="13" t="s">
        <v>4451</v>
      </c>
      <c r="K1261" s="19" t="s">
        <v>272</v>
      </c>
      <c r="L1261" s="13" t="s">
        <v>3809</v>
      </c>
      <c r="M1261" s="13" t="s">
        <v>7479</v>
      </c>
      <c r="N1261" s="13"/>
      <c r="O1261" s="24">
        <v>42430</v>
      </c>
      <c r="P1261" s="13" t="s">
        <v>1045</v>
      </c>
      <c r="Q1261" s="13" t="s">
        <v>5427</v>
      </c>
      <c r="R1261" s="13" t="s">
        <v>4453</v>
      </c>
      <c r="S1261" s="13" t="s">
        <v>4215</v>
      </c>
      <c r="T1261" s="13" t="s">
        <v>5441</v>
      </c>
      <c r="U1261" s="18" t="s">
        <v>4454</v>
      </c>
      <c r="V1261" s="13" t="s">
        <v>7480</v>
      </c>
      <c r="W1261" s="13" t="s">
        <v>4456</v>
      </c>
      <c r="X1261" s="13" t="s">
        <v>4457</v>
      </c>
    </row>
    <row r="1262" spans="2:24" ht="59">
      <c r="B1262" s="109"/>
      <c r="C1262" s="13" t="s">
        <v>1940</v>
      </c>
      <c r="D1262" s="25" t="s">
        <v>7481</v>
      </c>
      <c r="E1262" s="13" t="s">
        <v>7482</v>
      </c>
      <c r="F1262" s="18" t="s">
        <v>4459</v>
      </c>
      <c r="G1262" s="13" t="s">
        <v>7483</v>
      </c>
      <c r="H1262" s="13"/>
      <c r="I1262" s="13" t="s">
        <v>3449</v>
      </c>
      <c r="J1262" s="13" t="s">
        <v>4461</v>
      </c>
      <c r="K1262" s="19" t="s">
        <v>248</v>
      </c>
      <c r="L1262" s="13" t="s">
        <v>5821</v>
      </c>
      <c r="M1262" s="13" t="s">
        <v>5900</v>
      </c>
      <c r="N1262" s="13"/>
      <c r="O1262" s="24">
        <v>42591</v>
      </c>
      <c r="P1262" s="13" t="s">
        <v>3513</v>
      </c>
      <c r="Q1262" s="13" t="s">
        <v>3514</v>
      </c>
      <c r="R1262" s="13" t="s">
        <v>1751</v>
      </c>
      <c r="S1262" s="13" t="s">
        <v>5169</v>
      </c>
      <c r="T1262" s="13" t="s">
        <v>3517</v>
      </c>
      <c r="U1262" s="18" t="s">
        <v>4462</v>
      </c>
      <c r="V1262" s="13" t="s">
        <v>4463</v>
      </c>
      <c r="W1262" s="13"/>
      <c r="X1262" s="13"/>
    </row>
    <row r="1263" spans="2:24">
      <c r="B1263" s="109"/>
      <c r="C1263" s="109" t="s">
        <v>4464</v>
      </c>
      <c r="D1263" s="20" t="s">
        <v>7484</v>
      </c>
      <c r="E1263" s="109" t="s">
        <v>4466</v>
      </c>
      <c r="F1263" s="112" t="s">
        <v>4467</v>
      </c>
      <c r="G1263" s="109" t="s">
        <v>7485</v>
      </c>
      <c r="H1263" s="109" t="s">
        <v>4469</v>
      </c>
      <c r="I1263" s="109" t="s">
        <v>4470</v>
      </c>
      <c r="J1263" s="109" t="s">
        <v>4471</v>
      </c>
      <c r="K1263" s="14" t="s">
        <v>272</v>
      </c>
      <c r="L1263" s="109" t="s">
        <v>4472</v>
      </c>
      <c r="M1263" s="109" t="s">
        <v>4473</v>
      </c>
      <c r="N1263" s="13"/>
      <c r="O1263" s="24">
        <v>44301</v>
      </c>
      <c r="P1263" s="13" t="s">
        <v>4401</v>
      </c>
      <c r="Q1263" s="13" t="s">
        <v>4474</v>
      </c>
      <c r="R1263" s="13" t="s">
        <v>1751</v>
      </c>
      <c r="S1263" s="109" t="s">
        <v>4475</v>
      </c>
      <c r="T1263" s="109" t="s">
        <v>4476</v>
      </c>
      <c r="U1263" s="112" t="s">
        <v>4477</v>
      </c>
      <c r="V1263" s="109" t="s">
        <v>4478</v>
      </c>
      <c r="W1263" s="109" t="s">
        <v>4479</v>
      </c>
      <c r="X1263" s="109" t="s">
        <v>4480</v>
      </c>
    </row>
    <row r="1264" spans="2:24">
      <c r="B1264" s="109"/>
      <c r="C1264" s="109"/>
      <c r="D1264" s="20" t="str">
        <f>D1263</f>
        <v>爱用科技</v>
      </c>
      <c r="E1264" s="109"/>
      <c r="F1264" s="112"/>
      <c r="G1264" s="109"/>
      <c r="H1264" s="109"/>
      <c r="I1264" s="109"/>
      <c r="J1264" s="109"/>
      <c r="K1264" s="14" t="str">
        <f t="shared" ref="K1264:K1265" si="249">K1263</f>
        <v>运营中</v>
      </c>
      <c r="L1264" s="109"/>
      <c r="M1264" s="109"/>
      <c r="N1264" s="13"/>
      <c r="O1264" s="24">
        <v>42888</v>
      </c>
      <c r="P1264" s="13" t="s">
        <v>4401</v>
      </c>
      <c r="Q1264" s="13" t="s">
        <v>6274</v>
      </c>
      <c r="R1264" s="13" t="s">
        <v>4481</v>
      </c>
      <c r="S1264" s="109"/>
      <c r="T1264" s="109"/>
      <c r="U1264" s="112"/>
      <c r="V1264" s="109"/>
      <c r="W1264" s="109"/>
      <c r="X1264" s="109"/>
    </row>
    <row r="1265" spans="2:24">
      <c r="B1265" s="109"/>
      <c r="C1265" s="109"/>
      <c r="D1265" s="20" t="str">
        <f>D1264</f>
        <v>爱用科技</v>
      </c>
      <c r="E1265" s="109"/>
      <c r="F1265" s="112"/>
      <c r="G1265" s="109"/>
      <c r="H1265" s="109"/>
      <c r="I1265" s="109"/>
      <c r="J1265" s="109"/>
      <c r="K1265" s="14" t="str">
        <f t="shared" si="249"/>
        <v>运营中</v>
      </c>
      <c r="L1265" s="109"/>
      <c r="M1265" s="109"/>
      <c r="N1265" s="13"/>
      <c r="O1265" s="24">
        <v>42482</v>
      </c>
      <c r="P1265" s="13" t="s">
        <v>5664</v>
      </c>
      <c r="Q1265" s="13" t="s">
        <v>2030</v>
      </c>
      <c r="R1265" s="13" t="s">
        <v>253</v>
      </c>
      <c r="S1265" s="109"/>
      <c r="T1265" s="109"/>
      <c r="U1265" s="112"/>
      <c r="V1265" s="109"/>
      <c r="W1265" s="109"/>
      <c r="X1265" s="109"/>
    </row>
    <row r="1266" spans="2:24" ht="47.5">
      <c r="B1266" s="109"/>
      <c r="C1266" s="13" t="s">
        <v>2860</v>
      </c>
      <c r="D1266" s="25" t="s">
        <v>4482</v>
      </c>
      <c r="E1266" s="13" t="s">
        <v>4482</v>
      </c>
      <c r="F1266" s="18" t="s">
        <v>7486</v>
      </c>
      <c r="G1266" s="13"/>
      <c r="H1266" s="13" t="s">
        <v>4484</v>
      </c>
      <c r="I1266" s="13" t="s">
        <v>1905</v>
      </c>
      <c r="J1266" s="13" t="s">
        <v>2261</v>
      </c>
      <c r="K1266" s="19" t="s">
        <v>272</v>
      </c>
      <c r="L1266" s="13" t="s">
        <v>4162</v>
      </c>
      <c r="M1266" s="13" t="s">
        <v>5464</v>
      </c>
      <c r="N1266" s="13"/>
      <c r="O1266" s="24">
        <v>42612</v>
      </c>
      <c r="P1266" s="13" t="s">
        <v>5474</v>
      </c>
      <c r="Q1266" s="13" t="s">
        <v>5617</v>
      </c>
      <c r="R1266" s="13" t="s">
        <v>1751</v>
      </c>
      <c r="S1266" s="13" t="s">
        <v>7487</v>
      </c>
      <c r="T1266" s="13" t="s">
        <v>7274</v>
      </c>
      <c r="U1266" s="18" t="s">
        <v>4486</v>
      </c>
      <c r="V1266" s="13" t="s">
        <v>4487</v>
      </c>
      <c r="W1266" s="13"/>
      <c r="X1266" s="13"/>
    </row>
    <row r="1267" spans="2:24">
      <c r="B1267" s="109"/>
      <c r="C1267" s="109" t="s">
        <v>4488</v>
      </c>
      <c r="D1267" s="20" t="s">
        <v>7488</v>
      </c>
      <c r="E1267" s="109" t="s">
        <v>7489</v>
      </c>
      <c r="F1267" s="112" t="s">
        <v>7490</v>
      </c>
      <c r="G1267" s="109" t="s">
        <v>7491</v>
      </c>
      <c r="H1267" s="109" t="s">
        <v>4492</v>
      </c>
      <c r="I1267" s="109" t="s">
        <v>4493</v>
      </c>
      <c r="J1267" s="109" t="s">
        <v>630</v>
      </c>
      <c r="K1267" s="14" t="s">
        <v>272</v>
      </c>
      <c r="L1267" s="109" t="s">
        <v>6396</v>
      </c>
      <c r="M1267" s="109" t="s">
        <v>6397</v>
      </c>
      <c r="N1267" s="13">
        <v>1</v>
      </c>
      <c r="O1267" s="24">
        <v>44165</v>
      </c>
      <c r="P1267" s="13" t="s">
        <v>5810</v>
      </c>
      <c r="Q1267" s="13" t="s">
        <v>7344</v>
      </c>
      <c r="R1267" s="13" t="s">
        <v>4494</v>
      </c>
      <c r="S1267" s="109" t="s">
        <v>7492</v>
      </c>
      <c r="T1267" s="109" t="s">
        <v>7493</v>
      </c>
      <c r="U1267" s="112" t="s">
        <v>4497</v>
      </c>
      <c r="V1267" s="109" t="s">
        <v>4498</v>
      </c>
      <c r="W1267" s="109" t="s">
        <v>4499</v>
      </c>
      <c r="X1267" s="109" t="s">
        <v>4500</v>
      </c>
    </row>
    <row r="1268" spans="2:24">
      <c r="B1268" s="109"/>
      <c r="C1268" s="109"/>
      <c r="D1268" s="20" t="str">
        <f>D1267</f>
        <v>居然之家</v>
      </c>
      <c r="E1268" s="109"/>
      <c r="F1268" s="112"/>
      <c r="G1268" s="109"/>
      <c r="H1268" s="109"/>
      <c r="I1268" s="109"/>
      <c r="J1268" s="109"/>
      <c r="K1268" s="14" t="str">
        <f t="shared" ref="K1268:K1270" si="250">K1267</f>
        <v>运营中</v>
      </c>
      <c r="L1268" s="109"/>
      <c r="M1268" s="109"/>
      <c r="N1268" s="13">
        <v>1</v>
      </c>
      <c r="O1268" s="24">
        <v>43825</v>
      </c>
      <c r="P1268" s="13" t="s">
        <v>5625</v>
      </c>
      <c r="Q1268" s="13" t="s">
        <v>1750</v>
      </c>
      <c r="R1268" s="13" t="s">
        <v>253</v>
      </c>
      <c r="S1268" s="109"/>
      <c r="T1268" s="109"/>
      <c r="U1268" s="112"/>
      <c r="V1268" s="109"/>
      <c r="W1268" s="109"/>
      <c r="X1268" s="109"/>
    </row>
    <row r="1269" spans="2:24">
      <c r="B1269" s="109"/>
      <c r="C1269" s="109"/>
      <c r="D1269" s="20" t="str">
        <f>D1268</f>
        <v>居然之家</v>
      </c>
      <c r="E1269" s="109"/>
      <c r="F1269" s="112"/>
      <c r="G1269" s="109"/>
      <c r="H1269" s="109"/>
      <c r="I1269" s="109"/>
      <c r="J1269" s="109"/>
      <c r="K1269" s="14" t="str">
        <f t="shared" si="250"/>
        <v>运营中</v>
      </c>
      <c r="L1269" s="109"/>
      <c r="M1269" s="109"/>
      <c r="N1269" s="13">
        <v>1</v>
      </c>
      <c r="O1269" s="24">
        <v>43158</v>
      </c>
      <c r="P1269" s="13" t="s">
        <v>1045</v>
      </c>
      <c r="Q1269" s="13" t="s">
        <v>7494</v>
      </c>
      <c r="R1269" s="13" t="s">
        <v>7495</v>
      </c>
      <c r="S1269" s="109"/>
      <c r="T1269" s="109"/>
      <c r="U1269" s="112"/>
      <c r="V1269" s="109"/>
      <c r="W1269" s="109"/>
      <c r="X1269" s="109"/>
    </row>
    <row r="1270" spans="2:24">
      <c r="B1270" s="109"/>
      <c r="C1270" s="109"/>
      <c r="D1270" s="20" t="str">
        <f>D1269</f>
        <v>居然之家</v>
      </c>
      <c r="E1270" s="109"/>
      <c r="F1270" s="112"/>
      <c r="G1270" s="109"/>
      <c r="H1270" s="109"/>
      <c r="I1270" s="109"/>
      <c r="J1270" s="109"/>
      <c r="K1270" s="14" t="str">
        <f t="shared" si="250"/>
        <v>运营中</v>
      </c>
      <c r="L1270" s="109"/>
      <c r="M1270" s="109"/>
      <c r="N1270" s="13">
        <v>1</v>
      </c>
      <c r="O1270" s="24">
        <v>43142</v>
      </c>
      <c r="P1270" s="13" t="s">
        <v>1045</v>
      </c>
      <c r="Q1270" s="13" t="s">
        <v>7496</v>
      </c>
      <c r="R1270" s="13" t="s">
        <v>4504</v>
      </c>
      <c r="S1270" s="109"/>
      <c r="T1270" s="109"/>
      <c r="U1270" s="112"/>
      <c r="V1270" s="109"/>
      <c r="W1270" s="109"/>
      <c r="X1270" s="109"/>
    </row>
    <row r="1271" spans="2:24">
      <c r="B1271" s="109"/>
      <c r="C1271" s="109" t="s">
        <v>4505</v>
      </c>
      <c r="D1271" s="20" t="s">
        <v>4506</v>
      </c>
      <c r="E1271" s="109" t="s">
        <v>4506</v>
      </c>
      <c r="F1271" s="112" t="s">
        <v>7497</v>
      </c>
      <c r="G1271" s="109"/>
      <c r="H1271" s="109" t="s">
        <v>4508</v>
      </c>
      <c r="I1271" s="109" t="s">
        <v>3332</v>
      </c>
      <c r="J1271" s="109" t="s">
        <v>1725</v>
      </c>
      <c r="K1271" s="14" t="s">
        <v>272</v>
      </c>
      <c r="L1271" s="109" t="s">
        <v>4472</v>
      </c>
      <c r="M1271" s="109" t="s">
        <v>5780</v>
      </c>
      <c r="N1271" s="13"/>
      <c r="O1271" s="24">
        <v>43678</v>
      </c>
      <c r="P1271" s="13" t="s">
        <v>1045</v>
      </c>
      <c r="Q1271" s="13" t="s">
        <v>7150</v>
      </c>
      <c r="R1271" s="13" t="s">
        <v>4509</v>
      </c>
      <c r="S1271" s="109" t="s">
        <v>7498</v>
      </c>
      <c r="T1271" s="109" t="s">
        <v>6640</v>
      </c>
      <c r="U1271" s="112" t="s">
        <v>4511</v>
      </c>
      <c r="V1271" s="109"/>
      <c r="W1271" s="109"/>
      <c r="X1271" s="109"/>
    </row>
    <row r="1272" spans="2:24">
      <c r="B1272" s="109"/>
      <c r="C1272" s="109"/>
      <c r="D1272" s="20" t="str">
        <f>D1271</f>
        <v>Paytm Mall</v>
      </c>
      <c r="E1272" s="109"/>
      <c r="F1272" s="112"/>
      <c r="G1272" s="109"/>
      <c r="H1272" s="109"/>
      <c r="I1272" s="109"/>
      <c r="J1272" s="109"/>
      <c r="K1272" s="14" t="str">
        <f t="shared" ref="K1272:K1275" si="251">K1271</f>
        <v>运营中</v>
      </c>
      <c r="L1272" s="109"/>
      <c r="M1272" s="109"/>
      <c r="N1272" s="13"/>
      <c r="O1272" s="24">
        <v>43193</v>
      </c>
      <c r="P1272" s="13" t="s">
        <v>3648</v>
      </c>
      <c r="Q1272" s="13" t="s">
        <v>6817</v>
      </c>
      <c r="R1272" s="13" t="s">
        <v>4512</v>
      </c>
      <c r="S1272" s="109"/>
      <c r="T1272" s="109"/>
      <c r="U1272" s="112"/>
      <c r="V1272" s="109"/>
      <c r="W1272" s="109"/>
      <c r="X1272" s="109"/>
    </row>
    <row r="1273" spans="2:24">
      <c r="B1273" s="109"/>
      <c r="C1273" s="109"/>
      <c r="D1273" s="20" t="str">
        <f>D1272</f>
        <v>Paytm Mall</v>
      </c>
      <c r="E1273" s="109"/>
      <c r="F1273" s="112"/>
      <c r="G1273" s="109"/>
      <c r="H1273" s="109"/>
      <c r="I1273" s="109"/>
      <c r="J1273" s="109"/>
      <c r="K1273" s="14" t="str">
        <f t="shared" si="251"/>
        <v>运营中</v>
      </c>
      <c r="L1273" s="109"/>
      <c r="M1273" s="109"/>
      <c r="N1273" s="13"/>
      <c r="O1273" s="24">
        <v>43169</v>
      </c>
      <c r="P1273" s="13" t="s">
        <v>3513</v>
      </c>
      <c r="Q1273" s="13" t="s">
        <v>1046</v>
      </c>
      <c r="R1273" s="13" t="s">
        <v>4513</v>
      </c>
      <c r="S1273" s="109"/>
      <c r="T1273" s="109"/>
      <c r="U1273" s="112"/>
      <c r="V1273" s="109"/>
      <c r="W1273" s="109"/>
      <c r="X1273" s="109"/>
    </row>
    <row r="1274" spans="2:24">
      <c r="B1274" s="109"/>
      <c r="C1274" s="109"/>
      <c r="D1274" s="20" t="str">
        <f>D1273</f>
        <v>Paytm Mall</v>
      </c>
      <c r="E1274" s="109"/>
      <c r="F1274" s="112"/>
      <c r="G1274" s="109"/>
      <c r="H1274" s="109"/>
      <c r="I1274" s="109"/>
      <c r="J1274" s="109"/>
      <c r="K1274" s="14" t="str">
        <f t="shared" si="251"/>
        <v>运营中</v>
      </c>
      <c r="L1274" s="109"/>
      <c r="M1274" s="109"/>
      <c r="N1274" s="13"/>
      <c r="O1274" s="24">
        <v>43068</v>
      </c>
      <c r="P1274" s="13" t="s">
        <v>5474</v>
      </c>
      <c r="Q1274" s="13" t="s">
        <v>5627</v>
      </c>
      <c r="R1274" s="13" t="s">
        <v>4513</v>
      </c>
      <c r="S1274" s="109"/>
      <c r="T1274" s="109"/>
      <c r="U1274" s="112"/>
      <c r="V1274" s="109"/>
      <c r="W1274" s="109"/>
      <c r="X1274" s="109"/>
    </row>
    <row r="1275" spans="2:24">
      <c r="B1275" s="109"/>
      <c r="C1275" s="109"/>
      <c r="D1275" s="20" t="str">
        <f>D1274</f>
        <v>Paytm Mall</v>
      </c>
      <c r="E1275" s="109"/>
      <c r="F1275" s="112"/>
      <c r="G1275" s="109"/>
      <c r="H1275" s="109"/>
      <c r="I1275" s="109"/>
      <c r="J1275" s="109"/>
      <c r="K1275" s="14" t="str">
        <f t="shared" si="251"/>
        <v>运营中</v>
      </c>
      <c r="L1275" s="109"/>
      <c r="M1275" s="109"/>
      <c r="N1275" s="13"/>
      <c r="O1275" s="24">
        <v>42797</v>
      </c>
      <c r="P1275" s="13" t="s">
        <v>5697</v>
      </c>
      <c r="Q1275" s="13" t="s">
        <v>2714</v>
      </c>
      <c r="R1275" s="13" t="s">
        <v>4514</v>
      </c>
      <c r="S1275" s="109"/>
      <c r="T1275" s="109"/>
      <c r="U1275" s="112"/>
      <c r="V1275" s="109"/>
      <c r="W1275" s="109"/>
      <c r="X1275" s="109"/>
    </row>
    <row r="1276" spans="2:24">
      <c r="B1276" s="109"/>
      <c r="C1276" s="109" t="s">
        <v>4515</v>
      </c>
      <c r="D1276" s="20" t="s">
        <v>7499</v>
      </c>
      <c r="E1276" s="109" t="s">
        <v>7500</v>
      </c>
      <c r="F1276" s="112" t="s">
        <v>7501</v>
      </c>
      <c r="G1276" s="109" t="s">
        <v>7502</v>
      </c>
      <c r="H1276" s="109" t="s">
        <v>4519</v>
      </c>
      <c r="I1276" s="109" t="s">
        <v>2478</v>
      </c>
      <c r="J1276" s="109" t="s">
        <v>1192</v>
      </c>
      <c r="K1276" s="14" t="s">
        <v>272</v>
      </c>
      <c r="L1276" s="109" t="s">
        <v>3661</v>
      </c>
      <c r="M1276" s="109" t="s">
        <v>7503</v>
      </c>
      <c r="N1276" s="13"/>
      <c r="O1276" s="24">
        <v>43476</v>
      </c>
      <c r="P1276" s="13" t="s">
        <v>3648</v>
      </c>
      <c r="Q1276" s="13" t="s">
        <v>6447</v>
      </c>
      <c r="R1276" s="13" t="s">
        <v>1751</v>
      </c>
      <c r="S1276" s="109" t="s">
        <v>7504</v>
      </c>
      <c r="T1276" s="109" t="s">
        <v>6578</v>
      </c>
      <c r="U1276" s="112" t="s">
        <v>4522</v>
      </c>
      <c r="V1276" s="109" t="s">
        <v>4523</v>
      </c>
      <c r="W1276" s="109" t="s">
        <v>4524</v>
      </c>
      <c r="X1276" s="109" t="s">
        <v>4525</v>
      </c>
    </row>
    <row r="1277" spans="2:24">
      <c r="B1277" s="109"/>
      <c r="C1277" s="109"/>
      <c r="D1277" s="20" t="str">
        <f>D1276</f>
        <v>优点科技</v>
      </c>
      <c r="E1277" s="109"/>
      <c r="F1277" s="112"/>
      <c r="G1277" s="109"/>
      <c r="H1277" s="109"/>
      <c r="I1277" s="109"/>
      <c r="J1277" s="109"/>
      <c r="K1277" s="14" t="str">
        <f t="shared" ref="K1277:K1279" si="252">K1276</f>
        <v>运营中</v>
      </c>
      <c r="L1277" s="109"/>
      <c r="M1277" s="109"/>
      <c r="N1277" s="13"/>
      <c r="O1277" s="24">
        <v>43249</v>
      </c>
      <c r="P1277" s="13" t="s">
        <v>3513</v>
      </c>
      <c r="Q1277" s="13" t="s">
        <v>7505</v>
      </c>
      <c r="R1277" s="13" t="s">
        <v>4527</v>
      </c>
      <c r="S1277" s="109"/>
      <c r="T1277" s="109"/>
      <c r="U1277" s="112"/>
      <c r="V1277" s="109"/>
      <c r="W1277" s="109"/>
      <c r="X1277" s="109"/>
    </row>
    <row r="1278" spans="2:24">
      <c r="B1278" s="109"/>
      <c r="C1278" s="109"/>
      <c r="D1278" s="20" t="str">
        <f>D1277</f>
        <v>优点科技</v>
      </c>
      <c r="E1278" s="109"/>
      <c r="F1278" s="112"/>
      <c r="G1278" s="109"/>
      <c r="H1278" s="109"/>
      <c r="I1278" s="109"/>
      <c r="J1278" s="109"/>
      <c r="K1278" s="14" t="str">
        <f t="shared" si="252"/>
        <v>运营中</v>
      </c>
      <c r="L1278" s="109"/>
      <c r="M1278" s="109"/>
      <c r="N1278" s="13"/>
      <c r="O1278" s="24">
        <v>43017</v>
      </c>
      <c r="P1278" s="13" t="s">
        <v>5474</v>
      </c>
      <c r="Q1278" s="13" t="s">
        <v>5662</v>
      </c>
      <c r="R1278" s="13" t="s">
        <v>4528</v>
      </c>
      <c r="S1278" s="109"/>
      <c r="T1278" s="109"/>
      <c r="U1278" s="112"/>
      <c r="V1278" s="109"/>
      <c r="W1278" s="109"/>
      <c r="X1278" s="109"/>
    </row>
    <row r="1279" spans="2:24">
      <c r="B1279" s="109"/>
      <c r="C1279" s="109"/>
      <c r="D1279" s="20" t="str">
        <f>D1278</f>
        <v>优点科技</v>
      </c>
      <c r="E1279" s="109"/>
      <c r="F1279" s="112"/>
      <c r="G1279" s="109"/>
      <c r="H1279" s="109"/>
      <c r="I1279" s="109"/>
      <c r="J1279" s="109"/>
      <c r="K1279" s="14" t="str">
        <f t="shared" si="252"/>
        <v>运营中</v>
      </c>
      <c r="L1279" s="109"/>
      <c r="M1279" s="109"/>
      <c r="N1279" s="13"/>
      <c r="O1279" s="24">
        <v>42795</v>
      </c>
      <c r="P1279" s="13" t="s">
        <v>1045</v>
      </c>
      <c r="Q1279" s="13" t="s">
        <v>3514</v>
      </c>
      <c r="R1279" s="13" t="s">
        <v>4529</v>
      </c>
      <c r="S1279" s="109"/>
      <c r="T1279" s="109"/>
      <c r="U1279" s="112"/>
      <c r="V1279" s="109"/>
      <c r="W1279" s="109"/>
      <c r="X1279" s="109"/>
    </row>
    <row r="1280" spans="2:24" ht="48">
      <c r="B1280" s="109"/>
      <c r="C1280" s="13" t="s">
        <v>4530</v>
      </c>
      <c r="D1280" s="25" t="s">
        <v>7506</v>
      </c>
      <c r="E1280" s="13" t="s">
        <v>7507</v>
      </c>
      <c r="F1280" s="18" t="s">
        <v>4532</v>
      </c>
      <c r="G1280" s="13" t="s">
        <v>7508</v>
      </c>
      <c r="H1280" s="13"/>
      <c r="I1280" s="13" t="s">
        <v>3823</v>
      </c>
      <c r="J1280" s="13" t="s">
        <v>1126</v>
      </c>
      <c r="K1280" s="19" t="s">
        <v>272</v>
      </c>
      <c r="L1280" s="13" t="s">
        <v>6329</v>
      </c>
      <c r="M1280" s="13" t="s">
        <v>6330</v>
      </c>
      <c r="N1280" s="13"/>
      <c r="O1280" s="24">
        <v>43300</v>
      </c>
      <c r="P1280" s="13" t="s">
        <v>3513</v>
      </c>
      <c r="Q1280" s="13" t="s">
        <v>7509</v>
      </c>
      <c r="R1280" s="13" t="s">
        <v>4535</v>
      </c>
      <c r="S1280" s="13" t="s">
        <v>7510</v>
      </c>
      <c r="T1280" s="13" t="s">
        <v>6602</v>
      </c>
      <c r="U1280" s="18" t="s">
        <v>4537</v>
      </c>
      <c r="V1280" s="13" t="s">
        <v>4538</v>
      </c>
      <c r="W1280" s="13" t="s">
        <v>4539</v>
      </c>
      <c r="X1280" s="13" t="s">
        <v>4540</v>
      </c>
    </row>
    <row r="1281" spans="2:24">
      <c r="B1281" s="109"/>
      <c r="C1281" s="109" t="s">
        <v>2279</v>
      </c>
      <c r="D1281" s="20" t="s">
        <v>4541</v>
      </c>
      <c r="E1281" s="109" t="s">
        <v>4541</v>
      </c>
      <c r="F1281" s="112" t="s">
        <v>7511</v>
      </c>
      <c r="G1281" s="109"/>
      <c r="H1281" s="109" t="s">
        <v>4543</v>
      </c>
      <c r="I1281" s="109" t="s">
        <v>3710</v>
      </c>
      <c r="J1281" s="109" t="s">
        <v>1564</v>
      </c>
      <c r="K1281" s="14" t="s">
        <v>272</v>
      </c>
      <c r="L1281" s="109" t="s">
        <v>4162</v>
      </c>
      <c r="M1281" s="109" t="s">
        <v>929</v>
      </c>
      <c r="N1281" s="13"/>
      <c r="O1281" s="24">
        <v>43320</v>
      </c>
      <c r="P1281" s="13" t="s">
        <v>5474</v>
      </c>
      <c r="Q1281" s="13" t="s">
        <v>5637</v>
      </c>
      <c r="R1281" s="13" t="s">
        <v>4544</v>
      </c>
      <c r="S1281" s="109" t="s">
        <v>7512</v>
      </c>
      <c r="T1281" s="109" t="s">
        <v>7513</v>
      </c>
      <c r="U1281" s="112"/>
      <c r="V1281" s="109"/>
      <c r="W1281" s="109"/>
      <c r="X1281" s="109"/>
    </row>
    <row r="1282" spans="2:24">
      <c r="B1282" s="109"/>
      <c r="C1282" s="109"/>
      <c r="D1282" s="20" t="str">
        <f>D1281</f>
        <v>NewTV</v>
      </c>
      <c r="E1282" s="109"/>
      <c r="F1282" s="112"/>
      <c r="G1282" s="109"/>
      <c r="H1282" s="109"/>
      <c r="I1282" s="109"/>
      <c r="J1282" s="109"/>
      <c r="K1282" s="14" t="str">
        <f>K1281</f>
        <v>运营中</v>
      </c>
      <c r="L1282" s="109"/>
      <c r="M1282" s="109"/>
      <c r="N1282" s="13"/>
      <c r="O1282" s="24">
        <v>43234</v>
      </c>
      <c r="P1282" s="13" t="s">
        <v>1045</v>
      </c>
      <c r="Q1282" s="13" t="s">
        <v>7514</v>
      </c>
      <c r="R1282" s="13" t="s">
        <v>7515</v>
      </c>
      <c r="S1282" s="109"/>
      <c r="T1282" s="109"/>
      <c r="U1282" s="112"/>
      <c r="V1282" s="109"/>
      <c r="W1282" s="109"/>
      <c r="X1282" s="109"/>
    </row>
    <row r="1283" spans="2:24">
      <c r="B1283" s="109"/>
      <c r="C1283" s="109" t="s">
        <v>4549</v>
      </c>
      <c r="D1283" s="20" t="s">
        <v>4550</v>
      </c>
      <c r="E1283" s="109" t="s">
        <v>4550</v>
      </c>
      <c r="F1283" s="112" t="s">
        <v>7516</v>
      </c>
      <c r="G1283" s="109"/>
      <c r="H1283" s="109" t="s">
        <v>4552</v>
      </c>
      <c r="I1283" s="109" t="s">
        <v>2887</v>
      </c>
      <c r="J1283" s="109" t="s">
        <v>4553</v>
      </c>
      <c r="K1283" s="14" t="s">
        <v>272</v>
      </c>
      <c r="L1283" s="109" t="s">
        <v>4162</v>
      </c>
      <c r="M1283" s="109" t="s">
        <v>7517</v>
      </c>
      <c r="N1283" s="13"/>
      <c r="O1283" s="24">
        <v>43242</v>
      </c>
      <c r="P1283" s="13" t="s">
        <v>1045</v>
      </c>
      <c r="Q1283" s="13" t="s">
        <v>4307</v>
      </c>
      <c r="R1283" s="13" t="s">
        <v>1751</v>
      </c>
      <c r="S1283" s="109" t="s">
        <v>5882</v>
      </c>
      <c r="T1283" s="109" t="s">
        <v>4309</v>
      </c>
      <c r="U1283" s="112" t="s">
        <v>7518</v>
      </c>
      <c r="V1283" s="109"/>
      <c r="W1283" s="109"/>
      <c r="X1283" s="109"/>
    </row>
    <row r="1284" spans="2:24">
      <c r="B1284" s="109"/>
      <c r="C1284" s="109"/>
      <c r="D1284" s="20" t="str">
        <f>D1283</f>
        <v>ORDRE.com</v>
      </c>
      <c r="E1284" s="109"/>
      <c r="F1284" s="112"/>
      <c r="G1284" s="109"/>
      <c r="H1284" s="109"/>
      <c r="I1284" s="109"/>
      <c r="J1284" s="109"/>
      <c r="K1284" s="14" t="str">
        <f>K1283</f>
        <v>运营中</v>
      </c>
      <c r="L1284" s="109"/>
      <c r="M1284" s="109"/>
      <c r="N1284" s="13"/>
      <c r="O1284" s="24">
        <v>42522</v>
      </c>
      <c r="P1284" s="13" t="s">
        <v>1045</v>
      </c>
      <c r="Q1284" s="13" t="s">
        <v>5000</v>
      </c>
      <c r="R1284" s="13" t="s">
        <v>4556</v>
      </c>
      <c r="S1284" s="109"/>
      <c r="T1284" s="109"/>
      <c r="U1284" s="112"/>
      <c r="V1284" s="109"/>
      <c r="W1284" s="109"/>
      <c r="X1284" s="109"/>
    </row>
    <row r="1285" spans="2:24">
      <c r="B1285" s="109"/>
      <c r="C1285" s="109" t="s">
        <v>4557</v>
      </c>
      <c r="D1285" s="20" t="s">
        <v>135</v>
      </c>
      <c r="E1285" s="109" t="s">
        <v>135</v>
      </c>
      <c r="F1285" s="112" t="s">
        <v>4558</v>
      </c>
      <c r="G1285" s="109"/>
      <c r="H1285" s="109" t="s">
        <v>4559</v>
      </c>
      <c r="I1285" s="109" t="s">
        <v>3145</v>
      </c>
      <c r="J1285" s="109" t="s">
        <v>1725</v>
      </c>
      <c r="K1285" s="14" t="s">
        <v>272</v>
      </c>
      <c r="L1285" s="109" t="s">
        <v>2711</v>
      </c>
      <c r="M1285" s="109" t="s">
        <v>4560</v>
      </c>
      <c r="N1285" s="13"/>
      <c r="O1285" s="24">
        <v>44550</v>
      </c>
      <c r="P1285" s="13" t="s">
        <v>4561</v>
      </c>
      <c r="Q1285" s="13" t="s">
        <v>4562</v>
      </c>
      <c r="R1285" s="13" t="s">
        <v>4563</v>
      </c>
      <c r="S1285" s="109" t="s">
        <v>4564</v>
      </c>
      <c r="T1285" s="109" t="s">
        <v>4565</v>
      </c>
      <c r="U1285" s="112" t="s">
        <v>4566</v>
      </c>
      <c r="V1285" s="109"/>
      <c r="W1285" s="109"/>
      <c r="X1285" s="109"/>
    </row>
    <row r="1286" spans="2:24">
      <c r="B1286" s="109"/>
      <c r="C1286" s="109"/>
      <c r="D1286" s="20" t="str">
        <f t="shared" ref="D1286:D1294" si="253">D1285</f>
        <v>CARS24</v>
      </c>
      <c r="E1286" s="109"/>
      <c r="F1286" s="112"/>
      <c r="G1286" s="109"/>
      <c r="H1286" s="109"/>
      <c r="I1286" s="109"/>
      <c r="J1286" s="109"/>
      <c r="K1286" s="14" t="str">
        <f t="shared" ref="K1286:K1294" si="254">K1285</f>
        <v>运营中</v>
      </c>
      <c r="L1286" s="109"/>
      <c r="M1286" s="109"/>
      <c r="N1286" s="13"/>
      <c r="O1286" s="24">
        <v>44464</v>
      </c>
      <c r="P1286" s="13" t="s">
        <v>5635</v>
      </c>
      <c r="Q1286" s="13" t="s">
        <v>6460</v>
      </c>
      <c r="R1286" s="13" t="s">
        <v>4567</v>
      </c>
      <c r="S1286" s="109"/>
      <c r="T1286" s="109"/>
      <c r="U1286" s="112"/>
      <c r="V1286" s="109"/>
      <c r="W1286" s="109"/>
      <c r="X1286" s="109"/>
    </row>
    <row r="1287" spans="2:24">
      <c r="B1287" s="109"/>
      <c r="C1287" s="109"/>
      <c r="D1287" s="20" t="str">
        <f t="shared" si="253"/>
        <v>CARS24</v>
      </c>
      <c r="E1287" s="109"/>
      <c r="F1287" s="112"/>
      <c r="G1287" s="109"/>
      <c r="H1287" s="109"/>
      <c r="I1287" s="109"/>
      <c r="J1287" s="109"/>
      <c r="K1287" s="14" t="str">
        <f t="shared" si="254"/>
        <v>运营中</v>
      </c>
      <c r="L1287" s="109"/>
      <c r="M1287" s="109"/>
      <c r="N1287" s="13"/>
      <c r="O1287" s="24">
        <v>44161</v>
      </c>
      <c r="P1287" s="13" t="s">
        <v>3276</v>
      </c>
      <c r="Q1287" s="13" t="s">
        <v>2714</v>
      </c>
      <c r="R1287" s="13" t="s">
        <v>4568</v>
      </c>
      <c r="S1287" s="109"/>
      <c r="T1287" s="109"/>
      <c r="U1287" s="112"/>
      <c r="V1287" s="109"/>
      <c r="W1287" s="109"/>
      <c r="X1287" s="109"/>
    </row>
    <row r="1288" spans="2:24">
      <c r="B1288" s="109"/>
      <c r="C1288" s="109"/>
      <c r="D1288" s="20" t="str">
        <f t="shared" si="253"/>
        <v>CARS24</v>
      </c>
      <c r="E1288" s="109"/>
      <c r="F1288" s="112"/>
      <c r="G1288" s="109"/>
      <c r="H1288" s="109"/>
      <c r="I1288" s="109"/>
      <c r="J1288" s="109"/>
      <c r="K1288" s="14" t="str">
        <f t="shared" si="254"/>
        <v>运营中</v>
      </c>
      <c r="L1288" s="109"/>
      <c r="M1288" s="109"/>
      <c r="N1288" s="13"/>
      <c r="O1288" s="24">
        <v>44023</v>
      </c>
      <c r="P1288" s="13" t="s">
        <v>1045</v>
      </c>
      <c r="Q1288" s="13" t="s">
        <v>7519</v>
      </c>
      <c r="R1288" s="13" t="s">
        <v>4570</v>
      </c>
      <c r="S1288" s="109"/>
      <c r="T1288" s="109"/>
      <c r="U1288" s="112"/>
      <c r="V1288" s="109"/>
      <c r="W1288" s="109"/>
      <c r="X1288" s="109"/>
    </row>
    <row r="1289" spans="2:24">
      <c r="B1289" s="109"/>
      <c r="C1289" s="109"/>
      <c r="D1289" s="20" t="str">
        <f t="shared" si="253"/>
        <v>CARS24</v>
      </c>
      <c r="E1289" s="109"/>
      <c r="F1289" s="112"/>
      <c r="G1289" s="109"/>
      <c r="H1289" s="109"/>
      <c r="I1289" s="109"/>
      <c r="J1289" s="109"/>
      <c r="K1289" s="14" t="str">
        <f t="shared" si="254"/>
        <v>运营中</v>
      </c>
      <c r="L1289" s="109"/>
      <c r="M1289" s="109"/>
      <c r="N1289" s="13"/>
      <c r="O1289" s="24">
        <v>43778</v>
      </c>
      <c r="P1289" s="13" t="s">
        <v>1045</v>
      </c>
      <c r="Q1289" s="13" t="s">
        <v>7520</v>
      </c>
      <c r="R1289" s="13" t="s">
        <v>4572</v>
      </c>
      <c r="S1289" s="109"/>
      <c r="T1289" s="109"/>
      <c r="U1289" s="112"/>
      <c r="V1289" s="109"/>
      <c r="W1289" s="109"/>
      <c r="X1289" s="109"/>
    </row>
    <row r="1290" spans="2:24">
      <c r="B1290" s="109"/>
      <c r="C1290" s="109"/>
      <c r="D1290" s="20" t="str">
        <f t="shared" si="253"/>
        <v>CARS24</v>
      </c>
      <c r="E1290" s="109"/>
      <c r="F1290" s="112"/>
      <c r="G1290" s="109"/>
      <c r="H1290" s="109"/>
      <c r="I1290" s="109"/>
      <c r="J1290" s="109"/>
      <c r="K1290" s="14" t="str">
        <f t="shared" si="254"/>
        <v>运营中</v>
      </c>
      <c r="L1290" s="109"/>
      <c r="M1290" s="109"/>
      <c r="N1290" s="13"/>
      <c r="O1290" s="24">
        <v>43755</v>
      </c>
      <c r="P1290" s="13" t="s">
        <v>3276</v>
      </c>
      <c r="Q1290" s="13" t="s">
        <v>4732</v>
      </c>
      <c r="R1290" s="13" t="s">
        <v>7521</v>
      </c>
      <c r="S1290" s="109"/>
      <c r="T1290" s="109"/>
      <c r="U1290" s="112"/>
      <c r="V1290" s="109"/>
      <c r="W1290" s="109"/>
      <c r="X1290" s="109"/>
    </row>
    <row r="1291" spans="2:24">
      <c r="B1291" s="109"/>
      <c r="C1291" s="109"/>
      <c r="D1291" s="20" t="str">
        <f t="shared" si="253"/>
        <v>CARS24</v>
      </c>
      <c r="E1291" s="109"/>
      <c r="F1291" s="112"/>
      <c r="G1291" s="109"/>
      <c r="H1291" s="109"/>
      <c r="I1291" s="109"/>
      <c r="J1291" s="109"/>
      <c r="K1291" s="14" t="str">
        <f t="shared" si="254"/>
        <v>运营中</v>
      </c>
      <c r="L1291" s="109"/>
      <c r="M1291" s="109"/>
      <c r="N1291" s="13"/>
      <c r="O1291" s="24">
        <v>43718</v>
      </c>
      <c r="P1291" s="13" t="s">
        <v>1827</v>
      </c>
      <c r="Q1291" s="13" t="s">
        <v>7522</v>
      </c>
      <c r="R1291" s="13" t="s">
        <v>7523</v>
      </c>
      <c r="S1291" s="109"/>
      <c r="T1291" s="109"/>
      <c r="U1291" s="112"/>
      <c r="V1291" s="109"/>
      <c r="W1291" s="109"/>
      <c r="X1291" s="109"/>
    </row>
    <row r="1292" spans="2:24">
      <c r="B1292" s="109"/>
      <c r="C1292" s="109"/>
      <c r="D1292" s="20" t="str">
        <f t="shared" si="253"/>
        <v>CARS24</v>
      </c>
      <c r="E1292" s="109"/>
      <c r="F1292" s="112"/>
      <c r="G1292" s="109"/>
      <c r="H1292" s="109"/>
      <c r="I1292" s="109"/>
      <c r="J1292" s="109"/>
      <c r="K1292" s="14" t="str">
        <f t="shared" si="254"/>
        <v>运营中</v>
      </c>
      <c r="L1292" s="109"/>
      <c r="M1292" s="109"/>
      <c r="N1292" s="13"/>
      <c r="O1292" s="24">
        <v>43300</v>
      </c>
      <c r="P1292" s="13" t="s">
        <v>5613</v>
      </c>
      <c r="Q1292" s="13" t="s">
        <v>5360</v>
      </c>
      <c r="R1292" s="13" t="s">
        <v>7524</v>
      </c>
      <c r="S1292" s="109"/>
      <c r="T1292" s="109"/>
      <c r="U1292" s="112"/>
      <c r="V1292" s="109"/>
      <c r="W1292" s="109"/>
      <c r="X1292" s="109"/>
    </row>
    <row r="1293" spans="2:24">
      <c r="B1293" s="109"/>
      <c r="C1293" s="109"/>
      <c r="D1293" s="20" t="str">
        <f t="shared" si="253"/>
        <v>CARS24</v>
      </c>
      <c r="E1293" s="109"/>
      <c r="F1293" s="112"/>
      <c r="G1293" s="109"/>
      <c r="H1293" s="109"/>
      <c r="I1293" s="109"/>
      <c r="J1293" s="109"/>
      <c r="K1293" s="14" t="str">
        <f t="shared" si="254"/>
        <v>运营中</v>
      </c>
      <c r="L1293" s="109"/>
      <c r="M1293" s="109"/>
      <c r="N1293" s="13"/>
      <c r="O1293" s="24">
        <v>42895</v>
      </c>
      <c r="P1293" s="13" t="s">
        <v>3648</v>
      </c>
      <c r="Q1293" s="13" t="s">
        <v>5360</v>
      </c>
      <c r="R1293" s="13" t="s">
        <v>4577</v>
      </c>
      <c r="S1293" s="109"/>
      <c r="T1293" s="109"/>
      <c r="U1293" s="112"/>
      <c r="V1293" s="109"/>
      <c r="W1293" s="109"/>
      <c r="X1293" s="109"/>
    </row>
    <row r="1294" spans="2:24">
      <c r="B1294" s="109"/>
      <c r="C1294" s="109"/>
      <c r="D1294" s="20" t="str">
        <f t="shared" si="253"/>
        <v>CARS24</v>
      </c>
      <c r="E1294" s="109"/>
      <c r="F1294" s="112"/>
      <c r="G1294" s="109"/>
      <c r="H1294" s="109"/>
      <c r="I1294" s="109"/>
      <c r="J1294" s="109"/>
      <c r="K1294" s="14" t="str">
        <f t="shared" si="254"/>
        <v>运营中</v>
      </c>
      <c r="L1294" s="109"/>
      <c r="M1294" s="109"/>
      <c r="N1294" s="13"/>
      <c r="O1294" s="24">
        <v>42114</v>
      </c>
      <c r="P1294" s="13" t="s">
        <v>3513</v>
      </c>
      <c r="Q1294" s="13" t="s">
        <v>5129</v>
      </c>
      <c r="R1294" s="13" t="s">
        <v>253</v>
      </c>
      <c r="S1294" s="109"/>
      <c r="T1294" s="109"/>
      <c r="U1294" s="112"/>
      <c r="V1294" s="109"/>
      <c r="W1294" s="109"/>
      <c r="X1294" s="109"/>
    </row>
    <row r="1295" spans="2:24">
      <c r="B1295" s="109"/>
      <c r="C1295" s="109" t="s">
        <v>4578</v>
      </c>
      <c r="D1295" s="20" t="s">
        <v>7525</v>
      </c>
      <c r="E1295" s="109" t="s">
        <v>7526</v>
      </c>
      <c r="F1295" s="112" t="s">
        <v>7527</v>
      </c>
      <c r="G1295" s="109" t="s">
        <v>7528</v>
      </c>
      <c r="H1295" s="109" t="s">
        <v>4582</v>
      </c>
      <c r="I1295" s="109" t="s">
        <v>1482</v>
      </c>
      <c r="J1295" s="109" t="s">
        <v>385</v>
      </c>
      <c r="K1295" s="14" t="s">
        <v>272</v>
      </c>
      <c r="L1295" s="109" t="s">
        <v>4162</v>
      </c>
      <c r="M1295" s="109" t="s">
        <v>6308</v>
      </c>
      <c r="N1295" s="13"/>
      <c r="O1295" s="24">
        <v>43277</v>
      </c>
      <c r="P1295" s="13" t="s">
        <v>1045</v>
      </c>
      <c r="Q1295" s="13" t="s">
        <v>7529</v>
      </c>
      <c r="R1295" s="13" t="s">
        <v>7408</v>
      </c>
      <c r="S1295" s="109" t="s">
        <v>7530</v>
      </c>
      <c r="T1295" s="109" t="s">
        <v>5034</v>
      </c>
      <c r="U1295" s="112" t="s">
        <v>4586</v>
      </c>
      <c r="V1295" s="109" t="s">
        <v>4587</v>
      </c>
      <c r="W1295" s="109" t="s">
        <v>4588</v>
      </c>
      <c r="X1295" s="109" t="s">
        <v>4589</v>
      </c>
    </row>
    <row r="1296" spans="2:24">
      <c r="B1296" s="109"/>
      <c r="C1296" s="109"/>
      <c r="D1296" s="20" t="str">
        <f>D1295</f>
        <v>万达影视</v>
      </c>
      <c r="E1296" s="109"/>
      <c r="F1296" s="112"/>
      <c r="G1296" s="109"/>
      <c r="H1296" s="109"/>
      <c r="I1296" s="109"/>
      <c r="J1296" s="109"/>
      <c r="K1296" s="14" t="str">
        <f t="shared" ref="K1296:K1298" si="255">K1295</f>
        <v>运营中</v>
      </c>
      <c r="L1296" s="109"/>
      <c r="M1296" s="109"/>
      <c r="N1296" s="13"/>
      <c r="O1296" s="24">
        <v>43173</v>
      </c>
      <c r="P1296" s="13" t="s">
        <v>1045</v>
      </c>
      <c r="Q1296" s="13" t="s">
        <v>2030</v>
      </c>
      <c r="R1296" s="13" t="s">
        <v>4293</v>
      </c>
      <c r="S1296" s="109"/>
      <c r="T1296" s="109"/>
      <c r="U1296" s="112"/>
      <c r="V1296" s="109"/>
      <c r="W1296" s="109"/>
      <c r="X1296" s="109"/>
    </row>
    <row r="1297" spans="2:24">
      <c r="B1297" s="109"/>
      <c r="C1297" s="109"/>
      <c r="D1297" s="20" t="str">
        <f>D1296</f>
        <v>万达影视</v>
      </c>
      <c r="E1297" s="109"/>
      <c r="F1297" s="112"/>
      <c r="G1297" s="109"/>
      <c r="H1297" s="109"/>
      <c r="I1297" s="109"/>
      <c r="J1297" s="109"/>
      <c r="K1297" s="14" t="str">
        <f t="shared" si="255"/>
        <v>运营中</v>
      </c>
      <c r="L1297" s="109"/>
      <c r="M1297" s="109"/>
      <c r="N1297" s="13"/>
      <c r="O1297" s="24">
        <v>42444</v>
      </c>
      <c r="P1297" s="13" t="s">
        <v>1045</v>
      </c>
      <c r="Q1297" s="13" t="s">
        <v>7414</v>
      </c>
      <c r="R1297" s="13" t="s">
        <v>7415</v>
      </c>
      <c r="S1297" s="109"/>
      <c r="T1297" s="109"/>
      <c r="U1297" s="112"/>
      <c r="V1297" s="109"/>
      <c r="W1297" s="109"/>
      <c r="X1297" s="109"/>
    </row>
    <row r="1298" spans="2:24">
      <c r="B1298" s="109"/>
      <c r="C1298" s="109"/>
      <c r="D1298" s="20" t="str">
        <f>D1297</f>
        <v>万达影视</v>
      </c>
      <c r="E1298" s="109"/>
      <c r="F1298" s="112"/>
      <c r="G1298" s="109"/>
      <c r="H1298" s="109"/>
      <c r="I1298" s="109"/>
      <c r="J1298" s="109"/>
      <c r="K1298" s="14" t="str">
        <f t="shared" si="255"/>
        <v>运营中</v>
      </c>
      <c r="L1298" s="109"/>
      <c r="M1298" s="109"/>
      <c r="N1298" s="13"/>
      <c r="O1298" s="24">
        <v>42435</v>
      </c>
      <c r="P1298" s="13" t="s">
        <v>1045</v>
      </c>
      <c r="Q1298" s="13" t="s">
        <v>7416</v>
      </c>
      <c r="R1298" s="13" t="s">
        <v>7417</v>
      </c>
      <c r="S1298" s="109"/>
      <c r="T1298" s="109"/>
      <c r="U1298" s="112"/>
      <c r="V1298" s="109"/>
      <c r="W1298" s="109"/>
      <c r="X1298" s="109"/>
    </row>
    <row r="1299" spans="2:24">
      <c r="B1299" s="109"/>
      <c r="C1299" s="109" t="s">
        <v>4590</v>
      </c>
      <c r="D1299" s="20" t="s">
        <v>7531</v>
      </c>
      <c r="E1299" s="109" t="s">
        <v>7532</v>
      </c>
      <c r="F1299" s="112" t="s">
        <v>7533</v>
      </c>
      <c r="G1299" s="109" t="s">
        <v>7534</v>
      </c>
      <c r="H1299" s="109" t="s">
        <v>4594</v>
      </c>
      <c r="I1299" s="109" t="s">
        <v>2935</v>
      </c>
      <c r="J1299" s="109" t="s">
        <v>1192</v>
      </c>
      <c r="K1299" s="14" t="s">
        <v>272</v>
      </c>
      <c r="L1299" s="109" t="s">
        <v>3661</v>
      </c>
      <c r="M1299" s="109" t="s">
        <v>6038</v>
      </c>
      <c r="N1299" s="13">
        <v>1</v>
      </c>
      <c r="O1299" s="24">
        <v>44221</v>
      </c>
      <c r="P1299" s="13" t="s">
        <v>5810</v>
      </c>
      <c r="Q1299" s="13" t="s">
        <v>7535</v>
      </c>
      <c r="R1299" s="13" t="s">
        <v>1751</v>
      </c>
      <c r="S1299" s="109" t="s">
        <v>7536</v>
      </c>
      <c r="T1299" s="109" t="s">
        <v>7537</v>
      </c>
      <c r="U1299" s="112" t="s">
        <v>4598</v>
      </c>
      <c r="V1299" s="109" t="s">
        <v>4599</v>
      </c>
      <c r="W1299" s="109" t="s">
        <v>4600</v>
      </c>
      <c r="X1299" s="109"/>
    </row>
    <row r="1300" spans="2:24">
      <c r="B1300" s="109"/>
      <c r="C1300" s="109"/>
      <c r="D1300" s="20" t="str">
        <f>D1299</f>
        <v>爱施德</v>
      </c>
      <c r="E1300" s="109"/>
      <c r="F1300" s="112"/>
      <c r="G1300" s="109"/>
      <c r="H1300" s="109"/>
      <c r="I1300" s="109"/>
      <c r="J1300" s="109"/>
      <c r="K1300" s="14" t="str">
        <f t="shared" ref="K1300:K1301" si="256">K1299</f>
        <v>运营中</v>
      </c>
      <c r="L1300" s="109"/>
      <c r="M1300" s="109"/>
      <c r="N1300" s="13">
        <v>1</v>
      </c>
      <c r="O1300" s="24">
        <v>43948</v>
      </c>
      <c r="P1300" s="13" t="s">
        <v>5810</v>
      </c>
      <c r="Q1300" s="13" t="s">
        <v>5891</v>
      </c>
      <c r="R1300" s="13" t="s">
        <v>1751</v>
      </c>
      <c r="S1300" s="109"/>
      <c r="T1300" s="109"/>
      <c r="U1300" s="112"/>
      <c r="V1300" s="109"/>
      <c r="W1300" s="109"/>
      <c r="X1300" s="109"/>
    </row>
    <row r="1301" spans="2:24">
      <c r="B1301" s="109"/>
      <c r="C1301" s="109"/>
      <c r="D1301" s="20" t="str">
        <f>D1300</f>
        <v>爱施德</v>
      </c>
      <c r="E1301" s="109"/>
      <c r="F1301" s="112"/>
      <c r="G1301" s="109"/>
      <c r="H1301" s="109"/>
      <c r="I1301" s="109"/>
      <c r="J1301" s="109"/>
      <c r="K1301" s="14" t="str">
        <f t="shared" si="256"/>
        <v>运营中</v>
      </c>
      <c r="L1301" s="109"/>
      <c r="M1301" s="109"/>
      <c r="N1301" s="13">
        <v>1</v>
      </c>
      <c r="O1301" s="24">
        <v>40326</v>
      </c>
      <c r="P1301" s="13" t="s">
        <v>5625</v>
      </c>
      <c r="Q1301" s="13" t="s">
        <v>7538</v>
      </c>
      <c r="R1301" s="13" t="s">
        <v>253</v>
      </c>
      <c r="S1301" s="109"/>
      <c r="T1301" s="109"/>
      <c r="U1301" s="112"/>
      <c r="V1301" s="109"/>
      <c r="W1301" s="109"/>
      <c r="X1301" s="109"/>
    </row>
    <row r="1302" spans="2:24">
      <c r="B1302" s="109"/>
      <c r="C1302" s="109" t="s">
        <v>4602</v>
      </c>
      <c r="D1302" s="20" t="s">
        <v>4603</v>
      </c>
      <c r="E1302" s="109" t="s">
        <v>4603</v>
      </c>
      <c r="F1302" s="112" t="s">
        <v>7539</v>
      </c>
      <c r="G1302" s="109"/>
      <c r="H1302" s="109" t="s">
        <v>4605</v>
      </c>
      <c r="I1302" s="109" t="s">
        <v>1016</v>
      </c>
      <c r="J1302" s="109" t="s">
        <v>4606</v>
      </c>
      <c r="K1302" s="14" t="s">
        <v>272</v>
      </c>
      <c r="L1302" s="109" t="s">
        <v>4472</v>
      </c>
      <c r="M1302" s="109" t="s">
        <v>5411</v>
      </c>
      <c r="N1302" s="13">
        <v>1</v>
      </c>
      <c r="O1302" s="24">
        <v>44307</v>
      </c>
      <c r="P1302" s="13" t="s">
        <v>1045</v>
      </c>
      <c r="Q1302" s="13" t="s">
        <v>5945</v>
      </c>
      <c r="R1302" s="13" t="s">
        <v>1751</v>
      </c>
      <c r="S1302" s="109" t="s">
        <v>7540</v>
      </c>
      <c r="T1302" s="109" t="s">
        <v>7541</v>
      </c>
      <c r="U1302" s="112" t="s">
        <v>4609</v>
      </c>
      <c r="V1302" s="109"/>
      <c r="W1302" s="109"/>
      <c r="X1302" s="109"/>
    </row>
    <row r="1303" spans="2:24">
      <c r="B1303" s="109"/>
      <c r="C1303" s="109"/>
      <c r="D1303" s="20" t="str">
        <f>D1302</f>
        <v>Trendyol Group</v>
      </c>
      <c r="E1303" s="109"/>
      <c r="F1303" s="112"/>
      <c r="G1303" s="109"/>
      <c r="H1303" s="109"/>
      <c r="I1303" s="109"/>
      <c r="J1303" s="109"/>
      <c r="K1303" s="14" t="str">
        <f t="shared" ref="K1303:K1307" si="257">K1302</f>
        <v>运营中</v>
      </c>
      <c r="L1303" s="109"/>
      <c r="M1303" s="109"/>
      <c r="N1303" s="13">
        <v>1</v>
      </c>
      <c r="O1303" s="24">
        <v>43327</v>
      </c>
      <c r="P1303" s="13" t="s">
        <v>5709</v>
      </c>
      <c r="Q1303" s="13" t="s">
        <v>6769</v>
      </c>
      <c r="R1303" s="13" t="s">
        <v>1751</v>
      </c>
      <c r="S1303" s="109"/>
      <c r="T1303" s="109"/>
      <c r="U1303" s="112"/>
      <c r="V1303" s="109"/>
      <c r="W1303" s="109"/>
      <c r="X1303" s="109"/>
    </row>
    <row r="1304" spans="2:24">
      <c r="B1304" s="109"/>
      <c r="C1304" s="109"/>
      <c r="D1304" s="20" t="str">
        <f>D1303</f>
        <v>Trendyol Group</v>
      </c>
      <c r="E1304" s="109"/>
      <c r="F1304" s="112"/>
      <c r="G1304" s="109"/>
      <c r="H1304" s="109"/>
      <c r="I1304" s="109"/>
      <c r="J1304" s="109"/>
      <c r="K1304" s="14" t="str">
        <f t="shared" si="257"/>
        <v>运营中</v>
      </c>
      <c r="L1304" s="109"/>
      <c r="M1304" s="109"/>
      <c r="N1304" s="13">
        <v>1</v>
      </c>
      <c r="O1304" s="24">
        <v>43280</v>
      </c>
      <c r="P1304" s="13" t="s">
        <v>1827</v>
      </c>
      <c r="Q1304" s="13" t="s">
        <v>5000</v>
      </c>
      <c r="R1304" s="13" t="s">
        <v>1751</v>
      </c>
      <c r="S1304" s="109"/>
      <c r="T1304" s="109"/>
      <c r="U1304" s="112"/>
      <c r="V1304" s="109"/>
      <c r="W1304" s="109"/>
      <c r="X1304" s="109"/>
    </row>
    <row r="1305" spans="2:24">
      <c r="B1305" s="109"/>
      <c r="C1305" s="109"/>
      <c r="D1305" s="20" t="str">
        <f>D1304</f>
        <v>Trendyol Group</v>
      </c>
      <c r="E1305" s="109"/>
      <c r="F1305" s="112"/>
      <c r="G1305" s="109"/>
      <c r="H1305" s="109"/>
      <c r="I1305" s="109"/>
      <c r="J1305" s="109"/>
      <c r="K1305" s="14" t="str">
        <f t="shared" si="257"/>
        <v>运营中</v>
      </c>
      <c r="L1305" s="109"/>
      <c r="M1305" s="109"/>
      <c r="N1305" s="13">
        <v>1</v>
      </c>
      <c r="O1305" s="24">
        <v>40746</v>
      </c>
      <c r="P1305" s="13" t="s">
        <v>5613</v>
      </c>
      <c r="Q1305" s="13" t="s">
        <v>5947</v>
      </c>
      <c r="R1305" s="13" t="s">
        <v>7542</v>
      </c>
      <c r="S1305" s="109"/>
      <c r="T1305" s="109"/>
      <c r="U1305" s="112"/>
      <c r="V1305" s="109"/>
      <c r="W1305" s="109"/>
      <c r="X1305" s="109"/>
    </row>
    <row r="1306" spans="2:24">
      <c r="B1306" s="109"/>
      <c r="C1306" s="109"/>
      <c r="D1306" s="20" t="str">
        <f>D1305</f>
        <v>Trendyol Group</v>
      </c>
      <c r="E1306" s="109"/>
      <c r="F1306" s="112"/>
      <c r="G1306" s="109"/>
      <c r="H1306" s="109"/>
      <c r="I1306" s="109"/>
      <c r="J1306" s="109"/>
      <c r="K1306" s="14" t="str">
        <f t="shared" si="257"/>
        <v>运营中</v>
      </c>
      <c r="L1306" s="109"/>
      <c r="M1306" s="109"/>
      <c r="N1306" s="13">
        <v>1</v>
      </c>
      <c r="O1306" s="24">
        <v>40507</v>
      </c>
      <c r="P1306" s="13" t="s">
        <v>3648</v>
      </c>
      <c r="Q1306" s="13" t="s">
        <v>7543</v>
      </c>
      <c r="R1306" s="13" t="s">
        <v>7544</v>
      </c>
      <c r="S1306" s="109"/>
      <c r="T1306" s="109"/>
      <c r="U1306" s="112"/>
      <c r="V1306" s="109"/>
      <c r="W1306" s="109"/>
      <c r="X1306" s="109"/>
    </row>
    <row r="1307" spans="2:24">
      <c r="B1307" s="109"/>
      <c r="C1307" s="109"/>
      <c r="D1307" s="20" t="str">
        <f>D1306</f>
        <v>Trendyol Group</v>
      </c>
      <c r="E1307" s="109"/>
      <c r="F1307" s="112"/>
      <c r="G1307" s="109"/>
      <c r="H1307" s="109"/>
      <c r="I1307" s="109"/>
      <c r="J1307" s="109"/>
      <c r="K1307" s="14" t="str">
        <f t="shared" si="257"/>
        <v>运营中</v>
      </c>
      <c r="L1307" s="109"/>
      <c r="M1307" s="109"/>
      <c r="N1307" s="13">
        <v>1</v>
      </c>
      <c r="O1307" s="24">
        <v>40382</v>
      </c>
      <c r="P1307" s="13" t="s">
        <v>3513</v>
      </c>
      <c r="Q1307" s="13" t="s">
        <v>7545</v>
      </c>
      <c r="R1307" s="13" t="s">
        <v>253</v>
      </c>
      <c r="S1307" s="109"/>
      <c r="T1307" s="109"/>
      <c r="U1307" s="112"/>
      <c r="V1307" s="109"/>
      <c r="W1307" s="109"/>
      <c r="X1307" s="109"/>
    </row>
    <row r="1308" spans="2:24">
      <c r="B1308" s="109"/>
      <c r="C1308" s="109" t="s">
        <v>4614</v>
      </c>
      <c r="D1308" s="20" t="s">
        <v>7546</v>
      </c>
      <c r="E1308" s="109" t="s">
        <v>4616</v>
      </c>
      <c r="F1308" s="112" t="s">
        <v>4617</v>
      </c>
      <c r="G1308" s="109" t="s">
        <v>7547</v>
      </c>
      <c r="H1308" s="109"/>
      <c r="I1308" s="109" t="s">
        <v>4424</v>
      </c>
      <c r="J1308" s="109" t="s">
        <v>349</v>
      </c>
      <c r="K1308" s="14" t="s">
        <v>272</v>
      </c>
      <c r="L1308" s="109" t="s">
        <v>4162</v>
      </c>
      <c r="M1308" s="109" t="s">
        <v>5676</v>
      </c>
      <c r="N1308" s="13"/>
      <c r="O1308" s="24">
        <v>43539</v>
      </c>
      <c r="P1308" s="13" t="s">
        <v>4306</v>
      </c>
      <c r="Q1308" s="13" t="s">
        <v>2030</v>
      </c>
      <c r="R1308" s="13" t="s">
        <v>4619</v>
      </c>
      <c r="S1308" s="109" t="s">
        <v>7548</v>
      </c>
      <c r="T1308" s="109" t="s">
        <v>3664</v>
      </c>
      <c r="U1308" s="112" t="s">
        <v>4621</v>
      </c>
      <c r="V1308" s="109" t="s">
        <v>4622</v>
      </c>
      <c r="W1308" s="109"/>
      <c r="X1308" s="109"/>
    </row>
    <row r="1309" spans="2:24">
      <c r="B1309" s="109"/>
      <c r="C1309" s="109"/>
      <c r="D1309" s="20" t="str">
        <f>D1308</f>
        <v>华人文化集团CMC</v>
      </c>
      <c r="E1309" s="109"/>
      <c r="F1309" s="112"/>
      <c r="G1309" s="109"/>
      <c r="H1309" s="109"/>
      <c r="I1309" s="109"/>
      <c r="J1309" s="109"/>
      <c r="K1309" s="14" t="str">
        <f>K1308</f>
        <v>运营中</v>
      </c>
      <c r="L1309" s="109"/>
      <c r="M1309" s="109"/>
      <c r="N1309" s="13"/>
      <c r="O1309" s="24">
        <v>43284</v>
      </c>
      <c r="P1309" s="13" t="s">
        <v>3513</v>
      </c>
      <c r="Q1309" s="13" t="s">
        <v>5219</v>
      </c>
      <c r="R1309" s="13" t="s">
        <v>4623</v>
      </c>
      <c r="S1309" s="109"/>
      <c r="T1309" s="109"/>
      <c r="U1309" s="112"/>
      <c r="V1309" s="109"/>
      <c r="W1309" s="109"/>
      <c r="X1309" s="109"/>
    </row>
    <row r="1310" spans="2:24">
      <c r="B1310" s="109"/>
      <c r="C1310" s="109" t="s">
        <v>4624</v>
      </c>
      <c r="D1310" s="20" t="s">
        <v>4625</v>
      </c>
      <c r="E1310" s="109" t="s">
        <v>4625</v>
      </c>
      <c r="F1310" s="112" t="s">
        <v>7549</v>
      </c>
      <c r="G1310" s="109"/>
      <c r="H1310" s="109" t="s">
        <v>4627</v>
      </c>
      <c r="I1310" s="109" t="s">
        <v>2887</v>
      </c>
      <c r="J1310" s="109" t="s">
        <v>1650</v>
      </c>
      <c r="K1310" s="14" t="s">
        <v>272</v>
      </c>
      <c r="L1310" s="109" t="s">
        <v>3809</v>
      </c>
      <c r="M1310" s="109" t="s">
        <v>7550</v>
      </c>
      <c r="N1310" s="13"/>
      <c r="O1310" s="24">
        <v>44655</v>
      </c>
      <c r="P1310" s="13" t="s">
        <v>1827</v>
      </c>
      <c r="Q1310" s="13" t="s">
        <v>7551</v>
      </c>
      <c r="R1310" s="13" t="s">
        <v>4630</v>
      </c>
      <c r="S1310" s="109" t="s">
        <v>7552</v>
      </c>
      <c r="T1310" s="109" t="s">
        <v>7553</v>
      </c>
      <c r="U1310" s="112" t="s">
        <v>4633</v>
      </c>
      <c r="V1310" s="109"/>
      <c r="W1310" s="109"/>
      <c r="X1310" s="109"/>
    </row>
    <row r="1311" spans="2:24">
      <c r="B1311" s="109"/>
      <c r="C1311" s="109"/>
      <c r="D1311" s="20" t="str">
        <f>D1310</f>
        <v>Moneybox</v>
      </c>
      <c r="E1311" s="109"/>
      <c r="F1311" s="112"/>
      <c r="G1311" s="109"/>
      <c r="H1311" s="109"/>
      <c r="I1311" s="109"/>
      <c r="J1311" s="109"/>
      <c r="K1311" s="14" t="str">
        <f t="shared" ref="K1311:K1314" si="258">K1310</f>
        <v>运营中</v>
      </c>
      <c r="L1311" s="109"/>
      <c r="M1311" s="109"/>
      <c r="N1311" s="13"/>
      <c r="O1311" s="24">
        <v>44029</v>
      </c>
      <c r="P1311" s="13" t="s">
        <v>5613</v>
      </c>
      <c r="Q1311" s="13" t="s">
        <v>7554</v>
      </c>
      <c r="R1311" s="13" t="s">
        <v>4635</v>
      </c>
      <c r="S1311" s="109"/>
      <c r="T1311" s="109"/>
      <c r="U1311" s="112"/>
      <c r="V1311" s="109"/>
      <c r="W1311" s="109"/>
      <c r="X1311" s="109"/>
    </row>
    <row r="1312" spans="2:24">
      <c r="B1312" s="109"/>
      <c r="C1312" s="109"/>
      <c r="D1312" s="20" t="str">
        <f>D1311</f>
        <v>Moneybox</v>
      </c>
      <c r="E1312" s="109"/>
      <c r="F1312" s="112"/>
      <c r="G1312" s="109"/>
      <c r="H1312" s="109"/>
      <c r="I1312" s="109"/>
      <c r="J1312" s="109"/>
      <c r="K1312" s="14" t="str">
        <f t="shared" si="258"/>
        <v>运营中</v>
      </c>
      <c r="L1312" s="109"/>
      <c r="M1312" s="109"/>
      <c r="N1312" s="13"/>
      <c r="O1312" s="24">
        <v>43290</v>
      </c>
      <c r="P1312" s="13" t="s">
        <v>3648</v>
      </c>
      <c r="Q1312" s="13" t="s">
        <v>7555</v>
      </c>
      <c r="R1312" s="13" t="s">
        <v>4637</v>
      </c>
      <c r="S1312" s="109"/>
      <c r="T1312" s="109"/>
      <c r="U1312" s="112"/>
      <c r="V1312" s="109"/>
      <c r="W1312" s="109"/>
      <c r="X1312" s="109"/>
    </row>
    <row r="1313" spans="2:24">
      <c r="B1313" s="109"/>
      <c r="C1313" s="109"/>
      <c r="D1313" s="20" t="str">
        <f>D1312</f>
        <v>Moneybox</v>
      </c>
      <c r="E1313" s="109"/>
      <c r="F1313" s="112"/>
      <c r="G1313" s="109"/>
      <c r="H1313" s="109"/>
      <c r="I1313" s="109"/>
      <c r="J1313" s="109"/>
      <c r="K1313" s="14" t="str">
        <f t="shared" si="258"/>
        <v>运营中</v>
      </c>
      <c r="L1313" s="109"/>
      <c r="M1313" s="109"/>
      <c r="N1313" s="13"/>
      <c r="O1313" s="24">
        <v>42562</v>
      </c>
      <c r="P1313" s="13" t="s">
        <v>3513</v>
      </c>
      <c r="Q1313" s="13" t="s">
        <v>7556</v>
      </c>
      <c r="R1313" s="13" t="s">
        <v>4639</v>
      </c>
      <c r="S1313" s="109"/>
      <c r="T1313" s="109"/>
      <c r="U1313" s="112"/>
      <c r="V1313" s="109"/>
      <c r="W1313" s="109"/>
      <c r="X1313" s="109"/>
    </row>
    <row r="1314" spans="2:24">
      <c r="B1314" s="109"/>
      <c r="C1314" s="109"/>
      <c r="D1314" s="20" t="str">
        <f>D1313</f>
        <v>Moneybox</v>
      </c>
      <c r="E1314" s="109"/>
      <c r="F1314" s="112"/>
      <c r="G1314" s="109"/>
      <c r="H1314" s="109"/>
      <c r="I1314" s="109"/>
      <c r="J1314" s="109"/>
      <c r="K1314" s="14" t="str">
        <f t="shared" si="258"/>
        <v>运营中</v>
      </c>
      <c r="L1314" s="109"/>
      <c r="M1314" s="109"/>
      <c r="N1314" s="13"/>
      <c r="O1314" s="24">
        <v>42382</v>
      </c>
      <c r="P1314" s="13" t="s">
        <v>5474</v>
      </c>
      <c r="Q1314" s="13" t="s">
        <v>5644</v>
      </c>
      <c r="R1314" s="13" t="s">
        <v>4640</v>
      </c>
      <c r="S1314" s="109"/>
      <c r="T1314" s="109"/>
      <c r="U1314" s="112"/>
      <c r="V1314" s="109"/>
      <c r="W1314" s="109"/>
      <c r="X1314" s="109"/>
    </row>
    <row r="1315" spans="2:24" ht="57.5">
      <c r="B1315" s="109"/>
      <c r="C1315" s="13" t="s">
        <v>4641</v>
      </c>
      <c r="D1315" s="25" t="s">
        <v>4642</v>
      </c>
      <c r="E1315" s="13" t="s">
        <v>4642</v>
      </c>
      <c r="F1315" s="18" t="s">
        <v>7557</v>
      </c>
      <c r="G1315" s="13"/>
      <c r="H1315" s="13" t="s">
        <v>4644</v>
      </c>
      <c r="I1315" s="13" t="s">
        <v>3464</v>
      </c>
      <c r="J1315" s="13" t="s">
        <v>4645</v>
      </c>
      <c r="K1315" s="19" t="s">
        <v>272</v>
      </c>
      <c r="L1315" s="13" t="s">
        <v>3661</v>
      </c>
      <c r="M1315" s="13" t="s">
        <v>6438</v>
      </c>
      <c r="N1315" s="13"/>
      <c r="O1315" s="24">
        <v>43291</v>
      </c>
      <c r="P1315" s="13" t="s">
        <v>5474</v>
      </c>
      <c r="Q1315" s="13" t="s">
        <v>5000</v>
      </c>
      <c r="R1315" s="13" t="s">
        <v>1751</v>
      </c>
      <c r="S1315" s="13" t="s">
        <v>7487</v>
      </c>
      <c r="T1315" s="13" t="s">
        <v>3664</v>
      </c>
      <c r="U1315" s="18" t="s">
        <v>4646</v>
      </c>
      <c r="V1315" s="13"/>
      <c r="W1315" s="13"/>
      <c r="X1315" s="13"/>
    </row>
    <row r="1316" spans="2:24">
      <c r="B1316" s="109"/>
      <c r="C1316" s="109" t="s">
        <v>4647</v>
      </c>
      <c r="D1316" s="20" t="s">
        <v>7558</v>
      </c>
      <c r="E1316" s="109" t="s">
        <v>4649</v>
      </c>
      <c r="F1316" s="112" t="s">
        <v>4650</v>
      </c>
      <c r="G1316" s="109" t="s">
        <v>7559</v>
      </c>
      <c r="H1316" s="109"/>
      <c r="I1316" s="109" t="s">
        <v>4333</v>
      </c>
      <c r="J1316" s="109" t="s">
        <v>406</v>
      </c>
      <c r="K1316" s="14" t="s">
        <v>272</v>
      </c>
      <c r="L1316" s="109" t="s">
        <v>3274</v>
      </c>
      <c r="M1316" s="109" t="s">
        <v>4652</v>
      </c>
      <c r="N1316" s="13"/>
      <c r="O1316" s="24">
        <v>44792</v>
      </c>
      <c r="P1316" s="13" t="s">
        <v>1045</v>
      </c>
      <c r="Q1316" s="13" t="s">
        <v>2030</v>
      </c>
      <c r="R1316" s="13" t="s">
        <v>1751</v>
      </c>
      <c r="S1316" s="109" t="s">
        <v>4653</v>
      </c>
      <c r="T1316" s="109" t="s">
        <v>3664</v>
      </c>
      <c r="U1316" s="112" t="s">
        <v>4654</v>
      </c>
      <c r="V1316" s="109" t="s">
        <v>4655</v>
      </c>
      <c r="W1316" s="109"/>
      <c r="X1316" s="109"/>
    </row>
    <row r="1317" spans="2:24">
      <c r="B1317" s="109"/>
      <c r="C1317" s="109"/>
      <c r="D1317" s="20" t="str">
        <f>D1316</f>
        <v>驿栈网络</v>
      </c>
      <c r="E1317" s="109"/>
      <c r="F1317" s="112"/>
      <c r="G1317" s="109"/>
      <c r="H1317" s="109"/>
      <c r="I1317" s="109"/>
      <c r="J1317" s="109"/>
      <c r="K1317" s="14" t="str">
        <f>K1316</f>
        <v>运营中</v>
      </c>
      <c r="L1317" s="109"/>
      <c r="M1317" s="109"/>
      <c r="N1317" s="13"/>
      <c r="O1317" s="24">
        <v>43249</v>
      </c>
      <c r="P1317" s="13" t="s">
        <v>1045</v>
      </c>
      <c r="Q1317" s="13" t="s">
        <v>7560</v>
      </c>
      <c r="R1317" s="13" t="s">
        <v>4657</v>
      </c>
      <c r="S1317" s="109"/>
      <c r="T1317" s="109"/>
      <c r="U1317" s="112"/>
      <c r="V1317" s="109"/>
      <c r="W1317" s="109"/>
      <c r="X1317" s="109"/>
    </row>
    <row r="1318" spans="2:24" ht="48">
      <c r="B1318" s="109"/>
      <c r="C1318" s="13" t="s">
        <v>4658</v>
      </c>
      <c r="D1318" s="25" t="s">
        <v>4659</v>
      </c>
      <c r="E1318" s="13" t="s">
        <v>4659</v>
      </c>
      <c r="F1318" s="18" t="s">
        <v>7561</v>
      </c>
      <c r="G1318" s="13"/>
      <c r="H1318" s="13"/>
      <c r="I1318" s="13" t="s">
        <v>2809</v>
      </c>
      <c r="J1318" s="13" t="s">
        <v>1502</v>
      </c>
      <c r="K1318" s="19" t="s">
        <v>272</v>
      </c>
      <c r="L1318" s="13" t="s">
        <v>1825</v>
      </c>
      <c r="M1318" s="13" t="s">
        <v>7562</v>
      </c>
      <c r="N1318" s="13"/>
      <c r="O1318" s="24">
        <v>43306</v>
      </c>
      <c r="P1318" s="13" t="s">
        <v>5454</v>
      </c>
      <c r="Q1318" s="13" t="s">
        <v>5616</v>
      </c>
      <c r="R1318" s="13" t="s">
        <v>4662</v>
      </c>
      <c r="S1318" s="13" t="s">
        <v>6995</v>
      </c>
      <c r="T1318" s="13" t="s">
        <v>6996</v>
      </c>
      <c r="U1318" s="18"/>
      <c r="V1318" s="13"/>
      <c r="W1318" s="13"/>
      <c r="X1318" s="13"/>
    </row>
    <row r="1319" spans="2:24">
      <c r="B1319" s="109"/>
      <c r="C1319" s="109" t="s">
        <v>4663</v>
      </c>
      <c r="D1319" s="20" t="s">
        <v>7563</v>
      </c>
      <c r="E1319" s="109" t="s">
        <v>7564</v>
      </c>
      <c r="F1319" s="112" t="s">
        <v>7565</v>
      </c>
      <c r="G1319" s="109" t="s">
        <v>7566</v>
      </c>
      <c r="H1319" s="109" t="s">
        <v>4668</v>
      </c>
      <c r="I1319" s="109" t="s">
        <v>576</v>
      </c>
      <c r="J1319" s="109" t="s">
        <v>271</v>
      </c>
      <c r="K1319" s="14" t="s">
        <v>272</v>
      </c>
      <c r="L1319" s="109" t="s">
        <v>2711</v>
      </c>
      <c r="M1319" s="109" t="s">
        <v>4903</v>
      </c>
      <c r="N1319" s="13"/>
      <c r="O1319" s="24">
        <v>43585</v>
      </c>
      <c r="P1319" s="13" t="s">
        <v>5613</v>
      </c>
      <c r="Q1319" s="13" t="s">
        <v>2030</v>
      </c>
      <c r="R1319" s="13" t="s">
        <v>4669</v>
      </c>
      <c r="S1319" s="109" t="s">
        <v>7567</v>
      </c>
      <c r="T1319" s="109" t="s">
        <v>3664</v>
      </c>
      <c r="U1319" s="112" t="s">
        <v>4671</v>
      </c>
      <c r="V1319" s="109" t="s">
        <v>4672</v>
      </c>
      <c r="W1319" s="109" t="s">
        <v>4673</v>
      </c>
      <c r="X1319" s="109" t="s">
        <v>4674</v>
      </c>
    </row>
    <row r="1320" spans="2:24">
      <c r="B1320" s="109"/>
      <c r="C1320" s="109"/>
      <c r="D1320" s="20" t="str">
        <f>D1319</f>
        <v>Bus365中国公路客票网</v>
      </c>
      <c r="E1320" s="109"/>
      <c r="F1320" s="112"/>
      <c r="G1320" s="109"/>
      <c r="H1320" s="109"/>
      <c r="I1320" s="109"/>
      <c r="J1320" s="109"/>
      <c r="K1320" s="14" t="str">
        <f t="shared" ref="K1320:K1322" si="259">K1319</f>
        <v>运营中</v>
      </c>
      <c r="L1320" s="109"/>
      <c r="M1320" s="109"/>
      <c r="N1320" s="13"/>
      <c r="O1320" s="24">
        <v>43325</v>
      </c>
      <c r="P1320" s="13" t="s">
        <v>3648</v>
      </c>
      <c r="Q1320" s="13" t="s">
        <v>1750</v>
      </c>
      <c r="R1320" s="13" t="s">
        <v>4675</v>
      </c>
      <c r="S1320" s="109"/>
      <c r="T1320" s="109"/>
      <c r="U1320" s="112"/>
      <c r="V1320" s="109"/>
      <c r="W1320" s="109"/>
      <c r="X1320" s="109"/>
    </row>
    <row r="1321" spans="2:24">
      <c r="B1321" s="109"/>
      <c r="C1321" s="109"/>
      <c r="D1321" s="20" t="str">
        <f>D1320</f>
        <v>Bus365中国公路客票网</v>
      </c>
      <c r="E1321" s="109"/>
      <c r="F1321" s="112"/>
      <c r="G1321" s="109"/>
      <c r="H1321" s="109"/>
      <c r="I1321" s="109"/>
      <c r="J1321" s="109"/>
      <c r="K1321" s="14" t="str">
        <f t="shared" si="259"/>
        <v>运营中</v>
      </c>
      <c r="L1321" s="109"/>
      <c r="M1321" s="109"/>
      <c r="N1321" s="13"/>
      <c r="O1321" s="24">
        <v>42633</v>
      </c>
      <c r="P1321" s="13" t="s">
        <v>3513</v>
      </c>
      <c r="Q1321" s="13" t="s">
        <v>3514</v>
      </c>
      <c r="R1321" s="13" t="s">
        <v>4676</v>
      </c>
      <c r="S1321" s="109"/>
      <c r="T1321" s="109"/>
      <c r="U1321" s="112"/>
      <c r="V1321" s="109"/>
      <c r="W1321" s="109"/>
      <c r="X1321" s="109"/>
    </row>
    <row r="1322" spans="2:24">
      <c r="B1322" s="109"/>
      <c r="C1322" s="109"/>
      <c r="D1322" s="20" t="str">
        <f>D1321</f>
        <v>Bus365中国公路客票网</v>
      </c>
      <c r="E1322" s="109"/>
      <c r="F1322" s="112"/>
      <c r="G1322" s="109"/>
      <c r="H1322" s="109"/>
      <c r="I1322" s="109"/>
      <c r="J1322" s="109"/>
      <c r="K1322" s="14" t="str">
        <f t="shared" si="259"/>
        <v>运营中</v>
      </c>
      <c r="L1322" s="109"/>
      <c r="M1322" s="109"/>
      <c r="N1322" s="13"/>
      <c r="O1322" s="24">
        <v>41253</v>
      </c>
      <c r="P1322" s="13" t="s">
        <v>5474</v>
      </c>
      <c r="Q1322" s="13" t="s">
        <v>2030</v>
      </c>
      <c r="R1322" s="13" t="s">
        <v>4677</v>
      </c>
      <c r="S1322" s="109"/>
      <c r="T1322" s="109"/>
      <c r="U1322" s="112"/>
      <c r="V1322" s="109"/>
      <c r="W1322" s="109"/>
      <c r="X1322" s="109"/>
    </row>
    <row r="1323" spans="2:24">
      <c r="B1323" s="109"/>
      <c r="C1323" s="109" t="s">
        <v>4678</v>
      </c>
      <c r="D1323" s="20" t="s">
        <v>7568</v>
      </c>
      <c r="E1323" s="109" t="s">
        <v>7569</v>
      </c>
      <c r="F1323" s="112" t="s">
        <v>4680</v>
      </c>
      <c r="G1323" s="109" t="s">
        <v>7570</v>
      </c>
      <c r="H1323" s="109" t="s">
        <v>4682</v>
      </c>
      <c r="I1323" s="109" t="s">
        <v>4683</v>
      </c>
      <c r="J1323" s="109" t="s">
        <v>385</v>
      </c>
      <c r="K1323" s="14" t="s">
        <v>248</v>
      </c>
      <c r="L1323" s="109" t="s">
        <v>4472</v>
      </c>
      <c r="M1323" s="109" t="s">
        <v>5347</v>
      </c>
      <c r="N1323" s="13">
        <v>1</v>
      </c>
      <c r="O1323" s="24">
        <v>44286</v>
      </c>
      <c r="P1323" s="13" t="s">
        <v>1827</v>
      </c>
      <c r="Q1323" s="13" t="s">
        <v>6769</v>
      </c>
      <c r="R1323" s="13" t="s">
        <v>7571</v>
      </c>
      <c r="S1323" s="109" t="s">
        <v>7572</v>
      </c>
      <c r="T1323" s="109" t="s">
        <v>6640</v>
      </c>
      <c r="U1323" s="112" t="s">
        <v>4686</v>
      </c>
      <c r="V1323" s="109" t="s">
        <v>4687</v>
      </c>
      <c r="W1323" s="109" t="s">
        <v>4688</v>
      </c>
      <c r="X1323" s="109" t="s">
        <v>4689</v>
      </c>
    </row>
    <row r="1324" spans="2:24">
      <c r="B1324" s="109"/>
      <c r="C1324" s="109"/>
      <c r="D1324" s="20" t="str">
        <f t="shared" ref="D1324:D1330" si="260">D1323</f>
        <v>十荟团</v>
      </c>
      <c r="E1324" s="109"/>
      <c r="F1324" s="112"/>
      <c r="G1324" s="109"/>
      <c r="H1324" s="109"/>
      <c r="I1324" s="109"/>
      <c r="J1324" s="109"/>
      <c r="K1324" s="14" t="str">
        <f t="shared" ref="K1324:K1330" si="261">K1323</f>
        <v>已关闭</v>
      </c>
      <c r="L1324" s="109"/>
      <c r="M1324" s="109"/>
      <c r="N1324" s="13">
        <v>1</v>
      </c>
      <c r="O1324" s="24">
        <v>44165</v>
      </c>
      <c r="P1324" s="13" t="s">
        <v>2029</v>
      </c>
      <c r="Q1324" s="13" t="s">
        <v>7573</v>
      </c>
      <c r="R1324" s="13" t="s">
        <v>4691</v>
      </c>
      <c r="S1324" s="109"/>
      <c r="T1324" s="109"/>
      <c r="U1324" s="112"/>
      <c r="V1324" s="109"/>
      <c r="W1324" s="109"/>
      <c r="X1324" s="109"/>
    </row>
    <row r="1325" spans="2:24">
      <c r="B1325" s="109"/>
      <c r="C1325" s="109"/>
      <c r="D1325" s="20" t="str">
        <f t="shared" si="260"/>
        <v>十荟团</v>
      </c>
      <c r="E1325" s="109"/>
      <c r="F1325" s="112"/>
      <c r="G1325" s="109"/>
      <c r="H1325" s="109"/>
      <c r="I1325" s="109"/>
      <c r="J1325" s="109"/>
      <c r="K1325" s="14" t="str">
        <f t="shared" si="261"/>
        <v>已关闭</v>
      </c>
      <c r="L1325" s="109"/>
      <c r="M1325" s="109"/>
      <c r="N1325" s="13">
        <v>1</v>
      </c>
      <c r="O1325" s="24">
        <v>44041</v>
      </c>
      <c r="P1325" s="13" t="s">
        <v>2029</v>
      </c>
      <c r="Q1325" s="13" t="s">
        <v>5907</v>
      </c>
      <c r="R1325" s="13" t="s">
        <v>7574</v>
      </c>
      <c r="S1325" s="109"/>
      <c r="T1325" s="109"/>
      <c r="U1325" s="112"/>
      <c r="V1325" s="109"/>
      <c r="W1325" s="109"/>
      <c r="X1325" s="109"/>
    </row>
    <row r="1326" spans="2:24">
      <c r="B1326" s="109"/>
      <c r="C1326" s="109"/>
      <c r="D1326" s="20" t="str">
        <f t="shared" si="260"/>
        <v>十荟团</v>
      </c>
      <c r="E1326" s="109"/>
      <c r="F1326" s="112"/>
      <c r="G1326" s="109"/>
      <c r="H1326" s="109"/>
      <c r="I1326" s="109"/>
      <c r="J1326" s="109"/>
      <c r="K1326" s="14" t="str">
        <f t="shared" si="261"/>
        <v>已关闭</v>
      </c>
      <c r="L1326" s="109"/>
      <c r="M1326" s="109"/>
      <c r="N1326" s="13">
        <v>1</v>
      </c>
      <c r="O1326" s="24">
        <v>43981</v>
      </c>
      <c r="P1326" s="13" t="s">
        <v>5613</v>
      </c>
      <c r="Q1326" s="13" t="s">
        <v>7575</v>
      </c>
      <c r="R1326" s="13" t="s">
        <v>4694</v>
      </c>
      <c r="S1326" s="109"/>
      <c r="T1326" s="109"/>
      <c r="U1326" s="112"/>
      <c r="V1326" s="109"/>
      <c r="W1326" s="109"/>
      <c r="X1326" s="109"/>
    </row>
    <row r="1327" spans="2:24">
      <c r="B1327" s="109"/>
      <c r="C1327" s="109"/>
      <c r="D1327" s="20" t="str">
        <f t="shared" si="260"/>
        <v>十荟团</v>
      </c>
      <c r="E1327" s="109"/>
      <c r="F1327" s="112"/>
      <c r="G1327" s="109"/>
      <c r="H1327" s="109"/>
      <c r="I1327" s="109"/>
      <c r="J1327" s="109"/>
      <c r="K1327" s="14" t="str">
        <f t="shared" si="261"/>
        <v>已关闭</v>
      </c>
      <c r="L1327" s="109"/>
      <c r="M1327" s="109"/>
      <c r="N1327" s="13">
        <v>1</v>
      </c>
      <c r="O1327" s="24">
        <v>43839</v>
      </c>
      <c r="P1327" s="13" t="s">
        <v>3648</v>
      </c>
      <c r="Q1327" s="13" t="s">
        <v>7576</v>
      </c>
      <c r="R1327" s="13" t="s">
        <v>4696</v>
      </c>
      <c r="S1327" s="109"/>
      <c r="T1327" s="109"/>
      <c r="U1327" s="112"/>
      <c r="V1327" s="109"/>
      <c r="W1327" s="109"/>
      <c r="X1327" s="109"/>
    </row>
    <row r="1328" spans="2:24">
      <c r="B1328" s="109"/>
      <c r="C1328" s="109"/>
      <c r="D1328" s="20" t="str">
        <f t="shared" si="260"/>
        <v>十荟团</v>
      </c>
      <c r="E1328" s="109"/>
      <c r="F1328" s="112"/>
      <c r="G1328" s="109"/>
      <c r="H1328" s="109"/>
      <c r="I1328" s="109"/>
      <c r="J1328" s="109"/>
      <c r="K1328" s="14" t="str">
        <f t="shared" si="261"/>
        <v>已关闭</v>
      </c>
      <c r="L1328" s="109"/>
      <c r="M1328" s="109"/>
      <c r="N1328" s="13">
        <v>1</v>
      </c>
      <c r="O1328" s="24">
        <v>43707</v>
      </c>
      <c r="P1328" s="13" t="s">
        <v>5641</v>
      </c>
      <c r="Q1328" s="13" t="s">
        <v>2030</v>
      </c>
      <c r="R1328" s="13" t="s">
        <v>7577</v>
      </c>
      <c r="S1328" s="109"/>
      <c r="T1328" s="109"/>
      <c r="U1328" s="112"/>
      <c r="V1328" s="109"/>
      <c r="W1328" s="109"/>
      <c r="X1328" s="109"/>
    </row>
    <row r="1329" spans="2:24">
      <c r="B1329" s="109"/>
      <c r="C1329" s="109"/>
      <c r="D1329" s="20" t="str">
        <f t="shared" si="260"/>
        <v>十荟团</v>
      </c>
      <c r="E1329" s="109"/>
      <c r="F1329" s="112"/>
      <c r="G1329" s="109"/>
      <c r="H1329" s="109"/>
      <c r="I1329" s="109"/>
      <c r="J1329" s="109"/>
      <c r="K1329" s="14" t="str">
        <f t="shared" si="261"/>
        <v>已关闭</v>
      </c>
      <c r="L1329" s="109"/>
      <c r="M1329" s="109"/>
      <c r="N1329" s="13">
        <v>1</v>
      </c>
      <c r="O1329" s="24">
        <v>43614</v>
      </c>
      <c r="P1329" s="13" t="s">
        <v>3513</v>
      </c>
      <c r="Q1329" s="13" t="s">
        <v>5129</v>
      </c>
      <c r="R1329" s="13" t="s">
        <v>1751</v>
      </c>
      <c r="S1329" s="109"/>
      <c r="T1329" s="109"/>
      <c r="U1329" s="112"/>
      <c r="V1329" s="109"/>
      <c r="W1329" s="109"/>
      <c r="X1329" s="109"/>
    </row>
    <row r="1330" spans="2:24">
      <c r="B1330" s="109"/>
      <c r="C1330" s="109"/>
      <c r="D1330" s="20" t="str">
        <f t="shared" si="260"/>
        <v>十荟团</v>
      </c>
      <c r="E1330" s="109"/>
      <c r="F1330" s="112"/>
      <c r="G1330" s="109"/>
      <c r="H1330" s="109"/>
      <c r="I1330" s="109"/>
      <c r="J1330" s="109"/>
      <c r="K1330" s="14" t="str">
        <f t="shared" si="261"/>
        <v>已关闭</v>
      </c>
      <c r="L1330" s="109"/>
      <c r="M1330" s="109"/>
      <c r="N1330" s="13">
        <v>1</v>
      </c>
      <c r="O1330" s="24">
        <v>43333</v>
      </c>
      <c r="P1330" s="13" t="s">
        <v>5474</v>
      </c>
      <c r="Q1330" s="13" t="s">
        <v>5427</v>
      </c>
      <c r="R1330" s="13" t="s">
        <v>4698</v>
      </c>
      <c r="S1330" s="109"/>
      <c r="T1330" s="109"/>
      <c r="U1330" s="112"/>
      <c r="V1330" s="109"/>
      <c r="W1330" s="109"/>
      <c r="X1330" s="109"/>
    </row>
    <row r="1331" spans="2:24">
      <c r="B1331" s="109"/>
      <c r="C1331" s="109" t="s">
        <v>4699</v>
      </c>
      <c r="D1331" s="20" t="s">
        <v>7578</v>
      </c>
      <c r="E1331" s="109" t="s">
        <v>7579</v>
      </c>
      <c r="F1331" s="112" t="s">
        <v>4701</v>
      </c>
      <c r="G1331" s="109" t="s">
        <v>7580</v>
      </c>
      <c r="H1331" s="109" t="s">
        <v>4703</v>
      </c>
      <c r="I1331" s="109" t="s">
        <v>4704</v>
      </c>
      <c r="J1331" s="109" t="s">
        <v>1502</v>
      </c>
      <c r="K1331" s="14" t="s">
        <v>272</v>
      </c>
      <c r="L1331" s="109" t="s">
        <v>1043</v>
      </c>
      <c r="M1331" s="109" t="s">
        <v>1990</v>
      </c>
      <c r="N1331" s="13">
        <v>1</v>
      </c>
      <c r="O1331" s="24">
        <v>44123</v>
      </c>
      <c r="P1331" s="13" t="s">
        <v>5709</v>
      </c>
      <c r="Q1331" s="13" t="s">
        <v>7581</v>
      </c>
      <c r="R1331" s="13" t="s">
        <v>1751</v>
      </c>
      <c r="S1331" s="109" t="s">
        <v>7582</v>
      </c>
      <c r="T1331" s="109" t="s">
        <v>7583</v>
      </c>
      <c r="U1331" s="112" t="s">
        <v>4708</v>
      </c>
      <c r="V1331" s="109" t="s">
        <v>4709</v>
      </c>
      <c r="W1331" s="109" t="s">
        <v>4710</v>
      </c>
      <c r="X1331" s="109" t="s">
        <v>4711</v>
      </c>
    </row>
    <row r="1332" spans="2:24">
      <c r="B1332" s="109"/>
      <c r="C1332" s="109"/>
      <c r="D1332" s="20" t="str">
        <f>D1331</f>
        <v>高鑫零售</v>
      </c>
      <c r="E1332" s="109"/>
      <c r="F1332" s="112"/>
      <c r="G1332" s="109"/>
      <c r="H1332" s="109"/>
      <c r="I1332" s="109"/>
      <c r="J1332" s="109"/>
      <c r="K1332" s="14" t="str">
        <f t="shared" ref="K1332:K1333" si="262">K1331</f>
        <v>运营中</v>
      </c>
      <c r="L1332" s="109"/>
      <c r="M1332" s="109"/>
      <c r="N1332" s="13">
        <v>1</v>
      </c>
      <c r="O1332" s="24">
        <v>43059</v>
      </c>
      <c r="P1332" s="13" t="s">
        <v>5810</v>
      </c>
      <c r="Q1332" s="13" t="s">
        <v>7584</v>
      </c>
      <c r="R1332" s="13" t="s">
        <v>1751</v>
      </c>
      <c r="S1332" s="109"/>
      <c r="T1332" s="109"/>
      <c r="U1332" s="112"/>
      <c r="V1332" s="109"/>
      <c r="W1332" s="109"/>
      <c r="X1332" s="109"/>
    </row>
    <row r="1333" spans="2:24">
      <c r="B1333" s="109"/>
      <c r="C1333" s="109"/>
      <c r="D1333" s="20" t="str">
        <f>D1332</f>
        <v>高鑫零售</v>
      </c>
      <c r="E1333" s="109"/>
      <c r="F1333" s="112"/>
      <c r="G1333" s="109"/>
      <c r="H1333" s="109"/>
      <c r="I1333" s="109"/>
      <c r="J1333" s="109"/>
      <c r="K1333" s="14" t="str">
        <f t="shared" si="262"/>
        <v>运营中</v>
      </c>
      <c r="L1333" s="109"/>
      <c r="M1333" s="109"/>
      <c r="N1333" s="13">
        <v>1</v>
      </c>
      <c r="O1333" s="24">
        <v>40751</v>
      </c>
      <c r="P1333" s="13" t="s">
        <v>5625</v>
      </c>
      <c r="Q1333" s="13" t="s">
        <v>7585</v>
      </c>
      <c r="R1333" s="13" t="s">
        <v>253</v>
      </c>
      <c r="S1333" s="109"/>
      <c r="T1333" s="109"/>
      <c r="U1333" s="112"/>
      <c r="V1333" s="109"/>
      <c r="W1333" s="109"/>
      <c r="X1333" s="109"/>
    </row>
    <row r="1334" spans="2:24" ht="48">
      <c r="B1334" s="109"/>
      <c r="C1334" s="13" t="s">
        <v>4714</v>
      </c>
      <c r="D1334" s="25" t="s">
        <v>7586</v>
      </c>
      <c r="E1334" s="13" t="s">
        <v>7587</v>
      </c>
      <c r="F1334" s="18" t="s">
        <v>4716</v>
      </c>
      <c r="G1334" s="13"/>
      <c r="H1334" s="13"/>
      <c r="I1334" s="13" t="s">
        <v>4717</v>
      </c>
      <c r="J1334" s="13" t="s">
        <v>406</v>
      </c>
      <c r="K1334" s="19" t="s">
        <v>272</v>
      </c>
      <c r="L1334" s="13" t="s">
        <v>1043</v>
      </c>
      <c r="M1334" s="13" t="s">
        <v>1990</v>
      </c>
      <c r="N1334" s="13"/>
      <c r="O1334" s="24">
        <v>43496</v>
      </c>
      <c r="P1334" s="13" t="s">
        <v>1045</v>
      </c>
      <c r="Q1334" s="13" t="s">
        <v>7588</v>
      </c>
      <c r="R1334" s="13" t="s">
        <v>4719</v>
      </c>
      <c r="S1334" s="13" t="s">
        <v>7589</v>
      </c>
      <c r="T1334" s="13" t="s">
        <v>7590</v>
      </c>
      <c r="U1334" s="18" t="s">
        <v>4722</v>
      </c>
      <c r="V1334" s="13" t="s">
        <v>7591</v>
      </c>
      <c r="W1334" s="13"/>
      <c r="X1334" s="13"/>
    </row>
    <row r="1335" spans="2:24">
      <c r="B1335" s="109"/>
      <c r="C1335" s="109" t="s">
        <v>4724</v>
      </c>
      <c r="D1335" s="20" t="s">
        <v>7592</v>
      </c>
      <c r="E1335" s="109" t="s">
        <v>4726</v>
      </c>
      <c r="F1335" s="112" t="s">
        <v>4727</v>
      </c>
      <c r="G1335" s="109" t="s">
        <v>7593</v>
      </c>
      <c r="H1335" s="109" t="s">
        <v>4729</v>
      </c>
      <c r="I1335" s="109" t="s">
        <v>4730</v>
      </c>
      <c r="J1335" s="109" t="s">
        <v>385</v>
      </c>
      <c r="K1335" s="14" t="s">
        <v>272</v>
      </c>
      <c r="L1335" s="109" t="s">
        <v>4472</v>
      </c>
      <c r="M1335" s="109" t="s">
        <v>4731</v>
      </c>
      <c r="N1335" s="13"/>
      <c r="O1335" s="24">
        <v>44542</v>
      </c>
      <c r="P1335" s="13" t="s">
        <v>3648</v>
      </c>
      <c r="Q1335" s="13" t="s">
        <v>4732</v>
      </c>
      <c r="R1335" s="13" t="s">
        <v>4733</v>
      </c>
      <c r="S1335" s="109" t="s">
        <v>4734</v>
      </c>
      <c r="T1335" s="109" t="s">
        <v>4735</v>
      </c>
      <c r="U1335" s="112" t="s">
        <v>4736</v>
      </c>
      <c r="V1335" s="109" t="s">
        <v>4737</v>
      </c>
      <c r="W1335" s="109" t="s">
        <v>4738</v>
      </c>
      <c r="X1335" s="109" t="s">
        <v>4739</v>
      </c>
    </row>
    <row r="1336" spans="2:24">
      <c r="B1336" s="109"/>
      <c r="C1336" s="109"/>
      <c r="D1336" s="20" t="str">
        <f>D1335</f>
        <v>T11生鲜超市</v>
      </c>
      <c r="E1336" s="109"/>
      <c r="F1336" s="112"/>
      <c r="G1336" s="109"/>
      <c r="H1336" s="109"/>
      <c r="I1336" s="109"/>
      <c r="J1336" s="109"/>
      <c r="K1336" s="14" t="str">
        <f t="shared" ref="K1336:K1337" si="263">K1335</f>
        <v>运营中</v>
      </c>
      <c r="L1336" s="109"/>
      <c r="M1336" s="109"/>
      <c r="N1336" s="13"/>
      <c r="O1336" s="24">
        <v>43948</v>
      </c>
      <c r="P1336" s="13" t="s">
        <v>3513</v>
      </c>
      <c r="Q1336" s="13" t="s">
        <v>5129</v>
      </c>
      <c r="R1336" s="13" t="s">
        <v>7594</v>
      </c>
      <c r="S1336" s="109"/>
      <c r="T1336" s="109"/>
      <c r="U1336" s="112"/>
      <c r="V1336" s="109"/>
      <c r="W1336" s="109"/>
      <c r="X1336" s="109"/>
    </row>
    <row r="1337" spans="2:24">
      <c r="B1337" s="109"/>
      <c r="C1337" s="109"/>
      <c r="D1337" s="20" t="str">
        <f>D1336</f>
        <v>T11生鲜超市</v>
      </c>
      <c r="E1337" s="109"/>
      <c r="F1337" s="112"/>
      <c r="G1337" s="109"/>
      <c r="H1337" s="109"/>
      <c r="I1337" s="109"/>
      <c r="J1337" s="109"/>
      <c r="K1337" s="14" t="str">
        <f t="shared" si="263"/>
        <v>运营中</v>
      </c>
      <c r="L1337" s="109"/>
      <c r="M1337" s="109"/>
      <c r="N1337" s="13"/>
      <c r="O1337" s="24">
        <v>43619</v>
      </c>
      <c r="P1337" s="13" t="s">
        <v>5474</v>
      </c>
      <c r="Q1337" s="13" t="s">
        <v>1750</v>
      </c>
      <c r="R1337" s="13" t="s">
        <v>7595</v>
      </c>
      <c r="S1337" s="109"/>
      <c r="T1337" s="109"/>
      <c r="U1337" s="112"/>
      <c r="V1337" s="109"/>
      <c r="W1337" s="109"/>
      <c r="X1337" s="109"/>
    </row>
    <row r="1338" spans="2:24">
      <c r="B1338" s="109"/>
      <c r="C1338" s="109" t="s">
        <v>4742</v>
      </c>
      <c r="D1338" s="20" t="s">
        <v>7596</v>
      </c>
      <c r="E1338" s="109" t="s">
        <v>7597</v>
      </c>
      <c r="F1338" s="112" t="s">
        <v>7598</v>
      </c>
      <c r="G1338" s="109" t="s">
        <v>7599</v>
      </c>
      <c r="H1338" s="109" t="s">
        <v>4746</v>
      </c>
      <c r="I1338" s="109" t="s">
        <v>4747</v>
      </c>
      <c r="J1338" s="109" t="s">
        <v>1215</v>
      </c>
      <c r="K1338" s="14" t="s">
        <v>272</v>
      </c>
      <c r="L1338" s="109" t="s">
        <v>2711</v>
      </c>
      <c r="M1338" s="109" t="s">
        <v>4903</v>
      </c>
      <c r="N1338" s="13"/>
      <c r="O1338" s="24">
        <v>44788</v>
      </c>
      <c r="P1338" s="13" t="s">
        <v>3648</v>
      </c>
      <c r="Q1338" s="13" t="s">
        <v>6039</v>
      </c>
      <c r="R1338" s="13" t="s">
        <v>7600</v>
      </c>
      <c r="S1338" s="109" t="s">
        <v>7601</v>
      </c>
      <c r="T1338" s="109" t="s">
        <v>4735</v>
      </c>
      <c r="U1338" s="112" t="s">
        <v>4750</v>
      </c>
      <c r="V1338" s="109" t="s">
        <v>4751</v>
      </c>
      <c r="W1338" s="109" t="s">
        <v>4752</v>
      </c>
      <c r="X1338" s="109" t="s">
        <v>4753</v>
      </c>
    </row>
    <row r="1339" spans="2:24">
      <c r="B1339" s="109"/>
      <c r="C1339" s="109"/>
      <c r="D1339" s="20" t="str">
        <f>D1338</f>
        <v>享道出行</v>
      </c>
      <c r="E1339" s="109"/>
      <c r="F1339" s="112"/>
      <c r="G1339" s="109"/>
      <c r="H1339" s="109"/>
      <c r="I1339" s="109"/>
      <c r="J1339" s="109"/>
      <c r="K1339" s="14" t="str">
        <f t="shared" ref="K1339:K1340" si="264">K1338</f>
        <v>运营中</v>
      </c>
      <c r="L1339" s="109"/>
      <c r="M1339" s="109"/>
      <c r="N1339" s="13"/>
      <c r="O1339" s="24">
        <v>44180</v>
      </c>
      <c r="P1339" s="13" t="s">
        <v>3513</v>
      </c>
      <c r="Q1339" s="13" t="s">
        <v>4754</v>
      </c>
      <c r="R1339" s="13" t="s">
        <v>4755</v>
      </c>
      <c r="S1339" s="109"/>
      <c r="T1339" s="109"/>
      <c r="U1339" s="112"/>
      <c r="V1339" s="109"/>
      <c r="W1339" s="109"/>
      <c r="X1339" s="109"/>
    </row>
    <row r="1340" spans="2:24">
      <c r="B1340" s="109"/>
      <c r="C1340" s="109"/>
      <c r="D1340" s="20" t="str">
        <f>D1339</f>
        <v>享道出行</v>
      </c>
      <c r="E1340" s="109"/>
      <c r="F1340" s="112"/>
      <c r="G1340" s="109"/>
      <c r="H1340" s="109"/>
      <c r="I1340" s="109"/>
      <c r="J1340" s="109"/>
      <c r="K1340" s="14" t="str">
        <f t="shared" si="264"/>
        <v>运营中</v>
      </c>
      <c r="L1340" s="109"/>
      <c r="M1340" s="109"/>
      <c r="N1340" s="13"/>
      <c r="O1340" s="24">
        <v>43647</v>
      </c>
      <c r="P1340" s="13" t="s">
        <v>5474</v>
      </c>
      <c r="Q1340" s="13" t="s">
        <v>3514</v>
      </c>
      <c r="R1340" s="13" t="s">
        <v>7602</v>
      </c>
      <c r="S1340" s="109"/>
      <c r="T1340" s="109"/>
      <c r="U1340" s="112"/>
      <c r="V1340" s="109"/>
      <c r="W1340" s="109"/>
      <c r="X1340" s="109"/>
    </row>
    <row r="1341" spans="2:24" ht="60">
      <c r="B1341" s="109"/>
      <c r="C1341" s="13" t="s">
        <v>4757</v>
      </c>
      <c r="D1341" s="25" t="s">
        <v>7603</v>
      </c>
      <c r="E1341" s="13" t="s">
        <v>7604</v>
      </c>
      <c r="F1341" s="18" t="s">
        <v>4759</v>
      </c>
      <c r="G1341" s="13" t="s">
        <v>7605</v>
      </c>
      <c r="H1341" s="13" t="s">
        <v>4761</v>
      </c>
      <c r="I1341" s="13" t="s">
        <v>4762</v>
      </c>
      <c r="J1341" s="13" t="s">
        <v>349</v>
      </c>
      <c r="K1341" s="19" t="s">
        <v>272</v>
      </c>
      <c r="L1341" s="13" t="s">
        <v>4472</v>
      </c>
      <c r="M1341" s="13" t="s">
        <v>5225</v>
      </c>
      <c r="N1341" s="13"/>
      <c r="O1341" s="24">
        <v>43413</v>
      </c>
      <c r="P1341" s="13" t="s">
        <v>1045</v>
      </c>
      <c r="Q1341" s="13" t="s">
        <v>5847</v>
      </c>
      <c r="R1341" s="13" t="s">
        <v>1751</v>
      </c>
      <c r="S1341" s="13" t="s">
        <v>7606</v>
      </c>
      <c r="T1341" s="13" t="s">
        <v>7607</v>
      </c>
      <c r="U1341" s="18" t="s">
        <v>4765</v>
      </c>
      <c r="V1341" s="13" t="s">
        <v>4766</v>
      </c>
      <c r="W1341" s="13"/>
      <c r="X1341" s="13"/>
    </row>
    <row r="1342" spans="2:24" ht="60">
      <c r="B1342" s="109"/>
      <c r="C1342" s="13" t="s">
        <v>4767</v>
      </c>
      <c r="D1342" s="25" t="s">
        <v>7608</v>
      </c>
      <c r="E1342" s="13" t="s">
        <v>7609</v>
      </c>
      <c r="F1342" s="18" t="s">
        <v>4769</v>
      </c>
      <c r="G1342" s="13" t="s">
        <v>7610</v>
      </c>
      <c r="H1342" s="13"/>
      <c r="I1342" s="13" t="s">
        <v>4771</v>
      </c>
      <c r="J1342" s="13" t="s">
        <v>406</v>
      </c>
      <c r="K1342" s="19" t="s">
        <v>272</v>
      </c>
      <c r="L1342" s="13" t="s">
        <v>5651</v>
      </c>
      <c r="M1342" s="13" t="s">
        <v>6594</v>
      </c>
      <c r="N1342" s="13">
        <v>1</v>
      </c>
      <c r="O1342" s="24">
        <v>38574</v>
      </c>
      <c r="P1342" s="13" t="s">
        <v>5709</v>
      </c>
      <c r="Q1342" s="13" t="s">
        <v>2030</v>
      </c>
      <c r="R1342" s="13" t="s">
        <v>1751</v>
      </c>
      <c r="S1342" s="13" t="s">
        <v>253</v>
      </c>
      <c r="T1342" s="13" t="s">
        <v>3664</v>
      </c>
      <c r="U1342" s="18"/>
      <c r="V1342" s="13" t="s">
        <v>4772</v>
      </c>
      <c r="W1342" s="13"/>
      <c r="X1342" s="13"/>
    </row>
    <row r="1343" spans="2:24">
      <c r="B1343" s="109"/>
      <c r="C1343" s="109" t="s">
        <v>2170</v>
      </c>
      <c r="D1343" s="20" t="s">
        <v>7611</v>
      </c>
      <c r="E1343" s="109" t="s">
        <v>7612</v>
      </c>
      <c r="F1343" s="112" t="s">
        <v>7613</v>
      </c>
      <c r="G1343" s="109" t="s">
        <v>7614</v>
      </c>
      <c r="H1343" s="109" t="s">
        <v>4776</v>
      </c>
      <c r="I1343" s="109" t="s">
        <v>4777</v>
      </c>
      <c r="J1343" s="109" t="s">
        <v>1858</v>
      </c>
      <c r="K1343" s="14" t="s">
        <v>272</v>
      </c>
      <c r="L1343" s="109" t="s">
        <v>1825</v>
      </c>
      <c r="M1343" s="109" t="s">
        <v>7562</v>
      </c>
      <c r="N1343" s="13"/>
      <c r="O1343" s="24">
        <v>44560</v>
      </c>
      <c r="P1343" s="13" t="s">
        <v>3513</v>
      </c>
      <c r="Q1343" s="13" t="s">
        <v>1750</v>
      </c>
      <c r="R1343" s="13" t="s">
        <v>4778</v>
      </c>
      <c r="S1343" s="109" t="s">
        <v>7348</v>
      </c>
      <c r="T1343" s="109" t="s">
        <v>1829</v>
      </c>
      <c r="U1343" s="112" t="s">
        <v>4779</v>
      </c>
      <c r="V1343" s="109" t="s">
        <v>4780</v>
      </c>
      <c r="W1343" s="109"/>
      <c r="X1343" s="109"/>
    </row>
    <row r="1344" spans="2:24">
      <c r="B1344" s="109"/>
      <c r="C1344" s="109"/>
      <c r="D1344" s="20" t="str">
        <f>D1343</f>
        <v>云粒智慧</v>
      </c>
      <c r="E1344" s="109"/>
      <c r="F1344" s="112"/>
      <c r="G1344" s="109"/>
      <c r="H1344" s="109"/>
      <c r="I1344" s="109"/>
      <c r="J1344" s="109"/>
      <c r="K1344" s="14" t="str">
        <f>K1343</f>
        <v>运营中</v>
      </c>
      <c r="L1344" s="109"/>
      <c r="M1344" s="109"/>
      <c r="N1344" s="13"/>
      <c r="O1344" s="24">
        <v>43280</v>
      </c>
      <c r="P1344" s="13" t="s">
        <v>1045</v>
      </c>
      <c r="Q1344" s="13" t="s">
        <v>2030</v>
      </c>
      <c r="R1344" s="13" t="s">
        <v>1751</v>
      </c>
      <c r="S1344" s="109"/>
      <c r="T1344" s="109"/>
      <c r="U1344" s="112"/>
      <c r="V1344" s="109"/>
      <c r="W1344" s="109"/>
      <c r="X1344" s="109"/>
    </row>
    <row r="1345" spans="2:24" ht="24">
      <c r="B1345" s="109"/>
      <c r="C1345" s="13" t="s">
        <v>4781</v>
      </c>
      <c r="D1345" s="25" t="s">
        <v>4782</v>
      </c>
      <c r="E1345" s="13" t="s">
        <v>4782</v>
      </c>
      <c r="F1345" s="18" t="s">
        <v>7615</v>
      </c>
      <c r="G1345" s="13"/>
      <c r="H1345" s="13" t="s">
        <v>4784</v>
      </c>
      <c r="I1345" s="13" t="s">
        <v>3970</v>
      </c>
      <c r="J1345" s="13" t="s">
        <v>1502</v>
      </c>
      <c r="K1345" s="19" t="s">
        <v>272</v>
      </c>
      <c r="L1345" s="13" t="s">
        <v>3274</v>
      </c>
      <c r="M1345" s="13" t="s">
        <v>6862</v>
      </c>
      <c r="N1345" s="13"/>
      <c r="O1345" s="24">
        <v>43461</v>
      </c>
      <c r="P1345" s="13" t="s">
        <v>5454</v>
      </c>
      <c r="Q1345" s="13" t="s">
        <v>2030</v>
      </c>
      <c r="R1345" s="13" t="s">
        <v>4785</v>
      </c>
      <c r="S1345" s="13" t="s">
        <v>5456</v>
      </c>
      <c r="T1345" s="13" t="s">
        <v>3664</v>
      </c>
      <c r="U1345" s="18" t="s">
        <v>7616</v>
      </c>
      <c r="V1345" s="13"/>
      <c r="W1345" s="13"/>
      <c r="X1345" s="13" t="s">
        <v>4787</v>
      </c>
    </row>
    <row r="1346" spans="2:24" ht="36">
      <c r="B1346" s="109"/>
      <c r="C1346" s="13" t="s">
        <v>4788</v>
      </c>
      <c r="D1346" s="25" t="s">
        <v>7617</v>
      </c>
      <c r="E1346" s="13" t="s">
        <v>7618</v>
      </c>
      <c r="F1346" s="18" t="s">
        <v>7619</v>
      </c>
      <c r="G1346" s="13" t="s">
        <v>7620</v>
      </c>
      <c r="H1346" s="13"/>
      <c r="I1346" s="13" t="s">
        <v>4792</v>
      </c>
      <c r="J1346" s="13" t="s">
        <v>1215</v>
      </c>
      <c r="K1346" s="19" t="s">
        <v>272</v>
      </c>
      <c r="L1346" s="13" t="s">
        <v>4472</v>
      </c>
      <c r="M1346" s="13" t="s">
        <v>5225</v>
      </c>
      <c r="N1346" s="13"/>
      <c r="O1346" s="24">
        <v>43432</v>
      </c>
      <c r="P1346" s="13" t="s">
        <v>1045</v>
      </c>
      <c r="Q1346" s="13" t="s">
        <v>6842</v>
      </c>
      <c r="R1346" s="13" t="s">
        <v>1751</v>
      </c>
      <c r="S1346" s="13" t="s">
        <v>7621</v>
      </c>
      <c r="T1346" s="13" t="s">
        <v>5765</v>
      </c>
      <c r="U1346" s="18" t="s">
        <v>4794</v>
      </c>
      <c r="V1346" s="13" t="s">
        <v>4795</v>
      </c>
      <c r="W1346" s="13"/>
      <c r="X1346" s="13"/>
    </row>
    <row r="1347" spans="2:24">
      <c r="B1347" s="109"/>
      <c r="C1347" s="109" t="s">
        <v>4796</v>
      </c>
      <c r="D1347" s="20" t="s">
        <v>7622</v>
      </c>
      <c r="E1347" s="109" t="s">
        <v>7623</v>
      </c>
      <c r="F1347" s="112" t="s">
        <v>4798</v>
      </c>
      <c r="G1347" s="109" t="s">
        <v>7624</v>
      </c>
      <c r="H1347" s="109"/>
      <c r="I1347" s="109" t="s">
        <v>4747</v>
      </c>
      <c r="J1347" s="109" t="s">
        <v>3382</v>
      </c>
      <c r="K1347" s="14" t="s">
        <v>272</v>
      </c>
      <c r="L1347" s="109" t="s">
        <v>4162</v>
      </c>
      <c r="M1347" s="109" t="s">
        <v>7517</v>
      </c>
      <c r="N1347" s="13"/>
      <c r="O1347" s="24">
        <v>43340</v>
      </c>
      <c r="P1347" s="13" t="s">
        <v>3513</v>
      </c>
      <c r="Q1347" s="13" t="s">
        <v>3514</v>
      </c>
      <c r="R1347" s="13" t="s">
        <v>1751</v>
      </c>
      <c r="S1347" s="109" t="s">
        <v>4884</v>
      </c>
      <c r="T1347" s="109" t="s">
        <v>5273</v>
      </c>
      <c r="U1347" s="112" t="s">
        <v>4800</v>
      </c>
      <c r="V1347" s="109" t="s">
        <v>4801</v>
      </c>
      <c r="W1347" s="109"/>
      <c r="X1347" s="109"/>
    </row>
    <row r="1348" spans="2:24">
      <c r="B1348" s="109"/>
      <c r="C1348" s="109"/>
      <c r="D1348" s="20" t="str">
        <f>D1347</f>
        <v>呦吼互娱</v>
      </c>
      <c r="E1348" s="109"/>
      <c r="F1348" s="112"/>
      <c r="G1348" s="109"/>
      <c r="H1348" s="109"/>
      <c r="I1348" s="109"/>
      <c r="J1348" s="109"/>
      <c r="K1348" s="14" t="str">
        <f>K1347</f>
        <v>运营中</v>
      </c>
      <c r="L1348" s="109"/>
      <c r="M1348" s="109"/>
      <c r="N1348" s="13"/>
      <c r="O1348" s="24">
        <v>43263</v>
      </c>
      <c r="P1348" s="13" t="s">
        <v>5474</v>
      </c>
      <c r="Q1348" s="13" t="s">
        <v>3514</v>
      </c>
      <c r="R1348" s="13" t="s">
        <v>4802</v>
      </c>
      <c r="S1348" s="109"/>
      <c r="T1348" s="109"/>
      <c r="U1348" s="112"/>
      <c r="V1348" s="109"/>
      <c r="W1348" s="109"/>
      <c r="X1348" s="109"/>
    </row>
    <row r="1349" spans="2:24">
      <c r="B1349" s="109"/>
      <c r="C1349" s="109" t="s">
        <v>4803</v>
      </c>
      <c r="D1349" s="20" t="s">
        <v>4804</v>
      </c>
      <c r="E1349" s="109" t="s">
        <v>4804</v>
      </c>
      <c r="F1349" s="112" t="s">
        <v>7625</v>
      </c>
      <c r="G1349" s="109"/>
      <c r="H1349" s="109" t="s">
        <v>4806</v>
      </c>
      <c r="I1349" s="109" t="s">
        <v>1944</v>
      </c>
      <c r="J1349" s="109" t="s">
        <v>2992</v>
      </c>
      <c r="K1349" s="14" t="s">
        <v>272</v>
      </c>
      <c r="L1349" s="109" t="s">
        <v>1825</v>
      </c>
      <c r="M1349" s="109" t="s">
        <v>5686</v>
      </c>
      <c r="N1349" s="13">
        <v>1</v>
      </c>
      <c r="O1349" s="24">
        <v>43473</v>
      </c>
      <c r="P1349" s="13" t="s">
        <v>5709</v>
      </c>
      <c r="Q1349" s="13" t="s">
        <v>7626</v>
      </c>
      <c r="R1349" s="13" t="s">
        <v>1751</v>
      </c>
      <c r="S1349" s="109" t="s">
        <v>7627</v>
      </c>
      <c r="T1349" s="109" t="s">
        <v>7628</v>
      </c>
      <c r="U1349" s="112" t="s">
        <v>4810</v>
      </c>
      <c r="V1349" s="109"/>
      <c r="W1349" s="109"/>
      <c r="X1349" s="109"/>
    </row>
    <row r="1350" spans="2:24">
      <c r="B1350" s="109"/>
      <c r="C1350" s="109"/>
      <c r="D1350" s="20" t="str">
        <f>D1349</f>
        <v>DataArtisans</v>
      </c>
      <c r="E1350" s="109"/>
      <c r="F1350" s="112"/>
      <c r="G1350" s="109"/>
      <c r="H1350" s="109"/>
      <c r="I1350" s="109"/>
      <c r="J1350" s="109"/>
      <c r="K1350" s="14" t="str">
        <f t="shared" ref="K1350:K1351" si="265">K1349</f>
        <v>运营中</v>
      </c>
      <c r="L1350" s="109"/>
      <c r="M1350" s="109"/>
      <c r="N1350" s="13">
        <v>1</v>
      </c>
      <c r="O1350" s="24">
        <v>42459</v>
      </c>
      <c r="P1350" s="13" t="s">
        <v>3513</v>
      </c>
      <c r="Q1350" s="13" t="s">
        <v>7629</v>
      </c>
      <c r="R1350" s="13" t="s">
        <v>3630</v>
      </c>
      <c r="S1350" s="109"/>
      <c r="T1350" s="109"/>
      <c r="U1350" s="112"/>
      <c r="V1350" s="109"/>
      <c r="W1350" s="109"/>
      <c r="X1350" s="109"/>
    </row>
    <row r="1351" spans="2:24">
      <c r="B1351" s="109"/>
      <c r="C1351" s="109"/>
      <c r="D1351" s="20" t="str">
        <f>D1350</f>
        <v>DataArtisans</v>
      </c>
      <c r="E1351" s="109"/>
      <c r="F1351" s="112"/>
      <c r="G1351" s="109"/>
      <c r="H1351" s="109"/>
      <c r="I1351" s="109"/>
      <c r="J1351" s="109"/>
      <c r="K1351" s="14" t="str">
        <f t="shared" si="265"/>
        <v>运营中</v>
      </c>
      <c r="L1351" s="109"/>
      <c r="M1351" s="109"/>
      <c r="N1351" s="13">
        <v>1</v>
      </c>
      <c r="O1351" s="24">
        <v>41801</v>
      </c>
      <c r="P1351" s="13" t="s">
        <v>5697</v>
      </c>
      <c r="Q1351" s="13" t="s">
        <v>7630</v>
      </c>
      <c r="R1351" s="13" t="s">
        <v>4813</v>
      </c>
      <c r="S1351" s="109"/>
      <c r="T1351" s="109"/>
      <c r="U1351" s="112"/>
      <c r="V1351" s="109"/>
      <c r="W1351" s="109"/>
      <c r="X1351" s="109"/>
    </row>
    <row r="1352" spans="2:24">
      <c r="B1352" s="109"/>
      <c r="C1352" s="109" t="s">
        <v>4814</v>
      </c>
      <c r="D1352" s="20" t="s">
        <v>7631</v>
      </c>
      <c r="E1352" s="109" t="s">
        <v>7632</v>
      </c>
      <c r="F1352" s="112" t="s">
        <v>4816</v>
      </c>
      <c r="G1352" s="109" t="s">
        <v>7633</v>
      </c>
      <c r="H1352" s="109" t="s">
        <v>4818</v>
      </c>
      <c r="I1352" s="109" t="s">
        <v>4819</v>
      </c>
      <c r="J1352" s="109" t="s">
        <v>1126</v>
      </c>
      <c r="K1352" s="14" t="s">
        <v>272</v>
      </c>
      <c r="L1352" s="109" t="s">
        <v>4472</v>
      </c>
      <c r="M1352" s="109" t="s">
        <v>5780</v>
      </c>
      <c r="N1352" s="13">
        <v>1</v>
      </c>
      <c r="O1352" s="24">
        <v>44383</v>
      </c>
      <c r="P1352" s="13" t="s">
        <v>5810</v>
      </c>
      <c r="Q1352" s="13" t="s">
        <v>7634</v>
      </c>
      <c r="R1352" s="13" t="s">
        <v>4821</v>
      </c>
      <c r="S1352" s="109" t="s">
        <v>7635</v>
      </c>
      <c r="T1352" s="109" t="s">
        <v>7636</v>
      </c>
      <c r="U1352" s="112" t="s">
        <v>4824</v>
      </c>
      <c r="V1352" s="109" t="s">
        <v>4825</v>
      </c>
      <c r="W1352" s="109"/>
      <c r="X1352" s="109"/>
    </row>
    <row r="1353" spans="2:24">
      <c r="B1353" s="109"/>
      <c r="C1353" s="109"/>
      <c r="D1353" s="20" t="str">
        <f>D1352</f>
        <v>苏宁易购</v>
      </c>
      <c r="E1353" s="109"/>
      <c r="F1353" s="112"/>
      <c r="G1353" s="109"/>
      <c r="H1353" s="109"/>
      <c r="I1353" s="109"/>
      <c r="J1353" s="109"/>
      <c r="K1353" s="14" t="str">
        <f t="shared" ref="K1353:K1356" si="266">K1352</f>
        <v>运营中</v>
      </c>
      <c r="L1353" s="109"/>
      <c r="M1353" s="109"/>
      <c r="N1353" s="13">
        <v>1</v>
      </c>
      <c r="O1353" s="24">
        <v>44255</v>
      </c>
      <c r="P1353" s="13" t="s">
        <v>5810</v>
      </c>
      <c r="Q1353" s="13" t="s">
        <v>7637</v>
      </c>
      <c r="R1353" s="13" t="s">
        <v>4827</v>
      </c>
      <c r="S1353" s="109"/>
      <c r="T1353" s="109"/>
      <c r="U1353" s="112"/>
      <c r="V1353" s="109"/>
      <c r="W1353" s="109"/>
      <c r="X1353" s="109"/>
    </row>
    <row r="1354" spans="2:24">
      <c r="B1354" s="109"/>
      <c r="C1354" s="109"/>
      <c r="D1354" s="20" t="str">
        <f>D1353</f>
        <v>苏宁易购</v>
      </c>
      <c r="E1354" s="109"/>
      <c r="F1354" s="112"/>
      <c r="G1354" s="109"/>
      <c r="H1354" s="109"/>
      <c r="I1354" s="109"/>
      <c r="J1354" s="109"/>
      <c r="K1354" s="14" t="str">
        <f t="shared" si="266"/>
        <v>运营中</v>
      </c>
      <c r="L1354" s="109"/>
      <c r="M1354" s="109"/>
      <c r="N1354" s="13">
        <v>1</v>
      </c>
      <c r="O1354" s="24">
        <v>42523</v>
      </c>
      <c r="P1354" s="13" t="s">
        <v>5810</v>
      </c>
      <c r="Q1354" s="13" t="s">
        <v>7638</v>
      </c>
      <c r="R1354" s="13" t="s">
        <v>1751</v>
      </c>
      <c r="S1354" s="109"/>
      <c r="T1354" s="109"/>
      <c r="U1354" s="112"/>
      <c r="V1354" s="109"/>
      <c r="W1354" s="109"/>
      <c r="X1354" s="109"/>
    </row>
    <row r="1355" spans="2:24">
      <c r="B1355" s="109"/>
      <c r="C1355" s="109"/>
      <c r="D1355" s="20" t="str">
        <f>D1354</f>
        <v>苏宁易购</v>
      </c>
      <c r="E1355" s="109"/>
      <c r="F1355" s="112"/>
      <c r="G1355" s="109"/>
      <c r="H1355" s="109"/>
      <c r="I1355" s="109"/>
      <c r="J1355" s="109"/>
      <c r="K1355" s="14" t="str">
        <f t="shared" si="266"/>
        <v>运营中</v>
      </c>
      <c r="L1355" s="109"/>
      <c r="M1355" s="109"/>
      <c r="N1355" s="13">
        <v>1</v>
      </c>
      <c r="O1355" s="24">
        <v>42226</v>
      </c>
      <c r="P1355" s="13" t="s">
        <v>5810</v>
      </c>
      <c r="Q1355" s="13" t="s">
        <v>7639</v>
      </c>
      <c r="R1355" s="13" t="s">
        <v>1751</v>
      </c>
      <c r="S1355" s="109"/>
      <c r="T1355" s="109"/>
      <c r="U1355" s="112"/>
      <c r="V1355" s="109"/>
      <c r="W1355" s="109"/>
      <c r="X1355" s="109"/>
    </row>
    <row r="1356" spans="2:24">
      <c r="B1356" s="109"/>
      <c r="C1356" s="109"/>
      <c r="D1356" s="20" t="str">
        <f>D1355</f>
        <v>苏宁易购</v>
      </c>
      <c r="E1356" s="109"/>
      <c r="F1356" s="112"/>
      <c r="G1356" s="109"/>
      <c r="H1356" s="109"/>
      <c r="I1356" s="109"/>
      <c r="J1356" s="109"/>
      <c r="K1356" s="14" t="str">
        <f t="shared" si="266"/>
        <v>运营中</v>
      </c>
      <c r="L1356" s="109"/>
      <c r="M1356" s="109"/>
      <c r="N1356" s="13">
        <v>1</v>
      </c>
      <c r="O1356" s="24">
        <v>38189</v>
      </c>
      <c r="P1356" s="13" t="s">
        <v>5625</v>
      </c>
      <c r="Q1356" s="13" t="s">
        <v>7640</v>
      </c>
      <c r="R1356" s="13" t="s">
        <v>253</v>
      </c>
      <c r="S1356" s="109"/>
      <c r="T1356" s="109"/>
      <c r="U1356" s="112"/>
      <c r="V1356" s="109"/>
      <c r="W1356" s="109"/>
      <c r="X1356" s="109"/>
    </row>
    <row r="1357" spans="2:24" ht="48">
      <c r="B1357" s="109"/>
      <c r="C1357" s="13" t="s">
        <v>4781</v>
      </c>
      <c r="D1357" s="25" t="s">
        <v>4831</v>
      </c>
      <c r="E1357" s="13" t="s">
        <v>4831</v>
      </c>
      <c r="F1357" s="18" t="s">
        <v>7641</v>
      </c>
      <c r="G1357" s="13" t="s">
        <v>7642</v>
      </c>
      <c r="H1357" s="13"/>
      <c r="I1357" s="13" t="s">
        <v>2478</v>
      </c>
      <c r="J1357" s="13" t="s">
        <v>4834</v>
      </c>
      <c r="K1357" s="19" t="s">
        <v>272</v>
      </c>
      <c r="L1357" s="13" t="s">
        <v>3661</v>
      </c>
      <c r="M1357" s="13" t="s">
        <v>5565</v>
      </c>
      <c r="N1357" s="13"/>
      <c r="O1357" s="24">
        <v>43461</v>
      </c>
      <c r="P1357" s="13" t="s">
        <v>1045</v>
      </c>
      <c r="Q1357" s="13" t="s">
        <v>2030</v>
      </c>
      <c r="R1357" s="13" t="s">
        <v>1751</v>
      </c>
      <c r="S1357" s="13" t="s">
        <v>4215</v>
      </c>
      <c r="T1357" s="13" t="s">
        <v>3664</v>
      </c>
      <c r="U1357" s="18" t="s">
        <v>4835</v>
      </c>
      <c r="V1357" s="13" t="s">
        <v>4836</v>
      </c>
      <c r="W1357" s="13"/>
      <c r="X1357" s="13"/>
    </row>
    <row r="1358" spans="2:24">
      <c r="B1358" s="109"/>
      <c r="C1358" s="109" t="s">
        <v>4837</v>
      </c>
      <c r="D1358" s="20" t="s">
        <v>4838</v>
      </c>
      <c r="E1358" s="109" t="s">
        <v>4838</v>
      </c>
      <c r="F1358" s="112" t="s">
        <v>7643</v>
      </c>
      <c r="G1358" s="109"/>
      <c r="H1358" s="109" t="s">
        <v>4840</v>
      </c>
      <c r="I1358" s="109" t="s">
        <v>334</v>
      </c>
      <c r="J1358" s="109" t="s">
        <v>2156</v>
      </c>
      <c r="K1358" s="14" t="s">
        <v>272</v>
      </c>
      <c r="L1358" s="109" t="s">
        <v>4472</v>
      </c>
      <c r="M1358" s="109" t="s">
        <v>5780</v>
      </c>
      <c r="N1358" s="13">
        <v>1</v>
      </c>
      <c r="O1358" s="24">
        <v>44414</v>
      </c>
      <c r="P1358" s="13" t="s">
        <v>5625</v>
      </c>
      <c r="Q1358" s="13" t="s">
        <v>5964</v>
      </c>
      <c r="R1358" s="13" t="s">
        <v>253</v>
      </c>
      <c r="S1358" s="109" t="s">
        <v>7644</v>
      </c>
      <c r="T1358" s="109" t="s">
        <v>7645</v>
      </c>
      <c r="U1358" s="112" t="s">
        <v>4843</v>
      </c>
      <c r="V1358" s="109"/>
      <c r="W1358" s="109"/>
      <c r="X1358" s="109"/>
    </row>
    <row r="1359" spans="2:24">
      <c r="B1359" s="109"/>
      <c r="C1359" s="109"/>
      <c r="D1359" s="20" t="str">
        <f>D1358</f>
        <v>Bukalapak</v>
      </c>
      <c r="E1359" s="109"/>
      <c r="F1359" s="112"/>
      <c r="G1359" s="109"/>
      <c r="H1359" s="109"/>
      <c r="I1359" s="109"/>
      <c r="J1359" s="109"/>
      <c r="K1359" s="14" t="str">
        <f t="shared" ref="K1359:K1363" si="267">K1358</f>
        <v>运营中</v>
      </c>
      <c r="L1359" s="109"/>
      <c r="M1359" s="109"/>
      <c r="N1359" s="13">
        <v>1</v>
      </c>
      <c r="O1359" s="24">
        <v>44139</v>
      </c>
      <c r="P1359" s="13" t="s">
        <v>1045</v>
      </c>
      <c r="Q1359" s="13" t="s">
        <v>5129</v>
      </c>
      <c r="R1359" s="13" t="s">
        <v>2906</v>
      </c>
      <c r="S1359" s="109"/>
      <c r="T1359" s="109"/>
      <c r="U1359" s="112"/>
      <c r="V1359" s="109"/>
      <c r="W1359" s="109"/>
      <c r="X1359" s="109"/>
    </row>
    <row r="1360" spans="2:24">
      <c r="B1360" s="109"/>
      <c r="C1360" s="109"/>
      <c r="D1360" s="20" t="str">
        <f>D1359</f>
        <v>Bukalapak</v>
      </c>
      <c r="E1360" s="109"/>
      <c r="F1360" s="112"/>
      <c r="G1360" s="109"/>
      <c r="H1360" s="109"/>
      <c r="I1360" s="109"/>
      <c r="J1360" s="109"/>
      <c r="K1360" s="14" t="str">
        <f t="shared" si="267"/>
        <v>运营中</v>
      </c>
      <c r="L1360" s="109"/>
      <c r="M1360" s="109"/>
      <c r="N1360" s="13">
        <v>1</v>
      </c>
      <c r="O1360" s="24">
        <v>43482</v>
      </c>
      <c r="P1360" s="13" t="s">
        <v>1827</v>
      </c>
      <c r="Q1360" s="13" t="s">
        <v>5360</v>
      </c>
      <c r="R1360" s="13" t="s">
        <v>7646</v>
      </c>
      <c r="S1360" s="109"/>
      <c r="T1360" s="109"/>
      <c r="U1360" s="112"/>
      <c r="V1360" s="109"/>
      <c r="W1360" s="109"/>
      <c r="X1360" s="109"/>
    </row>
    <row r="1361" spans="2:24">
      <c r="B1361" s="109"/>
      <c r="C1361" s="109"/>
      <c r="D1361" s="20" t="str">
        <f>D1360</f>
        <v>Bukalapak</v>
      </c>
      <c r="E1361" s="109"/>
      <c r="F1361" s="112"/>
      <c r="G1361" s="109"/>
      <c r="H1361" s="109"/>
      <c r="I1361" s="109"/>
      <c r="J1361" s="109"/>
      <c r="K1361" s="14" t="str">
        <f t="shared" si="267"/>
        <v>运营中</v>
      </c>
      <c r="L1361" s="109"/>
      <c r="M1361" s="109"/>
      <c r="N1361" s="13">
        <v>1</v>
      </c>
      <c r="O1361" s="24">
        <v>43056</v>
      </c>
      <c r="P1361" s="13" t="s">
        <v>5613</v>
      </c>
      <c r="Q1361" s="13" t="s">
        <v>5000</v>
      </c>
      <c r="R1361" s="13" t="s">
        <v>1751</v>
      </c>
      <c r="S1361" s="109"/>
      <c r="T1361" s="109"/>
      <c r="U1361" s="112"/>
      <c r="V1361" s="109"/>
      <c r="W1361" s="109"/>
      <c r="X1361" s="109"/>
    </row>
    <row r="1362" spans="2:24">
      <c r="B1362" s="109"/>
      <c r="C1362" s="109"/>
      <c r="D1362" s="20" t="str">
        <f>D1361</f>
        <v>Bukalapak</v>
      </c>
      <c r="E1362" s="109"/>
      <c r="F1362" s="112"/>
      <c r="G1362" s="109"/>
      <c r="H1362" s="109"/>
      <c r="I1362" s="109"/>
      <c r="J1362" s="109"/>
      <c r="K1362" s="14" t="str">
        <f t="shared" si="267"/>
        <v>运营中</v>
      </c>
      <c r="L1362" s="109"/>
      <c r="M1362" s="109"/>
      <c r="N1362" s="13">
        <v>1</v>
      </c>
      <c r="O1362" s="24">
        <v>42039</v>
      </c>
      <c r="P1362" s="13" t="s">
        <v>3648</v>
      </c>
      <c r="Q1362" s="13" t="s">
        <v>5129</v>
      </c>
      <c r="R1362" s="13" t="s">
        <v>4845</v>
      </c>
      <c r="S1362" s="109"/>
      <c r="T1362" s="109"/>
      <c r="U1362" s="112"/>
      <c r="V1362" s="109"/>
      <c r="W1362" s="109"/>
      <c r="X1362" s="109"/>
    </row>
    <row r="1363" spans="2:24">
      <c r="B1363" s="109"/>
      <c r="C1363" s="109"/>
      <c r="D1363" s="20" t="str">
        <f>D1362</f>
        <v>Bukalapak</v>
      </c>
      <c r="E1363" s="109"/>
      <c r="F1363" s="112"/>
      <c r="G1363" s="109"/>
      <c r="H1363" s="109"/>
      <c r="I1363" s="109"/>
      <c r="J1363" s="109"/>
      <c r="K1363" s="14" t="str">
        <f t="shared" si="267"/>
        <v>运营中</v>
      </c>
      <c r="L1363" s="109"/>
      <c r="M1363" s="109"/>
      <c r="N1363" s="13">
        <v>1</v>
      </c>
      <c r="O1363" s="24">
        <v>41683</v>
      </c>
      <c r="P1363" s="13" t="s">
        <v>3513</v>
      </c>
      <c r="Q1363" s="13" t="s">
        <v>5000</v>
      </c>
      <c r="R1363" s="13" t="s">
        <v>4846</v>
      </c>
      <c r="S1363" s="109"/>
      <c r="T1363" s="109"/>
      <c r="U1363" s="112"/>
      <c r="V1363" s="109"/>
      <c r="W1363" s="109"/>
      <c r="X1363" s="109"/>
    </row>
    <row r="1364" spans="2:24">
      <c r="B1364" s="109"/>
      <c r="C1364" s="109" t="s">
        <v>4847</v>
      </c>
      <c r="D1364" s="20" t="s">
        <v>7647</v>
      </c>
      <c r="E1364" s="109" t="s">
        <v>7648</v>
      </c>
      <c r="F1364" s="112" t="s">
        <v>4849</v>
      </c>
      <c r="G1364" s="109" t="s">
        <v>7649</v>
      </c>
      <c r="H1364" s="109" t="s">
        <v>4851</v>
      </c>
      <c r="I1364" s="109" t="s">
        <v>2773</v>
      </c>
      <c r="J1364" s="109" t="s">
        <v>630</v>
      </c>
      <c r="K1364" s="14" t="s">
        <v>272</v>
      </c>
      <c r="L1364" s="109" t="s">
        <v>4472</v>
      </c>
      <c r="M1364" s="109" t="s">
        <v>4999</v>
      </c>
      <c r="N1364" s="13">
        <v>1</v>
      </c>
      <c r="O1364" s="24">
        <v>43488</v>
      </c>
      <c r="P1364" s="13" t="s">
        <v>5709</v>
      </c>
      <c r="Q1364" s="13" t="s">
        <v>7650</v>
      </c>
      <c r="R1364" s="13" t="s">
        <v>7651</v>
      </c>
      <c r="S1364" s="109" t="s">
        <v>7652</v>
      </c>
      <c r="T1364" s="109" t="s">
        <v>7653</v>
      </c>
      <c r="U1364" s="112"/>
      <c r="V1364" s="109" t="s">
        <v>4857</v>
      </c>
      <c r="W1364" s="109"/>
      <c r="X1364" s="109"/>
    </row>
    <row r="1365" spans="2:24">
      <c r="B1365" s="109"/>
      <c r="C1365" s="109"/>
      <c r="D1365" s="20" t="str">
        <f>D1364</f>
        <v>居然新零售</v>
      </c>
      <c r="E1365" s="109"/>
      <c r="F1365" s="112"/>
      <c r="G1365" s="109"/>
      <c r="H1365" s="109"/>
      <c r="I1365" s="109"/>
      <c r="J1365" s="109"/>
      <c r="K1365" s="14" t="str">
        <f>K1364</f>
        <v>运营中</v>
      </c>
      <c r="L1365" s="109"/>
      <c r="M1365" s="109"/>
      <c r="N1365" s="13">
        <v>1</v>
      </c>
      <c r="O1365" s="24">
        <v>43142</v>
      </c>
      <c r="P1365" s="13" t="s">
        <v>1045</v>
      </c>
      <c r="Q1365" s="13" t="s">
        <v>7654</v>
      </c>
      <c r="R1365" s="13" t="s">
        <v>4859</v>
      </c>
      <c r="S1365" s="109"/>
      <c r="T1365" s="109"/>
      <c r="U1365" s="112"/>
      <c r="V1365" s="109"/>
      <c r="W1365" s="109"/>
      <c r="X1365" s="109"/>
    </row>
    <row r="1366" spans="2:24">
      <c r="B1366" s="109"/>
      <c r="C1366" s="109" t="s">
        <v>4860</v>
      </c>
      <c r="D1366" s="20" t="s">
        <v>178</v>
      </c>
      <c r="E1366" s="109" t="s">
        <v>178</v>
      </c>
      <c r="F1366" s="112" t="s">
        <v>4861</v>
      </c>
      <c r="G1366" s="109"/>
      <c r="H1366" s="109" t="s">
        <v>4862</v>
      </c>
      <c r="I1366" s="109" t="s">
        <v>4160</v>
      </c>
      <c r="J1366" s="109" t="s">
        <v>1502</v>
      </c>
      <c r="K1366" s="14" t="s">
        <v>272</v>
      </c>
      <c r="L1366" s="109" t="s">
        <v>3661</v>
      </c>
      <c r="M1366" s="109" t="s">
        <v>4305</v>
      </c>
      <c r="N1366" s="13"/>
      <c r="O1366" s="24">
        <v>44511</v>
      </c>
      <c r="P1366" s="13" t="s">
        <v>3648</v>
      </c>
      <c r="Q1366" s="13" t="s">
        <v>4863</v>
      </c>
      <c r="R1366" s="13" t="s">
        <v>4864</v>
      </c>
      <c r="S1366" s="109" t="s">
        <v>4865</v>
      </c>
      <c r="T1366" s="109" t="s">
        <v>4866</v>
      </c>
      <c r="U1366" s="112"/>
      <c r="V1366" s="109"/>
      <c r="W1366" s="109"/>
      <c r="X1366" s="109"/>
    </row>
    <row r="1367" spans="2:24">
      <c r="B1367" s="109"/>
      <c r="C1367" s="109"/>
      <c r="D1367" s="20" t="str">
        <f>D1366</f>
        <v>Sandbox VR</v>
      </c>
      <c r="E1367" s="109"/>
      <c r="F1367" s="112"/>
      <c r="G1367" s="109"/>
      <c r="H1367" s="109"/>
      <c r="I1367" s="109"/>
      <c r="J1367" s="109"/>
      <c r="K1367" s="14" t="str">
        <f t="shared" ref="K1367:K1368" si="268">K1366</f>
        <v>运营中</v>
      </c>
      <c r="L1367" s="109"/>
      <c r="M1367" s="109"/>
      <c r="N1367" s="13"/>
      <c r="O1367" s="24">
        <v>43761</v>
      </c>
      <c r="P1367" s="13" t="s">
        <v>1045</v>
      </c>
      <c r="Q1367" s="13" t="s">
        <v>6855</v>
      </c>
      <c r="R1367" s="13" t="s">
        <v>4867</v>
      </c>
      <c r="S1367" s="109"/>
      <c r="T1367" s="109"/>
      <c r="U1367" s="112"/>
      <c r="V1367" s="109"/>
      <c r="W1367" s="109"/>
      <c r="X1367" s="109"/>
    </row>
    <row r="1368" spans="2:24">
      <c r="B1368" s="109"/>
      <c r="C1368" s="109"/>
      <c r="D1368" s="20" t="str">
        <f>D1367</f>
        <v>Sandbox VR</v>
      </c>
      <c r="E1368" s="109"/>
      <c r="F1368" s="112"/>
      <c r="G1368" s="109"/>
      <c r="H1368" s="109"/>
      <c r="I1368" s="109"/>
      <c r="J1368" s="109"/>
      <c r="K1368" s="14" t="str">
        <f t="shared" si="268"/>
        <v>运营中</v>
      </c>
      <c r="L1368" s="109"/>
      <c r="M1368" s="109"/>
      <c r="N1368" s="13"/>
      <c r="O1368" s="24">
        <v>43494</v>
      </c>
      <c r="P1368" s="13" t="s">
        <v>3513</v>
      </c>
      <c r="Q1368" s="13" t="s">
        <v>7655</v>
      </c>
      <c r="R1368" s="13" t="s">
        <v>4869</v>
      </c>
      <c r="S1368" s="109"/>
      <c r="T1368" s="109"/>
      <c r="U1368" s="112"/>
      <c r="V1368" s="109"/>
      <c r="W1368" s="109"/>
      <c r="X1368" s="109"/>
    </row>
    <row r="1369" spans="2:24" ht="48">
      <c r="B1369" s="109"/>
      <c r="C1369" s="13" t="s">
        <v>4870</v>
      </c>
      <c r="D1369" s="25" t="s">
        <v>7656</v>
      </c>
      <c r="E1369" s="13" t="s">
        <v>7657</v>
      </c>
      <c r="F1369" s="18" t="s">
        <v>4872</v>
      </c>
      <c r="G1369" s="13" t="s">
        <v>7658</v>
      </c>
      <c r="H1369" s="13" t="s">
        <v>4874</v>
      </c>
      <c r="I1369" s="13" t="s">
        <v>4683</v>
      </c>
      <c r="J1369" s="13" t="s">
        <v>4875</v>
      </c>
      <c r="K1369" s="19" t="s">
        <v>272</v>
      </c>
      <c r="L1369" s="13" t="s">
        <v>6396</v>
      </c>
      <c r="M1369" s="13" t="s">
        <v>6397</v>
      </c>
      <c r="N1369" s="13"/>
      <c r="O1369" s="24">
        <v>43542</v>
      </c>
      <c r="P1369" s="13" t="s">
        <v>3513</v>
      </c>
      <c r="Q1369" s="13" t="s">
        <v>2030</v>
      </c>
      <c r="R1369" s="13" t="s">
        <v>1751</v>
      </c>
      <c r="S1369" s="13" t="s">
        <v>5456</v>
      </c>
      <c r="T1369" s="13" t="s">
        <v>3664</v>
      </c>
      <c r="U1369" s="18"/>
      <c r="V1369" s="13" t="s">
        <v>4876</v>
      </c>
      <c r="W1369" s="13" t="s">
        <v>4877</v>
      </c>
      <c r="X1369" s="13" t="s">
        <v>4878</v>
      </c>
    </row>
    <row r="1370" spans="2:24">
      <c r="B1370" s="109"/>
      <c r="C1370" s="109" t="s">
        <v>4879</v>
      </c>
      <c r="D1370" s="20" t="s">
        <v>7659</v>
      </c>
      <c r="E1370" s="109" t="s">
        <v>4881</v>
      </c>
      <c r="F1370" s="112" t="s">
        <v>4882</v>
      </c>
      <c r="G1370" s="109" t="s">
        <v>7660</v>
      </c>
      <c r="H1370" s="109"/>
      <c r="I1370" s="109" t="s">
        <v>4683</v>
      </c>
      <c r="J1370" s="109" t="s">
        <v>406</v>
      </c>
      <c r="K1370" s="14" t="s">
        <v>272</v>
      </c>
      <c r="L1370" s="109" t="s">
        <v>4472</v>
      </c>
      <c r="M1370" s="109" t="s">
        <v>4731</v>
      </c>
      <c r="N1370" s="13"/>
      <c r="O1370" s="24">
        <v>44253</v>
      </c>
      <c r="P1370" s="13" t="s">
        <v>1045</v>
      </c>
      <c r="Q1370" s="13" t="s">
        <v>3514</v>
      </c>
      <c r="R1370" s="13" t="s">
        <v>1751</v>
      </c>
      <c r="S1370" s="109" t="s">
        <v>4884</v>
      </c>
      <c r="T1370" s="109" t="s">
        <v>4885</v>
      </c>
      <c r="U1370" s="112" t="s">
        <v>4886</v>
      </c>
      <c r="V1370" s="109" t="s">
        <v>4887</v>
      </c>
      <c r="W1370" s="109"/>
      <c r="X1370" s="109"/>
    </row>
    <row r="1371" spans="2:24">
      <c r="B1371" s="109"/>
      <c r="C1371" s="109"/>
      <c r="D1371" s="20" t="str">
        <f>D1370</f>
        <v>菜划算</v>
      </c>
      <c r="E1371" s="109"/>
      <c r="F1371" s="112"/>
      <c r="G1371" s="109"/>
      <c r="H1371" s="109"/>
      <c r="I1371" s="109"/>
      <c r="J1371" s="109"/>
      <c r="K1371" s="14" t="str">
        <f>K1370</f>
        <v>运营中</v>
      </c>
      <c r="L1371" s="109"/>
      <c r="M1371" s="109"/>
      <c r="N1371" s="13"/>
      <c r="O1371" s="24">
        <v>43613</v>
      </c>
      <c r="P1371" s="13" t="s">
        <v>3513</v>
      </c>
      <c r="Q1371" s="13" t="s">
        <v>3514</v>
      </c>
      <c r="R1371" s="13" t="s">
        <v>7661</v>
      </c>
      <c r="S1371" s="109"/>
      <c r="T1371" s="109"/>
      <c r="U1371" s="112"/>
      <c r="V1371" s="109"/>
      <c r="W1371" s="109"/>
      <c r="X1371" s="109"/>
    </row>
    <row r="1372" spans="2:24" ht="72">
      <c r="B1372" s="109"/>
      <c r="C1372" s="13" t="s">
        <v>4889</v>
      </c>
      <c r="D1372" s="25" t="s">
        <v>7662</v>
      </c>
      <c r="E1372" s="13" t="s">
        <v>7663</v>
      </c>
      <c r="F1372" s="18" t="s">
        <v>7664</v>
      </c>
      <c r="G1372" s="13" t="s">
        <v>7665</v>
      </c>
      <c r="H1372" s="13" t="s">
        <v>4893</v>
      </c>
      <c r="I1372" s="13" t="s">
        <v>4683</v>
      </c>
      <c r="J1372" s="13" t="s">
        <v>406</v>
      </c>
      <c r="K1372" s="19" t="s">
        <v>272</v>
      </c>
      <c r="L1372" s="13" t="s">
        <v>4472</v>
      </c>
      <c r="M1372" s="13" t="s">
        <v>5780</v>
      </c>
      <c r="N1372" s="13">
        <v>1</v>
      </c>
      <c r="O1372" s="24">
        <v>43734</v>
      </c>
      <c r="P1372" s="13" t="s">
        <v>5709</v>
      </c>
      <c r="Q1372" s="13" t="s">
        <v>2030</v>
      </c>
      <c r="R1372" s="13" t="s">
        <v>1751</v>
      </c>
      <c r="S1372" s="13" t="s">
        <v>253</v>
      </c>
      <c r="T1372" s="13" t="s">
        <v>3664</v>
      </c>
      <c r="U1372" s="18" t="s">
        <v>4894</v>
      </c>
      <c r="V1372" s="13" t="s">
        <v>4895</v>
      </c>
      <c r="W1372" s="13"/>
      <c r="X1372" s="13" t="s">
        <v>4896</v>
      </c>
    </row>
    <row r="1373" spans="2:24" ht="60">
      <c r="B1373" s="109"/>
      <c r="C1373" s="13" t="s">
        <v>4897</v>
      </c>
      <c r="D1373" s="25" t="s">
        <v>7666</v>
      </c>
      <c r="E1373" s="13" t="s">
        <v>4899</v>
      </c>
      <c r="F1373" s="18" t="s">
        <v>4900</v>
      </c>
      <c r="G1373" s="13" t="s">
        <v>7667</v>
      </c>
      <c r="H1373" s="13" t="s">
        <v>4902</v>
      </c>
      <c r="I1373" s="13" t="s">
        <v>3332</v>
      </c>
      <c r="J1373" s="13" t="s">
        <v>428</v>
      </c>
      <c r="K1373" s="19" t="s">
        <v>272</v>
      </c>
      <c r="L1373" s="13" t="s">
        <v>2711</v>
      </c>
      <c r="M1373" s="13" t="s">
        <v>4903</v>
      </c>
      <c r="N1373" s="13"/>
      <c r="O1373" s="24">
        <v>44517</v>
      </c>
      <c r="P1373" s="13" t="s">
        <v>1045</v>
      </c>
      <c r="Q1373" s="13" t="s">
        <v>4904</v>
      </c>
      <c r="R1373" s="13" t="s">
        <v>1751</v>
      </c>
      <c r="S1373" s="13" t="s">
        <v>4905</v>
      </c>
      <c r="T1373" s="13" t="s">
        <v>4906</v>
      </c>
      <c r="U1373" s="18" t="s">
        <v>4907</v>
      </c>
      <c r="V1373" s="13" t="s">
        <v>4908</v>
      </c>
      <c r="W1373" s="13" t="s">
        <v>4909</v>
      </c>
      <c r="X1373" s="13" t="s">
        <v>4910</v>
      </c>
    </row>
    <row r="1374" spans="2:24">
      <c r="B1374" s="109"/>
      <c r="C1374" s="109" t="s">
        <v>4911</v>
      </c>
      <c r="D1374" s="20" t="s">
        <v>7668</v>
      </c>
      <c r="E1374" s="109" t="s">
        <v>7669</v>
      </c>
      <c r="F1374" s="112" t="s">
        <v>7670</v>
      </c>
      <c r="G1374" s="109" t="s">
        <v>7671</v>
      </c>
      <c r="H1374" s="109" t="s">
        <v>4915</v>
      </c>
      <c r="I1374" s="109" t="s">
        <v>4916</v>
      </c>
      <c r="J1374" s="109" t="s">
        <v>3971</v>
      </c>
      <c r="K1374" s="14" t="s">
        <v>272</v>
      </c>
      <c r="L1374" s="109" t="s">
        <v>4472</v>
      </c>
      <c r="M1374" s="109" t="s">
        <v>4731</v>
      </c>
      <c r="N1374" s="13">
        <v>1</v>
      </c>
      <c r="O1374" s="24">
        <v>44809</v>
      </c>
      <c r="P1374" s="13" t="s">
        <v>5625</v>
      </c>
      <c r="Q1374" s="13" t="s">
        <v>7672</v>
      </c>
      <c r="R1374" s="13" t="s">
        <v>253</v>
      </c>
      <c r="S1374" s="109" t="s">
        <v>7673</v>
      </c>
      <c r="T1374" s="109" t="s">
        <v>7674</v>
      </c>
      <c r="U1374" s="112" t="s">
        <v>4920</v>
      </c>
      <c r="V1374" s="109" t="s">
        <v>4921</v>
      </c>
      <c r="W1374" s="109" t="s">
        <v>4922</v>
      </c>
      <c r="X1374" s="109"/>
    </row>
    <row r="1375" spans="2:24">
      <c r="B1375" s="109"/>
      <c r="C1375" s="109"/>
      <c r="D1375" s="20" t="str">
        <f>D1374</f>
        <v>洪九果品</v>
      </c>
      <c r="E1375" s="109"/>
      <c r="F1375" s="112"/>
      <c r="G1375" s="109"/>
      <c r="H1375" s="109"/>
      <c r="I1375" s="109"/>
      <c r="J1375" s="109"/>
      <c r="K1375" s="14" t="str">
        <f t="shared" ref="K1375:K1379" si="269">K1374</f>
        <v>运营中</v>
      </c>
      <c r="L1375" s="109"/>
      <c r="M1375" s="109"/>
      <c r="N1375" s="13">
        <v>1</v>
      </c>
      <c r="O1375" s="24">
        <v>44798</v>
      </c>
      <c r="P1375" s="13" t="s">
        <v>5795</v>
      </c>
      <c r="Q1375" s="13" t="s">
        <v>7675</v>
      </c>
      <c r="R1375" s="13" t="s">
        <v>4924</v>
      </c>
      <c r="S1375" s="109"/>
      <c r="T1375" s="109"/>
      <c r="U1375" s="112"/>
      <c r="V1375" s="109"/>
      <c r="W1375" s="109"/>
      <c r="X1375" s="109"/>
    </row>
    <row r="1376" spans="2:24">
      <c r="B1376" s="109"/>
      <c r="C1376" s="109"/>
      <c r="D1376" s="20" t="str">
        <f>D1375</f>
        <v>洪九果品</v>
      </c>
      <c r="E1376" s="109"/>
      <c r="F1376" s="112"/>
      <c r="G1376" s="109"/>
      <c r="H1376" s="109"/>
      <c r="I1376" s="109"/>
      <c r="J1376" s="109"/>
      <c r="K1376" s="14" t="str">
        <f t="shared" si="269"/>
        <v>运营中</v>
      </c>
      <c r="L1376" s="109"/>
      <c r="M1376" s="109"/>
      <c r="N1376" s="13">
        <v>1</v>
      </c>
      <c r="O1376" s="24">
        <v>43789</v>
      </c>
      <c r="P1376" s="13" t="s">
        <v>5613</v>
      </c>
      <c r="Q1376" s="13" t="s">
        <v>5847</v>
      </c>
      <c r="R1376" s="13" t="s">
        <v>4925</v>
      </c>
      <c r="S1376" s="109"/>
      <c r="T1376" s="109"/>
      <c r="U1376" s="112"/>
      <c r="V1376" s="109"/>
      <c r="W1376" s="109"/>
      <c r="X1376" s="109"/>
    </row>
    <row r="1377" spans="2:24">
      <c r="B1377" s="109"/>
      <c r="C1377" s="109"/>
      <c r="D1377" s="20" t="str">
        <f>D1376</f>
        <v>洪九果品</v>
      </c>
      <c r="E1377" s="109"/>
      <c r="F1377" s="112"/>
      <c r="G1377" s="109"/>
      <c r="H1377" s="109"/>
      <c r="I1377" s="109"/>
      <c r="J1377" s="109"/>
      <c r="K1377" s="14" t="str">
        <f t="shared" si="269"/>
        <v>运营中</v>
      </c>
      <c r="L1377" s="109"/>
      <c r="M1377" s="109"/>
      <c r="N1377" s="13">
        <v>1</v>
      </c>
      <c r="O1377" s="24">
        <v>43593</v>
      </c>
      <c r="P1377" s="13" t="s">
        <v>1045</v>
      </c>
      <c r="Q1377" s="13" t="s">
        <v>1750</v>
      </c>
      <c r="R1377" s="13" t="s">
        <v>4926</v>
      </c>
      <c r="S1377" s="109"/>
      <c r="T1377" s="109"/>
      <c r="U1377" s="112"/>
      <c r="V1377" s="109"/>
      <c r="W1377" s="109"/>
      <c r="X1377" s="109"/>
    </row>
    <row r="1378" spans="2:24">
      <c r="B1378" s="109"/>
      <c r="C1378" s="109"/>
      <c r="D1378" s="20" t="str">
        <f>D1377</f>
        <v>洪九果品</v>
      </c>
      <c r="E1378" s="109"/>
      <c r="F1378" s="112"/>
      <c r="G1378" s="109"/>
      <c r="H1378" s="109"/>
      <c r="I1378" s="109"/>
      <c r="J1378" s="109"/>
      <c r="K1378" s="14" t="str">
        <f t="shared" si="269"/>
        <v>运营中</v>
      </c>
      <c r="L1378" s="109"/>
      <c r="M1378" s="109"/>
      <c r="N1378" s="13">
        <v>1</v>
      </c>
      <c r="O1378" s="24">
        <v>43461</v>
      </c>
      <c r="P1378" s="13" t="s">
        <v>3648</v>
      </c>
      <c r="Q1378" s="13" t="s">
        <v>1750</v>
      </c>
      <c r="R1378" s="13" t="s">
        <v>4927</v>
      </c>
      <c r="S1378" s="109"/>
      <c r="T1378" s="109"/>
      <c r="U1378" s="112"/>
      <c r="V1378" s="109"/>
      <c r="W1378" s="109"/>
      <c r="X1378" s="109"/>
    </row>
    <row r="1379" spans="2:24">
      <c r="B1379" s="109"/>
      <c r="C1379" s="109"/>
      <c r="D1379" s="20" t="str">
        <f>D1378</f>
        <v>洪九果品</v>
      </c>
      <c r="E1379" s="109"/>
      <c r="F1379" s="112"/>
      <c r="G1379" s="109"/>
      <c r="H1379" s="109"/>
      <c r="I1379" s="109"/>
      <c r="J1379" s="109"/>
      <c r="K1379" s="14" t="str">
        <f t="shared" si="269"/>
        <v>运营中</v>
      </c>
      <c r="L1379" s="109"/>
      <c r="M1379" s="109"/>
      <c r="N1379" s="13">
        <v>1</v>
      </c>
      <c r="O1379" s="24">
        <v>43214</v>
      </c>
      <c r="P1379" s="13" t="s">
        <v>3513</v>
      </c>
      <c r="Q1379" s="13" t="s">
        <v>3514</v>
      </c>
      <c r="R1379" s="13" t="s">
        <v>4928</v>
      </c>
      <c r="S1379" s="109"/>
      <c r="T1379" s="109"/>
      <c r="U1379" s="112"/>
      <c r="V1379" s="109"/>
      <c r="W1379" s="109"/>
      <c r="X1379" s="109"/>
    </row>
    <row r="1380" spans="2:24" ht="36">
      <c r="B1380" s="109"/>
      <c r="C1380" s="13" t="s">
        <v>4929</v>
      </c>
      <c r="D1380" s="25" t="s">
        <v>4930</v>
      </c>
      <c r="E1380" s="13" t="s">
        <v>4930</v>
      </c>
      <c r="F1380" s="18" t="s">
        <v>7676</v>
      </c>
      <c r="G1380" s="13"/>
      <c r="H1380" s="13" t="s">
        <v>4932</v>
      </c>
      <c r="I1380" s="13" t="s">
        <v>4160</v>
      </c>
      <c r="J1380" s="13" t="s">
        <v>1725</v>
      </c>
      <c r="K1380" s="19" t="s">
        <v>272</v>
      </c>
      <c r="L1380" s="13" t="s">
        <v>4162</v>
      </c>
      <c r="M1380" s="13" t="s">
        <v>929</v>
      </c>
      <c r="N1380" s="13"/>
      <c r="O1380" s="24">
        <v>43613</v>
      </c>
      <c r="P1380" s="13" t="s">
        <v>1045</v>
      </c>
      <c r="Q1380" s="13" t="s">
        <v>5529</v>
      </c>
      <c r="R1380" s="13" t="s">
        <v>1751</v>
      </c>
      <c r="S1380" s="13" t="s">
        <v>5531</v>
      </c>
      <c r="T1380" s="13" t="s">
        <v>3280</v>
      </c>
      <c r="U1380" s="18" t="s">
        <v>4934</v>
      </c>
      <c r="V1380" s="13"/>
      <c r="W1380" s="13"/>
      <c r="X1380" s="13"/>
    </row>
    <row r="1381" spans="2:24">
      <c r="B1381" s="109"/>
      <c r="C1381" s="109" t="s">
        <v>4935</v>
      </c>
      <c r="D1381" s="20" t="s">
        <v>7677</v>
      </c>
      <c r="E1381" s="109" t="s">
        <v>7678</v>
      </c>
      <c r="F1381" s="112" t="s">
        <v>7679</v>
      </c>
      <c r="G1381" s="109" t="s">
        <v>7680</v>
      </c>
      <c r="H1381" s="109" t="s">
        <v>4939</v>
      </c>
      <c r="I1381" s="109" t="s">
        <v>4940</v>
      </c>
      <c r="J1381" s="109" t="s">
        <v>1126</v>
      </c>
      <c r="K1381" s="14" t="s">
        <v>272</v>
      </c>
      <c r="L1381" s="109" t="s">
        <v>3809</v>
      </c>
      <c r="M1381" s="109" t="s">
        <v>7364</v>
      </c>
      <c r="N1381" s="13">
        <v>1</v>
      </c>
      <c r="O1381" s="24">
        <v>43639</v>
      </c>
      <c r="P1381" s="13" t="s">
        <v>5625</v>
      </c>
      <c r="Q1381" s="13" t="s">
        <v>7681</v>
      </c>
      <c r="R1381" s="13" t="s">
        <v>253</v>
      </c>
      <c r="S1381" s="109" t="s">
        <v>7682</v>
      </c>
      <c r="T1381" s="109" t="s">
        <v>7683</v>
      </c>
      <c r="U1381" s="112" t="s">
        <v>4944</v>
      </c>
      <c r="V1381" s="109" t="s">
        <v>4945</v>
      </c>
      <c r="W1381" s="109" t="s">
        <v>4946</v>
      </c>
      <c r="X1381" s="109" t="s">
        <v>4947</v>
      </c>
    </row>
    <row r="1382" spans="2:24">
      <c r="B1382" s="109"/>
      <c r="C1382" s="109"/>
      <c r="D1382" s="20" t="str">
        <f t="shared" ref="D1382:D1389" si="270">D1381</f>
        <v>华泰证券</v>
      </c>
      <c r="E1382" s="109"/>
      <c r="F1382" s="112"/>
      <c r="G1382" s="109"/>
      <c r="H1382" s="109"/>
      <c r="I1382" s="109"/>
      <c r="J1382" s="109"/>
      <c r="K1382" s="14" t="str">
        <f t="shared" ref="K1382:K1389" si="271">K1381</f>
        <v>运营中</v>
      </c>
      <c r="L1382" s="109"/>
      <c r="M1382" s="109"/>
      <c r="N1382" s="13">
        <v>1</v>
      </c>
      <c r="O1382" s="24">
        <v>43315</v>
      </c>
      <c r="P1382" s="13" t="s">
        <v>5810</v>
      </c>
      <c r="Q1382" s="13" t="s">
        <v>7684</v>
      </c>
      <c r="R1382" s="13" t="s">
        <v>4949</v>
      </c>
      <c r="S1382" s="109"/>
      <c r="T1382" s="109"/>
      <c r="U1382" s="112"/>
      <c r="V1382" s="109"/>
      <c r="W1382" s="109"/>
      <c r="X1382" s="109"/>
    </row>
    <row r="1383" spans="2:24">
      <c r="B1383" s="109"/>
      <c r="C1383" s="109"/>
      <c r="D1383" s="20" t="str">
        <f t="shared" si="270"/>
        <v>华泰证券</v>
      </c>
      <c r="E1383" s="109"/>
      <c r="F1383" s="112"/>
      <c r="G1383" s="109"/>
      <c r="H1383" s="109"/>
      <c r="I1383" s="109"/>
      <c r="J1383" s="109"/>
      <c r="K1383" s="14" t="str">
        <f t="shared" si="271"/>
        <v>运营中</v>
      </c>
      <c r="L1383" s="109"/>
      <c r="M1383" s="109"/>
      <c r="N1383" s="13">
        <v>1</v>
      </c>
      <c r="O1383" s="24">
        <v>42430</v>
      </c>
      <c r="P1383" s="13" t="s">
        <v>5810</v>
      </c>
      <c r="Q1383" s="13" t="s">
        <v>2030</v>
      </c>
      <c r="R1383" s="13" t="s">
        <v>4950</v>
      </c>
      <c r="S1383" s="109"/>
      <c r="T1383" s="109"/>
      <c r="U1383" s="112"/>
      <c r="V1383" s="109"/>
      <c r="W1383" s="109"/>
      <c r="X1383" s="109"/>
    </row>
    <row r="1384" spans="2:24">
      <c r="B1384" s="109"/>
      <c r="C1384" s="109"/>
      <c r="D1384" s="20" t="str">
        <f t="shared" si="270"/>
        <v>华泰证券</v>
      </c>
      <c r="E1384" s="109"/>
      <c r="F1384" s="112"/>
      <c r="G1384" s="109"/>
      <c r="H1384" s="109"/>
      <c r="I1384" s="109"/>
      <c r="J1384" s="109"/>
      <c r="K1384" s="14" t="str">
        <f t="shared" si="271"/>
        <v>运营中</v>
      </c>
      <c r="L1384" s="109"/>
      <c r="M1384" s="109"/>
      <c r="N1384" s="13">
        <v>1</v>
      </c>
      <c r="O1384" s="24">
        <v>42156</v>
      </c>
      <c r="P1384" s="13" t="s">
        <v>5625</v>
      </c>
      <c r="Q1384" s="13" t="s">
        <v>7685</v>
      </c>
      <c r="R1384" s="13" t="s">
        <v>253</v>
      </c>
      <c r="S1384" s="109"/>
      <c r="T1384" s="109"/>
      <c r="U1384" s="112"/>
      <c r="V1384" s="109"/>
      <c r="W1384" s="109"/>
      <c r="X1384" s="109"/>
    </row>
    <row r="1385" spans="2:24">
      <c r="B1385" s="109"/>
      <c r="C1385" s="109"/>
      <c r="D1385" s="20" t="str">
        <f t="shared" si="270"/>
        <v>华泰证券</v>
      </c>
      <c r="E1385" s="109"/>
      <c r="F1385" s="112"/>
      <c r="G1385" s="109"/>
      <c r="H1385" s="109"/>
      <c r="I1385" s="109"/>
      <c r="J1385" s="109"/>
      <c r="K1385" s="14" t="str">
        <f t="shared" si="271"/>
        <v>运营中</v>
      </c>
      <c r="L1385" s="109"/>
      <c r="M1385" s="109"/>
      <c r="N1385" s="13">
        <v>1</v>
      </c>
      <c r="O1385" s="24">
        <v>42144</v>
      </c>
      <c r="P1385" s="13" t="s">
        <v>5795</v>
      </c>
      <c r="Q1385" s="13" t="s">
        <v>5529</v>
      </c>
      <c r="R1385" s="13" t="s">
        <v>4952</v>
      </c>
      <c r="S1385" s="109"/>
      <c r="T1385" s="109"/>
      <c r="U1385" s="112"/>
      <c r="V1385" s="109"/>
      <c r="W1385" s="109"/>
      <c r="X1385" s="109"/>
    </row>
    <row r="1386" spans="2:24">
      <c r="B1386" s="109"/>
      <c r="C1386" s="109"/>
      <c r="D1386" s="20" t="str">
        <f t="shared" si="270"/>
        <v>华泰证券</v>
      </c>
      <c r="E1386" s="109"/>
      <c r="F1386" s="112"/>
      <c r="G1386" s="109"/>
      <c r="H1386" s="109"/>
      <c r="I1386" s="109"/>
      <c r="J1386" s="109"/>
      <c r="K1386" s="14" t="str">
        <f t="shared" si="271"/>
        <v>运营中</v>
      </c>
      <c r="L1386" s="109"/>
      <c r="M1386" s="109"/>
      <c r="N1386" s="13">
        <v>1</v>
      </c>
      <c r="O1386" s="24">
        <v>42125</v>
      </c>
      <c r="P1386" s="13" t="s">
        <v>5795</v>
      </c>
      <c r="Q1386" s="13" t="s">
        <v>4307</v>
      </c>
      <c r="R1386" s="13" t="s">
        <v>7686</v>
      </c>
      <c r="S1386" s="109"/>
      <c r="T1386" s="109"/>
      <c r="U1386" s="112"/>
      <c r="V1386" s="109"/>
      <c r="W1386" s="109"/>
      <c r="X1386" s="109"/>
    </row>
    <row r="1387" spans="2:24">
      <c r="B1387" s="109"/>
      <c r="C1387" s="109"/>
      <c r="D1387" s="20" t="str">
        <f t="shared" si="270"/>
        <v>华泰证券</v>
      </c>
      <c r="E1387" s="109"/>
      <c r="F1387" s="112"/>
      <c r="G1387" s="109"/>
      <c r="H1387" s="109"/>
      <c r="I1387" s="109"/>
      <c r="J1387" s="109"/>
      <c r="K1387" s="14" t="str">
        <f t="shared" si="271"/>
        <v>运营中</v>
      </c>
      <c r="L1387" s="109"/>
      <c r="M1387" s="109"/>
      <c r="N1387" s="13">
        <v>1</v>
      </c>
      <c r="O1387" s="24">
        <v>40235</v>
      </c>
      <c r="P1387" s="13" t="s">
        <v>5625</v>
      </c>
      <c r="Q1387" s="13" t="s">
        <v>7687</v>
      </c>
      <c r="R1387" s="13" t="s">
        <v>253</v>
      </c>
      <c r="S1387" s="109"/>
      <c r="T1387" s="109"/>
      <c r="U1387" s="112"/>
      <c r="V1387" s="109"/>
      <c r="W1387" s="109"/>
      <c r="X1387" s="109"/>
    </row>
    <row r="1388" spans="2:24">
      <c r="B1388" s="109"/>
      <c r="C1388" s="109"/>
      <c r="D1388" s="20" t="str">
        <f t="shared" si="270"/>
        <v>华泰证券</v>
      </c>
      <c r="E1388" s="109"/>
      <c r="F1388" s="112"/>
      <c r="G1388" s="109"/>
      <c r="H1388" s="109"/>
      <c r="I1388" s="109"/>
      <c r="J1388" s="109"/>
      <c r="K1388" s="14" t="str">
        <f t="shared" si="271"/>
        <v>运营中</v>
      </c>
      <c r="L1388" s="109"/>
      <c r="M1388" s="109"/>
      <c r="N1388" s="13">
        <v>1</v>
      </c>
      <c r="O1388" s="24">
        <v>40179</v>
      </c>
      <c r="P1388" s="13" t="s">
        <v>1045</v>
      </c>
      <c r="Q1388" s="13" t="s">
        <v>2030</v>
      </c>
      <c r="R1388" s="13" t="s">
        <v>4955</v>
      </c>
      <c r="S1388" s="109"/>
      <c r="T1388" s="109"/>
      <c r="U1388" s="112"/>
      <c r="V1388" s="109"/>
      <c r="W1388" s="109"/>
      <c r="X1388" s="109"/>
    </row>
    <row r="1389" spans="2:24">
      <c r="B1389" s="109"/>
      <c r="C1389" s="109"/>
      <c r="D1389" s="20" t="str">
        <f t="shared" si="270"/>
        <v>华泰证券</v>
      </c>
      <c r="E1389" s="109"/>
      <c r="F1389" s="112"/>
      <c r="G1389" s="109"/>
      <c r="H1389" s="109"/>
      <c r="I1389" s="109"/>
      <c r="J1389" s="109"/>
      <c r="K1389" s="14" t="str">
        <f t="shared" si="271"/>
        <v>运营中</v>
      </c>
      <c r="L1389" s="109"/>
      <c r="M1389" s="109"/>
      <c r="N1389" s="13">
        <v>1</v>
      </c>
      <c r="O1389" s="24">
        <v>33359</v>
      </c>
      <c r="P1389" s="13" t="s">
        <v>5474</v>
      </c>
      <c r="Q1389" s="13" t="s">
        <v>2030</v>
      </c>
      <c r="R1389" s="13" t="s">
        <v>4956</v>
      </c>
      <c r="S1389" s="109"/>
      <c r="T1389" s="109"/>
      <c r="U1389" s="112"/>
      <c r="V1389" s="109"/>
      <c r="W1389" s="109"/>
      <c r="X1389" s="109"/>
    </row>
    <row r="1390" spans="2:24">
      <c r="B1390" s="109"/>
      <c r="C1390" s="109" t="s">
        <v>4957</v>
      </c>
      <c r="D1390" s="20" t="s">
        <v>7688</v>
      </c>
      <c r="E1390" s="109" t="s">
        <v>7689</v>
      </c>
      <c r="F1390" s="112" t="s">
        <v>7690</v>
      </c>
      <c r="G1390" s="109" t="s">
        <v>7691</v>
      </c>
      <c r="H1390" s="109" t="s">
        <v>4962</v>
      </c>
      <c r="I1390" s="109" t="s">
        <v>4963</v>
      </c>
      <c r="J1390" s="109" t="s">
        <v>1126</v>
      </c>
      <c r="K1390" s="14" t="s">
        <v>272</v>
      </c>
      <c r="L1390" s="109" t="s">
        <v>2711</v>
      </c>
      <c r="M1390" s="109" t="s">
        <v>4903</v>
      </c>
      <c r="N1390" s="13"/>
      <c r="O1390" s="24">
        <v>45135</v>
      </c>
      <c r="P1390" s="13" t="s">
        <v>4306</v>
      </c>
      <c r="Q1390" s="13" t="s">
        <v>1750</v>
      </c>
      <c r="R1390" s="13" t="s">
        <v>7692</v>
      </c>
      <c r="S1390" s="109" t="s">
        <v>7693</v>
      </c>
      <c r="T1390" s="109" t="s">
        <v>7694</v>
      </c>
      <c r="U1390" s="112" t="s">
        <v>4967</v>
      </c>
      <c r="V1390" s="109" t="s">
        <v>4968</v>
      </c>
      <c r="W1390" s="109" t="s">
        <v>4969</v>
      </c>
      <c r="X1390" s="109" t="s">
        <v>4970</v>
      </c>
    </row>
    <row r="1391" spans="2:24">
      <c r="B1391" s="109"/>
      <c r="C1391" s="109"/>
      <c r="D1391" s="20" t="str">
        <f>D1390</f>
        <v>T3出行</v>
      </c>
      <c r="E1391" s="109"/>
      <c r="F1391" s="112"/>
      <c r="G1391" s="109"/>
      <c r="H1391" s="109"/>
      <c r="I1391" s="109"/>
      <c r="J1391" s="109"/>
      <c r="K1391" s="14" t="str">
        <f t="shared" ref="K1391:K1392" si="272">K1390</f>
        <v>运营中</v>
      </c>
      <c r="L1391" s="109"/>
      <c r="M1391" s="109"/>
      <c r="N1391" s="13"/>
      <c r="O1391" s="24">
        <v>44495</v>
      </c>
      <c r="P1391" s="13" t="s">
        <v>3513</v>
      </c>
      <c r="Q1391" s="13" t="s">
        <v>4971</v>
      </c>
      <c r="R1391" s="13" t="s">
        <v>4972</v>
      </c>
      <c r="S1391" s="109"/>
      <c r="T1391" s="109"/>
      <c r="U1391" s="112"/>
      <c r="V1391" s="109"/>
      <c r="W1391" s="109"/>
      <c r="X1391" s="109"/>
    </row>
    <row r="1392" spans="2:24">
      <c r="B1392" s="109"/>
      <c r="C1392" s="109"/>
      <c r="D1392" s="20" t="str">
        <f>D1391</f>
        <v>T3出行</v>
      </c>
      <c r="E1392" s="109"/>
      <c r="F1392" s="112"/>
      <c r="G1392" s="109"/>
      <c r="H1392" s="109"/>
      <c r="I1392" s="109"/>
      <c r="J1392" s="109"/>
      <c r="K1392" s="14" t="str">
        <f t="shared" si="272"/>
        <v>运营中</v>
      </c>
      <c r="L1392" s="109"/>
      <c r="M1392" s="109"/>
      <c r="N1392" s="13"/>
      <c r="O1392" s="24">
        <v>43549</v>
      </c>
      <c r="P1392" s="13" t="s">
        <v>1045</v>
      </c>
      <c r="Q1392" s="13" t="s">
        <v>2030</v>
      </c>
      <c r="R1392" s="13" t="s">
        <v>4973</v>
      </c>
      <c r="S1392" s="109"/>
      <c r="T1392" s="109"/>
      <c r="U1392" s="112"/>
      <c r="V1392" s="109"/>
      <c r="W1392" s="109"/>
      <c r="X1392" s="109"/>
    </row>
    <row r="1393" spans="2:24" ht="72">
      <c r="B1393" s="109"/>
      <c r="C1393" s="13" t="s">
        <v>4974</v>
      </c>
      <c r="D1393" s="25" t="s">
        <v>7695</v>
      </c>
      <c r="E1393" s="13" t="s">
        <v>7696</v>
      </c>
      <c r="F1393" s="18" t="s">
        <v>4976</v>
      </c>
      <c r="G1393" s="13" t="s">
        <v>7697</v>
      </c>
      <c r="H1393" s="13" t="s">
        <v>4978</v>
      </c>
      <c r="I1393" s="13" t="s">
        <v>4717</v>
      </c>
      <c r="J1393" s="13" t="s">
        <v>406</v>
      </c>
      <c r="K1393" s="19" t="s">
        <v>272</v>
      </c>
      <c r="L1393" s="13" t="s">
        <v>3661</v>
      </c>
      <c r="M1393" s="13" t="s">
        <v>5031</v>
      </c>
      <c r="N1393" s="13"/>
      <c r="O1393" s="24">
        <v>43404</v>
      </c>
      <c r="P1393" s="13" t="s">
        <v>1045</v>
      </c>
      <c r="Q1393" s="13" t="s">
        <v>2030</v>
      </c>
      <c r="R1393" s="13" t="s">
        <v>1751</v>
      </c>
      <c r="S1393" s="13" t="s">
        <v>4215</v>
      </c>
      <c r="T1393" s="13" t="s">
        <v>3664</v>
      </c>
      <c r="U1393" s="18"/>
      <c r="V1393" s="13" t="s">
        <v>4979</v>
      </c>
      <c r="W1393" s="13"/>
      <c r="X1393" s="13" t="s">
        <v>4980</v>
      </c>
    </row>
    <row r="1394" spans="2:24">
      <c r="B1394" s="109"/>
      <c r="C1394" s="109" t="s">
        <v>4981</v>
      </c>
      <c r="D1394" s="20" t="s">
        <v>7698</v>
      </c>
      <c r="E1394" s="109" t="s">
        <v>4983</v>
      </c>
      <c r="F1394" s="112" t="s">
        <v>4984</v>
      </c>
      <c r="G1394" s="109" t="s">
        <v>7699</v>
      </c>
      <c r="H1394" s="109" t="s">
        <v>4986</v>
      </c>
      <c r="I1394" s="109" t="s">
        <v>3889</v>
      </c>
      <c r="J1394" s="109" t="s">
        <v>1192</v>
      </c>
      <c r="K1394" s="14" t="s">
        <v>272</v>
      </c>
      <c r="L1394" s="109" t="s">
        <v>1825</v>
      </c>
      <c r="M1394" s="109" t="s">
        <v>4987</v>
      </c>
      <c r="N1394" s="13"/>
      <c r="O1394" s="24">
        <v>44349</v>
      </c>
      <c r="P1394" s="13" t="s">
        <v>1045</v>
      </c>
      <c r="Q1394" s="13" t="s">
        <v>2030</v>
      </c>
      <c r="R1394" s="13" t="s">
        <v>1751</v>
      </c>
      <c r="S1394" s="109" t="s">
        <v>4988</v>
      </c>
      <c r="T1394" s="109" t="s">
        <v>3664</v>
      </c>
      <c r="U1394" s="112" t="s">
        <v>4989</v>
      </c>
      <c r="V1394" s="109" t="s">
        <v>4990</v>
      </c>
      <c r="W1394" s="109" t="s">
        <v>4991</v>
      </c>
      <c r="X1394" s="109" t="s">
        <v>4992</v>
      </c>
    </row>
    <row r="1395" spans="2:24">
      <c r="B1395" s="109"/>
      <c r="C1395" s="109"/>
      <c r="D1395" s="20" t="str">
        <f>D1394</f>
        <v>行云创新</v>
      </c>
      <c r="E1395" s="109"/>
      <c r="F1395" s="112"/>
      <c r="G1395" s="109"/>
      <c r="H1395" s="109"/>
      <c r="I1395" s="109"/>
      <c r="J1395" s="109"/>
      <c r="K1395" s="14" t="str">
        <f t="shared" ref="K1395:K1396" si="273">K1394</f>
        <v>运营中</v>
      </c>
      <c r="L1395" s="109"/>
      <c r="M1395" s="109"/>
      <c r="N1395" s="13"/>
      <c r="O1395" s="24">
        <v>43684</v>
      </c>
      <c r="P1395" s="13" t="s">
        <v>3513</v>
      </c>
      <c r="Q1395" s="13" t="s">
        <v>5787</v>
      </c>
      <c r="R1395" s="13" t="s">
        <v>7700</v>
      </c>
      <c r="S1395" s="109"/>
      <c r="T1395" s="109"/>
      <c r="U1395" s="112"/>
      <c r="V1395" s="109"/>
      <c r="W1395" s="109"/>
      <c r="X1395" s="109"/>
    </row>
    <row r="1396" spans="2:24">
      <c r="B1396" s="109"/>
      <c r="C1396" s="109"/>
      <c r="D1396" s="20" t="str">
        <f>D1395</f>
        <v>行云创新</v>
      </c>
      <c r="E1396" s="109"/>
      <c r="F1396" s="112"/>
      <c r="G1396" s="109"/>
      <c r="H1396" s="109"/>
      <c r="I1396" s="109"/>
      <c r="J1396" s="109"/>
      <c r="K1396" s="14" t="str">
        <f t="shared" si="273"/>
        <v>运营中</v>
      </c>
      <c r="L1396" s="109"/>
      <c r="M1396" s="109"/>
      <c r="N1396" s="13"/>
      <c r="O1396" s="24">
        <v>42981</v>
      </c>
      <c r="P1396" s="13" t="s">
        <v>5474</v>
      </c>
      <c r="Q1396" s="13" t="s">
        <v>2030</v>
      </c>
      <c r="R1396" s="13" t="s">
        <v>7701</v>
      </c>
      <c r="S1396" s="109"/>
      <c r="T1396" s="109"/>
      <c r="U1396" s="112"/>
      <c r="V1396" s="109"/>
      <c r="W1396" s="109"/>
      <c r="X1396" s="109"/>
    </row>
    <row r="1397" spans="2:24">
      <c r="B1397" s="109"/>
      <c r="C1397" s="109" t="s">
        <v>4995</v>
      </c>
      <c r="D1397" s="20" t="s">
        <v>34</v>
      </c>
      <c r="E1397" s="109" t="s">
        <v>34</v>
      </c>
      <c r="F1397" s="112" t="s">
        <v>4996</v>
      </c>
      <c r="G1397" s="109" t="s">
        <v>7702</v>
      </c>
      <c r="H1397" s="109" t="s">
        <v>4998</v>
      </c>
      <c r="I1397" s="109" t="s">
        <v>4792</v>
      </c>
      <c r="J1397" s="109" t="s">
        <v>385</v>
      </c>
      <c r="K1397" s="14" t="s">
        <v>272</v>
      </c>
      <c r="L1397" s="109" t="s">
        <v>4472</v>
      </c>
      <c r="M1397" s="109" t="s">
        <v>4999</v>
      </c>
      <c r="N1397" s="13"/>
      <c r="O1397" s="24">
        <v>44768</v>
      </c>
      <c r="P1397" s="13" t="s">
        <v>4306</v>
      </c>
      <c r="Q1397" s="13" t="s">
        <v>5000</v>
      </c>
      <c r="R1397" s="13" t="s">
        <v>5001</v>
      </c>
      <c r="S1397" s="109" t="s">
        <v>5002</v>
      </c>
      <c r="T1397" s="109" t="s">
        <v>4309</v>
      </c>
      <c r="U1397" s="112"/>
      <c r="V1397" s="109" t="s">
        <v>5003</v>
      </c>
      <c r="W1397" s="109"/>
      <c r="X1397" s="109" t="s">
        <v>5004</v>
      </c>
    </row>
    <row r="1398" spans="2:24">
      <c r="B1398" s="109"/>
      <c r="C1398" s="109"/>
      <c r="D1398" s="20" t="str">
        <f>D1397</f>
        <v>Cabana</v>
      </c>
      <c r="E1398" s="109"/>
      <c r="F1398" s="112"/>
      <c r="G1398" s="109"/>
      <c r="H1398" s="109"/>
      <c r="I1398" s="109"/>
      <c r="J1398" s="109"/>
      <c r="K1398" s="14" t="str">
        <f t="shared" ref="K1398:K1401" si="274">K1397</f>
        <v>运营中</v>
      </c>
      <c r="L1398" s="109"/>
      <c r="M1398" s="109"/>
      <c r="N1398" s="13"/>
      <c r="O1398" s="24">
        <v>44495</v>
      </c>
      <c r="P1398" s="13" t="s">
        <v>3513</v>
      </c>
      <c r="Q1398" s="13" t="s">
        <v>5427</v>
      </c>
      <c r="R1398" s="13" t="s">
        <v>5005</v>
      </c>
      <c r="S1398" s="109"/>
      <c r="T1398" s="109"/>
      <c r="U1398" s="112"/>
      <c r="V1398" s="109"/>
      <c r="W1398" s="109"/>
      <c r="X1398" s="109"/>
    </row>
    <row r="1399" spans="2:24">
      <c r="B1399" s="109"/>
      <c r="C1399" s="109"/>
      <c r="D1399" s="20" t="str">
        <f>D1398</f>
        <v>Cabana</v>
      </c>
      <c r="E1399" s="109"/>
      <c r="F1399" s="112"/>
      <c r="G1399" s="109"/>
      <c r="H1399" s="109"/>
      <c r="I1399" s="109"/>
      <c r="J1399" s="109"/>
      <c r="K1399" s="14" t="str">
        <f t="shared" si="274"/>
        <v>运营中</v>
      </c>
      <c r="L1399" s="109"/>
      <c r="M1399" s="109"/>
      <c r="N1399" s="13"/>
      <c r="O1399" s="24">
        <v>43983</v>
      </c>
      <c r="P1399" s="13" t="s">
        <v>5474</v>
      </c>
      <c r="Q1399" s="13" t="s">
        <v>6386</v>
      </c>
      <c r="R1399" s="13" t="s">
        <v>5006</v>
      </c>
      <c r="S1399" s="109"/>
      <c r="T1399" s="109"/>
      <c r="U1399" s="112"/>
      <c r="V1399" s="109"/>
      <c r="W1399" s="109"/>
      <c r="X1399" s="109"/>
    </row>
    <row r="1400" spans="2:24">
      <c r="B1400" s="109"/>
      <c r="C1400" s="109"/>
      <c r="D1400" s="20" t="str">
        <f>D1399</f>
        <v>Cabana</v>
      </c>
      <c r="E1400" s="109"/>
      <c r="F1400" s="112"/>
      <c r="G1400" s="109"/>
      <c r="H1400" s="109"/>
      <c r="I1400" s="109"/>
      <c r="J1400" s="109"/>
      <c r="K1400" s="14" t="str">
        <f t="shared" si="274"/>
        <v>运营中</v>
      </c>
      <c r="L1400" s="109"/>
      <c r="M1400" s="109"/>
      <c r="N1400" s="13"/>
      <c r="O1400" s="24">
        <v>43886</v>
      </c>
      <c r="P1400" s="13" t="s">
        <v>5474</v>
      </c>
      <c r="Q1400" s="13" t="s">
        <v>2030</v>
      </c>
      <c r="R1400" s="13" t="s">
        <v>5007</v>
      </c>
      <c r="S1400" s="109"/>
      <c r="T1400" s="109"/>
      <c r="U1400" s="112"/>
      <c r="V1400" s="109"/>
      <c r="W1400" s="109"/>
      <c r="X1400" s="109"/>
    </row>
    <row r="1401" spans="2:24">
      <c r="B1401" s="109"/>
      <c r="C1401" s="109"/>
      <c r="D1401" s="20" t="str">
        <f>D1400</f>
        <v>Cabana</v>
      </c>
      <c r="E1401" s="109"/>
      <c r="F1401" s="112"/>
      <c r="G1401" s="109"/>
      <c r="H1401" s="109"/>
      <c r="I1401" s="109"/>
      <c r="J1401" s="109"/>
      <c r="K1401" s="14" t="str">
        <f t="shared" si="274"/>
        <v>运营中</v>
      </c>
      <c r="L1401" s="109"/>
      <c r="M1401" s="109"/>
      <c r="N1401" s="13"/>
      <c r="O1401" s="24">
        <v>43466</v>
      </c>
      <c r="P1401" s="13" t="s">
        <v>5697</v>
      </c>
      <c r="Q1401" s="13" t="s">
        <v>2030</v>
      </c>
      <c r="R1401" s="13" t="s">
        <v>7703</v>
      </c>
      <c r="S1401" s="109"/>
      <c r="T1401" s="109"/>
      <c r="U1401" s="112"/>
      <c r="V1401" s="109"/>
      <c r="W1401" s="109"/>
      <c r="X1401" s="109"/>
    </row>
    <row r="1402" spans="2:24">
      <c r="B1402" s="109"/>
      <c r="C1402" s="109" t="s">
        <v>5009</v>
      </c>
      <c r="D1402" s="20" t="s">
        <v>7704</v>
      </c>
      <c r="E1402" s="109" t="s">
        <v>7705</v>
      </c>
      <c r="F1402" s="112" t="s">
        <v>5011</v>
      </c>
      <c r="G1402" s="109" t="s">
        <v>7706</v>
      </c>
      <c r="H1402" s="109" t="s">
        <v>5013</v>
      </c>
      <c r="I1402" s="109" t="s">
        <v>5014</v>
      </c>
      <c r="J1402" s="109" t="s">
        <v>1192</v>
      </c>
      <c r="K1402" s="14" t="s">
        <v>272</v>
      </c>
      <c r="L1402" s="109" t="s">
        <v>2711</v>
      </c>
      <c r="M1402" s="109" t="s">
        <v>3788</v>
      </c>
      <c r="N1402" s="13"/>
      <c r="O1402" s="24">
        <v>45023</v>
      </c>
      <c r="P1402" s="13" t="s">
        <v>5754</v>
      </c>
      <c r="Q1402" s="13" t="s">
        <v>5000</v>
      </c>
      <c r="R1402" s="13" t="s">
        <v>5015</v>
      </c>
      <c r="S1402" s="109" t="s">
        <v>6601</v>
      </c>
      <c r="T1402" s="109" t="s">
        <v>6590</v>
      </c>
      <c r="U1402" s="112" t="s">
        <v>5016</v>
      </c>
      <c r="V1402" s="109" t="s">
        <v>5017</v>
      </c>
      <c r="W1402" s="109"/>
      <c r="X1402" s="109" t="s">
        <v>5018</v>
      </c>
    </row>
    <row r="1403" spans="2:24">
      <c r="B1403" s="109"/>
      <c r="C1403" s="109"/>
      <c r="D1403" s="20" t="str">
        <f>D1402</f>
        <v>元戎启行</v>
      </c>
      <c r="E1403" s="109"/>
      <c r="F1403" s="112"/>
      <c r="G1403" s="109"/>
      <c r="H1403" s="109"/>
      <c r="I1403" s="109"/>
      <c r="J1403" s="109"/>
      <c r="K1403" s="14" t="str">
        <f t="shared" ref="K1403:K1405" si="275">K1402</f>
        <v>运营中</v>
      </c>
      <c r="L1403" s="109"/>
      <c r="M1403" s="109"/>
      <c r="N1403" s="13"/>
      <c r="O1403" s="24">
        <v>44453</v>
      </c>
      <c r="P1403" s="13" t="s">
        <v>3648</v>
      </c>
      <c r="Q1403" s="13" t="s">
        <v>5019</v>
      </c>
      <c r="R1403" s="13" t="s">
        <v>5020</v>
      </c>
      <c r="S1403" s="109"/>
      <c r="T1403" s="109"/>
      <c r="U1403" s="112"/>
      <c r="V1403" s="109"/>
      <c r="W1403" s="109"/>
      <c r="X1403" s="109"/>
    </row>
    <row r="1404" spans="2:24">
      <c r="B1404" s="109"/>
      <c r="C1404" s="109"/>
      <c r="D1404" s="20" t="str">
        <f>D1403</f>
        <v>元戎启行</v>
      </c>
      <c r="E1404" s="109"/>
      <c r="F1404" s="112"/>
      <c r="G1404" s="109"/>
      <c r="H1404" s="109"/>
      <c r="I1404" s="109"/>
      <c r="J1404" s="109"/>
      <c r="K1404" s="14" t="str">
        <f t="shared" si="275"/>
        <v>运营中</v>
      </c>
      <c r="L1404" s="109"/>
      <c r="M1404" s="109"/>
      <c r="N1404" s="13"/>
      <c r="O1404" s="24">
        <v>44162</v>
      </c>
      <c r="P1404" s="13" t="s">
        <v>3513</v>
      </c>
      <c r="Q1404" s="13" t="s">
        <v>5000</v>
      </c>
      <c r="R1404" s="13" t="s">
        <v>5021</v>
      </c>
      <c r="S1404" s="109"/>
      <c r="T1404" s="109"/>
      <c r="U1404" s="112"/>
      <c r="V1404" s="109"/>
      <c r="W1404" s="109"/>
      <c r="X1404" s="109"/>
    </row>
    <row r="1405" spans="2:24">
      <c r="B1405" s="109"/>
      <c r="C1405" s="109"/>
      <c r="D1405" s="20" t="str">
        <f>D1404</f>
        <v>元戎启行</v>
      </c>
      <c r="E1405" s="109"/>
      <c r="F1405" s="112"/>
      <c r="G1405" s="109"/>
      <c r="H1405" s="109"/>
      <c r="I1405" s="109"/>
      <c r="J1405" s="109"/>
      <c r="K1405" s="14" t="str">
        <f t="shared" si="275"/>
        <v>运营中</v>
      </c>
      <c r="L1405" s="109"/>
      <c r="M1405" s="109"/>
      <c r="N1405" s="13"/>
      <c r="O1405" s="24">
        <v>43732</v>
      </c>
      <c r="P1405" s="13" t="s">
        <v>5454</v>
      </c>
      <c r="Q1405" s="13" t="s">
        <v>5360</v>
      </c>
      <c r="R1405" s="13" t="s">
        <v>7707</v>
      </c>
      <c r="S1405" s="109"/>
      <c r="T1405" s="109"/>
      <c r="U1405" s="112"/>
      <c r="V1405" s="109"/>
      <c r="W1405" s="109"/>
      <c r="X1405" s="109"/>
    </row>
    <row r="1406" spans="2:24">
      <c r="B1406" s="109"/>
      <c r="C1406" s="109" t="s">
        <v>5023</v>
      </c>
      <c r="D1406" s="20" t="s">
        <v>7708</v>
      </c>
      <c r="E1406" s="109" t="s">
        <v>5025</v>
      </c>
      <c r="F1406" s="112" t="s">
        <v>5026</v>
      </c>
      <c r="G1406" s="109" t="s">
        <v>7709</v>
      </c>
      <c r="H1406" s="109" t="s">
        <v>5028</v>
      </c>
      <c r="I1406" s="109" t="s">
        <v>5029</v>
      </c>
      <c r="J1406" s="109" t="s">
        <v>5030</v>
      </c>
      <c r="K1406" s="14" t="s">
        <v>272</v>
      </c>
      <c r="L1406" s="109" t="s">
        <v>3661</v>
      </c>
      <c r="M1406" s="109" t="s">
        <v>5031</v>
      </c>
      <c r="N1406" s="13"/>
      <c r="O1406" s="24">
        <v>44609</v>
      </c>
      <c r="P1406" s="13" t="s">
        <v>1045</v>
      </c>
      <c r="Q1406" s="13" t="s">
        <v>2030</v>
      </c>
      <c r="R1406" s="13" t="s">
        <v>5032</v>
      </c>
      <c r="S1406" s="109" t="s">
        <v>5033</v>
      </c>
      <c r="T1406" s="109" t="s">
        <v>5034</v>
      </c>
      <c r="U1406" s="112" t="s">
        <v>5035</v>
      </c>
      <c r="V1406" s="109" t="s">
        <v>5036</v>
      </c>
      <c r="W1406" s="109"/>
      <c r="X1406" s="109" t="s">
        <v>5037</v>
      </c>
    </row>
    <row r="1407" spans="2:24">
      <c r="B1407" s="109"/>
      <c r="C1407" s="109"/>
      <c r="D1407" s="20" t="str">
        <f>D1406</f>
        <v>长鑫存储</v>
      </c>
      <c r="E1407" s="109"/>
      <c r="F1407" s="112"/>
      <c r="G1407" s="109"/>
      <c r="H1407" s="109"/>
      <c r="I1407" s="109"/>
      <c r="J1407" s="109"/>
      <c r="K1407" s="14" t="str">
        <f t="shared" ref="K1407:K1408" si="276">K1406</f>
        <v>运营中</v>
      </c>
      <c r="L1407" s="109"/>
      <c r="M1407" s="109"/>
      <c r="N1407" s="13"/>
      <c r="O1407" s="24">
        <v>44467</v>
      </c>
      <c r="P1407" s="13" t="s">
        <v>1045</v>
      </c>
      <c r="Q1407" s="13" t="s">
        <v>1750</v>
      </c>
      <c r="R1407" s="13" t="s">
        <v>5038</v>
      </c>
      <c r="S1407" s="109"/>
      <c r="T1407" s="109"/>
      <c r="U1407" s="112"/>
      <c r="V1407" s="109"/>
      <c r="W1407" s="109"/>
      <c r="X1407" s="109"/>
    </row>
    <row r="1408" spans="2:24">
      <c r="B1408" s="109"/>
      <c r="C1408" s="109"/>
      <c r="D1408" s="20" t="str">
        <f>D1407</f>
        <v>长鑫存储</v>
      </c>
      <c r="E1408" s="109"/>
      <c r="F1408" s="112"/>
      <c r="G1408" s="109"/>
      <c r="H1408" s="109"/>
      <c r="I1408" s="109"/>
      <c r="J1408" s="109"/>
      <c r="K1408" s="14" t="str">
        <f t="shared" si="276"/>
        <v>运营中</v>
      </c>
      <c r="L1408" s="109"/>
      <c r="M1408" s="109"/>
      <c r="N1408" s="13"/>
      <c r="O1408" s="24">
        <v>44181</v>
      </c>
      <c r="P1408" s="13" t="s">
        <v>1045</v>
      </c>
      <c r="Q1408" s="13" t="s">
        <v>7710</v>
      </c>
      <c r="R1408" s="13" t="s">
        <v>5040</v>
      </c>
      <c r="S1408" s="109"/>
      <c r="T1408" s="109"/>
      <c r="U1408" s="112"/>
      <c r="V1408" s="109"/>
      <c r="W1408" s="109"/>
      <c r="X1408" s="109"/>
    </row>
    <row r="1409" spans="2:24" ht="84">
      <c r="B1409" s="109"/>
      <c r="C1409" s="13" t="s">
        <v>5041</v>
      </c>
      <c r="D1409" s="25" t="s">
        <v>7711</v>
      </c>
      <c r="E1409" s="13" t="s">
        <v>7712</v>
      </c>
      <c r="F1409" s="18" t="s">
        <v>5043</v>
      </c>
      <c r="G1409" s="13" t="s">
        <v>7713</v>
      </c>
      <c r="H1409" s="13" t="s">
        <v>5045</v>
      </c>
      <c r="I1409" s="13" t="s">
        <v>5046</v>
      </c>
      <c r="J1409" s="13" t="s">
        <v>5047</v>
      </c>
      <c r="K1409" s="19" t="s">
        <v>272</v>
      </c>
      <c r="L1409" s="13" t="s">
        <v>3274</v>
      </c>
      <c r="M1409" s="13" t="s">
        <v>5729</v>
      </c>
      <c r="N1409" s="13"/>
      <c r="O1409" s="24">
        <v>43789</v>
      </c>
      <c r="P1409" s="13" t="s">
        <v>1045</v>
      </c>
      <c r="Q1409" s="13" t="s">
        <v>1750</v>
      </c>
      <c r="R1409" s="13" t="s">
        <v>1751</v>
      </c>
      <c r="S1409" s="13" t="s">
        <v>5504</v>
      </c>
      <c r="T1409" s="13" t="s">
        <v>1829</v>
      </c>
      <c r="U1409" s="18" t="s">
        <v>5048</v>
      </c>
      <c r="V1409" s="13" t="s">
        <v>5049</v>
      </c>
      <c r="W1409" s="13" t="s">
        <v>5050</v>
      </c>
      <c r="X1409" s="13"/>
    </row>
    <row r="1410" spans="2:24" ht="47.5">
      <c r="B1410" s="109"/>
      <c r="C1410" s="13" t="s">
        <v>5051</v>
      </c>
      <c r="D1410" s="25" t="s">
        <v>5052</v>
      </c>
      <c r="E1410" s="13" t="s">
        <v>5052</v>
      </c>
      <c r="F1410" s="18" t="s">
        <v>7714</v>
      </c>
      <c r="G1410" s="13"/>
      <c r="H1410" s="13" t="s">
        <v>5054</v>
      </c>
      <c r="I1410" s="13" t="s">
        <v>4160</v>
      </c>
      <c r="J1410" s="13" t="s">
        <v>1502</v>
      </c>
      <c r="K1410" s="19" t="s">
        <v>272</v>
      </c>
      <c r="L1410" s="13" t="s">
        <v>5472</v>
      </c>
      <c r="M1410" s="13" t="s">
        <v>5473</v>
      </c>
      <c r="N1410" s="13"/>
      <c r="O1410" s="24">
        <v>43805</v>
      </c>
      <c r="P1410" s="13" t="s">
        <v>5697</v>
      </c>
      <c r="Q1410" s="13" t="s">
        <v>7715</v>
      </c>
      <c r="R1410" s="13" t="s">
        <v>5056</v>
      </c>
      <c r="S1410" s="13" t="s">
        <v>7716</v>
      </c>
      <c r="T1410" s="13" t="s">
        <v>7717</v>
      </c>
      <c r="U1410" s="18"/>
      <c r="V1410" s="13"/>
      <c r="W1410" s="13"/>
      <c r="X1410" s="13"/>
    </row>
    <row r="1411" spans="2:24" ht="36">
      <c r="B1411" s="109"/>
      <c r="C1411" s="13" t="s">
        <v>5059</v>
      </c>
      <c r="D1411" s="25" t="s">
        <v>7718</v>
      </c>
      <c r="E1411" s="13" t="s">
        <v>7719</v>
      </c>
      <c r="F1411" s="18" t="s">
        <v>7720</v>
      </c>
      <c r="G1411" s="13" t="s">
        <v>7721</v>
      </c>
      <c r="H1411" s="13"/>
      <c r="I1411" s="13" t="s">
        <v>5063</v>
      </c>
      <c r="J1411" s="13" t="s">
        <v>547</v>
      </c>
      <c r="K1411" s="19" t="s">
        <v>272</v>
      </c>
      <c r="L1411" s="13" t="s">
        <v>2711</v>
      </c>
      <c r="M1411" s="13" t="s">
        <v>4903</v>
      </c>
      <c r="N1411" s="13"/>
      <c r="O1411" s="24">
        <v>43826</v>
      </c>
      <c r="P1411" s="13" t="s">
        <v>1045</v>
      </c>
      <c r="Q1411" s="13" t="s">
        <v>6643</v>
      </c>
      <c r="R1411" s="13" t="s">
        <v>1751</v>
      </c>
      <c r="S1411" s="13" t="s">
        <v>7722</v>
      </c>
      <c r="T1411" s="13" t="s">
        <v>6727</v>
      </c>
      <c r="U1411" s="18" t="s">
        <v>5065</v>
      </c>
      <c r="V1411" s="13" t="s">
        <v>5066</v>
      </c>
      <c r="W1411" s="13"/>
      <c r="X1411" s="13"/>
    </row>
    <row r="1412" spans="2:24">
      <c r="B1412" s="109"/>
      <c r="C1412" s="109" t="s">
        <v>2521</v>
      </c>
      <c r="D1412" s="20" t="s">
        <v>5067</v>
      </c>
      <c r="E1412" s="109" t="s">
        <v>5067</v>
      </c>
      <c r="F1412" s="112" t="s">
        <v>7723</v>
      </c>
      <c r="G1412" s="109"/>
      <c r="H1412" s="109" t="s">
        <v>5069</v>
      </c>
      <c r="I1412" s="109" t="s">
        <v>5070</v>
      </c>
      <c r="J1412" s="109" t="s">
        <v>1564</v>
      </c>
      <c r="K1412" s="14" t="s">
        <v>272</v>
      </c>
      <c r="L1412" s="109" t="s">
        <v>4162</v>
      </c>
      <c r="M1412" s="109" t="s">
        <v>929</v>
      </c>
      <c r="N1412" s="13">
        <v>1</v>
      </c>
      <c r="O1412" s="24">
        <v>44201</v>
      </c>
      <c r="P1412" s="13" t="s">
        <v>5709</v>
      </c>
      <c r="Q1412" s="13" t="s">
        <v>5000</v>
      </c>
      <c r="R1412" s="13" t="s">
        <v>5071</v>
      </c>
      <c r="S1412" s="109" t="s">
        <v>7724</v>
      </c>
      <c r="T1412" s="109" t="s">
        <v>3664</v>
      </c>
      <c r="U1412" s="112" t="s">
        <v>5073</v>
      </c>
      <c r="V1412" s="109"/>
      <c r="W1412" s="109"/>
      <c r="X1412" s="109"/>
    </row>
    <row r="1413" spans="2:24">
      <c r="B1413" s="109"/>
      <c r="C1413" s="109"/>
      <c r="D1413" s="20" t="str">
        <f>D1412</f>
        <v>Quibi</v>
      </c>
      <c r="E1413" s="109"/>
      <c r="F1413" s="112"/>
      <c r="G1413" s="109"/>
      <c r="H1413" s="109"/>
      <c r="I1413" s="109"/>
      <c r="J1413" s="109"/>
      <c r="K1413" s="14" t="str">
        <f t="shared" ref="K1413:K1416" si="277">K1412</f>
        <v>运营中</v>
      </c>
      <c r="L1413" s="109"/>
      <c r="M1413" s="109"/>
      <c r="N1413" s="13">
        <v>1</v>
      </c>
      <c r="O1413" s="24">
        <v>43895</v>
      </c>
      <c r="P1413" s="13" t="s">
        <v>1045</v>
      </c>
      <c r="Q1413" s="13" t="s">
        <v>6769</v>
      </c>
      <c r="R1413" s="13" t="s">
        <v>5074</v>
      </c>
      <c r="S1413" s="109"/>
      <c r="T1413" s="109"/>
      <c r="U1413" s="112"/>
      <c r="V1413" s="109"/>
      <c r="W1413" s="109"/>
      <c r="X1413" s="109"/>
    </row>
    <row r="1414" spans="2:24">
      <c r="B1414" s="109"/>
      <c r="C1414" s="109"/>
      <c r="D1414" s="20" t="str">
        <f>D1413</f>
        <v>Quibi</v>
      </c>
      <c r="E1414" s="109"/>
      <c r="F1414" s="112"/>
      <c r="G1414" s="109"/>
      <c r="H1414" s="109"/>
      <c r="I1414" s="109"/>
      <c r="J1414" s="109"/>
      <c r="K1414" s="14" t="str">
        <f t="shared" si="277"/>
        <v>运营中</v>
      </c>
      <c r="L1414" s="109"/>
      <c r="M1414" s="109"/>
      <c r="N1414" s="13">
        <v>1</v>
      </c>
      <c r="O1414" s="24">
        <v>43839</v>
      </c>
      <c r="P1414" s="13" t="s">
        <v>1045</v>
      </c>
      <c r="Q1414" s="13" t="s">
        <v>4562</v>
      </c>
      <c r="R1414" s="13" t="s">
        <v>253</v>
      </c>
      <c r="S1414" s="109"/>
      <c r="T1414" s="109"/>
      <c r="U1414" s="112"/>
      <c r="V1414" s="109"/>
      <c r="W1414" s="109"/>
      <c r="X1414" s="109"/>
    </row>
    <row r="1415" spans="2:24">
      <c r="B1415" s="109"/>
      <c r="C1415" s="109"/>
      <c r="D1415" s="20" t="str">
        <f>D1414</f>
        <v>Quibi</v>
      </c>
      <c r="E1415" s="109"/>
      <c r="F1415" s="112"/>
      <c r="G1415" s="109"/>
      <c r="H1415" s="109"/>
      <c r="I1415" s="109"/>
      <c r="J1415" s="109"/>
      <c r="K1415" s="14" t="str">
        <f t="shared" si="277"/>
        <v>运营中</v>
      </c>
      <c r="L1415" s="109"/>
      <c r="M1415" s="109"/>
      <c r="N1415" s="13">
        <v>1</v>
      </c>
      <c r="O1415" s="24">
        <v>43319</v>
      </c>
      <c r="P1415" s="13" t="s">
        <v>1045</v>
      </c>
      <c r="Q1415" s="13" t="s">
        <v>5637</v>
      </c>
      <c r="R1415" s="13" t="s">
        <v>4544</v>
      </c>
      <c r="S1415" s="109"/>
      <c r="T1415" s="109"/>
      <c r="U1415" s="112"/>
      <c r="V1415" s="109"/>
      <c r="W1415" s="109"/>
      <c r="X1415" s="109"/>
    </row>
    <row r="1416" spans="2:24">
      <c r="B1416" s="109"/>
      <c r="C1416" s="109"/>
      <c r="D1416" s="20" t="str">
        <f>D1415</f>
        <v>Quibi</v>
      </c>
      <c r="E1416" s="109"/>
      <c r="F1416" s="112"/>
      <c r="G1416" s="109"/>
      <c r="H1416" s="109"/>
      <c r="I1416" s="109"/>
      <c r="J1416" s="109"/>
      <c r="K1416" s="14" t="str">
        <f t="shared" si="277"/>
        <v>运营中</v>
      </c>
      <c r="L1416" s="109"/>
      <c r="M1416" s="109"/>
      <c r="N1416" s="13">
        <v>1</v>
      </c>
      <c r="O1416" s="24">
        <v>43232</v>
      </c>
      <c r="P1416" s="13" t="s">
        <v>1045</v>
      </c>
      <c r="Q1416" s="13" t="s">
        <v>7514</v>
      </c>
      <c r="R1416" s="13" t="s">
        <v>7725</v>
      </c>
      <c r="S1416" s="109"/>
      <c r="T1416" s="109"/>
      <c r="U1416" s="112"/>
      <c r="V1416" s="109"/>
      <c r="W1416" s="109"/>
      <c r="X1416" s="109"/>
    </row>
    <row r="1417" spans="2:24">
      <c r="B1417" s="109"/>
      <c r="C1417" s="109" t="s">
        <v>4557</v>
      </c>
      <c r="D1417" s="20" t="s">
        <v>7726</v>
      </c>
      <c r="E1417" s="109" t="s">
        <v>5077</v>
      </c>
      <c r="F1417" s="112" t="s">
        <v>5078</v>
      </c>
      <c r="G1417" s="109" t="s">
        <v>7727</v>
      </c>
      <c r="H1417" s="109" t="s">
        <v>5080</v>
      </c>
      <c r="I1417" s="109" t="s">
        <v>5081</v>
      </c>
      <c r="J1417" s="109" t="s">
        <v>428</v>
      </c>
      <c r="K1417" s="14" t="s">
        <v>272</v>
      </c>
      <c r="L1417" s="109" t="s">
        <v>3661</v>
      </c>
      <c r="M1417" s="109" t="s">
        <v>5031</v>
      </c>
      <c r="N1417" s="13"/>
      <c r="O1417" s="24">
        <v>44550</v>
      </c>
      <c r="P1417" s="13" t="s">
        <v>3648</v>
      </c>
      <c r="Q1417" s="13" t="s">
        <v>5082</v>
      </c>
      <c r="R1417" s="13" t="s">
        <v>5083</v>
      </c>
      <c r="S1417" s="109" t="s">
        <v>5084</v>
      </c>
      <c r="T1417" s="109" t="s">
        <v>5085</v>
      </c>
      <c r="U1417" s="112" t="s">
        <v>5086</v>
      </c>
      <c r="V1417" s="109" t="s">
        <v>5087</v>
      </c>
      <c r="W1417" s="109" t="s">
        <v>5088</v>
      </c>
      <c r="X1417" s="109" t="s">
        <v>5089</v>
      </c>
    </row>
    <row r="1418" spans="2:24">
      <c r="B1418" s="109"/>
      <c r="C1418" s="109"/>
      <c r="D1418" s="20" t="str">
        <f>D1417</f>
        <v>瀚博半导体</v>
      </c>
      <c r="E1418" s="109"/>
      <c r="F1418" s="112"/>
      <c r="G1418" s="109"/>
      <c r="H1418" s="109"/>
      <c r="I1418" s="109"/>
      <c r="J1418" s="109"/>
      <c r="K1418" s="14" t="str">
        <f t="shared" ref="K1418:K1419" si="278">K1417</f>
        <v>运营中</v>
      </c>
      <c r="L1418" s="109"/>
      <c r="M1418" s="109"/>
      <c r="N1418" s="13"/>
      <c r="O1418" s="24">
        <v>44314</v>
      </c>
      <c r="P1418" s="13" t="s">
        <v>4306</v>
      </c>
      <c r="Q1418" s="13" t="s">
        <v>5847</v>
      </c>
      <c r="R1418" s="13" t="s">
        <v>5090</v>
      </c>
      <c r="S1418" s="109"/>
      <c r="T1418" s="109"/>
      <c r="U1418" s="112"/>
      <c r="V1418" s="109"/>
      <c r="W1418" s="109"/>
      <c r="X1418" s="109"/>
    </row>
    <row r="1419" spans="2:24">
      <c r="B1419" s="109"/>
      <c r="C1419" s="109"/>
      <c r="D1419" s="20" t="str">
        <f>D1418</f>
        <v>瀚博半导体</v>
      </c>
      <c r="E1419" s="109"/>
      <c r="F1419" s="112"/>
      <c r="G1419" s="109"/>
      <c r="H1419" s="109"/>
      <c r="I1419" s="109"/>
      <c r="J1419" s="109"/>
      <c r="K1419" s="14" t="str">
        <f t="shared" si="278"/>
        <v>运营中</v>
      </c>
      <c r="L1419" s="109"/>
      <c r="M1419" s="109"/>
      <c r="N1419" s="13"/>
      <c r="O1419" s="24">
        <v>44165</v>
      </c>
      <c r="P1419" s="13" t="s">
        <v>3513</v>
      </c>
      <c r="Q1419" s="13" t="s">
        <v>5360</v>
      </c>
      <c r="R1419" s="13" t="s">
        <v>5091</v>
      </c>
      <c r="S1419" s="109"/>
      <c r="T1419" s="109"/>
      <c r="U1419" s="112"/>
      <c r="V1419" s="109"/>
      <c r="W1419" s="109"/>
      <c r="X1419" s="109"/>
    </row>
    <row r="1420" spans="2:24" ht="72">
      <c r="B1420" s="109"/>
      <c r="C1420" s="13" t="s">
        <v>4781</v>
      </c>
      <c r="D1420" s="25" t="s">
        <v>7728</v>
      </c>
      <c r="E1420" s="13" t="s">
        <v>7729</v>
      </c>
      <c r="F1420" s="18" t="s">
        <v>5093</v>
      </c>
      <c r="G1420" s="13" t="s">
        <v>7730</v>
      </c>
      <c r="H1420" s="13" t="s">
        <v>5095</v>
      </c>
      <c r="I1420" s="13" t="s">
        <v>2887</v>
      </c>
      <c r="J1420" s="13" t="s">
        <v>1192</v>
      </c>
      <c r="K1420" s="19" t="s">
        <v>272</v>
      </c>
      <c r="L1420" s="13" t="s">
        <v>3661</v>
      </c>
      <c r="M1420" s="13" t="s">
        <v>7731</v>
      </c>
      <c r="N1420" s="13"/>
      <c r="O1420" s="24">
        <v>43461</v>
      </c>
      <c r="P1420" s="13" t="s">
        <v>1045</v>
      </c>
      <c r="Q1420" s="13" t="s">
        <v>2030</v>
      </c>
      <c r="R1420" s="13" t="s">
        <v>1751</v>
      </c>
      <c r="S1420" s="13" t="s">
        <v>4215</v>
      </c>
      <c r="T1420" s="13" t="s">
        <v>3664</v>
      </c>
      <c r="U1420" s="18" t="s">
        <v>5097</v>
      </c>
      <c r="V1420" s="13" t="s">
        <v>5098</v>
      </c>
      <c r="W1420" s="13" t="s">
        <v>5099</v>
      </c>
      <c r="X1420" s="13" t="s">
        <v>5100</v>
      </c>
    </row>
    <row r="1421" spans="2:24">
      <c r="B1421" s="109"/>
      <c r="C1421" s="109" t="s">
        <v>5101</v>
      </c>
      <c r="D1421" s="20" t="s">
        <v>5102</v>
      </c>
      <c r="E1421" s="109" t="s">
        <v>5102</v>
      </c>
      <c r="F1421" s="112" t="s">
        <v>7732</v>
      </c>
      <c r="G1421" s="109"/>
      <c r="H1421" s="109" t="s">
        <v>5104</v>
      </c>
      <c r="I1421" s="109" t="s">
        <v>2887</v>
      </c>
      <c r="J1421" s="109" t="s">
        <v>1780</v>
      </c>
      <c r="K1421" s="14" t="s">
        <v>272</v>
      </c>
      <c r="L1421" s="109" t="s">
        <v>3548</v>
      </c>
      <c r="M1421" s="109" t="s">
        <v>7733</v>
      </c>
      <c r="N1421" s="13"/>
      <c r="O1421" s="24">
        <v>43886</v>
      </c>
      <c r="P1421" s="13" t="s">
        <v>3648</v>
      </c>
      <c r="Q1421" s="13" t="s">
        <v>5591</v>
      </c>
      <c r="R1421" s="13" t="s">
        <v>7734</v>
      </c>
      <c r="S1421" s="109" t="s">
        <v>5936</v>
      </c>
      <c r="T1421" s="109" t="s">
        <v>5594</v>
      </c>
      <c r="U1421" s="112" t="s">
        <v>5107</v>
      </c>
      <c r="V1421" s="109"/>
      <c r="W1421" s="109"/>
      <c r="X1421" s="109"/>
    </row>
    <row r="1422" spans="2:24">
      <c r="B1422" s="109"/>
      <c r="C1422" s="109"/>
      <c r="D1422" s="20" t="str">
        <f>D1421</f>
        <v>Amwise Diagnostics</v>
      </c>
      <c r="E1422" s="109"/>
      <c r="F1422" s="112"/>
      <c r="G1422" s="109"/>
      <c r="H1422" s="109"/>
      <c r="I1422" s="109"/>
      <c r="J1422" s="109"/>
      <c r="K1422" s="14" t="str">
        <f>K1421</f>
        <v>运营中</v>
      </c>
      <c r="L1422" s="109"/>
      <c r="M1422" s="109"/>
      <c r="N1422" s="13"/>
      <c r="O1422" s="24">
        <v>42370</v>
      </c>
      <c r="P1422" s="13" t="s">
        <v>3513</v>
      </c>
      <c r="Q1422" s="13" t="s">
        <v>5000</v>
      </c>
      <c r="R1422" s="13" t="s">
        <v>5108</v>
      </c>
      <c r="S1422" s="109"/>
      <c r="T1422" s="109"/>
      <c r="U1422" s="112"/>
      <c r="V1422" s="109"/>
      <c r="W1422" s="109"/>
      <c r="X1422" s="109"/>
    </row>
    <row r="1423" spans="2:24">
      <c r="B1423" s="109"/>
      <c r="C1423" s="109" t="s">
        <v>3271</v>
      </c>
      <c r="D1423" s="20" t="s">
        <v>7735</v>
      </c>
      <c r="E1423" s="109" t="s">
        <v>5110</v>
      </c>
      <c r="F1423" s="112" t="s">
        <v>5111</v>
      </c>
      <c r="G1423" s="109" t="s">
        <v>7736</v>
      </c>
      <c r="H1423" s="109" t="s">
        <v>5113</v>
      </c>
      <c r="I1423" s="109" t="s">
        <v>5014</v>
      </c>
      <c r="J1423" s="109" t="s">
        <v>406</v>
      </c>
      <c r="K1423" s="14" t="s">
        <v>272</v>
      </c>
      <c r="L1423" s="109" t="s">
        <v>3548</v>
      </c>
      <c r="M1423" s="109" t="s">
        <v>3549</v>
      </c>
      <c r="N1423" s="13"/>
      <c r="O1423" s="24">
        <v>44465</v>
      </c>
      <c r="P1423" s="13" t="s">
        <v>1045</v>
      </c>
      <c r="Q1423" s="13" t="s">
        <v>1750</v>
      </c>
      <c r="R1423" s="13" t="s">
        <v>5114</v>
      </c>
      <c r="S1423" s="109" t="s">
        <v>5115</v>
      </c>
      <c r="T1423" s="109" t="s">
        <v>5116</v>
      </c>
      <c r="U1423" s="112" t="s">
        <v>5117</v>
      </c>
      <c r="V1423" s="109" t="s">
        <v>5118</v>
      </c>
      <c r="W1423" s="109"/>
      <c r="X1423" s="109"/>
    </row>
    <row r="1424" spans="2:24">
      <c r="B1424" s="109"/>
      <c r="C1424" s="109"/>
      <c r="D1424" s="20" t="str">
        <f>D1423</f>
        <v>杰毅生物</v>
      </c>
      <c r="E1424" s="109"/>
      <c r="F1424" s="112"/>
      <c r="G1424" s="109"/>
      <c r="H1424" s="109"/>
      <c r="I1424" s="109"/>
      <c r="J1424" s="109"/>
      <c r="K1424" s="14" t="str">
        <f t="shared" ref="K1424:K1426" si="279">K1423</f>
        <v>运营中</v>
      </c>
      <c r="L1424" s="109"/>
      <c r="M1424" s="109"/>
      <c r="N1424" s="13"/>
      <c r="O1424" s="24">
        <v>44216</v>
      </c>
      <c r="P1424" s="13" t="s">
        <v>3648</v>
      </c>
      <c r="Q1424" s="13" t="s">
        <v>3483</v>
      </c>
      <c r="R1424" s="13" t="s">
        <v>5119</v>
      </c>
      <c r="S1424" s="109"/>
      <c r="T1424" s="109"/>
      <c r="U1424" s="112"/>
      <c r="V1424" s="109"/>
      <c r="W1424" s="109"/>
      <c r="X1424" s="109"/>
    </row>
    <row r="1425" spans="2:24">
      <c r="B1425" s="109"/>
      <c r="C1425" s="109"/>
      <c r="D1425" s="20" t="str">
        <f>D1424</f>
        <v>杰毅生物</v>
      </c>
      <c r="E1425" s="109"/>
      <c r="F1425" s="112"/>
      <c r="G1425" s="109"/>
      <c r="H1425" s="109"/>
      <c r="I1425" s="109"/>
      <c r="J1425" s="109"/>
      <c r="K1425" s="14" t="str">
        <f t="shared" si="279"/>
        <v>运营中</v>
      </c>
      <c r="L1425" s="109"/>
      <c r="M1425" s="109"/>
      <c r="N1425" s="13"/>
      <c r="O1425" s="24">
        <v>44046</v>
      </c>
      <c r="P1425" s="13" t="s">
        <v>3513</v>
      </c>
      <c r="Q1425" s="13" t="s">
        <v>2030</v>
      </c>
      <c r="R1425" s="13" t="s">
        <v>7737</v>
      </c>
      <c r="S1425" s="109"/>
      <c r="T1425" s="109"/>
      <c r="U1425" s="112"/>
      <c r="V1425" s="109"/>
      <c r="W1425" s="109"/>
      <c r="X1425" s="109"/>
    </row>
    <row r="1426" spans="2:24">
      <c r="B1426" s="109"/>
      <c r="C1426" s="109"/>
      <c r="D1426" s="20" t="str">
        <f>D1425</f>
        <v>杰毅生物</v>
      </c>
      <c r="E1426" s="109"/>
      <c r="F1426" s="112"/>
      <c r="G1426" s="109"/>
      <c r="H1426" s="109"/>
      <c r="I1426" s="109"/>
      <c r="J1426" s="109"/>
      <c r="K1426" s="14" t="str">
        <f t="shared" si="279"/>
        <v>运营中</v>
      </c>
      <c r="L1426" s="109"/>
      <c r="M1426" s="109"/>
      <c r="N1426" s="13"/>
      <c r="O1426" s="24">
        <v>43907</v>
      </c>
      <c r="P1426" s="13" t="s">
        <v>5454</v>
      </c>
      <c r="Q1426" s="13" t="s">
        <v>2030</v>
      </c>
      <c r="R1426" s="13" t="s">
        <v>5121</v>
      </c>
      <c r="S1426" s="109"/>
      <c r="T1426" s="109"/>
      <c r="U1426" s="112"/>
      <c r="V1426" s="109"/>
      <c r="W1426" s="109"/>
      <c r="X1426" s="109"/>
    </row>
    <row r="1427" spans="2:24">
      <c r="B1427" s="109"/>
      <c r="C1427" s="109" t="s">
        <v>5122</v>
      </c>
      <c r="D1427" s="20" t="s">
        <v>96</v>
      </c>
      <c r="E1427" s="109" t="s">
        <v>96</v>
      </c>
      <c r="F1427" s="112" t="s">
        <v>7738</v>
      </c>
      <c r="G1427" s="109"/>
      <c r="H1427" s="109" t="s">
        <v>5124</v>
      </c>
      <c r="I1427" s="109" t="s">
        <v>2070</v>
      </c>
      <c r="J1427" s="109" t="s">
        <v>1931</v>
      </c>
      <c r="K1427" s="14" t="s">
        <v>272</v>
      </c>
      <c r="L1427" s="109" t="s">
        <v>5611</v>
      </c>
      <c r="M1427" s="109" t="s">
        <v>6269</v>
      </c>
      <c r="N1427" s="13"/>
      <c r="O1427" s="24">
        <v>44938</v>
      </c>
      <c r="P1427" s="13" t="s">
        <v>5754</v>
      </c>
      <c r="Q1427" s="13" t="s">
        <v>5756</v>
      </c>
      <c r="R1427" s="13" t="s">
        <v>5125</v>
      </c>
      <c r="S1427" s="109" t="s">
        <v>7739</v>
      </c>
      <c r="T1427" s="109" t="s">
        <v>7740</v>
      </c>
      <c r="U1427" s="112" t="s">
        <v>5128</v>
      </c>
      <c r="V1427" s="109"/>
      <c r="W1427" s="109"/>
      <c r="X1427" s="109"/>
    </row>
    <row r="1428" spans="2:24">
      <c r="B1428" s="109"/>
      <c r="C1428" s="109"/>
      <c r="D1428" s="20" t="str">
        <f>D1427</f>
        <v>Hotelmize</v>
      </c>
      <c r="E1428" s="109"/>
      <c r="F1428" s="112"/>
      <c r="G1428" s="109"/>
      <c r="H1428" s="109"/>
      <c r="I1428" s="109"/>
      <c r="J1428" s="109"/>
      <c r="K1428" s="14" t="str">
        <f t="shared" ref="K1428:K1429" si="280">K1427</f>
        <v>运营中</v>
      </c>
      <c r="L1428" s="109"/>
      <c r="M1428" s="109"/>
      <c r="N1428" s="13"/>
      <c r="O1428" s="24">
        <v>43923</v>
      </c>
      <c r="P1428" s="13" t="s">
        <v>3648</v>
      </c>
      <c r="Q1428" s="13" t="s">
        <v>5129</v>
      </c>
      <c r="R1428" s="13" t="s">
        <v>5130</v>
      </c>
      <c r="S1428" s="109"/>
      <c r="T1428" s="109"/>
      <c r="U1428" s="112"/>
      <c r="V1428" s="109"/>
      <c r="W1428" s="109"/>
      <c r="X1428" s="109"/>
    </row>
    <row r="1429" spans="2:24">
      <c r="B1429" s="109"/>
      <c r="C1429" s="109"/>
      <c r="D1429" s="20" t="str">
        <f>D1428</f>
        <v>Hotelmize</v>
      </c>
      <c r="E1429" s="109"/>
      <c r="F1429" s="112"/>
      <c r="G1429" s="109"/>
      <c r="H1429" s="109"/>
      <c r="I1429" s="109"/>
      <c r="J1429" s="109"/>
      <c r="K1429" s="14" t="str">
        <f t="shared" si="280"/>
        <v>运营中</v>
      </c>
      <c r="L1429" s="109"/>
      <c r="M1429" s="109"/>
      <c r="N1429" s="13"/>
      <c r="O1429" s="24">
        <v>43416</v>
      </c>
      <c r="P1429" s="13" t="s">
        <v>3513</v>
      </c>
      <c r="Q1429" s="13" t="s">
        <v>6597</v>
      </c>
      <c r="R1429" s="13" t="s">
        <v>5131</v>
      </c>
      <c r="S1429" s="109"/>
      <c r="T1429" s="109"/>
      <c r="U1429" s="112"/>
      <c r="V1429" s="109"/>
      <c r="W1429" s="109"/>
      <c r="X1429" s="109"/>
    </row>
    <row r="1430" spans="2:24">
      <c r="B1430" s="109"/>
      <c r="C1430" s="109" t="s">
        <v>5132</v>
      </c>
      <c r="D1430" s="20" t="s">
        <v>7741</v>
      </c>
      <c r="E1430" s="109" t="s">
        <v>5134</v>
      </c>
      <c r="F1430" s="112" t="s">
        <v>5135</v>
      </c>
      <c r="G1430" s="109" t="s">
        <v>7742</v>
      </c>
      <c r="H1430" s="109" t="s">
        <v>5137</v>
      </c>
      <c r="I1430" s="109" t="s">
        <v>4730</v>
      </c>
      <c r="J1430" s="109" t="s">
        <v>3382</v>
      </c>
      <c r="K1430" s="14" t="s">
        <v>272</v>
      </c>
      <c r="L1430" s="109" t="s">
        <v>3548</v>
      </c>
      <c r="M1430" s="109" t="s">
        <v>5138</v>
      </c>
      <c r="N1430" s="13"/>
      <c r="O1430" s="24">
        <v>44648</v>
      </c>
      <c r="P1430" s="13" t="s">
        <v>3513</v>
      </c>
      <c r="Q1430" s="13" t="s">
        <v>2030</v>
      </c>
      <c r="R1430" s="13" t="s">
        <v>5139</v>
      </c>
      <c r="S1430" s="109" t="s">
        <v>5140</v>
      </c>
      <c r="T1430" s="109" t="s">
        <v>3664</v>
      </c>
      <c r="U1430" s="112" t="s">
        <v>5141</v>
      </c>
      <c r="V1430" s="109" t="s">
        <v>5142</v>
      </c>
      <c r="W1430" s="109" t="s">
        <v>5143</v>
      </c>
      <c r="X1430" s="109" t="s">
        <v>5144</v>
      </c>
    </row>
    <row r="1431" spans="2:24">
      <c r="B1431" s="109"/>
      <c r="C1431" s="109"/>
      <c r="D1431" s="20" t="str">
        <f>D1430</f>
        <v>中科微针</v>
      </c>
      <c r="E1431" s="109"/>
      <c r="F1431" s="112"/>
      <c r="G1431" s="109"/>
      <c r="H1431" s="109"/>
      <c r="I1431" s="109"/>
      <c r="J1431" s="109"/>
      <c r="K1431" s="14" t="str">
        <f t="shared" ref="K1431:K1432" si="281">K1430</f>
        <v>运营中</v>
      </c>
      <c r="L1431" s="109"/>
      <c r="M1431" s="109"/>
      <c r="N1431" s="13"/>
      <c r="O1431" s="24">
        <v>43942</v>
      </c>
      <c r="P1431" s="13" t="s">
        <v>5454</v>
      </c>
      <c r="Q1431" s="13" t="s">
        <v>3514</v>
      </c>
      <c r="R1431" s="13" t="s">
        <v>7743</v>
      </c>
      <c r="S1431" s="109"/>
      <c r="T1431" s="109"/>
      <c r="U1431" s="112"/>
      <c r="V1431" s="109"/>
      <c r="W1431" s="109"/>
      <c r="X1431" s="109"/>
    </row>
    <row r="1432" spans="2:24">
      <c r="B1432" s="109"/>
      <c r="C1432" s="109"/>
      <c r="D1432" s="20" t="str">
        <f>D1431</f>
        <v>中科微针</v>
      </c>
      <c r="E1432" s="109"/>
      <c r="F1432" s="112"/>
      <c r="G1432" s="109"/>
      <c r="H1432" s="109"/>
      <c r="I1432" s="109"/>
      <c r="J1432" s="109"/>
      <c r="K1432" s="14" t="str">
        <f t="shared" si="281"/>
        <v>运营中</v>
      </c>
      <c r="L1432" s="109"/>
      <c r="M1432" s="109"/>
      <c r="N1432" s="13"/>
      <c r="O1432" s="24">
        <v>43404</v>
      </c>
      <c r="P1432" s="13" t="s">
        <v>5474</v>
      </c>
      <c r="Q1432" s="13" t="s">
        <v>3514</v>
      </c>
      <c r="R1432" s="13" t="s">
        <v>5146</v>
      </c>
      <c r="S1432" s="109"/>
      <c r="T1432" s="109"/>
      <c r="U1432" s="112"/>
      <c r="V1432" s="109"/>
      <c r="W1432" s="109"/>
      <c r="X1432" s="109"/>
    </row>
    <row r="1433" spans="2:24" ht="48">
      <c r="B1433" s="109"/>
      <c r="C1433" s="13" t="s">
        <v>5147</v>
      </c>
      <c r="D1433" s="25" t="s">
        <v>7744</v>
      </c>
      <c r="E1433" s="13" t="s">
        <v>5149</v>
      </c>
      <c r="F1433" s="18" t="s">
        <v>5150</v>
      </c>
      <c r="G1433" s="13" t="s">
        <v>7745</v>
      </c>
      <c r="H1433" s="13" t="s">
        <v>5152</v>
      </c>
      <c r="I1433" s="13" t="s">
        <v>1606</v>
      </c>
      <c r="J1433" s="13" t="s">
        <v>5153</v>
      </c>
      <c r="K1433" s="19" t="s">
        <v>272</v>
      </c>
      <c r="L1433" s="13" t="s">
        <v>3661</v>
      </c>
      <c r="M1433" s="13" t="s">
        <v>5154</v>
      </c>
      <c r="N1433" s="13"/>
      <c r="O1433" s="24">
        <v>43964</v>
      </c>
      <c r="P1433" s="13" t="s">
        <v>1045</v>
      </c>
      <c r="Q1433" s="13" t="s">
        <v>5155</v>
      </c>
      <c r="R1433" s="13" t="s">
        <v>1751</v>
      </c>
      <c r="S1433" s="13" t="s">
        <v>5156</v>
      </c>
      <c r="T1433" s="13" t="s">
        <v>5157</v>
      </c>
      <c r="U1433" s="18"/>
      <c r="V1433" s="13" t="s">
        <v>5158</v>
      </c>
      <c r="W1433" s="13" t="s">
        <v>5159</v>
      </c>
      <c r="X1433" s="13" t="s">
        <v>5160</v>
      </c>
    </row>
    <row r="1434" spans="2:24" ht="132">
      <c r="B1434" s="109"/>
      <c r="C1434" s="13" t="s">
        <v>5161</v>
      </c>
      <c r="D1434" s="25" t="s">
        <v>7746</v>
      </c>
      <c r="E1434" s="13" t="s">
        <v>5163</v>
      </c>
      <c r="F1434" s="18" t="s">
        <v>5164</v>
      </c>
      <c r="G1434" s="13" t="s">
        <v>7747</v>
      </c>
      <c r="H1434" s="13" t="s">
        <v>5166</v>
      </c>
      <c r="I1434" s="13" t="s">
        <v>727</v>
      </c>
      <c r="J1434" s="13" t="s">
        <v>4226</v>
      </c>
      <c r="K1434" s="19" t="s">
        <v>272</v>
      </c>
      <c r="L1434" s="13" t="s">
        <v>4162</v>
      </c>
      <c r="M1434" s="13" t="s">
        <v>5167</v>
      </c>
      <c r="N1434" s="13"/>
      <c r="O1434" s="24">
        <v>44005</v>
      </c>
      <c r="P1434" s="13" t="s">
        <v>1045</v>
      </c>
      <c r="Q1434" s="13" t="s">
        <v>3514</v>
      </c>
      <c r="R1434" s="13" t="s">
        <v>5168</v>
      </c>
      <c r="S1434" s="13" t="s">
        <v>5169</v>
      </c>
      <c r="T1434" s="13" t="s">
        <v>3517</v>
      </c>
      <c r="U1434" s="18"/>
      <c r="V1434" s="13" t="s">
        <v>5170</v>
      </c>
      <c r="W1434" s="13" t="s">
        <v>5171</v>
      </c>
      <c r="X1434" s="13" t="s">
        <v>5172</v>
      </c>
    </row>
    <row r="1435" spans="2:24">
      <c r="B1435" s="109"/>
      <c r="C1435" s="109" t="s">
        <v>5173</v>
      </c>
      <c r="D1435" s="20" t="s">
        <v>7748</v>
      </c>
      <c r="E1435" s="109" t="s">
        <v>5175</v>
      </c>
      <c r="F1435" s="112" t="s">
        <v>5176</v>
      </c>
      <c r="G1435" s="109" t="s">
        <v>7749</v>
      </c>
      <c r="H1435" s="109" t="s">
        <v>5178</v>
      </c>
      <c r="I1435" s="109" t="s">
        <v>2176</v>
      </c>
      <c r="J1435" s="109" t="s">
        <v>5179</v>
      </c>
      <c r="K1435" s="14" t="s">
        <v>272</v>
      </c>
      <c r="L1435" s="109" t="s">
        <v>3661</v>
      </c>
      <c r="M1435" s="109" t="s">
        <v>5031</v>
      </c>
      <c r="N1435" s="13"/>
      <c r="O1435" s="24">
        <v>44477</v>
      </c>
      <c r="P1435" s="13" t="s">
        <v>1045</v>
      </c>
      <c r="Q1435" s="13" t="s">
        <v>2030</v>
      </c>
      <c r="R1435" s="13" t="s">
        <v>5180</v>
      </c>
      <c r="S1435" s="109" t="s">
        <v>5181</v>
      </c>
      <c r="T1435" s="109" t="s">
        <v>3664</v>
      </c>
      <c r="U1435" s="112"/>
      <c r="V1435" s="109" t="s">
        <v>5182</v>
      </c>
      <c r="W1435" s="109" t="s">
        <v>5183</v>
      </c>
      <c r="X1435" s="109" t="s">
        <v>5184</v>
      </c>
    </row>
    <row r="1436" spans="2:24">
      <c r="B1436" s="109"/>
      <c r="C1436" s="109"/>
      <c r="D1436" s="20" t="str">
        <f>D1435</f>
        <v>飞腾信息</v>
      </c>
      <c r="E1436" s="109"/>
      <c r="F1436" s="112"/>
      <c r="G1436" s="109"/>
      <c r="H1436" s="109"/>
      <c r="I1436" s="109"/>
      <c r="J1436" s="109"/>
      <c r="K1436" s="14" t="str">
        <f t="shared" ref="K1436:K1437" si="282">K1435</f>
        <v>运营中</v>
      </c>
      <c r="L1436" s="109"/>
      <c r="M1436" s="109"/>
      <c r="N1436" s="13"/>
      <c r="O1436" s="24">
        <v>44299</v>
      </c>
      <c r="P1436" s="13" t="s">
        <v>3648</v>
      </c>
      <c r="Q1436" s="13" t="s">
        <v>2030</v>
      </c>
      <c r="R1436" s="13" t="s">
        <v>7750</v>
      </c>
      <c r="S1436" s="109"/>
      <c r="T1436" s="109"/>
      <c r="U1436" s="112"/>
      <c r="V1436" s="109"/>
      <c r="W1436" s="109"/>
      <c r="X1436" s="109"/>
    </row>
    <row r="1437" spans="2:24">
      <c r="B1437" s="109"/>
      <c r="C1437" s="109"/>
      <c r="D1437" s="20" t="str">
        <f>D1436</f>
        <v>飞腾信息</v>
      </c>
      <c r="E1437" s="109"/>
      <c r="F1437" s="112"/>
      <c r="G1437" s="109"/>
      <c r="H1437" s="109"/>
      <c r="I1437" s="109"/>
      <c r="J1437" s="109"/>
      <c r="K1437" s="14" t="str">
        <f t="shared" si="282"/>
        <v>运营中</v>
      </c>
      <c r="L1437" s="109"/>
      <c r="M1437" s="109"/>
      <c r="N1437" s="13"/>
      <c r="O1437" s="24">
        <v>43910</v>
      </c>
      <c r="P1437" s="13" t="s">
        <v>3513</v>
      </c>
      <c r="Q1437" s="13" t="s">
        <v>2030</v>
      </c>
      <c r="R1437" s="13" t="s">
        <v>7751</v>
      </c>
      <c r="S1437" s="109"/>
      <c r="T1437" s="109"/>
      <c r="U1437" s="112"/>
      <c r="V1437" s="109"/>
      <c r="W1437" s="109"/>
      <c r="X1437" s="109"/>
    </row>
    <row r="1438" spans="2:24">
      <c r="B1438" s="109"/>
      <c r="C1438" s="109" t="s">
        <v>5187</v>
      </c>
      <c r="D1438" s="20" t="s">
        <v>7752</v>
      </c>
      <c r="E1438" s="109" t="s">
        <v>7753</v>
      </c>
      <c r="F1438" s="112" t="s">
        <v>5189</v>
      </c>
      <c r="G1438" s="109" t="s">
        <v>7754</v>
      </c>
      <c r="H1438" s="109" t="s">
        <v>5191</v>
      </c>
      <c r="I1438" s="109" t="s">
        <v>5070</v>
      </c>
      <c r="J1438" s="109" t="s">
        <v>406</v>
      </c>
      <c r="K1438" s="14" t="s">
        <v>272</v>
      </c>
      <c r="L1438" s="109" t="s">
        <v>1825</v>
      </c>
      <c r="M1438" s="109" t="s">
        <v>560</v>
      </c>
      <c r="N1438" s="13"/>
      <c r="O1438" s="24">
        <v>44081</v>
      </c>
      <c r="P1438" s="13" t="s">
        <v>3513</v>
      </c>
      <c r="Q1438" s="13" t="s">
        <v>5427</v>
      </c>
      <c r="R1438" s="13" t="s">
        <v>7755</v>
      </c>
      <c r="S1438" s="109" t="s">
        <v>5985</v>
      </c>
      <c r="T1438" s="109" t="s">
        <v>5441</v>
      </c>
      <c r="U1438" s="112"/>
      <c r="V1438" s="109" t="s">
        <v>5193</v>
      </c>
      <c r="W1438" s="109" t="s">
        <v>5194</v>
      </c>
      <c r="X1438" s="109" t="s">
        <v>5195</v>
      </c>
    </row>
    <row r="1439" spans="2:24">
      <c r="B1439" s="109"/>
      <c r="C1439" s="109"/>
      <c r="D1439" s="20" t="str">
        <f>D1438</f>
        <v>鑫蜂维</v>
      </c>
      <c r="E1439" s="109"/>
      <c r="F1439" s="112"/>
      <c r="G1439" s="109"/>
      <c r="H1439" s="109"/>
      <c r="I1439" s="109"/>
      <c r="J1439" s="109"/>
      <c r="K1439" s="14" t="str">
        <f>K1438</f>
        <v>运营中</v>
      </c>
      <c r="L1439" s="109"/>
      <c r="M1439" s="109"/>
      <c r="N1439" s="13"/>
      <c r="O1439" s="24">
        <v>43137</v>
      </c>
      <c r="P1439" s="13" t="s">
        <v>5474</v>
      </c>
      <c r="Q1439" s="13" t="s">
        <v>6044</v>
      </c>
      <c r="R1439" s="13" t="s">
        <v>1751</v>
      </c>
      <c r="S1439" s="109"/>
      <c r="T1439" s="109"/>
      <c r="U1439" s="112"/>
      <c r="V1439" s="109"/>
      <c r="W1439" s="109"/>
      <c r="X1439" s="109"/>
    </row>
    <row r="1440" spans="2:24">
      <c r="B1440" s="109"/>
      <c r="C1440" s="109" t="s">
        <v>5196</v>
      </c>
      <c r="D1440" s="20" t="s">
        <v>7756</v>
      </c>
      <c r="E1440" s="109" t="s">
        <v>7757</v>
      </c>
      <c r="F1440" s="112" t="s">
        <v>7758</v>
      </c>
      <c r="G1440" s="109" t="s">
        <v>7759</v>
      </c>
      <c r="H1440" s="109" t="s">
        <v>5200</v>
      </c>
      <c r="I1440" s="109" t="s">
        <v>5201</v>
      </c>
      <c r="J1440" s="109" t="s">
        <v>3842</v>
      </c>
      <c r="K1440" s="14" t="s">
        <v>272</v>
      </c>
      <c r="L1440" s="109" t="s">
        <v>3661</v>
      </c>
      <c r="M1440" s="109" t="s">
        <v>5565</v>
      </c>
      <c r="N1440" s="13">
        <v>1</v>
      </c>
      <c r="O1440" s="24">
        <v>41837</v>
      </c>
      <c r="P1440" s="13" t="s">
        <v>5810</v>
      </c>
      <c r="Q1440" s="13" t="s">
        <v>7760</v>
      </c>
      <c r="R1440" s="13" t="s">
        <v>1573</v>
      </c>
      <c r="S1440" s="109" t="s">
        <v>7761</v>
      </c>
      <c r="T1440" s="109" t="s">
        <v>7762</v>
      </c>
      <c r="U1440" s="112" t="s">
        <v>5205</v>
      </c>
      <c r="V1440" s="109" t="s">
        <v>7763</v>
      </c>
      <c r="W1440" s="109" t="s">
        <v>5207</v>
      </c>
      <c r="X1440" s="109" t="s">
        <v>5208</v>
      </c>
    </row>
    <row r="1441" spans="2:24">
      <c r="B1441" s="109"/>
      <c r="C1441" s="109"/>
      <c r="D1441" s="20" t="str">
        <f>D1440</f>
        <v>海尔智家</v>
      </c>
      <c r="E1441" s="109"/>
      <c r="F1441" s="112"/>
      <c r="G1441" s="109"/>
      <c r="H1441" s="109"/>
      <c r="I1441" s="109"/>
      <c r="J1441" s="109"/>
      <c r="K1441" s="14" t="str">
        <f t="shared" ref="K1441:K1442" si="283">K1440</f>
        <v>运营中</v>
      </c>
      <c r="L1441" s="109"/>
      <c r="M1441" s="109"/>
      <c r="N1441" s="13">
        <v>1</v>
      </c>
      <c r="O1441" s="24">
        <v>36526</v>
      </c>
      <c r="P1441" s="13" t="s">
        <v>5810</v>
      </c>
      <c r="Q1441" s="13" t="s">
        <v>2030</v>
      </c>
      <c r="R1441" s="13" t="s">
        <v>1751</v>
      </c>
      <c r="S1441" s="109"/>
      <c r="T1441" s="109"/>
      <c r="U1441" s="112"/>
      <c r="V1441" s="109"/>
      <c r="W1441" s="109"/>
      <c r="X1441" s="109"/>
    </row>
    <row r="1442" spans="2:24">
      <c r="B1442" s="109"/>
      <c r="C1442" s="109"/>
      <c r="D1442" s="20" t="str">
        <f>D1441</f>
        <v>海尔智家</v>
      </c>
      <c r="E1442" s="109"/>
      <c r="F1442" s="112"/>
      <c r="G1442" s="109"/>
      <c r="H1442" s="109"/>
      <c r="I1442" s="109"/>
      <c r="J1442" s="109"/>
      <c r="K1442" s="14" t="str">
        <f t="shared" si="283"/>
        <v>运营中</v>
      </c>
      <c r="L1442" s="109"/>
      <c r="M1442" s="109"/>
      <c r="N1442" s="13">
        <v>1</v>
      </c>
      <c r="O1442" s="24">
        <v>34292</v>
      </c>
      <c r="P1442" s="13" t="s">
        <v>5625</v>
      </c>
      <c r="Q1442" s="13" t="s">
        <v>7764</v>
      </c>
      <c r="R1442" s="13" t="s">
        <v>253</v>
      </c>
      <c r="S1442" s="109"/>
      <c r="T1442" s="109"/>
      <c r="U1442" s="112"/>
      <c r="V1442" s="109"/>
      <c r="W1442" s="109"/>
      <c r="X1442" s="109"/>
    </row>
    <row r="1443" spans="2:24">
      <c r="B1443" s="109"/>
      <c r="C1443" s="109" t="s">
        <v>5210</v>
      </c>
      <c r="D1443" s="20" t="s">
        <v>7765</v>
      </c>
      <c r="E1443" s="109" t="s">
        <v>7766</v>
      </c>
      <c r="F1443" s="112" t="s">
        <v>5212</v>
      </c>
      <c r="G1443" s="109" t="s">
        <v>7767</v>
      </c>
      <c r="H1443" s="109" t="s">
        <v>5214</v>
      </c>
      <c r="I1443" s="109" t="s">
        <v>5215</v>
      </c>
      <c r="J1443" s="109" t="s">
        <v>428</v>
      </c>
      <c r="K1443" s="14" t="s">
        <v>272</v>
      </c>
      <c r="L1443" s="109" t="s">
        <v>2711</v>
      </c>
      <c r="M1443" s="109" t="s">
        <v>6867</v>
      </c>
      <c r="N1443" s="13"/>
      <c r="O1443" s="24">
        <v>44775</v>
      </c>
      <c r="P1443" s="13" t="s">
        <v>3513</v>
      </c>
      <c r="Q1443" s="13" t="s">
        <v>2030</v>
      </c>
      <c r="R1443" s="13" t="s">
        <v>5216</v>
      </c>
      <c r="S1443" s="109" t="s">
        <v>7548</v>
      </c>
      <c r="T1443" s="109" t="s">
        <v>7768</v>
      </c>
      <c r="U1443" s="112"/>
      <c r="V1443" s="109" t="s">
        <v>7769</v>
      </c>
      <c r="W1443" s="109"/>
      <c r="X1443" s="109"/>
    </row>
    <row r="1444" spans="2:24">
      <c r="B1444" s="109"/>
      <c r="C1444" s="109"/>
      <c r="D1444" s="20" t="str">
        <f>D1443</f>
        <v>智己汽车</v>
      </c>
      <c r="E1444" s="109"/>
      <c r="F1444" s="112"/>
      <c r="G1444" s="109"/>
      <c r="H1444" s="109"/>
      <c r="I1444" s="109"/>
      <c r="J1444" s="109"/>
      <c r="K1444" s="14" t="str">
        <f>K1443</f>
        <v>运营中</v>
      </c>
      <c r="L1444" s="109"/>
      <c r="M1444" s="109"/>
      <c r="N1444" s="13"/>
      <c r="O1444" s="24">
        <v>44161</v>
      </c>
      <c r="P1444" s="13" t="s">
        <v>1045</v>
      </c>
      <c r="Q1444" s="13" t="s">
        <v>5219</v>
      </c>
      <c r="R1444" s="13" t="s">
        <v>5220</v>
      </c>
      <c r="S1444" s="109"/>
      <c r="T1444" s="109"/>
      <c r="U1444" s="112"/>
      <c r="V1444" s="109"/>
      <c r="W1444" s="109"/>
      <c r="X1444" s="109"/>
    </row>
    <row r="1445" spans="2:24">
      <c r="B1445" s="109"/>
      <c r="C1445" s="109" t="s">
        <v>2376</v>
      </c>
      <c r="D1445" s="20" t="s">
        <v>7770</v>
      </c>
      <c r="E1445" s="109" t="s">
        <v>5222</v>
      </c>
      <c r="F1445" s="112" t="s">
        <v>5223</v>
      </c>
      <c r="G1445" s="109" t="s">
        <v>7771</v>
      </c>
      <c r="H1445" s="109"/>
      <c r="I1445" s="109" t="s">
        <v>4717</v>
      </c>
      <c r="J1445" s="109" t="s">
        <v>5030</v>
      </c>
      <c r="K1445" s="14" t="s">
        <v>272</v>
      </c>
      <c r="L1445" s="109" t="s">
        <v>4472</v>
      </c>
      <c r="M1445" s="109" t="s">
        <v>5225</v>
      </c>
      <c r="N1445" s="13"/>
      <c r="O1445" s="24">
        <v>44334</v>
      </c>
      <c r="P1445" s="13" t="s">
        <v>4306</v>
      </c>
      <c r="Q1445" s="13" t="s">
        <v>2030</v>
      </c>
      <c r="R1445" s="13" t="s">
        <v>5226</v>
      </c>
      <c r="S1445" s="109" t="s">
        <v>5227</v>
      </c>
      <c r="T1445" s="109" t="s">
        <v>3664</v>
      </c>
      <c r="U1445" s="112"/>
      <c r="V1445" s="109" t="s">
        <v>5228</v>
      </c>
      <c r="W1445" s="109" t="s">
        <v>5229</v>
      </c>
      <c r="X1445" s="109" t="s">
        <v>5230</v>
      </c>
    </row>
    <row r="1446" spans="2:24">
      <c r="B1446" s="109"/>
      <c r="C1446" s="109"/>
      <c r="D1446" s="20" t="str">
        <f>D1445</f>
        <v>及时格子</v>
      </c>
      <c r="E1446" s="109"/>
      <c r="F1446" s="112"/>
      <c r="G1446" s="109"/>
      <c r="H1446" s="109"/>
      <c r="I1446" s="109"/>
      <c r="J1446" s="109"/>
      <c r="K1446" s="14" t="str">
        <f>K1445</f>
        <v>运营中</v>
      </c>
      <c r="L1446" s="109"/>
      <c r="M1446" s="109"/>
      <c r="N1446" s="13"/>
      <c r="O1446" s="24">
        <v>44166</v>
      </c>
      <c r="P1446" s="13" t="s">
        <v>3513</v>
      </c>
      <c r="Q1446" s="13" t="s">
        <v>7772</v>
      </c>
      <c r="R1446" s="13" t="s">
        <v>7773</v>
      </c>
      <c r="S1446" s="109"/>
      <c r="T1446" s="109"/>
      <c r="U1446" s="112"/>
      <c r="V1446" s="109"/>
      <c r="W1446" s="109"/>
      <c r="X1446" s="109"/>
    </row>
    <row r="1447" spans="2:24" ht="60">
      <c r="B1447" s="109"/>
      <c r="C1447" s="13" t="s">
        <v>5233</v>
      </c>
      <c r="D1447" s="25" t="s">
        <v>7774</v>
      </c>
      <c r="E1447" s="13" t="s">
        <v>7775</v>
      </c>
      <c r="F1447" s="18" t="s">
        <v>7776</v>
      </c>
      <c r="G1447" s="13" t="s">
        <v>7777</v>
      </c>
      <c r="H1447" s="13"/>
      <c r="I1447" s="13" t="s">
        <v>593</v>
      </c>
      <c r="J1447" s="13" t="s">
        <v>2431</v>
      </c>
      <c r="K1447" s="19" t="s">
        <v>272</v>
      </c>
      <c r="L1447" s="13" t="s">
        <v>5501</v>
      </c>
      <c r="M1447" s="13" t="s">
        <v>5502</v>
      </c>
      <c r="N1447" s="13"/>
      <c r="O1447" s="24">
        <v>43110</v>
      </c>
      <c r="P1447" s="13" t="s">
        <v>1045</v>
      </c>
      <c r="Q1447" s="13" t="s">
        <v>2030</v>
      </c>
      <c r="R1447" s="13" t="s">
        <v>1751</v>
      </c>
      <c r="S1447" s="13" t="s">
        <v>4215</v>
      </c>
      <c r="T1447" s="13" t="s">
        <v>3664</v>
      </c>
      <c r="U1447" s="18"/>
      <c r="V1447" s="13" t="s">
        <v>5237</v>
      </c>
      <c r="W1447" s="13" t="s">
        <v>5238</v>
      </c>
      <c r="X1447" s="13"/>
    </row>
    <row r="1448" spans="2:24">
      <c r="B1448" s="109"/>
      <c r="C1448" s="109" t="s">
        <v>5239</v>
      </c>
      <c r="D1448" s="20" t="s">
        <v>7778</v>
      </c>
      <c r="E1448" s="109" t="s">
        <v>7779</v>
      </c>
      <c r="F1448" s="112" t="s">
        <v>7780</v>
      </c>
      <c r="G1448" s="109" t="s">
        <v>7781</v>
      </c>
      <c r="H1448" s="109"/>
      <c r="I1448" s="109" t="s">
        <v>4777</v>
      </c>
      <c r="J1448" s="109" t="s">
        <v>349</v>
      </c>
      <c r="K1448" s="14" t="s">
        <v>272</v>
      </c>
      <c r="L1448" s="109" t="s">
        <v>4472</v>
      </c>
      <c r="M1448" s="109" t="s">
        <v>5225</v>
      </c>
      <c r="N1448" s="13">
        <v>1</v>
      </c>
      <c r="O1448" s="24">
        <v>44211</v>
      </c>
      <c r="P1448" s="13" t="s">
        <v>5709</v>
      </c>
      <c r="Q1448" s="13" t="s">
        <v>7782</v>
      </c>
      <c r="R1448" s="13" t="s">
        <v>7579</v>
      </c>
      <c r="S1448" s="109" t="s">
        <v>7783</v>
      </c>
      <c r="T1448" s="109" t="s">
        <v>7784</v>
      </c>
      <c r="U1448" s="112"/>
      <c r="V1448" s="109" t="s">
        <v>5246</v>
      </c>
      <c r="W1448" s="109" t="s">
        <v>5247</v>
      </c>
      <c r="X1448" s="109" t="s">
        <v>5248</v>
      </c>
    </row>
    <row r="1449" spans="2:24">
      <c r="B1449" s="109"/>
      <c r="C1449" s="109"/>
      <c r="D1449" s="20" t="str">
        <f>D1448</f>
        <v>盒小马</v>
      </c>
      <c r="E1449" s="109"/>
      <c r="F1449" s="112"/>
      <c r="G1449" s="109"/>
      <c r="H1449" s="109"/>
      <c r="I1449" s="109"/>
      <c r="J1449" s="109"/>
      <c r="K1449" s="14" t="str">
        <f>K1448</f>
        <v>运营中</v>
      </c>
      <c r="L1449" s="109"/>
      <c r="M1449" s="109"/>
      <c r="N1449" s="13">
        <v>1</v>
      </c>
      <c r="O1449" s="24">
        <v>43280</v>
      </c>
      <c r="P1449" s="13" t="s">
        <v>1045</v>
      </c>
      <c r="Q1449" s="13" t="s">
        <v>7782</v>
      </c>
      <c r="R1449" s="13" t="s">
        <v>5249</v>
      </c>
      <c r="S1449" s="109"/>
      <c r="T1449" s="109"/>
      <c r="U1449" s="112"/>
      <c r="V1449" s="109"/>
      <c r="W1449" s="109"/>
      <c r="X1449" s="109"/>
    </row>
    <row r="1450" spans="2:24">
      <c r="B1450" s="109"/>
      <c r="C1450" s="109" t="s">
        <v>5250</v>
      </c>
      <c r="D1450" s="20" t="s">
        <v>7785</v>
      </c>
      <c r="E1450" s="109" t="s">
        <v>5252</v>
      </c>
      <c r="F1450" s="112" t="s">
        <v>5253</v>
      </c>
      <c r="G1450" s="109" t="s">
        <v>7786</v>
      </c>
      <c r="H1450" s="109" t="s">
        <v>5255</v>
      </c>
      <c r="I1450" s="109" t="s">
        <v>5256</v>
      </c>
      <c r="J1450" s="109" t="s">
        <v>385</v>
      </c>
      <c r="K1450" s="14" t="s">
        <v>272</v>
      </c>
      <c r="L1450" s="109" t="s">
        <v>5257</v>
      </c>
      <c r="M1450" s="109" t="s">
        <v>5258</v>
      </c>
      <c r="N1450" s="13"/>
      <c r="O1450" s="24">
        <v>44634</v>
      </c>
      <c r="P1450" s="13" t="s">
        <v>3648</v>
      </c>
      <c r="Q1450" s="13" t="s">
        <v>3514</v>
      </c>
      <c r="R1450" s="13" t="s">
        <v>5259</v>
      </c>
      <c r="S1450" s="109" t="s">
        <v>5260</v>
      </c>
      <c r="T1450" s="109" t="s">
        <v>3517</v>
      </c>
      <c r="U1450" s="112" t="s">
        <v>5261</v>
      </c>
      <c r="V1450" s="109" t="s">
        <v>5262</v>
      </c>
      <c r="W1450" s="109" t="s">
        <v>5263</v>
      </c>
      <c r="X1450" s="109" t="s">
        <v>5264</v>
      </c>
    </row>
    <row r="1451" spans="2:24">
      <c r="B1451" s="109"/>
      <c r="C1451" s="109"/>
      <c r="D1451" s="20" t="str">
        <f>D1450</f>
        <v>喜屏传媒</v>
      </c>
      <c r="E1451" s="109"/>
      <c r="F1451" s="112"/>
      <c r="G1451" s="109"/>
      <c r="H1451" s="109"/>
      <c r="I1451" s="109"/>
      <c r="J1451" s="109"/>
      <c r="K1451" s="14" t="str">
        <f t="shared" ref="K1451:K1454" si="284">K1450</f>
        <v>运营中</v>
      </c>
      <c r="L1451" s="109"/>
      <c r="M1451" s="109"/>
      <c r="N1451" s="13"/>
      <c r="O1451" s="24">
        <v>44397</v>
      </c>
      <c r="P1451" s="13" t="s">
        <v>4306</v>
      </c>
      <c r="Q1451" s="13" t="s">
        <v>2030</v>
      </c>
      <c r="R1451" s="13" t="s">
        <v>7787</v>
      </c>
      <c r="S1451" s="109"/>
      <c r="T1451" s="109"/>
      <c r="U1451" s="112"/>
      <c r="V1451" s="109"/>
      <c r="W1451" s="109"/>
      <c r="X1451" s="109"/>
    </row>
    <row r="1452" spans="2:24">
      <c r="B1452" s="109"/>
      <c r="C1452" s="109"/>
      <c r="D1452" s="20" t="str">
        <f>D1451</f>
        <v>喜屏传媒</v>
      </c>
      <c r="E1452" s="109"/>
      <c r="F1452" s="112"/>
      <c r="G1452" s="109"/>
      <c r="H1452" s="109"/>
      <c r="I1452" s="109"/>
      <c r="J1452" s="109"/>
      <c r="K1452" s="14" t="str">
        <f t="shared" si="284"/>
        <v>运营中</v>
      </c>
      <c r="L1452" s="109"/>
      <c r="M1452" s="109"/>
      <c r="N1452" s="13"/>
      <c r="O1452" s="24">
        <v>43971</v>
      </c>
      <c r="P1452" s="13" t="s">
        <v>4306</v>
      </c>
      <c r="Q1452" s="13" t="s">
        <v>2030</v>
      </c>
      <c r="R1452" s="13" t="s">
        <v>5266</v>
      </c>
      <c r="S1452" s="109"/>
      <c r="T1452" s="109"/>
      <c r="U1452" s="112"/>
      <c r="V1452" s="109"/>
      <c r="W1452" s="109"/>
      <c r="X1452" s="109"/>
    </row>
    <row r="1453" spans="2:24">
      <c r="B1453" s="109"/>
      <c r="C1453" s="109"/>
      <c r="D1453" s="20" t="str">
        <f>D1452</f>
        <v>喜屏传媒</v>
      </c>
      <c r="E1453" s="109"/>
      <c r="F1453" s="112"/>
      <c r="G1453" s="109"/>
      <c r="H1453" s="109"/>
      <c r="I1453" s="109"/>
      <c r="J1453" s="109"/>
      <c r="K1453" s="14" t="str">
        <f t="shared" si="284"/>
        <v>运营中</v>
      </c>
      <c r="L1453" s="109"/>
      <c r="M1453" s="109"/>
      <c r="N1453" s="13"/>
      <c r="O1453" s="24">
        <v>43660</v>
      </c>
      <c r="P1453" s="13" t="s">
        <v>3513</v>
      </c>
      <c r="Q1453" s="13" t="s">
        <v>6020</v>
      </c>
      <c r="R1453" s="13" t="s">
        <v>5267</v>
      </c>
      <c r="S1453" s="109"/>
      <c r="T1453" s="109"/>
      <c r="U1453" s="112"/>
      <c r="V1453" s="109"/>
      <c r="W1453" s="109"/>
      <c r="X1453" s="109"/>
    </row>
    <row r="1454" spans="2:24">
      <c r="B1454" s="109"/>
      <c r="C1454" s="109"/>
      <c r="D1454" s="20" t="str">
        <f>D1453</f>
        <v>喜屏传媒</v>
      </c>
      <c r="E1454" s="109"/>
      <c r="F1454" s="112"/>
      <c r="G1454" s="109"/>
      <c r="H1454" s="109"/>
      <c r="I1454" s="109"/>
      <c r="J1454" s="109"/>
      <c r="K1454" s="14" t="str">
        <f t="shared" si="284"/>
        <v>运营中</v>
      </c>
      <c r="L1454" s="109"/>
      <c r="M1454" s="109"/>
      <c r="N1454" s="13"/>
      <c r="O1454" s="24">
        <v>43391</v>
      </c>
      <c r="P1454" s="13" t="s">
        <v>5454</v>
      </c>
      <c r="Q1454" s="13" t="s">
        <v>7172</v>
      </c>
      <c r="R1454" s="13" t="s">
        <v>5268</v>
      </c>
      <c r="S1454" s="109"/>
      <c r="T1454" s="109"/>
      <c r="U1454" s="112"/>
      <c r="V1454" s="109"/>
      <c r="W1454" s="109"/>
      <c r="X1454" s="109"/>
    </row>
    <row r="1455" spans="2:24" ht="48">
      <c r="B1455" s="109"/>
      <c r="C1455" s="13" t="s">
        <v>4590</v>
      </c>
      <c r="D1455" s="25" t="s">
        <v>7788</v>
      </c>
      <c r="E1455" s="13" t="s">
        <v>5270</v>
      </c>
      <c r="F1455" s="18" t="s">
        <v>5271</v>
      </c>
      <c r="G1455" s="13" t="s">
        <v>7789</v>
      </c>
      <c r="H1455" s="13"/>
      <c r="I1455" s="13" t="s">
        <v>4160</v>
      </c>
      <c r="J1455" s="13" t="s">
        <v>406</v>
      </c>
      <c r="K1455" s="19" t="s">
        <v>272</v>
      </c>
      <c r="L1455" s="13" t="s">
        <v>3661</v>
      </c>
      <c r="M1455" s="13" t="s">
        <v>4305</v>
      </c>
      <c r="N1455" s="13"/>
      <c r="O1455" s="24">
        <v>44221</v>
      </c>
      <c r="P1455" s="13" t="s">
        <v>1045</v>
      </c>
      <c r="Q1455" s="13" t="s">
        <v>3514</v>
      </c>
      <c r="R1455" s="13" t="s">
        <v>1751</v>
      </c>
      <c r="S1455" s="13" t="s">
        <v>5169</v>
      </c>
      <c r="T1455" s="13" t="s">
        <v>5273</v>
      </c>
      <c r="U1455" s="18"/>
      <c r="V1455" s="13" t="s">
        <v>5274</v>
      </c>
      <c r="W1455" s="13" t="s">
        <v>5275</v>
      </c>
      <c r="X1455" s="13" t="s">
        <v>5276</v>
      </c>
    </row>
    <row r="1456" spans="2:24">
      <c r="B1456" s="109"/>
      <c r="C1456" s="109" t="s">
        <v>5277</v>
      </c>
      <c r="D1456" s="20" t="s">
        <v>7790</v>
      </c>
      <c r="E1456" s="109" t="s">
        <v>7791</v>
      </c>
      <c r="F1456" s="112" t="s">
        <v>5279</v>
      </c>
      <c r="G1456" s="109" t="s">
        <v>7792</v>
      </c>
      <c r="H1456" s="109" t="s">
        <v>5281</v>
      </c>
      <c r="I1456" s="109" t="s">
        <v>3332</v>
      </c>
      <c r="J1456" s="109" t="s">
        <v>5179</v>
      </c>
      <c r="K1456" s="14" t="s">
        <v>272</v>
      </c>
      <c r="L1456" s="109" t="s">
        <v>3548</v>
      </c>
      <c r="M1456" s="109" t="s">
        <v>7036</v>
      </c>
      <c r="N1456" s="13"/>
      <c r="O1456" s="24">
        <v>45125</v>
      </c>
      <c r="P1456" s="13" t="s">
        <v>2029</v>
      </c>
      <c r="Q1456" s="13" t="s">
        <v>5427</v>
      </c>
      <c r="R1456" s="13" t="s">
        <v>7793</v>
      </c>
      <c r="S1456" s="109" t="s">
        <v>7794</v>
      </c>
      <c r="T1456" s="109" t="s">
        <v>5441</v>
      </c>
      <c r="U1456" s="112"/>
      <c r="V1456" s="109" t="s">
        <v>5284</v>
      </c>
      <c r="W1456" s="109" t="s">
        <v>5285</v>
      </c>
      <c r="X1456" s="109" t="s">
        <v>5286</v>
      </c>
    </row>
    <row r="1457" spans="2:24">
      <c r="B1457" s="109"/>
      <c r="C1457" s="109"/>
      <c r="D1457" s="20" t="str">
        <f>D1456</f>
        <v>恒宇医疗</v>
      </c>
      <c r="E1457" s="109"/>
      <c r="F1457" s="112"/>
      <c r="G1457" s="109"/>
      <c r="H1457" s="109"/>
      <c r="I1457" s="109"/>
      <c r="J1457" s="109"/>
      <c r="K1457" s="14" t="str">
        <f t="shared" ref="K1457:K1460" si="285">K1456</f>
        <v>运营中</v>
      </c>
      <c r="L1457" s="109"/>
      <c r="M1457" s="109"/>
      <c r="N1457" s="13"/>
      <c r="O1457" s="24">
        <v>45047</v>
      </c>
      <c r="P1457" s="13" t="s">
        <v>2029</v>
      </c>
      <c r="Q1457" s="13" t="s">
        <v>2030</v>
      </c>
      <c r="R1457" s="13" t="s">
        <v>5287</v>
      </c>
      <c r="S1457" s="109"/>
      <c r="T1457" s="109"/>
      <c r="U1457" s="112"/>
      <c r="V1457" s="109"/>
      <c r="W1457" s="109"/>
      <c r="X1457" s="109"/>
    </row>
    <row r="1458" spans="2:24">
      <c r="B1458" s="109"/>
      <c r="C1458" s="109"/>
      <c r="D1458" s="20" t="str">
        <f>D1457</f>
        <v>恒宇医疗</v>
      </c>
      <c r="E1458" s="109"/>
      <c r="F1458" s="112"/>
      <c r="G1458" s="109"/>
      <c r="H1458" s="109"/>
      <c r="I1458" s="109"/>
      <c r="J1458" s="109"/>
      <c r="K1458" s="14" t="str">
        <f t="shared" si="285"/>
        <v>运营中</v>
      </c>
      <c r="L1458" s="109"/>
      <c r="M1458" s="109"/>
      <c r="N1458" s="13"/>
      <c r="O1458" s="24">
        <v>44568</v>
      </c>
      <c r="P1458" s="13" t="s">
        <v>5613</v>
      </c>
      <c r="Q1458" s="13" t="s">
        <v>2030</v>
      </c>
      <c r="R1458" s="13" t="s">
        <v>7094</v>
      </c>
      <c r="S1458" s="109"/>
      <c r="T1458" s="109"/>
      <c r="U1458" s="112"/>
      <c r="V1458" s="109"/>
      <c r="W1458" s="109"/>
      <c r="X1458" s="109"/>
    </row>
    <row r="1459" spans="2:24">
      <c r="B1459" s="109"/>
      <c r="C1459" s="109"/>
      <c r="D1459" s="20" t="str">
        <f>D1458</f>
        <v>恒宇医疗</v>
      </c>
      <c r="E1459" s="109"/>
      <c r="F1459" s="112"/>
      <c r="G1459" s="109"/>
      <c r="H1459" s="109"/>
      <c r="I1459" s="109"/>
      <c r="J1459" s="109"/>
      <c r="K1459" s="14" t="str">
        <f t="shared" si="285"/>
        <v>运营中</v>
      </c>
      <c r="L1459" s="109"/>
      <c r="M1459" s="109"/>
      <c r="N1459" s="13"/>
      <c r="O1459" s="24">
        <v>43796</v>
      </c>
      <c r="P1459" s="13" t="s">
        <v>3648</v>
      </c>
      <c r="Q1459" s="13" t="s">
        <v>2030</v>
      </c>
      <c r="R1459" s="13" t="s">
        <v>7795</v>
      </c>
      <c r="S1459" s="109"/>
      <c r="T1459" s="109"/>
      <c r="U1459" s="112"/>
      <c r="V1459" s="109"/>
      <c r="W1459" s="109"/>
      <c r="X1459" s="109"/>
    </row>
    <row r="1460" spans="2:24">
      <c r="B1460" s="109"/>
      <c r="C1460" s="109"/>
      <c r="D1460" s="20" t="str">
        <f>D1459</f>
        <v>恒宇医疗</v>
      </c>
      <c r="E1460" s="109"/>
      <c r="F1460" s="112"/>
      <c r="G1460" s="109"/>
      <c r="H1460" s="109"/>
      <c r="I1460" s="109"/>
      <c r="J1460" s="109"/>
      <c r="K1460" s="14" t="str">
        <f t="shared" si="285"/>
        <v>运营中</v>
      </c>
      <c r="L1460" s="109"/>
      <c r="M1460" s="109"/>
      <c r="N1460" s="13"/>
      <c r="O1460" s="24">
        <v>42543</v>
      </c>
      <c r="P1460" s="13" t="s">
        <v>3513</v>
      </c>
      <c r="Q1460" s="13" t="s">
        <v>2030</v>
      </c>
      <c r="R1460" s="13" t="s">
        <v>7796</v>
      </c>
      <c r="S1460" s="109"/>
      <c r="T1460" s="109"/>
      <c r="U1460" s="112"/>
      <c r="V1460" s="109"/>
      <c r="W1460" s="109"/>
      <c r="X1460" s="109"/>
    </row>
    <row r="1461" spans="2:24">
      <c r="B1461" s="109"/>
      <c r="C1461" s="109" t="s">
        <v>5290</v>
      </c>
      <c r="D1461" s="20" t="s">
        <v>7797</v>
      </c>
      <c r="E1461" s="109" t="s">
        <v>5292</v>
      </c>
      <c r="F1461" s="112" t="s">
        <v>5293</v>
      </c>
      <c r="G1461" s="109" t="s">
        <v>7798</v>
      </c>
      <c r="H1461" s="109" t="s">
        <v>5295</v>
      </c>
      <c r="I1461" s="109" t="s">
        <v>4424</v>
      </c>
      <c r="J1461" s="109" t="s">
        <v>5296</v>
      </c>
      <c r="K1461" s="14" t="s">
        <v>272</v>
      </c>
      <c r="L1461" s="109" t="s">
        <v>3661</v>
      </c>
      <c r="M1461" s="109" t="s">
        <v>5031</v>
      </c>
      <c r="N1461" s="13"/>
      <c r="O1461" s="24">
        <v>45089</v>
      </c>
      <c r="P1461" s="13" t="s">
        <v>4306</v>
      </c>
      <c r="Q1461" s="13" t="s">
        <v>1750</v>
      </c>
      <c r="R1461" s="13" t="s">
        <v>5297</v>
      </c>
      <c r="S1461" s="109" t="s">
        <v>5298</v>
      </c>
      <c r="T1461" s="109" t="s">
        <v>1829</v>
      </c>
      <c r="U1461" s="112"/>
      <c r="V1461" s="109" t="s">
        <v>5299</v>
      </c>
      <c r="W1461" s="109" t="s">
        <v>5300</v>
      </c>
      <c r="X1461" s="109" t="s">
        <v>5301</v>
      </c>
    </row>
    <row r="1462" spans="2:24">
      <c r="B1462" s="109"/>
      <c r="C1462" s="109"/>
      <c r="D1462" s="20" t="str">
        <f>D1461</f>
        <v>JBD显耀显示</v>
      </c>
      <c r="E1462" s="109"/>
      <c r="F1462" s="112"/>
      <c r="G1462" s="109"/>
      <c r="H1462" s="109"/>
      <c r="I1462" s="109"/>
      <c r="J1462" s="109"/>
      <c r="K1462" s="14" t="str">
        <f t="shared" ref="K1462:K1466" si="286">K1461</f>
        <v>运营中</v>
      </c>
      <c r="L1462" s="109"/>
      <c r="M1462" s="109"/>
      <c r="N1462" s="13"/>
      <c r="O1462" s="24">
        <v>44880</v>
      </c>
      <c r="P1462" s="13" t="s">
        <v>4306</v>
      </c>
      <c r="Q1462" s="13" t="s">
        <v>2030</v>
      </c>
      <c r="R1462" s="13" t="s">
        <v>5302</v>
      </c>
      <c r="S1462" s="109"/>
      <c r="T1462" s="109"/>
      <c r="U1462" s="112"/>
      <c r="V1462" s="109"/>
      <c r="W1462" s="109"/>
      <c r="X1462" s="109"/>
    </row>
    <row r="1463" spans="2:24">
      <c r="B1463" s="109"/>
      <c r="C1463" s="109"/>
      <c r="D1463" s="20" t="str">
        <f>D1462</f>
        <v>JBD显耀显示</v>
      </c>
      <c r="E1463" s="109"/>
      <c r="F1463" s="112"/>
      <c r="G1463" s="109"/>
      <c r="H1463" s="109"/>
      <c r="I1463" s="109"/>
      <c r="J1463" s="109"/>
      <c r="K1463" s="14" t="str">
        <f t="shared" si="286"/>
        <v>运营中</v>
      </c>
      <c r="L1463" s="109"/>
      <c r="M1463" s="109"/>
      <c r="N1463" s="13"/>
      <c r="O1463" s="24">
        <v>44783</v>
      </c>
      <c r="P1463" s="13" t="s">
        <v>4306</v>
      </c>
      <c r="Q1463" s="13" t="s">
        <v>1750</v>
      </c>
      <c r="R1463" s="13" t="s">
        <v>5303</v>
      </c>
      <c r="S1463" s="109"/>
      <c r="T1463" s="109"/>
      <c r="U1463" s="112"/>
      <c r="V1463" s="109"/>
      <c r="W1463" s="109"/>
      <c r="X1463" s="109"/>
    </row>
    <row r="1464" spans="2:24">
      <c r="B1464" s="109"/>
      <c r="C1464" s="109"/>
      <c r="D1464" s="20" t="str">
        <f>D1463</f>
        <v>JBD显耀显示</v>
      </c>
      <c r="E1464" s="109"/>
      <c r="F1464" s="112"/>
      <c r="G1464" s="109"/>
      <c r="H1464" s="109"/>
      <c r="I1464" s="109"/>
      <c r="J1464" s="109"/>
      <c r="K1464" s="14" t="str">
        <f t="shared" si="286"/>
        <v>运营中</v>
      </c>
      <c r="L1464" s="109"/>
      <c r="M1464" s="109"/>
      <c r="N1464" s="13"/>
      <c r="O1464" s="24">
        <v>44524</v>
      </c>
      <c r="P1464" s="13" t="s">
        <v>3513</v>
      </c>
      <c r="Q1464" s="13" t="s">
        <v>1750</v>
      </c>
      <c r="R1464" s="13" t="s">
        <v>6034</v>
      </c>
      <c r="S1464" s="109"/>
      <c r="T1464" s="109"/>
      <c r="U1464" s="112"/>
      <c r="V1464" s="109"/>
      <c r="W1464" s="109"/>
      <c r="X1464" s="109"/>
    </row>
    <row r="1465" spans="2:24">
      <c r="B1465" s="109"/>
      <c r="C1465" s="109"/>
      <c r="D1465" s="20" t="str">
        <f>D1464</f>
        <v>JBD显耀显示</v>
      </c>
      <c r="E1465" s="109"/>
      <c r="F1465" s="112"/>
      <c r="G1465" s="109"/>
      <c r="H1465" s="109"/>
      <c r="I1465" s="109"/>
      <c r="J1465" s="109"/>
      <c r="K1465" s="14" t="str">
        <f t="shared" si="286"/>
        <v>运营中</v>
      </c>
      <c r="L1465" s="109"/>
      <c r="M1465" s="109"/>
      <c r="N1465" s="13"/>
      <c r="O1465" s="24">
        <v>44427</v>
      </c>
      <c r="P1465" s="13" t="s">
        <v>5454</v>
      </c>
      <c r="Q1465" s="13" t="s">
        <v>1750</v>
      </c>
      <c r="R1465" s="13" t="s">
        <v>7799</v>
      </c>
      <c r="S1465" s="109"/>
      <c r="T1465" s="109"/>
      <c r="U1465" s="112"/>
      <c r="V1465" s="109"/>
      <c r="W1465" s="109"/>
      <c r="X1465" s="109"/>
    </row>
    <row r="1466" spans="2:24">
      <c r="B1466" s="109"/>
      <c r="C1466" s="109"/>
      <c r="D1466" s="20" t="str">
        <f>D1465</f>
        <v>JBD显耀显示</v>
      </c>
      <c r="E1466" s="109"/>
      <c r="F1466" s="112"/>
      <c r="G1466" s="109"/>
      <c r="H1466" s="109"/>
      <c r="I1466" s="109"/>
      <c r="J1466" s="109"/>
      <c r="K1466" s="14" t="str">
        <f t="shared" si="286"/>
        <v>运营中</v>
      </c>
      <c r="L1466" s="109"/>
      <c r="M1466" s="109"/>
      <c r="N1466" s="13"/>
      <c r="O1466" s="24">
        <v>44418</v>
      </c>
      <c r="P1466" s="13" t="s">
        <v>1045</v>
      </c>
      <c r="Q1466" s="13" t="s">
        <v>2030</v>
      </c>
      <c r="R1466" s="13" t="s">
        <v>5305</v>
      </c>
      <c r="S1466" s="109"/>
      <c r="T1466" s="109"/>
      <c r="U1466" s="112"/>
      <c r="V1466" s="109"/>
      <c r="W1466" s="109"/>
      <c r="X1466" s="109"/>
    </row>
    <row r="1467" spans="2:24" ht="57.5">
      <c r="B1467" s="109"/>
      <c r="C1467" s="13" t="s">
        <v>5306</v>
      </c>
      <c r="D1467" s="25" t="s">
        <v>5307</v>
      </c>
      <c r="E1467" s="13" t="s">
        <v>5307</v>
      </c>
      <c r="F1467" s="18" t="s">
        <v>7800</v>
      </c>
      <c r="G1467" s="13"/>
      <c r="H1467" s="13" t="s">
        <v>5309</v>
      </c>
      <c r="I1467" s="13" t="s">
        <v>2022</v>
      </c>
      <c r="J1467" s="13" t="s">
        <v>5310</v>
      </c>
      <c r="K1467" s="19" t="s">
        <v>272</v>
      </c>
      <c r="L1467" s="13" t="s">
        <v>1043</v>
      </c>
      <c r="M1467" s="13" t="s">
        <v>5914</v>
      </c>
      <c r="N1467" s="13">
        <v>1</v>
      </c>
      <c r="O1467" s="24">
        <v>44263</v>
      </c>
      <c r="P1467" s="13" t="s">
        <v>5709</v>
      </c>
      <c r="Q1467" s="13" t="s">
        <v>6803</v>
      </c>
      <c r="R1467" s="13" t="s">
        <v>1751</v>
      </c>
      <c r="S1467" s="13" t="s">
        <v>253</v>
      </c>
      <c r="T1467" s="13" t="s">
        <v>3664</v>
      </c>
      <c r="U1467" s="18" t="s">
        <v>5311</v>
      </c>
      <c r="V1467" s="13"/>
      <c r="W1467" s="13"/>
      <c r="X1467" s="13"/>
    </row>
    <row r="1468" spans="2:24">
      <c r="B1468" s="109"/>
      <c r="C1468" s="109" t="s">
        <v>5312</v>
      </c>
      <c r="D1468" s="20" t="s">
        <v>7801</v>
      </c>
      <c r="E1468" s="109" t="s">
        <v>7802</v>
      </c>
      <c r="F1468" s="112" t="s">
        <v>5314</v>
      </c>
      <c r="G1468" s="109" t="s">
        <v>7803</v>
      </c>
      <c r="H1468" s="109" t="s">
        <v>5316</v>
      </c>
      <c r="I1468" s="109" t="s">
        <v>5317</v>
      </c>
      <c r="J1468" s="109" t="s">
        <v>406</v>
      </c>
      <c r="K1468" s="14" t="s">
        <v>272</v>
      </c>
      <c r="L1468" s="109" t="s">
        <v>3274</v>
      </c>
      <c r="M1468" s="109" t="s">
        <v>5729</v>
      </c>
      <c r="N1468" s="13">
        <v>1</v>
      </c>
      <c r="O1468" s="24">
        <v>44544</v>
      </c>
      <c r="P1468" s="13" t="s">
        <v>5625</v>
      </c>
      <c r="Q1468" s="13" t="s">
        <v>7804</v>
      </c>
      <c r="R1468" s="13" t="s">
        <v>253</v>
      </c>
      <c r="S1468" s="109" t="s">
        <v>7805</v>
      </c>
      <c r="T1468" s="109" t="s">
        <v>7806</v>
      </c>
      <c r="U1468" s="112" t="s">
        <v>5321</v>
      </c>
      <c r="V1468" s="109" t="s">
        <v>5322</v>
      </c>
      <c r="W1468" s="109"/>
      <c r="X1468" s="109"/>
    </row>
    <row r="1469" spans="2:24">
      <c r="B1469" s="109"/>
      <c r="C1469" s="109"/>
      <c r="D1469" s="20" t="str">
        <f>D1468</f>
        <v>顺丰同城</v>
      </c>
      <c r="E1469" s="109"/>
      <c r="F1469" s="112"/>
      <c r="G1469" s="109"/>
      <c r="H1469" s="109"/>
      <c r="I1469" s="109"/>
      <c r="J1469" s="109"/>
      <c r="K1469" s="14" t="str">
        <f t="shared" ref="K1469:K1472" si="287">K1468</f>
        <v>运营中</v>
      </c>
      <c r="L1469" s="109"/>
      <c r="M1469" s="109"/>
      <c r="N1469" s="13">
        <v>1</v>
      </c>
      <c r="O1469" s="24">
        <v>44530</v>
      </c>
      <c r="P1469" s="13" t="s">
        <v>5795</v>
      </c>
      <c r="Q1469" s="13" t="s">
        <v>7807</v>
      </c>
      <c r="R1469" s="13" t="s">
        <v>5324</v>
      </c>
      <c r="S1469" s="109"/>
      <c r="T1469" s="109"/>
      <c r="U1469" s="112"/>
      <c r="V1469" s="109"/>
      <c r="W1469" s="109"/>
      <c r="X1469" s="109"/>
    </row>
    <row r="1470" spans="2:24">
      <c r="B1470" s="109"/>
      <c r="C1470" s="109"/>
      <c r="D1470" s="20" t="str">
        <f>D1469</f>
        <v>顺丰同城</v>
      </c>
      <c r="E1470" s="109"/>
      <c r="F1470" s="112"/>
      <c r="G1470" s="109"/>
      <c r="H1470" s="109"/>
      <c r="I1470" s="109"/>
      <c r="J1470" s="109"/>
      <c r="K1470" s="14" t="str">
        <f t="shared" si="287"/>
        <v>运营中</v>
      </c>
      <c r="L1470" s="109"/>
      <c r="M1470" s="109"/>
      <c r="N1470" s="13">
        <v>1</v>
      </c>
      <c r="O1470" s="24">
        <v>44273</v>
      </c>
      <c r="P1470" s="13" t="s">
        <v>1045</v>
      </c>
      <c r="Q1470" s="13" t="s">
        <v>7808</v>
      </c>
      <c r="R1470" s="13" t="s">
        <v>7809</v>
      </c>
      <c r="S1470" s="109"/>
      <c r="T1470" s="109"/>
      <c r="U1470" s="112"/>
      <c r="V1470" s="109"/>
      <c r="W1470" s="109"/>
      <c r="X1470" s="109"/>
    </row>
    <row r="1471" spans="2:24">
      <c r="B1471" s="109"/>
      <c r="C1471" s="109"/>
      <c r="D1471" s="20" t="str">
        <f>D1470</f>
        <v>顺丰同城</v>
      </c>
      <c r="E1471" s="109"/>
      <c r="F1471" s="112"/>
      <c r="G1471" s="109"/>
      <c r="H1471" s="109"/>
      <c r="I1471" s="109"/>
      <c r="J1471" s="109"/>
      <c r="K1471" s="14" t="str">
        <f t="shared" si="287"/>
        <v>运营中</v>
      </c>
      <c r="L1471" s="109"/>
      <c r="M1471" s="109"/>
      <c r="N1471" s="13">
        <v>1</v>
      </c>
      <c r="O1471" s="24">
        <v>44222</v>
      </c>
      <c r="P1471" s="13" t="s">
        <v>3648</v>
      </c>
      <c r="Q1471" s="13" t="s">
        <v>1750</v>
      </c>
      <c r="R1471" s="13" t="s">
        <v>5327</v>
      </c>
      <c r="S1471" s="109"/>
      <c r="T1471" s="109"/>
      <c r="U1471" s="112"/>
      <c r="V1471" s="109"/>
      <c r="W1471" s="109"/>
      <c r="X1471" s="109"/>
    </row>
    <row r="1472" spans="2:24">
      <c r="B1472" s="109"/>
      <c r="C1472" s="109"/>
      <c r="D1472" s="20" t="str">
        <f>D1471</f>
        <v>顺丰同城</v>
      </c>
      <c r="E1472" s="109"/>
      <c r="F1472" s="112"/>
      <c r="G1472" s="109"/>
      <c r="H1472" s="109"/>
      <c r="I1472" s="109"/>
      <c r="J1472" s="109"/>
      <c r="K1472" s="14" t="str">
        <f t="shared" si="287"/>
        <v>运营中</v>
      </c>
      <c r="L1472" s="109"/>
      <c r="M1472" s="109"/>
      <c r="N1472" s="13">
        <v>1</v>
      </c>
      <c r="O1472" s="24">
        <v>43762</v>
      </c>
      <c r="P1472" s="13" t="s">
        <v>3513</v>
      </c>
      <c r="Q1472" s="13" t="s">
        <v>5129</v>
      </c>
      <c r="R1472" s="13" t="s">
        <v>5328</v>
      </c>
      <c r="S1472" s="109"/>
      <c r="T1472" s="109"/>
      <c r="U1472" s="112"/>
      <c r="V1472" s="109"/>
      <c r="W1472" s="109"/>
      <c r="X1472" s="109"/>
    </row>
    <row r="1473" spans="2:24" ht="36">
      <c r="B1473" s="109"/>
      <c r="C1473" s="13" t="s">
        <v>5329</v>
      </c>
      <c r="D1473" s="25" t="s">
        <v>7810</v>
      </c>
      <c r="E1473" s="13" t="s">
        <v>5331</v>
      </c>
      <c r="F1473" s="18" t="s">
        <v>5332</v>
      </c>
      <c r="G1473" s="13" t="s">
        <v>7811</v>
      </c>
      <c r="H1473" s="13" t="s">
        <v>5334</v>
      </c>
      <c r="I1473" s="13" t="s">
        <v>5335</v>
      </c>
      <c r="J1473" s="13" t="s">
        <v>5336</v>
      </c>
      <c r="K1473" s="19" t="s">
        <v>272</v>
      </c>
      <c r="L1473" s="13" t="s">
        <v>1825</v>
      </c>
      <c r="M1473" s="13" t="s">
        <v>470</v>
      </c>
      <c r="N1473" s="13"/>
      <c r="O1473" s="24">
        <v>44281</v>
      </c>
      <c r="P1473" s="13" t="s">
        <v>1045</v>
      </c>
      <c r="Q1473" s="13" t="s">
        <v>2030</v>
      </c>
      <c r="R1473" s="13" t="s">
        <v>1751</v>
      </c>
      <c r="S1473" s="13" t="s">
        <v>4215</v>
      </c>
      <c r="T1473" s="13" t="s">
        <v>3664</v>
      </c>
      <c r="U1473" s="18"/>
      <c r="V1473" s="13" t="s">
        <v>5337</v>
      </c>
      <c r="W1473" s="13" t="s">
        <v>5338</v>
      </c>
      <c r="X1473" s="13" t="s">
        <v>5339</v>
      </c>
    </row>
    <row r="1474" spans="2:24">
      <c r="B1474" s="109"/>
      <c r="C1474" s="109" t="s">
        <v>5340</v>
      </c>
      <c r="D1474" s="20" t="s">
        <v>7812</v>
      </c>
      <c r="E1474" s="109" t="s">
        <v>5342</v>
      </c>
      <c r="F1474" s="112" t="s">
        <v>5343</v>
      </c>
      <c r="G1474" s="109" t="s">
        <v>7813</v>
      </c>
      <c r="H1474" s="109" t="s">
        <v>5345</v>
      </c>
      <c r="I1474" s="109" t="s">
        <v>5346</v>
      </c>
      <c r="J1474" s="109" t="s">
        <v>973</v>
      </c>
      <c r="K1474" s="14" t="s">
        <v>272</v>
      </c>
      <c r="L1474" s="109" t="s">
        <v>4472</v>
      </c>
      <c r="M1474" s="109" t="s">
        <v>5347</v>
      </c>
      <c r="N1474" s="13"/>
      <c r="O1474" s="24">
        <v>44553</v>
      </c>
      <c r="P1474" s="13" t="s">
        <v>1045</v>
      </c>
      <c r="Q1474" s="13" t="s">
        <v>1750</v>
      </c>
      <c r="R1474" s="13" t="s">
        <v>5348</v>
      </c>
      <c r="S1474" s="109" t="s">
        <v>5349</v>
      </c>
      <c r="T1474" s="109" t="s">
        <v>1829</v>
      </c>
      <c r="U1474" s="112"/>
      <c r="V1474" s="109" t="s">
        <v>5350</v>
      </c>
      <c r="W1474" s="109" t="s">
        <v>5351</v>
      </c>
      <c r="X1474" s="109"/>
    </row>
    <row r="1475" spans="2:24">
      <c r="B1475" s="109"/>
      <c r="C1475" s="109"/>
      <c r="D1475" s="20" t="str">
        <f>D1474</f>
        <v>KNOWIN潮流实验室</v>
      </c>
      <c r="E1475" s="109"/>
      <c r="F1475" s="112"/>
      <c r="G1475" s="109"/>
      <c r="H1475" s="109"/>
      <c r="I1475" s="109"/>
      <c r="J1475" s="109"/>
      <c r="K1475" s="14" t="str">
        <f t="shared" ref="K1475:K1476" si="288">K1474</f>
        <v>运营中</v>
      </c>
      <c r="L1475" s="109"/>
      <c r="M1475" s="109"/>
      <c r="N1475" s="13"/>
      <c r="O1475" s="24">
        <v>44334</v>
      </c>
      <c r="P1475" s="13" t="s">
        <v>3513</v>
      </c>
      <c r="Q1475" s="13" t="s">
        <v>3483</v>
      </c>
      <c r="R1475" s="13" t="s">
        <v>5352</v>
      </c>
      <c r="S1475" s="109"/>
      <c r="T1475" s="109"/>
      <c r="U1475" s="112"/>
      <c r="V1475" s="109"/>
      <c r="W1475" s="109"/>
      <c r="X1475" s="109"/>
    </row>
    <row r="1476" spans="2:24">
      <c r="B1476" s="109"/>
      <c r="C1476" s="109"/>
      <c r="D1476" s="20" t="str">
        <f>D1475</f>
        <v>KNOWIN潮流实验室</v>
      </c>
      <c r="E1476" s="109"/>
      <c r="F1476" s="112"/>
      <c r="G1476" s="109"/>
      <c r="H1476" s="109"/>
      <c r="I1476" s="109"/>
      <c r="J1476" s="109"/>
      <c r="K1476" s="14" t="str">
        <f t="shared" si="288"/>
        <v>运营中</v>
      </c>
      <c r="L1476" s="109"/>
      <c r="M1476" s="109"/>
      <c r="N1476" s="13"/>
      <c r="O1476" s="24">
        <v>44167</v>
      </c>
      <c r="P1476" s="13" t="s">
        <v>1045</v>
      </c>
      <c r="Q1476" s="13" t="s">
        <v>2030</v>
      </c>
      <c r="R1476" s="13" t="s">
        <v>813</v>
      </c>
      <c r="S1476" s="109"/>
      <c r="T1476" s="109"/>
      <c r="U1476" s="112"/>
      <c r="V1476" s="109"/>
      <c r="W1476" s="109"/>
      <c r="X1476" s="109"/>
    </row>
    <row r="1477" spans="2:24">
      <c r="B1477" s="109"/>
      <c r="C1477" s="109" t="s">
        <v>5353</v>
      </c>
      <c r="D1477" s="20" t="s">
        <v>7814</v>
      </c>
      <c r="E1477" s="109" t="s">
        <v>5355</v>
      </c>
      <c r="F1477" s="112" t="s">
        <v>5356</v>
      </c>
      <c r="G1477" s="109" t="s">
        <v>7815</v>
      </c>
      <c r="H1477" s="109" t="s">
        <v>5358</v>
      </c>
      <c r="I1477" s="109" t="s">
        <v>4963</v>
      </c>
      <c r="J1477" s="109" t="s">
        <v>761</v>
      </c>
      <c r="K1477" s="14" t="s">
        <v>272</v>
      </c>
      <c r="L1477" s="109" t="s">
        <v>3661</v>
      </c>
      <c r="M1477" s="109" t="s">
        <v>5359</v>
      </c>
      <c r="N1477" s="13"/>
      <c r="O1477" s="24">
        <v>44629</v>
      </c>
      <c r="P1477" s="13" t="s">
        <v>3648</v>
      </c>
      <c r="Q1477" s="13" t="s">
        <v>5360</v>
      </c>
      <c r="R1477" s="13" t="s">
        <v>5361</v>
      </c>
      <c r="S1477" s="109" t="s">
        <v>5362</v>
      </c>
      <c r="T1477" s="109" t="s">
        <v>5363</v>
      </c>
      <c r="U1477" s="112" t="s">
        <v>5364</v>
      </c>
      <c r="V1477" s="109" t="s">
        <v>5365</v>
      </c>
      <c r="W1477" s="109" t="s">
        <v>5366</v>
      </c>
      <c r="X1477" s="109" t="s">
        <v>5367</v>
      </c>
    </row>
    <row r="1478" spans="2:24">
      <c r="B1478" s="109"/>
      <c r="C1478" s="109"/>
      <c r="D1478" s="20" t="str">
        <f>D1477</f>
        <v>法奥FAIR</v>
      </c>
      <c r="E1478" s="109"/>
      <c r="F1478" s="112"/>
      <c r="G1478" s="109"/>
      <c r="H1478" s="109"/>
      <c r="I1478" s="109"/>
      <c r="J1478" s="109"/>
      <c r="K1478" s="14" t="str">
        <f t="shared" ref="K1478:K1479" si="289">K1477</f>
        <v>运营中</v>
      </c>
      <c r="L1478" s="109"/>
      <c r="M1478" s="109"/>
      <c r="N1478" s="13"/>
      <c r="O1478" s="24">
        <v>44372</v>
      </c>
      <c r="P1478" s="13" t="s">
        <v>4306</v>
      </c>
      <c r="Q1478" s="13" t="s">
        <v>5862</v>
      </c>
      <c r="R1478" s="13" t="s">
        <v>5368</v>
      </c>
      <c r="S1478" s="109"/>
      <c r="T1478" s="109"/>
      <c r="U1478" s="112"/>
      <c r="V1478" s="109"/>
      <c r="W1478" s="109"/>
      <c r="X1478" s="109"/>
    </row>
    <row r="1479" spans="2:24">
      <c r="B1479" s="109"/>
      <c r="C1479" s="109"/>
      <c r="D1479" s="20" t="str">
        <f>D1478</f>
        <v>法奥FAIR</v>
      </c>
      <c r="E1479" s="109"/>
      <c r="F1479" s="112"/>
      <c r="G1479" s="109"/>
      <c r="H1479" s="109"/>
      <c r="I1479" s="109"/>
      <c r="J1479" s="109"/>
      <c r="K1479" s="14" t="str">
        <f t="shared" si="289"/>
        <v>运营中</v>
      </c>
      <c r="L1479" s="109"/>
      <c r="M1479" s="109"/>
      <c r="N1479" s="13"/>
      <c r="O1479" s="24">
        <v>44326</v>
      </c>
      <c r="P1479" s="13" t="s">
        <v>3513</v>
      </c>
      <c r="Q1479" s="13" t="s">
        <v>5000</v>
      </c>
      <c r="R1479" s="13" t="s">
        <v>7816</v>
      </c>
      <c r="S1479" s="109"/>
      <c r="T1479" s="109"/>
      <c r="U1479" s="112"/>
      <c r="V1479" s="109"/>
      <c r="W1479" s="109"/>
      <c r="X1479" s="109"/>
    </row>
    <row r="1480" spans="2:24">
      <c r="B1480" s="109"/>
      <c r="C1480" s="109" t="s">
        <v>5370</v>
      </c>
      <c r="D1480" s="20" t="s">
        <v>5371</v>
      </c>
      <c r="E1480" s="109" t="s">
        <v>5371</v>
      </c>
      <c r="F1480" s="112" t="s">
        <v>7817</v>
      </c>
      <c r="G1480" s="109"/>
      <c r="H1480" s="109" t="s">
        <v>5373</v>
      </c>
      <c r="I1480" s="109" t="s">
        <v>5374</v>
      </c>
      <c r="J1480" s="109" t="s">
        <v>2156</v>
      </c>
      <c r="K1480" s="14" t="s">
        <v>272</v>
      </c>
      <c r="L1480" s="109" t="s">
        <v>1043</v>
      </c>
      <c r="M1480" s="109" t="s">
        <v>1990</v>
      </c>
      <c r="N1480" s="13">
        <v>1</v>
      </c>
      <c r="O1480" s="24">
        <v>44662</v>
      </c>
      <c r="P1480" s="13" t="s">
        <v>5625</v>
      </c>
      <c r="Q1480" s="13" t="s">
        <v>6474</v>
      </c>
      <c r="R1480" s="13" t="s">
        <v>253</v>
      </c>
      <c r="S1480" s="109" t="s">
        <v>7818</v>
      </c>
      <c r="T1480" s="109" t="s">
        <v>7819</v>
      </c>
      <c r="U1480" s="112" t="s">
        <v>5377</v>
      </c>
      <c r="V1480" s="109"/>
      <c r="W1480" s="109"/>
      <c r="X1480" s="109"/>
    </row>
    <row r="1481" spans="2:24">
      <c r="B1481" s="109"/>
      <c r="C1481" s="109"/>
      <c r="D1481" s="20" t="str">
        <f>D1480</f>
        <v>GoTo</v>
      </c>
      <c r="E1481" s="109"/>
      <c r="F1481" s="112"/>
      <c r="G1481" s="109"/>
      <c r="H1481" s="109"/>
      <c r="I1481" s="109"/>
      <c r="J1481" s="109"/>
      <c r="K1481" s="14" t="str">
        <f t="shared" ref="K1481:K1483" si="290">K1480</f>
        <v>运营中</v>
      </c>
      <c r="L1481" s="109"/>
      <c r="M1481" s="109"/>
      <c r="N1481" s="13">
        <v>1</v>
      </c>
      <c r="O1481" s="24">
        <v>44511</v>
      </c>
      <c r="P1481" s="13" t="s">
        <v>1045</v>
      </c>
      <c r="Q1481" s="13" t="s">
        <v>7820</v>
      </c>
      <c r="R1481" s="13" t="s">
        <v>7821</v>
      </c>
      <c r="S1481" s="109"/>
      <c r="T1481" s="109"/>
      <c r="U1481" s="112"/>
      <c r="V1481" s="109"/>
      <c r="W1481" s="109"/>
      <c r="X1481" s="109"/>
    </row>
    <row r="1482" spans="2:24">
      <c r="B1482" s="109"/>
      <c r="C1482" s="109"/>
      <c r="D1482" s="20" t="str">
        <f>D1481</f>
        <v>GoTo</v>
      </c>
      <c r="E1482" s="109"/>
      <c r="F1482" s="112"/>
      <c r="G1482" s="109"/>
      <c r="H1482" s="109"/>
      <c r="I1482" s="109"/>
      <c r="J1482" s="109"/>
      <c r="K1482" s="14" t="str">
        <f t="shared" si="290"/>
        <v>运营中</v>
      </c>
      <c r="L1482" s="109"/>
      <c r="M1482" s="109"/>
      <c r="N1482" s="13">
        <v>1</v>
      </c>
      <c r="O1482" s="24">
        <v>44489</v>
      </c>
      <c r="P1482" s="13" t="s">
        <v>763</v>
      </c>
      <c r="Q1482" s="13" t="s">
        <v>4562</v>
      </c>
      <c r="R1482" s="13" t="s">
        <v>5380</v>
      </c>
      <c r="S1482" s="109"/>
      <c r="T1482" s="109"/>
      <c r="U1482" s="112"/>
      <c r="V1482" s="109"/>
      <c r="W1482" s="109"/>
      <c r="X1482" s="109"/>
    </row>
    <row r="1483" spans="2:24">
      <c r="B1483" s="109"/>
      <c r="C1483" s="109"/>
      <c r="D1483" s="20" t="str">
        <f>D1482</f>
        <v>GoTo</v>
      </c>
      <c r="E1483" s="109"/>
      <c r="F1483" s="112"/>
      <c r="G1483" s="109"/>
      <c r="H1483" s="109"/>
      <c r="I1483" s="109"/>
      <c r="J1483" s="109"/>
      <c r="K1483" s="14" t="str">
        <f t="shared" si="290"/>
        <v>运营中</v>
      </c>
      <c r="L1483" s="109"/>
      <c r="M1483" s="109"/>
      <c r="N1483" s="13">
        <v>1</v>
      </c>
      <c r="O1483" s="24">
        <v>44333</v>
      </c>
      <c r="P1483" s="13" t="s">
        <v>1045</v>
      </c>
      <c r="Q1483" s="13" t="s">
        <v>5000</v>
      </c>
      <c r="R1483" s="13" t="s">
        <v>5381</v>
      </c>
      <c r="S1483" s="109"/>
      <c r="T1483" s="109"/>
      <c r="U1483" s="112"/>
      <c r="V1483" s="109"/>
      <c r="W1483" s="109"/>
      <c r="X1483" s="109"/>
    </row>
    <row r="1484" spans="2:24">
      <c r="B1484" s="109"/>
      <c r="C1484" s="109" t="s">
        <v>5382</v>
      </c>
      <c r="D1484" s="20" t="s">
        <v>217</v>
      </c>
      <c r="E1484" s="109" t="s">
        <v>217</v>
      </c>
      <c r="F1484" s="112" t="s">
        <v>5383</v>
      </c>
      <c r="G1484" s="109" t="s">
        <v>7822</v>
      </c>
      <c r="H1484" s="109" t="s">
        <v>5385</v>
      </c>
      <c r="I1484" s="109" t="s">
        <v>5386</v>
      </c>
      <c r="J1484" s="109" t="s">
        <v>4471</v>
      </c>
      <c r="K1484" s="14" t="s">
        <v>272</v>
      </c>
      <c r="L1484" s="109" t="s">
        <v>5387</v>
      </c>
      <c r="M1484" s="109" t="s">
        <v>5388</v>
      </c>
      <c r="N1484" s="13"/>
      <c r="O1484" s="24">
        <v>44880</v>
      </c>
      <c r="P1484" s="13" t="s">
        <v>4306</v>
      </c>
      <c r="Q1484" s="13" t="s">
        <v>5389</v>
      </c>
      <c r="R1484" s="13" t="s">
        <v>5390</v>
      </c>
      <c r="S1484" s="109" t="s">
        <v>5349</v>
      </c>
      <c r="T1484" s="109" t="s">
        <v>5391</v>
      </c>
      <c r="U1484" s="112" t="s">
        <v>5392</v>
      </c>
      <c r="V1484" s="109" t="s">
        <v>5393</v>
      </c>
      <c r="W1484" s="109" t="s">
        <v>5394</v>
      </c>
      <c r="X1484" s="109" t="s">
        <v>5395</v>
      </c>
    </row>
    <row r="1485" spans="2:24">
      <c r="B1485" s="109"/>
      <c r="C1485" s="109"/>
      <c r="D1485" s="20" t="str">
        <f>D1484</f>
        <v>Yahaha</v>
      </c>
      <c r="E1485" s="109"/>
      <c r="F1485" s="112"/>
      <c r="G1485" s="109"/>
      <c r="H1485" s="109"/>
      <c r="I1485" s="109"/>
      <c r="J1485" s="109"/>
      <c r="K1485" s="14" t="str">
        <f t="shared" ref="K1485:K1487" si="291">K1484</f>
        <v>运营中</v>
      </c>
      <c r="L1485" s="109"/>
      <c r="M1485" s="109"/>
      <c r="N1485" s="13"/>
      <c r="O1485" s="24">
        <v>44372</v>
      </c>
      <c r="P1485" s="13" t="s">
        <v>4306</v>
      </c>
      <c r="Q1485" s="13" t="s">
        <v>1750</v>
      </c>
      <c r="R1485" s="13" t="s">
        <v>5396</v>
      </c>
      <c r="S1485" s="109"/>
      <c r="T1485" s="109"/>
      <c r="U1485" s="112"/>
      <c r="V1485" s="109"/>
      <c r="W1485" s="109"/>
      <c r="X1485" s="109"/>
    </row>
    <row r="1486" spans="2:24">
      <c r="B1486" s="109"/>
      <c r="C1486" s="109"/>
      <c r="D1486" s="20" t="str">
        <f>D1485</f>
        <v>Yahaha</v>
      </c>
      <c r="E1486" s="109"/>
      <c r="F1486" s="112"/>
      <c r="G1486" s="109"/>
      <c r="H1486" s="109"/>
      <c r="I1486" s="109"/>
      <c r="J1486" s="109"/>
      <c r="K1486" s="14" t="str">
        <f t="shared" si="291"/>
        <v>运营中</v>
      </c>
      <c r="L1486" s="109"/>
      <c r="M1486" s="109"/>
      <c r="N1486" s="13"/>
      <c r="O1486" s="24">
        <v>44286</v>
      </c>
      <c r="P1486" s="13" t="s">
        <v>4306</v>
      </c>
      <c r="Q1486" s="13" t="s">
        <v>3514</v>
      </c>
      <c r="R1486" s="13" t="s">
        <v>5397</v>
      </c>
      <c r="S1486" s="109"/>
      <c r="T1486" s="109"/>
      <c r="U1486" s="112"/>
      <c r="V1486" s="109"/>
      <c r="W1486" s="109"/>
      <c r="X1486" s="109"/>
    </row>
    <row r="1487" spans="2:24">
      <c r="B1487" s="109"/>
      <c r="C1487" s="109"/>
      <c r="D1487" s="20" t="str">
        <f>D1486</f>
        <v>Yahaha</v>
      </c>
      <c r="E1487" s="109"/>
      <c r="F1487" s="112"/>
      <c r="G1487" s="109"/>
      <c r="H1487" s="109"/>
      <c r="I1487" s="109"/>
      <c r="J1487" s="109"/>
      <c r="K1487" s="14" t="str">
        <f t="shared" si="291"/>
        <v>运营中</v>
      </c>
      <c r="L1487" s="109"/>
      <c r="M1487" s="109"/>
      <c r="N1487" s="13"/>
      <c r="O1487" s="24">
        <v>44197</v>
      </c>
      <c r="P1487" s="13" t="s">
        <v>3513</v>
      </c>
      <c r="Q1487" s="13" t="s">
        <v>2030</v>
      </c>
      <c r="R1487" s="13" t="s">
        <v>5398</v>
      </c>
      <c r="S1487" s="109"/>
      <c r="T1487" s="109"/>
      <c r="U1487" s="112"/>
      <c r="V1487" s="109"/>
      <c r="W1487" s="109"/>
      <c r="X1487" s="109"/>
    </row>
    <row r="1488" spans="2:24" ht="48">
      <c r="B1488" s="109"/>
      <c r="C1488" s="13" t="s">
        <v>5399</v>
      </c>
      <c r="D1488" s="25" t="s">
        <v>7823</v>
      </c>
      <c r="E1488" s="13" t="s">
        <v>5401</v>
      </c>
      <c r="F1488" s="18" t="s">
        <v>5402</v>
      </c>
      <c r="G1488" s="13" t="s">
        <v>7824</v>
      </c>
      <c r="H1488" s="13"/>
      <c r="I1488" s="13" t="s">
        <v>2518</v>
      </c>
      <c r="J1488" s="13" t="s">
        <v>406</v>
      </c>
      <c r="K1488" s="19" t="s">
        <v>272</v>
      </c>
      <c r="L1488" s="13" t="s">
        <v>5257</v>
      </c>
      <c r="M1488" s="13" t="s">
        <v>5404</v>
      </c>
      <c r="N1488" s="13"/>
      <c r="O1488" s="24">
        <v>44385</v>
      </c>
      <c r="P1488" s="13" t="s">
        <v>1045</v>
      </c>
      <c r="Q1488" s="13" t="s">
        <v>2030</v>
      </c>
      <c r="R1488" s="13" t="s">
        <v>1217</v>
      </c>
      <c r="S1488" s="13" t="s">
        <v>4215</v>
      </c>
      <c r="T1488" s="13" t="s">
        <v>3664</v>
      </c>
      <c r="U1488" s="18"/>
      <c r="V1488" s="13" t="s">
        <v>5405</v>
      </c>
      <c r="W1488" s="13" t="s">
        <v>5406</v>
      </c>
      <c r="X1488" s="13"/>
    </row>
    <row r="1489" spans="2:24" ht="36">
      <c r="B1489" s="109"/>
      <c r="C1489" s="13" t="s">
        <v>1084</v>
      </c>
      <c r="D1489" s="25" t="s">
        <v>7825</v>
      </c>
      <c r="E1489" s="13" t="s">
        <v>5408</v>
      </c>
      <c r="F1489" s="18" t="s">
        <v>5409</v>
      </c>
      <c r="G1489" s="13" t="s">
        <v>7826</v>
      </c>
      <c r="H1489" s="13"/>
      <c r="I1489" s="13" t="s">
        <v>3584</v>
      </c>
      <c r="J1489" s="13" t="s">
        <v>406</v>
      </c>
      <c r="K1489" s="19" t="s">
        <v>272</v>
      </c>
      <c r="L1489" s="13" t="s">
        <v>4472</v>
      </c>
      <c r="M1489" s="13" t="s">
        <v>5411</v>
      </c>
      <c r="N1489" s="13"/>
      <c r="O1489" s="24">
        <v>44389</v>
      </c>
      <c r="P1489" s="13" t="s">
        <v>1045</v>
      </c>
      <c r="Q1489" s="13" t="s">
        <v>2030</v>
      </c>
      <c r="R1489" s="13" t="s">
        <v>5412</v>
      </c>
      <c r="S1489" s="13" t="s">
        <v>4215</v>
      </c>
      <c r="T1489" s="13" t="s">
        <v>3664</v>
      </c>
      <c r="U1489" s="18" t="s">
        <v>5413</v>
      </c>
      <c r="V1489" s="13" t="s">
        <v>5414</v>
      </c>
      <c r="W1489" s="13" t="s">
        <v>5406</v>
      </c>
      <c r="X1489" s="13" t="s">
        <v>5415</v>
      </c>
    </row>
    <row r="1490" spans="2:24">
      <c r="B1490" s="109"/>
      <c r="C1490" s="109" t="s">
        <v>5416</v>
      </c>
      <c r="D1490" s="20" t="s">
        <v>7827</v>
      </c>
      <c r="E1490" s="109" t="s">
        <v>7828</v>
      </c>
      <c r="F1490" s="112" t="s">
        <v>5418</v>
      </c>
      <c r="G1490" s="109" t="s">
        <v>7829</v>
      </c>
      <c r="H1490" s="109" t="s">
        <v>5420</v>
      </c>
      <c r="I1490" s="109" t="s">
        <v>5215</v>
      </c>
      <c r="J1490" s="109" t="s">
        <v>428</v>
      </c>
      <c r="K1490" s="14" t="s">
        <v>272</v>
      </c>
      <c r="L1490" s="109" t="s">
        <v>1825</v>
      </c>
      <c r="M1490" s="109" t="s">
        <v>5843</v>
      </c>
      <c r="N1490" s="13"/>
      <c r="O1490" s="24">
        <v>45035</v>
      </c>
      <c r="P1490" s="13" t="s">
        <v>4306</v>
      </c>
      <c r="Q1490" s="13" t="s">
        <v>3514</v>
      </c>
      <c r="R1490" s="13" t="s">
        <v>7830</v>
      </c>
      <c r="S1490" s="109" t="s">
        <v>7831</v>
      </c>
      <c r="T1490" s="109" t="s">
        <v>6677</v>
      </c>
      <c r="U1490" s="112" t="s">
        <v>5423</v>
      </c>
      <c r="V1490" s="109" t="s">
        <v>5424</v>
      </c>
      <c r="W1490" s="109" t="s">
        <v>5425</v>
      </c>
      <c r="X1490" s="109" t="s">
        <v>5426</v>
      </c>
    </row>
    <row r="1491" spans="2:24">
      <c r="B1491" s="109"/>
      <c r="C1491" s="109"/>
      <c r="D1491" s="20" t="str">
        <f>D1490</f>
        <v>随幻科技</v>
      </c>
      <c r="E1491" s="109"/>
      <c r="F1491" s="112"/>
      <c r="G1491" s="109"/>
      <c r="H1491" s="109"/>
      <c r="I1491" s="109"/>
      <c r="J1491" s="109"/>
      <c r="K1491" s="14" t="str">
        <f t="shared" ref="K1491:K1493" si="292">K1490</f>
        <v>运营中</v>
      </c>
      <c r="L1491" s="109"/>
      <c r="M1491" s="109"/>
      <c r="N1491" s="13"/>
      <c r="O1491" s="24">
        <v>44862</v>
      </c>
      <c r="P1491" s="13" t="s">
        <v>3513</v>
      </c>
      <c r="Q1491" s="13" t="s">
        <v>5427</v>
      </c>
      <c r="R1491" s="13" t="s">
        <v>1751</v>
      </c>
      <c r="S1491" s="109"/>
      <c r="T1491" s="109"/>
      <c r="U1491" s="112"/>
      <c r="V1491" s="109"/>
      <c r="W1491" s="109"/>
      <c r="X1491" s="109"/>
    </row>
    <row r="1492" spans="2:24">
      <c r="B1492" s="109"/>
      <c r="C1492" s="109"/>
      <c r="D1492" s="20" t="str">
        <f>D1491</f>
        <v>随幻科技</v>
      </c>
      <c r="E1492" s="109"/>
      <c r="F1492" s="112"/>
      <c r="G1492" s="109"/>
      <c r="H1492" s="109"/>
      <c r="I1492" s="109"/>
      <c r="J1492" s="109"/>
      <c r="K1492" s="14" t="str">
        <f t="shared" si="292"/>
        <v>运营中</v>
      </c>
      <c r="L1492" s="109"/>
      <c r="M1492" s="109"/>
      <c r="N1492" s="13"/>
      <c r="O1492" s="24">
        <v>44410</v>
      </c>
      <c r="P1492" s="13" t="s">
        <v>5454</v>
      </c>
      <c r="Q1492" s="13" t="s">
        <v>5129</v>
      </c>
      <c r="R1492" s="13" t="s">
        <v>7832</v>
      </c>
      <c r="S1492" s="109"/>
      <c r="T1492" s="109"/>
      <c r="U1492" s="112"/>
      <c r="V1492" s="109"/>
      <c r="W1492" s="109"/>
      <c r="X1492" s="109"/>
    </row>
    <row r="1493" spans="2:24">
      <c r="B1493" s="109"/>
      <c r="C1493" s="109"/>
      <c r="D1493" s="20" t="str">
        <f>D1492</f>
        <v>随幻科技</v>
      </c>
      <c r="E1493" s="109"/>
      <c r="F1493" s="112"/>
      <c r="G1493" s="109"/>
      <c r="H1493" s="109"/>
      <c r="I1493" s="109"/>
      <c r="J1493" s="109"/>
      <c r="K1493" s="14" t="str">
        <f t="shared" si="292"/>
        <v>运营中</v>
      </c>
      <c r="L1493" s="109"/>
      <c r="M1493" s="109"/>
      <c r="N1493" s="13"/>
      <c r="O1493" s="24">
        <v>44257</v>
      </c>
      <c r="P1493" s="13" t="s">
        <v>5474</v>
      </c>
      <c r="Q1493" s="13" t="s">
        <v>2030</v>
      </c>
      <c r="R1493" s="13" t="s">
        <v>7833</v>
      </c>
      <c r="S1493" s="109"/>
      <c r="T1493" s="109"/>
      <c r="U1493" s="112"/>
      <c r="V1493" s="109"/>
      <c r="W1493" s="109"/>
      <c r="X1493" s="109"/>
    </row>
    <row r="1494" spans="2:24">
      <c r="B1494" s="109"/>
      <c r="C1494" s="109" t="s">
        <v>5430</v>
      </c>
      <c r="D1494" s="20" t="s">
        <v>7834</v>
      </c>
      <c r="E1494" s="109" t="s">
        <v>5432</v>
      </c>
      <c r="F1494" s="112" t="s">
        <v>5433</v>
      </c>
      <c r="G1494" s="109" t="s">
        <v>7835</v>
      </c>
      <c r="H1494" s="109" t="s">
        <v>5435</v>
      </c>
      <c r="I1494" s="109" t="s">
        <v>3771</v>
      </c>
      <c r="J1494" s="109" t="s">
        <v>5436</v>
      </c>
      <c r="K1494" s="14" t="s">
        <v>272</v>
      </c>
      <c r="L1494" s="109" t="s">
        <v>5437</v>
      </c>
      <c r="M1494" s="109" t="s">
        <v>5438</v>
      </c>
      <c r="N1494" s="13"/>
      <c r="O1494" s="24">
        <v>44978</v>
      </c>
      <c r="P1494" s="13" t="s">
        <v>4306</v>
      </c>
      <c r="Q1494" s="13" t="s">
        <v>5427</v>
      </c>
      <c r="R1494" s="13" t="s">
        <v>5439</v>
      </c>
      <c r="S1494" s="109" t="s">
        <v>5440</v>
      </c>
      <c r="T1494" s="109" t="s">
        <v>5441</v>
      </c>
      <c r="U1494" s="112"/>
      <c r="V1494" s="109" t="s">
        <v>5442</v>
      </c>
      <c r="W1494" s="109" t="s">
        <v>5443</v>
      </c>
      <c r="X1494" s="109" t="s">
        <v>5444</v>
      </c>
    </row>
    <row r="1495" spans="2:24">
      <c r="B1495" s="109"/>
      <c r="C1495" s="109"/>
      <c r="D1495" s="20" t="str">
        <f>D1494</f>
        <v>博瑞迪生物</v>
      </c>
      <c r="E1495" s="109"/>
      <c r="F1495" s="112"/>
      <c r="G1495" s="109"/>
      <c r="H1495" s="109"/>
      <c r="I1495" s="109"/>
      <c r="J1495" s="109"/>
      <c r="K1495" s="14" t="str">
        <f t="shared" ref="K1495:K1497" si="293">K1494</f>
        <v>运营中</v>
      </c>
      <c r="L1495" s="109"/>
      <c r="M1495" s="109"/>
      <c r="N1495" s="13"/>
      <c r="O1495" s="24">
        <v>44726</v>
      </c>
      <c r="P1495" s="13" t="s">
        <v>4306</v>
      </c>
      <c r="Q1495" s="13" t="s">
        <v>2030</v>
      </c>
      <c r="R1495" s="13" t="s">
        <v>5445</v>
      </c>
      <c r="S1495" s="109"/>
      <c r="T1495" s="109"/>
      <c r="U1495" s="112"/>
      <c r="V1495" s="109"/>
      <c r="W1495" s="109"/>
      <c r="X1495" s="109"/>
    </row>
    <row r="1496" spans="2:24">
      <c r="B1496" s="109"/>
      <c r="C1496" s="109"/>
      <c r="D1496" s="20" t="str">
        <f>D1495</f>
        <v>博瑞迪生物</v>
      </c>
      <c r="E1496" s="109"/>
      <c r="F1496" s="112"/>
      <c r="G1496" s="109"/>
      <c r="H1496" s="109"/>
      <c r="I1496" s="109"/>
      <c r="J1496" s="109"/>
      <c r="K1496" s="14" t="str">
        <f t="shared" si="293"/>
        <v>运营中</v>
      </c>
      <c r="L1496" s="109"/>
      <c r="M1496" s="109"/>
      <c r="N1496" s="13"/>
      <c r="O1496" s="24">
        <v>44454</v>
      </c>
      <c r="P1496" s="13" t="s">
        <v>3513</v>
      </c>
      <c r="Q1496" s="13" t="s">
        <v>3514</v>
      </c>
      <c r="R1496" s="13" t="s">
        <v>5446</v>
      </c>
      <c r="S1496" s="109"/>
      <c r="T1496" s="109"/>
      <c r="U1496" s="112"/>
      <c r="V1496" s="109"/>
      <c r="W1496" s="109"/>
      <c r="X1496" s="109"/>
    </row>
    <row r="1497" spans="2:24">
      <c r="B1497" s="109"/>
      <c r="C1497" s="109"/>
      <c r="D1497" s="20" t="str">
        <f>D1496</f>
        <v>博瑞迪生物</v>
      </c>
      <c r="E1497" s="109"/>
      <c r="F1497" s="112"/>
      <c r="G1497" s="109"/>
      <c r="H1497" s="109"/>
      <c r="I1497" s="109"/>
      <c r="J1497" s="109"/>
      <c r="K1497" s="14" t="str">
        <f t="shared" si="293"/>
        <v>运营中</v>
      </c>
      <c r="L1497" s="109"/>
      <c r="M1497" s="109"/>
      <c r="N1497" s="13"/>
      <c r="O1497" s="24">
        <v>43949</v>
      </c>
      <c r="P1497" s="13" t="s">
        <v>5474</v>
      </c>
      <c r="Q1497" s="13" t="s">
        <v>2030</v>
      </c>
      <c r="R1497" s="13" t="s">
        <v>7836</v>
      </c>
      <c r="S1497" s="109"/>
      <c r="T1497" s="109"/>
      <c r="U1497" s="112"/>
      <c r="V1497" s="109"/>
      <c r="W1497" s="109"/>
      <c r="X1497" s="109"/>
    </row>
    <row r="1498" spans="2:24" ht="60">
      <c r="B1498" s="109"/>
      <c r="C1498" s="13" t="s">
        <v>5448</v>
      </c>
      <c r="D1498" s="25" t="s">
        <v>7837</v>
      </c>
      <c r="E1498" s="13" t="s">
        <v>5450</v>
      </c>
      <c r="F1498" s="18" t="s">
        <v>5451</v>
      </c>
      <c r="G1498" s="13" t="s">
        <v>7838</v>
      </c>
      <c r="H1498" s="13" t="s">
        <v>5453</v>
      </c>
      <c r="I1498" s="13" t="s">
        <v>5386</v>
      </c>
      <c r="J1498" s="13" t="s">
        <v>428</v>
      </c>
      <c r="K1498" s="19" t="s">
        <v>272</v>
      </c>
      <c r="L1498" s="13" t="s">
        <v>3661</v>
      </c>
      <c r="M1498" s="13" t="s">
        <v>5031</v>
      </c>
      <c r="N1498" s="13"/>
      <c r="O1498" s="24">
        <v>44469</v>
      </c>
      <c r="P1498" s="13" t="s">
        <v>5454</v>
      </c>
      <c r="Q1498" s="13" t="s">
        <v>2030</v>
      </c>
      <c r="R1498" s="13" t="s">
        <v>5455</v>
      </c>
      <c r="S1498" s="13" t="s">
        <v>5456</v>
      </c>
      <c r="T1498" s="13" t="s">
        <v>3664</v>
      </c>
      <c r="U1498" s="18"/>
      <c r="V1498" s="13" t="s">
        <v>5457</v>
      </c>
      <c r="W1498" s="13" t="s">
        <v>5458</v>
      </c>
      <c r="X1498" s="13" t="s">
        <v>5459</v>
      </c>
    </row>
    <row r="1499" spans="2:24" ht="83.5">
      <c r="B1499" s="109"/>
      <c r="C1499" s="13" t="s">
        <v>5173</v>
      </c>
      <c r="D1499" s="25" t="s">
        <v>162</v>
      </c>
      <c r="E1499" s="13" t="s">
        <v>162</v>
      </c>
      <c r="F1499" s="18" t="s">
        <v>5460</v>
      </c>
      <c r="G1499" s="13"/>
      <c r="H1499" s="13" t="s">
        <v>5461</v>
      </c>
      <c r="I1499" s="13" t="s">
        <v>5462</v>
      </c>
      <c r="J1499" s="13" t="s">
        <v>5463</v>
      </c>
      <c r="K1499" s="19" t="s">
        <v>272</v>
      </c>
      <c r="L1499" s="13" t="s">
        <v>4162</v>
      </c>
      <c r="M1499" s="13" t="s">
        <v>5464</v>
      </c>
      <c r="N1499" s="13"/>
      <c r="O1499" s="24">
        <v>44477</v>
      </c>
      <c r="P1499" s="13" t="s">
        <v>1045</v>
      </c>
      <c r="Q1499" s="13" t="s">
        <v>5000</v>
      </c>
      <c r="R1499" s="13" t="s">
        <v>1751</v>
      </c>
      <c r="S1499" s="13" t="s">
        <v>5362</v>
      </c>
      <c r="T1499" s="13" t="s">
        <v>3664</v>
      </c>
      <c r="U1499" s="18"/>
      <c r="V1499" s="13" t="s">
        <v>7839</v>
      </c>
      <c r="W1499" s="13"/>
      <c r="X1499" s="13"/>
    </row>
    <row r="1500" spans="2:24" ht="36">
      <c r="B1500" s="109"/>
      <c r="C1500" s="13" t="s">
        <v>5466</v>
      </c>
      <c r="D1500" s="25" t="s">
        <v>7840</v>
      </c>
      <c r="E1500" s="13" t="s">
        <v>5468</v>
      </c>
      <c r="F1500" s="18" t="s">
        <v>5469</v>
      </c>
      <c r="G1500" s="13" t="s">
        <v>7841</v>
      </c>
      <c r="H1500" s="13"/>
      <c r="I1500" s="13" t="s">
        <v>5471</v>
      </c>
      <c r="J1500" s="13" t="s">
        <v>943</v>
      </c>
      <c r="K1500" s="19" t="s">
        <v>272</v>
      </c>
      <c r="L1500" s="13" t="s">
        <v>5472</v>
      </c>
      <c r="M1500" s="13" t="s">
        <v>5473</v>
      </c>
      <c r="N1500" s="13"/>
      <c r="O1500" s="24">
        <v>44505</v>
      </c>
      <c r="P1500" s="13" t="s">
        <v>5474</v>
      </c>
      <c r="Q1500" s="13" t="s">
        <v>5427</v>
      </c>
      <c r="R1500" s="13" t="s">
        <v>1751</v>
      </c>
      <c r="S1500" s="13" t="s">
        <v>4215</v>
      </c>
      <c r="T1500" s="13" t="s">
        <v>5441</v>
      </c>
      <c r="U1500" s="18" t="s">
        <v>5475</v>
      </c>
      <c r="V1500" s="13" t="s">
        <v>5476</v>
      </c>
      <c r="W1500" s="13"/>
      <c r="X1500" s="13" t="s">
        <v>5477</v>
      </c>
    </row>
    <row r="1501" spans="2:24">
      <c r="B1501" s="109"/>
      <c r="C1501" s="109" t="s">
        <v>5478</v>
      </c>
      <c r="D1501" s="20" t="s">
        <v>45</v>
      </c>
      <c r="E1501" s="109" t="s">
        <v>45</v>
      </c>
      <c r="F1501" s="112" t="s">
        <v>7842</v>
      </c>
      <c r="G1501" s="109"/>
      <c r="H1501" s="109"/>
      <c r="I1501" s="109" t="s">
        <v>4282</v>
      </c>
      <c r="J1501" s="109" t="s">
        <v>5480</v>
      </c>
      <c r="K1501" s="14" t="s">
        <v>272</v>
      </c>
      <c r="L1501" s="109" t="s">
        <v>4472</v>
      </c>
      <c r="M1501" s="109" t="s">
        <v>5780</v>
      </c>
      <c r="N1501" s="13"/>
      <c r="O1501" s="24">
        <v>44543</v>
      </c>
      <c r="P1501" s="13" t="s">
        <v>1045</v>
      </c>
      <c r="Q1501" s="13" t="s">
        <v>5945</v>
      </c>
      <c r="R1501" s="13" t="s">
        <v>7843</v>
      </c>
      <c r="S1501" s="109" t="s">
        <v>7844</v>
      </c>
      <c r="T1501" s="109" t="s">
        <v>7845</v>
      </c>
      <c r="U1501" s="112" t="s">
        <v>5484</v>
      </c>
      <c r="V1501" s="109"/>
      <c r="W1501" s="109"/>
      <c r="X1501" s="109"/>
    </row>
    <row r="1502" spans="2:24">
      <c r="B1502" s="109"/>
      <c r="C1502" s="109"/>
      <c r="D1502" s="20" t="str">
        <f>D1501</f>
        <v>CrownX</v>
      </c>
      <c r="E1502" s="109"/>
      <c r="F1502" s="112"/>
      <c r="G1502" s="109"/>
      <c r="H1502" s="109"/>
      <c r="I1502" s="109"/>
      <c r="J1502" s="109"/>
      <c r="K1502" s="14" t="str">
        <f>K1501</f>
        <v>运营中</v>
      </c>
      <c r="L1502" s="109"/>
      <c r="M1502" s="109"/>
      <c r="N1502" s="13"/>
      <c r="O1502" s="24">
        <v>44334</v>
      </c>
      <c r="P1502" s="13" t="s">
        <v>1045</v>
      </c>
      <c r="Q1502" s="13" t="s">
        <v>4562</v>
      </c>
      <c r="R1502" s="13" t="s">
        <v>1751</v>
      </c>
      <c r="S1502" s="109"/>
      <c r="T1502" s="109"/>
      <c r="U1502" s="112"/>
      <c r="V1502" s="109"/>
      <c r="W1502" s="109"/>
      <c r="X1502" s="109"/>
    </row>
    <row r="1503" spans="2:24" ht="47.5">
      <c r="B1503" s="109"/>
      <c r="C1503" s="13" t="s">
        <v>5485</v>
      </c>
      <c r="D1503" s="25" t="s">
        <v>7846</v>
      </c>
      <c r="E1503" s="13" t="s">
        <v>5487</v>
      </c>
      <c r="F1503" s="18" t="s">
        <v>5488</v>
      </c>
      <c r="G1503" s="13" t="s">
        <v>7847</v>
      </c>
      <c r="H1503" s="13" t="s">
        <v>5490</v>
      </c>
      <c r="I1503" s="13" t="s">
        <v>5491</v>
      </c>
      <c r="J1503" s="13" t="s">
        <v>943</v>
      </c>
      <c r="K1503" s="19" t="s">
        <v>272</v>
      </c>
      <c r="L1503" s="13" t="s">
        <v>2711</v>
      </c>
      <c r="M1503" s="13" t="s">
        <v>4903</v>
      </c>
      <c r="N1503" s="13"/>
      <c r="O1503" s="24">
        <v>44571</v>
      </c>
      <c r="P1503" s="13" t="s">
        <v>1045</v>
      </c>
      <c r="Q1503" s="13" t="s">
        <v>3514</v>
      </c>
      <c r="R1503" s="13" t="s">
        <v>1751</v>
      </c>
      <c r="S1503" s="13" t="s">
        <v>5169</v>
      </c>
      <c r="T1503" s="13" t="s">
        <v>5273</v>
      </c>
      <c r="U1503" s="18" t="s">
        <v>5492</v>
      </c>
      <c r="V1503" s="13" t="s">
        <v>5493</v>
      </c>
      <c r="W1503" s="13">
        <v>15221455702</v>
      </c>
      <c r="X1503" s="13" t="s">
        <v>5494</v>
      </c>
    </row>
    <row r="1504" spans="2:24" ht="36">
      <c r="B1504" s="109"/>
      <c r="C1504" s="13" t="s">
        <v>5495</v>
      </c>
      <c r="D1504" s="25" t="s">
        <v>7848</v>
      </c>
      <c r="E1504" s="13" t="s">
        <v>5497</v>
      </c>
      <c r="F1504" s="18" t="s">
        <v>5498</v>
      </c>
      <c r="G1504" s="13" t="s">
        <v>7849</v>
      </c>
      <c r="H1504" s="13"/>
      <c r="I1504" s="13" t="s">
        <v>942</v>
      </c>
      <c r="J1504" s="13" t="s">
        <v>5500</v>
      </c>
      <c r="K1504" s="19" t="s">
        <v>272</v>
      </c>
      <c r="L1504" s="13" t="s">
        <v>5501</v>
      </c>
      <c r="M1504" s="13" t="s">
        <v>5502</v>
      </c>
      <c r="N1504" s="13"/>
      <c r="O1504" s="24">
        <v>44600</v>
      </c>
      <c r="P1504" s="13" t="s">
        <v>3513</v>
      </c>
      <c r="Q1504" s="13" t="s">
        <v>1750</v>
      </c>
      <c r="R1504" s="13" t="s">
        <v>5503</v>
      </c>
      <c r="S1504" s="13" t="s">
        <v>5504</v>
      </c>
      <c r="T1504" s="13" t="s">
        <v>1829</v>
      </c>
      <c r="U1504" s="18" t="s">
        <v>5505</v>
      </c>
      <c r="V1504" s="13" t="s">
        <v>7850</v>
      </c>
      <c r="W1504" s="13" t="s">
        <v>5507</v>
      </c>
      <c r="X1504" s="13" t="s">
        <v>5508</v>
      </c>
    </row>
    <row r="1505" spans="2:24">
      <c r="B1505" s="109"/>
      <c r="C1505" s="109" t="s">
        <v>5509</v>
      </c>
      <c r="D1505" s="20" t="s">
        <v>7851</v>
      </c>
      <c r="E1505" s="109" t="s">
        <v>5511</v>
      </c>
      <c r="F1505" s="112" t="s">
        <v>5512</v>
      </c>
      <c r="G1505" s="109" t="s">
        <v>7852</v>
      </c>
      <c r="H1505" s="109" t="s">
        <v>5514</v>
      </c>
      <c r="I1505" s="109" t="s">
        <v>246</v>
      </c>
      <c r="J1505" s="109" t="s">
        <v>1192</v>
      </c>
      <c r="K1505" s="14" t="s">
        <v>272</v>
      </c>
      <c r="L1505" s="109" t="s">
        <v>3661</v>
      </c>
      <c r="M1505" s="109" t="s">
        <v>3662</v>
      </c>
      <c r="N1505" s="13"/>
      <c r="O1505" s="24">
        <v>45000</v>
      </c>
      <c r="P1505" s="13" t="s">
        <v>3648</v>
      </c>
      <c r="Q1505" s="13" t="s">
        <v>1750</v>
      </c>
      <c r="R1505" s="13" t="s">
        <v>5515</v>
      </c>
      <c r="S1505" s="109" t="s">
        <v>5349</v>
      </c>
      <c r="T1505" s="109" t="s">
        <v>5116</v>
      </c>
      <c r="U1505" s="112" t="s">
        <v>5516</v>
      </c>
      <c r="V1505" s="109" t="s">
        <v>5517</v>
      </c>
      <c r="W1505" s="109" t="s">
        <v>5518</v>
      </c>
      <c r="X1505" s="109" t="s">
        <v>5519</v>
      </c>
    </row>
    <row r="1506" spans="2:24">
      <c r="B1506" s="109"/>
      <c r="C1506" s="109"/>
      <c r="D1506" s="20" t="str">
        <f>D1505</f>
        <v>杰成新能源</v>
      </c>
      <c r="E1506" s="109"/>
      <c r="F1506" s="112"/>
      <c r="G1506" s="109"/>
      <c r="H1506" s="109"/>
      <c r="I1506" s="109"/>
      <c r="J1506" s="109"/>
      <c r="K1506" s="14" t="str">
        <f>K1505</f>
        <v>运营中</v>
      </c>
      <c r="L1506" s="109"/>
      <c r="M1506" s="109"/>
      <c r="N1506" s="13"/>
      <c r="O1506" s="24">
        <v>44767</v>
      </c>
      <c r="P1506" s="13" t="s">
        <v>3513</v>
      </c>
      <c r="Q1506" s="13" t="s">
        <v>1750</v>
      </c>
      <c r="R1506" s="13" t="s">
        <v>5520</v>
      </c>
      <c r="S1506" s="109"/>
      <c r="T1506" s="109"/>
      <c r="U1506" s="112"/>
      <c r="V1506" s="109"/>
      <c r="W1506" s="109"/>
      <c r="X1506" s="109"/>
    </row>
    <row r="1507" spans="2:24" ht="60">
      <c r="B1507" s="109"/>
      <c r="C1507" s="13" t="s">
        <v>5521</v>
      </c>
      <c r="D1507" s="25" t="s">
        <v>7853</v>
      </c>
      <c r="E1507" s="13" t="s">
        <v>5523</v>
      </c>
      <c r="F1507" s="18" t="s">
        <v>5524</v>
      </c>
      <c r="G1507" s="13" t="s">
        <v>7854</v>
      </c>
      <c r="H1507" s="13" t="s">
        <v>5526</v>
      </c>
      <c r="I1507" s="13" t="s">
        <v>5527</v>
      </c>
      <c r="J1507" s="13" t="s">
        <v>4471</v>
      </c>
      <c r="K1507" s="19" t="s">
        <v>272</v>
      </c>
      <c r="L1507" s="13" t="s">
        <v>5472</v>
      </c>
      <c r="M1507" s="13" t="s">
        <v>5528</v>
      </c>
      <c r="N1507" s="13"/>
      <c r="O1507" s="24">
        <v>44783</v>
      </c>
      <c r="P1507" s="13" t="s">
        <v>1045</v>
      </c>
      <c r="Q1507" s="13" t="s">
        <v>5529</v>
      </c>
      <c r="R1507" s="13" t="s">
        <v>5530</v>
      </c>
      <c r="S1507" s="13" t="s">
        <v>5531</v>
      </c>
      <c r="T1507" s="13" t="s">
        <v>4735</v>
      </c>
      <c r="U1507" s="18"/>
      <c r="V1507" s="13" t="s">
        <v>5532</v>
      </c>
      <c r="W1507" s="13" t="s">
        <v>5533</v>
      </c>
      <c r="X1507" s="13" t="s">
        <v>5534</v>
      </c>
    </row>
    <row r="1508" spans="2:24">
      <c r="B1508" s="109"/>
      <c r="C1508" s="109" t="s">
        <v>5535</v>
      </c>
      <c r="D1508" s="20" t="s">
        <v>5536</v>
      </c>
      <c r="E1508" s="109" t="s">
        <v>5536</v>
      </c>
      <c r="F1508" s="112" t="s">
        <v>7855</v>
      </c>
      <c r="G1508" s="109" t="s">
        <v>5536</v>
      </c>
      <c r="H1508" s="109"/>
      <c r="I1508" s="109" t="s">
        <v>2787</v>
      </c>
      <c r="J1508" s="109" t="s">
        <v>1564</v>
      </c>
      <c r="K1508" s="14" t="s">
        <v>272</v>
      </c>
      <c r="L1508" s="109" t="s">
        <v>4472</v>
      </c>
      <c r="M1508" s="109" t="s">
        <v>5411</v>
      </c>
      <c r="N1508" s="13"/>
      <c r="O1508" s="24">
        <v>43400</v>
      </c>
      <c r="P1508" s="13" t="s">
        <v>5697</v>
      </c>
      <c r="Q1508" s="13" t="s">
        <v>5742</v>
      </c>
      <c r="R1508" s="13" t="s">
        <v>7856</v>
      </c>
      <c r="S1508" s="109" t="s">
        <v>7857</v>
      </c>
      <c r="T1508" s="109" t="s">
        <v>7858</v>
      </c>
      <c r="U1508" s="112" t="s">
        <v>5541</v>
      </c>
      <c r="V1508" s="109"/>
      <c r="W1508" s="109"/>
      <c r="X1508" s="109"/>
    </row>
    <row r="1509" spans="2:24">
      <c r="B1509" s="109"/>
      <c r="C1509" s="109"/>
      <c r="D1509" s="20" t="str">
        <f>D1508</f>
        <v>WearLively</v>
      </c>
      <c r="E1509" s="109"/>
      <c r="F1509" s="112"/>
      <c r="G1509" s="109"/>
      <c r="H1509" s="109"/>
      <c r="I1509" s="109"/>
      <c r="J1509" s="109"/>
      <c r="K1509" s="14" t="str">
        <f>K1508</f>
        <v>运营中</v>
      </c>
      <c r="L1509" s="109"/>
      <c r="M1509" s="109"/>
      <c r="N1509" s="13"/>
      <c r="O1509" s="24">
        <v>43160</v>
      </c>
      <c r="P1509" s="13" t="s">
        <v>5474</v>
      </c>
      <c r="Q1509" s="13" t="s">
        <v>5644</v>
      </c>
      <c r="R1509" s="13" t="s">
        <v>7859</v>
      </c>
      <c r="S1509" s="109"/>
      <c r="T1509" s="109"/>
      <c r="U1509" s="112"/>
      <c r="V1509" s="109"/>
      <c r="W1509" s="109"/>
      <c r="X1509" s="109"/>
    </row>
    <row r="1510" spans="2:24">
      <c r="B1510" s="109"/>
      <c r="C1510" s="109" t="s">
        <v>5543</v>
      </c>
      <c r="D1510" s="20" t="s">
        <v>7860</v>
      </c>
      <c r="E1510" s="109" t="s">
        <v>5545</v>
      </c>
      <c r="F1510" s="112" t="s">
        <v>5546</v>
      </c>
      <c r="G1510" s="109" t="s">
        <v>7861</v>
      </c>
      <c r="H1510" s="109" t="s">
        <v>5548</v>
      </c>
      <c r="I1510" s="109" t="s">
        <v>5374</v>
      </c>
      <c r="J1510" s="109" t="s">
        <v>1192</v>
      </c>
      <c r="K1510" s="14" t="s">
        <v>272</v>
      </c>
      <c r="L1510" s="109" t="s">
        <v>2711</v>
      </c>
      <c r="M1510" s="109" t="s">
        <v>4903</v>
      </c>
      <c r="N1510" s="13"/>
      <c r="O1510" s="24">
        <v>44935</v>
      </c>
      <c r="P1510" s="13" t="s">
        <v>4306</v>
      </c>
      <c r="Q1510" s="13" t="s">
        <v>4754</v>
      </c>
      <c r="R1510" s="13" t="s">
        <v>5549</v>
      </c>
      <c r="S1510" s="109" t="s">
        <v>7862</v>
      </c>
      <c r="T1510" s="109" t="s">
        <v>7863</v>
      </c>
      <c r="U1510" s="112" t="s">
        <v>5552</v>
      </c>
      <c r="V1510" s="109" t="s">
        <v>5553</v>
      </c>
      <c r="W1510" s="109" t="s">
        <v>5554</v>
      </c>
      <c r="X1510" s="109" t="s">
        <v>5555</v>
      </c>
    </row>
    <row r="1511" spans="2:24">
      <c r="B1511" s="109"/>
      <c r="C1511" s="109"/>
      <c r="D1511" s="20" t="str">
        <f>D1510</f>
        <v>十方运动TENWAYS</v>
      </c>
      <c r="E1511" s="109"/>
      <c r="F1511" s="112"/>
      <c r="G1511" s="109"/>
      <c r="H1511" s="109"/>
      <c r="I1511" s="109"/>
      <c r="J1511" s="109"/>
      <c r="K1511" s="14" t="str">
        <f t="shared" ref="K1511:K1513" si="294">K1510</f>
        <v>运营中</v>
      </c>
      <c r="L1511" s="109"/>
      <c r="M1511" s="109"/>
      <c r="N1511" s="13"/>
      <c r="O1511" s="24">
        <v>44918</v>
      </c>
      <c r="P1511" s="13" t="s">
        <v>4306</v>
      </c>
      <c r="Q1511" s="13" t="s">
        <v>2030</v>
      </c>
      <c r="R1511" s="13" t="s">
        <v>1751</v>
      </c>
      <c r="S1511" s="109"/>
      <c r="T1511" s="109"/>
      <c r="U1511" s="112"/>
      <c r="V1511" s="109"/>
      <c r="W1511" s="109"/>
      <c r="X1511" s="109"/>
    </row>
    <row r="1512" spans="2:24">
      <c r="B1512" s="109"/>
      <c r="C1512" s="109"/>
      <c r="D1512" s="20" t="str">
        <f>D1511</f>
        <v>十方运动TENWAYS</v>
      </c>
      <c r="E1512" s="109"/>
      <c r="F1512" s="112"/>
      <c r="G1512" s="109"/>
      <c r="H1512" s="109"/>
      <c r="I1512" s="109"/>
      <c r="J1512" s="109"/>
      <c r="K1512" s="14" t="str">
        <f t="shared" si="294"/>
        <v>运营中</v>
      </c>
      <c r="L1512" s="109"/>
      <c r="M1512" s="109"/>
      <c r="N1512" s="13"/>
      <c r="O1512" s="24">
        <v>44869</v>
      </c>
      <c r="P1512" s="13" t="s">
        <v>3513</v>
      </c>
      <c r="Q1512" s="13" t="s">
        <v>3514</v>
      </c>
      <c r="R1512" s="13" t="s">
        <v>5556</v>
      </c>
      <c r="S1512" s="109"/>
      <c r="T1512" s="109"/>
      <c r="U1512" s="112"/>
      <c r="V1512" s="109"/>
      <c r="W1512" s="109"/>
      <c r="X1512" s="109"/>
    </row>
    <row r="1513" spans="2:24">
      <c r="B1513" s="109"/>
      <c r="C1513" s="109"/>
      <c r="D1513" s="20" t="str">
        <f>D1512</f>
        <v>十方运动TENWAYS</v>
      </c>
      <c r="E1513" s="109"/>
      <c r="F1513" s="112"/>
      <c r="G1513" s="109"/>
      <c r="H1513" s="109"/>
      <c r="I1513" s="109"/>
      <c r="J1513" s="109"/>
      <c r="K1513" s="14" t="str">
        <f t="shared" si="294"/>
        <v>运营中</v>
      </c>
      <c r="L1513" s="109"/>
      <c r="M1513" s="109"/>
      <c r="N1513" s="13"/>
      <c r="O1513" s="24">
        <v>44559</v>
      </c>
      <c r="P1513" s="13" t="s">
        <v>5454</v>
      </c>
      <c r="Q1513" s="13" t="s">
        <v>2030</v>
      </c>
      <c r="R1513" s="13" t="s">
        <v>7864</v>
      </c>
      <c r="S1513" s="109"/>
      <c r="T1513" s="109"/>
      <c r="U1513" s="112"/>
      <c r="V1513" s="109"/>
      <c r="W1513" s="109"/>
      <c r="X1513" s="109"/>
    </row>
    <row r="1514" spans="2:24">
      <c r="B1514" s="109"/>
      <c r="C1514" s="109" t="s">
        <v>5558</v>
      </c>
      <c r="D1514" s="20" t="s">
        <v>7865</v>
      </c>
      <c r="E1514" s="109" t="s">
        <v>5560</v>
      </c>
      <c r="F1514" s="112" t="s">
        <v>5561</v>
      </c>
      <c r="G1514" s="109" t="s">
        <v>7866</v>
      </c>
      <c r="H1514" s="109" t="s">
        <v>5563</v>
      </c>
      <c r="I1514" s="109" t="s">
        <v>5564</v>
      </c>
      <c r="J1514" s="109" t="s">
        <v>1192</v>
      </c>
      <c r="K1514" s="14" t="s">
        <v>272</v>
      </c>
      <c r="L1514" s="109" t="s">
        <v>3661</v>
      </c>
      <c r="M1514" s="109" t="s">
        <v>5565</v>
      </c>
      <c r="N1514" s="13"/>
      <c r="O1514" s="24">
        <v>44872</v>
      </c>
      <c r="P1514" s="13" t="s">
        <v>3513</v>
      </c>
      <c r="Q1514" s="13" t="s">
        <v>2030</v>
      </c>
      <c r="R1514" s="13" t="s">
        <v>5566</v>
      </c>
      <c r="S1514" s="109" t="s">
        <v>5567</v>
      </c>
      <c r="T1514" s="109" t="s">
        <v>3664</v>
      </c>
      <c r="U1514" s="112"/>
      <c r="V1514" s="109" t="s">
        <v>5568</v>
      </c>
      <c r="W1514" s="109" t="s">
        <v>5569</v>
      </c>
      <c r="X1514" s="109" t="s">
        <v>5570</v>
      </c>
    </row>
    <row r="1515" spans="2:24">
      <c r="B1515" s="109"/>
      <c r="C1515" s="109"/>
      <c r="D1515" s="20" t="str">
        <f>D1514</f>
        <v>徕芬科技</v>
      </c>
      <c r="E1515" s="109"/>
      <c r="F1515" s="112"/>
      <c r="G1515" s="109"/>
      <c r="H1515" s="109"/>
      <c r="I1515" s="109"/>
      <c r="J1515" s="109"/>
      <c r="K1515" s="14" t="str">
        <f>K1514</f>
        <v>运营中</v>
      </c>
      <c r="L1515" s="109"/>
      <c r="M1515" s="109"/>
      <c r="N1515" s="13"/>
      <c r="O1515" s="24">
        <v>44586</v>
      </c>
      <c r="P1515" s="13" t="s">
        <v>5474</v>
      </c>
      <c r="Q1515" s="13" t="s">
        <v>2030</v>
      </c>
      <c r="R1515" s="13" t="s">
        <v>5571</v>
      </c>
      <c r="S1515" s="109"/>
      <c r="T1515" s="109"/>
      <c r="U1515" s="112"/>
      <c r="V1515" s="109"/>
      <c r="W1515" s="109"/>
      <c r="X1515" s="109"/>
    </row>
    <row r="1516" spans="2:24">
      <c r="B1516" s="109"/>
      <c r="C1516" s="109" t="s">
        <v>5416</v>
      </c>
      <c r="D1516" s="20" t="s">
        <v>40</v>
      </c>
      <c r="E1516" s="109" t="s">
        <v>40</v>
      </c>
      <c r="F1516" s="112" t="s">
        <v>5572</v>
      </c>
      <c r="G1516" s="109"/>
      <c r="H1516" s="109" t="s">
        <v>5573</v>
      </c>
      <c r="I1516" s="109" t="s">
        <v>5574</v>
      </c>
      <c r="J1516" s="109" t="s">
        <v>5310</v>
      </c>
      <c r="K1516" s="14" t="s">
        <v>272</v>
      </c>
      <c r="L1516" s="109" t="s">
        <v>4472</v>
      </c>
      <c r="M1516" s="109" t="s">
        <v>5575</v>
      </c>
      <c r="N1516" s="13"/>
      <c r="O1516" s="24">
        <v>45035</v>
      </c>
      <c r="P1516" s="13" t="s">
        <v>3648</v>
      </c>
      <c r="Q1516" s="13" t="s">
        <v>5576</v>
      </c>
      <c r="R1516" s="13" t="s">
        <v>5577</v>
      </c>
      <c r="S1516" s="109" t="s">
        <v>5578</v>
      </c>
      <c r="T1516" s="109" t="s">
        <v>5579</v>
      </c>
      <c r="U1516" s="112"/>
      <c r="V1516" s="109" t="s">
        <v>7867</v>
      </c>
      <c r="W1516" s="109"/>
      <c r="X1516" s="109"/>
    </row>
    <row r="1517" spans="2:24">
      <c r="B1517" s="109"/>
      <c r="C1517" s="109"/>
      <c r="D1517" s="20" t="str">
        <f>D1516</f>
        <v>COFE App</v>
      </c>
      <c r="E1517" s="109"/>
      <c r="F1517" s="112"/>
      <c r="G1517" s="109"/>
      <c r="H1517" s="109"/>
      <c r="I1517" s="109"/>
      <c r="J1517" s="109"/>
      <c r="K1517" s="14" t="str">
        <f t="shared" ref="K1517:K1518" si="295">K1516</f>
        <v>运营中</v>
      </c>
      <c r="L1517" s="109"/>
      <c r="M1517" s="109"/>
      <c r="N1517" s="13"/>
      <c r="O1517" s="24">
        <v>44306</v>
      </c>
      <c r="P1517" s="13" t="s">
        <v>3513</v>
      </c>
      <c r="Q1517" s="13" t="s">
        <v>5591</v>
      </c>
      <c r="R1517" s="13" t="s">
        <v>5581</v>
      </c>
      <c r="S1517" s="109"/>
      <c r="T1517" s="109"/>
      <c r="U1517" s="112"/>
      <c r="V1517" s="109"/>
      <c r="W1517" s="109"/>
      <c r="X1517" s="109"/>
    </row>
    <row r="1518" spans="2:24">
      <c r="B1518" s="109"/>
      <c r="C1518" s="109"/>
      <c r="D1518" s="20" t="str">
        <f>D1517</f>
        <v>COFE App</v>
      </c>
      <c r="E1518" s="109"/>
      <c r="F1518" s="112"/>
      <c r="G1518" s="109"/>
      <c r="H1518" s="109"/>
      <c r="I1518" s="109"/>
      <c r="J1518" s="109"/>
      <c r="K1518" s="14" t="str">
        <f t="shared" si="295"/>
        <v>运营中</v>
      </c>
      <c r="L1518" s="109"/>
      <c r="M1518" s="109"/>
      <c r="N1518" s="13"/>
      <c r="O1518" s="24">
        <v>43509</v>
      </c>
      <c r="P1518" s="13" t="s">
        <v>5697</v>
      </c>
      <c r="Q1518" s="13" t="s">
        <v>7868</v>
      </c>
      <c r="R1518" s="13" t="s">
        <v>5583</v>
      </c>
      <c r="S1518" s="109"/>
      <c r="T1518" s="109"/>
      <c r="U1518" s="112"/>
      <c r="V1518" s="109"/>
      <c r="W1518" s="109"/>
      <c r="X1518" s="109"/>
    </row>
    <row r="1519" spans="2:24" ht="72">
      <c r="B1519" s="109"/>
      <c r="C1519" s="13" t="s">
        <v>5584</v>
      </c>
      <c r="D1519" s="25" t="s">
        <v>7869</v>
      </c>
      <c r="E1519" s="13" t="s">
        <v>5586</v>
      </c>
      <c r="F1519" s="18" t="s">
        <v>5587</v>
      </c>
      <c r="G1519" s="13" t="s">
        <v>7870</v>
      </c>
      <c r="H1519" s="13" t="s">
        <v>5589</v>
      </c>
      <c r="I1519" s="13" t="s">
        <v>5590</v>
      </c>
      <c r="J1519" s="13" t="s">
        <v>271</v>
      </c>
      <c r="K1519" s="19" t="s">
        <v>272</v>
      </c>
      <c r="L1519" s="13" t="s">
        <v>3661</v>
      </c>
      <c r="M1519" s="13" t="s">
        <v>4305</v>
      </c>
      <c r="N1519" s="13"/>
      <c r="O1519" s="24">
        <v>45124</v>
      </c>
      <c r="P1519" s="13" t="s">
        <v>5474</v>
      </c>
      <c r="Q1519" s="13" t="s">
        <v>5591</v>
      </c>
      <c r="R1519" s="13" t="s">
        <v>5592</v>
      </c>
      <c r="S1519" s="13" t="s">
        <v>5593</v>
      </c>
      <c r="T1519" s="13" t="s">
        <v>5594</v>
      </c>
      <c r="U1519" s="18" t="s">
        <v>5595</v>
      </c>
      <c r="V1519" s="13" t="s">
        <v>5596</v>
      </c>
      <c r="W1519" s="13" t="s">
        <v>5597</v>
      </c>
      <c r="X1519" s="13" t="s">
        <v>5598</v>
      </c>
    </row>
  </sheetData>
  <sheetProtection formatCells="0" formatColumns="0" formatRows="0" insertColumns="0" insertRows="0" insertHyperlinks="0" deleteColumns="0" deleteRows="0" sort="0" autoFilter="0" pivotTables="0"/>
  <autoFilter ref="B1:X1519" xr:uid="{00000000-0009-0000-0000-000002000000}"/>
  <mergeCells count="4396">
    <mergeCell ref="X1508:X1509"/>
    <mergeCell ref="X1510:X1513"/>
    <mergeCell ref="X1514:X1515"/>
    <mergeCell ref="X1516:X1518"/>
    <mergeCell ref="X1438:X1439"/>
    <mergeCell ref="X1440:X1442"/>
    <mergeCell ref="X1443:X1444"/>
    <mergeCell ref="X1445:X1446"/>
    <mergeCell ref="X1448:X1449"/>
    <mergeCell ref="X1450:X1454"/>
    <mergeCell ref="X1456:X1460"/>
    <mergeCell ref="X1461:X1466"/>
    <mergeCell ref="X1468:X1472"/>
    <mergeCell ref="X1474:X1476"/>
    <mergeCell ref="X1477:X1479"/>
    <mergeCell ref="X1480:X1483"/>
    <mergeCell ref="X1484:X1487"/>
    <mergeCell ref="X1490:X1493"/>
    <mergeCell ref="X1494:X1497"/>
    <mergeCell ref="X1501:X1502"/>
    <mergeCell ref="X1505:X1506"/>
    <mergeCell ref="X1364:X1365"/>
    <mergeCell ref="X1366:X1368"/>
    <mergeCell ref="X1370:X1371"/>
    <mergeCell ref="X1374:X1379"/>
    <mergeCell ref="X1381:X1389"/>
    <mergeCell ref="X1390:X1392"/>
    <mergeCell ref="X1394:X1396"/>
    <mergeCell ref="X1397:X1401"/>
    <mergeCell ref="X1402:X1405"/>
    <mergeCell ref="X1406:X1408"/>
    <mergeCell ref="X1412:X1416"/>
    <mergeCell ref="X1417:X1419"/>
    <mergeCell ref="X1421:X1422"/>
    <mergeCell ref="X1423:X1426"/>
    <mergeCell ref="X1427:X1429"/>
    <mergeCell ref="X1430:X1432"/>
    <mergeCell ref="X1435:X1437"/>
    <mergeCell ref="X1285:X1294"/>
    <mergeCell ref="X1295:X1298"/>
    <mergeCell ref="X1299:X1301"/>
    <mergeCell ref="X1302:X1307"/>
    <mergeCell ref="X1308:X1309"/>
    <mergeCell ref="X1310:X1314"/>
    <mergeCell ref="X1316:X1317"/>
    <mergeCell ref="X1319:X1322"/>
    <mergeCell ref="X1323:X1330"/>
    <mergeCell ref="X1331:X1333"/>
    <mergeCell ref="X1335:X1337"/>
    <mergeCell ref="X1338:X1340"/>
    <mergeCell ref="X1343:X1344"/>
    <mergeCell ref="X1347:X1348"/>
    <mergeCell ref="X1349:X1351"/>
    <mergeCell ref="X1352:X1356"/>
    <mergeCell ref="X1358:X1363"/>
    <mergeCell ref="X1203:X1211"/>
    <mergeCell ref="X1212:X1220"/>
    <mergeCell ref="X1221:X1226"/>
    <mergeCell ref="X1227:X1231"/>
    <mergeCell ref="X1233:X1234"/>
    <mergeCell ref="X1235:X1239"/>
    <mergeCell ref="X1240:X1241"/>
    <mergeCell ref="X1242:X1245"/>
    <mergeCell ref="X1246:X1248"/>
    <mergeCell ref="X1249:X1250"/>
    <mergeCell ref="X1253:X1260"/>
    <mergeCell ref="X1263:X1265"/>
    <mergeCell ref="X1267:X1270"/>
    <mergeCell ref="X1271:X1275"/>
    <mergeCell ref="X1276:X1279"/>
    <mergeCell ref="X1281:X1282"/>
    <mergeCell ref="X1283:X1284"/>
    <mergeCell ref="X1126:X1127"/>
    <mergeCell ref="X1128:X1130"/>
    <mergeCell ref="X1131:X1135"/>
    <mergeCell ref="X1137:X1140"/>
    <mergeCell ref="X1141:X1144"/>
    <mergeCell ref="X1152:X1154"/>
    <mergeCell ref="X1155:X1156"/>
    <mergeCell ref="X1158:X1165"/>
    <mergeCell ref="X1166:X1172"/>
    <mergeCell ref="X1173:X1175"/>
    <mergeCell ref="X1176:X1179"/>
    <mergeCell ref="X1180:X1184"/>
    <mergeCell ref="X1186:X1189"/>
    <mergeCell ref="X1190:X1194"/>
    <mergeCell ref="X1195:X1196"/>
    <mergeCell ref="X1197:X1199"/>
    <mergeCell ref="X1201:X1202"/>
    <mergeCell ref="X1053:X1054"/>
    <mergeCell ref="X1055:X1056"/>
    <mergeCell ref="X1057:X1059"/>
    <mergeCell ref="X1060:X1065"/>
    <mergeCell ref="X1066:X1068"/>
    <mergeCell ref="X1069:X1072"/>
    <mergeCell ref="X1073:X1077"/>
    <mergeCell ref="X1078:X1082"/>
    <mergeCell ref="X1083:X1085"/>
    <mergeCell ref="X1087:X1094"/>
    <mergeCell ref="X1095:X1102"/>
    <mergeCell ref="X1103:X1107"/>
    <mergeCell ref="X1108:X1109"/>
    <mergeCell ref="X1110:X1112"/>
    <mergeCell ref="X1113:X1119"/>
    <mergeCell ref="X1120:X1121"/>
    <mergeCell ref="X1122:X1124"/>
    <mergeCell ref="X965:X967"/>
    <mergeCell ref="X968:X969"/>
    <mergeCell ref="X971:X972"/>
    <mergeCell ref="X973:X977"/>
    <mergeCell ref="X978:X981"/>
    <mergeCell ref="X982:X984"/>
    <mergeCell ref="X985:X991"/>
    <mergeCell ref="X992:X996"/>
    <mergeCell ref="X997:X998"/>
    <mergeCell ref="X1000:X1003"/>
    <mergeCell ref="X1005:X1012"/>
    <mergeCell ref="X1013:X1019"/>
    <mergeCell ref="X1020:X1022"/>
    <mergeCell ref="X1023:X1029"/>
    <mergeCell ref="X1030:X1036"/>
    <mergeCell ref="X1037:X1041"/>
    <mergeCell ref="X1042:X1052"/>
    <mergeCell ref="X889:X890"/>
    <mergeCell ref="X891:X893"/>
    <mergeCell ref="X894:X898"/>
    <mergeCell ref="X899:X903"/>
    <mergeCell ref="X905:X906"/>
    <mergeCell ref="X907:X912"/>
    <mergeCell ref="X913:X917"/>
    <mergeCell ref="X919:X920"/>
    <mergeCell ref="X922:X932"/>
    <mergeCell ref="X933:X934"/>
    <mergeCell ref="X935:X939"/>
    <mergeCell ref="X940:X947"/>
    <mergeCell ref="X948:X949"/>
    <mergeCell ref="X951:X954"/>
    <mergeCell ref="X955:X956"/>
    <mergeCell ref="X957:X961"/>
    <mergeCell ref="X963:X964"/>
    <mergeCell ref="X776:X781"/>
    <mergeCell ref="X783:X790"/>
    <mergeCell ref="X792:X797"/>
    <mergeCell ref="X798:X799"/>
    <mergeCell ref="X802:X809"/>
    <mergeCell ref="X811:X819"/>
    <mergeCell ref="X821:X826"/>
    <mergeCell ref="X827:X828"/>
    <mergeCell ref="X829:X830"/>
    <mergeCell ref="X831:X836"/>
    <mergeCell ref="X837:X848"/>
    <mergeCell ref="X849:X850"/>
    <mergeCell ref="X854:X855"/>
    <mergeCell ref="X856:X864"/>
    <mergeCell ref="X865:X869"/>
    <mergeCell ref="X871:X873"/>
    <mergeCell ref="X874:X888"/>
    <mergeCell ref="X691:X695"/>
    <mergeCell ref="X696:X698"/>
    <mergeCell ref="X699:X708"/>
    <mergeCell ref="X709:X720"/>
    <mergeCell ref="X721:X725"/>
    <mergeCell ref="X727:X730"/>
    <mergeCell ref="X731:X733"/>
    <mergeCell ref="X734:X736"/>
    <mergeCell ref="X737:X742"/>
    <mergeCell ref="X743:X744"/>
    <mergeCell ref="X745:X747"/>
    <mergeCell ref="X748:X754"/>
    <mergeCell ref="X755:X757"/>
    <mergeCell ref="X758:X760"/>
    <mergeCell ref="X761:X768"/>
    <mergeCell ref="X769:X772"/>
    <mergeCell ref="X773:X775"/>
    <mergeCell ref="X573:X585"/>
    <mergeCell ref="X586:X589"/>
    <mergeCell ref="X590:X599"/>
    <mergeCell ref="X600:X611"/>
    <mergeCell ref="X612:X616"/>
    <mergeCell ref="X617:X636"/>
    <mergeCell ref="X637:X642"/>
    <mergeCell ref="X645:X654"/>
    <mergeCell ref="X655:X657"/>
    <mergeCell ref="X659:X664"/>
    <mergeCell ref="X665:X666"/>
    <mergeCell ref="X667:X669"/>
    <mergeCell ref="X670:X677"/>
    <mergeCell ref="X678:X681"/>
    <mergeCell ref="X682:X686"/>
    <mergeCell ref="X687:X688"/>
    <mergeCell ref="X689:X690"/>
    <mergeCell ref="X494:X496"/>
    <mergeCell ref="X498:X501"/>
    <mergeCell ref="X502:X508"/>
    <mergeCell ref="X509:X512"/>
    <mergeCell ref="X514:X518"/>
    <mergeCell ref="X519:X523"/>
    <mergeCell ref="X524:X525"/>
    <mergeCell ref="X526:X530"/>
    <mergeCell ref="X531:X532"/>
    <mergeCell ref="X533:X544"/>
    <mergeCell ref="X546:X551"/>
    <mergeCell ref="X552:X554"/>
    <mergeCell ref="X555:X559"/>
    <mergeCell ref="X560:X562"/>
    <mergeCell ref="X563:X567"/>
    <mergeCell ref="X568:X569"/>
    <mergeCell ref="X570:X572"/>
    <mergeCell ref="X391:X392"/>
    <mergeCell ref="X394:X402"/>
    <mergeCell ref="X403:X417"/>
    <mergeCell ref="X418:X421"/>
    <mergeCell ref="X423:X430"/>
    <mergeCell ref="X431:X440"/>
    <mergeCell ref="X441:X451"/>
    <mergeCell ref="X453:X454"/>
    <mergeCell ref="X455:X456"/>
    <mergeCell ref="X457:X458"/>
    <mergeCell ref="X459:X460"/>
    <mergeCell ref="X461:X471"/>
    <mergeCell ref="X472:X477"/>
    <mergeCell ref="X478:X479"/>
    <mergeCell ref="X480:X481"/>
    <mergeCell ref="X484:X486"/>
    <mergeCell ref="X487:X493"/>
    <mergeCell ref="X291:X298"/>
    <mergeCell ref="X299:X306"/>
    <mergeCell ref="X307:X312"/>
    <mergeCell ref="X313:X321"/>
    <mergeCell ref="X322:X325"/>
    <mergeCell ref="X326:X330"/>
    <mergeCell ref="X331:X336"/>
    <mergeCell ref="X338:X343"/>
    <mergeCell ref="X344:X347"/>
    <mergeCell ref="X348:X351"/>
    <mergeCell ref="X352:X358"/>
    <mergeCell ref="X359:X360"/>
    <mergeCell ref="X361:X364"/>
    <mergeCell ref="X365:X369"/>
    <mergeCell ref="X370:X373"/>
    <mergeCell ref="X375:X382"/>
    <mergeCell ref="X387:X389"/>
    <mergeCell ref="X199:X201"/>
    <mergeCell ref="X202:X209"/>
    <mergeCell ref="X210:X211"/>
    <mergeCell ref="X212:X219"/>
    <mergeCell ref="X221:X231"/>
    <mergeCell ref="X232:X234"/>
    <mergeCell ref="X236:X246"/>
    <mergeCell ref="X247:X252"/>
    <mergeCell ref="X253:X256"/>
    <mergeCell ref="X257:X259"/>
    <mergeCell ref="X260:X262"/>
    <mergeCell ref="X263:X270"/>
    <mergeCell ref="X271:X272"/>
    <mergeCell ref="X273:X276"/>
    <mergeCell ref="X277:X280"/>
    <mergeCell ref="X281:X285"/>
    <mergeCell ref="X287:X290"/>
    <mergeCell ref="X99:X104"/>
    <mergeCell ref="X105:X107"/>
    <mergeCell ref="X108:X111"/>
    <mergeCell ref="X112:X121"/>
    <mergeCell ref="X122:X125"/>
    <mergeCell ref="X126:X134"/>
    <mergeCell ref="X135:X138"/>
    <mergeCell ref="X139:X144"/>
    <mergeCell ref="X145:X147"/>
    <mergeCell ref="X148:X154"/>
    <mergeCell ref="X155:X160"/>
    <mergeCell ref="X161:X164"/>
    <mergeCell ref="X165:X175"/>
    <mergeCell ref="X176:X179"/>
    <mergeCell ref="X180:X186"/>
    <mergeCell ref="X187:X191"/>
    <mergeCell ref="X192:X198"/>
    <mergeCell ref="X2:X5"/>
    <mergeCell ref="X6:X27"/>
    <mergeCell ref="X28:X30"/>
    <mergeCell ref="X31:X37"/>
    <mergeCell ref="X38:X39"/>
    <mergeCell ref="X40:X45"/>
    <mergeCell ref="X46:X50"/>
    <mergeCell ref="X51:X54"/>
    <mergeCell ref="X55:X60"/>
    <mergeCell ref="X61:X64"/>
    <mergeCell ref="X65:X67"/>
    <mergeCell ref="X68:X70"/>
    <mergeCell ref="X71:X78"/>
    <mergeCell ref="X79:X85"/>
    <mergeCell ref="X86:X89"/>
    <mergeCell ref="X90:X95"/>
    <mergeCell ref="X96:X98"/>
    <mergeCell ref="W1448:W1449"/>
    <mergeCell ref="W1450:W1454"/>
    <mergeCell ref="W1456:W1460"/>
    <mergeCell ref="W1461:W1466"/>
    <mergeCell ref="W1468:W1472"/>
    <mergeCell ref="W1474:W1476"/>
    <mergeCell ref="W1477:W1479"/>
    <mergeCell ref="W1480:W1483"/>
    <mergeCell ref="W1484:W1487"/>
    <mergeCell ref="W1490:W1493"/>
    <mergeCell ref="W1494:W1497"/>
    <mergeCell ref="W1501:W1502"/>
    <mergeCell ref="W1505:W1506"/>
    <mergeCell ref="W1508:W1509"/>
    <mergeCell ref="W1510:W1513"/>
    <mergeCell ref="W1514:W1515"/>
    <mergeCell ref="W1516:W1518"/>
    <mergeCell ref="W1381:W1389"/>
    <mergeCell ref="W1390:W1392"/>
    <mergeCell ref="W1394:W1396"/>
    <mergeCell ref="W1397:W1401"/>
    <mergeCell ref="W1402:W1405"/>
    <mergeCell ref="W1406:W1408"/>
    <mergeCell ref="W1412:W1416"/>
    <mergeCell ref="W1417:W1419"/>
    <mergeCell ref="W1421:W1422"/>
    <mergeCell ref="W1423:W1426"/>
    <mergeCell ref="W1427:W1429"/>
    <mergeCell ref="W1430:W1432"/>
    <mergeCell ref="W1435:W1437"/>
    <mergeCell ref="W1438:W1439"/>
    <mergeCell ref="W1440:W1442"/>
    <mergeCell ref="W1443:W1444"/>
    <mergeCell ref="W1445:W1446"/>
    <mergeCell ref="W1308:W1309"/>
    <mergeCell ref="W1310:W1314"/>
    <mergeCell ref="W1316:W1317"/>
    <mergeCell ref="W1319:W1322"/>
    <mergeCell ref="W1323:W1330"/>
    <mergeCell ref="W1331:W1333"/>
    <mergeCell ref="W1335:W1337"/>
    <mergeCell ref="W1338:W1340"/>
    <mergeCell ref="W1343:W1344"/>
    <mergeCell ref="W1347:W1348"/>
    <mergeCell ref="W1349:W1351"/>
    <mergeCell ref="W1352:W1356"/>
    <mergeCell ref="W1358:W1363"/>
    <mergeCell ref="W1364:W1365"/>
    <mergeCell ref="W1366:W1368"/>
    <mergeCell ref="W1370:W1371"/>
    <mergeCell ref="W1374:W1379"/>
    <mergeCell ref="W1233:W1234"/>
    <mergeCell ref="W1235:W1239"/>
    <mergeCell ref="W1240:W1241"/>
    <mergeCell ref="W1242:W1245"/>
    <mergeCell ref="W1246:W1248"/>
    <mergeCell ref="W1249:W1250"/>
    <mergeCell ref="W1253:W1260"/>
    <mergeCell ref="W1263:W1265"/>
    <mergeCell ref="W1267:W1270"/>
    <mergeCell ref="W1271:W1275"/>
    <mergeCell ref="W1276:W1279"/>
    <mergeCell ref="W1281:W1282"/>
    <mergeCell ref="W1283:W1284"/>
    <mergeCell ref="W1285:W1294"/>
    <mergeCell ref="W1295:W1298"/>
    <mergeCell ref="W1299:W1301"/>
    <mergeCell ref="W1302:W1307"/>
    <mergeCell ref="W1141:W1144"/>
    <mergeCell ref="W1152:W1154"/>
    <mergeCell ref="W1155:W1156"/>
    <mergeCell ref="W1158:W1165"/>
    <mergeCell ref="W1166:W1172"/>
    <mergeCell ref="W1173:W1175"/>
    <mergeCell ref="W1176:W1179"/>
    <mergeCell ref="W1180:W1184"/>
    <mergeCell ref="W1186:W1189"/>
    <mergeCell ref="W1190:W1194"/>
    <mergeCell ref="W1195:W1196"/>
    <mergeCell ref="W1197:W1199"/>
    <mergeCell ref="W1201:W1202"/>
    <mergeCell ref="W1203:W1211"/>
    <mergeCell ref="W1212:W1220"/>
    <mergeCell ref="W1221:W1226"/>
    <mergeCell ref="W1227:W1231"/>
    <mergeCell ref="W1066:W1068"/>
    <mergeCell ref="W1069:W1072"/>
    <mergeCell ref="W1073:W1077"/>
    <mergeCell ref="W1078:W1082"/>
    <mergeCell ref="W1083:W1085"/>
    <mergeCell ref="W1087:W1094"/>
    <mergeCell ref="W1095:W1102"/>
    <mergeCell ref="W1103:W1107"/>
    <mergeCell ref="W1108:W1109"/>
    <mergeCell ref="W1110:W1112"/>
    <mergeCell ref="W1113:W1119"/>
    <mergeCell ref="W1120:W1121"/>
    <mergeCell ref="W1122:W1124"/>
    <mergeCell ref="W1126:W1127"/>
    <mergeCell ref="W1128:W1130"/>
    <mergeCell ref="W1131:W1135"/>
    <mergeCell ref="W1137:W1140"/>
    <mergeCell ref="W978:W981"/>
    <mergeCell ref="W982:W984"/>
    <mergeCell ref="W985:W991"/>
    <mergeCell ref="W992:W996"/>
    <mergeCell ref="W997:W998"/>
    <mergeCell ref="W1000:W1003"/>
    <mergeCell ref="W1005:W1012"/>
    <mergeCell ref="W1013:W1019"/>
    <mergeCell ref="W1020:W1022"/>
    <mergeCell ref="W1023:W1029"/>
    <mergeCell ref="W1030:W1036"/>
    <mergeCell ref="W1037:W1041"/>
    <mergeCell ref="W1042:W1052"/>
    <mergeCell ref="W1053:W1054"/>
    <mergeCell ref="W1055:W1056"/>
    <mergeCell ref="W1057:W1059"/>
    <mergeCell ref="W1060:W1065"/>
    <mergeCell ref="W905:W906"/>
    <mergeCell ref="W907:W912"/>
    <mergeCell ref="W913:W917"/>
    <mergeCell ref="W919:W920"/>
    <mergeCell ref="W922:W932"/>
    <mergeCell ref="W933:W934"/>
    <mergeCell ref="W935:W939"/>
    <mergeCell ref="W940:W947"/>
    <mergeCell ref="W948:W949"/>
    <mergeCell ref="W951:W954"/>
    <mergeCell ref="W955:W956"/>
    <mergeCell ref="W957:W961"/>
    <mergeCell ref="W963:W964"/>
    <mergeCell ref="W965:W967"/>
    <mergeCell ref="W968:W969"/>
    <mergeCell ref="W971:W972"/>
    <mergeCell ref="W973:W977"/>
    <mergeCell ref="W802:W809"/>
    <mergeCell ref="W811:W819"/>
    <mergeCell ref="W821:W826"/>
    <mergeCell ref="W827:W828"/>
    <mergeCell ref="W829:W830"/>
    <mergeCell ref="W831:W836"/>
    <mergeCell ref="W837:W848"/>
    <mergeCell ref="W849:W850"/>
    <mergeCell ref="W854:W855"/>
    <mergeCell ref="W856:W864"/>
    <mergeCell ref="W865:W869"/>
    <mergeCell ref="W871:W873"/>
    <mergeCell ref="W874:W888"/>
    <mergeCell ref="W889:W890"/>
    <mergeCell ref="W891:W893"/>
    <mergeCell ref="W894:W898"/>
    <mergeCell ref="W899:W903"/>
    <mergeCell ref="W721:W725"/>
    <mergeCell ref="W727:W730"/>
    <mergeCell ref="W731:W733"/>
    <mergeCell ref="W734:W736"/>
    <mergeCell ref="W737:W742"/>
    <mergeCell ref="W743:W744"/>
    <mergeCell ref="W745:W747"/>
    <mergeCell ref="W748:W754"/>
    <mergeCell ref="W755:W757"/>
    <mergeCell ref="W758:W760"/>
    <mergeCell ref="W761:W768"/>
    <mergeCell ref="W769:W772"/>
    <mergeCell ref="W773:W775"/>
    <mergeCell ref="W776:W781"/>
    <mergeCell ref="W783:W790"/>
    <mergeCell ref="W792:W797"/>
    <mergeCell ref="W798:W799"/>
    <mergeCell ref="W612:W616"/>
    <mergeCell ref="W617:W636"/>
    <mergeCell ref="W637:W642"/>
    <mergeCell ref="W645:W654"/>
    <mergeCell ref="W655:W657"/>
    <mergeCell ref="W659:W664"/>
    <mergeCell ref="W665:W666"/>
    <mergeCell ref="W667:W669"/>
    <mergeCell ref="W670:W677"/>
    <mergeCell ref="W678:W681"/>
    <mergeCell ref="W682:W686"/>
    <mergeCell ref="W687:W688"/>
    <mergeCell ref="W689:W690"/>
    <mergeCell ref="W691:W695"/>
    <mergeCell ref="W696:W698"/>
    <mergeCell ref="W699:W708"/>
    <mergeCell ref="W709:W720"/>
    <mergeCell ref="W514:W518"/>
    <mergeCell ref="W519:W523"/>
    <mergeCell ref="W524:W525"/>
    <mergeCell ref="W526:W530"/>
    <mergeCell ref="W531:W532"/>
    <mergeCell ref="W533:W544"/>
    <mergeCell ref="W546:W551"/>
    <mergeCell ref="W552:W554"/>
    <mergeCell ref="W555:W559"/>
    <mergeCell ref="W560:W562"/>
    <mergeCell ref="W563:W567"/>
    <mergeCell ref="W568:W569"/>
    <mergeCell ref="W570:W572"/>
    <mergeCell ref="W573:W585"/>
    <mergeCell ref="W586:W589"/>
    <mergeCell ref="W590:W599"/>
    <mergeCell ref="W600:W611"/>
    <mergeCell ref="W423:W430"/>
    <mergeCell ref="W431:W440"/>
    <mergeCell ref="W441:W451"/>
    <mergeCell ref="W453:W454"/>
    <mergeCell ref="W455:W456"/>
    <mergeCell ref="W457:W458"/>
    <mergeCell ref="W459:W460"/>
    <mergeCell ref="W461:W471"/>
    <mergeCell ref="W472:W477"/>
    <mergeCell ref="W478:W479"/>
    <mergeCell ref="W480:W481"/>
    <mergeCell ref="W484:W486"/>
    <mergeCell ref="W487:W493"/>
    <mergeCell ref="W494:W496"/>
    <mergeCell ref="W498:W501"/>
    <mergeCell ref="W502:W508"/>
    <mergeCell ref="W509:W512"/>
    <mergeCell ref="W322:W325"/>
    <mergeCell ref="W326:W330"/>
    <mergeCell ref="W331:W336"/>
    <mergeCell ref="W338:W343"/>
    <mergeCell ref="W344:W347"/>
    <mergeCell ref="W348:W351"/>
    <mergeCell ref="W352:W358"/>
    <mergeCell ref="W359:W360"/>
    <mergeCell ref="W361:W364"/>
    <mergeCell ref="W365:W369"/>
    <mergeCell ref="W370:W373"/>
    <mergeCell ref="W375:W382"/>
    <mergeCell ref="W387:W389"/>
    <mergeCell ref="W391:W392"/>
    <mergeCell ref="W394:W402"/>
    <mergeCell ref="W403:W417"/>
    <mergeCell ref="W418:W421"/>
    <mergeCell ref="W221:W231"/>
    <mergeCell ref="W232:W234"/>
    <mergeCell ref="W236:W246"/>
    <mergeCell ref="W247:W252"/>
    <mergeCell ref="W253:W256"/>
    <mergeCell ref="W257:W259"/>
    <mergeCell ref="W260:W262"/>
    <mergeCell ref="W263:W270"/>
    <mergeCell ref="W271:W272"/>
    <mergeCell ref="W273:W276"/>
    <mergeCell ref="W277:W280"/>
    <mergeCell ref="W281:W285"/>
    <mergeCell ref="W287:W290"/>
    <mergeCell ref="W291:W298"/>
    <mergeCell ref="W299:W306"/>
    <mergeCell ref="W307:W312"/>
    <mergeCell ref="W313:W321"/>
    <mergeCell ref="W122:W125"/>
    <mergeCell ref="W126:W134"/>
    <mergeCell ref="W135:W138"/>
    <mergeCell ref="W139:W144"/>
    <mergeCell ref="W145:W147"/>
    <mergeCell ref="W148:W154"/>
    <mergeCell ref="W155:W160"/>
    <mergeCell ref="W161:W164"/>
    <mergeCell ref="W165:W175"/>
    <mergeCell ref="W176:W179"/>
    <mergeCell ref="W180:W186"/>
    <mergeCell ref="W187:W191"/>
    <mergeCell ref="W192:W198"/>
    <mergeCell ref="W199:W201"/>
    <mergeCell ref="W202:W209"/>
    <mergeCell ref="W210:W211"/>
    <mergeCell ref="W212:W219"/>
    <mergeCell ref="V1477:V1479"/>
    <mergeCell ref="V1480:V1483"/>
    <mergeCell ref="V1484:V1487"/>
    <mergeCell ref="V1490:V1493"/>
    <mergeCell ref="V1494:V1497"/>
    <mergeCell ref="V1501:V1502"/>
    <mergeCell ref="V1505:V1506"/>
    <mergeCell ref="V1508:V1509"/>
    <mergeCell ref="V1510:V1513"/>
    <mergeCell ref="V1514:V1515"/>
    <mergeCell ref="V1516:V1518"/>
    <mergeCell ref="W2:W5"/>
    <mergeCell ref="W6:W27"/>
    <mergeCell ref="W28:W30"/>
    <mergeCell ref="W31:W37"/>
    <mergeCell ref="W38:W39"/>
    <mergeCell ref="W40:W45"/>
    <mergeCell ref="W46:W50"/>
    <mergeCell ref="W51:W54"/>
    <mergeCell ref="W55:W60"/>
    <mergeCell ref="W61:W64"/>
    <mergeCell ref="W65:W67"/>
    <mergeCell ref="W68:W70"/>
    <mergeCell ref="W71:W78"/>
    <mergeCell ref="W79:W85"/>
    <mergeCell ref="W86:W89"/>
    <mergeCell ref="W90:W95"/>
    <mergeCell ref="W96:W98"/>
    <mergeCell ref="W99:W104"/>
    <mergeCell ref="W105:W107"/>
    <mergeCell ref="W108:W111"/>
    <mergeCell ref="W112:W121"/>
    <mergeCell ref="V1412:V1416"/>
    <mergeCell ref="V1417:V1419"/>
    <mergeCell ref="V1421:V1422"/>
    <mergeCell ref="V1423:V1426"/>
    <mergeCell ref="V1427:V1429"/>
    <mergeCell ref="V1430:V1432"/>
    <mergeCell ref="V1435:V1437"/>
    <mergeCell ref="V1438:V1439"/>
    <mergeCell ref="V1440:V1442"/>
    <mergeCell ref="V1443:V1444"/>
    <mergeCell ref="V1445:V1446"/>
    <mergeCell ref="V1448:V1449"/>
    <mergeCell ref="V1450:V1454"/>
    <mergeCell ref="V1456:V1460"/>
    <mergeCell ref="V1461:V1466"/>
    <mergeCell ref="V1468:V1472"/>
    <mergeCell ref="V1474:V1476"/>
    <mergeCell ref="V1335:V1337"/>
    <mergeCell ref="V1338:V1340"/>
    <mergeCell ref="V1343:V1344"/>
    <mergeCell ref="V1347:V1348"/>
    <mergeCell ref="V1349:V1351"/>
    <mergeCell ref="V1352:V1356"/>
    <mergeCell ref="V1358:V1363"/>
    <mergeCell ref="V1364:V1365"/>
    <mergeCell ref="V1366:V1368"/>
    <mergeCell ref="V1370:V1371"/>
    <mergeCell ref="V1374:V1379"/>
    <mergeCell ref="V1381:V1389"/>
    <mergeCell ref="V1390:V1392"/>
    <mergeCell ref="V1394:V1396"/>
    <mergeCell ref="V1397:V1401"/>
    <mergeCell ref="V1402:V1405"/>
    <mergeCell ref="V1406:V1408"/>
    <mergeCell ref="V1253:V1260"/>
    <mergeCell ref="V1263:V1265"/>
    <mergeCell ref="V1267:V1270"/>
    <mergeCell ref="V1271:V1275"/>
    <mergeCell ref="V1276:V1279"/>
    <mergeCell ref="V1281:V1282"/>
    <mergeCell ref="V1283:V1284"/>
    <mergeCell ref="V1285:V1294"/>
    <mergeCell ref="V1295:V1298"/>
    <mergeCell ref="V1299:V1301"/>
    <mergeCell ref="V1302:V1307"/>
    <mergeCell ref="V1308:V1309"/>
    <mergeCell ref="V1310:V1314"/>
    <mergeCell ref="V1316:V1317"/>
    <mergeCell ref="V1319:V1322"/>
    <mergeCell ref="V1323:V1330"/>
    <mergeCell ref="V1331:V1333"/>
    <mergeCell ref="V1176:V1179"/>
    <mergeCell ref="V1180:V1184"/>
    <mergeCell ref="V1186:V1189"/>
    <mergeCell ref="V1190:V1194"/>
    <mergeCell ref="V1195:V1196"/>
    <mergeCell ref="V1197:V1199"/>
    <mergeCell ref="V1201:V1202"/>
    <mergeCell ref="V1203:V1211"/>
    <mergeCell ref="V1212:V1220"/>
    <mergeCell ref="V1221:V1226"/>
    <mergeCell ref="V1227:V1231"/>
    <mergeCell ref="V1233:V1234"/>
    <mergeCell ref="V1235:V1239"/>
    <mergeCell ref="V1240:V1241"/>
    <mergeCell ref="V1242:V1245"/>
    <mergeCell ref="V1246:V1248"/>
    <mergeCell ref="V1249:V1250"/>
    <mergeCell ref="V1095:V1102"/>
    <mergeCell ref="V1103:V1107"/>
    <mergeCell ref="V1108:V1109"/>
    <mergeCell ref="V1110:V1112"/>
    <mergeCell ref="V1113:V1119"/>
    <mergeCell ref="V1120:V1121"/>
    <mergeCell ref="V1122:V1124"/>
    <mergeCell ref="V1126:V1127"/>
    <mergeCell ref="V1128:V1130"/>
    <mergeCell ref="V1131:V1135"/>
    <mergeCell ref="V1137:V1140"/>
    <mergeCell ref="V1141:V1144"/>
    <mergeCell ref="V1152:V1154"/>
    <mergeCell ref="V1155:V1156"/>
    <mergeCell ref="V1158:V1165"/>
    <mergeCell ref="V1166:V1172"/>
    <mergeCell ref="V1173:V1175"/>
    <mergeCell ref="V1005:V1012"/>
    <mergeCell ref="V1013:V1019"/>
    <mergeCell ref="V1020:V1022"/>
    <mergeCell ref="V1023:V1029"/>
    <mergeCell ref="V1030:V1036"/>
    <mergeCell ref="V1037:V1041"/>
    <mergeCell ref="V1042:V1052"/>
    <mergeCell ref="V1053:V1054"/>
    <mergeCell ref="V1055:V1056"/>
    <mergeCell ref="V1057:V1059"/>
    <mergeCell ref="V1060:V1065"/>
    <mergeCell ref="V1066:V1068"/>
    <mergeCell ref="V1069:V1072"/>
    <mergeCell ref="V1073:V1077"/>
    <mergeCell ref="V1078:V1082"/>
    <mergeCell ref="V1083:V1085"/>
    <mergeCell ref="V1087:V1094"/>
    <mergeCell ref="V935:V939"/>
    <mergeCell ref="V940:V947"/>
    <mergeCell ref="V948:V949"/>
    <mergeCell ref="V951:V954"/>
    <mergeCell ref="V955:V956"/>
    <mergeCell ref="V957:V961"/>
    <mergeCell ref="V963:V964"/>
    <mergeCell ref="V965:V967"/>
    <mergeCell ref="V968:V969"/>
    <mergeCell ref="V971:V972"/>
    <mergeCell ref="V973:V977"/>
    <mergeCell ref="V978:V981"/>
    <mergeCell ref="V982:V984"/>
    <mergeCell ref="V985:V991"/>
    <mergeCell ref="V992:V996"/>
    <mergeCell ref="V997:V998"/>
    <mergeCell ref="V1000:V1003"/>
    <mergeCell ref="V837:V848"/>
    <mergeCell ref="V849:V850"/>
    <mergeCell ref="V854:V855"/>
    <mergeCell ref="V856:V864"/>
    <mergeCell ref="V865:V869"/>
    <mergeCell ref="V871:V873"/>
    <mergeCell ref="V874:V888"/>
    <mergeCell ref="V889:V890"/>
    <mergeCell ref="V891:V893"/>
    <mergeCell ref="V894:V898"/>
    <mergeCell ref="V899:V903"/>
    <mergeCell ref="V905:V906"/>
    <mergeCell ref="V907:V912"/>
    <mergeCell ref="V913:V917"/>
    <mergeCell ref="V919:V920"/>
    <mergeCell ref="V922:V932"/>
    <mergeCell ref="V933:V934"/>
    <mergeCell ref="V745:V747"/>
    <mergeCell ref="V748:V754"/>
    <mergeCell ref="V755:V757"/>
    <mergeCell ref="V758:V760"/>
    <mergeCell ref="V761:V768"/>
    <mergeCell ref="V769:V772"/>
    <mergeCell ref="V773:V775"/>
    <mergeCell ref="V776:V781"/>
    <mergeCell ref="V783:V790"/>
    <mergeCell ref="V792:V797"/>
    <mergeCell ref="V798:V799"/>
    <mergeCell ref="V802:V809"/>
    <mergeCell ref="V811:V819"/>
    <mergeCell ref="V821:V826"/>
    <mergeCell ref="V827:V828"/>
    <mergeCell ref="V829:V830"/>
    <mergeCell ref="V831:V836"/>
    <mergeCell ref="V665:V666"/>
    <mergeCell ref="V667:V669"/>
    <mergeCell ref="V670:V677"/>
    <mergeCell ref="V678:V681"/>
    <mergeCell ref="V682:V686"/>
    <mergeCell ref="V687:V688"/>
    <mergeCell ref="V689:V690"/>
    <mergeCell ref="V691:V695"/>
    <mergeCell ref="V696:V698"/>
    <mergeCell ref="V699:V708"/>
    <mergeCell ref="V709:V720"/>
    <mergeCell ref="V721:V725"/>
    <mergeCell ref="V727:V730"/>
    <mergeCell ref="V731:V733"/>
    <mergeCell ref="V734:V736"/>
    <mergeCell ref="V737:V742"/>
    <mergeCell ref="V743:V744"/>
    <mergeCell ref="V546:V551"/>
    <mergeCell ref="V552:V554"/>
    <mergeCell ref="V555:V559"/>
    <mergeCell ref="V560:V562"/>
    <mergeCell ref="V563:V567"/>
    <mergeCell ref="V568:V569"/>
    <mergeCell ref="V570:V572"/>
    <mergeCell ref="V573:V585"/>
    <mergeCell ref="V586:V589"/>
    <mergeCell ref="V590:V599"/>
    <mergeCell ref="V600:V611"/>
    <mergeCell ref="V612:V616"/>
    <mergeCell ref="V617:V636"/>
    <mergeCell ref="V637:V642"/>
    <mergeCell ref="V645:V654"/>
    <mergeCell ref="V655:V657"/>
    <mergeCell ref="V659:V664"/>
    <mergeCell ref="V459:V460"/>
    <mergeCell ref="V461:V471"/>
    <mergeCell ref="V472:V477"/>
    <mergeCell ref="V478:V479"/>
    <mergeCell ref="V480:V481"/>
    <mergeCell ref="V484:V486"/>
    <mergeCell ref="V487:V493"/>
    <mergeCell ref="V494:V496"/>
    <mergeCell ref="V498:V501"/>
    <mergeCell ref="V502:V508"/>
    <mergeCell ref="V509:V512"/>
    <mergeCell ref="V514:V518"/>
    <mergeCell ref="V519:V523"/>
    <mergeCell ref="V524:V525"/>
    <mergeCell ref="V526:V530"/>
    <mergeCell ref="V531:V532"/>
    <mergeCell ref="V533:V544"/>
    <mergeCell ref="V352:V358"/>
    <mergeCell ref="V359:V360"/>
    <mergeCell ref="V361:V364"/>
    <mergeCell ref="V365:V369"/>
    <mergeCell ref="V370:V373"/>
    <mergeCell ref="V375:V382"/>
    <mergeCell ref="V387:V389"/>
    <mergeCell ref="V391:V392"/>
    <mergeCell ref="V394:V402"/>
    <mergeCell ref="V403:V417"/>
    <mergeCell ref="V418:V421"/>
    <mergeCell ref="V423:V430"/>
    <mergeCell ref="V431:V440"/>
    <mergeCell ref="V441:V451"/>
    <mergeCell ref="V453:V454"/>
    <mergeCell ref="V455:V456"/>
    <mergeCell ref="V457:V458"/>
    <mergeCell ref="V260:V262"/>
    <mergeCell ref="V263:V270"/>
    <mergeCell ref="V271:V272"/>
    <mergeCell ref="V273:V276"/>
    <mergeCell ref="V277:V280"/>
    <mergeCell ref="V281:V285"/>
    <mergeCell ref="V287:V290"/>
    <mergeCell ref="V291:V298"/>
    <mergeCell ref="V299:V306"/>
    <mergeCell ref="V307:V312"/>
    <mergeCell ref="V313:V321"/>
    <mergeCell ref="V322:V325"/>
    <mergeCell ref="V326:V330"/>
    <mergeCell ref="V331:V336"/>
    <mergeCell ref="V338:V343"/>
    <mergeCell ref="V344:V347"/>
    <mergeCell ref="V348:V351"/>
    <mergeCell ref="V155:V160"/>
    <mergeCell ref="V161:V164"/>
    <mergeCell ref="V165:V175"/>
    <mergeCell ref="V176:V179"/>
    <mergeCell ref="V180:V186"/>
    <mergeCell ref="V187:V191"/>
    <mergeCell ref="V192:V198"/>
    <mergeCell ref="V199:V201"/>
    <mergeCell ref="V202:V209"/>
    <mergeCell ref="V210:V211"/>
    <mergeCell ref="V212:V219"/>
    <mergeCell ref="V221:V231"/>
    <mergeCell ref="V232:V234"/>
    <mergeCell ref="V236:V246"/>
    <mergeCell ref="V247:V252"/>
    <mergeCell ref="V253:V256"/>
    <mergeCell ref="V257:V259"/>
    <mergeCell ref="U1505:U1506"/>
    <mergeCell ref="U1508:U1509"/>
    <mergeCell ref="U1510:U1513"/>
    <mergeCell ref="U1514:U1515"/>
    <mergeCell ref="U1516:U1518"/>
    <mergeCell ref="V2:V5"/>
    <mergeCell ref="V6:V27"/>
    <mergeCell ref="V28:V30"/>
    <mergeCell ref="V31:V37"/>
    <mergeCell ref="V38:V39"/>
    <mergeCell ref="V40:V45"/>
    <mergeCell ref="V46:V50"/>
    <mergeCell ref="V51:V54"/>
    <mergeCell ref="V55:V60"/>
    <mergeCell ref="V61:V64"/>
    <mergeCell ref="V65:V67"/>
    <mergeCell ref="V68:V70"/>
    <mergeCell ref="V71:V78"/>
    <mergeCell ref="V79:V85"/>
    <mergeCell ref="V86:V89"/>
    <mergeCell ref="V90:V95"/>
    <mergeCell ref="V96:V98"/>
    <mergeCell ref="V99:V104"/>
    <mergeCell ref="V105:V107"/>
    <mergeCell ref="V108:V111"/>
    <mergeCell ref="V112:V121"/>
    <mergeCell ref="V122:V125"/>
    <mergeCell ref="V126:V134"/>
    <mergeCell ref="V135:V138"/>
    <mergeCell ref="V139:V144"/>
    <mergeCell ref="V145:V147"/>
    <mergeCell ref="V148:V154"/>
    <mergeCell ref="U1435:U1437"/>
    <mergeCell ref="U1438:U1439"/>
    <mergeCell ref="U1440:U1442"/>
    <mergeCell ref="U1443:U1444"/>
    <mergeCell ref="U1445:U1446"/>
    <mergeCell ref="U1448:U1449"/>
    <mergeCell ref="U1450:U1454"/>
    <mergeCell ref="U1456:U1460"/>
    <mergeCell ref="U1461:U1466"/>
    <mergeCell ref="U1468:U1472"/>
    <mergeCell ref="U1474:U1476"/>
    <mergeCell ref="U1477:U1479"/>
    <mergeCell ref="U1480:U1483"/>
    <mergeCell ref="U1484:U1487"/>
    <mergeCell ref="U1490:U1493"/>
    <mergeCell ref="U1494:U1497"/>
    <mergeCell ref="U1501:U1502"/>
    <mergeCell ref="U1358:U1363"/>
    <mergeCell ref="U1364:U1365"/>
    <mergeCell ref="U1366:U1368"/>
    <mergeCell ref="U1370:U1371"/>
    <mergeCell ref="U1374:U1379"/>
    <mergeCell ref="U1381:U1389"/>
    <mergeCell ref="U1390:U1392"/>
    <mergeCell ref="U1394:U1396"/>
    <mergeCell ref="U1397:U1401"/>
    <mergeCell ref="U1402:U1405"/>
    <mergeCell ref="U1406:U1408"/>
    <mergeCell ref="U1412:U1416"/>
    <mergeCell ref="U1417:U1419"/>
    <mergeCell ref="U1421:U1422"/>
    <mergeCell ref="U1423:U1426"/>
    <mergeCell ref="U1427:U1429"/>
    <mergeCell ref="U1430:U1432"/>
    <mergeCell ref="U1283:U1284"/>
    <mergeCell ref="U1285:U1294"/>
    <mergeCell ref="U1295:U1298"/>
    <mergeCell ref="U1299:U1301"/>
    <mergeCell ref="U1302:U1307"/>
    <mergeCell ref="U1308:U1309"/>
    <mergeCell ref="U1310:U1314"/>
    <mergeCell ref="U1316:U1317"/>
    <mergeCell ref="U1319:U1322"/>
    <mergeCell ref="U1323:U1330"/>
    <mergeCell ref="U1331:U1333"/>
    <mergeCell ref="U1335:U1337"/>
    <mergeCell ref="U1338:U1340"/>
    <mergeCell ref="U1343:U1344"/>
    <mergeCell ref="U1347:U1348"/>
    <mergeCell ref="U1349:U1351"/>
    <mergeCell ref="U1352:U1356"/>
    <mergeCell ref="U1201:U1202"/>
    <mergeCell ref="U1203:U1211"/>
    <mergeCell ref="U1212:U1220"/>
    <mergeCell ref="U1221:U1226"/>
    <mergeCell ref="U1227:U1231"/>
    <mergeCell ref="U1233:U1234"/>
    <mergeCell ref="U1235:U1239"/>
    <mergeCell ref="U1240:U1241"/>
    <mergeCell ref="U1242:U1245"/>
    <mergeCell ref="U1246:U1248"/>
    <mergeCell ref="U1249:U1250"/>
    <mergeCell ref="U1253:U1260"/>
    <mergeCell ref="U1263:U1265"/>
    <mergeCell ref="U1267:U1270"/>
    <mergeCell ref="U1271:U1275"/>
    <mergeCell ref="U1276:U1279"/>
    <mergeCell ref="U1281:U1282"/>
    <mergeCell ref="U1122:U1124"/>
    <mergeCell ref="U1126:U1127"/>
    <mergeCell ref="U1128:U1130"/>
    <mergeCell ref="U1131:U1135"/>
    <mergeCell ref="U1137:U1140"/>
    <mergeCell ref="U1141:U1144"/>
    <mergeCell ref="U1152:U1154"/>
    <mergeCell ref="U1155:U1156"/>
    <mergeCell ref="U1158:U1165"/>
    <mergeCell ref="U1166:U1172"/>
    <mergeCell ref="U1173:U1175"/>
    <mergeCell ref="U1176:U1179"/>
    <mergeCell ref="U1180:U1184"/>
    <mergeCell ref="U1186:U1189"/>
    <mergeCell ref="U1190:U1194"/>
    <mergeCell ref="U1195:U1196"/>
    <mergeCell ref="U1197:U1199"/>
    <mergeCell ref="U1042:U1052"/>
    <mergeCell ref="U1053:U1054"/>
    <mergeCell ref="U1055:U1056"/>
    <mergeCell ref="U1057:U1059"/>
    <mergeCell ref="U1060:U1065"/>
    <mergeCell ref="U1066:U1068"/>
    <mergeCell ref="U1069:U1072"/>
    <mergeCell ref="U1073:U1077"/>
    <mergeCell ref="U1078:U1082"/>
    <mergeCell ref="U1083:U1085"/>
    <mergeCell ref="U1087:U1094"/>
    <mergeCell ref="U1095:U1102"/>
    <mergeCell ref="U1103:U1107"/>
    <mergeCell ref="U1108:U1109"/>
    <mergeCell ref="U1110:U1112"/>
    <mergeCell ref="U1113:U1119"/>
    <mergeCell ref="U1120:U1121"/>
    <mergeCell ref="U963:U964"/>
    <mergeCell ref="U965:U967"/>
    <mergeCell ref="U968:U969"/>
    <mergeCell ref="U971:U972"/>
    <mergeCell ref="U973:U977"/>
    <mergeCell ref="U978:U981"/>
    <mergeCell ref="U982:U984"/>
    <mergeCell ref="U985:U991"/>
    <mergeCell ref="U992:U996"/>
    <mergeCell ref="U997:U998"/>
    <mergeCell ref="U1000:U1003"/>
    <mergeCell ref="U1005:U1012"/>
    <mergeCell ref="U1013:U1019"/>
    <mergeCell ref="U1020:U1022"/>
    <mergeCell ref="U1023:U1029"/>
    <mergeCell ref="U1030:U1036"/>
    <mergeCell ref="U1037:U1041"/>
    <mergeCell ref="U874:U888"/>
    <mergeCell ref="U889:U890"/>
    <mergeCell ref="U891:U893"/>
    <mergeCell ref="U894:U898"/>
    <mergeCell ref="U899:U903"/>
    <mergeCell ref="U905:U906"/>
    <mergeCell ref="U907:U912"/>
    <mergeCell ref="U913:U917"/>
    <mergeCell ref="U919:U920"/>
    <mergeCell ref="U922:U932"/>
    <mergeCell ref="U933:U934"/>
    <mergeCell ref="U935:U939"/>
    <mergeCell ref="U940:U947"/>
    <mergeCell ref="U948:U949"/>
    <mergeCell ref="U951:U954"/>
    <mergeCell ref="U955:U956"/>
    <mergeCell ref="U957:U961"/>
    <mergeCell ref="U773:U775"/>
    <mergeCell ref="U776:U781"/>
    <mergeCell ref="U783:U790"/>
    <mergeCell ref="U792:U797"/>
    <mergeCell ref="U798:U799"/>
    <mergeCell ref="U802:U809"/>
    <mergeCell ref="U811:U819"/>
    <mergeCell ref="U821:U826"/>
    <mergeCell ref="U827:U828"/>
    <mergeCell ref="U829:U830"/>
    <mergeCell ref="U831:U836"/>
    <mergeCell ref="U837:U848"/>
    <mergeCell ref="U849:U850"/>
    <mergeCell ref="U854:U855"/>
    <mergeCell ref="U856:U864"/>
    <mergeCell ref="U865:U869"/>
    <mergeCell ref="U871:U873"/>
    <mergeCell ref="U689:U690"/>
    <mergeCell ref="U691:U695"/>
    <mergeCell ref="U696:U698"/>
    <mergeCell ref="U699:U708"/>
    <mergeCell ref="U709:U720"/>
    <mergeCell ref="U721:U725"/>
    <mergeCell ref="U727:U730"/>
    <mergeCell ref="U731:U733"/>
    <mergeCell ref="U734:U736"/>
    <mergeCell ref="U737:U742"/>
    <mergeCell ref="U743:U744"/>
    <mergeCell ref="U745:U747"/>
    <mergeCell ref="U748:U754"/>
    <mergeCell ref="U755:U757"/>
    <mergeCell ref="U758:U760"/>
    <mergeCell ref="U761:U768"/>
    <mergeCell ref="U769:U772"/>
    <mergeCell ref="U570:U572"/>
    <mergeCell ref="U573:U585"/>
    <mergeCell ref="U586:U589"/>
    <mergeCell ref="U590:U599"/>
    <mergeCell ref="U600:U611"/>
    <mergeCell ref="U612:U616"/>
    <mergeCell ref="U617:U636"/>
    <mergeCell ref="U637:U642"/>
    <mergeCell ref="U645:U654"/>
    <mergeCell ref="U655:U657"/>
    <mergeCell ref="U659:U664"/>
    <mergeCell ref="U665:U666"/>
    <mergeCell ref="U667:U669"/>
    <mergeCell ref="U670:U677"/>
    <mergeCell ref="U678:U681"/>
    <mergeCell ref="U682:U686"/>
    <mergeCell ref="U687:U688"/>
    <mergeCell ref="U487:U493"/>
    <mergeCell ref="U494:U496"/>
    <mergeCell ref="U498:U501"/>
    <mergeCell ref="U502:U508"/>
    <mergeCell ref="U509:U512"/>
    <mergeCell ref="U514:U518"/>
    <mergeCell ref="U519:U523"/>
    <mergeCell ref="U524:U525"/>
    <mergeCell ref="U526:U530"/>
    <mergeCell ref="U531:U532"/>
    <mergeCell ref="U533:U544"/>
    <mergeCell ref="U546:U551"/>
    <mergeCell ref="U552:U554"/>
    <mergeCell ref="U555:U559"/>
    <mergeCell ref="U560:U562"/>
    <mergeCell ref="U563:U567"/>
    <mergeCell ref="U568:U569"/>
    <mergeCell ref="U387:U389"/>
    <mergeCell ref="U391:U392"/>
    <mergeCell ref="U394:U402"/>
    <mergeCell ref="U403:U417"/>
    <mergeCell ref="U418:U421"/>
    <mergeCell ref="U423:U430"/>
    <mergeCell ref="U431:U440"/>
    <mergeCell ref="U441:U451"/>
    <mergeCell ref="U453:U454"/>
    <mergeCell ref="U455:U456"/>
    <mergeCell ref="U457:U458"/>
    <mergeCell ref="U459:U460"/>
    <mergeCell ref="U461:U471"/>
    <mergeCell ref="U472:U477"/>
    <mergeCell ref="U478:U479"/>
    <mergeCell ref="U480:U481"/>
    <mergeCell ref="U484:U486"/>
    <mergeCell ref="U287:U290"/>
    <mergeCell ref="U291:U298"/>
    <mergeCell ref="U299:U306"/>
    <mergeCell ref="U307:U312"/>
    <mergeCell ref="U313:U321"/>
    <mergeCell ref="U322:U325"/>
    <mergeCell ref="U326:U330"/>
    <mergeCell ref="U331:U336"/>
    <mergeCell ref="U338:U343"/>
    <mergeCell ref="U344:U347"/>
    <mergeCell ref="U348:U351"/>
    <mergeCell ref="U352:U358"/>
    <mergeCell ref="U359:U360"/>
    <mergeCell ref="U361:U364"/>
    <mergeCell ref="U365:U369"/>
    <mergeCell ref="U370:U373"/>
    <mergeCell ref="U375:U382"/>
    <mergeCell ref="U192:U198"/>
    <mergeCell ref="U199:U201"/>
    <mergeCell ref="U202:U209"/>
    <mergeCell ref="U210:U211"/>
    <mergeCell ref="U212:U219"/>
    <mergeCell ref="U221:U231"/>
    <mergeCell ref="U232:U234"/>
    <mergeCell ref="U236:U246"/>
    <mergeCell ref="U247:U252"/>
    <mergeCell ref="U253:U256"/>
    <mergeCell ref="U257:U259"/>
    <mergeCell ref="U260:U262"/>
    <mergeCell ref="U263:U270"/>
    <mergeCell ref="U271:U272"/>
    <mergeCell ref="U273:U276"/>
    <mergeCell ref="U277:U280"/>
    <mergeCell ref="U281:U285"/>
    <mergeCell ref="U96:U98"/>
    <mergeCell ref="U99:U104"/>
    <mergeCell ref="U105:U107"/>
    <mergeCell ref="U108:U111"/>
    <mergeCell ref="U112:U121"/>
    <mergeCell ref="U122:U125"/>
    <mergeCell ref="U126:U134"/>
    <mergeCell ref="U135:U138"/>
    <mergeCell ref="U139:U144"/>
    <mergeCell ref="U145:U147"/>
    <mergeCell ref="U148:U154"/>
    <mergeCell ref="U155:U160"/>
    <mergeCell ref="U161:U164"/>
    <mergeCell ref="U165:U175"/>
    <mergeCell ref="U176:U179"/>
    <mergeCell ref="U180:U186"/>
    <mergeCell ref="U187:U191"/>
    <mergeCell ref="T1450:T1454"/>
    <mergeCell ref="T1456:T1460"/>
    <mergeCell ref="T1461:T1466"/>
    <mergeCell ref="T1468:T1472"/>
    <mergeCell ref="T1474:T1476"/>
    <mergeCell ref="T1477:T1479"/>
    <mergeCell ref="T1480:T1483"/>
    <mergeCell ref="T1484:T1487"/>
    <mergeCell ref="T1490:T1493"/>
    <mergeCell ref="T1494:T1497"/>
    <mergeCell ref="T1501:T1502"/>
    <mergeCell ref="T1505:T1506"/>
    <mergeCell ref="T1508:T1509"/>
    <mergeCell ref="T1510:T1513"/>
    <mergeCell ref="T1514:T1515"/>
    <mergeCell ref="T1516:T1518"/>
    <mergeCell ref="U2:U5"/>
    <mergeCell ref="U6:U27"/>
    <mergeCell ref="U28:U30"/>
    <mergeCell ref="U31:U37"/>
    <mergeCell ref="U38:U39"/>
    <mergeCell ref="U40:U45"/>
    <mergeCell ref="U46:U50"/>
    <mergeCell ref="U51:U54"/>
    <mergeCell ref="U55:U60"/>
    <mergeCell ref="U61:U64"/>
    <mergeCell ref="U65:U67"/>
    <mergeCell ref="U68:U70"/>
    <mergeCell ref="U71:U78"/>
    <mergeCell ref="U79:U85"/>
    <mergeCell ref="U86:U89"/>
    <mergeCell ref="U90:U95"/>
    <mergeCell ref="T1390:T1392"/>
    <mergeCell ref="T1394:T1396"/>
    <mergeCell ref="T1397:T1401"/>
    <mergeCell ref="T1402:T1405"/>
    <mergeCell ref="T1406:T1408"/>
    <mergeCell ref="T1412:T1416"/>
    <mergeCell ref="T1417:T1419"/>
    <mergeCell ref="T1421:T1422"/>
    <mergeCell ref="T1423:T1426"/>
    <mergeCell ref="T1427:T1429"/>
    <mergeCell ref="T1430:T1432"/>
    <mergeCell ref="T1435:T1437"/>
    <mergeCell ref="T1438:T1439"/>
    <mergeCell ref="T1440:T1442"/>
    <mergeCell ref="T1443:T1444"/>
    <mergeCell ref="T1445:T1446"/>
    <mergeCell ref="T1448:T1449"/>
    <mergeCell ref="T1310:T1314"/>
    <mergeCell ref="T1316:T1317"/>
    <mergeCell ref="T1319:T1322"/>
    <mergeCell ref="T1323:T1330"/>
    <mergeCell ref="T1331:T1333"/>
    <mergeCell ref="T1335:T1337"/>
    <mergeCell ref="T1338:T1340"/>
    <mergeCell ref="T1343:T1344"/>
    <mergeCell ref="T1347:T1348"/>
    <mergeCell ref="T1349:T1351"/>
    <mergeCell ref="T1352:T1356"/>
    <mergeCell ref="T1358:T1363"/>
    <mergeCell ref="T1364:T1365"/>
    <mergeCell ref="T1366:T1368"/>
    <mergeCell ref="T1370:T1371"/>
    <mergeCell ref="T1374:T1379"/>
    <mergeCell ref="T1381:T1389"/>
    <mergeCell ref="T1235:T1239"/>
    <mergeCell ref="T1240:T1241"/>
    <mergeCell ref="T1242:T1245"/>
    <mergeCell ref="T1246:T1248"/>
    <mergeCell ref="T1249:T1250"/>
    <mergeCell ref="T1253:T1260"/>
    <mergeCell ref="T1263:T1265"/>
    <mergeCell ref="T1267:T1270"/>
    <mergeCell ref="T1271:T1275"/>
    <mergeCell ref="T1276:T1279"/>
    <mergeCell ref="T1281:T1282"/>
    <mergeCell ref="T1283:T1284"/>
    <mergeCell ref="T1285:T1294"/>
    <mergeCell ref="T1295:T1298"/>
    <mergeCell ref="T1299:T1301"/>
    <mergeCell ref="T1302:T1307"/>
    <mergeCell ref="T1308:T1309"/>
    <mergeCell ref="T1152:T1154"/>
    <mergeCell ref="T1155:T1156"/>
    <mergeCell ref="T1158:T1165"/>
    <mergeCell ref="T1166:T1172"/>
    <mergeCell ref="T1173:T1175"/>
    <mergeCell ref="T1176:T1179"/>
    <mergeCell ref="T1180:T1184"/>
    <mergeCell ref="T1186:T1189"/>
    <mergeCell ref="T1190:T1194"/>
    <mergeCell ref="T1195:T1196"/>
    <mergeCell ref="T1197:T1199"/>
    <mergeCell ref="T1201:T1202"/>
    <mergeCell ref="T1203:T1211"/>
    <mergeCell ref="T1212:T1220"/>
    <mergeCell ref="T1221:T1226"/>
    <mergeCell ref="T1227:T1231"/>
    <mergeCell ref="T1233:T1234"/>
    <mergeCell ref="T1069:T1072"/>
    <mergeCell ref="T1073:T1077"/>
    <mergeCell ref="T1078:T1082"/>
    <mergeCell ref="T1083:T1085"/>
    <mergeCell ref="T1087:T1094"/>
    <mergeCell ref="T1095:T1102"/>
    <mergeCell ref="T1103:T1107"/>
    <mergeCell ref="T1108:T1109"/>
    <mergeCell ref="T1110:T1112"/>
    <mergeCell ref="T1113:T1119"/>
    <mergeCell ref="T1120:T1121"/>
    <mergeCell ref="T1122:T1124"/>
    <mergeCell ref="T1126:T1127"/>
    <mergeCell ref="T1128:T1130"/>
    <mergeCell ref="T1131:T1135"/>
    <mergeCell ref="T1137:T1140"/>
    <mergeCell ref="T1141:T1144"/>
    <mergeCell ref="T982:T984"/>
    <mergeCell ref="T985:T991"/>
    <mergeCell ref="T992:T996"/>
    <mergeCell ref="T997:T998"/>
    <mergeCell ref="T1000:T1003"/>
    <mergeCell ref="T1005:T1012"/>
    <mergeCell ref="T1013:T1019"/>
    <mergeCell ref="T1020:T1022"/>
    <mergeCell ref="T1023:T1029"/>
    <mergeCell ref="T1030:T1036"/>
    <mergeCell ref="T1037:T1041"/>
    <mergeCell ref="T1042:T1052"/>
    <mergeCell ref="T1053:T1054"/>
    <mergeCell ref="T1055:T1056"/>
    <mergeCell ref="T1057:T1059"/>
    <mergeCell ref="T1060:T1065"/>
    <mergeCell ref="T1066:T1068"/>
    <mergeCell ref="T907:T912"/>
    <mergeCell ref="T913:T917"/>
    <mergeCell ref="T919:T920"/>
    <mergeCell ref="T922:T932"/>
    <mergeCell ref="T933:T934"/>
    <mergeCell ref="T935:T939"/>
    <mergeCell ref="T940:T947"/>
    <mergeCell ref="T948:T949"/>
    <mergeCell ref="T951:T954"/>
    <mergeCell ref="T955:T956"/>
    <mergeCell ref="T957:T961"/>
    <mergeCell ref="T963:T964"/>
    <mergeCell ref="T965:T967"/>
    <mergeCell ref="T968:T969"/>
    <mergeCell ref="T971:T972"/>
    <mergeCell ref="T973:T977"/>
    <mergeCell ref="T978:T981"/>
    <mergeCell ref="T811:T819"/>
    <mergeCell ref="T821:T826"/>
    <mergeCell ref="T827:T828"/>
    <mergeCell ref="T829:T830"/>
    <mergeCell ref="T831:T836"/>
    <mergeCell ref="T837:T848"/>
    <mergeCell ref="T849:T850"/>
    <mergeCell ref="T854:T855"/>
    <mergeCell ref="T856:T864"/>
    <mergeCell ref="T865:T869"/>
    <mergeCell ref="T871:T873"/>
    <mergeCell ref="T874:T888"/>
    <mergeCell ref="T889:T890"/>
    <mergeCell ref="T891:T893"/>
    <mergeCell ref="T894:T898"/>
    <mergeCell ref="T899:T903"/>
    <mergeCell ref="T905:T906"/>
    <mergeCell ref="T727:T730"/>
    <mergeCell ref="T731:T733"/>
    <mergeCell ref="T734:T736"/>
    <mergeCell ref="T737:T742"/>
    <mergeCell ref="T743:T744"/>
    <mergeCell ref="T745:T747"/>
    <mergeCell ref="T748:T754"/>
    <mergeCell ref="T755:T757"/>
    <mergeCell ref="T758:T760"/>
    <mergeCell ref="T761:T768"/>
    <mergeCell ref="T769:T772"/>
    <mergeCell ref="T773:T775"/>
    <mergeCell ref="T776:T781"/>
    <mergeCell ref="T783:T790"/>
    <mergeCell ref="T792:T797"/>
    <mergeCell ref="T798:T799"/>
    <mergeCell ref="T802:T809"/>
    <mergeCell ref="T617:T636"/>
    <mergeCell ref="T637:T642"/>
    <mergeCell ref="T645:T654"/>
    <mergeCell ref="T655:T657"/>
    <mergeCell ref="T659:T664"/>
    <mergeCell ref="T665:T666"/>
    <mergeCell ref="T667:T669"/>
    <mergeCell ref="T670:T677"/>
    <mergeCell ref="T678:T681"/>
    <mergeCell ref="T682:T686"/>
    <mergeCell ref="T687:T688"/>
    <mergeCell ref="T689:T690"/>
    <mergeCell ref="T691:T695"/>
    <mergeCell ref="T696:T698"/>
    <mergeCell ref="T699:T708"/>
    <mergeCell ref="T709:T720"/>
    <mergeCell ref="T721:T725"/>
    <mergeCell ref="T519:T523"/>
    <mergeCell ref="T524:T525"/>
    <mergeCell ref="T526:T530"/>
    <mergeCell ref="T531:T532"/>
    <mergeCell ref="T533:T544"/>
    <mergeCell ref="T546:T551"/>
    <mergeCell ref="T552:T554"/>
    <mergeCell ref="T555:T559"/>
    <mergeCell ref="T560:T562"/>
    <mergeCell ref="T563:T567"/>
    <mergeCell ref="T568:T569"/>
    <mergeCell ref="T570:T572"/>
    <mergeCell ref="T573:T585"/>
    <mergeCell ref="T586:T589"/>
    <mergeCell ref="T590:T599"/>
    <mergeCell ref="T600:T611"/>
    <mergeCell ref="T612:T616"/>
    <mergeCell ref="T431:T440"/>
    <mergeCell ref="T441:T451"/>
    <mergeCell ref="T453:T454"/>
    <mergeCell ref="T455:T456"/>
    <mergeCell ref="T457:T458"/>
    <mergeCell ref="T459:T460"/>
    <mergeCell ref="T461:T471"/>
    <mergeCell ref="T472:T477"/>
    <mergeCell ref="T478:T479"/>
    <mergeCell ref="T480:T481"/>
    <mergeCell ref="T484:T486"/>
    <mergeCell ref="T487:T493"/>
    <mergeCell ref="T494:T496"/>
    <mergeCell ref="T498:T501"/>
    <mergeCell ref="T502:T508"/>
    <mergeCell ref="T509:T512"/>
    <mergeCell ref="T514:T518"/>
    <mergeCell ref="T326:T330"/>
    <mergeCell ref="T331:T336"/>
    <mergeCell ref="T338:T343"/>
    <mergeCell ref="T344:T347"/>
    <mergeCell ref="T348:T351"/>
    <mergeCell ref="T352:T358"/>
    <mergeCell ref="T359:T360"/>
    <mergeCell ref="T361:T364"/>
    <mergeCell ref="T365:T369"/>
    <mergeCell ref="T370:T373"/>
    <mergeCell ref="T375:T382"/>
    <mergeCell ref="T387:T389"/>
    <mergeCell ref="T391:T392"/>
    <mergeCell ref="T394:T402"/>
    <mergeCell ref="T403:T417"/>
    <mergeCell ref="T418:T421"/>
    <mergeCell ref="T423:T430"/>
    <mergeCell ref="T232:T234"/>
    <mergeCell ref="T236:T246"/>
    <mergeCell ref="T247:T252"/>
    <mergeCell ref="T253:T256"/>
    <mergeCell ref="T257:T259"/>
    <mergeCell ref="T260:T262"/>
    <mergeCell ref="T263:T270"/>
    <mergeCell ref="T271:T272"/>
    <mergeCell ref="T273:T276"/>
    <mergeCell ref="T277:T280"/>
    <mergeCell ref="T281:T285"/>
    <mergeCell ref="T287:T290"/>
    <mergeCell ref="T291:T298"/>
    <mergeCell ref="T299:T306"/>
    <mergeCell ref="T307:T312"/>
    <mergeCell ref="T313:T321"/>
    <mergeCell ref="T322:T325"/>
    <mergeCell ref="T126:T134"/>
    <mergeCell ref="T135:T138"/>
    <mergeCell ref="T139:T144"/>
    <mergeCell ref="T145:T147"/>
    <mergeCell ref="T148:T154"/>
    <mergeCell ref="T155:T160"/>
    <mergeCell ref="T161:T164"/>
    <mergeCell ref="T165:T175"/>
    <mergeCell ref="T176:T179"/>
    <mergeCell ref="T180:T186"/>
    <mergeCell ref="T187:T191"/>
    <mergeCell ref="T192:T198"/>
    <mergeCell ref="T199:T201"/>
    <mergeCell ref="T202:T209"/>
    <mergeCell ref="T210:T211"/>
    <mergeCell ref="T212:T219"/>
    <mergeCell ref="T221:T231"/>
    <mergeCell ref="S1480:S1483"/>
    <mergeCell ref="S1484:S1487"/>
    <mergeCell ref="S1490:S1493"/>
    <mergeCell ref="S1494:S1497"/>
    <mergeCell ref="S1501:S1502"/>
    <mergeCell ref="S1505:S1506"/>
    <mergeCell ref="S1508:S1509"/>
    <mergeCell ref="S1510:S1513"/>
    <mergeCell ref="S1514:S1515"/>
    <mergeCell ref="S1516:S1518"/>
    <mergeCell ref="T2:T5"/>
    <mergeCell ref="T6:T27"/>
    <mergeCell ref="T28:T30"/>
    <mergeCell ref="T31:T37"/>
    <mergeCell ref="T38:T39"/>
    <mergeCell ref="T40:T45"/>
    <mergeCell ref="T46:T50"/>
    <mergeCell ref="T51:T54"/>
    <mergeCell ref="T55:T60"/>
    <mergeCell ref="T61:T64"/>
    <mergeCell ref="T65:T67"/>
    <mergeCell ref="T68:T70"/>
    <mergeCell ref="T71:T78"/>
    <mergeCell ref="T79:T85"/>
    <mergeCell ref="T86:T89"/>
    <mergeCell ref="T90:T95"/>
    <mergeCell ref="T96:T98"/>
    <mergeCell ref="T99:T104"/>
    <mergeCell ref="T105:T107"/>
    <mergeCell ref="T108:T111"/>
    <mergeCell ref="T112:T121"/>
    <mergeCell ref="T122:T125"/>
    <mergeCell ref="S1417:S1419"/>
    <mergeCell ref="S1421:S1422"/>
    <mergeCell ref="S1423:S1426"/>
    <mergeCell ref="S1427:S1429"/>
    <mergeCell ref="S1430:S1432"/>
    <mergeCell ref="S1435:S1437"/>
    <mergeCell ref="S1438:S1439"/>
    <mergeCell ref="S1440:S1442"/>
    <mergeCell ref="S1443:S1444"/>
    <mergeCell ref="S1445:S1446"/>
    <mergeCell ref="S1448:S1449"/>
    <mergeCell ref="S1450:S1454"/>
    <mergeCell ref="S1456:S1460"/>
    <mergeCell ref="S1461:S1466"/>
    <mergeCell ref="S1468:S1472"/>
    <mergeCell ref="S1474:S1476"/>
    <mergeCell ref="S1477:S1479"/>
    <mergeCell ref="S1338:S1340"/>
    <mergeCell ref="S1343:S1344"/>
    <mergeCell ref="S1347:S1348"/>
    <mergeCell ref="S1349:S1351"/>
    <mergeCell ref="S1352:S1356"/>
    <mergeCell ref="S1358:S1363"/>
    <mergeCell ref="S1364:S1365"/>
    <mergeCell ref="S1366:S1368"/>
    <mergeCell ref="S1370:S1371"/>
    <mergeCell ref="S1374:S1379"/>
    <mergeCell ref="S1381:S1389"/>
    <mergeCell ref="S1390:S1392"/>
    <mergeCell ref="S1394:S1396"/>
    <mergeCell ref="S1397:S1401"/>
    <mergeCell ref="S1402:S1405"/>
    <mergeCell ref="S1406:S1408"/>
    <mergeCell ref="S1412:S1416"/>
    <mergeCell ref="S1263:S1265"/>
    <mergeCell ref="S1267:S1270"/>
    <mergeCell ref="S1271:S1275"/>
    <mergeCell ref="S1276:S1279"/>
    <mergeCell ref="S1281:S1282"/>
    <mergeCell ref="S1283:S1284"/>
    <mergeCell ref="S1285:S1294"/>
    <mergeCell ref="S1295:S1298"/>
    <mergeCell ref="S1299:S1301"/>
    <mergeCell ref="S1302:S1307"/>
    <mergeCell ref="S1308:S1309"/>
    <mergeCell ref="S1310:S1314"/>
    <mergeCell ref="S1316:S1317"/>
    <mergeCell ref="S1319:S1322"/>
    <mergeCell ref="S1323:S1330"/>
    <mergeCell ref="S1331:S1333"/>
    <mergeCell ref="S1335:S1337"/>
    <mergeCell ref="S1180:S1184"/>
    <mergeCell ref="S1186:S1189"/>
    <mergeCell ref="S1190:S1194"/>
    <mergeCell ref="S1195:S1196"/>
    <mergeCell ref="S1197:S1199"/>
    <mergeCell ref="S1201:S1202"/>
    <mergeCell ref="S1203:S1211"/>
    <mergeCell ref="S1212:S1220"/>
    <mergeCell ref="S1221:S1226"/>
    <mergeCell ref="S1227:S1231"/>
    <mergeCell ref="S1233:S1234"/>
    <mergeCell ref="S1235:S1239"/>
    <mergeCell ref="S1240:S1241"/>
    <mergeCell ref="S1242:S1245"/>
    <mergeCell ref="S1246:S1248"/>
    <mergeCell ref="S1249:S1250"/>
    <mergeCell ref="S1253:S1260"/>
    <mergeCell ref="S1103:S1107"/>
    <mergeCell ref="S1108:S1109"/>
    <mergeCell ref="S1110:S1112"/>
    <mergeCell ref="S1113:S1119"/>
    <mergeCell ref="S1120:S1121"/>
    <mergeCell ref="S1122:S1124"/>
    <mergeCell ref="S1126:S1127"/>
    <mergeCell ref="S1128:S1130"/>
    <mergeCell ref="S1131:S1135"/>
    <mergeCell ref="S1137:S1140"/>
    <mergeCell ref="S1141:S1144"/>
    <mergeCell ref="S1152:S1154"/>
    <mergeCell ref="S1155:S1156"/>
    <mergeCell ref="S1158:S1165"/>
    <mergeCell ref="S1166:S1172"/>
    <mergeCell ref="S1173:S1175"/>
    <mergeCell ref="S1176:S1179"/>
    <mergeCell ref="S1013:S1019"/>
    <mergeCell ref="S1020:S1022"/>
    <mergeCell ref="S1023:S1029"/>
    <mergeCell ref="S1030:S1036"/>
    <mergeCell ref="S1037:S1041"/>
    <mergeCell ref="S1042:S1052"/>
    <mergeCell ref="S1053:S1054"/>
    <mergeCell ref="S1055:S1056"/>
    <mergeCell ref="S1057:S1059"/>
    <mergeCell ref="S1060:S1065"/>
    <mergeCell ref="S1066:S1068"/>
    <mergeCell ref="S1069:S1072"/>
    <mergeCell ref="S1073:S1077"/>
    <mergeCell ref="S1078:S1082"/>
    <mergeCell ref="S1083:S1085"/>
    <mergeCell ref="S1087:S1094"/>
    <mergeCell ref="S1095:S1102"/>
    <mergeCell ref="S940:S947"/>
    <mergeCell ref="S948:S949"/>
    <mergeCell ref="S951:S954"/>
    <mergeCell ref="S955:S956"/>
    <mergeCell ref="S957:S961"/>
    <mergeCell ref="S963:S964"/>
    <mergeCell ref="S965:S967"/>
    <mergeCell ref="S968:S969"/>
    <mergeCell ref="S971:S972"/>
    <mergeCell ref="S973:S977"/>
    <mergeCell ref="S978:S981"/>
    <mergeCell ref="S982:S984"/>
    <mergeCell ref="S985:S991"/>
    <mergeCell ref="S992:S996"/>
    <mergeCell ref="S997:S998"/>
    <mergeCell ref="S1000:S1003"/>
    <mergeCell ref="S1005:S1012"/>
    <mergeCell ref="S849:S850"/>
    <mergeCell ref="S854:S855"/>
    <mergeCell ref="S856:S864"/>
    <mergeCell ref="S865:S869"/>
    <mergeCell ref="S871:S873"/>
    <mergeCell ref="S874:S888"/>
    <mergeCell ref="S889:S890"/>
    <mergeCell ref="S891:S893"/>
    <mergeCell ref="S894:S898"/>
    <mergeCell ref="S899:S903"/>
    <mergeCell ref="S905:S906"/>
    <mergeCell ref="S907:S912"/>
    <mergeCell ref="S913:S917"/>
    <mergeCell ref="S919:S920"/>
    <mergeCell ref="S922:S932"/>
    <mergeCell ref="S933:S934"/>
    <mergeCell ref="S935:S939"/>
    <mergeCell ref="S748:S754"/>
    <mergeCell ref="S755:S757"/>
    <mergeCell ref="S758:S760"/>
    <mergeCell ref="S761:S768"/>
    <mergeCell ref="S769:S772"/>
    <mergeCell ref="S773:S775"/>
    <mergeCell ref="S776:S781"/>
    <mergeCell ref="S783:S790"/>
    <mergeCell ref="S792:S797"/>
    <mergeCell ref="S798:S799"/>
    <mergeCell ref="S802:S809"/>
    <mergeCell ref="S811:S819"/>
    <mergeCell ref="S821:S826"/>
    <mergeCell ref="S827:S828"/>
    <mergeCell ref="S829:S830"/>
    <mergeCell ref="S831:S836"/>
    <mergeCell ref="S837:S848"/>
    <mergeCell ref="S667:S669"/>
    <mergeCell ref="S670:S677"/>
    <mergeCell ref="S678:S681"/>
    <mergeCell ref="S682:S686"/>
    <mergeCell ref="S687:S688"/>
    <mergeCell ref="S689:S690"/>
    <mergeCell ref="S691:S695"/>
    <mergeCell ref="S696:S698"/>
    <mergeCell ref="S699:S708"/>
    <mergeCell ref="S709:S720"/>
    <mergeCell ref="S721:S725"/>
    <mergeCell ref="S727:S730"/>
    <mergeCell ref="S731:S733"/>
    <mergeCell ref="S734:S736"/>
    <mergeCell ref="S737:S742"/>
    <mergeCell ref="S743:S744"/>
    <mergeCell ref="S745:S747"/>
    <mergeCell ref="S552:S554"/>
    <mergeCell ref="S555:S559"/>
    <mergeCell ref="S560:S562"/>
    <mergeCell ref="S563:S567"/>
    <mergeCell ref="S568:S569"/>
    <mergeCell ref="S570:S572"/>
    <mergeCell ref="S573:S585"/>
    <mergeCell ref="S586:S589"/>
    <mergeCell ref="S590:S599"/>
    <mergeCell ref="S600:S611"/>
    <mergeCell ref="S612:S616"/>
    <mergeCell ref="S617:S636"/>
    <mergeCell ref="S637:S642"/>
    <mergeCell ref="S645:S654"/>
    <mergeCell ref="S655:S657"/>
    <mergeCell ref="S659:S664"/>
    <mergeCell ref="S665:S666"/>
    <mergeCell ref="S461:S471"/>
    <mergeCell ref="S472:S477"/>
    <mergeCell ref="S478:S479"/>
    <mergeCell ref="S480:S481"/>
    <mergeCell ref="S484:S486"/>
    <mergeCell ref="S487:S493"/>
    <mergeCell ref="S494:S496"/>
    <mergeCell ref="S498:S501"/>
    <mergeCell ref="S502:S508"/>
    <mergeCell ref="S509:S512"/>
    <mergeCell ref="S514:S518"/>
    <mergeCell ref="S519:S523"/>
    <mergeCell ref="S524:S525"/>
    <mergeCell ref="S526:S530"/>
    <mergeCell ref="S531:S532"/>
    <mergeCell ref="S533:S544"/>
    <mergeCell ref="S546:S551"/>
    <mergeCell ref="S359:S360"/>
    <mergeCell ref="S361:S364"/>
    <mergeCell ref="S365:S369"/>
    <mergeCell ref="S370:S373"/>
    <mergeCell ref="S375:S382"/>
    <mergeCell ref="S387:S389"/>
    <mergeCell ref="S391:S392"/>
    <mergeCell ref="S394:S402"/>
    <mergeCell ref="S403:S417"/>
    <mergeCell ref="S418:S421"/>
    <mergeCell ref="S423:S430"/>
    <mergeCell ref="S431:S440"/>
    <mergeCell ref="S441:S451"/>
    <mergeCell ref="S453:S454"/>
    <mergeCell ref="S455:S456"/>
    <mergeCell ref="S457:S458"/>
    <mergeCell ref="S459:S460"/>
    <mergeCell ref="S263:S270"/>
    <mergeCell ref="S271:S272"/>
    <mergeCell ref="S273:S276"/>
    <mergeCell ref="S277:S280"/>
    <mergeCell ref="S281:S285"/>
    <mergeCell ref="S287:S290"/>
    <mergeCell ref="S291:S298"/>
    <mergeCell ref="S299:S306"/>
    <mergeCell ref="S307:S312"/>
    <mergeCell ref="S313:S321"/>
    <mergeCell ref="S322:S325"/>
    <mergeCell ref="S326:S330"/>
    <mergeCell ref="S331:S336"/>
    <mergeCell ref="S338:S343"/>
    <mergeCell ref="S344:S347"/>
    <mergeCell ref="S348:S351"/>
    <mergeCell ref="S352:S358"/>
    <mergeCell ref="S161:S164"/>
    <mergeCell ref="S165:S175"/>
    <mergeCell ref="S176:S179"/>
    <mergeCell ref="S180:S186"/>
    <mergeCell ref="S187:S191"/>
    <mergeCell ref="S192:S198"/>
    <mergeCell ref="S199:S201"/>
    <mergeCell ref="S202:S209"/>
    <mergeCell ref="S210:S211"/>
    <mergeCell ref="S212:S219"/>
    <mergeCell ref="S221:S231"/>
    <mergeCell ref="S232:S234"/>
    <mergeCell ref="S236:S246"/>
    <mergeCell ref="S247:S252"/>
    <mergeCell ref="S253:S256"/>
    <mergeCell ref="S257:S259"/>
    <mergeCell ref="S260:S262"/>
    <mergeCell ref="M1508:M1509"/>
    <mergeCell ref="M1510:M1513"/>
    <mergeCell ref="M1514:M1515"/>
    <mergeCell ref="M1516:M1518"/>
    <mergeCell ref="S2:S5"/>
    <mergeCell ref="S6:S27"/>
    <mergeCell ref="S28:S30"/>
    <mergeCell ref="S31:S37"/>
    <mergeCell ref="S38:S39"/>
    <mergeCell ref="S40:S45"/>
    <mergeCell ref="S46:S50"/>
    <mergeCell ref="S51:S54"/>
    <mergeCell ref="S55:S60"/>
    <mergeCell ref="S61:S64"/>
    <mergeCell ref="S65:S67"/>
    <mergeCell ref="S68:S70"/>
    <mergeCell ref="S71:S78"/>
    <mergeCell ref="S79:S85"/>
    <mergeCell ref="S86:S89"/>
    <mergeCell ref="S90:S95"/>
    <mergeCell ref="S96:S98"/>
    <mergeCell ref="S99:S104"/>
    <mergeCell ref="S105:S107"/>
    <mergeCell ref="S108:S111"/>
    <mergeCell ref="S112:S121"/>
    <mergeCell ref="S122:S125"/>
    <mergeCell ref="S126:S134"/>
    <mergeCell ref="S135:S138"/>
    <mergeCell ref="S139:S144"/>
    <mergeCell ref="S145:S147"/>
    <mergeCell ref="S148:S154"/>
    <mergeCell ref="S155:S160"/>
    <mergeCell ref="M1438:M1439"/>
    <mergeCell ref="M1440:M1442"/>
    <mergeCell ref="M1443:M1444"/>
    <mergeCell ref="M1445:M1446"/>
    <mergeCell ref="M1448:M1449"/>
    <mergeCell ref="M1450:M1454"/>
    <mergeCell ref="M1456:M1460"/>
    <mergeCell ref="M1461:M1466"/>
    <mergeCell ref="M1468:M1472"/>
    <mergeCell ref="M1474:M1476"/>
    <mergeCell ref="M1477:M1479"/>
    <mergeCell ref="M1480:M1483"/>
    <mergeCell ref="M1484:M1487"/>
    <mergeCell ref="M1490:M1493"/>
    <mergeCell ref="M1494:M1497"/>
    <mergeCell ref="M1501:M1502"/>
    <mergeCell ref="M1505:M1506"/>
    <mergeCell ref="M1364:M1365"/>
    <mergeCell ref="M1366:M1368"/>
    <mergeCell ref="M1370:M1371"/>
    <mergeCell ref="M1374:M1379"/>
    <mergeCell ref="M1381:M1389"/>
    <mergeCell ref="M1390:M1392"/>
    <mergeCell ref="M1394:M1396"/>
    <mergeCell ref="M1397:M1401"/>
    <mergeCell ref="M1402:M1405"/>
    <mergeCell ref="M1406:M1408"/>
    <mergeCell ref="M1412:M1416"/>
    <mergeCell ref="M1417:M1419"/>
    <mergeCell ref="M1421:M1422"/>
    <mergeCell ref="M1423:M1426"/>
    <mergeCell ref="M1427:M1429"/>
    <mergeCell ref="M1430:M1432"/>
    <mergeCell ref="M1435:M1437"/>
    <mergeCell ref="M1285:M1294"/>
    <mergeCell ref="M1295:M1298"/>
    <mergeCell ref="M1299:M1301"/>
    <mergeCell ref="M1302:M1307"/>
    <mergeCell ref="M1308:M1309"/>
    <mergeCell ref="M1310:M1314"/>
    <mergeCell ref="M1316:M1317"/>
    <mergeCell ref="M1319:M1322"/>
    <mergeCell ref="M1323:M1330"/>
    <mergeCell ref="M1331:M1333"/>
    <mergeCell ref="M1335:M1337"/>
    <mergeCell ref="M1338:M1340"/>
    <mergeCell ref="M1343:M1344"/>
    <mergeCell ref="M1347:M1348"/>
    <mergeCell ref="M1349:M1351"/>
    <mergeCell ref="M1352:M1356"/>
    <mergeCell ref="M1358:M1363"/>
    <mergeCell ref="M1203:M1211"/>
    <mergeCell ref="M1212:M1220"/>
    <mergeCell ref="M1221:M1226"/>
    <mergeCell ref="M1227:M1231"/>
    <mergeCell ref="M1233:M1234"/>
    <mergeCell ref="M1235:M1239"/>
    <mergeCell ref="M1240:M1241"/>
    <mergeCell ref="M1242:M1245"/>
    <mergeCell ref="M1246:M1248"/>
    <mergeCell ref="M1249:M1250"/>
    <mergeCell ref="M1253:M1260"/>
    <mergeCell ref="M1263:M1265"/>
    <mergeCell ref="M1267:M1270"/>
    <mergeCell ref="M1271:M1275"/>
    <mergeCell ref="M1276:M1279"/>
    <mergeCell ref="M1281:M1282"/>
    <mergeCell ref="M1283:M1284"/>
    <mergeCell ref="M1126:M1127"/>
    <mergeCell ref="M1128:M1130"/>
    <mergeCell ref="M1131:M1135"/>
    <mergeCell ref="M1137:M1140"/>
    <mergeCell ref="M1141:M1144"/>
    <mergeCell ref="M1152:M1154"/>
    <mergeCell ref="M1155:M1156"/>
    <mergeCell ref="M1158:M1165"/>
    <mergeCell ref="M1166:M1172"/>
    <mergeCell ref="M1173:M1175"/>
    <mergeCell ref="M1176:M1179"/>
    <mergeCell ref="M1180:M1184"/>
    <mergeCell ref="M1186:M1189"/>
    <mergeCell ref="M1190:M1194"/>
    <mergeCell ref="M1195:M1196"/>
    <mergeCell ref="M1197:M1199"/>
    <mergeCell ref="M1201:M1202"/>
    <mergeCell ref="M1053:M1054"/>
    <mergeCell ref="M1055:M1056"/>
    <mergeCell ref="M1057:M1059"/>
    <mergeCell ref="M1060:M1065"/>
    <mergeCell ref="M1066:M1068"/>
    <mergeCell ref="M1069:M1072"/>
    <mergeCell ref="M1073:M1077"/>
    <mergeCell ref="M1078:M1082"/>
    <mergeCell ref="M1083:M1085"/>
    <mergeCell ref="M1087:M1094"/>
    <mergeCell ref="M1095:M1102"/>
    <mergeCell ref="M1103:M1107"/>
    <mergeCell ref="M1108:M1109"/>
    <mergeCell ref="M1110:M1112"/>
    <mergeCell ref="M1113:M1119"/>
    <mergeCell ref="M1120:M1121"/>
    <mergeCell ref="M1122:M1124"/>
    <mergeCell ref="M965:M967"/>
    <mergeCell ref="M968:M969"/>
    <mergeCell ref="M971:M972"/>
    <mergeCell ref="M973:M977"/>
    <mergeCell ref="M978:M981"/>
    <mergeCell ref="M982:M984"/>
    <mergeCell ref="M985:M991"/>
    <mergeCell ref="M992:M996"/>
    <mergeCell ref="M997:M998"/>
    <mergeCell ref="M1000:M1003"/>
    <mergeCell ref="M1005:M1012"/>
    <mergeCell ref="M1013:M1019"/>
    <mergeCell ref="M1020:M1022"/>
    <mergeCell ref="M1023:M1029"/>
    <mergeCell ref="M1030:M1036"/>
    <mergeCell ref="M1037:M1041"/>
    <mergeCell ref="M1042:M1052"/>
    <mergeCell ref="M889:M890"/>
    <mergeCell ref="M891:M893"/>
    <mergeCell ref="M894:M898"/>
    <mergeCell ref="M899:M903"/>
    <mergeCell ref="M905:M906"/>
    <mergeCell ref="M907:M912"/>
    <mergeCell ref="M913:M917"/>
    <mergeCell ref="M919:M920"/>
    <mergeCell ref="M922:M932"/>
    <mergeCell ref="M933:M934"/>
    <mergeCell ref="M935:M939"/>
    <mergeCell ref="M940:M947"/>
    <mergeCell ref="M948:M949"/>
    <mergeCell ref="M951:M954"/>
    <mergeCell ref="M955:M956"/>
    <mergeCell ref="M957:M961"/>
    <mergeCell ref="M963:M964"/>
    <mergeCell ref="M776:M781"/>
    <mergeCell ref="M783:M790"/>
    <mergeCell ref="M792:M797"/>
    <mergeCell ref="M798:M799"/>
    <mergeCell ref="M802:M809"/>
    <mergeCell ref="M811:M819"/>
    <mergeCell ref="M821:M826"/>
    <mergeCell ref="M827:M828"/>
    <mergeCell ref="M829:M830"/>
    <mergeCell ref="M831:M836"/>
    <mergeCell ref="M837:M848"/>
    <mergeCell ref="M849:M850"/>
    <mergeCell ref="M854:M855"/>
    <mergeCell ref="M856:M864"/>
    <mergeCell ref="M865:M869"/>
    <mergeCell ref="M871:M873"/>
    <mergeCell ref="M874:M888"/>
    <mergeCell ref="M691:M695"/>
    <mergeCell ref="M696:M698"/>
    <mergeCell ref="M699:M708"/>
    <mergeCell ref="M709:M720"/>
    <mergeCell ref="M721:M725"/>
    <mergeCell ref="M727:M730"/>
    <mergeCell ref="M731:M733"/>
    <mergeCell ref="M734:M736"/>
    <mergeCell ref="M737:M742"/>
    <mergeCell ref="M743:M744"/>
    <mergeCell ref="M745:M747"/>
    <mergeCell ref="M748:M754"/>
    <mergeCell ref="M755:M757"/>
    <mergeCell ref="M758:M760"/>
    <mergeCell ref="M761:M768"/>
    <mergeCell ref="M769:M772"/>
    <mergeCell ref="M773:M775"/>
    <mergeCell ref="M573:M585"/>
    <mergeCell ref="M586:M589"/>
    <mergeCell ref="M590:M599"/>
    <mergeCell ref="M600:M611"/>
    <mergeCell ref="M612:M616"/>
    <mergeCell ref="M617:M636"/>
    <mergeCell ref="M637:M642"/>
    <mergeCell ref="M645:M654"/>
    <mergeCell ref="M655:M657"/>
    <mergeCell ref="M659:M664"/>
    <mergeCell ref="M665:M666"/>
    <mergeCell ref="M667:M669"/>
    <mergeCell ref="M670:M677"/>
    <mergeCell ref="M678:M681"/>
    <mergeCell ref="M682:M686"/>
    <mergeCell ref="M687:M688"/>
    <mergeCell ref="M689:M690"/>
    <mergeCell ref="M494:M496"/>
    <mergeCell ref="M498:M501"/>
    <mergeCell ref="M502:M508"/>
    <mergeCell ref="M509:M512"/>
    <mergeCell ref="M514:M518"/>
    <mergeCell ref="M519:M523"/>
    <mergeCell ref="M524:M525"/>
    <mergeCell ref="M526:M530"/>
    <mergeCell ref="M531:M532"/>
    <mergeCell ref="M533:M544"/>
    <mergeCell ref="M546:M551"/>
    <mergeCell ref="M552:M554"/>
    <mergeCell ref="M555:M559"/>
    <mergeCell ref="M560:M562"/>
    <mergeCell ref="M563:M567"/>
    <mergeCell ref="M568:M569"/>
    <mergeCell ref="M570:M572"/>
    <mergeCell ref="M391:M392"/>
    <mergeCell ref="M394:M402"/>
    <mergeCell ref="M403:M417"/>
    <mergeCell ref="M418:M421"/>
    <mergeCell ref="M423:M430"/>
    <mergeCell ref="M431:M440"/>
    <mergeCell ref="M441:M451"/>
    <mergeCell ref="M453:M454"/>
    <mergeCell ref="M455:M456"/>
    <mergeCell ref="M457:M458"/>
    <mergeCell ref="M459:M460"/>
    <mergeCell ref="M461:M471"/>
    <mergeCell ref="M472:M477"/>
    <mergeCell ref="M478:M479"/>
    <mergeCell ref="M480:M481"/>
    <mergeCell ref="M484:M486"/>
    <mergeCell ref="M487:M493"/>
    <mergeCell ref="M291:M298"/>
    <mergeCell ref="M299:M306"/>
    <mergeCell ref="M307:M312"/>
    <mergeCell ref="M313:M321"/>
    <mergeCell ref="M322:M325"/>
    <mergeCell ref="M326:M330"/>
    <mergeCell ref="M331:M336"/>
    <mergeCell ref="M338:M343"/>
    <mergeCell ref="M344:M347"/>
    <mergeCell ref="M348:M351"/>
    <mergeCell ref="M352:M358"/>
    <mergeCell ref="M359:M360"/>
    <mergeCell ref="M361:M364"/>
    <mergeCell ref="M365:M369"/>
    <mergeCell ref="M370:M373"/>
    <mergeCell ref="M375:M382"/>
    <mergeCell ref="M387:M389"/>
    <mergeCell ref="M199:M201"/>
    <mergeCell ref="M202:M209"/>
    <mergeCell ref="M210:M211"/>
    <mergeCell ref="M212:M219"/>
    <mergeCell ref="M221:M231"/>
    <mergeCell ref="M232:M234"/>
    <mergeCell ref="M236:M246"/>
    <mergeCell ref="M247:M252"/>
    <mergeCell ref="M253:M256"/>
    <mergeCell ref="M257:M259"/>
    <mergeCell ref="M260:M262"/>
    <mergeCell ref="M263:M270"/>
    <mergeCell ref="M271:M272"/>
    <mergeCell ref="M273:M276"/>
    <mergeCell ref="M277:M280"/>
    <mergeCell ref="M281:M285"/>
    <mergeCell ref="M287:M290"/>
    <mergeCell ref="M99:M104"/>
    <mergeCell ref="M105:M107"/>
    <mergeCell ref="M108:M111"/>
    <mergeCell ref="M112:M121"/>
    <mergeCell ref="M122:M125"/>
    <mergeCell ref="M126:M134"/>
    <mergeCell ref="M135:M138"/>
    <mergeCell ref="M139:M144"/>
    <mergeCell ref="M145:M147"/>
    <mergeCell ref="M148:M154"/>
    <mergeCell ref="M155:M160"/>
    <mergeCell ref="M161:M164"/>
    <mergeCell ref="M165:M175"/>
    <mergeCell ref="M176:M179"/>
    <mergeCell ref="M180:M186"/>
    <mergeCell ref="M187:M191"/>
    <mergeCell ref="M192:M198"/>
    <mergeCell ref="L1456:L1460"/>
    <mergeCell ref="L1461:L1466"/>
    <mergeCell ref="L1468:L1472"/>
    <mergeCell ref="L1474:L1476"/>
    <mergeCell ref="L1477:L1479"/>
    <mergeCell ref="L1480:L1483"/>
    <mergeCell ref="L1484:L1487"/>
    <mergeCell ref="L1490:L1493"/>
    <mergeCell ref="L1494:L1497"/>
    <mergeCell ref="L1501:L1502"/>
    <mergeCell ref="L1505:L1506"/>
    <mergeCell ref="L1508:L1509"/>
    <mergeCell ref="L1510:L1513"/>
    <mergeCell ref="L1514:L1515"/>
    <mergeCell ref="L1516:L1518"/>
    <mergeCell ref="M2:M5"/>
    <mergeCell ref="M6:M27"/>
    <mergeCell ref="M28:M30"/>
    <mergeCell ref="M31:M37"/>
    <mergeCell ref="M38:M39"/>
    <mergeCell ref="M40:M45"/>
    <mergeCell ref="M46:M50"/>
    <mergeCell ref="M51:M54"/>
    <mergeCell ref="M55:M60"/>
    <mergeCell ref="M61:M64"/>
    <mergeCell ref="M65:M67"/>
    <mergeCell ref="M68:M70"/>
    <mergeCell ref="M71:M78"/>
    <mergeCell ref="M79:M85"/>
    <mergeCell ref="M86:M89"/>
    <mergeCell ref="M90:M95"/>
    <mergeCell ref="M96:M98"/>
    <mergeCell ref="L1394:L1396"/>
    <mergeCell ref="L1397:L1401"/>
    <mergeCell ref="L1402:L1405"/>
    <mergeCell ref="L1406:L1408"/>
    <mergeCell ref="L1412:L1416"/>
    <mergeCell ref="L1417:L1419"/>
    <mergeCell ref="L1421:L1422"/>
    <mergeCell ref="L1423:L1426"/>
    <mergeCell ref="L1427:L1429"/>
    <mergeCell ref="L1430:L1432"/>
    <mergeCell ref="L1435:L1437"/>
    <mergeCell ref="L1438:L1439"/>
    <mergeCell ref="L1440:L1442"/>
    <mergeCell ref="L1443:L1444"/>
    <mergeCell ref="L1445:L1446"/>
    <mergeCell ref="L1448:L1449"/>
    <mergeCell ref="L1450:L1454"/>
    <mergeCell ref="L1316:L1317"/>
    <mergeCell ref="L1319:L1322"/>
    <mergeCell ref="L1323:L1330"/>
    <mergeCell ref="L1331:L1333"/>
    <mergeCell ref="L1335:L1337"/>
    <mergeCell ref="L1338:L1340"/>
    <mergeCell ref="L1343:L1344"/>
    <mergeCell ref="L1347:L1348"/>
    <mergeCell ref="L1349:L1351"/>
    <mergeCell ref="L1352:L1356"/>
    <mergeCell ref="L1358:L1363"/>
    <mergeCell ref="L1364:L1365"/>
    <mergeCell ref="L1366:L1368"/>
    <mergeCell ref="L1370:L1371"/>
    <mergeCell ref="L1374:L1379"/>
    <mergeCell ref="L1381:L1389"/>
    <mergeCell ref="L1390:L1392"/>
    <mergeCell ref="L1240:L1241"/>
    <mergeCell ref="L1242:L1245"/>
    <mergeCell ref="L1246:L1248"/>
    <mergeCell ref="L1249:L1250"/>
    <mergeCell ref="L1253:L1260"/>
    <mergeCell ref="L1263:L1265"/>
    <mergeCell ref="L1267:L1270"/>
    <mergeCell ref="L1271:L1275"/>
    <mergeCell ref="L1276:L1279"/>
    <mergeCell ref="L1281:L1282"/>
    <mergeCell ref="L1283:L1284"/>
    <mergeCell ref="L1285:L1294"/>
    <mergeCell ref="L1295:L1298"/>
    <mergeCell ref="L1299:L1301"/>
    <mergeCell ref="L1302:L1307"/>
    <mergeCell ref="L1308:L1309"/>
    <mergeCell ref="L1310:L1314"/>
    <mergeCell ref="L1155:L1156"/>
    <mergeCell ref="L1158:L1165"/>
    <mergeCell ref="L1166:L1172"/>
    <mergeCell ref="L1173:L1175"/>
    <mergeCell ref="L1176:L1179"/>
    <mergeCell ref="L1180:L1184"/>
    <mergeCell ref="L1186:L1189"/>
    <mergeCell ref="L1190:L1194"/>
    <mergeCell ref="L1195:L1196"/>
    <mergeCell ref="L1197:L1199"/>
    <mergeCell ref="L1201:L1202"/>
    <mergeCell ref="L1203:L1211"/>
    <mergeCell ref="L1212:L1220"/>
    <mergeCell ref="L1221:L1226"/>
    <mergeCell ref="L1227:L1231"/>
    <mergeCell ref="L1233:L1234"/>
    <mergeCell ref="L1235:L1239"/>
    <mergeCell ref="L1073:L1077"/>
    <mergeCell ref="L1078:L1082"/>
    <mergeCell ref="L1083:L1085"/>
    <mergeCell ref="L1087:L1094"/>
    <mergeCell ref="L1095:L1102"/>
    <mergeCell ref="L1103:L1107"/>
    <mergeCell ref="L1108:L1109"/>
    <mergeCell ref="L1110:L1112"/>
    <mergeCell ref="L1113:L1119"/>
    <mergeCell ref="L1120:L1121"/>
    <mergeCell ref="L1122:L1124"/>
    <mergeCell ref="L1126:L1127"/>
    <mergeCell ref="L1128:L1130"/>
    <mergeCell ref="L1131:L1135"/>
    <mergeCell ref="L1137:L1140"/>
    <mergeCell ref="L1141:L1144"/>
    <mergeCell ref="L1152:L1154"/>
    <mergeCell ref="L985:L991"/>
    <mergeCell ref="L992:L996"/>
    <mergeCell ref="L997:L998"/>
    <mergeCell ref="L1000:L1003"/>
    <mergeCell ref="L1005:L1012"/>
    <mergeCell ref="L1013:L1019"/>
    <mergeCell ref="L1020:L1022"/>
    <mergeCell ref="L1023:L1029"/>
    <mergeCell ref="L1030:L1036"/>
    <mergeCell ref="L1037:L1041"/>
    <mergeCell ref="L1042:L1052"/>
    <mergeCell ref="L1053:L1054"/>
    <mergeCell ref="L1055:L1056"/>
    <mergeCell ref="L1057:L1059"/>
    <mergeCell ref="L1060:L1065"/>
    <mergeCell ref="L1066:L1068"/>
    <mergeCell ref="L1069:L1072"/>
    <mergeCell ref="L913:L917"/>
    <mergeCell ref="L919:L920"/>
    <mergeCell ref="L922:L932"/>
    <mergeCell ref="L933:L934"/>
    <mergeCell ref="L935:L939"/>
    <mergeCell ref="L940:L947"/>
    <mergeCell ref="L948:L949"/>
    <mergeCell ref="L951:L954"/>
    <mergeCell ref="L955:L956"/>
    <mergeCell ref="L957:L961"/>
    <mergeCell ref="L963:L964"/>
    <mergeCell ref="L965:L967"/>
    <mergeCell ref="L968:L969"/>
    <mergeCell ref="L971:L972"/>
    <mergeCell ref="L973:L977"/>
    <mergeCell ref="L978:L981"/>
    <mergeCell ref="L982:L984"/>
    <mergeCell ref="L821:L826"/>
    <mergeCell ref="L827:L828"/>
    <mergeCell ref="L829:L830"/>
    <mergeCell ref="L831:L836"/>
    <mergeCell ref="L837:L848"/>
    <mergeCell ref="L849:L850"/>
    <mergeCell ref="L854:L855"/>
    <mergeCell ref="L856:L864"/>
    <mergeCell ref="L865:L869"/>
    <mergeCell ref="L871:L873"/>
    <mergeCell ref="L874:L888"/>
    <mergeCell ref="L889:L890"/>
    <mergeCell ref="L891:L893"/>
    <mergeCell ref="L894:L898"/>
    <mergeCell ref="L899:L903"/>
    <mergeCell ref="L905:L906"/>
    <mergeCell ref="L907:L912"/>
    <mergeCell ref="L731:L733"/>
    <mergeCell ref="L734:L736"/>
    <mergeCell ref="L737:L742"/>
    <mergeCell ref="L743:L744"/>
    <mergeCell ref="L745:L747"/>
    <mergeCell ref="L748:L754"/>
    <mergeCell ref="L755:L757"/>
    <mergeCell ref="L758:L760"/>
    <mergeCell ref="L761:L768"/>
    <mergeCell ref="L769:L772"/>
    <mergeCell ref="L773:L775"/>
    <mergeCell ref="L776:L781"/>
    <mergeCell ref="L783:L790"/>
    <mergeCell ref="L792:L797"/>
    <mergeCell ref="L798:L799"/>
    <mergeCell ref="L802:L809"/>
    <mergeCell ref="L811:L819"/>
    <mergeCell ref="L637:L642"/>
    <mergeCell ref="L645:L654"/>
    <mergeCell ref="L655:L657"/>
    <mergeCell ref="L659:L664"/>
    <mergeCell ref="L665:L666"/>
    <mergeCell ref="L667:L669"/>
    <mergeCell ref="L670:L677"/>
    <mergeCell ref="L678:L681"/>
    <mergeCell ref="L682:L686"/>
    <mergeCell ref="L687:L688"/>
    <mergeCell ref="L689:L690"/>
    <mergeCell ref="L691:L695"/>
    <mergeCell ref="L696:L698"/>
    <mergeCell ref="L699:L708"/>
    <mergeCell ref="L709:L720"/>
    <mergeCell ref="L721:L725"/>
    <mergeCell ref="L727:L730"/>
    <mergeCell ref="L524:L525"/>
    <mergeCell ref="L526:L530"/>
    <mergeCell ref="L531:L532"/>
    <mergeCell ref="L533:L544"/>
    <mergeCell ref="L546:L551"/>
    <mergeCell ref="L552:L554"/>
    <mergeCell ref="L555:L559"/>
    <mergeCell ref="L560:L562"/>
    <mergeCell ref="L563:L567"/>
    <mergeCell ref="L568:L569"/>
    <mergeCell ref="L570:L572"/>
    <mergeCell ref="L573:L585"/>
    <mergeCell ref="L586:L589"/>
    <mergeCell ref="L590:L599"/>
    <mergeCell ref="L600:L611"/>
    <mergeCell ref="L612:L616"/>
    <mergeCell ref="L617:L636"/>
    <mergeCell ref="L441:L451"/>
    <mergeCell ref="L453:L454"/>
    <mergeCell ref="L455:L456"/>
    <mergeCell ref="L457:L458"/>
    <mergeCell ref="L459:L460"/>
    <mergeCell ref="L461:L471"/>
    <mergeCell ref="L472:L477"/>
    <mergeCell ref="L478:L479"/>
    <mergeCell ref="L480:L481"/>
    <mergeCell ref="L484:L486"/>
    <mergeCell ref="L487:L493"/>
    <mergeCell ref="L494:L496"/>
    <mergeCell ref="L498:L501"/>
    <mergeCell ref="L502:L508"/>
    <mergeCell ref="L509:L512"/>
    <mergeCell ref="L514:L518"/>
    <mergeCell ref="L519:L523"/>
    <mergeCell ref="L331:L336"/>
    <mergeCell ref="L338:L343"/>
    <mergeCell ref="L344:L347"/>
    <mergeCell ref="L348:L351"/>
    <mergeCell ref="L352:L358"/>
    <mergeCell ref="L359:L360"/>
    <mergeCell ref="L361:L364"/>
    <mergeCell ref="L365:L369"/>
    <mergeCell ref="L370:L373"/>
    <mergeCell ref="L375:L382"/>
    <mergeCell ref="L387:L389"/>
    <mergeCell ref="L391:L392"/>
    <mergeCell ref="L394:L402"/>
    <mergeCell ref="L403:L417"/>
    <mergeCell ref="L418:L421"/>
    <mergeCell ref="L423:L430"/>
    <mergeCell ref="L431:L440"/>
    <mergeCell ref="L236:L246"/>
    <mergeCell ref="L247:L252"/>
    <mergeCell ref="L253:L256"/>
    <mergeCell ref="L257:L259"/>
    <mergeCell ref="L260:L262"/>
    <mergeCell ref="L263:L270"/>
    <mergeCell ref="L271:L272"/>
    <mergeCell ref="L273:L276"/>
    <mergeCell ref="L277:L280"/>
    <mergeCell ref="L281:L285"/>
    <mergeCell ref="L287:L290"/>
    <mergeCell ref="L291:L298"/>
    <mergeCell ref="L299:L306"/>
    <mergeCell ref="L307:L312"/>
    <mergeCell ref="L313:L321"/>
    <mergeCell ref="L322:L325"/>
    <mergeCell ref="L326:L330"/>
    <mergeCell ref="L135:L138"/>
    <mergeCell ref="L139:L144"/>
    <mergeCell ref="L145:L147"/>
    <mergeCell ref="L148:L154"/>
    <mergeCell ref="L155:L160"/>
    <mergeCell ref="L161:L164"/>
    <mergeCell ref="L165:L175"/>
    <mergeCell ref="L176:L179"/>
    <mergeCell ref="L180:L186"/>
    <mergeCell ref="L187:L191"/>
    <mergeCell ref="L192:L198"/>
    <mergeCell ref="L199:L201"/>
    <mergeCell ref="L202:L209"/>
    <mergeCell ref="L210:L211"/>
    <mergeCell ref="L212:L219"/>
    <mergeCell ref="L221:L231"/>
    <mergeCell ref="L232:L234"/>
    <mergeCell ref="J1484:J1487"/>
    <mergeCell ref="J1490:J1493"/>
    <mergeCell ref="J1494:J1497"/>
    <mergeCell ref="J1501:J1502"/>
    <mergeCell ref="J1505:J1506"/>
    <mergeCell ref="J1508:J1509"/>
    <mergeCell ref="J1510:J1513"/>
    <mergeCell ref="J1514:J1515"/>
    <mergeCell ref="J1516:J1518"/>
    <mergeCell ref="L2:L5"/>
    <mergeCell ref="L6:L27"/>
    <mergeCell ref="L28:L30"/>
    <mergeCell ref="L31:L37"/>
    <mergeCell ref="L38:L39"/>
    <mergeCell ref="L40:L45"/>
    <mergeCell ref="L46:L50"/>
    <mergeCell ref="L51:L54"/>
    <mergeCell ref="L55:L60"/>
    <mergeCell ref="L61:L64"/>
    <mergeCell ref="L65:L67"/>
    <mergeCell ref="L68:L70"/>
    <mergeCell ref="L71:L78"/>
    <mergeCell ref="L79:L85"/>
    <mergeCell ref="L86:L89"/>
    <mergeCell ref="L90:L95"/>
    <mergeCell ref="L96:L98"/>
    <mergeCell ref="L99:L104"/>
    <mergeCell ref="L105:L107"/>
    <mergeCell ref="L108:L111"/>
    <mergeCell ref="L112:L121"/>
    <mergeCell ref="L122:L125"/>
    <mergeCell ref="L126:L134"/>
    <mergeCell ref="J1421:J1422"/>
    <mergeCell ref="J1423:J1426"/>
    <mergeCell ref="J1427:J1429"/>
    <mergeCell ref="J1430:J1432"/>
    <mergeCell ref="J1435:J1437"/>
    <mergeCell ref="J1438:J1439"/>
    <mergeCell ref="J1440:J1442"/>
    <mergeCell ref="J1443:J1444"/>
    <mergeCell ref="J1445:J1446"/>
    <mergeCell ref="J1448:J1449"/>
    <mergeCell ref="J1450:J1454"/>
    <mergeCell ref="J1456:J1460"/>
    <mergeCell ref="J1461:J1466"/>
    <mergeCell ref="J1468:J1472"/>
    <mergeCell ref="J1474:J1476"/>
    <mergeCell ref="J1477:J1479"/>
    <mergeCell ref="J1480:J1483"/>
    <mergeCell ref="J1343:J1344"/>
    <mergeCell ref="J1347:J1348"/>
    <mergeCell ref="J1349:J1351"/>
    <mergeCell ref="J1352:J1356"/>
    <mergeCell ref="J1358:J1363"/>
    <mergeCell ref="J1364:J1365"/>
    <mergeCell ref="J1366:J1368"/>
    <mergeCell ref="J1370:J1371"/>
    <mergeCell ref="J1374:J1379"/>
    <mergeCell ref="J1381:J1389"/>
    <mergeCell ref="J1390:J1392"/>
    <mergeCell ref="J1394:J1396"/>
    <mergeCell ref="J1397:J1401"/>
    <mergeCell ref="J1402:J1405"/>
    <mergeCell ref="J1406:J1408"/>
    <mergeCell ref="J1412:J1416"/>
    <mergeCell ref="J1417:J1419"/>
    <mergeCell ref="J1267:J1270"/>
    <mergeCell ref="J1271:J1275"/>
    <mergeCell ref="J1276:J1279"/>
    <mergeCell ref="J1281:J1282"/>
    <mergeCell ref="J1283:J1284"/>
    <mergeCell ref="J1285:J1294"/>
    <mergeCell ref="J1295:J1298"/>
    <mergeCell ref="J1299:J1301"/>
    <mergeCell ref="J1302:J1307"/>
    <mergeCell ref="J1308:J1309"/>
    <mergeCell ref="J1310:J1314"/>
    <mergeCell ref="J1316:J1317"/>
    <mergeCell ref="J1319:J1322"/>
    <mergeCell ref="J1323:J1330"/>
    <mergeCell ref="J1331:J1333"/>
    <mergeCell ref="J1335:J1337"/>
    <mergeCell ref="J1338:J1340"/>
    <mergeCell ref="J1186:J1189"/>
    <mergeCell ref="J1190:J1194"/>
    <mergeCell ref="J1195:J1196"/>
    <mergeCell ref="J1197:J1199"/>
    <mergeCell ref="J1201:J1202"/>
    <mergeCell ref="J1203:J1211"/>
    <mergeCell ref="J1212:J1220"/>
    <mergeCell ref="J1221:J1226"/>
    <mergeCell ref="J1227:J1231"/>
    <mergeCell ref="J1233:J1234"/>
    <mergeCell ref="J1235:J1239"/>
    <mergeCell ref="J1240:J1241"/>
    <mergeCell ref="J1242:J1245"/>
    <mergeCell ref="J1246:J1248"/>
    <mergeCell ref="J1249:J1250"/>
    <mergeCell ref="J1253:J1260"/>
    <mergeCell ref="J1263:J1265"/>
    <mergeCell ref="J1108:J1109"/>
    <mergeCell ref="J1110:J1112"/>
    <mergeCell ref="J1113:J1119"/>
    <mergeCell ref="J1120:J1121"/>
    <mergeCell ref="J1122:J1124"/>
    <mergeCell ref="J1126:J1127"/>
    <mergeCell ref="J1128:J1130"/>
    <mergeCell ref="J1131:J1135"/>
    <mergeCell ref="J1137:J1140"/>
    <mergeCell ref="J1141:J1144"/>
    <mergeCell ref="J1152:J1154"/>
    <mergeCell ref="J1155:J1156"/>
    <mergeCell ref="J1158:J1165"/>
    <mergeCell ref="J1166:J1172"/>
    <mergeCell ref="J1173:J1175"/>
    <mergeCell ref="J1176:J1179"/>
    <mergeCell ref="J1180:J1184"/>
    <mergeCell ref="J1020:J1022"/>
    <mergeCell ref="J1023:J1029"/>
    <mergeCell ref="J1030:J1036"/>
    <mergeCell ref="J1037:J1041"/>
    <mergeCell ref="J1042:J1052"/>
    <mergeCell ref="J1053:J1054"/>
    <mergeCell ref="J1055:J1056"/>
    <mergeCell ref="J1057:J1059"/>
    <mergeCell ref="J1060:J1065"/>
    <mergeCell ref="J1066:J1068"/>
    <mergeCell ref="J1069:J1072"/>
    <mergeCell ref="J1073:J1077"/>
    <mergeCell ref="J1078:J1082"/>
    <mergeCell ref="J1083:J1085"/>
    <mergeCell ref="J1087:J1094"/>
    <mergeCell ref="J1095:J1102"/>
    <mergeCell ref="J1103:J1107"/>
    <mergeCell ref="J948:J949"/>
    <mergeCell ref="J951:J954"/>
    <mergeCell ref="J955:J956"/>
    <mergeCell ref="J957:J961"/>
    <mergeCell ref="J963:J964"/>
    <mergeCell ref="J965:J967"/>
    <mergeCell ref="J968:J969"/>
    <mergeCell ref="J971:J972"/>
    <mergeCell ref="J973:J977"/>
    <mergeCell ref="J978:J981"/>
    <mergeCell ref="J982:J984"/>
    <mergeCell ref="J985:J991"/>
    <mergeCell ref="J992:J996"/>
    <mergeCell ref="J997:J998"/>
    <mergeCell ref="J1000:J1003"/>
    <mergeCell ref="J1005:J1012"/>
    <mergeCell ref="J1013:J1019"/>
    <mergeCell ref="J854:J855"/>
    <mergeCell ref="J856:J864"/>
    <mergeCell ref="J865:J869"/>
    <mergeCell ref="J871:J873"/>
    <mergeCell ref="J874:J888"/>
    <mergeCell ref="J889:J890"/>
    <mergeCell ref="J891:J893"/>
    <mergeCell ref="J894:J898"/>
    <mergeCell ref="J899:J903"/>
    <mergeCell ref="J905:J906"/>
    <mergeCell ref="J907:J912"/>
    <mergeCell ref="J913:J917"/>
    <mergeCell ref="J919:J920"/>
    <mergeCell ref="J922:J932"/>
    <mergeCell ref="J933:J934"/>
    <mergeCell ref="J935:J939"/>
    <mergeCell ref="J940:J947"/>
    <mergeCell ref="J755:J757"/>
    <mergeCell ref="J758:J760"/>
    <mergeCell ref="J761:J768"/>
    <mergeCell ref="J769:J772"/>
    <mergeCell ref="J773:J775"/>
    <mergeCell ref="J776:J781"/>
    <mergeCell ref="J783:J790"/>
    <mergeCell ref="J792:J797"/>
    <mergeCell ref="J798:J799"/>
    <mergeCell ref="J802:J809"/>
    <mergeCell ref="J811:J819"/>
    <mergeCell ref="J821:J826"/>
    <mergeCell ref="J827:J828"/>
    <mergeCell ref="J829:J830"/>
    <mergeCell ref="J831:J836"/>
    <mergeCell ref="J837:J848"/>
    <mergeCell ref="J849:J850"/>
    <mergeCell ref="J670:J677"/>
    <mergeCell ref="J678:J681"/>
    <mergeCell ref="J682:J686"/>
    <mergeCell ref="J687:J688"/>
    <mergeCell ref="J689:J690"/>
    <mergeCell ref="J691:J695"/>
    <mergeCell ref="J696:J698"/>
    <mergeCell ref="J699:J708"/>
    <mergeCell ref="J709:J720"/>
    <mergeCell ref="J721:J725"/>
    <mergeCell ref="J727:J730"/>
    <mergeCell ref="J731:J733"/>
    <mergeCell ref="J734:J736"/>
    <mergeCell ref="J737:J742"/>
    <mergeCell ref="J743:J744"/>
    <mergeCell ref="J745:J747"/>
    <mergeCell ref="J748:J754"/>
    <mergeCell ref="J555:J559"/>
    <mergeCell ref="J560:J562"/>
    <mergeCell ref="J563:J567"/>
    <mergeCell ref="J568:J569"/>
    <mergeCell ref="J570:J572"/>
    <mergeCell ref="J573:J585"/>
    <mergeCell ref="J586:J589"/>
    <mergeCell ref="J590:J599"/>
    <mergeCell ref="J600:J611"/>
    <mergeCell ref="J612:J616"/>
    <mergeCell ref="J617:J636"/>
    <mergeCell ref="J637:J642"/>
    <mergeCell ref="J645:J654"/>
    <mergeCell ref="J655:J657"/>
    <mergeCell ref="J659:J664"/>
    <mergeCell ref="J665:J666"/>
    <mergeCell ref="J667:J669"/>
    <mergeCell ref="J472:J477"/>
    <mergeCell ref="J478:J479"/>
    <mergeCell ref="J480:J481"/>
    <mergeCell ref="J484:J486"/>
    <mergeCell ref="J487:J493"/>
    <mergeCell ref="J494:J496"/>
    <mergeCell ref="J498:J501"/>
    <mergeCell ref="J502:J508"/>
    <mergeCell ref="J509:J512"/>
    <mergeCell ref="J514:J518"/>
    <mergeCell ref="J519:J523"/>
    <mergeCell ref="J524:J525"/>
    <mergeCell ref="J526:J530"/>
    <mergeCell ref="J531:J532"/>
    <mergeCell ref="J533:J544"/>
    <mergeCell ref="J546:J551"/>
    <mergeCell ref="J552:J554"/>
    <mergeCell ref="J361:J364"/>
    <mergeCell ref="J365:J369"/>
    <mergeCell ref="J370:J373"/>
    <mergeCell ref="J375:J382"/>
    <mergeCell ref="J387:J389"/>
    <mergeCell ref="J391:J392"/>
    <mergeCell ref="J394:J402"/>
    <mergeCell ref="J403:J417"/>
    <mergeCell ref="J418:J421"/>
    <mergeCell ref="J423:J430"/>
    <mergeCell ref="J431:J440"/>
    <mergeCell ref="J441:J451"/>
    <mergeCell ref="J453:J454"/>
    <mergeCell ref="J455:J456"/>
    <mergeCell ref="J457:J458"/>
    <mergeCell ref="J459:J460"/>
    <mergeCell ref="J461:J471"/>
    <mergeCell ref="J271:J272"/>
    <mergeCell ref="J273:J276"/>
    <mergeCell ref="J277:J280"/>
    <mergeCell ref="J281:J285"/>
    <mergeCell ref="J287:J290"/>
    <mergeCell ref="J291:J298"/>
    <mergeCell ref="J299:J306"/>
    <mergeCell ref="J307:J312"/>
    <mergeCell ref="J313:J321"/>
    <mergeCell ref="J322:J325"/>
    <mergeCell ref="J326:J330"/>
    <mergeCell ref="J331:J336"/>
    <mergeCell ref="J338:J343"/>
    <mergeCell ref="J344:J347"/>
    <mergeCell ref="J348:J351"/>
    <mergeCell ref="J352:J358"/>
    <mergeCell ref="J359:J360"/>
    <mergeCell ref="J165:J175"/>
    <mergeCell ref="J176:J179"/>
    <mergeCell ref="J180:J186"/>
    <mergeCell ref="J187:J191"/>
    <mergeCell ref="J192:J198"/>
    <mergeCell ref="J199:J201"/>
    <mergeCell ref="J202:J209"/>
    <mergeCell ref="J210:J211"/>
    <mergeCell ref="J212:J219"/>
    <mergeCell ref="J221:J231"/>
    <mergeCell ref="J232:J234"/>
    <mergeCell ref="J236:J246"/>
    <mergeCell ref="J247:J252"/>
    <mergeCell ref="J253:J256"/>
    <mergeCell ref="J257:J259"/>
    <mergeCell ref="J260:J262"/>
    <mergeCell ref="J263:J270"/>
    <mergeCell ref="I1510:I1513"/>
    <mergeCell ref="I1514:I1515"/>
    <mergeCell ref="I1516:I1518"/>
    <mergeCell ref="J2:J5"/>
    <mergeCell ref="J6:J27"/>
    <mergeCell ref="J28:J30"/>
    <mergeCell ref="J31:J37"/>
    <mergeCell ref="J38:J39"/>
    <mergeCell ref="J40:J45"/>
    <mergeCell ref="J46:J50"/>
    <mergeCell ref="J51:J54"/>
    <mergeCell ref="J55:J60"/>
    <mergeCell ref="J61:J64"/>
    <mergeCell ref="J65:J67"/>
    <mergeCell ref="J68:J70"/>
    <mergeCell ref="J71:J78"/>
    <mergeCell ref="J79:J85"/>
    <mergeCell ref="J86:J89"/>
    <mergeCell ref="J90:J95"/>
    <mergeCell ref="J96:J98"/>
    <mergeCell ref="J99:J104"/>
    <mergeCell ref="J105:J107"/>
    <mergeCell ref="J108:J111"/>
    <mergeCell ref="J112:J121"/>
    <mergeCell ref="J122:J125"/>
    <mergeCell ref="J126:J134"/>
    <mergeCell ref="J135:J138"/>
    <mergeCell ref="J139:J144"/>
    <mergeCell ref="J145:J147"/>
    <mergeCell ref="J148:J154"/>
    <mergeCell ref="J155:J160"/>
    <mergeCell ref="J161:J164"/>
    <mergeCell ref="I1440:I1442"/>
    <mergeCell ref="I1443:I1444"/>
    <mergeCell ref="I1445:I1446"/>
    <mergeCell ref="I1448:I1449"/>
    <mergeCell ref="I1450:I1454"/>
    <mergeCell ref="I1456:I1460"/>
    <mergeCell ref="I1461:I1466"/>
    <mergeCell ref="I1468:I1472"/>
    <mergeCell ref="I1474:I1476"/>
    <mergeCell ref="I1477:I1479"/>
    <mergeCell ref="I1480:I1483"/>
    <mergeCell ref="I1484:I1487"/>
    <mergeCell ref="I1490:I1493"/>
    <mergeCell ref="I1494:I1497"/>
    <mergeCell ref="I1501:I1502"/>
    <mergeCell ref="I1505:I1506"/>
    <mergeCell ref="I1508:I1509"/>
    <mergeCell ref="I1366:I1368"/>
    <mergeCell ref="I1370:I1371"/>
    <mergeCell ref="I1374:I1379"/>
    <mergeCell ref="I1381:I1389"/>
    <mergeCell ref="I1390:I1392"/>
    <mergeCell ref="I1394:I1396"/>
    <mergeCell ref="I1397:I1401"/>
    <mergeCell ref="I1402:I1405"/>
    <mergeCell ref="I1406:I1408"/>
    <mergeCell ref="I1412:I1416"/>
    <mergeCell ref="I1417:I1419"/>
    <mergeCell ref="I1421:I1422"/>
    <mergeCell ref="I1423:I1426"/>
    <mergeCell ref="I1427:I1429"/>
    <mergeCell ref="I1430:I1432"/>
    <mergeCell ref="I1435:I1437"/>
    <mergeCell ref="I1438:I1439"/>
    <mergeCell ref="I1295:I1298"/>
    <mergeCell ref="I1299:I1301"/>
    <mergeCell ref="I1302:I1307"/>
    <mergeCell ref="I1308:I1309"/>
    <mergeCell ref="I1310:I1314"/>
    <mergeCell ref="I1316:I1317"/>
    <mergeCell ref="I1319:I1322"/>
    <mergeCell ref="I1323:I1330"/>
    <mergeCell ref="I1331:I1333"/>
    <mergeCell ref="I1335:I1337"/>
    <mergeCell ref="I1338:I1340"/>
    <mergeCell ref="I1343:I1344"/>
    <mergeCell ref="I1347:I1348"/>
    <mergeCell ref="I1349:I1351"/>
    <mergeCell ref="I1352:I1356"/>
    <mergeCell ref="I1358:I1363"/>
    <mergeCell ref="I1364:I1365"/>
    <mergeCell ref="I1212:I1220"/>
    <mergeCell ref="I1221:I1226"/>
    <mergeCell ref="I1227:I1231"/>
    <mergeCell ref="I1233:I1234"/>
    <mergeCell ref="I1235:I1239"/>
    <mergeCell ref="I1240:I1241"/>
    <mergeCell ref="I1242:I1245"/>
    <mergeCell ref="I1246:I1248"/>
    <mergeCell ref="I1249:I1250"/>
    <mergeCell ref="I1253:I1260"/>
    <mergeCell ref="I1263:I1265"/>
    <mergeCell ref="I1267:I1270"/>
    <mergeCell ref="I1271:I1275"/>
    <mergeCell ref="I1276:I1279"/>
    <mergeCell ref="I1281:I1282"/>
    <mergeCell ref="I1283:I1284"/>
    <mergeCell ref="I1285:I1294"/>
    <mergeCell ref="I1128:I1130"/>
    <mergeCell ref="I1131:I1135"/>
    <mergeCell ref="I1137:I1140"/>
    <mergeCell ref="I1141:I1144"/>
    <mergeCell ref="I1152:I1154"/>
    <mergeCell ref="I1155:I1156"/>
    <mergeCell ref="I1158:I1165"/>
    <mergeCell ref="I1166:I1172"/>
    <mergeCell ref="I1173:I1175"/>
    <mergeCell ref="I1176:I1179"/>
    <mergeCell ref="I1180:I1184"/>
    <mergeCell ref="I1186:I1189"/>
    <mergeCell ref="I1190:I1194"/>
    <mergeCell ref="I1195:I1196"/>
    <mergeCell ref="I1197:I1199"/>
    <mergeCell ref="I1201:I1202"/>
    <mergeCell ref="I1203:I1211"/>
    <mergeCell ref="I1055:I1056"/>
    <mergeCell ref="I1057:I1059"/>
    <mergeCell ref="I1060:I1065"/>
    <mergeCell ref="I1066:I1068"/>
    <mergeCell ref="I1069:I1072"/>
    <mergeCell ref="I1073:I1077"/>
    <mergeCell ref="I1078:I1082"/>
    <mergeCell ref="I1083:I1085"/>
    <mergeCell ref="I1087:I1094"/>
    <mergeCell ref="I1095:I1102"/>
    <mergeCell ref="I1103:I1107"/>
    <mergeCell ref="I1108:I1109"/>
    <mergeCell ref="I1110:I1112"/>
    <mergeCell ref="I1113:I1119"/>
    <mergeCell ref="I1120:I1121"/>
    <mergeCell ref="I1122:I1124"/>
    <mergeCell ref="I1126:I1127"/>
    <mergeCell ref="I968:I969"/>
    <mergeCell ref="I971:I972"/>
    <mergeCell ref="I973:I977"/>
    <mergeCell ref="I978:I981"/>
    <mergeCell ref="I982:I984"/>
    <mergeCell ref="I985:I991"/>
    <mergeCell ref="I992:I996"/>
    <mergeCell ref="I997:I998"/>
    <mergeCell ref="I1000:I1003"/>
    <mergeCell ref="I1005:I1012"/>
    <mergeCell ref="I1013:I1019"/>
    <mergeCell ref="I1020:I1022"/>
    <mergeCell ref="I1023:I1029"/>
    <mergeCell ref="I1030:I1036"/>
    <mergeCell ref="I1037:I1041"/>
    <mergeCell ref="I1042:I1052"/>
    <mergeCell ref="I1053:I1054"/>
    <mergeCell ref="I891:I893"/>
    <mergeCell ref="I894:I898"/>
    <mergeCell ref="I899:I903"/>
    <mergeCell ref="I905:I906"/>
    <mergeCell ref="I907:I912"/>
    <mergeCell ref="I913:I917"/>
    <mergeCell ref="I919:I920"/>
    <mergeCell ref="I922:I932"/>
    <mergeCell ref="I933:I934"/>
    <mergeCell ref="I935:I939"/>
    <mergeCell ref="I940:I947"/>
    <mergeCell ref="I948:I949"/>
    <mergeCell ref="I951:I954"/>
    <mergeCell ref="I955:I956"/>
    <mergeCell ref="I957:I961"/>
    <mergeCell ref="I963:I964"/>
    <mergeCell ref="I965:I967"/>
    <mergeCell ref="I783:I790"/>
    <mergeCell ref="I792:I797"/>
    <mergeCell ref="I798:I799"/>
    <mergeCell ref="I802:I809"/>
    <mergeCell ref="I811:I819"/>
    <mergeCell ref="I821:I826"/>
    <mergeCell ref="I827:I828"/>
    <mergeCell ref="I829:I830"/>
    <mergeCell ref="I831:I836"/>
    <mergeCell ref="I837:I848"/>
    <mergeCell ref="I849:I850"/>
    <mergeCell ref="I854:I855"/>
    <mergeCell ref="I856:I864"/>
    <mergeCell ref="I865:I869"/>
    <mergeCell ref="I871:I873"/>
    <mergeCell ref="I874:I888"/>
    <mergeCell ref="I889:I890"/>
    <mergeCell ref="I696:I698"/>
    <mergeCell ref="I699:I708"/>
    <mergeCell ref="I709:I720"/>
    <mergeCell ref="I721:I725"/>
    <mergeCell ref="I727:I730"/>
    <mergeCell ref="I731:I733"/>
    <mergeCell ref="I734:I736"/>
    <mergeCell ref="I737:I742"/>
    <mergeCell ref="I743:I744"/>
    <mergeCell ref="I745:I747"/>
    <mergeCell ref="I748:I754"/>
    <mergeCell ref="I755:I757"/>
    <mergeCell ref="I758:I760"/>
    <mergeCell ref="I761:I768"/>
    <mergeCell ref="I769:I772"/>
    <mergeCell ref="I773:I775"/>
    <mergeCell ref="I776:I781"/>
    <mergeCell ref="I586:I589"/>
    <mergeCell ref="I590:I599"/>
    <mergeCell ref="I600:I611"/>
    <mergeCell ref="I612:I616"/>
    <mergeCell ref="I617:I636"/>
    <mergeCell ref="I637:I642"/>
    <mergeCell ref="I645:I654"/>
    <mergeCell ref="I655:I657"/>
    <mergeCell ref="I659:I664"/>
    <mergeCell ref="I665:I666"/>
    <mergeCell ref="I667:I669"/>
    <mergeCell ref="I670:I677"/>
    <mergeCell ref="I678:I681"/>
    <mergeCell ref="I682:I686"/>
    <mergeCell ref="I687:I688"/>
    <mergeCell ref="I689:I690"/>
    <mergeCell ref="I691:I695"/>
    <mergeCell ref="I498:I501"/>
    <mergeCell ref="I502:I508"/>
    <mergeCell ref="I509:I512"/>
    <mergeCell ref="I514:I518"/>
    <mergeCell ref="I519:I523"/>
    <mergeCell ref="I524:I525"/>
    <mergeCell ref="I526:I530"/>
    <mergeCell ref="I531:I532"/>
    <mergeCell ref="I533:I544"/>
    <mergeCell ref="I546:I551"/>
    <mergeCell ref="I552:I554"/>
    <mergeCell ref="I555:I559"/>
    <mergeCell ref="I560:I562"/>
    <mergeCell ref="I563:I567"/>
    <mergeCell ref="I568:I569"/>
    <mergeCell ref="I570:I572"/>
    <mergeCell ref="I573:I585"/>
    <mergeCell ref="I394:I402"/>
    <mergeCell ref="I403:I417"/>
    <mergeCell ref="I418:I421"/>
    <mergeCell ref="I423:I430"/>
    <mergeCell ref="I431:I440"/>
    <mergeCell ref="I441:I451"/>
    <mergeCell ref="I453:I454"/>
    <mergeCell ref="I455:I456"/>
    <mergeCell ref="I457:I458"/>
    <mergeCell ref="I459:I460"/>
    <mergeCell ref="I461:I471"/>
    <mergeCell ref="I472:I477"/>
    <mergeCell ref="I478:I479"/>
    <mergeCell ref="I480:I481"/>
    <mergeCell ref="I484:I486"/>
    <mergeCell ref="I487:I493"/>
    <mergeCell ref="I494:I496"/>
    <mergeCell ref="I299:I306"/>
    <mergeCell ref="I307:I312"/>
    <mergeCell ref="I313:I321"/>
    <mergeCell ref="I322:I325"/>
    <mergeCell ref="I326:I330"/>
    <mergeCell ref="I331:I336"/>
    <mergeCell ref="I338:I343"/>
    <mergeCell ref="I344:I347"/>
    <mergeCell ref="I348:I351"/>
    <mergeCell ref="I352:I358"/>
    <mergeCell ref="I359:I360"/>
    <mergeCell ref="I361:I364"/>
    <mergeCell ref="I365:I369"/>
    <mergeCell ref="I370:I373"/>
    <mergeCell ref="I375:I382"/>
    <mergeCell ref="I387:I389"/>
    <mergeCell ref="I391:I392"/>
    <mergeCell ref="I202:I209"/>
    <mergeCell ref="I210:I211"/>
    <mergeCell ref="I212:I219"/>
    <mergeCell ref="I221:I231"/>
    <mergeCell ref="I232:I234"/>
    <mergeCell ref="I236:I246"/>
    <mergeCell ref="I247:I252"/>
    <mergeCell ref="I253:I256"/>
    <mergeCell ref="I257:I259"/>
    <mergeCell ref="I260:I262"/>
    <mergeCell ref="I263:I270"/>
    <mergeCell ref="I271:I272"/>
    <mergeCell ref="I273:I276"/>
    <mergeCell ref="I277:I280"/>
    <mergeCell ref="I281:I285"/>
    <mergeCell ref="I287:I290"/>
    <mergeCell ref="I291:I298"/>
    <mergeCell ref="I105:I107"/>
    <mergeCell ref="I108:I111"/>
    <mergeCell ref="I112:I121"/>
    <mergeCell ref="I122:I125"/>
    <mergeCell ref="I126:I134"/>
    <mergeCell ref="I135:I138"/>
    <mergeCell ref="I139:I144"/>
    <mergeCell ref="I145:I147"/>
    <mergeCell ref="I148:I154"/>
    <mergeCell ref="I155:I160"/>
    <mergeCell ref="I161:I164"/>
    <mergeCell ref="I165:I175"/>
    <mergeCell ref="I176:I179"/>
    <mergeCell ref="I180:I186"/>
    <mergeCell ref="I187:I191"/>
    <mergeCell ref="I192:I198"/>
    <mergeCell ref="I199:I201"/>
    <mergeCell ref="H1461:H1466"/>
    <mergeCell ref="H1468:H1472"/>
    <mergeCell ref="H1474:H1476"/>
    <mergeCell ref="H1477:H1479"/>
    <mergeCell ref="H1480:H1483"/>
    <mergeCell ref="H1484:H1487"/>
    <mergeCell ref="H1490:H1493"/>
    <mergeCell ref="H1494:H1497"/>
    <mergeCell ref="H1501:H1502"/>
    <mergeCell ref="H1505:H1506"/>
    <mergeCell ref="H1508:H1509"/>
    <mergeCell ref="H1510:H1513"/>
    <mergeCell ref="H1514:H1515"/>
    <mergeCell ref="H1516:H1518"/>
    <mergeCell ref="I2:I5"/>
    <mergeCell ref="I6:I27"/>
    <mergeCell ref="I28:I30"/>
    <mergeCell ref="I31:I37"/>
    <mergeCell ref="I38:I39"/>
    <mergeCell ref="I40:I45"/>
    <mergeCell ref="I46:I50"/>
    <mergeCell ref="I51:I54"/>
    <mergeCell ref="I55:I60"/>
    <mergeCell ref="I61:I64"/>
    <mergeCell ref="I65:I67"/>
    <mergeCell ref="I68:I70"/>
    <mergeCell ref="I71:I78"/>
    <mergeCell ref="I79:I85"/>
    <mergeCell ref="I86:I89"/>
    <mergeCell ref="I90:I95"/>
    <mergeCell ref="I96:I98"/>
    <mergeCell ref="I99:I104"/>
    <mergeCell ref="H1397:H1401"/>
    <mergeCell ref="H1402:H1405"/>
    <mergeCell ref="H1406:H1408"/>
    <mergeCell ref="H1412:H1416"/>
    <mergeCell ref="H1417:H1419"/>
    <mergeCell ref="H1421:H1422"/>
    <mergeCell ref="H1423:H1426"/>
    <mergeCell ref="H1427:H1429"/>
    <mergeCell ref="H1430:H1432"/>
    <mergeCell ref="H1435:H1437"/>
    <mergeCell ref="H1438:H1439"/>
    <mergeCell ref="H1440:H1442"/>
    <mergeCell ref="H1443:H1444"/>
    <mergeCell ref="H1445:H1446"/>
    <mergeCell ref="H1448:H1449"/>
    <mergeCell ref="H1450:H1454"/>
    <mergeCell ref="H1456:H1460"/>
    <mergeCell ref="H1319:H1322"/>
    <mergeCell ref="H1323:H1330"/>
    <mergeCell ref="H1331:H1333"/>
    <mergeCell ref="H1335:H1337"/>
    <mergeCell ref="H1338:H1340"/>
    <mergeCell ref="H1343:H1344"/>
    <mergeCell ref="H1347:H1348"/>
    <mergeCell ref="H1349:H1351"/>
    <mergeCell ref="H1352:H1356"/>
    <mergeCell ref="H1358:H1363"/>
    <mergeCell ref="H1364:H1365"/>
    <mergeCell ref="H1366:H1368"/>
    <mergeCell ref="H1370:H1371"/>
    <mergeCell ref="H1374:H1379"/>
    <mergeCell ref="H1381:H1389"/>
    <mergeCell ref="H1390:H1392"/>
    <mergeCell ref="H1394:H1396"/>
    <mergeCell ref="H1242:H1245"/>
    <mergeCell ref="H1246:H1248"/>
    <mergeCell ref="H1249:H1250"/>
    <mergeCell ref="H1253:H1260"/>
    <mergeCell ref="H1263:H1265"/>
    <mergeCell ref="H1267:H1270"/>
    <mergeCell ref="H1271:H1275"/>
    <mergeCell ref="H1276:H1279"/>
    <mergeCell ref="H1281:H1282"/>
    <mergeCell ref="H1283:H1284"/>
    <mergeCell ref="H1285:H1294"/>
    <mergeCell ref="H1295:H1298"/>
    <mergeCell ref="H1299:H1301"/>
    <mergeCell ref="H1302:H1307"/>
    <mergeCell ref="H1308:H1309"/>
    <mergeCell ref="H1310:H1314"/>
    <mergeCell ref="H1316:H1317"/>
    <mergeCell ref="H1158:H1165"/>
    <mergeCell ref="H1166:H1172"/>
    <mergeCell ref="H1173:H1175"/>
    <mergeCell ref="H1176:H1179"/>
    <mergeCell ref="H1180:H1184"/>
    <mergeCell ref="H1186:H1189"/>
    <mergeCell ref="H1190:H1194"/>
    <mergeCell ref="H1195:H1196"/>
    <mergeCell ref="H1197:H1199"/>
    <mergeCell ref="H1201:H1202"/>
    <mergeCell ref="H1203:H1211"/>
    <mergeCell ref="H1212:H1220"/>
    <mergeCell ref="H1221:H1226"/>
    <mergeCell ref="H1227:H1231"/>
    <mergeCell ref="H1233:H1234"/>
    <mergeCell ref="H1235:H1239"/>
    <mergeCell ref="H1240:H1241"/>
    <mergeCell ref="H1078:H1082"/>
    <mergeCell ref="H1083:H1085"/>
    <mergeCell ref="H1087:H1094"/>
    <mergeCell ref="H1095:H1102"/>
    <mergeCell ref="H1103:H1107"/>
    <mergeCell ref="H1108:H1109"/>
    <mergeCell ref="H1110:H1112"/>
    <mergeCell ref="H1113:H1119"/>
    <mergeCell ref="H1120:H1121"/>
    <mergeCell ref="H1122:H1124"/>
    <mergeCell ref="H1126:H1127"/>
    <mergeCell ref="H1128:H1130"/>
    <mergeCell ref="H1131:H1135"/>
    <mergeCell ref="H1137:H1140"/>
    <mergeCell ref="H1141:H1144"/>
    <mergeCell ref="H1152:H1154"/>
    <mergeCell ref="H1155:H1156"/>
    <mergeCell ref="H992:H996"/>
    <mergeCell ref="H997:H998"/>
    <mergeCell ref="H1000:H1003"/>
    <mergeCell ref="H1005:H1012"/>
    <mergeCell ref="H1013:H1019"/>
    <mergeCell ref="H1020:H1022"/>
    <mergeCell ref="H1023:H1029"/>
    <mergeCell ref="H1030:H1036"/>
    <mergeCell ref="H1037:H1041"/>
    <mergeCell ref="H1042:H1052"/>
    <mergeCell ref="H1053:H1054"/>
    <mergeCell ref="H1055:H1056"/>
    <mergeCell ref="H1057:H1059"/>
    <mergeCell ref="H1060:H1065"/>
    <mergeCell ref="H1066:H1068"/>
    <mergeCell ref="H1069:H1072"/>
    <mergeCell ref="H1073:H1077"/>
    <mergeCell ref="H919:H920"/>
    <mergeCell ref="H922:H932"/>
    <mergeCell ref="H933:H934"/>
    <mergeCell ref="H935:H939"/>
    <mergeCell ref="H940:H947"/>
    <mergeCell ref="H948:H949"/>
    <mergeCell ref="H951:H954"/>
    <mergeCell ref="H955:H956"/>
    <mergeCell ref="H957:H961"/>
    <mergeCell ref="H963:H964"/>
    <mergeCell ref="H965:H967"/>
    <mergeCell ref="H968:H969"/>
    <mergeCell ref="H971:H972"/>
    <mergeCell ref="H973:H977"/>
    <mergeCell ref="H978:H981"/>
    <mergeCell ref="H982:H984"/>
    <mergeCell ref="H985:H991"/>
    <mergeCell ref="H827:H828"/>
    <mergeCell ref="H829:H830"/>
    <mergeCell ref="H831:H836"/>
    <mergeCell ref="H837:H848"/>
    <mergeCell ref="H849:H850"/>
    <mergeCell ref="H854:H855"/>
    <mergeCell ref="H856:H864"/>
    <mergeCell ref="H865:H869"/>
    <mergeCell ref="H871:H873"/>
    <mergeCell ref="H874:H888"/>
    <mergeCell ref="H889:H890"/>
    <mergeCell ref="H891:H893"/>
    <mergeCell ref="H894:H898"/>
    <mergeCell ref="H899:H903"/>
    <mergeCell ref="H905:H906"/>
    <mergeCell ref="H907:H912"/>
    <mergeCell ref="H913:H917"/>
    <mergeCell ref="H734:H736"/>
    <mergeCell ref="H737:H742"/>
    <mergeCell ref="H743:H744"/>
    <mergeCell ref="H745:H747"/>
    <mergeCell ref="H748:H754"/>
    <mergeCell ref="H755:H757"/>
    <mergeCell ref="H758:H760"/>
    <mergeCell ref="H761:H768"/>
    <mergeCell ref="H769:H772"/>
    <mergeCell ref="H773:H775"/>
    <mergeCell ref="H776:H781"/>
    <mergeCell ref="H783:H790"/>
    <mergeCell ref="H792:H797"/>
    <mergeCell ref="H798:H799"/>
    <mergeCell ref="H802:H809"/>
    <mergeCell ref="H811:H819"/>
    <mergeCell ref="H821:H826"/>
    <mergeCell ref="H645:H654"/>
    <mergeCell ref="H655:H657"/>
    <mergeCell ref="H659:H664"/>
    <mergeCell ref="H665:H666"/>
    <mergeCell ref="H667:H669"/>
    <mergeCell ref="H670:H677"/>
    <mergeCell ref="H678:H681"/>
    <mergeCell ref="H682:H686"/>
    <mergeCell ref="H687:H688"/>
    <mergeCell ref="H689:H690"/>
    <mergeCell ref="H691:H695"/>
    <mergeCell ref="H696:H698"/>
    <mergeCell ref="H699:H708"/>
    <mergeCell ref="H709:H720"/>
    <mergeCell ref="H721:H725"/>
    <mergeCell ref="H727:H730"/>
    <mergeCell ref="H731:H733"/>
    <mergeCell ref="H526:H530"/>
    <mergeCell ref="H531:H532"/>
    <mergeCell ref="H533:H544"/>
    <mergeCell ref="H546:H551"/>
    <mergeCell ref="H552:H554"/>
    <mergeCell ref="H555:H559"/>
    <mergeCell ref="H560:H562"/>
    <mergeCell ref="H563:H567"/>
    <mergeCell ref="H568:H569"/>
    <mergeCell ref="H570:H572"/>
    <mergeCell ref="H573:H585"/>
    <mergeCell ref="H586:H589"/>
    <mergeCell ref="H590:H599"/>
    <mergeCell ref="H600:H611"/>
    <mergeCell ref="H612:H616"/>
    <mergeCell ref="H617:H636"/>
    <mergeCell ref="H637:H642"/>
    <mergeCell ref="H453:H454"/>
    <mergeCell ref="H455:H456"/>
    <mergeCell ref="H457:H458"/>
    <mergeCell ref="H459:H460"/>
    <mergeCell ref="H461:H471"/>
    <mergeCell ref="H472:H477"/>
    <mergeCell ref="H478:H479"/>
    <mergeCell ref="H480:H481"/>
    <mergeCell ref="H484:H486"/>
    <mergeCell ref="H487:H493"/>
    <mergeCell ref="H494:H496"/>
    <mergeCell ref="H498:H501"/>
    <mergeCell ref="H502:H508"/>
    <mergeCell ref="H509:H512"/>
    <mergeCell ref="H514:H518"/>
    <mergeCell ref="H519:H523"/>
    <mergeCell ref="H524:H525"/>
    <mergeCell ref="H338:H343"/>
    <mergeCell ref="H344:H347"/>
    <mergeCell ref="H348:H351"/>
    <mergeCell ref="H352:H358"/>
    <mergeCell ref="H359:H360"/>
    <mergeCell ref="H361:H364"/>
    <mergeCell ref="H365:H369"/>
    <mergeCell ref="H370:H373"/>
    <mergeCell ref="H375:H382"/>
    <mergeCell ref="H387:H389"/>
    <mergeCell ref="H391:H392"/>
    <mergeCell ref="H394:H402"/>
    <mergeCell ref="H403:H417"/>
    <mergeCell ref="H418:H421"/>
    <mergeCell ref="H423:H430"/>
    <mergeCell ref="H431:H440"/>
    <mergeCell ref="H441:H451"/>
    <mergeCell ref="H247:H252"/>
    <mergeCell ref="H253:H256"/>
    <mergeCell ref="H257:H259"/>
    <mergeCell ref="H260:H262"/>
    <mergeCell ref="H263:H270"/>
    <mergeCell ref="H271:H272"/>
    <mergeCell ref="H273:H276"/>
    <mergeCell ref="H277:H280"/>
    <mergeCell ref="H281:H285"/>
    <mergeCell ref="H287:H290"/>
    <mergeCell ref="H291:H298"/>
    <mergeCell ref="H299:H306"/>
    <mergeCell ref="H307:H312"/>
    <mergeCell ref="H313:H321"/>
    <mergeCell ref="H322:H325"/>
    <mergeCell ref="H326:H330"/>
    <mergeCell ref="H331:H336"/>
    <mergeCell ref="H139:H144"/>
    <mergeCell ref="H145:H147"/>
    <mergeCell ref="H148:H154"/>
    <mergeCell ref="H155:H160"/>
    <mergeCell ref="H161:H164"/>
    <mergeCell ref="H165:H175"/>
    <mergeCell ref="H176:H179"/>
    <mergeCell ref="H180:H186"/>
    <mergeCell ref="H187:H191"/>
    <mergeCell ref="H192:H198"/>
    <mergeCell ref="H199:H201"/>
    <mergeCell ref="H202:H209"/>
    <mergeCell ref="H210:H211"/>
    <mergeCell ref="H212:H219"/>
    <mergeCell ref="H221:H231"/>
    <mergeCell ref="H232:H234"/>
    <mergeCell ref="H236:H246"/>
    <mergeCell ref="G1490:G1493"/>
    <mergeCell ref="G1494:G1497"/>
    <mergeCell ref="G1501:G1502"/>
    <mergeCell ref="G1505:G1506"/>
    <mergeCell ref="G1508:G1509"/>
    <mergeCell ref="G1510:G1513"/>
    <mergeCell ref="G1514:G1515"/>
    <mergeCell ref="G1516:G1518"/>
    <mergeCell ref="H2:H5"/>
    <mergeCell ref="H6:H27"/>
    <mergeCell ref="H28:H30"/>
    <mergeCell ref="H31:H37"/>
    <mergeCell ref="H38:H39"/>
    <mergeCell ref="H40:H45"/>
    <mergeCell ref="H46:H50"/>
    <mergeCell ref="H51:H54"/>
    <mergeCell ref="H55:H60"/>
    <mergeCell ref="H61:H64"/>
    <mergeCell ref="H65:H67"/>
    <mergeCell ref="H68:H70"/>
    <mergeCell ref="H71:H78"/>
    <mergeCell ref="H79:H85"/>
    <mergeCell ref="H86:H89"/>
    <mergeCell ref="H90:H95"/>
    <mergeCell ref="H96:H98"/>
    <mergeCell ref="H99:H104"/>
    <mergeCell ref="H105:H107"/>
    <mergeCell ref="H108:H111"/>
    <mergeCell ref="H112:H121"/>
    <mergeCell ref="H122:H125"/>
    <mergeCell ref="H126:H134"/>
    <mergeCell ref="H135:H138"/>
    <mergeCell ref="G1423:G1426"/>
    <mergeCell ref="G1427:G1429"/>
    <mergeCell ref="G1430:G1432"/>
    <mergeCell ref="G1435:G1437"/>
    <mergeCell ref="G1438:G1439"/>
    <mergeCell ref="G1440:G1442"/>
    <mergeCell ref="G1443:G1444"/>
    <mergeCell ref="G1445:G1446"/>
    <mergeCell ref="G1448:G1449"/>
    <mergeCell ref="G1450:G1454"/>
    <mergeCell ref="G1456:G1460"/>
    <mergeCell ref="G1461:G1466"/>
    <mergeCell ref="G1468:G1472"/>
    <mergeCell ref="G1474:G1476"/>
    <mergeCell ref="G1477:G1479"/>
    <mergeCell ref="G1480:G1483"/>
    <mergeCell ref="G1484:G1487"/>
    <mergeCell ref="G1347:G1348"/>
    <mergeCell ref="G1349:G1351"/>
    <mergeCell ref="G1352:G1356"/>
    <mergeCell ref="G1358:G1363"/>
    <mergeCell ref="G1364:G1365"/>
    <mergeCell ref="G1366:G1368"/>
    <mergeCell ref="G1370:G1371"/>
    <mergeCell ref="G1374:G1379"/>
    <mergeCell ref="G1381:G1389"/>
    <mergeCell ref="G1390:G1392"/>
    <mergeCell ref="G1394:G1396"/>
    <mergeCell ref="G1397:G1401"/>
    <mergeCell ref="G1402:G1405"/>
    <mergeCell ref="G1406:G1408"/>
    <mergeCell ref="G1412:G1416"/>
    <mergeCell ref="G1417:G1419"/>
    <mergeCell ref="G1421:G1422"/>
    <mergeCell ref="G1271:G1275"/>
    <mergeCell ref="G1276:G1279"/>
    <mergeCell ref="G1281:G1282"/>
    <mergeCell ref="G1283:G1284"/>
    <mergeCell ref="G1285:G1294"/>
    <mergeCell ref="G1295:G1298"/>
    <mergeCell ref="G1299:G1301"/>
    <mergeCell ref="G1302:G1307"/>
    <mergeCell ref="G1308:G1309"/>
    <mergeCell ref="G1310:G1314"/>
    <mergeCell ref="G1316:G1317"/>
    <mergeCell ref="G1319:G1322"/>
    <mergeCell ref="G1323:G1330"/>
    <mergeCell ref="G1331:G1333"/>
    <mergeCell ref="G1335:G1337"/>
    <mergeCell ref="G1338:G1340"/>
    <mergeCell ref="G1343:G1344"/>
    <mergeCell ref="G1190:G1194"/>
    <mergeCell ref="G1195:G1196"/>
    <mergeCell ref="G1197:G1199"/>
    <mergeCell ref="G1201:G1202"/>
    <mergeCell ref="G1203:G1211"/>
    <mergeCell ref="G1212:G1220"/>
    <mergeCell ref="G1221:G1226"/>
    <mergeCell ref="G1227:G1231"/>
    <mergeCell ref="G1233:G1234"/>
    <mergeCell ref="G1235:G1239"/>
    <mergeCell ref="G1240:G1241"/>
    <mergeCell ref="G1242:G1245"/>
    <mergeCell ref="G1246:G1248"/>
    <mergeCell ref="G1249:G1250"/>
    <mergeCell ref="G1253:G1260"/>
    <mergeCell ref="G1263:G1265"/>
    <mergeCell ref="G1267:G1270"/>
    <mergeCell ref="G1110:G1112"/>
    <mergeCell ref="G1113:G1119"/>
    <mergeCell ref="G1120:G1121"/>
    <mergeCell ref="G1122:G1124"/>
    <mergeCell ref="G1126:G1127"/>
    <mergeCell ref="G1128:G1130"/>
    <mergeCell ref="G1131:G1135"/>
    <mergeCell ref="G1137:G1140"/>
    <mergeCell ref="G1141:G1144"/>
    <mergeCell ref="G1152:G1154"/>
    <mergeCell ref="G1155:G1156"/>
    <mergeCell ref="G1158:G1165"/>
    <mergeCell ref="G1166:G1172"/>
    <mergeCell ref="G1173:G1175"/>
    <mergeCell ref="G1176:G1179"/>
    <mergeCell ref="G1180:G1184"/>
    <mergeCell ref="G1186:G1189"/>
    <mergeCell ref="G1023:G1029"/>
    <mergeCell ref="G1030:G1036"/>
    <mergeCell ref="G1037:G1041"/>
    <mergeCell ref="G1042:G1052"/>
    <mergeCell ref="G1053:G1054"/>
    <mergeCell ref="G1055:G1056"/>
    <mergeCell ref="G1057:G1059"/>
    <mergeCell ref="G1060:G1065"/>
    <mergeCell ref="G1066:G1068"/>
    <mergeCell ref="G1069:G1072"/>
    <mergeCell ref="G1073:G1077"/>
    <mergeCell ref="G1078:G1082"/>
    <mergeCell ref="G1083:G1085"/>
    <mergeCell ref="G1087:G1094"/>
    <mergeCell ref="G1095:G1102"/>
    <mergeCell ref="G1103:G1107"/>
    <mergeCell ref="G1108:G1109"/>
    <mergeCell ref="G951:G954"/>
    <mergeCell ref="G955:G956"/>
    <mergeCell ref="G957:G961"/>
    <mergeCell ref="G963:G964"/>
    <mergeCell ref="G965:G967"/>
    <mergeCell ref="G968:G969"/>
    <mergeCell ref="G971:G972"/>
    <mergeCell ref="G973:G977"/>
    <mergeCell ref="G978:G981"/>
    <mergeCell ref="G982:G984"/>
    <mergeCell ref="G985:G991"/>
    <mergeCell ref="G992:G996"/>
    <mergeCell ref="G997:G998"/>
    <mergeCell ref="G1000:G1003"/>
    <mergeCell ref="G1005:G1012"/>
    <mergeCell ref="G1013:G1019"/>
    <mergeCell ref="G1020:G1022"/>
    <mergeCell ref="G856:G864"/>
    <mergeCell ref="G865:G869"/>
    <mergeCell ref="G871:G873"/>
    <mergeCell ref="G874:G888"/>
    <mergeCell ref="G889:G890"/>
    <mergeCell ref="G891:G893"/>
    <mergeCell ref="G894:G898"/>
    <mergeCell ref="G899:G903"/>
    <mergeCell ref="G905:G906"/>
    <mergeCell ref="G907:G912"/>
    <mergeCell ref="G913:G917"/>
    <mergeCell ref="G919:G920"/>
    <mergeCell ref="G922:G932"/>
    <mergeCell ref="G933:G934"/>
    <mergeCell ref="G935:G939"/>
    <mergeCell ref="G940:G947"/>
    <mergeCell ref="G948:G949"/>
    <mergeCell ref="G758:G760"/>
    <mergeCell ref="G761:G768"/>
    <mergeCell ref="G769:G772"/>
    <mergeCell ref="G773:G775"/>
    <mergeCell ref="G776:G781"/>
    <mergeCell ref="G783:G790"/>
    <mergeCell ref="G792:G797"/>
    <mergeCell ref="G798:G799"/>
    <mergeCell ref="G802:G809"/>
    <mergeCell ref="G811:G819"/>
    <mergeCell ref="G821:G826"/>
    <mergeCell ref="G827:G828"/>
    <mergeCell ref="G829:G830"/>
    <mergeCell ref="G831:G836"/>
    <mergeCell ref="G837:G848"/>
    <mergeCell ref="G849:G850"/>
    <mergeCell ref="G854:G855"/>
    <mergeCell ref="G678:G681"/>
    <mergeCell ref="G682:G686"/>
    <mergeCell ref="G687:G688"/>
    <mergeCell ref="G689:G690"/>
    <mergeCell ref="G691:G695"/>
    <mergeCell ref="G696:G698"/>
    <mergeCell ref="G699:G708"/>
    <mergeCell ref="G709:G720"/>
    <mergeCell ref="G721:G725"/>
    <mergeCell ref="G727:G730"/>
    <mergeCell ref="G731:G733"/>
    <mergeCell ref="G734:G736"/>
    <mergeCell ref="G737:G742"/>
    <mergeCell ref="G743:G744"/>
    <mergeCell ref="G745:G747"/>
    <mergeCell ref="G748:G754"/>
    <mergeCell ref="G755:G757"/>
    <mergeCell ref="G560:G562"/>
    <mergeCell ref="G563:G567"/>
    <mergeCell ref="G568:G569"/>
    <mergeCell ref="G570:G572"/>
    <mergeCell ref="G573:G585"/>
    <mergeCell ref="G586:G589"/>
    <mergeCell ref="G590:G599"/>
    <mergeCell ref="G600:G611"/>
    <mergeCell ref="G612:G616"/>
    <mergeCell ref="G617:G636"/>
    <mergeCell ref="G637:G642"/>
    <mergeCell ref="G645:G654"/>
    <mergeCell ref="G655:G657"/>
    <mergeCell ref="G659:G664"/>
    <mergeCell ref="G665:G666"/>
    <mergeCell ref="G667:G669"/>
    <mergeCell ref="G670:G677"/>
    <mergeCell ref="G478:G479"/>
    <mergeCell ref="G480:G481"/>
    <mergeCell ref="G484:G486"/>
    <mergeCell ref="G487:G493"/>
    <mergeCell ref="G494:G496"/>
    <mergeCell ref="G498:G501"/>
    <mergeCell ref="G502:G508"/>
    <mergeCell ref="G509:G512"/>
    <mergeCell ref="G514:G518"/>
    <mergeCell ref="G519:G523"/>
    <mergeCell ref="G524:G525"/>
    <mergeCell ref="G526:G530"/>
    <mergeCell ref="G531:G532"/>
    <mergeCell ref="G533:G544"/>
    <mergeCell ref="G546:G551"/>
    <mergeCell ref="G552:G554"/>
    <mergeCell ref="G555:G559"/>
    <mergeCell ref="G365:G369"/>
    <mergeCell ref="G370:G373"/>
    <mergeCell ref="G375:G382"/>
    <mergeCell ref="G387:G389"/>
    <mergeCell ref="G391:G392"/>
    <mergeCell ref="G394:G402"/>
    <mergeCell ref="G403:G417"/>
    <mergeCell ref="G418:G421"/>
    <mergeCell ref="G423:G430"/>
    <mergeCell ref="G431:G440"/>
    <mergeCell ref="G441:G451"/>
    <mergeCell ref="G453:G454"/>
    <mergeCell ref="G455:G456"/>
    <mergeCell ref="G457:G458"/>
    <mergeCell ref="G459:G460"/>
    <mergeCell ref="G461:G471"/>
    <mergeCell ref="G472:G477"/>
    <mergeCell ref="G273:G276"/>
    <mergeCell ref="G277:G280"/>
    <mergeCell ref="G281:G285"/>
    <mergeCell ref="G287:G290"/>
    <mergeCell ref="G291:G298"/>
    <mergeCell ref="G299:G306"/>
    <mergeCell ref="G307:G312"/>
    <mergeCell ref="G313:G321"/>
    <mergeCell ref="G322:G325"/>
    <mergeCell ref="G326:G330"/>
    <mergeCell ref="G331:G336"/>
    <mergeCell ref="G338:G343"/>
    <mergeCell ref="G344:G347"/>
    <mergeCell ref="G348:G351"/>
    <mergeCell ref="G352:G358"/>
    <mergeCell ref="G359:G360"/>
    <mergeCell ref="G361:G364"/>
    <mergeCell ref="G176:G179"/>
    <mergeCell ref="G180:G186"/>
    <mergeCell ref="G187:G191"/>
    <mergeCell ref="G192:G198"/>
    <mergeCell ref="G199:G201"/>
    <mergeCell ref="G202:G209"/>
    <mergeCell ref="G210:G211"/>
    <mergeCell ref="G212:G219"/>
    <mergeCell ref="G221:G231"/>
    <mergeCell ref="G232:G234"/>
    <mergeCell ref="G236:G246"/>
    <mergeCell ref="G247:G252"/>
    <mergeCell ref="G253:G256"/>
    <mergeCell ref="G257:G259"/>
    <mergeCell ref="G260:G262"/>
    <mergeCell ref="G263:G270"/>
    <mergeCell ref="G271:G272"/>
    <mergeCell ref="F1514:F1515"/>
    <mergeCell ref="F1516:F1518"/>
    <mergeCell ref="G2:G5"/>
    <mergeCell ref="G6:G27"/>
    <mergeCell ref="G28:G30"/>
    <mergeCell ref="G31:G37"/>
    <mergeCell ref="G38:G39"/>
    <mergeCell ref="G40:G45"/>
    <mergeCell ref="G46:G50"/>
    <mergeCell ref="G51:G54"/>
    <mergeCell ref="G55:G60"/>
    <mergeCell ref="G61:G64"/>
    <mergeCell ref="G65:G67"/>
    <mergeCell ref="G68:G70"/>
    <mergeCell ref="G71:G78"/>
    <mergeCell ref="G79:G85"/>
    <mergeCell ref="G86:G89"/>
    <mergeCell ref="G90:G95"/>
    <mergeCell ref="G96:G98"/>
    <mergeCell ref="G99:G104"/>
    <mergeCell ref="G105:G107"/>
    <mergeCell ref="G108:G111"/>
    <mergeCell ref="G112:G121"/>
    <mergeCell ref="G122:G125"/>
    <mergeCell ref="G126:G134"/>
    <mergeCell ref="G135:G138"/>
    <mergeCell ref="G139:G144"/>
    <mergeCell ref="G145:G147"/>
    <mergeCell ref="G148:G154"/>
    <mergeCell ref="G155:G160"/>
    <mergeCell ref="G161:G164"/>
    <mergeCell ref="G165:G175"/>
    <mergeCell ref="F1443:F1444"/>
    <mergeCell ref="F1445:F1446"/>
    <mergeCell ref="F1448:F1449"/>
    <mergeCell ref="F1450:F1454"/>
    <mergeCell ref="F1456:F1460"/>
    <mergeCell ref="F1461:F1466"/>
    <mergeCell ref="F1468:F1472"/>
    <mergeCell ref="F1474:F1476"/>
    <mergeCell ref="F1477:F1479"/>
    <mergeCell ref="F1480:F1483"/>
    <mergeCell ref="F1484:F1487"/>
    <mergeCell ref="F1490:F1493"/>
    <mergeCell ref="F1494:F1497"/>
    <mergeCell ref="F1501:F1502"/>
    <mergeCell ref="F1505:F1506"/>
    <mergeCell ref="F1508:F1509"/>
    <mergeCell ref="F1510:F1513"/>
    <mergeCell ref="F1370:F1371"/>
    <mergeCell ref="F1374:F1379"/>
    <mergeCell ref="F1381:F1389"/>
    <mergeCell ref="F1390:F1392"/>
    <mergeCell ref="F1394:F1396"/>
    <mergeCell ref="F1397:F1401"/>
    <mergeCell ref="F1402:F1405"/>
    <mergeCell ref="F1406:F1408"/>
    <mergeCell ref="F1412:F1416"/>
    <mergeCell ref="F1417:F1419"/>
    <mergeCell ref="F1421:F1422"/>
    <mergeCell ref="F1423:F1426"/>
    <mergeCell ref="F1427:F1429"/>
    <mergeCell ref="F1430:F1432"/>
    <mergeCell ref="F1435:F1437"/>
    <mergeCell ref="F1438:F1439"/>
    <mergeCell ref="F1440:F1442"/>
    <mergeCell ref="F1299:F1301"/>
    <mergeCell ref="F1302:F1307"/>
    <mergeCell ref="F1308:F1309"/>
    <mergeCell ref="F1310:F1314"/>
    <mergeCell ref="F1316:F1317"/>
    <mergeCell ref="F1319:F1322"/>
    <mergeCell ref="F1323:F1330"/>
    <mergeCell ref="F1331:F1333"/>
    <mergeCell ref="F1335:F1337"/>
    <mergeCell ref="F1338:F1340"/>
    <mergeCell ref="F1343:F1344"/>
    <mergeCell ref="F1347:F1348"/>
    <mergeCell ref="F1349:F1351"/>
    <mergeCell ref="F1352:F1356"/>
    <mergeCell ref="F1358:F1363"/>
    <mergeCell ref="F1364:F1365"/>
    <mergeCell ref="F1366:F1368"/>
    <mergeCell ref="F1221:F1226"/>
    <mergeCell ref="F1227:F1231"/>
    <mergeCell ref="F1233:F1234"/>
    <mergeCell ref="F1235:F1239"/>
    <mergeCell ref="F1240:F1241"/>
    <mergeCell ref="F1242:F1245"/>
    <mergeCell ref="F1246:F1248"/>
    <mergeCell ref="F1249:F1250"/>
    <mergeCell ref="F1253:F1260"/>
    <mergeCell ref="F1263:F1265"/>
    <mergeCell ref="F1267:F1270"/>
    <mergeCell ref="F1271:F1275"/>
    <mergeCell ref="F1276:F1279"/>
    <mergeCell ref="F1281:F1282"/>
    <mergeCell ref="F1283:F1284"/>
    <mergeCell ref="F1285:F1294"/>
    <mergeCell ref="F1295:F1298"/>
    <mergeCell ref="F1131:F1135"/>
    <mergeCell ref="F1137:F1140"/>
    <mergeCell ref="F1141:F1144"/>
    <mergeCell ref="F1152:F1154"/>
    <mergeCell ref="F1155:F1156"/>
    <mergeCell ref="F1158:F1165"/>
    <mergeCell ref="F1166:F1172"/>
    <mergeCell ref="F1173:F1175"/>
    <mergeCell ref="F1176:F1179"/>
    <mergeCell ref="F1180:F1184"/>
    <mergeCell ref="F1186:F1189"/>
    <mergeCell ref="F1190:F1194"/>
    <mergeCell ref="F1195:F1196"/>
    <mergeCell ref="F1197:F1199"/>
    <mergeCell ref="F1201:F1202"/>
    <mergeCell ref="F1203:F1211"/>
    <mergeCell ref="F1212:F1220"/>
    <mergeCell ref="F1057:F1059"/>
    <mergeCell ref="F1060:F1065"/>
    <mergeCell ref="F1066:F1068"/>
    <mergeCell ref="F1069:F1072"/>
    <mergeCell ref="F1073:F1077"/>
    <mergeCell ref="F1078:F1082"/>
    <mergeCell ref="F1083:F1085"/>
    <mergeCell ref="F1087:F1094"/>
    <mergeCell ref="F1095:F1102"/>
    <mergeCell ref="F1103:F1107"/>
    <mergeCell ref="F1108:F1109"/>
    <mergeCell ref="F1110:F1112"/>
    <mergeCell ref="F1113:F1119"/>
    <mergeCell ref="F1120:F1121"/>
    <mergeCell ref="F1122:F1124"/>
    <mergeCell ref="F1126:F1127"/>
    <mergeCell ref="F1128:F1130"/>
    <mergeCell ref="F971:F972"/>
    <mergeCell ref="F973:F977"/>
    <mergeCell ref="F978:F981"/>
    <mergeCell ref="F982:F984"/>
    <mergeCell ref="F985:F991"/>
    <mergeCell ref="F992:F996"/>
    <mergeCell ref="F997:F998"/>
    <mergeCell ref="F1000:F1003"/>
    <mergeCell ref="F1005:F1012"/>
    <mergeCell ref="F1013:F1019"/>
    <mergeCell ref="F1020:F1022"/>
    <mergeCell ref="F1023:F1029"/>
    <mergeCell ref="F1030:F1036"/>
    <mergeCell ref="F1037:F1041"/>
    <mergeCell ref="F1042:F1052"/>
    <mergeCell ref="F1053:F1054"/>
    <mergeCell ref="F1055:F1056"/>
    <mergeCell ref="F894:F898"/>
    <mergeCell ref="F899:F903"/>
    <mergeCell ref="F905:F906"/>
    <mergeCell ref="F907:F912"/>
    <mergeCell ref="F913:F917"/>
    <mergeCell ref="F919:F920"/>
    <mergeCell ref="F922:F932"/>
    <mergeCell ref="F933:F934"/>
    <mergeCell ref="F935:F939"/>
    <mergeCell ref="F940:F947"/>
    <mergeCell ref="F948:F949"/>
    <mergeCell ref="F951:F954"/>
    <mergeCell ref="F955:F956"/>
    <mergeCell ref="F957:F961"/>
    <mergeCell ref="F963:F964"/>
    <mergeCell ref="F965:F967"/>
    <mergeCell ref="F968:F969"/>
    <mergeCell ref="F792:F797"/>
    <mergeCell ref="F798:F799"/>
    <mergeCell ref="F802:F809"/>
    <mergeCell ref="F811:F819"/>
    <mergeCell ref="F821:F826"/>
    <mergeCell ref="F827:F828"/>
    <mergeCell ref="F829:F830"/>
    <mergeCell ref="F831:F836"/>
    <mergeCell ref="F837:F848"/>
    <mergeCell ref="F849:F850"/>
    <mergeCell ref="F854:F855"/>
    <mergeCell ref="F856:F864"/>
    <mergeCell ref="F865:F869"/>
    <mergeCell ref="F871:F873"/>
    <mergeCell ref="F874:F888"/>
    <mergeCell ref="F889:F890"/>
    <mergeCell ref="F891:F893"/>
    <mergeCell ref="F699:F708"/>
    <mergeCell ref="F709:F720"/>
    <mergeCell ref="F721:F725"/>
    <mergeCell ref="F727:F730"/>
    <mergeCell ref="F731:F733"/>
    <mergeCell ref="F734:F736"/>
    <mergeCell ref="F737:F742"/>
    <mergeCell ref="F743:F744"/>
    <mergeCell ref="F745:F747"/>
    <mergeCell ref="F748:F754"/>
    <mergeCell ref="F755:F757"/>
    <mergeCell ref="F758:F760"/>
    <mergeCell ref="F761:F768"/>
    <mergeCell ref="F769:F772"/>
    <mergeCell ref="F773:F775"/>
    <mergeCell ref="F776:F781"/>
    <mergeCell ref="F783:F790"/>
    <mergeCell ref="F590:F599"/>
    <mergeCell ref="F600:F611"/>
    <mergeCell ref="F612:F616"/>
    <mergeCell ref="F617:F636"/>
    <mergeCell ref="F637:F642"/>
    <mergeCell ref="F645:F654"/>
    <mergeCell ref="F655:F657"/>
    <mergeCell ref="F659:F664"/>
    <mergeCell ref="F665:F666"/>
    <mergeCell ref="F667:F669"/>
    <mergeCell ref="F670:F677"/>
    <mergeCell ref="F678:F681"/>
    <mergeCell ref="F682:F686"/>
    <mergeCell ref="F687:F688"/>
    <mergeCell ref="F689:F690"/>
    <mergeCell ref="F691:F695"/>
    <mergeCell ref="F696:F698"/>
    <mergeCell ref="F502:F508"/>
    <mergeCell ref="F509:F512"/>
    <mergeCell ref="F514:F518"/>
    <mergeCell ref="F519:F523"/>
    <mergeCell ref="F524:F525"/>
    <mergeCell ref="F526:F530"/>
    <mergeCell ref="F531:F532"/>
    <mergeCell ref="F533:F544"/>
    <mergeCell ref="F546:F551"/>
    <mergeCell ref="F552:F554"/>
    <mergeCell ref="F555:F559"/>
    <mergeCell ref="F560:F562"/>
    <mergeCell ref="F563:F567"/>
    <mergeCell ref="F568:F569"/>
    <mergeCell ref="F570:F572"/>
    <mergeCell ref="F573:F585"/>
    <mergeCell ref="F586:F589"/>
    <mergeCell ref="F403:F417"/>
    <mergeCell ref="F418:F421"/>
    <mergeCell ref="F423:F430"/>
    <mergeCell ref="F431:F440"/>
    <mergeCell ref="F441:F451"/>
    <mergeCell ref="F453:F454"/>
    <mergeCell ref="F455:F456"/>
    <mergeCell ref="F457:F458"/>
    <mergeCell ref="F459:F460"/>
    <mergeCell ref="F461:F471"/>
    <mergeCell ref="F472:F477"/>
    <mergeCell ref="F478:F479"/>
    <mergeCell ref="F480:F481"/>
    <mergeCell ref="F484:F486"/>
    <mergeCell ref="F487:F493"/>
    <mergeCell ref="F494:F496"/>
    <mergeCell ref="F498:F501"/>
    <mergeCell ref="F307:F312"/>
    <mergeCell ref="F313:F321"/>
    <mergeCell ref="F322:F325"/>
    <mergeCell ref="F326:F330"/>
    <mergeCell ref="F331:F336"/>
    <mergeCell ref="F338:F343"/>
    <mergeCell ref="F344:F347"/>
    <mergeCell ref="F348:F351"/>
    <mergeCell ref="F352:F358"/>
    <mergeCell ref="F359:F360"/>
    <mergeCell ref="F361:F364"/>
    <mergeCell ref="F365:F369"/>
    <mergeCell ref="F370:F373"/>
    <mergeCell ref="F375:F382"/>
    <mergeCell ref="F387:F389"/>
    <mergeCell ref="F391:F392"/>
    <mergeCell ref="F394:F402"/>
    <mergeCell ref="F210:F211"/>
    <mergeCell ref="F212:F219"/>
    <mergeCell ref="F221:F231"/>
    <mergeCell ref="F232:F234"/>
    <mergeCell ref="F236:F246"/>
    <mergeCell ref="F247:F252"/>
    <mergeCell ref="F253:F256"/>
    <mergeCell ref="F257:F259"/>
    <mergeCell ref="F260:F262"/>
    <mergeCell ref="F263:F270"/>
    <mergeCell ref="F271:F272"/>
    <mergeCell ref="F273:F276"/>
    <mergeCell ref="F277:F280"/>
    <mergeCell ref="F281:F285"/>
    <mergeCell ref="F287:F290"/>
    <mergeCell ref="F291:F298"/>
    <mergeCell ref="F299:F306"/>
    <mergeCell ref="F108:F111"/>
    <mergeCell ref="F112:F121"/>
    <mergeCell ref="F122:F125"/>
    <mergeCell ref="F126:F134"/>
    <mergeCell ref="F135:F138"/>
    <mergeCell ref="F139:F144"/>
    <mergeCell ref="F145:F147"/>
    <mergeCell ref="F148:F154"/>
    <mergeCell ref="F155:F160"/>
    <mergeCell ref="F161:F164"/>
    <mergeCell ref="F165:F175"/>
    <mergeCell ref="F176:F179"/>
    <mergeCell ref="F180:F186"/>
    <mergeCell ref="F187:F191"/>
    <mergeCell ref="F192:F198"/>
    <mergeCell ref="F199:F201"/>
    <mergeCell ref="F202:F209"/>
    <mergeCell ref="E1468:E1472"/>
    <mergeCell ref="E1474:E1476"/>
    <mergeCell ref="E1477:E1479"/>
    <mergeCell ref="E1480:E1483"/>
    <mergeCell ref="E1484:E1487"/>
    <mergeCell ref="E1490:E1493"/>
    <mergeCell ref="E1494:E1497"/>
    <mergeCell ref="E1501:E1502"/>
    <mergeCell ref="E1505:E1506"/>
    <mergeCell ref="E1508:E1509"/>
    <mergeCell ref="E1510:E1513"/>
    <mergeCell ref="E1514:E1515"/>
    <mergeCell ref="E1516:E1518"/>
    <mergeCell ref="F2:F5"/>
    <mergeCell ref="F6:F27"/>
    <mergeCell ref="F28:F30"/>
    <mergeCell ref="F31:F37"/>
    <mergeCell ref="F38:F39"/>
    <mergeCell ref="F40:F45"/>
    <mergeCell ref="F46:F50"/>
    <mergeCell ref="F51:F54"/>
    <mergeCell ref="F55:F60"/>
    <mergeCell ref="F61:F64"/>
    <mergeCell ref="F65:F67"/>
    <mergeCell ref="F68:F70"/>
    <mergeCell ref="F71:F78"/>
    <mergeCell ref="F79:F85"/>
    <mergeCell ref="F86:F89"/>
    <mergeCell ref="F90:F95"/>
    <mergeCell ref="F96:F98"/>
    <mergeCell ref="F99:F104"/>
    <mergeCell ref="F105:F107"/>
    <mergeCell ref="E1402:E1405"/>
    <mergeCell ref="E1406:E1408"/>
    <mergeCell ref="E1412:E1416"/>
    <mergeCell ref="E1417:E1419"/>
    <mergeCell ref="E1421:E1422"/>
    <mergeCell ref="E1423:E1426"/>
    <mergeCell ref="E1427:E1429"/>
    <mergeCell ref="E1430:E1432"/>
    <mergeCell ref="E1435:E1437"/>
    <mergeCell ref="E1438:E1439"/>
    <mergeCell ref="E1440:E1442"/>
    <mergeCell ref="E1443:E1444"/>
    <mergeCell ref="E1445:E1446"/>
    <mergeCell ref="E1448:E1449"/>
    <mergeCell ref="E1450:E1454"/>
    <mergeCell ref="E1456:E1460"/>
    <mergeCell ref="E1461:E1466"/>
    <mergeCell ref="E1323:E1330"/>
    <mergeCell ref="E1331:E1333"/>
    <mergeCell ref="E1335:E1337"/>
    <mergeCell ref="E1338:E1340"/>
    <mergeCell ref="E1343:E1344"/>
    <mergeCell ref="E1347:E1348"/>
    <mergeCell ref="E1349:E1351"/>
    <mergeCell ref="E1352:E1356"/>
    <mergeCell ref="E1358:E1363"/>
    <mergeCell ref="E1364:E1365"/>
    <mergeCell ref="E1366:E1368"/>
    <mergeCell ref="E1370:E1371"/>
    <mergeCell ref="E1374:E1379"/>
    <mergeCell ref="E1381:E1389"/>
    <mergeCell ref="E1390:E1392"/>
    <mergeCell ref="E1394:E1396"/>
    <mergeCell ref="E1397:E1401"/>
    <mergeCell ref="E1246:E1248"/>
    <mergeCell ref="E1249:E1250"/>
    <mergeCell ref="E1253:E1260"/>
    <mergeCell ref="E1263:E1265"/>
    <mergeCell ref="E1267:E1270"/>
    <mergeCell ref="E1271:E1275"/>
    <mergeCell ref="E1276:E1279"/>
    <mergeCell ref="E1281:E1282"/>
    <mergeCell ref="E1283:E1284"/>
    <mergeCell ref="E1285:E1294"/>
    <mergeCell ref="E1295:E1298"/>
    <mergeCell ref="E1299:E1301"/>
    <mergeCell ref="E1302:E1307"/>
    <mergeCell ref="E1308:E1309"/>
    <mergeCell ref="E1310:E1314"/>
    <mergeCell ref="E1316:E1317"/>
    <mergeCell ref="E1319:E1322"/>
    <mergeCell ref="E1166:E1172"/>
    <mergeCell ref="E1173:E1175"/>
    <mergeCell ref="E1176:E1179"/>
    <mergeCell ref="E1180:E1184"/>
    <mergeCell ref="E1186:E1189"/>
    <mergeCell ref="E1190:E1194"/>
    <mergeCell ref="E1195:E1196"/>
    <mergeCell ref="E1197:E1199"/>
    <mergeCell ref="E1201:E1202"/>
    <mergeCell ref="E1203:E1211"/>
    <mergeCell ref="E1212:E1220"/>
    <mergeCell ref="E1221:E1226"/>
    <mergeCell ref="E1227:E1231"/>
    <mergeCell ref="E1233:E1234"/>
    <mergeCell ref="E1235:E1239"/>
    <mergeCell ref="E1240:E1241"/>
    <mergeCell ref="E1242:E1245"/>
    <mergeCell ref="E1083:E1085"/>
    <mergeCell ref="E1087:E1094"/>
    <mergeCell ref="E1095:E1102"/>
    <mergeCell ref="E1103:E1107"/>
    <mergeCell ref="E1108:E1109"/>
    <mergeCell ref="E1110:E1112"/>
    <mergeCell ref="E1113:E1119"/>
    <mergeCell ref="E1120:E1121"/>
    <mergeCell ref="E1122:E1124"/>
    <mergeCell ref="E1126:E1127"/>
    <mergeCell ref="E1128:E1130"/>
    <mergeCell ref="E1131:E1135"/>
    <mergeCell ref="E1137:E1140"/>
    <mergeCell ref="E1141:E1144"/>
    <mergeCell ref="E1152:E1154"/>
    <mergeCell ref="E1155:E1156"/>
    <mergeCell ref="E1158:E1165"/>
    <mergeCell ref="E997:E998"/>
    <mergeCell ref="E1000:E1003"/>
    <mergeCell ref="E1005:E1012"/>
    <mergeCell ref="E1013:E1019"/>
    <mergeCell ref="E1020:E1022"/>
    <mergeCell ref="E1023:E1029"/>
    <mergeCell ref="E1030:E1036"/>
    <mergeCell ref="E1037:E1041"/>
    <mergeCell ref="E1042:E1052"/>
    <mergeCell ref="E1053:E1054"/>
    <mergeCell ref="E1055:E1056"/>
    <mergeCell ref="E1057:E1059"/>
    <mergeCell ref="E1060:E1065"/>
    <mergeCell ref="E1066:E1068"/>
    <mergeCell ref="E1069:E1072"/>
    <mergeCell ref="E1073:E1077"/>
    <mergeCell ref="E1078:E1082"/>
    <mergeCell ref="E922:E932"/>
    <mergeCell ref="E933:E934"/>
    <mergeCell ref="E935:E939"/>
    <mergeCell ref="E940:E947"/>
    <mergeCell ref="E948:E949"/>
    <mergeCell ref="E951:E954"/>
    <mergeCell ref="E955:E956"/>
    <mergeCell ref="E957:E961"/>
    <mergeCell ref="E963:E964"/>
    <mergeCell ref="E965:E967"/>
    <mergeCell ref="E968:E969"/>
    <mergeCell ref="E971:E972"/>
    <mergeCell ref="E973:E977"/>
    <mergeCell ref="E978:E981"/>
    <mergeCell ref="E982:E984"/>
    <mergeCell ref="E985:E991"/>
    <mergeCell ref="E992:E996"/>
    <mergeCell ref="E829:E830"/>
    <mergeCell ref="E831:E836"/>
    <mergeCell ref="E837:E848"/>
    <mergeCell ref="E849:E850"/>
    <mergeCell ref="E854:E855"/>
    <mergeCell ref="E856:E864"/>
    <mergeCell ref="E865:E869"/>
    <mergeCell ref="E871:E873"/>
    <mergeCell ref="E874:E888"/>
    <mergeCell ref="E889:E890"/>
    <mergeCell ref="E891:E893"/>
    <mergeCell ref="E894:E898"/>
    <mergeCell ref="E899:E903"/>
    <mergeCell ref="E905:E906"/>
    <mergeCell ref="E907:E912"/>
    <mergeCell ref="E913:E917"/>
    <mergeCell ref="E919:E920"/>
    <mergeCell ref="E737:E742"/>
    <mergeCell ref="E743:E744"/>
    <mergeCell ref="E745:E747"/>
    <mergeCell ref="E748:E754"/>
    <mergeCell ref="E755:E757"/>
    <mergeCell ref="E758:E760"/>
    <mergeCell ref="E761:E768"/>
    <mergeCell ref="E769:E772"/>
    <mergeCell ref="E773:E775"/>
    <mergeCell ref="E776:E781"/>
    <mergeCell ref="E783:E790"/>
    <mergeCell ref="E792:E797"/>
    <mergeCell ref="E798:E799"/>
    <mergeCell ref="E802:E809"/>
    <mergeCell ref="E811:E819"/>
    <mergeCell ref="E821:E826"/>
    <mergeCell ref="E827:E828"/>
    <mergeCell ref="E655:E657"/>
    <mergeCell ref="E659:E664"/>
    <mergeCell ref="E665:E666"/>
    <mergeCell ref="E667:E669"/>
    <mergeCell ref="E670:E677"/>
    <mergeCell ref="E678:E681"/>
    <mergeCell ref="E682:E686"/>
    <mergeCell ref="E687:E688"/>
    <mergeCell ref="E689:E690"/>
    <mergeCell ref="E691:E695"/>
    <mergeCell ref="E696:E698"/>
    <mergeCell ref="E699:E708"/>
    <mergeCell ref="E709:E720"/>
    <mergeCell ref="E721:E725"/>
    <mergeCell ref="E727:E730"/>
    <mergeCell ref="E731:E733"/>
    <mergeCell ref="E734:E736"/>
    <mergeCell ref="E531:E532"/>
    <mergeCell ref="E533:E544"/>
    <mergeCell ref="E546:E551"/>
    <mergeCell ref="E552:E554"/>
    <mergeCell ref="E555:E559"/>
    <mergeCell ref="E560:E562"/>
    <mergeCell ref="E563:E567"/>
    <mergeCell ref="E568:E569"/>
    <mergeCell ref="E570:E572"/>
    <mergeCell ref="E573:E585"/>
    <mergeCell ref="E586:E589"/>
    <mergeCell ref="E590:E599"/>
    <mergeCell ref="E600:E611"/>
    <mergeCell ref="E612:E616"/>
    <mergeCell ref="E617:E636"/>
    <mergeCell ref="E637:E642"/>
    <mergeCell ref="E645:E654"/>
    <mergeCell ref="E455:E456"/>
    <mergeCell ref="E457:E458"/>
    <mergeCell ref="E459:E460"/>
    <mergeCell ref="E461:E471"/>
    <mergeCell ref="E472:E477"/>
    <mergeCell ref="E478:E479"/>
    <mergeCell ref="E480:E481"/>
    <mergeCell ref="E484:E486"/>
    <mergeCell ref="E487:E493"/>
    <mergeCell ref="E494:E496"/>
    <mergeCell ref="E498:E501"/>
    <mergeCell ref="E502:E508"/>
    <mergeCell ref="E509:E512"/>
    <mergeCell ref="E514:E518"/>
    <mergeCell ref="E519:E523"/>
    <mergeCell ref="E524:E525"/>
    <mergeCell ref="E526:E530"/>
    <mergeCell ref="E344:E347"/>
    <mergeCell ref="E348:E351"/>
    <mergeCell ref="E352:E358"/>
    <mergeCell ref="E359:E360"/>
    <mergeCell ref="E361:E364"/>
    <mergeCell ref="E365:E369"/>
    <mergeCell ref="E370:E373"/>
    <mergeCell ref="E375:E382"/>
    <mergeCell ref="E387:E389"/>
    <mergeCell ref="E391:E392"/>
    <mergeCell ref="E394:E402"/>
    <mergeCell ref="E403:E417"/>
    <mergeCell ref="E418:E421"/>
    <mergeCell ref="E423:E430"/>
    <mergeCell ref="E431:E440"/>
    <mergeCell ref="E441:E451"/>
    <mergeCell ref="E453:E454"/>
    <mergeCell ref="E253:E256"/>
    <mergeCell ref="E257:E259"/>
    <mergeCell ref="E260:E262"/>
    <mergeCell ref="E263:E270"/>
    <mergeCell ref="E271:E272"/>
    <mergeCell ref="E273:E276"/>
    <mergeCell ref="E277:E280"/>
    <mergeCell ref="E281:E285"/>
    <mergeCell ref="E287:E290"/>
    <mergeCell ref="E291:E298"/>
    <mergeCell ref="E299:E306"/>
    <mergeCell ref="E307:E312"/>
    <mergeCell ref="E313:E321"/>
    <mergeCell ref="E322:E325"/>
    <mergeCell ref="E326:E330"/>
    <mergeCell ref="E331:E336"/>
    <mergeCell ref="E338:E343"/>
    <mergeCell ref="E145:E147"/>
    <mergeCell ref="E148:E154"/>
    <mergeCell ref="E155:E160"/>
    <mergeCell ref="E161:E164"/>
    <mergeCell ref="E165:E175"/>
    <mergeCell ref="E176:E179"/>
    <mergeCell ref="E180:E186"/>
    <mergeCell ref="E187:E191"/>
    <mergeCell ref="E192:E198"/>
    <mergeCell ref="E199:E201"/>
    <mergeCell ref="E202:E209"/>
    <mergeCell ref="E210:E211"/>
    <mergeCell ref="E212:E219"/>
    <mergeCell ref="E221:E231"/>
    <mergeCell ref="E232:E234"/>
    <mergeCell ref="E236:E246"/>
    <mergeCell ref="E247:E252"/>
    <mergeCell ref="C1494:C1497"/>
    <mergeCell ref="C1501:C1502"/>
    <mergeCell ref="C1505:C1506"/>
    <mergeCell ref="C1508:C1509"/>
    <mergeCell ref="C1510:C1513"/>
    <mergeCell ref="C1514:C1515"/>
    <mergeCell ref="C1516:C1518"/>
    <mergeCell ref="E2:E5"/>
    <mergeCell ref="E6:E27"/>
    <mergeCell ref="E28:E30"/>
    <mergeCell ref="E31:E37"/>
    <mergeCell ref="E38:E39"/>
    <mergeCell ref="E40:E45"/>
    <mergeCell ref="E46:E50"/>
    <mergeCell ref="E51:E54"/>
    <mergeCell ref="E55:E60"/>
    <mergeCell ref="E61:E64"/>
    <mergeCell ref="E65:E67"/>
    <mergeCell ref="E68:E70"/>
    <mergeCell ref="E71:E78"/>
    <mergeCell ref="E79:E85"/>
    <mergeCell ref="E86:E89"/>
    <mergeCell ref="E90:E95"/>
    <mergeCell ref="E96:E98"/>
    <mergeCell ref="E99:E104"/>
    <mergeCell ref="E105:E107"/>
    <mergeCell ref="E108:E111"/>
    <mergeCell ref="E112:E121"/>
    <mergeCell ref="E122:E125"/>
    <mergeCell ref="E126:E134"/>
    <mergeCell ref="E135:E138"/>
    <mergeCell ref="E139:E144"/>
    <mergeCell ref="C1427:C1429"/>
    <mergeCell ref="C1430:C1432"/>
    <mergeCell ref="C1435:C1437"/>
    <mergeCell ref="C1438:C1439"/>
    <mergeCell ref="C1440:C1442"/>
    <mergeCell ref="C1443:C1444"/>
    <mergeCell ref="C1445:C1446"/>
    <mergeCell ref="C1448:C1449"/>
    <mergeCell ref="C1450:C1454"/>
    <mergeCell ref="C1456:C1460"/>
    <mergeCell ref="C1461:C1466"/>
    <mergeCell ref="C1468:C1472"/>
    <mergeCell ref="C1474:C1476"/>
    <mergeCell ref="C1477:C1479"/>
    <mergeCell ref="C1480:C1483"/>
    <mergeCell ref="C1484:C1487"/>
    <mergeCell ref="C1490:C1493"/>
    <mergeCell ref="C1349:C1351"/>
    <mergeCell ref="C1352:C1356"/>
    <mergeCell ref="C1358:C1363"/>
    <mergeCell ref="C1364:C1365"/>
    <mergeCell ref="C1366:C1368"/>
    <mergeCell ref="C1370:C1371"/>
    <mergeCell ref="C1374:C1379"/>
    <mergeCell ref="C1381:C1389"/>
    <mergeCell ref="C1390:C1392"/>
    <mergeCell ref="C1394:C1396"/>
    <mergeCell ref="C1397:C1401"/>
    <mergeCell ref="C1402:C1405"/>
    <mergeCell ref="C1406:C1408"/>
    <mergeCell ref="C1412:C1416"/>
    <mergeCell ref="C1417:C1419"/>
    <mergeCell ref="C1421:C1422"/>
    <mergeCell ref="C1423:C1426"/>
    <mergeCell ref="C1276:C1279"/>
    <mergeCell ref="C1281:C1282"/>
    <mergeCell ref="C1283:C1284"/>
    <mergeCell ref="C1285:C1294"/>
    <mergeCell ref="C1295:C1298"/>
    <mergeCell ref="C1299:C1301"/>
    <mergeCell ref="C1302:C1307"/>
    <mergeCell ref="C1308:C1309"/>
    <mergeCell ref="C1310:C1314"/>
    <mergeCell ref="C1316:C1317"/>
    <mergeCell ref="C1319:C1322"/>
    <mergeCell ref="C1323:C1330"/>
    <mergeCell ref="C1331:C1333"/>
    <mergeCell ref="C1335:C1337"/>
    <mergeCell ref="C1338:C1340"/>
    <mergeCell ref="C1343:C1344"/>
    <mergeCell ref="C1347:C1348"/>
    <mergeCell ref="C1195:C1196"/>
    <mergeCell ref="C1197:C1199"/>
    <mergeCell ref="C1201:C1202"/>
    <mergeCell ref="C1203:C1211"/>
    <mergeCell ref="C1212:C1220"/>
    <mergeCell ref="C1221:C1226"/>
    <mergeCell ref="C1227:C1231"/>
    <mergeCell ref="C1233:C1234"/>
    <mergeCell ref="C1235:C1239"/>
    <mergeCell ref="C1240:C1241"/>
    <mergeCell ref="C1242:C1245"/>
    <mergeCell ref="C1246:C1248"/>
    <mergeCell ref="C1249:C1250"/>
    <mergeCell ref="C1253:C1260"/>
    <mergeCell ref="C1263:C1265"/>
    <mergeCell ref="C1267:C1270"/>
    <mergeCell ref="C1271:C1275"/>
    <mergeCell ref="C1113:C1119"/>
    <mergeCell ref="C1120:C1121"/>
    <mergeCell ref="C1122:C1124"/>
    <mergeCell ref="C1126:C1127"/>
    <mergeCell ref="C1128:C1130"/>
    <mergeCell ref="C1131:C1135"/>
    <mergeCell ref="C1137:C1140"/>
    <mergeCell ref="C1141:C1144"/>
    <mergeCell ref="C1152:C1154"/>
    <mergeCell ref="C1155:C1156"/>
    <mergeCell ref="C1158:C1165"/>
    <mergeCell ref="C1166:C1172"/>
    <mergeCell ref="C1173:C1175"/>
    <mergeCell ref="C1176:C1179"/>
    <mergeCell ref="C1180:C1184"/>
    <mergeCell ref="C1186:C1189"/>
    <mergeCell ref="C1190:C1194"/>
    <mergeCell ref="C1030:C1036"/>
    <mergeCell ref="C1037:C1041"/>
    <mergeCell ref="C1042:C1052"/>
    <mergeCell ref="C1053:C1054"/>
    <mergeCell ref="C1055:C1056"/>
    <mergeCell ref="C1057:C1059"/>
    <mergeCell ref="C1060:C1065"/>
    <mergeCell ref="C1066:C1068"/>
    <mergeCell ref="C1069:C1072"/>
    <mergeCell ref="C1073:C1077"/>
    <mergeCell ref="C1078:C1082"/>
    <mergeCell ref="C1083:C1085"/>
    <mergeCell ref="C1087:C1094"/>
    <mergeCell ref="C1095:C1102"/>
    <mergeCell ref="C1103:C1107"/>
    <mergeCell ref="C1108:C1109"/>
    <mergeCell ref="C1110:C1112"/>
    <mergeCell ref="C955:C956"/>
    <mergeCell ref="C957:C961"/>
    <mergeCell ref="C963:C964"/>
    <mergeCell ref="C965:C967"/>
    <mergeCell ref="C968:C969"/>
    <mergeCell ref="C971:C972"/>
    <mergeCell ref="C973:C977"/>
    <mergeCell ref="C978:C981"/>
    <mergeCell ref="C982:C984"/>
    <mergeCell ref="C985:C991"/>
    <mergeCell ref="C992:C996"/>
    <mergeCell ref="C997:C998"/>
    <mergeCell ref="C1000:C1003"/>
    <mergeCell ref="C1005:C1012"/>
    <mergeCell ref="C1013:C1019"/>
    <mergeCell ref="C1020:C1022"/>
    <mergeCell ref="C1023:C1029"/>
    <mergeCell ref="C865:C869"/>
    <mergeCell ref="C871:C873"/>
    <mergeCell ref="C874:C888"/>
    <mergeCell ref="C889:C890"/>
    <mergeCell ref="C891:C893"/>
    <mergeCell ref="C894:C898"/>
    <mergeCell ref="C899:C903"/>
    <mergeCell ref="C905:C906"/>
    <mergeCell ref="C907:C912"/>
    <mergeCell ref="C913:C917"/>
    <mergeCell ref="C919:C920"/>
    <mergeCell ref="C922:C932"/>
    <mergeCell ref="C933:C934"/>
    <mergeCell ref="C935:C939"/>
    <mergeCell ref="C940:C947"/>
    <mergeCell ref="C948:C949"/>
    <mergeCell ref="C951:C954"/>
    <mergeCell ref="C761:C768"/>
    <mergeCell ref="C769:C772"/>
    <mergeCell ref="C773:C775"/>
    <mergeCell ref="C776:C781"/>
    <mergeCell ref="C783:C790"/>
    <mergeCell ref="C792:C797"/>
    <mergeCell ref="C798:C799"/>
    <mergeCell ref="C802:C809"/>
    <mergeCell ref="C811:C819"/>
    <mergeCell ref="C821:C826"/>
    <mergeCell ref="C827:C828"/>
    <mergeCell ref="C829:C830"/>
    <mergeCell ref="C831:C836"/>
    <mergeCell ref="C837:C848"/>
    <mergeCell ref="C849:C850"/>
    <mergeCell ref="C854:C855"/>
    <mergeCell ref="C856:C864"/>
    <mergeCell ref="C682:C686"/>
    <mergeCell ref="C687:C688"/>
    <mergeCell ref="C689:C690"/>
    <mergeCell ref="C691:C695"/>
    <mergeCell ref="C696:C698"/>
    <mergeCell ref="C699:C708"/>
    <mergeCell ref="C709:C720"/>
    <mergeCell ref="C721:C725"/>
    <mergeCell ref="C727:C730"/>
    <mergeCell ref="C731:C733"/>
    <mergeCell ref="C734:C736"/>
    <mergeCell ref="C737:C742"/>
    <mergeCell ref="C743:C744"/>
    <mergeCell ref="C745:C747"/>
    <mergeCell ref="C748:C754"/>
    <mergeCell ref="C755:C757"/>
    <mergeCell ref="C758:C760"/>
    <mergeCell ref="C563:C567"/>
    <mergeCell ref="C568:C569"/>
    <mergeCell ref="C570:C572"/>
    <mergeCell ref="C573:C585"/>
    <mergeCell ref="C586:C589"/>
    <mergeCell ref="C590:C599"/>
    <mergeCell ref="C600:C611"/>
    <mergeCell ref="C612:C616"/>
    <mergeCell ref="C617:C636"/>
    <mergeCell ref="C637:C642"/>
    <mergeCell ref="C645:C654"/>
    <mergeCell ref="C655:C657"/>
    <mergeCell ref="C659:C664"/>
    <mergeCell ref="C665:C666"/>
    <mergeCell ref="C667:C669"/>
    <mergeCell ref="C670:C677"/>
    <mergeCell ref="C678:C681"/>
    <mergeCell ref="C480:C481"/>
    <mergeCell ref="C484:C486"/>
    <mergeCell ref="C487:C493"/>
    <mergeCell ref="C494:C496"/>
    <mergeCell ref="C498:C501"/>
    <mergeCell ref="C502:C508"/>
    <mergeCell ref="C509:C512"/>
    <mergeCell ref="C514:C518"/>
    <mergeCell ref="C519:C523"/>
    <mergeCell ref="C524:C525"/>
    <mergeCell ref="C526:C530"/>
    <mergeCell ref="C531:C532"/>
    <mergeCell ref="C533:C544"/>
    <mergeCell ref="C546:C551"/>
    <mergeCell ref="C552:C554"/>
    <mergeCell ref="C555:C559"/>
    <mergeCell ref="C560:C562"/>
    <mergeCell ref="C370:C373"/>
    <mergeCell ref="C375:C382"/>
    <mergeCell ref="C387:C389"/>
    <mergeCell ref="C391:C392"/>
    <mergeCell ref="C394:C402"/>
    <mergeCell ref="C403:C417"/>
    <mergeCell ref="C418:C421"/>
    <mergeCell ref="C423:C430"/>
    <mergeCell ref="C431:C440"/>
    <mergeCell ref="C441:C451"/>
    <mergeCell ref="C453:C454"/>
    <mergeCell ref="C455:C456"/>
    <mergeCell ref="C457:C458"/>
    <mergeCell ref="C459:C460"/>
    <mergeCell ref="C461:C471"/>
    <mergeCell ref="C472:C477"/>
    <mergeCell ref="C478:C479"/>
    <mergeCell ref="C277:C280"/>
    <mergeCell ref="C281:C285"/>
    <mergeCell ref="C287:C290"/>
    <mergeCell ref="C291:C298"/>
    <mergeCell ref="C299:C306"/>
    <mergeCell ref="C307:C312"/>
    <mergeCell ref="C313:C321"/>
    <mergeCell ref="C322:C325"/>
    <mergeCell ref="C326:C330"/>
    <mergeCell ref="C331:C336"/>
    <mergeCell ref="C338:C343"/>
    <mergeCell ref="C344:C347"/>
    <mergeCell ref="C348:C351"/>
    <mergeCell ref="C352:C358"/>
    <mergeCell ref="C359:C360"/>
    <mergeCell ref="C361:C364"/>
    <mergeCell ref="C365:C369"/>
    <mergeCell ref="C180:C186"/>
    <mergeCell ref="C187:C191"/>
    <mergeCell ref="C192:C198"/>
    <mergeCell ref="C199:C201"/>
    <mergeCell ref="C202:C209"/>
    <mergeCell ref="C210:C211"/>
    <mergeCell ref="C212:C219"/>
    <mergeCell ref="C221:C231"/>
    <mergeCell ref="C232:C234"/>
    <mergeCell ref="C236:C246"/>
    <mergeCell ref="C247:C252"/>
    <mergeCell ref="C253:C256"/>
    <mergeCell ref="C257:C259"/>
    <mergeCell ref="C260:C262"/>
    <mergeCell ref="C263:C270"/>
    <mergeCell ref="C271:C272"/>
    <mergeCell ref="C273:C276"/>
    <mergeCell ref="B2:B1519"/>
    <mergeCell ref="C2:C5"/>
    <mergeCell ref="C6:C27"/>
    <mergeCell ref="C28:C30"/>
    <mergeCell ref="C31:C37"/>
    <mergeCell ref="C38:C39"/>
    <mergeCell ref="C40:C45"/>
    <mergeCell ref="C46:C50"/>
    <mergeCell ref="C51:C54"/>
    <mergeCell ref="C55:C60"/>
    <mergeCell ref="C61:C64"/>
    <mergeCell ref="C65:C67"/>
    <mergeCell ref="C68:C70"/>
    <mergeCell ref="C71:C78"/>
    <mergeCell ref="C79:C85"/>
    <mergeCell ref="C86:C89"/>
    <mergeCell ref="C90:C95"/>
    <mergeCell ref="C96:C98"/>
    <mergeCell ref="C99:C104"/>
    <mergeCell ref="C105:C107"/>
    <mergeCell ref="C108:C111"/>
    <mergeCell ref="C112:C121"/>
    <mergeCell ref="C122:C125"/>
    <mergeCell ref="C126:C134"/>
    <mergeCell ref="C135:C138"/>
    <mergeCell ref="C139:C144"/>
    <mergeCell ref="C145:C147"/>
    <mergeCell ref="C148:C154"/>
    <mergeCell ref="C155:C160"/>
    <mergeCell ref="C161:C164"/>
    <mergeCell ref="C165:C175"/>
    <mergeCell ref="C176:C179"/>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204"/>
  <sheetViews>
    <sheetView workbookViewId="0">
      <pane ySplit="1" topLeftCell="A2" activePane="bottomLeft" state="frozen"/>
      <selection pane="bottomLeft" activeCell="B1" sqref="B1:B1048576"/>
    </sheetView>
  </sheetViews>
  <sheetFormatPr defaultColWidth="9" defaultRowHeight="14.5"/>
  <cols>
    <col min="1" max="1" width="2.6328125" style="3" customWidth="1"/>
    <col min="2" max="2" width="9" style="4"/>
    <col min="3" max="3" width="9" style="5"/>
    <col min="4" max="4" width="9" style="5" hidden="1" customWidth="1"/>
    <col min="5" max="5" width="9" style="5"/>
    <col min="6" max="6" width="26.81640625" style="5" customWidth="1"/>
    <col min="7" max="8" width="9" style="5" hidden="1" customWidth="1"/>
    <col min="9" max="9" width="9" style="5"/>
    <col min="10" max="10" width="10.36328125" style="5" customWidth="1"/>
    <col min="11" max="17" width="9" style="5"/>
    <col min="18" max="18" width="17.08984375" style="5" customWidth="1"/>
    <col min="19" max="19" width="14.36328125" style="5" customWidth="1"/>
    <col min="20" max="20" width="31.54296875" style="6" customWidth="1"/>
    <col min="21" max="23" width="9" style="6" hidden="1" customWidth="1"/>
    <col min="24" max="16384" width="9" style="5"/>
  </cols>
  <sheetData>
    <row r="1" spans="1:23" s="1" customFormat="1" ht="12">
      <c r="A1" s="7"/>
      <c r="B1" s="8" t="s">
        <v>220</v>
      </c>
      <c r="C1" s="9" t="s">
        <v>221</v>
      </c>
      <c r="D1" s="9" t="s">
        <v>222</v>
      </c>
      <c r="E1" s="9" t="s">
        <v>222</v>
      </c>
      <c r="F1" s="10" t="s">
        <v>7871</v>
      </c>
      <c r="G1" s="9" t="s">
        <v>224</v>
      </c>
      <c r="H1" s="9" t="s">
        <v>225</v>
      </c>
      <c r="I1" s="9" t="s">
        <v>7872</v>
      </c>
      <c r="J1" s="9" t="s">
        <v>7873</v>
      </c>
      <c r="K1" s="9" t="s">
        <v>5603</v>
      </c>
      <c r="L1" s="9" t="s">
        <v>7874</v>
      </c>
      <c r="M1" s="9" t="s">
        <v>7875</v>
      </c>
      <c r="N1" s="9" t="s">
        <v>7876</v>
      </c>
      <c r="O1" s="9" t="s">
        <v>7877</v>
      </c>
      <c r="P1" s="9" t="s">
        <v>7878</v>
      </c>
      <c r="Q1" s="9" t="s">
        <v>7879</v>
      </c>
      <c r="R1" s="9" t="s">
        <v>234</v>
      </c>
      <c r="S1" s="9" t="s">
        <v>235</v>
      </c>
      <c r="T1" s="10" t="s">
        <v>7880</v>
      </c>
      <c r="U1" s="10" t="s">
        <v>237</v>
      </c>
      <c r="V1" s="10" t="s">
        <v>238</v>
      </c>
      <c r="W1" s="10" t="s">
        <v>239</v>
      </c>
    </row>
    <row r="2" spans="1:23" s="2" customFormat="1" ht="12">
      <c r="A2" s="11"/>
      <c r="B2" s="107" t="s">
        <v>2229</v>
      </c>
      <c r="C2" s="109" t="s">
        <v>7881</v>
      </c>
      <c r="D2" s="14" t="s">
        <v>7882</v>
      </c>
      <c r="E2" s="113" t="s">
        <v>7882</v>
      </c>
      <c r="F2" s="114" t="s">
        <v>7883</v>
      </c>
      <c r="G2" s="113" t="s">
        <v>7884</v>
      </c>
      <c r="H2" s="109" t="s">
        <v>7885</v>
      </c>
      <c r="I2" s="109" t="s">
        <v>496</v>
      </c>
      <c r="J2" s="113" t="s">
        <v>385</v>
      </c>
      <c r="K2" s="113" t="s">
        <v>272</v>
      </c>
      <c r="L2" s="113" t="s">
        <v>350</v>
      </c>
      <c r="M2" s="113" t="s">
        <v>1238</v>
      </c>
      <c r="N2" s="13" t="s">
        <v>7881</v>
      </c>
      <c r="O2" s="15" t="s">
        <v>285</v>
      </c>
      <c r="P2" s="13" t="s">
        <v>2330</v>
      </c>
      <c r="Q2" s="15" t="s">
        <v>3591</v>
      </c>
      <c r="R2" s="109" t="s">
        <v>7886</v>
      </c>
      <c r="S2" s="109" t="s">
        <v>7887</v>
      </c>
      <c r="T2" s="114" t="s">
        <v>7888</v>
      </c>
      <c r="U2" s="114" t="s">
        <v>7889</v>
      </c>
      <c r="V2" s="112" t="s">
        <v>7890</v>
      </c>
      <c r="W2" s="112" t="s">
        <v>7891</v>
      </c>
    </row>
    <row r="3" spans="1:23" s="2" customFormat="1" ht="12">
      <c r="A3" s="11"/>
      <c r="B3" s="108"/>
      <c r="C3" s="109"/>
      <c r="D3" s="14" t="str">
        <f t="shared" ref="D3:D12" si="0">D2</f>
        <v>友宝</v>
      </c>
      <c r="E3" s="109"/>
      <c r="F3" s="112"/>
      <c r="G3" s="109"/>
      <c r="H3" s="109"/>
      <c r="I3" s="109"/>
      <c r="J3" s="109"/>
      <c r="K3" s="109"/>
      <c r="L3" s="109"/>
      <c r="M3" s="109"/>
      <c r="N3" s="13" t="s">
        <v>7892</v>
      </c>
      <c r="O3" s="15" t="s">
        <v>275</v>
      </c>
      <c r="P3" s="15" t="s">
        <v>252</v>
      </c>
      <c r="Q3" s="13" t="s">
        <v>253</v>
      </c>
      <c r="R3" s="109"/>
      <c r="S3" s="109"/>
      <c r="T3" s="112"/>
      <c r="U3" s="112"/>
      <c r="V3" s="112"/>
      <c r="W3" s="112"/>
    </row>
    <row r="4" spans="1:23" s="2" customFormat="1" ht="12">
      <c r="A4" s="11"/>
      <c r="B4" s="108"/>
      <c r="C4" s="109"/>
      <c r="D4" s="14" t="str">
        <f t="shared" si="0"/>
        <v>友宝</v>
      </c>
      <c r="E4" s="109"/>
      <c r="F4" s="112"/>
      <c r="G4" s="109"/>
      <c r="H4" s="109"/>
      <c r="I4" s="109"/>
      <c r="J4" s="109"/>
      <c r="K4" s="109"/>
      <c r="L4" s="109"/>
      <c r="M4" s="109"/>
      <c r="N4" s="13" t="s">
        <v>7893</v>
      </c>
      <c r="O4" s="15" t="s">
        <v>359</v>
      </c>
      <c r="P4" s="13" t="s">
        <v>578</v>
      </c>
      <c r="Q4" s="15" t="s">
        <v>7894</v>
      </c>
      <c r="R4" s="109"/>
      <c r="S4" s="109"/>
      <c r="T4" s="112"/>
      <c r="U4" s="112"/>
      <c r="V4" s="112"/>
      <c r="W4" s="112"/>
    </row>
    <row r="5" spans="1:23" s="2" customFormat="1" ht="12">
      <c r="A5" s="11"/>
      <c r="B5" s="108"/>
      <c r="C5" s="109"/>
      <c r="D5" s="14" t="str">
        <f t="shared" si="0"/>
        <v>友宝</v>
      </c>
      <c r="E5" s="109"/>
      <c r="F5" s="112"/>
      <c r="G5" s="109"/>
      <c r="H5" s="109"/>
      <c r="I5" s="109"/>
      <c r="J5" s="109"/>
      <c r="K5" s="109"/>
      <c r="L5" s="109"/>
      <c r="M5" s="109"/>
      <c r="N5" s="13" t="s">
        <v>7895</v>
      </c>
      <c r="O5" s="15" t="s">
        <v>359</v>
      </c>
      <c r="P5" s="15" t="s">
        <v>252</v>
      </c>
      <c r="Q5" s="15" t="s">
        <v>7896</v>
      </c>
      <c r="R5" s="109"/>
      <c r="S5" s="109"/>
      <c r="T5" s="112"/>
      <c r="U5" s="112"/>
      <c r="V5" s="112"/>
      <c r="W5" s="112"/>
    </row>
    <row r="6" spans="1:23" s="2" customFormat="1" ht="12">
      <c r="A6" s="11"/>
      <c r="B6" s="108"/>
      <c r="C6" s="109"/>
      <c r="D6" s="14" t="str">
        <f t="shared" si="0"/>
        <v>友宝</v>
      </c>
      <c r="E6" s="109"/>
      <c r="F6" s="112"/>
      <c r="G6" s="109"/>
      <c r="H6" s="109"/>
      <c r="I6" s="109"/>
      <c r="J6" s="109"/>
      <c r="K6" s="109"/>
      <c r="L6" s="109"/>
      <c r="M6" s="109"/>
      <c r="N6" s="13" t="s">
        <v>7897</v>
      </c>
      <c r="O6" s="15" t="s">
        <v>359</v>
      </c>
      <c r="P6" s="13" t="s">
        <v>7898</v>
      </c>
      <c r="Q6" s="15" t="s">
        <v>7899</v>
      </c>
      <c r="R6" s="109"/>
      <c r="S6" s="109"/>
      <c r="T6" s="112"/>
      <c r="U6" s="112"/>
      <c r="V6" s="112"/>
      <c r="W6" s="112"/>
    </row>
    <row r="7" spans="1:23" s="2" customFormat="1" ht="12">
      <c r="A7" s="11"/>
      <c r="B7" s="108"/>
      <c r="C7" s="109"/>
      <c r="D7" s="14" t="str">
        <f t="shared" si="0"/>
        <v>友宝</v>
      </c>
      <c r="E7" s="109"/>
      <c r="F7" s="112"/>
      <c r="G7" s="109"/>
      <c r="H7" s="109"/>
      <c r="I7" s="109"/>
      <c r="J7" s="109"/>
      <c r="K7" s="109"/>
      <c r="L7" s="109"/>
      <c r="M7" s="109"/>
      <c r="N7" s="13" t="s">
        <v>7900</v>
      </c>
      <c r="O7" s="15" t="s">
        <v>362</v>
      </c>
      <c r="P7" s="15" t="s">
        <v>252</v>
      </c>
      <c r="Q7" s="13" t="s">
        <v>253</v>
      </c>
      <c r="R7" s="109"/>
      <c r="S7" s="109"/>
      <c r="T7" s="112"/>
      <c r="U7" s="112"/>
      <c r="V7" s="112"/>
      <c r="W7" s="112"/>
    </row>
    <row r="8" spans="1:23" s="2" customFormat="1" ht="12">
      <c r="A8" s="11"/>
      <c r="B8" s="108"/>
      <c r="C8" s="109"/>
      <c r="D8" s="14" t="str">
        <f t="shared" si="0"/>
        <v>友宝</v>
      </c>
      <c r="E8" s="109"/>
      <c r="F8" s="112"/>
      <c r="G8" s="109"/>
      <c r="H8" s="109"/>
      <c r="I8" s="109"/>
      <c r="J8" s="109"/>
      <c r="K8" s="109"/>
      <c r="L8" s="109"/>
      <c r="M8" s="109"/>
      <c r="N8" s="13" t="s">
        <v>7901</v>
      </c>
      <c r="O8" s="13" t="s">
        <v>763</v>
      </c>
      <c r="P8" s="13" t="s">
        <v>7898</v>
      </c>
      <c r="Q8" s="15" t="s">
        <v>1117</v>
      </c>
      <c r="R8" s="109"/>
      <c r="S8" s="109"/>
      <c r="T8" s="112"/>
      <c r="U8" s="112"/>
      <c r="V8" s="112"/>
      <c r="W8" s="112"/>
    </row>
    <row r="9" spans="1:23" s="2" customFormat="1" ht="12">
      <c r="A9" s="11"/>
      <c r="B9" s="108"/>
      <c r="C9" s="109"/>
      <c r="D9" s="14" t="str">
        <f t="shared" si="0"/>
        <v>友宝</v>
      </c>
      <c r="E9" s="109"/>
      <c r="F9" s="112"/>
      <c r="G9" s="109"/>
      <c r="H9" s="109"/>
      <c r="I9" s="109"/>
      <c r="J9" s="109"/>
      <c r="K9" s="109"/>
      <c r="L9" s="109"/>
      <c r="M9" s="109"/>
      <c r="N9" s="13" t="s">
        <v>7902</v>
      </c>
      <c r="O9" s="13" t="s">
        <v>565</v>
      </c>
      <c r="P9" s="15" t="s">
        <v>252</v>
      </c>
      <c r="Q9" s="15" t="s">
        <v>7903</v>
      </c>
      <c r="R9" s="109"/>
      <c r="S9" s="109"/>
      <c r="T9" s="112"/>
      <c r="U9" s="112"/>
      <c r="V9" s="112"/>
      <c r="W9" s="112"/>
    </row>
    <row r="10" spans="1:23" s="2" customFormat="1" ht="12">
      <c r="A10" s="11"/>
      <c r="B10" s="108"/>
      <c r="C10" s="109"/>
      <c r="D10" s="14" t="str">
        <f t="shared" si="0"/>
        <v>友宝</v>
      </c>
      <c r="E10" s="109"/>
      <c r="F10" s="112"/>
      <c r="G10" s="109"/>
      <c r="H10" s="109"/>
      <c r="I10" s="109"/>
      <c r="J10" s="109"/>
      <c r="K10" s="109"/>
      <c r="L10" s="109"/>
      <c r="M10" s="109"/>
      <c r="N10" s="13" t="s">
        <v>7904</v>
      </c>
      <c r="O10" s="13" t="s">
        <v>257</v>
      </c>
      <c r="P10" s="15" t="s">
        <v>258</v>
      </c>
      <c r="Q10" s="15" t="s">
        <v>7905</v>
      </c>
      <c r="R10" s="109"/>
      <c r="S10" s="109"/>
      <c r="T10" s="112"/>
      <c r="U10" s="112"/>
      <c r="V10" s="112"/>
      <c r="W10" s="112"/>
    </row>
    <row r="11" spans="1:23" s="2" customFormat="1" ht="12">
      <c r="A11" s="11"/>
      <c r="B11" s="108"/>
      <c r="C11" s="109"/>
      <c r="D11" s="14" t="str">
        <f t="shared" si="0"/>
        <v>友宝</v>
      </c>
      <c r="E11" s="109"/>
      <c r="F11" s="112"/>
      <c r="G11" s="109"/>
      <c r="H11" s="109"/>
      <c r="I11" s="109"/>
      <c r="J11" s="109"/>
      <c r="K11" s="109"/>
      <c r="L11" s="109"/>
      <c r="M11" s="109"/>
      <c r="N11" s="13" t="s">
        <v>7906</v>
      </c>
      <c r="O11" s="13" t="s">
        <v>262</v>
      </c>
      <c r="P11" s="15" t="s">
        <v>258</v>
      </c>
      <c r="Q11" s="15" t="s">
        <v>7907</v>
      </c>
      <c r="R11" s="109"/>
      <c r="S11" s="109"/>
      <c r="T11" s="112"/>
      <c r="U11" s="112"/>
      <c r="V11" s="112"/>
      <c r="W11" s="112"/>
    </row>
    <row r="12" spans="1:23" s="2" customFormat="1" ht="12">
      <c r="A12" s="11"/>
      <c r="B12" s="108"/>
      <c r="C12" s="109"/>
      <c r="D12" s="14" t="str">
        <f t="shared" si="0"/>
        <v>友宝</v>
      </c>
      <c r="E12" s="109"/>
      <c r="F12" s="112"/>
      <c r="G12" s="109"/>
      <c r="H12" s="109"/>
      <c r="I12" s="109"/>
      <c r="J12" s="109"/>
      <c r="K12" s="109"/>
      <c r="L12" s="109"/>
      <c r="M12" s="109"/>
      <c r="N12" s="13" t="s">
        <v>7908</v>
      </c>
      <c r="O12" s="15" t="s">
        <v>326</v>
      </c>
      <c r="P12" s="15" t="s">
        <v>327</v>
      </c>
      <c r="Q12" s="13" t="s">
        <v>253</v>
      </c>
      <c r="R12" s="109"/>
      <c r="S12" s="109"/>
      <c r="T12" s="112"/>
      <c r="U12" s="112"/>
      <c r="V12" s="112"/>
      <c r="W12" s="112"/>
    </row>
    <row r="13" spans="1:23" s="2" customFormat="1" ht="12">
      <c r="A13" s="11"/>
      <c r="B13" s="108"/>
      <c r="C13" s="109" t="s">
        <v>265</v>
      </c>
      <c r="D13" s="14" t="s">
        <v>266</v>
      </c>
      <c r="E13" s="113" t="s">
        <v>266</v>
      </c>
      <c r="F13" s="114" t="s">
        <v>267</v>
      </c>
      <c r="G13" s="113" t="s">
        <v>268</v>
      </c>
      <c r="H13" s="109" t="s">
        <v>269</v>
      </c>
      <c r="I13" s="109" t="s">
        <v>270</v>
      </c>
      <c r="J13" s="113" t="s">
        <v>271</v>
      </c>
      <c r="K13" s="113" t="s">
        <v>272</v>
      </c>
      <c r="L13" s="113" t="s">
        <v>273</v>
      </c>
      <c r="M13" s="113" t="s">
        <v>274</v>
      </c>
      <c r="N13" s="13" t="s">
        <v>265</v>
      </c>
      <c r="O13" s="15" t="s">
        <v>275</v>
      </c>
      <c r="P13" s="15" t="s">
        <v>276</v>
      </c>
      <c r="Q13" s="13" t="s">
        <v>253</v>
      </c>
      <c r="R13" s="109" t="s">
        <v>277</v>
      </c>
      <c r="S13" s="109" t="s">
        <v>278</v>
      </c>
      <c r="T13" s="114" t="s">
        <v>279</v>
      </c>
      <c r="U13" s="114" t="s">
        <v>280</v>
      </c>
      <c r="V13" s="112" t="s">
        <v>281</v>
      </c>
      <c r="W13" s="112" t="s">
        <v>282</v>
      </c>
    </row>
    <row r="14" spans="1:23" s="2" customFormat="1" ht="12">
      <c r="A14" s="11"/>
      <c r="B14" s="108"/>
      <c r="C14" s="109"/>
      <c r="D14" s="14" t="str">
        <f t="shared" ref="D14:D34" si="1">D13</f>
        <v>滴滴出行</v>
      </c>
      <c r="E14" s="109"/>
      <c r="F14" s="112"/>
      <c r="G14" s="109"/>
      <c r="H14" s="109"/>
      <c r="I14" s="109"/>
      <c r="J14" s="109"/>
      <c r="K14" s="109"/>
      <c r="L14" s="109"/>
      <c r="M14" s="109"/>
      <c r="N14" s="13" t="s">
        <v>7909</v>
      </c>
      <c r="O14" s="13" t="s">
        <v>283</v>
      </c>
      <c r="P14" s="13" t="s">
        <v>284</v>
      </c>
      <c r="Q14" s="13" t="s">
        <v>253</v>
      </c>
      <c r="R14" s="109"/>
      <c r="S14" s="109"/>
      <c r="T14" s="112"/>
      <c r="U14" s="112"/>
      <c r="V14" s="112"/>
      <c r="W14" s="112"/>
    </row>
    <row r="15" spans="1:23" s="2" customFormat="1" ht="12">
      <c r="A15" s="11"/>
      <c r="B15" s="108"/>
      <c r="C15" s="109"/>
      <c r="D15" s="14" t="str">
        <f t="shared" si="1"/>
        <v>滴滴出行</v>
      </c>
      <c r="E15" s="109"/>
      <c r="F15" s="112"/>
      <c r="G15" s="109"/>
      <c r="H15" s="109"/>
      <c r="I15" s="109"/>
      <c r="J15" s="109"/>
      <c r="K15" s="109"/>
      <c r="L15" s="109"/>
      <c r="M15" s="109"/>
      <c r="N15" s="13" t="s">
        <v>7910</v>
      </c>
      <c r="O15" s="15" t="s">
        <v>285</v>
      </c>
      <c r="P15" s="13" t="s">
        <v>286</v>
      </c>
      <c r="Q15" s="15" t="s">
        <v>287</v>
      </c>
      <c r="R15" s="109"/>
      <c r="S15" s="109"/>
      <c r="T15" s="112"/>
      <c r="U15" s="112"/>
      <c r="V15" s="112"/>
      <c r="W15" s="112"/>
    </row>
    <row r="16" spans="1:23" s="2" customFormat="1" ht="12">
      <c r="A16" s="11"/>
      <c r="B16" s="108"/>
      <c r="C16" s="109"/>
      <c r="D16" s="14" t="str">
        <f t="shared" si="1"/>
        <v>滴滴出行</v>
      </c>
      <c r="E16" s="109"/>
      <c r="F16" s="112"/>
      <c r="G16" s="109"/>
      <c r="H16" s="109"/>
      <c r="I16" s="109"/>
      <c r="J16" s="109"/>
      <c r="K16" s="109"/>
      <c r="L16" s="109"/>
      <c r="M16" s="109"/>
      <c r="N16" s="13" t="s">
        <v>2678</v>
      </c>
      <c r="O16" s="15" t="s">
        <v>285</v>
      </c>
      <c r="P16" s="13" t="s">
        <v>288</v>
      </c>
      <c r="Q16" s="13" t="s">
        <v>289</v>
      </c>
      <c r="R16" s="109"/>
      <c r="S16" s="109"/>
      <c r="T16" s="112"/>
      <c r="U16" s="112"/>
      <c r="V16" s="112"/>
      <c r="W16" s="112"/>
    </row>
    <row r="17" spans="1:23" s="2" customFormat="1" ht="12">
      <c r="A17" s="11"/>
      <c r="B17" s="108"/>
      <c r="C17" s="109"/>
      <c r="D17" s="14" t="str">
        <f t="shared" si="1"/>
        <v>滴滴出行</v>
      </c>
      <c r="E17" s="109"/>
      <c r="F17" s="112"/>
      <c r="G17" s="109"/>
      <c r="H17" s="109"/>
      <c r="I17" s="109"/>
      <c r="J17" s="109"/>
      <c r="K17" s="109"/>
      <c r="L17" s="109"/>
      <c r="M17" s="109"/>
      <c r="N17" s="13" t="s">
        <v>7911</v>
      </c>
      <c r="O17" s="15" t="s">
        <v>285</v>
      </c>
      <c r="P17" s="13" t="s">
        <v>290</v>
      </c>
      <c r="Q17" s="15" t="s">
        <v>291</v>
      </c>
      <c r="R17" s="109"/>
      <c r="S17" s="109"/>
      <c r="T17" s="112"/>
      <c r="U17" s="112"/>
      <c r="V17" s="112"/>
      <c r="W17" s="112"/>
    </row>
    <row r="18" spans="1:23" s="2" customFormat="1" ht="12">
      <c r="A18" s="11"/>
      <c r="B18" s="108"/>
      <c r="C18" s="109"/>
      <c r="D18" s="14" t="str">
        <f t="shared" si="1"/>
        <v>滴滴出行</v>
      </c>
      <c r="E18" s="109"/>
      <c r="F18" s="112"/>
      <c r="G18" s="109"/>
      <c r="H18" s="109"/>
      <c r="I18" s="109"/>
      <c r="J18" s="109"/>
      <c r="K18" s="109"/>
      <c r="L18" s="109"/>
      <c r="M18" s="109"/>
      <c r="N18" s="13" t="s">
        <v>7912</v>
      </c>
      <c r="O18" s="15" t="s">
        <v>285</v>
      </c>
      <c r="P18" s="13" t="s">
        <v>292</v>
      </c>
      <c r="Q18" s="15" t="s">
        <v>293</v>
      </c>
      <c r="R18" s="109"/>
      <c r="S18" s="109"/>
      <c r="T18" s="112"/>
      <c r="U18" s="112"/>
      <c r="V18" s="112"/>
      <c r="W18" s="112"/>
    </row>
    <row r="19" spans="1:23" s="2" customFormat="1" ht="12">
      <c r="A19" s="11"/>
      <c r="B19" s="108"/>
      <c r="C19" s="109"/>
      <c r="D19" s="14" t="str">
        <f t="shared" si="1"/>
        <v>滴滴出行</v>
      </c>
      <c r="E19" s="109"/>
      <c r="F19" s="112"/>
      <c r="G19" s="109"/>
      <c r="H19" s="109"/>
      <c r="I19" s="109"/>
      <c r="J19" s="109"/>
      <c r="K19" s="109"/>
      <c r="L19" s="109"/>
      <c r="M19" s="109"/>
      <c r="N19" s="13" t="s">
        <v>7913</v>
      </c>
      <c r="O19" s="15" t="s">
        <v>285</v>
      </c>
      <c r="P19" s="13" t="s">
        <v>294</v>
      </c>
      <c r="Q19" s="15" t="s">
        <v>295</v>
      </c>
      <c r="R19" s="109"/>
      <c r="S19" s="109"/>
      <c r="T19" s="112"/>
      <c r="U19" s="112"/>
      <c r="V19" s="112"/>
      <c r="W19" s="112"/>
    </row>
    <row r="20" spans="1:23" s="2" customFormat="1" ht="12">
      <c r="A20" s="11"/>
      <c r="B20" s="108"/>
      <c r="C20" s="109"/>
      <c r="D20" s="14" t="str">
        <f t="shared" si="1"/>
        <v>滴滴出行</v>
      </c>
      <c r="E20" s="109"/>
      <c r="F20" s="112"/>
      <c r="G20" s="109"/>
      <c r="H20" s="109"/>
      <c r="I20" s="109"/>
      <c r="J20" s="109"/>
      <c r="K20" s="109"/>
      <c r="L20" s="109"/>
      <c r="M20" s="109"/>
      <c r="N20" s="13" t="s">
        <v>706</v>
      </c>
      <c r="O20" s="15" t="s">
        <v>285</v>
      </c>
      <c r="P20" s="15" t="s">
        <v>258</v>
      </c>
      <c r="Q20" s="15" t="s">
        <v>296</v>
      </c>
      <c r="R20" s="109"/>
      <c r="S20" s="109"/>
      <c r="T20" s="112"/>
      <c r="U20" s="112"/>
      <c r="V20" s="112"/>
      <c r="W20" s="112"/>
    </row>
    <row r="21" spans="1:23" s="2" customFormat="1" ht="12">
      <c r="A21" s="11"/>
      <c r="B21" s="108"/>
      <c r="C21" s="109"/>
      <c r="D21" s="14" t="str">
        <f t="shared" si="1"/>
        <v>滴滴出行</v>
      </c>
      <c r="E21" s="109"/>
      <c r="F21" s="112"/>
      <c r="G21" s="109"/>
      <c r="H21" s="109"/>
      <c r="I21" s="109"/>
      <c r="J21" s="109"/>
      <c r="K21" s="109"/>
      <c r="L21" s="109"/>
      <c r="M21" s="109"/>
      <c r="N21" s="13" t="s">
        <v>3047</v>
      </c>
      <c r="O21" s="15" t="s">
        <v>285</v>
      </c>
      <c r="P21" s="13" t="s">
        <v>297</v>
      </c>
      <c r="Q21" s="15" t="s">
        <v>298</v>
      </c>
      <c r="R21" s="109"/>
      <c r="S21" s="109"/>
      <c r="T21" s="112"/>
      <c r="U21" s="112"/>
      <c r="V21" s="112"/>
      <c r="W21" s="112"/>
    </row>
    <row r="22" spans="1:23" s="2" customFormat="1" ht="12">
      <c r="A22" s="11"/>
      <c r="B22" s="108"/>
      <c r="C22" s="109"/>
      <c r="D22" s="14" t="str">
        <f t="shared" si="1"/>
        <v>滴滴出行</v>
      </c>
      <c r="E22" s="109"/>
      <c r="F22" s="112"/>
      <c r="G22" s="109"/>
      <c r="H22" s="109"/>
      <c r="I22" s="109"/>
      <c r="J22" s="109"/>
      <c r="K22" s="109"/>
      <c r="L22" s="109"/>
      <c r="M22" s="109"/>
      <c r="N22" s="13" t="s">
        <v>7914</v>
      </c>
      <c r="O22" s="15" t="s">
        <v>285</v>
      </c>
      <c r="P22" s="15" t="s">
        <v>299</v>
      </c>
      <c r="Q22" s="15" t="s">
        <v>300</v>
      </c>
      <c r="R22" s="109"/>
      <c r="S22" s="109"/>
      <c r="T22" s="112"/>
      <c r="U22" s="112"/>
      <c r="V22" s="112"/>
      <c r="W22" s="112"/>
    </row>
    <row r="23" spans="1:23" s="2" customFormat="1" ht="12">
      <c r="A23" s="11"/>
      <c r="B23" s="108"/>
      <c r="C23" s="109"/>
      <c r="D23" s="14" t="str">
        <f t="shared" si="1"/>
        <v>滴滴出行</v>
      </c>
      <c r="E23" s="109"/>
      <c r="F23" s="112"/>
      <c r="G23" s="109"/>
      <c r="H23" s="109"/>
      <c r="I23" s="109"/>
      <c r="J23" s="109"/>
      <c r="K23" s="109"/>
      <c r="L23" s="109"/>
      <c r="M23" s="109"/>
      <c r="N23" s="13" t="s">
        <v>7915</v>
      </c>
      <c r="O23" s="15" t="s">
        <v>285</v>
      </c>
      <c r="P23" s="13" t="s">
        <v>301</v>
      </c>
      <c r="Q23" s="15" t="s">
        <v>302</v>
      </c>
      <c r="R23" s="109"/>
      <c r="S23" s="109"/>
      <c r="T23" s="112"/>
      <c r="U23" s="112"/>
      <c r="V23" s="112"/>
      <c r="W23" s="112"/>
    </row>
    <row r="24" spans="1:23" s="2" customFormat="1" ht="12">
      <c r="A24" s="11"/>
      <c r="B24" s="108"/>
      <c r="C24" s="109"/>
      <c r="D24" s="14" t="str">
        <f t="shared" si="1"/>
        <v>滴滴出行</v>
      </c>
      <c r="E24" s="109"/>
      <c r="F24" s="112"/>
      <c r="G24" s="109"/>
      <c r="H24" s="109"/>
      <c r="I24" s="109"/>
      <c r="J24" s="109"/>
      <c r="K24" s="109"/>
      <c r="L24" s="109"/>
      <c r="M24" s="109"/>
      <c r="N24" s="13" t="s">
        <v>7916</v>
      </c>
      <c r="O24" s="13" t="s">
        <v>303</v>
      </c>
      <c r="P24" s="13" t="s">
        <v>304</v>
      </c>
      <c r="Q24" s="15" t="s">
        <v>305</v>
      </c>
      <c r="R24" s="109"/>
      <c r="S24" s="109"/>
      <c r="T24" s="112"/>
      <c r="U24" s="112"/>
      <c r="V24" s="112"/>
      <c r="W24" s="112"/>
    </row>
    <row r="25" spans="1:23" s="2" customFormat="1" ht="12">
      <c r="A25" s="11"/>
      <c r="B25" s="108"/>
      <c r="C25" s="109"/>
      <c r="D25" s="14" t="str">
        <f t="shared" si="1"/>
        <v>滴滴出行</v>
      </c>
      <c r="E25" s="109"/>
      <c r="F25" s="112"/>
      <c r="G25" s="109"/>
      <c r="H25" s="109"/>
      <c r="I25" s="109"/>
      <c r="J25" s="109"/>
      <c r="K25" s="109"/>
      <c r="L25" s="109"/>
      <c r="M25" s="109"/>
      <c r="N25" s="13" t="s">
        <v>7900</v>
      </c>
      <c r="O25" s="13" t="s">
        <v>303</v>
      </c>
      <c r="P25" s="13" t="s">
        <v>306</v>
      </c>
      <c r="Q25" s="15" t="s">
        <v>307</v>
      </c>
      <c r="R25" s="109"/>
      <c r="S25" s="109"/>
      <c r="T25" s="112"/>
      <c r="U25" s="112"/>
      <c r="V25" s="112"/>
      <c r="W25" s="112"/>
    </row>
    <row r="26" spans="1:23" s="2" customFormat="1" ht="12">
      <c r="A26" s="11"/>
      <c r="B26" s="108"/>
      <c r="C26" s="109"/>
      <c r="D26" s="14" t="str">
        <f t="shared" si="1"/>
        <v>滴滴出行</v>
      </c>
      <c r="E26" s="109"/>
      <c r="F26" s="112"/>
      <c r="G26" s="109"/>
      <c r="H26" s="109"/>
      <c r="I26" s="109"/>
      <c r="J26" s="109"/>
      <c r="K26" s="109"/>
      <c r="L26" s="109"/>
      <c r="M26" s="109"/>
      <c r="N26" s="13" t="s">
        <v>1774</v>
      </c>
      <c r="O26" s="13" t="s">
        <v>303</v>
      </c>
      <c r="P26" s="13" t="s">
        <v>308</v>
      </c>
      <c r="Q26" s="15" t="s">
        <v>309</v>
      </c>
      <c r="R26" s="109"/>
      <c r="S26" s="109"/>
      <c r="T26" s="112"/>
      <c r="U26" s="112"/>
      <c r="V26" s="112"/>
      <c r="W26" s="112"/>
    </row>
    <row r="27" spans="1:23" s="2" customFormat="1" ht="12">
      <c r="A27" s="11"/>
      <c r="B27" s="108"/>
      <c r="C27" s="109"/>
      <c r="D27" s="14" t="str">
        <f t="shared" si="1"/>
        <v>滴滴出行</v>
      </c>
      <c r="E27" s="109"/>
      <c r="F27" s="112"/>
      <c r="G27" s="109"/>
      <c r="H27" s="109"/>
      <c r="I27" s="109"/>
      <c r="J27" s="109"/>
      <c r="K27" s="109"/>
      <c r="L27" s="109"/>
      <c r="M27" s="109"/>
      <c r="N27" s="13" t="s">
        <v>7917</v>
      </c>
      <c r="O27" s="13" t="s">
        <v>310</v>
      </c>
      <c r="P27" s="13" t="s">
        <v>311</v>
      </c>
      <c r="Q27" s="15" t="s">
        <v>312</v>
      </c>
      <c r="R27" s="109"/>
      <c r="S27" s="109"/>
      <c r="T27" s="112"/>
      <c r="U27" s="112"/>
      <c r="V27" s="112"/>
      <c r="W27" s="112"/>
    </row>
    <row r="28" spans="1:23" s="2" customFormat="1" ht="12">
      <c r="A28" s="11"/>
      <c r="B28" s="108"/>
      <c r="C28" s="109"/>
      <c r="D28" s="14" t="str">
        <f t="shared" si="1"/>
        <v>滴滴出行</v>
      </c>
      <c r="E28" s="109"/>
      <c r="F28" s="112"/>
      <c r="G28" s="109"/>
      <c r="H28" s="109"/>
      <c r="I28" s="109"/>
      <c r="J28" s="109"/>
      <c r="K28" s="109"/>
      <c r="L28" s="109"/>
      <c r="M28" s="109"/>
      <c r="N28" s="13" t="s">
        <v>529</v>
      </c>
      <c r="O28" s="15" t="s">
        <v>313</v>
      </c>
      <c r="P28" s="15" t="s">
        <v>252</v>
      </c>
      <c r="Q28" s="15" t="s">
        <v>314</v>
      </c>
      <c r="R28" s="109"/>
      <c r="S28" s="109"/>
      <c r="T28" s="112"/>
      <c r="U28" s="112"/>
      <c r="V28" s="112"/>
      <c r="W28" s="112"/>
    </row>
    <row r="29" spans="1:23" s="2" customFormat="1" ht="12">
      <c r="A29" s="11"/>
      <c r="B29" s="108"/>
      <c r="C29" s="109"/>
      <c r="D29" s="14" t="str">
        <f t="shared" si="1"/>
        <v>滴滴出行</v>
      </c>
      <c r="E29" s="109"/>
      <c r="F29" s="112"/>
      <c r="G29" s="109"/>
      <c r="H29" s="109"/>
      <c r="I29" s="109"/>
      <c r="J29" s="109"/>
      <c r="K29" s="109"/>
      <c r="L29" s="109"/>
      <c r="M29" s="109"/>
      <c r="N29" s="13" t="s">
        <v>7918</v>
      </c>
      <c r="O29" s="13" t="s">
        <v>315</v>
      </c>
      <c r="P29" s="15" t="s">
        <v>276</v>
      </c>
      <c r="Q29" s="15" t="s">
        <v>316</v>
      </c>
      <c r="R29" s="109"/>
      <c r="S29" s="109"/>
      <c r="T29" s="112"/>
      <c r="U29" s="112"/>
      <c r="V29" s="112"/>
      <c r="W29" s="112"/>
    </row>
    <row r="30" spans="1:23" s="2" customFormat="1" ht="12">
      <c r="A30" s="11"/>
      <c r="B30" s="108"/>
      <c r="C30" s="109"/>
      <c r="D30" s="14" t="str">
        <f t="shared" si="1"/>
        <v>滴滴出行</v>
      </c>
      <c r="E30" s="109"/>
      <c r="F30" s="112"/>
      <c r="G30" s="109"/>
      <c r="H30" s="109"/>
      <c r="I30" s="109"/>
      <c r="J30" s="109"/>
      <c r="K30" s="109"/>
      <c r="L30" s="109"/>
      <c r="M30" s="109"/>
      <c r="N30" s="13" t="s">
        <v>7919</v>
      </c>
      <c r="O30" s="13" t="s">
        <v>317</v>
      </c>
      <c r="P30" s="13" t="s">
        <v>318</v>
      </c>
      <c r="Q30" s="15" t="s">
        <v>319</v>
      </c>
      <c r="R30" s="109"/>
      <c r="S30" s="109"/>
      <c r="T30" s="112"/>
      <c r="U30" s="112"/>
      <c r="V30" s="112"/>
      <c r="W30" s="112"/>
    </row>
    <row r="31" spans="1:23" s="2" customFormat="1" ht="12">
      <c r="A31" s="11"/>
      <c r="B31" s="108"/>
      <c r="C31" s="109"/>
      <c r="D31" s="14" t="str">
        <f t="shared" si="1"/>
        <v>滴滴出行</v>
      </c>
      <c r="E31" s="109"/>
      <c r="F31" s="112"/>
      <c r="G31" s="109"/>
      <c r="H31" s="109"/>
      <c r="I31" s="109"/>
      <c r="J31" s="109"/>
      <c r="K31" s="109"/>
      <c r="L31" s="109"/>
      <c r="M31" s="109"/>
      <c r="N31" s="13" t="s">
        <v>7920</v>
      </c>
      <c r="O31" s="13" t="s">
        <v>251</v>
      </c>
      <c r="P31" s="13" t="s">
        <v>320</v>
      </c>
      <c r="Q31" s="15" t="s">
        <v>321</v>
      </c>
      <c r="R31" s="109"/>
      <c r="S31" s="109"/>
      <c r="T31" s="112"/>
      <c r="U31" s="112"/>
      <c r="V31" s="112"/>
      <c r="W31" s="112"/>
    </row>
    <row r="32" spans="1:23" s="2" customFormat="1" ht="12">
      <c r="A32" s="11"/>
      <c r="B32" s="108"/>
      <c r="C32" s="109"/>
      <c r="D32" s="14" t="str">
        <f t="shared" si="1"/>
        <v>滴滴出行</v>
      </c>
      <c r="E32" s="109"/>
      <c r="F32" s="112"/>
      <c r="G32" s="109"/>
      <c r="H32" s="109"/>
      <c r="I32" s="109"/>
      <c r="J32" s="109"/>
      <c r="K32" s="109"/>
      <c r="L32" s="109"/>
      <c r="M32" s="109"/>
      <c r="N32" s="13" t="s">
        <v>329</v>
      </c>
      <c r="O32" s="13" t="s">
        <v>257</v>
      </c>
      <c r="P32" s="13" t="s">
        <v>322</v>
      </c>
      <c r="Q32" s="15" t="s">
        <v>323</v>
      </c>
      <c r="R32" s="109"/>
      <c r="S32" s="109"/>
      <c r="T32" s="112"/>
      <c r="U32" s="112"/>
      <c r="V32" s="112"/>
      <c r="W32" s="112"/>
    </row>
    <row r="33" spans="1:23" s="2" customFormat="1" ht="12">
      <c r="A33" s="11"/>
      <c r="B33" s="108"/>
      <c r="C33" s="109"/>
      <c r="D33" s="14" t="str">
        <f t="shared" si="1"/>
        <v>滴滴出行</v>
      </c>
      <c r="E33" s="109"/>
      <c r="F33" s="112"/>
      <c r="G33" s="109"/>
      <c r="H33" s="109"/>
      <c r="I33" s="109"/>
      <c r="J33" s="109"/>
      <c r="K33" s="109"/>
      <c r="L33" s="109"/>
      <c r="M33" s="109"/>
      <c r="N33" s="13" t="s">
        <v>7921</v>
      </c>
      <c r="O33" s="13" t="s">
        <v>262</v>
      </c>
      <c r="P33" s="13" t="s">
        <v>324</v>
      </c>
      <c r="Q33" s="15" t="s">
        <v>325</v>
      </c>
      <c r="R33" s="109"/>
      <c r="S33" s="109"/>
      <c r="T33" s="112"/>
      <c r="U33" s="112"/>
      <c r="V33" s="112"/>
      <c r="W33" s="112"/>
    </row>
    <row r="34" spans="1:23" s="2" customFormat="1" ht="12">
      <c r="A34" s="11"/>
      <c r="B34" s="108"/>
      <c r="C34" s="109"/>
      <c r="D34" s="14" t="str">
        <f t="shared" si="1"/>
        <v>滴滴出行</v>
      </c>
      <c r="E34" s="109"/>
      <c r="F34" s="112"/>
      <c r="G34" s="109"/>
      <c r="H34" s="109"/>
      <c r="I34" s="109"/>
      <c r="J34" s="109"/>
      <c r="K34" s="109"/>
      <c r="L34" s="109"/>
      <c r="M34" s="109"/>
      <c r="N34" s="13" t="s">
        <v>7922</v>
      </c>
      <c r="O34" s="15" t="s">
        <v>326</v>
      </c>
      <c r="P34" s="15" t="s">
        <v>327</v>
      </c>
      <c r="Q34" s="15" t="s">
        <v>328</v>
      </c>
      <c r="R34" s="109"/>
      <c r="S34" s="109"/>
      <c r="T34" s="112"/>
      <c r="U34" s="112"/>
      <c r="V34" s="112"/>
      <c r="W34" s="112"/>
    </row>
    <row r="35" spans="1:23" s="2" customFormat="1" ht="12">
      <c r="A35" s="11"/>
      <c r="B35" s="108"/>
      <c r="C35" s="109" t="s">
        <v>7923</v>
      </c>
      <c r="D35" s="14" t="s">
        <v>7924</v>
      </c>
      <c r="E35" s="113" t="s">
        <v>7924</v>
      </c>
      <c r="F35" s="114" t="s">
        <v>7925</v>
      </c>
      <c r="G35" s="113" t="s">
        <v>7926</v>
      </c>
      <c r="H35" s="109" t="s">
        <v>7927</v>
      </c>
      <c r="I35" s="109" t="s">
        <v>4214</v>
      </c>
      <c r="J35" s="113" t="s">
        <v>385</v>
      </c>
      <c r="K35" s="113" t="s">
        <v>272</v>
      </c>
      <c r="L35" s="113" t="s">
        <v>407</v>
      </c>
      <c r="M35" s="113" t="s">
        <v>577</v>
      </c>
      <c r="N35" s="13" t="s">
        <v>7923</v>
      </c>
      <c r="O35" s="15" t="s">
        <v>471</v>
      </c>
      <c r="P35" s="13" t="s">
        <v>1245</v>
      </c>
      <c r="Q35" s="15" t="s">
        <v>7928</v>
      </c>
      <c r="R35" s="109" t="s">
        <v>7929</v>
      </c>
      <c r="S35" s="109" t="s">
        <v>7930</v>
      </c>
      <c r="T35" s="114" t="s">
        <v>7931</v>
      </c>
      <c r="U35" s="114" t="s">
        <v>7932</v>
      </c>
      <c r="V35" s="112" t="s">
        <v>7933</v>
      </c>
      <c r="W35" s="112" t="s">
        <v>7934</v>
      </c>
    </row>
    <row r="36" spans="1:23" s="2" customFormat="1" ht="12">
      <c r="A36" s="11"/>
      <c r="B36" s="108"/>
      <c r="C36" s="109"/>
      <c r="D36" s="14" t="str">
        <f>D35</f>
        <v>雅座</v>
      </c>
      <c r="E36" s="109"/>
      <c r="F36" s="112"/>
      <c r="G36" s="109"/>
      <c r="H36" s="109"/>
      <c r="I36" s="109"/>
      <c r="J36" s="109"/>
      <c r="K36" s="109"/>
      <c r="L36" s="109"/>
      <c r="M36" s="109"/>
      <c r="N36" s="13" t="s">
        <v>7935</v>
      </c>
      <c r="O36" s="13" t="s">
        <v>251</v>
      </c>
      <c r="P36" s="13" t="s">
        <v>578</v>
      </c>
      <c r="Q36" s="15" t="s">
        <v>2229</v>
      </c>
      <c r="R36" s="109"/>
      <c r="S36" s="109"/>
      <c r="T36" s="112"/>
      <c r="U36" s="112"/>
      <c r="V36" s="112"/>
      <c r="W36" s="112"/>
    </row>
    <row r="37" spans="1:23" s="2" customFormat="1" ht="12">
      <c r="A37" s="11"/>
      <c r="B37" s="108"/>
      <c r="C37" s="109"/>
      <c r="D37" s="14" t="str">
        <f>D36</f>
        <v>雅座</v>
      </c>
      <c r="E37" s="109"/>
      <c r="F37" s="112"/>
      <c r="G37" s="109"/>
      <c r="H37" s="109"/>
      <c r="I37" s="109"/>
      <c r="J37" s="109"/>
      <c r="K37" s="109"/>
      <c r="L37" s="109"/>
      <c r="M37" s="109"/>
      <c r="N37" s="13" t="s">
        <v>7906</v>
      </c>
      <c r="O37" s="13" t="s">
        <v>257</v>
      </c>
      <c r="P37" s="13" t="s">
        <v>395</v>
      </c>
      <c r="Q37" s="15" t="s">
        <v>2971</v>
      </c>
      <c r="R37" s="109"/>
      <c r="S37" s="109"/>
      <c r="T37" s="112"/>
      <c r="U37" s="112"/>
      <c r="V37" s="112"/>
      <c r="W37" s="112"/>
    </row>
    <row r="38" spans="1:23" s="2" customFormat="1" ht="12">
      <c r="A38" s="11"/>
      <c r="B38" s="108"/>
      <c r="C38" s="109"/>
      <c r="D38" s="14" t="str">
        <f>D37</f>
        <v>雅座</v>
      </c>
      <c r="E38" s="109"/>
      <c r="F38" s="112"/>
      <c r="G38" s="109"/>
      <c r="H38" s="109"/>
      <c r="I38" s="109"/>
      <c r="J38" s="109"/>
      <c r="K38" s="109"/>
      <c r="L38" s="109"/>
      <c r="M38" s="109"/>
      <c r="N38" s="13" t="s">
        <v>7936</v>
      </c>
      <c r="O38" s="13" t="s">
        <v>262</v>
      </c>
      <c r="P38" s="13" t="s">
        <v>3761</v>
      </c>
      <c r="Q38" s="15" t="s">
        <v>7937</v>
      </c>
      <c r="R38" s="109"/>
      <c r="S38" s="109"/>
      <c r="T38" s="112"/>
      <c r="U38" s="112"/>
      <c r="V38" s="112"/>
      <c r="W38" s="112"/>
    </row>
    <row r="39" spans="1:23" s="2" customFormat="1" ht="12">
      <c r="A39" s="11"/>
      <c r="B39" s="108"/>
      <c r="C39" s="109" t="s">
        <v>7938</v>
      </c>
      <c r="D39" s="14" t="s">
        <v>7939</v>
      </c>
      <c r="E39" s="113" t="s">
        <v>7939</v>
      </c>
      <c r="F39" s="114" t="s">
        <v>7940</v>
      </c>
      <c r="G39" s="113" t="s">
        <v>7941</v>
      </c>
      <c r="H39" s="109" t="s">
        <v>7942</v>
      </c>
      <c r="I39" s="109" t="s">
        <v>1016</v>
      </c>
      <c r="J39" s="113" t="s">
        <v>385</v>
      </c>
      <c r="K39" s="113" t="s">
        <v>272</v>
      </c>
      <c r="L39" s="113" t="s">
        <v>1859</v>
      </c>
      <c r="M39" s="113" t="s">
        <v>7943</v>
      </c>
      <c r="N39" s="13" t="s">
        <v>7938</v>
      </c>
      <c r="O39" s="13" t="s">
        <v>310</v>
      </c>
      <c r="P39" s="13" t="s">
        <v>297</v>
      </c>
      <c r="Q39" s="15" t="s">
        <v>7944</v>
      </c>
      <c r="R39" s="109" t="s">
        <v>7945</v>
      </c>
      <c r="S39" s="109" t="s">
        <v>3696</v>
      </c>
      <c r="T39" s="114" t="s">
        <v>7946</v>
      </c>
      <c r="U39" s="114" t="s">
        <v>7947</v>
      </c>
      <c r="V39" s="112" t="s">
        <v>7948</v>
      </c>
      <c r="W39" s="112" t="s">
        <v>7949</v>
      </c>
    </row>
    <row r="40" spans="1:23" s="2" customFormat="1" ht="12">
      <c r="A40" s="11"/>
      <c r="B40" s="108"/>
      <c r="C40" s="109"/>
      <c r="D40" s="14" t="str">
        <f>D39</f>
        <v>雪球</v>
      </c>
      <c r="E40" s="109"/>
      <c r="F40" s="112"/>
      <c r="G40" s="109"/>
      <c r="H40" s="109"/>
      <c r="I40" s="109"/>
      <c r="J40" s="109"/>
      <c r="K40" s="109"/>
      <c r="L40" s="109"/>
      <c r="M40" s="109"/>
      <c r="N40" s="13" t="s">
        <v>7950</v>
      </c>
      <c r="O40" s="13" t="s">
        <v>317</v>
      </c>
      <c r="P40" s="13" t="s">
        <v>297</v>
      </c>
      <c r="Q40" s="15" t="s">
        <v>2229</v>
      </c>
      <c r="R40" s="109"/>
      <c r="S40" s="109"/>
      <c r="T40" s="112"/>
      <c r="U40" s="112"/>
      <c r="V40" s="112"/>
      <c r="W40" s="112"/>
    </row>
    <row r="41" spans="1:23" s="2" customFormat="1" ht="12">
      <c r="A41" s="11"/>
      <c r="B41" s="108"/>
      <c r="C41" s="109"/>
      <c r="D41" s="14" t="str">
        <f>D40</f>
        <v>雪球</v>
      </c>
      <c r="E41" s="109"/>
      <c r="F41" s="112"/>
      <c r="G41" s="109"/>
      <c r="H41" s="109"/>
      <c r="I41" s="109"/>
      <c r="J41" s="109"/>
      <c r="K41" s="109"/>
      <c r="L41" s="109"/>
      <c r="M41" s="109"/>
      <c r="N41" s="13" t="s">
        <v>7951</v>
      </c>
      <c r="O41" s="13" t="s">
        <v>251</v>
      </c>
      <c r="P41" s="13" t="s">
        <v>676</v>
      </c>
      <c r="Q41" s="15" t="s">
        <v>7952</v>
      </c>
      <c r="R41" s="109"/>
      <c r="S41" s="109"/>
      <c r="T41" s="112"/>
      <c r="U41" s="112"/>
      <c r="V41" s="112"/>
      <c r="W41" s="112"/>
    </row>
    <row r="42" spans="1:23" s="2" customFormat="1" ht="12">
      <c r="A42" s="11"/>
      <c r="B42" s="108"/>
      <c r="C42" s="109"/>
      <c r="D42" s="14" t="str">
        <f>D41</f>
        <v>雪球</v>
      </c>
      <c r="E42" s="109"/>
      <c r="F42" s="112"/>
      <c r="G42" s="109"/>
      <c r="H42" s="109"/>
      <c r="I42" s="109"/>
      <c r="J42" s="109"/>
      <c r="K42" s="109"/>
      <c r="L42" s="109"/>
      <c r="M42" s="109"/>
      <c r="N42" s="13" t="s">
        <v>611</v>
      </c>
      <c r="O42" s="13" t="s">
        <v>257</v>
      </c>
      <c r="P42" s="13" t="s">
        <v>337</v>
      </c>
      <c r="Q42" s="15" t="s">
        <v>7953</v>
      </c>
      <c r="R42" s="109"/>
      <c r="S42" s="109"/>
      <c r="T42" s="112"/>
      <c r="U42" s="112"/>
      <c r="V42" s="112"/>
      <c r="W42" s="112"/>
    </row>
    <row r="43" spans="1:23" s="2" customFormat="1" ht="12">
      <c r="A43" s="11"/>
      <c r="B43" s="108"/>
      <c r="C43" s="109"/>
      <c r="D43" s="14" t="str">
        <f>D42</f>
        <v>雪球</v>
      </c>
      <c r="E43" s="109"/>
      <c r="F43" s="112"/>
      <c r="G43" s="109"/>
      <c r="H43" s="109"/>
      <c r="I43" s="109"/>
      <c r="J43" s="109"/>
      <c r="K43" s="109"/>
      <c r="L43" s="109"/>
      <c r="M43" s="109"/>
      <c r="N43" s="13" t="s">
        <v>7954</v>
      </c>
      <c r="O43" s="13" t="s">
        <v>262</v>
      </c>
      <c r="P43" s="13" t="s">
        <v>324</v>
      </c>
      <c r="Q43" s="15" t="s">
        <v>421</v>
      </c>
      <c r="R43" s="109"/>
      <c r="S43" s="109"/>
      <c r="T43" s="112"/>
      <c r="U43" s="112"/>
      <c r="V43" s="112"/>
      <c r="W43" s="112"/>
    </row>
    <row r="44" spans="1:23" s="2" customFormat="1" ht="12">
      <c r="A44" s="11"/>
      <c r="B44" s="108"/>
      <c r="C44" s="109"/>
      <c r="D44" s="14" t="str">
        <f>D43</f>
        <v>雪球</v>
      </c>
      <c r="E44" s="109"/>
      <c r="F44" s="112"/>
      <c r="G44" s="109"/>
      <c r="H44" s="109"/>
      <c r="I44" s="109"/>
      <c r="J44" s="109"/>
      <c r="K44" s="109"/>
      <c r="L44" s="109"/>
      <c r="M44" s="109"/>
      <c r="N44" s="13" t="s">
        <v>7955</v>
      </c>
      <c r="O44" s="15" t="s">
        <v>326</v>
      </c>
      <c r="P44" s="15" t="s">
        <v>327</v>
      </c>
      <c r="Q44" s="15" t="s">
        <v>476</v>
      </c>
      <c r="R44" s="109"/>
      <c r="S44" s="109"/>
      <c r="T44" s="112"/>
      <c r="U44" s="112"/>
      <c r="V44" s="112"/>
      <c r="W44" s="112"/>
    </row>
    <row r="45" spans="1:23" s="2" customFormat="1" ht="12">
      <c r="A45" s="11"/>
      <c r="B45" s="108"/>
      <c r="C45" s="109" t="s">
        <v>571</v>
      </c>
      <c r="D45" s="14" t="s">
        <v>572</v>
      </c>
      <c r="E45" s="113" t="s">
        <v>572</v>
      </c>
      <c r="F45" s="114" t="s">
        <v>573</v>
      </c>
      <c r="G45" s="113" t="s">
        <v>574</v>
      </c>
      <c r="H45" s="109" t="s">
        <v>575</v>
      </c>
      <c r="I45" s="109" t="s">
        <v>576</v>
      </c>
      <c r="J45" s="113" t="s">
        <v>406</v>
      </c>
      <c r="K45" s="113" t="s">
        <v>272</v>
      </c>
      <c r="L45" s="113" t="s">
        <v>407</v>
      </c>
      <c r="M45" s="113" t="s">
        <v>577</v>
      </c>
      <c r="N45" s="13" t="s">
        <v>571</v>
      </c>
      <c r="O45" s="13" t="s">
        <v>257</v>
      </c>
      <c r="P45" s="13" t="s">
        <v>578</v>
      </c>
      <c r="Q45" s="15" t="s">
        <v>579</v>
      </c>
      <c r="R45" s="109" t="s">
        <v>580</v>
      </c>
      <c r="S45" s="109" t="s">
        <v>581</v>
      </c>
      <c r="T45" s="114" t="s">
        <v>582</v>
      </c>
      <c r="U45" s="114" t="s">
        <v>583</v>
      </c>
      <c r="V45" s="112" t="s">
        <v>584</v>
      </c>
      <c r="W45" s="112" t="s">
        <v>585</v>
      </c>
    </row>
    <row r="46" spans="1:23" s="2" customFormat="1" ht="12">
      <c r="A46" s="11"/>
      <c r="B46" s="108"/>
      <c r="C46" s="109"/>
      <c r="D46" s="14" t="str">
        <f>D45</f>
        <v>树熊集团</v>
      </c>
      <c r="E46" s="109"/>
      <c r="F46" s="112"/>
      <c r="G46" s="109"/>
      <c r="H46" s="109"/>
      <c r="I46" s="109"/>
      <c r="J46" s="109"/>
      <c r="K46" s="109"/>
      <c r="L46" s="109"/>
      <c r="M46" s="109"/>
      <c r="N46" s="13" t="s">
        <v>7956</v>
      </c>
      <c r="O46" s="13" t="s">
        <v>262</v>
      </c>
      <c r="P46" s="15" t="s">
        <v>341</v>
      </c>
      <c r="Q46" s="15" t="s">
        <v>586</v>
      </c>
      <c r="R46" s="109"/>
      <c r="S46" s="109"/>
      <c r="T46" s="112"/>
      <c r="U46" s="112"/>
      <c r="V46" s="112"/>
      <c r="W46" s="112"/>
    </row>
    <row r="47" spans="1:23" s="2" customFormat="1" ht="12">
      <c r="A47" s="11"/>
      <c r="B47" s="108"/>
      <c r="C47" s="109"/>
      <c r="D47" s="14" t="str">
        <f>D46</f>
        <v>树熊集团</v>
      </c>
      <c r="E47" s="109"/>
      <c r="F47" s="112"/>
      <c r="G47" s="109"/>
      <c r="H47" s="109"/>
      <c r="I47" s="109"/>
      <c r="J47" s="109"/>
      <c r="K47" s="109"/>
      <c r="L47" s="109"/>
      <c r="M47" s="109"/>
      <c r="N47" s="13" t="s">
        <v>666</v>
      </c>
      <c r="O47" s="15" t="s">
        <v>326</v>
      </c>
      <c r="P47" s="15" t="s">
        <v>327</v>
      </c>
      <c r="Q47" s="15" t="s">
        <v>587</v>
      </c>
      <c r="R47" s="109"/>
      <c r="S47" s="109"/>
      <c r="T47" s="112"/>
      <c r="U47" s="112"/>
      <c r="V47" s="112"/>
      <c r="W47" s="112"/>
    </row>
    <row r="48" spans="1:23" s="2" customFormat="1" ht="12">
      <c r="A48" s="11"/>
      <c r="B48" s="108"/>
      <c r="C48" s="109" t="s">
        <v>936</v>
      </c>
      <c r="D48" s="14" t="s">
        <v>7957</v>
      </c>
      <c r="E48" s="113" t="s">
        <v>7957</v>
      </c>
      <c r="F48" s="114" t="s">
        <v>7958</v>
      </c>
      <c r="G48" s="113" t="s">
        <v>7959</v>
      </c>
      <c r="H48" s="109" t="s">
        <v>7960</v>
      </c>
      <c r="I48" s="109" t="s">
        <v>469</v>
      </c>
      <c r="J48" s="113" t="s">
        <v>5030</v>
      </c>
      <c r="K48" s="113" t="s">
        <v>272</v>
      </c>
      <c r="L48" s="113" t="s">
        <v>512</v>
      </c>
      <c r="M48" s="113" t="s">
        <v>7961</v>
      </c>
      <c r="N48" s="13" t="s">
        <v>936</v>
      </c>
      <c r="O48" s="13" t="s">
        <v>283</v>
      </c>
      <c r="P48" s="13" t="s">
        <v>7962</v>
      </c>
      <c r="Q48" s="13" t="s">
        <v>253</v>
      </c>
      <c r="R48" s="109" t="s">
        <v>7963</v>
      </c>
      <c r="S48" s="109" t="s">
        <v>7964</v>
      </c>
      <c r="T48" s="114" t="s">
        <v>7965</v>
      </c>
      <c r="U48" s="114" t="s">
        <v>7966</v>
      </c>
      <c r="V48" s="112"/>
      <c r="W48" s="112"/>
    </row>
    <row r="49" spans="1:23" s="2" customFormat="1" ht="12">
      <c r="A49" s="11"/>
      <c r="B49" s="108"/>
      <c r="C49" s="109"/>
      <c r="D49" s="14" t="str">
        <f>D48</f>
        <v>维天运通</v>
      </c>
      <c r="E49" s="109"/>
      <c r="F49" s="112"/>
      <c r="G49" s="109"/>
      <c r="H49" s="109"/>
      <c r="I49" s="109"/>
      <c r="J49" s="109"/>
      <c r="K49" s="109"/>
      <c r="L49" s="109"/>
      <c r="M49" s="109"/>
      <c r="N49" s="13" t="s">
        <v>7967</v>
      </c>
      <c r="O49" s="13" t="s">
        <v>257</v>
      </c>
      <c r="P49" s="15" t="s">
        <v>409</v>
      </c>
      <c r="Q49" s="15" t="s">
        <v>2229</v>
      </c>
      <c r="R49" s="109"/>
      <c r="S49" s="109"/>
      <c r="T49" s="112"/>
      <c r="U49" s="112"/>
      <c r="V49" s="112"/>
      <c r="W49" s="112"/>
    </row>
    <row r="50" spans="1:23" s="2" customFormat="1" ht="12">
      <c r="A50" s="11"/>
      <c r="B50" s="108"/>
      <c r="C50" s="109"/>
      <c r="D50" s="14" t="str">
        <f>D49</f>
        <v>维天运通</v>
      </c>
      <c r="E50" s="109"/>
      <c r="F50" s="112"/>
      <c r="G50" s="109"/>
      <c r="H50" s="109"/>
      <c r="I50" s="109"/>
      <c r="J50" s="109"/>
      <c r="K50" s="109"/>
      <c r="L50" s="109"/>
      <c r="M50" s="109"/>
      <c r="N50" s="13" t="s">
        <v>7968</v>
      </c>
      <c r="O50" s="13" t="s">
        <v>260</v>
      </c>
      <c r="P50" s="13" t="s">
        <v>637</v>
      </c>
      <c r="Q50" s="15" t="s">
        <v>7969</v>
      </c>
      <c r="R50" s="109"/>
      <c r="S50" s="109"/>
      <c r="T50" s="112"/>
      <c r="U50" s="112"/>
      <c r="V50" s="112"/>
      <c r="W50" s="112"/>
    </row>
    <row r="51" spans="1:23" s="2" customFormat="1" ht="12">
      <c r="A51" s="11"/>
      <c r="B51" s="108"/>
      <c r="C51" s="109"/>
      <c r="D51" s="14" t="str">
        <f>D50</f>
        <v>维天运通</v>
      </c>
      <c r="E51" s="109"/>
      <c r="F51" s="112"/>
      <c r="G51" s="109"/>
      <c r="H51" s="109"/>
      <c r="I51" s="109"/>
      <c r="J51" s="109"/>
      <c r="K51" s="109"/>
      <c r="L51" s="109"/>
      <c r="M51" s="109"/>
      <c r="N51" s="13" t="s">
        <v>7970</v>
      </c>
      <c r="O51" s="13" t="s">
        <v>262</v>
      </c>
      <c r="P51" s="13" t="s">
        <v>637</v>
      </c>
      <c r="Q51" s="15" t="s">
        <v>7971</v>
      </c>
      <c r="R51" s="109"/>
      <c r="S51" s="109"/>
      <c r="T51" s="112"/>
      <c r="U51" s="112"/>
      <c r="V51" s="112"/>
      <c r="W51" s="112"/>
    </row>
    <row r="52" spans="1:23" s="2" customFormat="1" ht="12">
      <c r="A52" s="11"/>
      <c r="B52" s="108"/>
      <c r="C52" s="109" t="s">
        <v>588</v>
      </c>
      <c r="D52" s="14" t="s">
        <v>589</v>
      </c>
      <c r="E52" s="113" t="s">
        <v>589</v>
      </c>
      <c r="F52" s="114" t="s">
        <v>590</v>
      </c>
      <c r="G52" s="113" t="s">
        <v>591</v>
      </c>
      <c r="H52" s="109" t="s">
        <v>592</v>
      </c>
      <c r="I52" s="109" t="s">
        <v>593</v>
      </c>
      <c r="J52" s="113" t="s">
        <v>406</v>
      </c>
      <c r="K52" s="113" t="s">
        <v>272</v>
      </c>
      <c r="L52" s="113" t="s">
        <v>273</v>
      </c>
      <c r="M52" s="113" t="s">
        <v>594</v>
      </c>
      <c r="N52" s="13" t="s">
        <v>588</v>
      </c>
      <c r="O52" s="13" t="s">
        <v>303</v>
      </c>
      <c r="P52" s="13" t="s">
        <v>595</v>
      </c>
      <c r="Q52" s="15" t="s">
        <v>596</v>
      </c>
      <c r="R52" s="109" t="s">
        <v>597</v>
      </c>
      <c r="S52" s="109" t="s">
        <v>598</v>
      </c>
      <c r="T52" s="114" t="s">
        <v>599</v>
      </c>
      <c r="U52" s="114" t="s">
        <v>600</v>
      </c>
      <c r="V52" s="112" t="s">
        <v>601</v>
      </c>
      <c r="W52" s="112"/>
    </row>
    <row r="53" spans="1:23" s="2" customFormat="1" ht="12">
      <c r="A53" s="11"/>
      <c r="B53" s="108"/>
      <c r="C53" s="109"/>
      <c r="D53" s="14" t="str">
        <f>D52</f>
        <v>大搜车</v>
      </c>
      <c r="E53" s="109"/>
      <c r="F53" s="112"/>
      <c r="G53" s="109"/>
      <c r="H53" s="109"/>
      <c r="I53" s="109"/>
      <c r="J53" s="109"/>
      <c r="K53" s="109"/>
      <c r="L53" s="109"/>
      <c r="M53" s="109"/>
      <c r="N53" s="13" t="s">
        <v>7895</v>
      </c>
      <c r="O53" s="13" t="s">
        <v>310</v>
      </c>
      <c r="P53" s="13" t="s">
        <v>602</v>
      </c>
      <c r="Q53" s="15" t="s">
        <v>603</v>
      </c>
      <c r="R53" s="109"/>
      <c r="S53" s="109"/>
      <c r="T53" s="112"/>
      <c r="U53" s="112"/>
      <c r="V53" s="112"/>
      <c r="W53" s="112"/>
    </row>
    <row r="54" spans="1:23" s="2" customFormat="1" ht="12">
      <c r="A54" s="11"/>
      <c r="B54" s="108"/>
      <c r="C54" s="109"/>
      <c r="D54" s="14" t="str">
        <f>D53</f>
        <v>大搜车</v>
      </c>
      <c r="E54" s="109"/>
      <c r="F54" s="112"/>
      <c r="G54" s="109"/>
      <c r="H54" s="109"/>
      <c r="I54" s="109"/>
      <c r="J54" s="109"/>
      <c r="K54" s="109"/>
      <c r="L54" s="109"/>
      <c r="M54" s="109"/>
      <c r="N54" s="13" t="s">
        <v>7972</v>
      </c>
      <c r="O54" s="13" t="s">
        <v>317</v>
      </c>
      <c r="P54" s="13" t="s">
        <v>604</v>
      </c>
      <c r="Q54" s="15" t="s">
        <v>605</v>
      </c>
      <c r="R54" s="109"/>
      <c r="S54" s="109"/>
      <c r="T54" s="112"/>
      <c r="U54" s="112"/>
      <c r="V54" s="112"/>
      <c r="W54" s="112"/>
    </row>
    <row r="55" spans="1:23" s="2" customFormat="1" ht="12">
      <c r="A55" s="11"/>
      <c r="B55" s="108"/>
      <c r="C55" s="109"/>
      <c r="D55" s="14" t="str">
        <f>D54</f>
        <v>大搜车</v>
      </c>
      <c r="E55" s="109"/>
      <c r="F55" s="112"/>
      <c r="G55" s="109"/>
      <c r="H55" s="109"/>
      <c r="I55" s="109"/>
      <c r="J55" s="109"/>
      <c r="K55" s="109"/>
      <c r="L55" s="109"/>
      <c r="M55" s="109"/>
      <c r="N55" s="13" t="s">
        <v>7973</v>
      </c>
      <c r="O55" s="13" t="s">
        <v>251</v>
      </c>
      <c r="P55" s="13" t="s">
        <v>320</v>
      </c>
      <c r="Q55" s="15" t="s">
        <v>606</v>
      </c>
      <c r="R55" s="109"/>
      <c r="S55" s="109"/>
      <c r="T55" s="112"/>
      <c r="U55" s="112"/>
      <c r="V55" s="112"/>
      <c r="W55" s="112"/>
    </row>
    <row r="56" spans="1:23" s="2" customFormat="1" ht="12">
      <c r="A56" s="11"/>
      <c r="B56" s="108"/>
      <c r="C56" s="109"/>
      <c r="D56" s="14" t="str">
        <f>D55</f>
        <v>大搜车</v>
      </c>
      <c r="E56" s="109"/>
      <c r="F56" s="112"/>
      <c r="G56" s="109"/>
      <c r="H56" s="109"/>
      <c r="I56" s="109"/>
      <c r="J56" s="109"/>
      <c r="K56" s="109"/>
      <c r="L56" s="109"/>
      <c r="M56" s="109"/>
      <c r="N56" s="13" t="s">
        <v>463</v>
      </c>
      <c r="O56" s="13" t="s">
        <v>257</v>
      </c>
      <c r="P56" s="13" t="s">
        <v>607</v>
      </c>
      <c r="Q56" s="15" t="s">
        <v>608</v>
      </c>
      <c r="R56" s="109"/>
      <c r="S56" s="109"/>
      <c r="T56" s="112"/>
      <c r="U56" s="112"/>
      <c r="V56" s="112"/>
      <c r="W56" s="112"/>
    </row>
    <row r="57" spans="1:23" s="2" customFormat="1" ht="12">
      <c r="A57" s="11"/>
      <c r="B57" s="108"/>
      <c r="C57" s="109"/>
      <c r="D57" s="14" t="str">
        <f>D56</f>
        <v>大搜车</v>
      </c>
      <c r="E57" s="109"/>
      <c r="F57" s="112"/>
      <c r="G57" s="109"/>
      <c r="H57" s="109"/>
      <c r="I57" s="109"/>
      <c r="J57" s="109"/>
      <c r="K57" s="109"/>
      <c r="L57" s="109"/>
      <c r="M57" s="109"/>
      <c r="N57" s="13" t="s">
        <v>7974</v>
      </c>
      <c r="O57" s="13" t="s">
        <v>262</v>
      </c>
      <c r="P57" s="13" t="s">
        <v>609</v>
      </c>
      <c r="Q57" s="15" t="s">
        <v>610</v>
      </c>
      <c r="R57" s="109"/>
      <c r="S57" s="109"/>
      <c r="T57" s="112"/>
      <c r="U57" s="112"/>
      <c r="V57" s="112"/>
      <c r="W57" s="112"/>
    </row>
    <row r="58" spans="1:23" s="2" customFormat="1" ht="12">
      <c r="A58" s="11"/>
      <c r="B58" s="108"/>
      <c r="C58" s="109" t="s">
        <v>706</v>
      </c>
      <c r="D58" s="14" t="s">
        <v>7975</v>
      </c>
      <c r="E58" s="109" t="s">
        <v>7976</v>
      </c>
      <c r="F58" s="114" t="s">
        <v>7977</v>
      </c>
      <c r="G58" s="113" t="s">
        <v>7978</v>
      </c>
      <c r="H58" s="109" t="s">
        <v>7979</v>
      </c>
      <c r="I58" s="109" t="s">
        <v>1214</v>
      </c>
      <c r="J58" s="113" t="s">
        <v>271</v>
      </c>
      <c r="K58" s="113" t="s">
        <v>272</v>
      </c>
      <c r="L58" s="113" t="s">
        <v>407</v>
      </c>
      <c r="M58" s="113" t="s">
        <v>7980</v>
      </c>
      <c r="N58" s="13" t="s">
        <v>706</v>
      </c>
      <c r="O58" s="15" t="s">
        <v>285</v>
      </c>
      <c r="P58" s="15" t="s">
        <v>409</v>
      </c>
      <c r="Q58" s="15" t="s">
        <v>7981</v>
      </c>
      <c r="R58" s="109" t="s">
        <v>7982</v>
      </c>
      <c r="S58" s="109" t="s">
        <v>4114</v>
      </c>
      <c r="T58" s="114" t="s">
        <v>7983</v>
      </c>
      <c r="U58" s="114" t="s">
        <v>7984</v>
      </c>
      <c r="V58" s="112" t="s">
        <v>7985</v>
      </c>
      <c r="W58" s="112" t="s">
        <v>7986</v>
      </c>
    </row>
    <row r="59" spans="1:23" s="2" customFormat="1" ht="12">
      <c r="A59" s="11"/>
      <c r="B59" s="108"/>
      <c r="C59" s="109"/>
      <c r="D59" s="14" t="str">
        <f t="shared" ref="D59:D65" si="2">D58</f>
        <v>36氪集团</v>
      </c>
      <c r="E59" s="109"/>
      <c r="F59" s="112"/>
      <c r="G59" s="109"/>
      <c r="H59" s="109"/>
      <c r="I59" s="109"/>
      <c r="J59" s="109"/>
      <c r="K59" s="109"/>
      <c r="L59" s="109"/>
      <c r="M59" s="109"/>
      <c r="N59" s="13" t="s">
        <v>7987</v>
      </c>
      <c r="O59" s="13" t="s">
        <v>303</v>
      </c>
      <c r="P59" s="13" t="s">
        <v>639</v>
      </c>
      <c r="Q59" s="15" t="s">
        <v>7988</v>
      </c>
      <c r="R59" s="109"/>
      <c r="S59" s="109"/>
      <c r="T59" s="112"/>
      <c r="U59" s="112"/>
      <c r="V59" s="112"/>
      <c r="W59" s="112"/>
    </row>
    <row r="60" spans="1:23" s="2" customFormat="1" ht="12">
      <c r="A60" s="11"/>
      <c r="B60" s="108"/>
      <c r="C60" s="109"/>
      <c r="D60" s="14" t="str">
        <f t="shared" si="2"/>
        <v>36氪集团</v>
      </c>
      <c r="E60" s="109"/>
      <c r="F60" s="112"/>
      <c r="G60" s="109"/>
      <c r="H60" s="109"/>
      <c r="I60" s="109"/>
      <c r="J60" s="109"/>
      <c r="K60" s="109"/>
      <c r="L60" s="109"/>
      <c r="M60" s="109"/>
      <c r="N60" s="13" t="s">
        <v>7989</v>
      </c>
      <c r="O60" s="13" t="s">
        <v>310</v>
      </c>
      <c r="P60" s="15" t="s">
        <v>409</v>
      </c>
      <c r="Q60" s="15" t="s">
        <v>7990</v>
      </c>
      <c r="R60" s="109"/>
      <c r="S60" s="109"/>
      <c r="T60" s="112"/>
      <c r="U60" s="112"/>
      <c r="V60" s="112"/>
      <c r="W60" s="112"/>
    </row>
    <row r="61" spans="1:23" s="2" customFormat="1" ht="12">
      <c r="A61" s="11"/>
      <c r="B61" s="108"/>
      <c r="C61" s="109"/>
      <c r="D61" s="14" t="str">
        <f t="shared" si="2"/>
        <v>36氪集团</v>
      </c>
      <c r="E61" s="109"/>
      <c r="F61" s="112"/>
      <c r="G61" s="109"/>
      <c r="H61" s="109"/>
      <c r="I61" s="109"/>
      <c r="J61" s="109"/>
      <c r="K61" s="109"/>
      <c r="L61" s="109"/>
      <c r="M61" s="109"/>
      <c r="N61" s="13" t="s">
        <v>7991</v>
      </c>
      <c r="O61" s="13" t="s">
        <v>317</v>
      </c>
      <c r="P61" s="15" t="s">
        <v>409</v>
      </c>
      <c r="Q61" s="15" t="s">
        <v>7992</v>
      </c>
      <c r="R61" s="109"/>
      <c r="S61" s="109"/>
      <c r="T61" s="112"/>
      <c r="U61" s="112"/>
      <c r="V61" s="112"/>
      <c r="W61" s="112"/>
    </row>
    <row r="62" spans="1:23" s="2" customFormat="1" ht="12">
      <c r="A62" s="11"/>
      <c r="B62" s="108"/>
      <c r="C62" s="109"/>
      <c r="D62" s="14" t="str">
        <f t="shared" si="2"/>
        <v>36氪集团</v>
      </c>
      <c r="E62" s="109"/>
      <c r="F62" s="112"/>
      <c r="G62" s="109"/>
      <c r="H62" s="109"/>
      <c r="I62" s="109"/>
      <c r="J62" s="109"/>
      <c r="K62" s="109"/>
      <c r="L62" s="109"/>
      <c r="M62" s="109"/>
      <c r="N62" s="13" t="s">
        <v>7993</v>
      </c>
      <c r="O62" s="13" t="s">
        <v>251</v>
      </c>
      <c r="P62" s="15" t="s">
        <v>258</v>
      </c>
      <c r="Q62" s="15" t="s">
        <v>462</v>
      </c>
      <c r="R62" s="109"/>
      <c r="S62" s="109"/>
      <c r="T62" s="112"/>
      <c r="U62" s="112"/>
      <c r="V62" s="112"/>
      <c r="W62" s="112"/>
    </row>
    <row r="63" spans="1:23" s="2" customFormat="1" ht="12">
      <c r="A63" s="11"/>
      <c r="B63" s="108"/>
      <c r="C63" s="109"/>
      <c r="D63" s="14" t="str">
        <f t="shared" si="2"/>
        <v>36氪集团</v>
      </c>
      <c r="E63" s="109"/>
      <c r="F63" s="112"/>
      <c r="G63" s="109"/>
      <c r="H63" s="109"/>
      <c r="I63" s="109"/>
      <c r="J63" s="109"/>
      <c r="K63" s="109"/>
      <c r="L63" s="109"/>
      <c r="M63" s="109"/>
      <c r="N63" s="13" t="s">
        <v>463</v>
      </c>
      <c r="O63" s="13" t="s">
        <v>257</v>
      </c>
      <c r="P63" s="13" t="s">
        <v>460</v>
      </c>
      <c r="Q63" s="13" t="s">
        <v>7994</v>
      </c>
      <c r="R63" s="109"/>
      <c r="S63" s="109"/>
      <c r="T63" s="112"/>
      <c r="U63" s="112"/>
      <c r="V63" s="112"/>
      <c r="W63" s="112"/>
    </row>
    <row r="64" spans="1:23" s="2" customFormat="1" ht="12">
      <c r="A64" s="11"/>
      <c r="B64" s="108"/>
      <c r="C64" s="109"/>
      <c r="D64" s="14" t="str">
        <f t="shared" si="2"/>
        <v>36氪集团</v>
      </c>
      <c r="E64" s="109"/>
      <c r="F64" s="112"/>
      <c r="G64" s="109"/>
      <c r="H64" s="109"/>
      <c r="I64" s="109"/>
      <c r="J64" s="109"/>
      <c r="K64" s="109"/>
      <c r="L64" s="109"/>
      <c r="M64" s="109"/>
      <c r="N64" s="13" t="s">
        <v>7995</v>
      </c>
      <c r="O64" s="13" t="s">
        <v>262</v>
      </c>
      <c r="P64" s="15" t="s">
        <v>261</v>
      </c>
      <c r="Q64" s="15" t="s">
        <v>462</v>
      </c>
      <c r="R64" s="109"/>
      <c r="S64" s="109"/>
      <c r="T64" s="112"/>
      <c r="U64" s="112"/>
      <c r="V64" s="112"/>
      <c r="W64" s="112"/>
    </row>
    <row r="65" spans="1:23" s="2" customFormat="1" ht="12">
      <c r="A65" s="11"/>
      <c r="B65" s="108"/>
      <c r="C65" s="109"/>
      <c r="D65" s="14" t="str">
        <f t="shared" si="2"/>
        <v>36氪集团</v>
      </c>
      <c r="E65" s="109"/>
      <c r="F65" s="112"/>
      <c r="G65" s="109"/>
      <c r="H65" s="109"/>
      <c r="I65" s="109"/>
      <c r="J65" s="109"/>
      <c r="K65" s="109"/>
      <c r="L65" s="109"/>
      <c r="M65" s="109"/>
      <c r="N65" s="13" t="s">
        <v>7996</v>
      </c>
      <c r="O65" s="15" t="s">
        <v>326</v>
      </c>
      <c r="P65" s="15" t="s">
        <v>398</v>
      </c>
      <c r="Q65" s="15" t="s">
        <v>399</v>
      </c>
      <c r="R65" s="109"/>
      <c r="S65" s="109"/>
      <c r="T65" s="112"/>
      <c r="U65" s="112"/>
      <c r="V65" s="112"/>
      <c r="W65" s="112"/>
    </row>
    <row r="66" spans="1:23" s="2" customFormat="1" ht="12">
      <c r="A66" s="11"/>
      <c r="B66" s="108"/>
      <c r="C66" s="109" t="s">
        <v>7997</v>
      </c>
      <c r="D66" s="14" t="s">
        <v>7998</v>
      </c>
      <c r="E66" s="113" t="s">
        <v>7999</v>
      </c>
      <c r="F66" s="114" t="s">
        <v>8000</v>
      </c>
      <c r="G66" s="113" t="s">
        <v>8001</v>
      </c>
      <c r="H66" s="109" t="s">
        <v>8002</v>
      </c>
      <c r="I66" s="109" t="s">
        <v>4683</v>
      </c>
      <c r="J66" s="113" t="s">
        <v>271</v>
      </c>
      <c r="K66" s="113" t="s">
        <v>272</v>
      </c>
      <c r="L66" s="113" t="s">
        <v>407</v>
      </c>
      <c r="M66" s="113" t="s">
        <v>762</v>
      </c>
      <c r="N66" s="13" t="s">
        <v>7997</v>
      </c>
      <c r="O66" s="13" t="s">
        <v>317</v>
      </c>
      <c r="P66" s="13" t="s">
        <v>2798</v>
      </c>
      <c r="Q66" s="13" t="s">
        <v>8003</v>
      </c>
      <c r="R66" s="109" t="s">
        <v>8004</v>
      </c>
      <c r="S66" s="109" t="s">
        <v>8005</v>
      </c>
      <c r="T66" s="114" t="s">
        <v>8006</v>
      </c>
      <c r="U66" s="114" t="s">
        <v>8007</v>
      </c>
      <c r="V66" s="112" t="s">
        <v>8008</v>
      </c>
      <c r="W66" s="112" t="s">
        <v>8009</v>
      </c>
    </row>
    <row r="67" spans="1:23" s="2" customFormat="1" ht="12">
      <c r="A67" s="11"/>
      <c r="B67" s="108"/>
      <c r="C67" s="109"/>
      <c r="D67" s="14" t="str">
        <f t="shared" ref="D67:D72" si="3">D66</f>
        <v>旷视科技MEGVII</v>
      </c>
      <c r="E67" s="109"/>
      <c r="F67" s="112"/>
      <c r="G67" s="109"/>
      <c r="H67" s="109"/>
      <c r="I67" s="109"/>
      <c r="J67" s="109"/>
      <c r="K67" s="109"/>
      <c r="L67" s="109"/>
      <c r="M67" s="109"/>
      <c r="N67" s="13" t="s">
        <v>8010</v>
      </c>
      <c r="O67" s="13" t="s">
        <v>251</v>
      </c>
      <c r="P67" s="13" t="s">
        <v>8011</v>
      </c>
      <c r="Q67" s="13" t="s">
        <v>8012</v>
      </c>
      <c r="R67" s="109"/>
      <c r="S67" s="109"/>
      <c r="T67" s="112"/>
      <c r="U67" s="112"/>
      <c r="V67" s="112"/>
      <c r="W67" s="112"/>
    </row>
    <row r="68" spans="1:23" s="2" customFormat="1" ht="12">
      <c r="A68" s="11"/>
      <c r="B68" s="108"/>
      <c r="C68" s="109"/>
      <c r="D68" s="14" t="str">
        <f t="shared" si="3"/>
        <v>旷视科技MEGVII</v>
      </c>
      <c r="E68" s="109"/>
      <c r="F68" s="112"/>
      <c r="G68" s="109"/>
      <c r="H68" s="109"/>
      <c r="I68" s="109"/>
      <c r="J68" s="109"/>
      <c r="K68" s="109"/>
      <c r="L68" s="109"/>
      <c r="M68" s="109"/>
      <c r="N68" s="13" t="s">
        <v>8013</v>
      </c>
      <c r="O68" s="13" t="s">
        <v>565</v>
      </c>
      <c r="P68" s="13" t="s">
        <v>663</v>
      </c>
      <c r="Q68" s="15" t="s">
        <v>2229</v>
      </c>
      <c r="R68" s="109"/>
      <c r="S68" s="109"/>
      <c r="T68" s="112"/>
      <c r="U68" s="112"/>
      <c r="V68" s="112"/>
      <c r="W68" s="112"/>
    </row>
    <row r="69" spans="1:23" s="2" customFormat="1" ht="12">
      <c r="A69" s="11"/>
      <c r="B69" s="108"/>
      <c r="C69" s="109"/>
      <c r="D69" s="14" t="str">
        <f t="shared" si="3"/>
        <v>旷视科技MEGVII</v>
      </c>
      <c r="E69" s="109"/>
      <c r="F69" s="112"/>
      <c r="G69" s="109"/>
      <c r="H69" s="109"/>
      <c r="I69" s="109"/>
      <c r="J69" s="109"/>
      <c r="K69" s="109"/>
      <c r="L69" s="109"/>
      <c r="M69" s="109"/>
      <c r="N69" s="13" t="s">
        <v>8014</v>
      </c>
      <c r="O69" s="13" t="s">
        <v>565</v>
      </c>
      <c r="P69" s="13" t="s">
        <v>460</v>
      </c>
      <c r="Q69" s="15" t="s">
        <v>665</v>
      </c>
      <c r="R69" s="109"/>
      <c r="S69" s="109"/>
      <c r="T69" s="112"/>
      <c r="U69" s="112"/>
      <c r="V69" s="112"/>
      <c r="W69" s="112"/>
    </row>
    <row r="70" spans="1:23" s="2" customFormat="1" ht="12">
      <c r="A70" s="11"/>
      <c r="B70" s="108"/>
      <c r="C70" s="109"/>
      <c r="D70" s="14" t="str">
        <f t="shared" si="3"/>
        <v>旷视科技MEGVII</v>
      </c>
      <c r="E70" s="109"/>
      <c r="F70" s="112"/>
      <c r="G70" s="109"/>
      <c r="H70" s="109"/>
      <c r="I70" s="109"/>
      <c r="J70" s="109"/>
      <c r="K70" s="109"/>
      <c r="L70" s="109"/>
      <c r="M70" s="109"/>
      <c r="N70" s="13" t="s">
        <v>8015</v>
      </c>
      <c r="O70" s="13" t="s">
        <v>257</v>
      </c>
      <c r="P70" s="13" t="s">
        <v>1730</v>
      </c>
      <c r="Q70" s="15" t="s">
        <v>8016</v>
      </c>
      <c r="R70" s="109"/>
      <c r="S70" s="109"/>
      <c r="T70" s="112"/>
      <c r="U70" s="112"/>
      <c r="V70" s="112"/>
      <c r="W70" s="112"/>
    </row>
    <row r="71" spans="1:23" s="2" customFormat="1" ht="12">
      <c r="A71" s="11"/>
      <c r="B71" s="108"/>
      <c r="C71" s="109"/>
      <c r="D71" s="14" t="str">
        <f t="shared" si="3"/>
        <v>旷视科技MEGVII</v>
      </c>
      <c r="E71" s="109"/>
      <c r="F71" s="112"/>
      <c r="G71" s="109"/>
      <c r="H71" s="109"/>
      <c r="I71" s="109"/>
      <c r="J71" s="109"/>
      <c r="K71" s="109"/>
      <c r="L71" s="109"/>
      <c r="M71" s="109"/>
      <c r="N71" s="13" t="s">
        <v>8017</v>
      </c>
      <c r="O71" s="13" t="s">
        <v>262</v>
      </c>
      <c r="P71" s="13" t="s">
        <v>527</v>
      </c>
      <c r="Q71" s="15" t="s">
        <v>524</v>
      </c>
      <c r="R71" s="109"/>
      <c r="S71" s="109"/>
      <c r="T71" s="112"/>
      <c r="U71" s="112"/>
      <c r="V71" s="112"/>
      <c r="W71" s="112"/>
    </row>
    <row r="72" spans="1:23" s="2" customFormat="1" ht="12">
      <c r="A72" s="11"/>
      <c r="B72" s="108"/>
      <c r="C72" s="109"/>
      <c r="D72" s="14" t="str">
        <f t="shared" si="3"/>
        <v>旷视科技MEGVII</v>
      </c>
      <c r="E72" s="109"/>
      <c r="F72" s="112"/>
      <c r="G72" s="109"/>
      <c r="H72" s="109"/>
      <c r="I72" s="109"/>
      <c r="J72" s="109"/>
      <c r="K72" s="109"/>
      <c r="L72" s="109"/>
      <c r="M72" s="109"/>
      <c r="N72" s="13" t="s">
        <v>8018</v>
      </c>
      <c r="O72" s="15" t="s">
        <v>326</v>
      </c>
      <c r="P72" s="15" t="s">
        <v>327</v>
      </c>
      <c r="Q72" s="15" t="s">
        <v>2751</v>
      </c>
      <c r="R72" s="109"/>
      <c r="S72" s="109"/>
      <c r="T72" s="112"/>
      <c r="U72" s="112"/>
      <c r="V72" s="112"/>
      <c r="W72" s="112"/>
    </row>
    <row r="73" spans="1:23" s="2" customFormat="1" ht="12">
      <c r="A73" s="11"/>
      <c r="B73" s="108"/>
      <c r="C73" s="109" t="s">
        <v>848</v>
      </c>
      <c r="D73" s="14" t="s">
        <v>849</v>
      </c>
      <c r="E73" s="113" t="s">
        <v>849</v>
      </c>
      <c r="F73" s="114" t="s">
        <v>850</v>
      </c>
      <c r="G73" s="113" t="s">
        <v>851</v>
      </c>
      <c r="H73" s="109" t="s">
        <v>852</v>
      </c>
      <c r="I73" s="109" t="s">
        <v>427</v>
      </c>
      <c r="J73" s="113" t="s">
        <v>428</v>
      </c>
      <c r="K73" s="113" t="s">
        <v>272</v>
      </c>
      <c r="L73" s="113" t="s">
        <v>672</v>
      </c>
      <c r="M73" s="113" t="s">
        <v>853</v>
      </c>
      <c r="N73" s="13" t="s">
        <v>848</v>
      </c>
      <c r="O73" s="15" t="s">
        <v>471</v>
      </c>
      <c r="P73" s="15" t="s">
        <v>252</v>
      </c>
      <c r="Q73" s="15" t="s">
        <v>240</v>
      </c>
      <c r="R73" s="109" t="s">
        <v>854</v>
      </c>
      <c r="S73" s="113" t="s">
        <v>255</v>
      </c>
      <c r="T73" s="114" t="s">
        <v>855</v>
      </c>
      <c r="U73" s="112"/>
      <c r="V73" s="112"/>
      <c r="W73" s="112"/>
    </row>
    <row r="74" spans="1:23" s="2" customFormat="1" ht="12">
      <c r="A74" s="11"/>
      <c r="B74" s="108"/>
      <c r="C74" s="109"/>
      <c r="D74" s="14" t="str">
        <f t="shared" ref="D74:D79" si="4">D73</f>
        <v>美味不用等</v>
      </c>
      <c r="E74" s="109"/>
      <c r="F74" s="112"/>
      <c r="G74" s="109"/>
      <c r="H74" s="109"/>
      <c r="I74" s="109"/>
      <c r="J74" s="109"/>
      <c r="K74" s="109"/>
      <c r="L74" s="109"/>
      <c r="M74" s="109"/>
      <c r="N74" s="13" t="s">
        <v>8019</v>
      </c>
      <c r="O74" s="13" t="s">
        <v>317</v>
      </c>
      <c r="P74" s="13" t="s">
        <v>856</v>
      </c>
      <c r="Q74" s="15" t="s">
        <v>857</v>
      </c>
      <c r="R74" s="109"/>
      <c r="S74" s="109"/>
      <c r="T74" s="112"/>
      <c r="U74" s="112"/>
      <c r="V74" s="112"/>
      <c r="W74" s="112"/>
    </row>
    <row r="75" spans="1:23" s="2" customFormat="1" ht="12">
      <c r="A75" s="11"/>
      <c r="B75" s="108"/>
      <c r="C75" s="109"/>
      <c r="D75" s="14" t="str">
        <f t="shared" si="4"/>
        <v>美味不用等</v>
      </c>
      <c r="E75" s="109"/>
      <c r="F75" s="112"/>
      <c r="G75" s="109"/>
      <c r="H75" s="109"/>
      <c r="I75" s="109"/>
      <c r="J75" s="109"/>
      <c r="K75" s="109"/>
      <c r="L75" s="109"/>
      <c r="M75" s="109"/>
      <c r="N75" s="13" t="s">
        <v>8020</v>
      </c>
      <c r="O75" s="13" t="s">
        <v>523</v>
      </c>
      <c r="P75" s="15" t="s">
        <v>409</v>
      </c>
      <c r="Q75" s="15" t="s">
        <v>858</v>
      </c>
      <c r="R75" s="109"/>
      <c r="S75" s="109"/>
      <c r="T75" s="112"/>
      <c r="U75" s="112"/>
      <c r="V75" s="112"/>
      <c r="W75" s="112"/>
    </row>
    <row r="76" spans="1:23" s="2" customFormat="1" ht="12">
      <c r="A76" s="11"/>
      <c r="B76" s="108"/>
      <c r="C76" s="109"/>
      <c r="D76" s="14" t="str">
        <f t="shared" si="4"/>
        <v>美味不用等</v>
      </c>
      <c r="E76" s="109"/>
      <c r="F76" s="112"/>
      <c r="G76" s="109"/>
      <c r="H76" s="109"/>
      <c r="I76" s="109"/>
      <c r="J76" s="109"/>
      <c r="K76" s="109"/>
      <c r="L76" s="109"/>
      <c r="M76" s="109"/>
      <c r="N76" s="13" t="s">
        <v>8021</v>
      </c>
      <c r="O76" s="13" t="s">
        <v>251</v>
      </c>
      <c r="P76" s="13" t="s">
        <v>773</v>
      </c>
      <c r="Q76" s="15" t="s">
        <v>859</v>
      </c>
      <c r="R76" s="109"/>
      <c r="S76" s="109"/>
      <c r="T76" s="112"/>
      <c r="U76" s="112"/>
      <c r="V76" s="112"/>
      <c r="W76" s="112"/>
    </row>
    <row r="77" spans="1:23" s="2" customFormat="1" ht="12">
      <c r="A77" s="11"/>
      <c r="B77" s="108"/>
      <c r="C77" s="109"/>
      <c r="D77" s="14" t="str">
        <f t="shared" si="4"/>
        <v>美味不用等</v>
      </c>
      <c r="E77" s="109"/>
      <c r="F77" s="112"/>
      <c r="G77" s="109"/>
      <c r="H77" s="109"/>
      <c r="I77" s="109"/>
      <c r="J77" s="109"/>
      <c r="K77" s="109"/>
      <c r="L77" s="109"/>
      <c r="M77" s="109"/>
      <c r="N77" s="13" t="s">
        <v>8022</v>
      </c>
      <c r="O77" s="13" t="s">
        <v>257</v>
      </c>
      <c r="P77" s="13" t="s">
        <v>458</v>
      </c>
      <c r="Q77" s="15" t="s">
        <v>860</v>
      </c>
      <c r="R77" s="109"/>
      <c r="S77" s="109"/>
      <c r="T77" s="112"/>
      <c r="U77" s="112"/>
      <c r="V77" s="112"/>
      <c r="W77" s="112"/>
    </row>
    <row r="78" spans="1:23" s="2" customFormat="1" ht="12">
      <c r="A78" s="11"/>
      <c r="B78" s="108"/>
      <c r="C78" s="109"/>
      <c r="D78" s="14" t="str">
        <f t="shared" si="4"/>
        <v>美味不用等</v>
      </c>
      <c r="E78" s="109"/>
      <c r="F78" s="112"/>
      <c r="G78" s="109"/>
      <c r="H78" s="109"/>
      <c r="I78" s="109"/>
      <c r="J78" s="109"/>
      <c r="K78" s="109"/>
      <c r="L78" s="109"/>
      <c r="M78" s="109"/>
      <c r="N78" s="13" t="s">
        <v>8023</v>
      </c>
      <c r="O78" s="13" t="s">
        <v>262</v>
      </c>
      <c r="P78" s="15" t="s">
        <v>261</v>
      </c>
      <c r="Q78" s="15" t="s">
        <v>861</v>
      </c>
      <c r="R78" s="109"/>
      <c r="S78" s="109"/>
      <c r="T78" s="112"/>
      <c r="U78" s="112"/>
      <c r="V78" s="112"/>
      <c r="W78" s="112"/>
    </row>
    <row r="79" spans="1:23" s="2" customFormat="1" ht="12">
      <c r="A79" s="11"/>
      <c r="B79" s="108"/>
      <c r="C79" s="109"/>
      <c r="D79" s="14" t="str">
        <f t="shared" si="4"/>
        <v>美味不用等</v>
      </c>
      <c r="E79" s="109"/>
      <c r="F79" s="112"/>
      <c r="G79" s="109"/>
      <c r="H79" s="109"/>
      <c r="I79" s="109"/>
      <c r="J79" s="109"/>
      <c r="K79" s="109"/>
      <c r="L79" s="109"/>
      <c r="M79" s="109"/>
      <c r="N79" s="13" t="s">
        <v>8024</v>
      </c>
      <c r="O79" s="15" t="s">
        <v>326</v>
      </c>
      <c r="P79" s="15" t="s">
        <v>327</v>
      </c>
      <c r="Q79" s="15" t="s">
        <v>862</v>
      </c>
      <c r="R79" s="109"/>
      <c r="S79" s="109"/>
      <c r="T79" s="112"/>
      <c r="U79" s="112"/>
      <c r="V79" s="112"/>
      <c r="W79" s="112"/>
    </row>
    <row r="80" spans="1:23" s="2" customFormat="1" ht="12">
      <c r="A80" s="11"/>
      <c r="B80" s="108"/>
      <c r="C80" s="109" t="s">
        <v>924</v>
      </c>
      <c r="D80" s="14" t="s">
        <v>925</v>
      </c>
      <c r="E80" s="113" t="s">
        <v>925</v>
      </c>
      <c r="F80" s="114" t="s">
        <v>926</v>
      </c>
      <c r="G80" s="113" t="s">
        <v>927</v>
      </c>
      <c r="H80" s="109" t="s">
        <v>928</v>
      </c>
      <c r="I80" s="109" t="s">
        <v>427</v>
      </c>
      <c r="J80" s="113" t="s">
        <v>406</v>
      </c>
      <c r="K80" s="113" t="s">
        <v>272</v>
      </c>
      <c r="L80" s="113" t="s">
        <v>386</v>
      </c>
      <c r="M80" s="113" t="s">
        <v>929</v>
      </c>
      <c r="N80" s="13" t="s">
        <v>924</v>
      </c>
      <c r="O80" s="15" t="s">
        <v>471</v>
      </c>
      <c r="P80" s="15" t="s">
        <v>252</v>
      </c>
      <c r="Q80" s="15" t="s">
        <v>930</v>
      </c>
      <c r="R80" s="109" t="s">
        <v>931</v>
      </c>
      <c r="S80" s="113" t="s">
        <v>255</v>
      </c>
      <c r="T80" s="114" t="s">
        <v>932</v>
      </c>
      <c r="U80" s="114" t="s">
        <v>933</v>
      </c>
      <c r="V80" s="112" t="s">
        <v>934</v>
      </c>
      <c r="W80" s="112" t="s">
        <v>935</v>
      </c>
    </row>
    <row r="81" spans="1:23" s="2" customFormat="1" ht="12">
      <c r="A81" s="11"/>
      <c r="B81" s="108"/>
      <c r="C81" s="109"/>
      <c r="D81" s="14" t="str">
        <f>D80</f>
        <v>趣拍云</v>
      </c>
      <c r="E81" s="109"/>
      <c r="F81" s="112"/>
      <c r="G81" s="109"/>
      <c r="H81" s="109"/>
      <c r="I81" s="109"/>
      <c r="J81" s="109"/>
      <c r="K81" s="109"/>
      <c r="L81" s="109"/>
      <c r="M81" s="109"/>
      <c r="N81" s="13" t="s">
        <v>8025</v>
      </c>
      <c r="O81" s="13" t="s">
        <v>262</v>
      </c>
      <c r="P81" s="15" t="s">
        <v>341</v>
      </c>
      <c r="Q81" s="15" t="s">
        <v>586</v>
      </c>
      <c r="R81" s="109"/>
      <c r="S81" s="109"/>
      <c r="T81" s="112"/>
      <c r="U81" s="112"/>
      <c r="V81" s="112"/>
      <c r="W81" s="112"/>
    </row>
    <row r="82" spans="1:23" s="2" customFormat="1" ht="12">
      <c r="A82" s="11"/>
      <c r="B82" s="108"/>
      <c r="C82" s="109" t="s">
        <v>967</v>
      </c>
      <c r="D82" s="14" t="s">
        <v>968</v>
      </c>
      <c r="E82" s="113" t="s">
        <v>968</v>
      </c>
      <c r="F82" s="114" t="s">
        <v>969</v>
      </c>
      <c r="G82" s="113" t="s">
        <v>970</v>
      </c>
      <c r="H82" s="109" t="s">
        <v>971</v>
      </c>
      <c r="I82" s="109" t="s">
        <v>972</v>
      </c>
      <c r="J82" s="113" t="s">
        <v>973</v>
      </c>
      <c r="K82" s="113" t="s">
        <v>272</v>
      </c>
      <c r="L82" s="113" t="s">
        <v>672</v>
      </c>
      <c r="M82" s="113" t="s">
        <v>909</v>
      </c>
      <c r="N82" s="13" t="s">
        <v>967</v>
      </c>
      <c r="O82" s="15" t="s">
        <v>313</v>
      </c>
      <c r="P82" s="15" t="s">
        <v>252</v>
      </c>
      <c r="Q82" s="15" t="s">
        <v>974</v>
      </c>
      <c r="R82" s="109" t="s">
        <v>975</v>
      </c>
      <c r="S82" s="113" t="s">
        <v>255</v>
      </c>
      <c r="T82" s="114" t="s">
        <v>976</v>
      </c>
      <c r="U82" s="114" t="s">
        <v>977</v>
      </c>
      <c r="V82" s="112" t="s">
        <v>978</v>
      </c>
      <c r="W82" s="112" t="s">
        <v>979</v>
      </c>
    </row>
    <row r="83" spans="1:23" s="2" customFormat="1" ht="12">
      <c r="A83" s="11"/>
      <c r="B83" s="108"/>
      <c r="C83" s="109"/>
      <c r="D83" s="14" t="str">
        <f t="shared" ref="D83:D92" si="5">D82</f>
        <v>饿了么</v>
      </c>
      <c r="E83" s="109"/>
      <c r="F83" s="112"/>
      <c r="G83" s="109"/>
      <c r="H83" s="109"/>
      <c r="I83" s="109"/>
      <c r="J83" s="109"/>
      <c r="K83" s="109"/>
      <c r="L83" s="109"/>
      <c r="M83" s="109"/>
      <c r="N83" s="13" t="s">
        <v>8026</v>
      </c>
      <c r="O83" s="15" t="s">
        <v>471</v>
      </c>
      <c r="P83" s="13" t="s">
        <v>980</v>
      </c>
      <c r="Q83" s="15" t="s">
        <v>586</v>
      </c>
      <c r="R83" s="109"/>
      <c r="S83" s="109"/>
      <c r="T83" s="112"/>
      <c r="U83" s="112"/>
      <c r="V83" s="112"/>
      <c r="W83" s="112"/>
    </row>
    <row r="84" spans="1:23" s="2" customFormat="1" ht="12">
      <c r="A84" s="11"/>
      <c r="B84" s="108"/>
      <c r="C84" s="109"/>
      <c r="D84" s="14" t="str">
        <f t="shared" si="5"/>
        <v>饿了么</v>
      </c>
      <c r="E84" s="109"/>
      <c r="F84" s="112"/>
      <c r="G84" s="109"/>
      <c r="H84" s="109"/>
      <c r="I84" s="109"/>
      <c r="J84" s="109"/>
      <c r="K84" s="109"/>
      <c r="L84" s="109"/>
      <c r="M84" s="109"/>
      <c r="N84" s="13" t="s">
        <v>8027</v>
      </c>
      <c r="O84" s="15" t="s">
        <v>285</v>
      </c>
      <c r="P84" s="13" t="s">
        <v>306</v>
      </c>
      <c r="Q84" s="15" t="s">
        <v>240</v>
      </c>
      <c r="R84" s="109"/>
      <c r="S84" s="109"/>
      <c r="T84" s="112"/>
      <c r="U84" s="112"/>
      <c r="V84" s="112"/>
      <c r="W84" s="112"/>
    </row>
    <row r="85" spans="1:23" s="2" customFormat="1" ht="12">
      <c r="A85" s="11"/>
      <c r="B85" s="108"/>
      <c r="C85" s="109"/>
      <c r="D85" s="14" t="str">
        <f t="shared" si="5"/>
        <v>饿了么</v>
      </c>
      <c r="E85" s="109"/>
      <c r="F85" s="112"/>
      <c r="G85" s="109"/>
      <c r="H85" s="109"/>
      <c r="I85" s="109"/>
      <c r="J85" s="109"/>
      <c r="K85" s="109"/>
      <c r="L85" s="109"/>
      <c r="M85" s="109"/>
      <c r="N85" s="13" t="s">
        <v>8028</v>
      </c>
      <c r="O85" s="13" t="s">
        <v>303</v>
      </c>
      <c r="P85" s="13" t="s">
        <v>981</v>
      </c>
      <c r="Q85" s="15" t="s">
        <v>586</v>
      </c>
      <c r="R85" s="109"/>
      <c r="S85" s="109"/>
      <c r="T85" s="112"/>
      <c r="U85" s="112"/>
      <c r="V85" s="112"/>
      <c r="W85" s="112"/>
    </row>
    <row r="86" spans="1:23" s="2" customFormat="1" ht="12">
      <c r="A86" s="11"/>
      <c r="B86" s="108"/>
      <c r="C86" s="109"/>
      <c r="D86" s="14" t="str">
        <f t="shared" si="5"/>
        <v>饿了么</v>
      </c>
      <c r="E86" s="109"/>
      <c r="F86" s="112"/>
      <c r="G86" s="109"/>
      <c r="H86" s="109"/>
      <c r="I86" s="109"/>
      <c r="J86" s="109"/>
      <c r="K86" s="109"/>
      <c r="L86" s="109"/>
      <c r="M86" s="109"/>
      <c r="N86" s="13" t="s">
        <v>8029</v>
      </c>
      <c r="O86" s="15" t="s">
        <v>285</v>
      </c>
      <c r="P86" s="15" t="s">
        <v>276</v>
      </c>
      <c r="Q86" s="15" t="s">
        <v>266</v>
      </c>
      <c r="R86" s="109"/>
      <c r="S86" s="109"/>
      <c r="T86" s="112"/>
      <c r="U86" s="112"/>
      <c r="V86" s="112"/>
      <c r="W86" s="112"/>
    </row>
    <row r="87" spans="1:23" s="2" customFormat="1" ht="12">
      <c r="A87" s="11"/>
      <c r="B87" s="108"/>
      <c r="C87" s="109"/>
      <c r="D87" s="14" t="str">
        <f t="shared" si="5"/>
        <v>饿了么</v>
      </c>
      <c r="E87" s="109"/>
      <c r="F87" s="112"/>
      <c r="G87" s="109"/>
      <c r="H87" s="109"/>
      <c r="I87" s="109"/>
      <c r="J87" s="109"/>
      <c r="K87" s="109"/>
      <c r="L87" s="109"/>
      <c r="M87" s="109"/>
      <c r="N87" s="13" t="s">
        <v>8030</v>
      </c>
      <c r="O87" s="13" t="s">
        <v>303</v>
      </c>
      <c r="P87" s="13" t="s">
        <v>982</v>
      </c>
      <c r="Q87" s="15" t="s">
        <v>983</v>
      </c>
      <c r="R87" s="109"/>
      <c r="S87" s="109"/>
      <c r="T87" s="112"/>
      <c r="U87" s="112"/>
      <c r="V87" s="112"/>
      <c r="W87" s="112"/>
    </row>
    <row r="88" spans="1:23" s="2" customFormat="1" ht="12">
      <c r="A88" s="11"/>
      <c r="B88" s="108"/>
      <c r="C88" s="109"/>
      <c r="D88" s="14" t="str">
        <f t="shared" si="5"/>
        <v>饿了么</v>
      </c>
      <c r="E88" s="109"/>
      <c r="F88" s="112"/>
      <c r="G88" s="109"/>
      <c r="H88" s="109"/>
      <c r="I88" s="109"/>
      <c r="J88" s="109"/>
      <c r="K88" s="109"/>
      <c r="L88" s="109"/>
      <c r="M88" s="109"/>
      <c r="N88" s="13" t="s">
        <v>422</v>
      </c>
      <c r="O88" s="13" t="s">
        <v>310</v>
      </c>
      <c r="P88" s="13" t="s">
        <v>984</v>
      </c>
      <c r="Q88" s="15" t="s">
        <v>985</v>
      </c>
      <c r="R88" s="109"/>
      <c r="S88" s="109"/>
      <c r="T88" s="112"/>
      <c r="U88" s="112"/>
      <c r="V88" s="112"/>
      <c r="W88" s="112"/>
    </row>
    <row r="89" spans="1:23" s="2" customFormat="1" ht="12">
      <c r="A89" s="11"/>
      <c r="B89" s="108"/>
      <c r="C89" s="109"/>
      <c r="D89" s="14" t="str">
        <f t="shared" si="5"/>
        <v>饿了么</v>
      </c>
      <c r="E89" s="109"/>
      <c r="F89" s="112"/>
      <c r="G89" s="109"/>
      <c r="H89" s="109"/>
      <c r="I89" s="109"/>
      <c r="J89" s="109"/>
      <c r="K89" s="109"/>
      <c r="L89" s="109"/>
      <c r="M89" s="109"/>
      <c r="N89" s="13" t="s">
        <v>1672</v>
      </c>
      <c r="O89" s="13" t="s">
        <v>317</v>
      </c>
      <c r="P89" s="13" t="s">
        <v>897</v>
      </c>
      <c r="Q89" s="15" t="s">
        <v>986</v>
      </c>
      <c r="R89" s="109"/>
      <c r="S89" s="109"/>
      <c r="T89" s="112"/>
      <c r="U89" s="112"/>
      <c r="V89" s="112"/>
      <c r="W89" s="112"/>
    </row>
    <row r="90" spans="1:23" s="2" customFormat="1" ht="12">
      <c r="A90" s="11"/>
      <c r="B90" s="108"/>
      <c r="C90" s="109"/>
      <c r="D90" s="14" t="str">
        <f t="shared" si="5"/>
        <v>饿了么</v>
      </c>
      <c r="E90" s="109"/>
      <c r="F90" s="112"/>
      <c r="G90" s="109"/>
      <c r="H90" s="109"/>
      <c r="I90" s="109"/>
      <c r="J90" s="109"/>
      <c r="K90" s="109"/>
      <c r="L90" s="109"/>
      <c r="M90" s="109"/>
      <c r="N90" s="13" t="s">
        <v>8031</v>
      </c>
      <c r="O90" s="13" t="s">
        <v>251</v>
      </c>
      <c r="P90" s="13" t="s">
        <v>987</v>
      </c>
      <c r="Q90" s="15" t="s">
        <v>988</v>
      </c>
      <c r="R90" s="109"/>
      <c r="S90" s="109"/>
      <c r="T90" s="112"/>
      <c r="U90" s="112"/>
      <c r="V90" s="112"/>
      <c r="W90" s="112"/>
    </row>
    <row r="91" spans="1:23" s="2" customFormat="1" ht="12">
      <c r="A91" s="11"/>
      <c r="B91" s="108"/>
      <c r="C91" s="109"/>
      <c r="D91" s="14" t="str">
        <f t="shared" si="5"/>
        <v>饿了么</v>
      </c>
      <c r="E91" s="109"/>
      <c r="F91" s="112"/>
      <c r="G91" s="109"/>
      <c r="H91" s="109"/>
      <c r="I91" s="109"/>
      <c r="J91" s="109"/>
      <c r="K91" s="109"/>
      <c r="L91" s="109"/>
      <c r="M91" s="109"/>
      <c r="N91" s="13" t="s">
        <v>1340</v>
      </c>
      <c r="O91" s="13" t="s">
        <v>257</v>
      </c>
      <c r="P91" s="15" t="s">
        <v>261</v>
      </c>
      <c r="Q91" s="15" t="s">
        <v>989</v>
      </c>
      <c r="R91" s="109"/>
      <c r="S91" s="109"/>
      <c r="T91" s="112"/>
      <c r="U91" s="112"/>
      <c r="V91" s="112"/>
      <c r="W91" s="112"/>
    </row>
    <row r="92" spans="1:23" s="2" customFormat="1" ht="12">
      <c r="A92" s="11"/>
      <c r="B92" s="108"/>
      <c r="C92" s="109"/>
      <c r="D92" s="14" t="str">
        <f t="shared" si="5"/>
        <v>饿了么</v>
      </c>
      <c r="E92" s="109"/>
      <c r="F92" s="112"/>
      <c r="G92" s="109"/>
      <c r="H92" s="109"/>
      <c r="I92" s="109"/>
      <c r="J92" s="109"/>
      <c r="K92" s="109"/>
      <c r="L92" s="109"/>
      <c r="M92" s="109"/>
      <c r="N92" s="13" t="s">
        <v>8032</v>
      </c>
      <c r="O92" s="13" t="s">
        <v>262</v>
      </c>
      <c r="P92" s="15" t="s">
        <v>261</v>
      </c>
      <c r="Q92" s="15" t="s">
        <v>325</v>
      </c>
      <c r="R92" s="109"/>
      <c r="S92" s="109"/>
      <c r="T92" s="112"/>
      <c r="U92" s="112"/>
      <c r="V92" s="112"/>
      <c r="W92" s="112"/>
    </row>
    <row r="93" spans="1:23" s="2" customFormat="1" ht="12">
      <c r="A93" s="11"/>
      <c r="B93" s="108"/>
      <c r="C93" s="109" t="s">
        <v>8033</v>
      </c>
      <c r="D93" s="14" t="s">
        <v>8034</v>
      </c>
      <c r="E93" s="113" t="s">
        <v>8034</v>
      </c>
      <c r="F93" s="114" t="s">
        <v>8035</v>
      </c>
      <c r="G93" s="113" t="s">
        <v>8036</v>
      </c>
      <c r="H93" s="109" t="s">
        <v>8037</v>
      </c>
      <c r="I93" s="109" t="s">
        <v>533</v>
      </c>
      <c r="J93" s="113" t="s">
        <v>630</v>
      </c>
      <c r="K93" s="113" t="s">
        <v>272</v>
      </c>
      <c r="L93" s="113" t="s">
        <v>386</v>
      </c>
      <c r="M93" s="113" t="s">
        <v>645</v>
      </c>
      <c r="N93" s="13" t="s">
        <v>8033</v>
      </c>
      <c r="O93" s="15" t="s">
        <v>275</v>
      </c>
      <c r="P93" s="15" t="s">
        <v>252</v>
      </c>
      <c r="Q93" s="13" t="s">
        <v>253</v>
      </c>
      <c r="R93" s="109" t="s">
        <v>8038</v>
      </c>
      <c r="S93" s="113" t="s">
        <v>255</v>
      </c>
      <c r="T93" s="114" t="s">
        <v>8039</v>
      </c>
      <c r="U93" s="114" t="s">
        <v>8040</v>
      </c>
      <c r="V93" s="112" t="s">
        <v>8041</v>
      </c>
      <c r="W93" s="112" t="s">
        <v>8042</v>
      </c>
    </row>
    <row r="94" spans="1:23" s="2" customFormat="1" ht="12">
      <c r="A94" s="11"/>
      <c r="B94" s="108"/>
      <c r="C94" s="109"/>
      <c r="D94" s="14" t="str">
        <f>D93</f>
        <v>虎嗅网</v>
      </c>
      <c r="E94" s="109"/>
      <c r="F94" s="112"/>
      <c r="G94" s="109"/>
      <c r="H94" s="109"/>
      <c r="I94" s="109"/>
      <c r="J94" s="109"/>
      <c r="K94" s="109"/>
      <c r="L94" s="109"/>
      <c r="M94" s="109"/>
      <c r="N94" s="13" t="s">
        <v>8043</v>
      </c>
      <c r="O94" s="15" t="s">
        <v>359</v>
      </c>
      <c r="P94" s="15" t="s">
        <v>341</v>
      </c>
      <c r="Q94" s="15" t="s">
        <v>715</v>
      </c>
      <c r="R94" s="109"/>
      <c r="S94" s="109"/>
      <c r="T94" s="112"/>
      <c r="U94" s="112"/>
      <c r="V94" s="112"/>
      <c r="W94" s="112"/>
    </row>
    <row r="95" spans="1:23" s="2" customFormat="1" ht="12">
      <c r="A95" s="11"/>
      <c r="B95" s="108"/>
      <c r="C95" s="109"/>
      <c r="D95" s="14" t="str">
        <f>D94</f>
        <v>虎嗅网</v>
      </c>
      <c r="E95" s="109"/>
      <c r="F95" s="112"/>
      <c r="G95" s="109"/>
      <c r="H95" s="109"/>
      <c r="I95" s="109"/>
      <c r="J95" s="109"/>
      <c r="K95" s="109"/>
      <c r="L95" s="109"/>
      <c r="M95" s="109"/>
      <c r="N95" s="13" t="s">
        <v>8044</v>
      </c>
      <c r="O95" s="15" t="s">
        <v>362</v>
      </c>
      <c r="P95" s="15" t="s">
        <v>252</v>
      </c>
      <c r="Q95" s="13" t="s">
        <v>253</v>
      </c>
      <c r="R95" s="109"/>
      <c r="S95" s="109"/>
      <c r="T95" s="112"/>
      <c r="U95" s="112"/>
      <c r="V95" s="112"/>
      <c r="W95" s="112"/>
    </row>
    <row r="96" spans="1:23" s="2" customFormat="1" ht="12">
      <c r="A96" s="11"/>
      <c r="B96" s="108"/>
      <c r="C96" s="109"/>
      <c r="D96" s="14" t="str">
        <f>D95</f>
        <v>虎嗅网</v>
      </c>
      <c r="E96" s="109"/>
      <c r="F96" s="112"/>
      <c r="G96" s="109"/>
      <c r="H96" s="109"/>
      <c r="I96" s="109"/>
      <c r="J96" s="109"/>
      <c r="K96" s="109"/>
      <c r="L96" s="109"/>
      <c r="M96" s="109"/>
      <c r="N96" s="13" t="s">
        <v>8045</v>
      </c>
      <c r="O96" s="13" t="s">
        <v>257</v>
      </c>
      <c r="P96" s="13" t="s">
        <v>8046</v>
      </c>
      <c r="Q96" s="15" t="s">
        <v>2229</v>
      </c>
      <c r="R96" s="109"/>
      <c r="S96" s="109"/>
      <c r="T96" s="112"/>
      <c r="U96" s="112"/>
      <c r="V96" s="112"/>
      <c r="W96" s="112"/>
    </row>
    <row r="97" spans="1:23" s="2" customFormat="1" ht="12">
      <c r="A97" s="11"/>
      <c r="B97" s="108"/>
      <c r="C97" s="109"/>
      <c r="D97" s="14" t="str">
        <f>D96</f>
        <v>虎嗅网</v>
      </c>
      <c r="E97" s="109"/>
      <c r="F97" s="112"/>
      <c r="G97" s="109"/>
      <c r="H97" s="109"/>
      <c r="I97" s="109"/>
      <c r="J97" s="109"/>
      <c r="K97" s="109"/>
      <c r="L97" s="109"/>
      <c r="M97" s="109"/>
      <c r="N97" s="13" t="s">
        <v>8047</v>
      </c>
      <c r="O97" s="13" t="s">
        <v>262</v>
      </c>
      <c r="P97" s="15" t="s">
        <v>327</v>
      </c>
      <c r="Q97" s="15" t="s">
        <v>8048</v>
      </c>
      <c r="R97" s="109"/>
      <c r="S97" s="109"/>
      <c r="T97" s="112"/>
      <c r="U97" s="112"/>
      <c r="V97" s="112"/>
      <c r="W97" s="112"/>
    </row>
    <row r="98" spans="1:23" s="2" customFormat="1" ht="12">
      <c r="A98" s="11"/>
      <c r="B98" s="108"/>
      <c r="C98" s="109"/>
      <c r="D98" s="14" t="str">
        <f>D97</f>
        <v>虎嗅网</v>
      </c>
      <c r="E98" s="109"/>
      <c r="F98" s="112"/>
      <c r="G98" s="109"/>
      <c r="H98" s="109"/>
      <c r="I98" s="109"/>
      <c r="J98" s="109"/>
      <c r="K98" s="109"/>
      <c r="L98" s="109"/>
      <c r="M98" s="109"/>
      <c r="N98" s="13" t="s">
        <v>8049</v>
      </c>
      <c r="O98" s="15" t="s">
        <v>326</v>
      </c>
      <c r="P98" s="15" t="s">
        <v>252</v>
      </c>
      <c r="Q98" s="15" t="s">
        <v>8048</v>
      </c>
      <c r="R98" s="109"/>
      <c r="S98" s="109"/>
      <c r="T98" s="112"/>
      <c r="U98" s="112"/>
      <c r="V98" s="112"/>
      <c r="W98" s="112"/>
    </row>
    <row r="99" spans="1:23" s="2" customFormat="1" ht="12">
      <c r="A99" s="11"/>
      <c r="B99" s="108"/>
      <c r="C99" s="109" t="s">
        <v>1095</v>
      </c>
      <c r="D99" s="14" t="s">
        <v>1096</v>
      </c>
      <c r="E99" s="113" t="s">
        <v>1096</v>
      </c>
      <c r="F99" s="114" t="s">
        <v>1097</v>
      </c>
      <c r="G99" s="113" t="s">
        <v>1098</v>
      </c>
      <c r="H99" s="109" t="s">
        <v>1099</v>
      </c>
      <c r="I99" s="109" t="s">
        <v>1100</v>
      </c>
      <c r="J99" s="113" t="s">
        <v>349</v>
      </c>
      <c r="K99" s="113" t="s">
        <v>272</v>
      </c>
      <c r="L99" s="113" t="s">
        <v>1101</v>
      </c>
      <c r="M99" s="113" t="s">
        <v>1102</v>
      </c>
      <c r="N99" s="13" t="s">
        <v>1095</v>
      </c>
      <c r="O99" s="13" t="s">
        <v>687</v>
      </c>
      <c r="P99" s="13" t="s">
        <v>1103</v>
      </c>
      <c r="Q99" s="15" t="s">
        <v>1104</v>
      </c>
      <c r="R99" s="109" t="s">
        <v>1105</v>
      </c>
      <c r="S99" s="109" t="s">
        <v>1106</v>
      </c>
      <c r="T99" s="114" t="s">
        <v>1107</v>
      </c>
      <c r="U99" s="114" t="s">
        <v>1108</v>
      </c>
      <c r="V99" s="112" t="s">
        <v>1109</v>
      </c>
      <c r="W99" s="112"/>
    </row>
    <row r="100" spans="1:23" s="2" customFormat="1" ht="12">
      <c r="A100" s="11"/>
      <c r="B100" s="108"/>
      <c r="C100" s="109"/>
      <c r="D100" s="14" t="str">
        <f t="shared" ref="D100:D106" si="6">D99</f>
        <v>美年健康</v>
      </c>
      <c r="E100" s="109"/>
      <c r="F100" s="112"/>
      <c r="G100" s="109"/>
      <c r="H100" s="109"/>
      <c r="I100" s="109"/>
      <c r="J100" s="109"/>
      <c r="K100" s="109"/>
      <c r="L100" s="109"/>
      <c r="M100" s="109"/>
      <c r="N100" s="13" t="s">
        <v>8050</v>
      </c>
      <c r="O100" s="13" t="s">
        <v>687</v>
      </c>
      <c r="P100" s="15" t="s">
        <v>252</v>
      </c>
      <c r="Q100" s="15" t="s">
        <v>1110</v>
      </c>
      <c r="R100" s="109"/>
      <c r="S100" s="109"/>
      <c r="T100" s="112"/>
      <c r="U100" s="112"/>
      <c r="V100" s="112"/>
      <c r="W100" s="112"/>
    </row>
    <row r="101" spans="1:23" s="2" customFormat="1" ht="12">
      <c r="A101" s="11"/>
      <c r="B101" s="108"/>
      <c r="C101" s="109"/>
      <c r="D101" s="14" t="str">
        <f t="shared" si="6"/>
        <v>美年健康</v>
      </c>
      <c r="E101" s="109"/>
      <c r="F101" s="112"/>
      <c r="G101" s="109"/>
      <c r="H101" s="109"/>
      <c r="I101" s="109"/>
      <c r="J101" s="109"/>
      <c r="K101" s="109"/>
      <c r="L101" s="109"/>
      <c r="M101" s="109"/>
      <c r="N101" s="13" t="s">
        <v>8051</v>
      </c>
      <c r="O101" s="13" t="s">
        <v>283</v>
      </c>
      <c r="P101" s="13" t="s">
        <v>1111</v>
      </c>
      <c r="Q101" s="13" t="s">
        <v>253</v>
      </c>
      <c r="R101" s="109"/>
      <c r="S101" s="109"/>
      <c r="T101" s="112"/>
      <c r="U101" s="112"/>
      <c r="V101" s="112"/>
      <c r="W101" s="112"/>
    </row>
    <row r="102" spans="1:23" s="2" customFormat="1" ht="12">
      <c r="A102" s="11"/>
      <c r="B102" s="108"/>
      <c r="C102" s="109"/>
      <c r="D102" s="14" t="str">
        <f t="shared" si="6"/>
        <v>美年健康</v>
      </c>
      <c r="E102" s="109"/>
      <c r="F102" s="112"/>
      <c r="G102" s="109"/>
      <c r="H102" s="109"/>
      <c r="I102" s="109"/>
      <c r="J102" s="109"/>
      <c r="K102" s="109"/>
      <c r="L102" s="109"/>
      <c r="M102" s="109"/>
      <c r="N102" s="13" t="s">
        <v>8052</v>
      </c>
      <c r="O102" s="15" t="s">
        <v>471</v>
      </c>
      <c r="P102" s="13" t="s">
        <v>1112</v>
      </c>
      <c r="Q102" s="15" t="s">
        <v>1113</v>
      </c>
      <c r="R102" s="109"/>
      <c r="S102" s="109"/>
      <c r="T102" s="112"/>
      <c r="U102" s="112"/>
      <c r="V102" s="112"/>
      <c r="W102" s="112"/>
    </row>
    <row r="103" spans="1:23" s="2" customFormat="1" ht="12">
      <c r="A103" s="11"/>
      <c r="B103" s="108"/>
      <c r="C103" s="109"/>
      <c r="D103" s="14" t="str">
        <f t="shared" si="6"/>
        <v>美年健康</v>
      </c>
      <c r="E103" s="109"/>
      <c r="F103" s="112"/>
      <c r="G103" s="109"/>
      <c r="H103" s="109"/>
      <c r="I103" s="109"/>
      <c r="J103" s="109"/>
      <c r="K103" s="109"/>
      <c r="L103" s="109"/>
      <c r="M103" s="109"/>
      <c r="N103" s="13" t="s">
        <v>8053</v>
      </c>
      <c r="O103" s="13" t="s">
        <v>251</v>
      </c>
      <c r="P103" s="15" t="s">
        <v>341</v>
      </c>
      <c r="Q103" s="15" t="s">
        <v>1114</v>
      </c>
      <c r="R103" s="109"/>
      <c r="S103" s="109"/>
      <c r="T103" s="112"/>
      <c r="U103" s="112"/>
      <c r="V103" s="112"/>
      <c r="W103" s="112"/>
    </row>
    <row r="104" spans="1:23" s="2" customFormat="1" ht="12">
      <c r="A104" s="11"/>
      <c r="B104" s="108"/>
      <c r="C104" s="109"/>
      <c r="D104" s="14" t="str">
        <f t="shared" si="6"/>
        <v>美年健康</v>
      </c>
      <c r="E104" s="109"/>
      <c r="F104" s="112"/>
      <c r="G104" s="109"/>
      <c r="H104" s="109"/>
      <c r="I104" s="109"/>
      <c r="J104" s="109"/>
      <c r="K104" s="109"/>
      <c r="L104" s="109"/>
      <c r="M104" s="109"/>
      <c r="N104" s="13" t="s">
        <v>463</v>
      </c>
      <c r="O104" s="13" t="s">
        <v>257</v>
      </c>
      <c r="P104" s="13" t="s">
        <v>1115</v>
      </c>
      <c r="Q104" s="15" t="s">
        <v>1116</v>
      </c>
      <c r="R104" s="109"/>
      <c r="S104" s="109"/>
      <c r="T104" s="112"/>
      <c r="U104" s="112"/>
      <c r="V104" s="112"/>
      <c r="W104" s="112"/>
    </row>
    <row r="105" spans="1:23" s="2" customFormat="1" ht="12">
      <c r="A105" s="11"/>
      <c r="B105" s="108"/>
      <c r="C105" s="109"/>
      <c r="D105" s="14" t="str">
        <f t="shared" si="6"/>
        <v>美年健康</v>
      </c>
      <c r="E105" s="109"/>
      <c r="F105" s="112"/>
      <c r="G105" s="109"/>
      <c r="H105" s="109"/>
      <c r="I105" s="109"/>
      <c r="J105" s="109"/>
      <c r="K105" s="109"/>
      <c r="L105" s="109"/>
      <c r="M105" s="109"/>
      <c r="N105" s="13" t="s">
        <v>8054</v>
      </c>
      <c r="O105" s="13" t="s">
        <v>262</v>
      </c>
      <c r="P105" s="15" t="s">
        <v>409</v>
      </c>
      <c r="Q105" s="15" t="s">
        <v>1117</v>
      </c>
      <c r="R105" s="109"/>
      <c r="S105" s="109"/>
      <c r="T105" s="112"/>
      <c r="U105" s="112"/>
      <c r="V105" s="112"/>
      <c r="W105" s="112"/>
    </row>
    <row r="106" spans="1:23" s="2" customFormat="1" ht="12">
      <c r="A106" s="11"/>
      <c r="B106" s="108"/>
      <c r="C106" s="109"/>
      <c r="D106" s="14" t="str">
        <f t="shared" si="6"/>
        <v>美年健康</v>
      </c>
      <c r="E106" s="109"/>
      <c r="F106" s="112"/>
      <c r="G106" s="109"/>
      <c r="H106" s="109"/>
      <c r="I106" s="109"/>
      <c r="J106" s="109"/>
      <c r="K106" s="109"/>
      <c r="L106" s="109"/>
      <c r="M106" s="109"/>
      <c r="N106" s="13" t="s">
        <v>8055</v>
      </c>
      <c r="O106" s="15" t="s">
        <v>326</v>
      </c>
      <c r="P106" s="15" t="s">
        <v>252</v>
      </c>
      <c r="Q106" s="15" t="s">
        <v>1118</v>
      </c>
      <c r="R106" s="109"/>
      <c r="S106" s="109"/>
      <c r="T106" s="112"/>
      <c r="U106" s="112"/>
      <c r="V106" s="112"/>
      <c r="W106" s="112"/>
    </row>
    <row r="107" spans="1:23" s="2" customFormat="1" ht="12">
      <c r="A107" s="11"/>
      <c r="B107" s="108"/>
      <c r="C107" s="109" t="s">
        <v>8056</v>
      </c>
      <c r="D107" s="14" t="s">
        <v>8057</v>
      </c>
      <c r="E107" s="113" t="s">
        <v>8057</v>
      </c>
      <c r="F107" s="114" t="s">
        <v>8058</v>
      </c>
      <c r="G107" s="113" t="s">
        <v>8059</v>
      </c>
      <c r="H107" s="109" t="s">
        <v>8060</v>
      </c>
      <c r="I107" s="109" t="s">
        <v>8061</v>
      </c>
      <c r="J107" s="113" t="s">
        <v>271</v>
      </c>
      <c r="K107" s="113" t="s">
        <v>272</v>
      </c>
      <c r="L107" s="113" t="s">
        <v>407</v>
      </c>
      <c r="M107" s="113" t="s">
        <v>762</v>
      </c>
      <c r="N107" s="13" t="s">
        <v>8056</v>
      </c>
      <c r="O107" s="15" t="s">
        <v>285</v>
      </c>
      <c r="P107" s="15" t="s">
        <v>252</v>
      </c>
      <c r="Q107" s="15" t="s">
        <v>2229</v>
      </c>
      <c r="R107" s="109" t="s">
        <v>8062</v>
      </c>
      <c r="S107" s="113" t="s">
        <v>255</v>
      </c>
      <c r="T107" s="114" t="s">
        <v>8063</v>
      </c>
      <c r="U107" s="114" t="s">
        <v>8064</v>
      </c>
      <c r="V107" s="112" t="s">
        <v>8065</v>
      </c>
      <c r="W107" s="112" t="s">
        <v>8066</v>
      </c>
    </row>
    <row r="108" spans="1:23" s="2" customFormat="1" ht="12">
      <c r="A108" s="11"/>
      <c r="B108" s="108"/>
      <c r="C108" s="109"/>
      <c r="D108" s="14" t="str">
        <f>D107</f>
        <v>中科虹霸</v>
      </c>
      <c r="E108" s="109"/>
      <c r="F108" s="112"/>
      <c r="G108" s="109"/>
      <c r="H108" s="109"/>
      <c r="I108" s="109"/>
      <c r="J108" s="109"/>
      <c r="K108" s="109"/>
      <c r="L108" s="109"/>
      <c r="M108" s="109"/>
      <c r="N108" s="13" t="s">
        <v>8023</v>
      </c>
      <c r="O108" s="13" t="s">
        <v>251</v>
      </c>
      <c r="P108" s="15" t="s">
        <v>341</v>
      </c>
      <c r="Q108" s="15" t="s">
        <v>8067</v>
      </c>
      <c r="R108" s="109"/>
      <c r="S108" s="109"/>
      <c r="T108" s="112"/>
      <c r="U108" s="112"/>
      <c r="V108" s="112"/>
      <c r="W108" s="112"/>
    </row>
    <row r="109" spans="1:23" s="2" customFormat="1" ht="12">
      <c r="A109" s="11"/>
      <c r="B109" s="108"/>
      <c r="C109" s="109"/>
      <c r="D109" s="14" t="str">
        <f>D108</f>
        <v>中科虹霸</v>
      </c>
      <c r="E109" s="109"/>
      <c r="F109" s="112"/>
      <c r="G109" s="109"/>
      <c r="H109" s="109"/>
      <c r="I109" s="109"/>
      <c r="J109" s="109"/>
      <c r="K109" s="109"/>
      <c r="L109" s="109"/>
      <c r="M109" s="109"/>
      <c r="N109" s="13" t="s">
        <v>8068</v>
      </c>
      <c r="O109" s="13" t="s">
        <v>262</v>
      </c>
      <c r="P109" s="13" t="s">
        <v>3740</v>
      </c>
      <c r="Q109" s="15" t="s">
        <v>8069</v>
      </c>
      <c r="R109" s="109"/>
      <c r="S109" s="109"/>
      <c r="T109" s="112"/>
      <c r="U109" s="112"/>
      <c r="V109" s="112"/>
      <c r="W109" s="112"/>
    </row>
    <row r="110" spans="1:23" s="2" customFormat="1" ht="12">
      <c r="A110" s="11"/>
      <c r="B110" s="108"/>
      <c r="C110" s="109"/>
      <c r="D110" s="14" t="str">
        <f>D109</f>
        <v>中科虹霸</v>
      </c>
      <c r="E110" s="109"/>
      <c r="F110" s="112"/>
      <c r="G110" s="109"/>
      <c r="H110" s="109"/>
      <c r="I110" s="109"/>
      <c r="J110" s="109"/>
      <c r="K110" s="109"/>
      <c r="L110" s="109"/>
      <c r="M110" s="109"/>
      <c r="N110" s="13" t="s">
        <v>8070</v>
      </c>
      <c r="O110" s="15" t="s">
        <v>326</v>
      </c>
      <c r="P110" s="15" t="s">
        <v>327</v>
      </c>
      <c r="Q110" s="15" t="s">
        <v>2751</v>
      </c>
      <c r="R110" s="109"/>
      <c r="S110" s="109"/>
      <c r="T110" s="112"/>
      <c r="U110" s="112"/>
      <c r="V110" s="112"/>
      <c r="W110" s="112"/>
    </row>
    <row r="111" spans="1:23" s="2" customFormat="1" ht="12">
      <c r="A111" s="11"/>
      <c r="B111" s="108"/>
      <c r="C111" s="109" t="s">
        <v>2834</v>
      </c>
      <c r="D111" s="14" t="s">
        <v>8071</v>
      </c>
      <c r="E111" s="113" t="s">
        <v>8071</v>
      </c>
      <c r="F111" s="114" t="s">
        <v>8072</v>
      </c>
      <c r="G111" s="113" t="s">
        <v>8073</v>
      </c>
      <c r="H111" s="109" t="s">
        <v>8074</v>
      </c>
      <c r="I111" s="109" t="s">
        <v>2083</v>
      </c>
      <c r="J111" s="113" t="s">
        <v>406</v>
      </c>
      <c r="K111" s="113" t="s">
        <v>272</v>
      </c>
      <c r="L111" s="113" t="s">
        <v>1859</v>
      </c>
      <c r="M111" s="113" t="s">
        <v>1860</v>
      </c>
      <c r="N111" s="13" t="s">
        <v>2834</v>
      </c>
      <c r="O111" s="15" t="s">
        <v>471</v>
      </c>
      <c r="P111" s="13" t="s">
        <v>8075</v>
      </c>
      <c r="Q111" s="15" t="s">
        <v>2229</v>
      </c>
      <c r="R111" s="109" t="s">
        <v>8076</v>
      </c>
      <c r="S111" s="109" t="s">
        <v>8077</v>
      </c>
      <c r="T111" s="114" t="s">
        <v>8078</v>
      </c>
      <c r="U111" s="112"/>
      <c r="V111" s="112"/>
      <c r="W111" s="112"/>
    </row>
    <row r="112" spans="1:23" s="2" customFormat="1" ht="12">
      <c r="A112" s="11"/>
      <c r="B112" s="108"/>
      <c r="C112" s="109"/>
      <c r="D112" s="14" t="str">
        <f>D111</f>
        <v>数米基金网</v>
      </c>
      <c r="E112" s="109"/>
      <c r="F112" s="112"/>
      <c r="G112" s="109"/>
      <c r="H112" s="109"/>
      <c r="I112" s="109"/>
      <c r="J112" s="109"/>
      <c r="K112" s="109"/>
      <c r="L112" s="109"/>
      <c r="M112" s="109"/>
      <c r="N112" s="13" t="s">
        <v>8079</v>
      </c>
      <c r="O112" s="15" t="s">
        <v>471</v>
      </c>
      <c r="P112" s="13" t="s">
        <v>8080</v>
      </c>
      <c r="Q112" s="15" t="s">
        <v>8081</v>
      </c>
      <c r="R112" s="109"/>
      <c r="S112" s="109"/>
      <c r="T112" s="112"/>
      <c r="U112" s="112"/>
      <c r="V112" s="112"/>
      <c r="W112" s="112"/>
    </row>
    <row r="113" spans="1:23" s="2" customFormat="1" ht="12">
      <c r="A113" s="11"/>
      <c r="B113" s="108"/>
      <c r="C113" s="109"/>
      <c r="D113" s="14" t="str">
        <f>D112</f>
        <v>数米基金网</v>
      </c>
      <c r="E113" s="109"/>
      <c r="F113" s="112"/>
      <c r="G113" s="109"/>
      <c r="H113" s="109"/>
      <c r="I113" s="109"/>
      <c r="J113" s="109"/>
      <c r="K113" s="109"/>
      <c r="L113" s="109"/>
      <c r="M113" s="109"/>
      <c r="N113" s="13" t="s">
        <v>8082</v>
      </c>
      <c r="O113" s="13" t="s">
        <v>262</v>
      </c>
      <c r="P113" s="15" t="s">
        <v>341</v>
      </c>
      <c r="Q113" s="13" t="s">
        <v>253</v>
      </c>
      <c r="R113" s="109"/>
      <c r="S113" s="109"/>
      <c r="T113" s="112"/>
      <c r="U113" s="112"/>
      <c r="V113" s="112"/>
      <c r="W113" s="112"/>
    </row>
    <row r="114" spans="1:23" s="2" customFormat="1" ht="12">
      <c r="A114" s="11"/>
      <c r="B114" s="108"/>
      <c r="C114" s="109" t="s">
        <v>8083</v>
      </c>
      <c r="D114" s="14" t="s">
        <v>8084</v>
      </c>
      <c r="E114" s="113" t="s">
        <v>8084</v>
      </c>
      <c r="F114" s="114" t="s">
        <v>8085</v>
      </c>
      <c r="G114" s="113" t="s">
        <v>8086</v>
      </c>
      <c r="H114" s="109" t="s">
        <v>8087</v>
      </c>
      <c r="I114" s="109" t="s">
        <v>8088</v>
      </c>
      <c r="J114" s="113" t="s">
        <v>761</v>
      </c>
      <c r="K114" s="113" t="s">
        <v>272</v>
      </c>
      <c r="L114" s="113" t="s">
        <v>249</v>
      </c>
      <c r="M114" s="113" t="s">
        <v>1357</v>
      </c>
      <c r="N114" s="13" t="s">
        <v>8083</v>
      </c>
      <c r="O114" s="13" t="s">
        <v>251</v>
      </c>
      <c r="P114" s="13" t="s">
        <v>1202</v>
      </c>
      <c r="Q114" s="15" t="s">
        <v>8089</v>
      </c>
      <c r="R114" s="109" t="s">
        <v>8090</v>
      </c>
      <c r="S114" s="109" t="s">
        <v>2601</v>
      </c>
      <c r="T114" s="114" t="s">
        <v>8091</v>
      </c>
      <c r="U114" s="112"/>
      <c r="V114" s="112"/>
      <c r="W114" s="112"/>
    </row>
    <row r="115" spans="1:23" s="2" customFormat="1" ht="12">
      <c r="A115" s="11"/>
      <c r="B115" s="108"/>
      <c r="C115" s="109"/>
      <c r="D115" s="14" t="str">
        <f>D114</f>
        <v>八爪鱼在线旅游</v>
      </c>
      <c r="E115" s="109"/>
      <c r="F115" s="112"/>
      <c r="G115" s="109"/>
      <c r="H115" s="109"/>
      <c r="I115" s="109"/>
      <c r="J115" s="109"/>
      <c r="K115" s="109"/>
      <c r="L115" s="109"/>
      <c r="M115" s="109"/>
      <c r="N115" s="13" t="s">
        <v>3366</v>
      </c>
      <c r="O115" s="13" t="s">
        <v>565</v>
      </c>
      <c r="P115" s="15" t="s">
        <v>252</v>
      </c>
      <c r="Q115" s="15" t="s">
        <v>8092</v>
      </c>
      <c r="R115" s="109"/>
      <c r="S115" s="109"/>
      <c r="T115" s="112"/>
      <c r="U115" s="112"/>
      <c r="V115" s="112"/>
      <c r="W115" s="112"/>
    </row>
    <row r="116" spans="1:23" s="2" customFormat="1" ht="12">
      <c r="A116" s="11"/>
      <c r="B116" s="108"/>
      <c r="C116" s="109"/>
      <c r="D116" s="14" t="str">
        <f>D115</f>
        <v>八爪鱼在线旅游</v>
      </c>
      <c r="E116" s="109"/>
      <c r="F116" s="112"/>
      <c r="G116" s="109"/>
      <c r="H116" s="109"/>
      <c r="I116" s="109"/>
      <c r="J116" s="109"/>
      <c r="K116" s="109"/>
      <c r="L116" s="109"/>
      <c r="M116" s="109"/>
      <c r="N116" s="13" t="s">
        <v>8093</v>
      </c>
      <c r="O116" s="13" t="s">
        <v>257</v>
      </c>
      <c r="P116" s="13" t="s">
        <v>8094</v>
      </c>
      <c r="Q116" s="15" t="s">
        <v>8095</v>
      </c>
      <c r="R116" s="109"/>
      <c r="S116" s="109"/>
      <c r="T116" s="112"/>
      <c r="U116" s="112"/>
      <c r="V116" s="112"/>
      <c r="W116" s="112"/>
    </row>
    <row r="117" spans="1:23" s="2" customFormat="1" ht="12">
      <c r="A117" s="11"/>
      <c r="B117" s="108"/>
      <c r="C117" s="109"/>
      <c r="D117" s="14" t="str">
        <f>D116</f>
        <v>八爪鱼在线旅游</v>
      </c>
      <c r="E117" s="109"/>
      <c r="F117" s="112"/>
      <c r="G117" s="109"/>
      <c r="H117" s="109"/>
      <c r="I117" s="109"/>
      <c r="J117" s="109"/>
      <c r="K117" s="109"/>
      <c r="L117" s="109"/>
      <c r="M117" s="109"/>
      <c r="N117" s="13" t="s">
        <v>8031</v>
      </c>
      <c r="O117" s="13" t="s">
        <v>262</v>
      </c>
      <c r="P117" s="13" t="s">
        <v>701</v>
      </c>
      <c r="Q117" s="15" t="s">
        <v>8096</v>
      </c>
      <c r="R117" s="109"/>
      <c r="S117" s="109"/>
      <c r="T117" s="112"/>
      <c r="U117" s="112"/>
      <c r="V117" s="112"/>
      <c r="W117" s="112"/>
    </row>
    <row r="118" spans="1:23" s="2" customFormat="1" ht="12">
      <c r="A118" s="11"/>
      <c r="B118" s="108"/>
      <c r="C118" s="109" t="s">
        <v>8097</v>
      </c>
      <c r="D118" s="14" t="s">
        <v>8098</v>
      </c>
      <c r="E118" s="113" t="s">
        <v>8098</v>
      </c>
      <c r="F118" s="114" t="s">
        <v>8099</v>
      </c>
      <c r="G118" s="113" t="s">
        <v>8100</v>
      </c>
      <c r="H118" s="109" t="s">
        <v>8101</v>
      </c>
      <c r="I118" s="109" t="s">
        <v>2083</v>
      </c>
      <c r="J118" s="113" t="s">
        <v>406</v>
      </c>
      <c r="K118" s="113" t="s">
        <v>272</v>
      </c>
      <c r="L118" s="113" t="s">
        <v>249</v>
      </c>
      <c r="M118" s="113" t="s">
        <v>2039</v>
      </c>
      <c r="N118" s="13" t="s">
        <v>8097</v>
      </c>
      <c r="O118" s="15" t="s">
        <v>285</v>
      </c>
      <c r="P118" s="15" t="s">
        <v>252</v>
      </c>
      <c r="Q118" s="15" t="s">
        <v>2229</v>
      </c>
      <c r="R118" s="109" t="s">
        <v>2553</v>
      </c>
      <c r="S118" s="113" t="s">
        <v>255</v>
      </c>
      <c r="T118" s="112"/>
      <c r="U118" s="114" t="s">
        <v>8102</v>
      </c>
      <c r="V118" s="112"/>
      <c r="W118" s="112"/>
    </row>
    <row r="119" spans="1:23" s="2" customFormat="1" ht="12">
      <c r="A119" s="11"/>
      <c r="B119" s="108"/>
      <c r="C119" s="109"/>
      <c r="D119" s="14" t="str">
        <f>D118</f>
        <v>深大智能</v>
      </c>
      <c r="E119" s="109"/>
      <c r="F119" s="112"/>
      <c r="G119" s="109"/>
      <c r="H119" s="109"/>
      <c r="I119" s="109"/>
      <c r="J119" s="109"/>
      <c r="K119" s="109"/>
      <c r="L119" s="109"/>
      <c r="M119" s="109"/>
      <c r="N119" s="13" t="s">
        <v>8103</v>
      </c>
      <c r="O119" s="13" t="s">
        <v>257</v>
      </c>
      <c r="P119" s="15" t="s">
        <v>252</v>
      </c>
      <c r="Q119" s="15" t="s">
        <v>8104</v>
      </c>
      <c r="R119" s="109"/>
      <c r="S119" s="109"/>
      <c r="T119" s="112"/>
      <c r="U119" s="112"/>
      <c r="V119" s="112"/>
      <c r="W119" s="112"/>
    </row>
    <row r="120" spans="1:23" s="2" customFormat="1" ht="12">
      <c r="A120" s="11"/>
      <c r="B120" s="108"/>
      <c r="C120" s="109"/>
      <c r="D120" s="14" t="str">
        <f>D119</f>
        <v>深大智能</v>
      </c>
      <c r="E120" s="109"/>
      <c r="F120" s="112"/>
      <c r="G120" s="109"/>
      <c r="H120" s="109"/>
      <c r="I120" s="109"/>
      <c r="J120" s="109"/>
      <c r="K120" s="109"/>
      <c r="L120" s="109"/>
      <c r="M120" s="109"/>
      <c r="N120" s="13" t="s">
        <v>1134</v>
      </c>
      <c r="O120" s="13" t="s">
        <v>262</v>
      </c>
      <c r="P120" s="13" t="s">
        <v>1684</v>
      </c>
      <c r="Q120" s="15" t="s">
        <v>8105</v>
      </c>
      <c r="R120" s="109"/>
      <c r="S120" s="109"/>
      <c r="T120" s="112"/>
      <c r="U120" s="112"/>
      <c r="V120" s="112"/>
      <c r="W120" s="112"/>
    </row>
    <row r="121" spans="1:23" s="2" customFormat="1" ht="12">
      <c r="A121" s="11"/>
      <c r="B121" s="108"/>
      <c r="C121" s="109" t="s">
        <v>8106</v>
      </c>
      <c r="D121" s="14" t="s">
        <v>8107</v>
      </c>
      <c r="E121" s="113" t="s">
        <v>8107</v>
      </c>
      <c r="F121" s="114" t="s">
        <v>8108</v>
      </c>
      <c r="G121" s="113" t="s">
        <v>8109</v>
      </c>
      <c r="H121" s="109" t="s">
        <v>8110</v>
      </c>
      <c r="I121" s="109" t="s">
        <v>868</v>
      </c>
      <c r="J121" s="113" t="s">
        <v>385</v>
      </c>
      <c r="K121" s="113" t="s">
        <v>272</v>
      </c>
      <c r="L121" s="113" t="s">
        <v>386</v>
      </c>
      <c r="M121" s="113" t="s">
        <v>645</v>
      </c>
      <c r="N121" s="13" t="s">
        <v>8106</v>
      </c>
      <c r="O121" s="13" t="s">
        <v>310</v>
      </c>
      <c r="P121" s="15" t="s">
        <v>252</v>
      </c>
      <c r="Q121" s="15" t="s">
        <v>8111</v>
      </c>
      <c r="R121" s="109" t="s">
        <v>4763</v>
      </c>
      <c r="S121" s="113" t="s">
        <v>255</v>
      </c>
      <c r="T121" s="114" t="s">
        <v>8112</v>
      </c>
      <c r="U121" s="114" t="s">
        <v>8113</v>
      </c>
      <c r="V121" s="112" t="s">
        <v>8114</v>
      </c>
      <c r="W121" s="112" t="s">
        <v>8115</v>
      </c>
    </row>
    <row r="122" spans="1:23" s="2" customFormat="1" ht="12">
      <c r="A122" s="11"/>
      <c r="B122" s="108"/>
      <c r="C122" s="109"/>
      <c r="D122" s="14" t="str">
        <f>D121</f>
        <v>财新传媒</v>
      </c>
      <c r="E122" s="109"/>
      <c r="F122" s="112"/>
      <c r="G122" s="109"/>
      <c r="H122" s="109"/>
      <c r="I122" s="109"/>
      <c r="J122" s="109"/>
      <c r="K122" s="109"/>
      <c r="L122" s="109"/>
      <c r="M122" s="109"/>
      <c r="N122" s="13" t="s">
        <v>8116</v>
      </c>
      <c r="O122" s="13" t="s">
        <v>317</v>
      </c>
      <c r="P122" s="15" t="s">
        <v>341</v>
      </c>
      <c r="Q122" s="15" t="s">
        <v>8117</v>
      </c>
      <c r="R122" s="109"/>
      <c r="S122" s="109"/>
      <c r="T122" s="112"/>
      <c r="U122" s="112"/>
      <c r="V122" s="112"/>
      <c r="W122" s="112"/>
    </row>
    <row r="123" spans="1:23" s="2" customFormat="1" ht="12">
      <c r="A123" s="11"/>
      <c r="B123" s="108"/>
      <c r="C123" s="109"/>
      <c r="D123" s="14" t="str">
        <f>D122</f>
        <v>财新传媒</v>
      </c>
      <c r="E123" s="109"/>
      <c r="F123" s="112"/>
      <c r="G123" s="109"/>
      <c r="H123" s="109"/>
      <c r="I123" s="109"/>
      <c r="J123" s="109"/>
      <c r="K123" s="109"/>
      <c r="L123" s="109"/>
      <c r="M123" s="109"/>
      <c r="N123" s="13" t="s">
        <v>8118</v>
      </c>
      <c r="O123" s="13" t="s">
        <v>251</v>
      </c>
      <c r="P123" s="15" t="s">
        <v>409</v>
      </c>
      <c r="Q123" s="13" t="s">
        <v>2859</v>
      </c>
      <c r="R123" s="109"/>
      <c r="S123" s="109"/>
      <c r="T123" s="112"/>
      <c r="U123" s="112"/>
      <c r="V123" s="112"/>
      <c r="W123" s="112"/>
    </row>
    <row r="124" spans="1:23" s="2" customFormat="1" ht="12">
      <c r="A124" s="11"/>
      <c r="B124" s="108"/>
      <c r="C124" s="109"/>
      <c r="D124" s="14" t="str">
        <f>D123</f>
        <v>财新传媒</v>
      </c>
      <c r="E124" s="109"/>
      <c r="F124" s="112"/>
      <c r="G124" s="109"/>
      <c r="H124" s="109"/>
      <c r="I124" s="109"/>
      <c r="J124" s="109"/>
      <c r="K124" s="109"/>
      <c r="L124" s="109"/>
      <c r="M124" s="109"/>
      <c r="N124" s="13" t="s">
        <v>8119</v>
      </c>
      <c r="O124" s="13" t="s">
        <v>257</v>
      </c>
      <c r="P124" s="15" t="s">
        <v>341</v>
      </c>
      <c r="Q124" s="15" t="s">
        <v>566</v>
      </c>
      <c r="R124" s="109"/>
      <c r="S124" s="109"/>
      <c r="T124" s="112"/>
      <c r="U124" s="112"/>
      <c r="V124" s="112"/>
      <c r="W124" s="112"/>
    </row>
    <row r="125" spans="1:23" s="2" customFormat="1" ht="12">
      <c r="A125" s="11"/>
      <c r="B125" s="108"/>
      <c r="C125" s="109"/>
      <c r="D125" s="14" t="str">
        <f>D124</f>
        <v>财新传媒</v>
      </c>
      <c r="E125" s="109"/>
      <c r="F125" s="112"/>
      <c r="G125" s="109"/>
      <c r="H125" s="109"/>
      <c r="I125" s="109"/>
      <c r="J125" s="109"/>
      <c r="K125" s="109"/>
      <c r="L125" s="109"/>
      <c r="M125" s="109"/>
      <c r="N125" s="13" t="s">
        <v>8120</v>
      </c>
      <c r="O125" s="13" t="s">
        <v>262</v>
      </c>
      <c r="P125" s="13" t="s">
        <v>3761</v>
      </c>
      <c r="Q125" s="15" t="s">
        <v>8121</v>
      </c>
      <c r="R125" s="109"/>
      <c r="S125" s="109"/>
      <c r="T125" s="112"/>
      <c r="U125" s="112"/>
      <c r="V125" s="112"/>
      <c r="W125" s="112"/>
    </row>
    <row r="126" spans="1:23" s="2" customFormat="1" ht="12">
      <c r="A126" s="11"/>
      <c r="B126" s="108"/>
      <c r="C126" s="109" t="s">
        <v>1497</v>
      </c>
      <c r="D126" s="14" t="s">
        <v>1498</v>
      </c>
      <c r="E126" s="113" t="s">
        <v>1498</v>
      </c>
      <c r="F126" s="114" t="s">
        <v>1499</v>
      </c>
      <c r="G126" s="113" t="s">
        <v>1500</v>
      </c>
      <c r="H126" s="109" t="s">
        <v>1501</v>
      </c>
      <c r="I126" s="109" t="s">
        <v>1100</v>
      </c>
      <c r="J126" s="113" t="s">
        <v>1502</v>
      </c>
      <c r="K126" s="113" t="s">
        <v>272</v>
      </c>
      <c r="L126" s="113" t="s">
        <v>1101</v>
      </c>
      <c r="M126" s="113" t="s">
        <v>1503</v>
      </c>
      <c r="N126" s="13" t="s">
        <v>1497</v>
      </c>
      <c r="O126" s="13" t="s">
        <v>687</v>
      </c>
      <c r="P126" s="13" t="s">
        <v>1504</v>
      </c>
      <c r="Q126" s="15" t="s">
        <v>586</v>
      </c>
      <c r="R126" s="109" t="s">
        <v>1505</v>
      </c>
      <c r="S126" s="109" t="s">
        <v>1506</v>
      </c>
      <c r="T126" s="114" t="s">
        <v>1507</v>
      </c>
      <c r="U126" s="112"/>
      <c r="V126" s="112"/>
      <c r="W126" s="112"/>
    </row>
    <row r="127" spans="1:23" s="2" customFormat="1" ht="12">
      <c r="A127" s="11"/>
      <c r="B127" s="108"/>
      <c r="C127" s="109"/>
      <c r="D127" s="14" t="str">
        <f>D126</f>
        <v>阿里健康</v>
      </c>
      <c r="E127" s="109"/>
      <c r="F127" s="112"/>
      <c r="G127" s="109"/>
      <c r="H127" s="109"/>
      <c r="I127" s="109"/>
      <c r="J127" s="109"/>
      <c r="K127" s="109"/>
      <c r="L127" s="109"/>
      <c r="M127" s="109"/>
      <c r="N127" s="13" t="s">
        <v>8122</v>
      </c>
      <c r="O127" s="13" t="s">
        <v>283</v>
      </c>
      <c r="P127" s="15" t="s">
        <v>252</v>
      </c>
      <c r="Q127" s="13" t="s">
        <v>253</v>
      </c>
      <c r="R127" s="109"/>
      <c r="S127" s="109"/>
      <c r="T127" s="112"/>
      <c r="U127" s="112"/>
      <c r="V127" s="112"/>
      <c r="W127" s="112"/>
    </row>
    <row r="128" spans="1:23" s="2" customFormat="1" ht="12">
      <c r="A128" s="11"/>
      <c r="B128" s="108"/>
      <c r="C128" s="109"/>
      <c r="D128" s="14" t="str">
        <f>D127</f>
        <v>阿里健康</v>
      </c>
      <c r="E128" s="109"/>
      <c r="F128" s="112"/>
      <c r="G128" s="109"/>
      <c r="H128" s="109"/>
      <c r="I128" s="109"/>
      <c r="J128" s="109"/>
      <c r="K128" s="109"/>
      <c r="L128" s="109"/>
      <c r="M128" s="109"/>
      <c r="N128" s="13" t="s">
        <v>7920</v>
      </c>
      <c r="O128" s="15" t="s">
        <v>285</v>
      </c>
      <c r="P128" s="13" t="s">
        <v>1508</v>
      </c>
      <c r="Q128" s="15" t="s">
        <v>455</v>
      </c>
      <c r="R128" s="109"/>
      <c r="S128" s="109"/>
      <c r="T128" s="112"/>
      <c r="U128" s="112"/>
      <c r="V128" s="112"/>
      <c r="W128" s="112"/>
    </row>
    <row r="129" spans="1:23" s="2" customFormat="1" ht="60">
      <c r="A129" s="11"/>
      <c r="B129" s="108"/>
      <c r="C129" s="13" t="s">
        <v>8123</v>
      </c>
      <c r="D129" s="19" t="s">
        <v>8124</v>
      </c>
      <c r="E129" s="15" t="s">
        <v>8124</v>
      </c>
      <c r="F129" s="16" t="s">
        <v>8125</v>
      </c>
      <c r="G129" s="15" t="s">
        <v>8126</v>
      </c>
      <c r="H129" s="13" t="s">
        <v>8127</v>
      </c>
      <c r="I129" s="13" t="s">
        <v>2478</v>
      </c>
      <c r="J129" s="15" t="s">
        <v>406</v>
      </c>
      <c r="K129" s="15" t="s">
        <v>272</v>
      </c>
      <c r="L129" s="15" t="s">
        <v>1859</v>
      </c>
      <c r="M129" s="15" t="s">
        <v>4173</v>
      </c>
      <c r="N129" s="13" t="s">
        <v>8123</v>
      </c>
      <c r="O129" s="15" t="s">
        <v>285</v>
      </c>
      <c r="P129" s="15" t="s">
        <v>252</v>
      </c>
      <c r="Q129" s="15" t="s">
        <v>8128</v>
      </c>
      <c r="R129" s="13" t="s">
        <v>4335</v>
      </c>
      <c r="S129" s="15" t="s">
        <v>255</v>
      </c>
      <c r="T129" s="18"/>
      <c r="U129" s="16" t="s">
        <v>8129</v>
      </c>
      <c r="V129" s="18" t="s">
        <v>8130</v>
      </c>
      <c r="W129" s="18" t="s">
        <v>8131</v>
      </c>
    </row>
    <row r="130" spans="1:23" s="2" customFormat="1" ht="69">
      <c r="A130" s="11"/>
      <c r="B130" s="108"/>
      <c r="C130" s="13" t="s">
        <v>8132</v>
      </c>
      <c r="D130" s="19" t="s">
        <v>8133</v>
      </c>
      <c r="E130" s="15" t="s">
        <v>8133</v>
      </c>
      <c r="F130" s="16" t="s">
        <v>8134</v>
      </c>
      <c r="G130" s="15" t="s">
        <v>8135</v>
      </c>
      <c r="H130" s="13" t="s">
        <v>8136</v>
      </c>
      <c r="I130" s="13" t="s">
        <v>8137</v>
      </c>
      <c r="J130" s="15" t="s">
        <v>973</v>
      </c>
      <c r="K130" s="15" t="s">
        <v>272</v>
      </c>
      <c r="L130" s="15" t="s">
        <v>1859</v>
      </c>
      <c r="M130" s="15" t="s">
        <v>4173</v>
      </c>
      <c r="N130" s="13" t="s">
        <v>8132</v>
      </c>
      <c r="O130" s="15" t="s">
        <v>471</v>
      </c>
      <c r="P130" s="15" t="s">
        <v>252</v>
      </c>
      <c r="Q130" s="15" t="s">
        <v>2229</v>
      </c>
      <c r="R130" s="13" t="s">
        <v>253</v>
      </c>
      <c r="S130" s="15" t="s">
        <v>255</v>
      </c>
      <c r="T130" s="18"/>
      <c r="U130" s="16" t="s">
        <v>8138</v>
      </c>
      <c r="V130" s="18" t="s">
        <v>8139</v>
      </c>
      <c r="W130" s="18" t="s">
        <v>8140</v>
      </c>
    </row>
    <row r="131" spans="1:23" s="2" customFormat="1" ht="12">
      <c r="A131" s="11"/>
      <c r="B131" s="108"/>
      <c r="C131" s="109" t="s">
        <v>8141</v>
      </c>
      <c r="D131" s="14" t="s">
        <v>8081</v>
      </c>
      <c r="E131" s="113" t="s">
        <v>8081</v>
      </c>
      <c r="F131" s="114" t="s">
        <v>8142</v>
      </c>
      <c r="G131" s="113" t="s">
        <v>8143</v>
      </c>
      <c r="H131" s="109" t="s">
        <v>8144</v>
      </c>
      <c r="I131" s="109" t="s">
        <v>8145</v>
      </c>
      <c r="J131" s="113" t="s">
        <v>406</v>
      </c>
      <c r="K131" s="113" t="s">
        <v>272</v>
      </c>
      <c r="L131" s="113" t="s">
        <v>1859</v>
      </c>
      <c r="M131" s="113" t="s">
        <v>4173</v>
      </c>
      <c r="N131" s="13" t="s">
        <v>8141</v>
      </c>
      <c r="O131" s="15" t="s">
        <v>471</v>
      </c>
      <c r="P131" s="15" t="s">
        <v>252</v>
      </c>
      <c r="Q131" s="15" t="s">
        <v>2229</v>
      </c>
      <c r="R131" s="109" t="s">
        <v>8146</v>
      </c>
      <c r="S131" s="113" t="s">
        <v>255</v>
      </c>
      <c r="T131" s="114" t="s">
        <v>8147</v>
      </c>
      <c r="U131" s="114" t="s">
        <v>8148</v>
      </c>
      <c r="V131" s="112"/>
      <c r="W131" s="112" t="s">
        <v>8149</v>
      </c>
    </row>
    <row r="132" spans="1:23" s="2" customFormat="1" ht="12">
      <c r="A132" s="11"/>
      <c r="B132" s="108"/>
      <c r="C132" s="109"/>
      <c r="D132" s="14" t="str">
        <f>D131</f>
        <v>恒生电子</v>
      </c>
      <c r="E132" s="109"/>
      <c r="F132" s="112"/>
      <c r="G132" s="109"/>
      <c r="H132" s="109"/>
      <c r="I132" s="109"/>
      <c r="J132" s="109"/>
      <c r="K132" s="109"/>
      <c r="L132" s="109"/>
      <c r="M132" s="109"/>
      <c r="N132" s="13" t="s">
        <v>8150</v>
      </c>
      <c r="O132" s="13" t="s">
        <v>262</v>
      </c>
      <c r="P132" s="13" t="s">
        <v>637</v>
      </c>
      <c r="Q132" s="15" t="s">
        <v>2211</v>
      </c>
      <c r="R132" s="109"/>
      <c r="S132" s="109"/>
      <c r="T132" s="112"/>
      <c r="U132" s="112"/>
      <c r="V132" s="112"/>
      <c r="W132" s="112"/>
    </row>
    <row r="133" spans="1:23" s="2" customFormat="1" ht="12">
      <c r="A133" s="11"/>
      <c r="B133" s="108"/>
      <c r="C133" s="109"/>
      <c r="D133" s="14" t="str">
        <f>D132</f>
        <v>恒生电子</v>
      </c>
      <c r="E133" s="109"/>
      <c r="F133" s="112"/>
      <c r="G133" s="109"/>
      <c r="H133" s="109"/>
      <c r="I133" s="109"/>
      <c r="J133" s="109"/>
      <c r="K133" s="109"/>
      <c r="L133" s="109"/>
      <c r="M133" s="109"/>
      <c r="N133" s="13" t="s">
        <v>8151</v>
      </c>
      <c r="O133" s="15" t="s">
        <v>471</v>
      </c>
      <c r="P133" s="13" t="s">
        <v>8152</v>
      </c>
      <c r="Q133" s="15" t="s">
        <v>8153</v>
      </c>
      <c r="R133" s="109"/>
      <c r="S133" s="109"/>
      <c r="T133" s="112"/>
      <c r="U133" s="112"/>
      <c r="V133" s="112"/>
      <c r="W133" s="112"/>
    </row>
    <row r="134" spans="1:23" s="2" customFormat="1" ht="12">
      <c r="A134" s="11"/>
      <c r="B134" s="108"/>
      <c r="C134" s="109" t="s">
        <v>8154</v>
      </c>
      <c r="D134" s="14" t="s">
        <v>8155</v>
      </c>
      <c r="E134" s="113" t="s">
        <v>8155</v>
      </c>
      <c r="F134" s="114" t="s">
        <v>8156</v>
      </c>
      <c r="G134" s="113" t="s">
        <v>8157</v>
      </c>
      <c r="H134" s="109" t="s">
        <v>8158</v>
      </c>
      <c r="I134" s="109" t="s">
        <v>1944</v>
      </c>
      <c r="J134" s="113" t="s">
        <v>1215</v>
      </c>
      <c r="K134" s="113" t="s">
        <v>272</v>
      </c>
      <c r="L134" s="113" t="s">
        <v>1966</v>
      </c>
      <c r="M134" s="113" t="s">
        <v>2838</v>
      </c>
      <c r="N134" s="13" t="s">
        <v>8154</v>
      </c>
      <c r="O134" s="13" t="s">
        <v>523</v>
      </c>
      <c r="P134" s="13" t="s">
        <v>805</v>
      </c>
      <c r="Q134" s="15" t="s">
        <v>8159</v>
      </c>
      <c r="R134" s="109" t="s">
        <v>8160</v>
      </c>
      <c r="S134" s="109" t="s">
        <v>8161</v>
      </c>
      <c r="T134" s="114" t="s">
        <v>8162</v>
      </c>
      <c r="U134" s="114" t="s">
        <v>8163</v>
      </c>
      <c r="V134" s="112" t="s">
        <v>8164</v>
      </c>
      <c r="W134" s="112" t="s">
        <v>8165</v>
      </c>
    </row>
    <row r="135" spans="1:23" s="2" customFormat="1" ht="12">
      <c r="A135" s="11"/>
      <c r="B135" s="108"/>
      <c r="C135" s="109"/>
      <c r="D135" s="14" t="str">
        <f>D134</f>
        <v>蘑菇租房</v>
      </c>
      <c r="E135" s="109"/>
      <c r="F135" s="112"/>
      <c r="G135" s="109"/>
      <c r="H135" s="109"/>
      <c r="I135" s="109"/>
      <c r="J135" s="109"/>
      <c r="K135" s="109"/>
      <c r="L135" s="109"/>
      <c r="M135" s="109"/>
      <c r="N135" s="13" t="s">
        <v>624</v>
      </c>
      <c r="O135" s="13" t="s">
        <v>251</v>
      </c>
      <c r="P135" s="15" t="s">
        <v>258</v>
      </c>
      <c r="Q135" s="15" t="s">
        <v>2229</v>
      </c>
      <c r="R135" s="109"/>
      <c r="S135" s="109"/>
      <c r="T135" s="112"/>
      <c r="U135" s="112"/>
      <c r="V135" s="112"/>
      <c r="W135" s="112"/>
    </row>
    <row r="136" spans="1:23" s="2" customFormat="1" ht="12">
      <c r="A136" s="11"/>
      <c r="B136" s="108"/>
      <c r="C136" s="109"/>
      <c r="D136" s="14" t="str">
        <f>D135</f>
        <v>蘑菇租房</v>
      </c>
      <c r="E136" s="109"/>
      <c r="F136" s="112"/>
      <c r="G136" s="109"/>
      <c r="H136" s="109"/>
      <c r="I136" s="109"/>
      <c r="J136" s="109"/>
      <c r="K136" s="109"/>
      <c r="L136" s="109"/>
      <c r="M136" s="109"/>
      <c r="N136" s="13" t="s">
        <v>8166</v>
      </c>
      <c r="O136" s="13" t="s">
        <v>565</v>
      </c>
      <c r="P136" s="13" t="s">
        <v>805</v>
      </c>
      <c r="Q136" s="13" t="s">
        <v>8167</v>
      </c>
      <c r="R136" s="109"/>
      <c r="S136" s="109"/>
      <c r="T136" s="112"/>
      <c r="U136" s="112"/>
      <c r="V136" s="112"/>
      <c r="W136" s="112"/>
    </row>
    <row r="137" spans="1:23" s="2" customFormat="1" ht="12">
      <c r="A137" s="11"/>
      <c r="B137" s="108"/>
      <c r="C137" s="109"/>
      <c r="D137" s="14" t="str">
        <f>D136</f>
        <v>蘑菇租房</v>
      </c>
      <c r="E137" s="109"/>
      <c r="F137" s="112"/>
      <c r="G137" s="109"/>
      <c r="H137" s="109"/>
      <c r="I137" s="109"/>
      <c r="J137" s="109"/>
      <c r="K137" s="109"/>
      <c r="L137" s="109"/>
      <c r="M137" s="109"/>
      <c r="N137" s="13" t="s">
        <v>8168</v>
      </c>
      <c r="O137" s="13" t="s">
        <v>257</v>
      </c>
      <c r="P137" s="13" t="s">
        <v>987</v>
      </c>
      <c r="Q137" s="13" t="s">
        <v>8169</v>
      </c>
      <c r="R137" s="109"/>
      <c r="S137" s="109"/>
      <c r="T137" s="112"/>
      <c r="U137" s="112"/>
      <c r="V137" s="112"/>
      <c r="W137" s="112"/>
    </row>
    <row r="138" spans="1:23" s="2" customFormat="1" ht="12">
      <c r="A138" s="11"/>
      <c r="B138" s="108"/>
      <c r="C138" s="109"/>
      <c r="D138" s="14" t="str">
        <f>D137</f>
        <v>蘑菇租房</v>
      </c>
      <c r="E138" s="109"/>
      <c r="F138" s="112"/>
      <c r="G138" s="109"/>
      <c r="H138" s="109"/>
      <c r="I138" s="109"/>
      <c r="J138" s="109"/>
      <c r="K138" s="109"/>
      <c r="L138" s="109"/>
      <c r="M138" s="109"/>
      <c r="N138" s="13" t="s">
        <v>3958</v>
      </c>
      <c r="O138" s="13" t="s">
        <v>262</v>
      </c>
      <c r="P138" s="15" t="s">
        <v>341</v>
      </c>
      <c r="Q138" s="13" t="s">
        <v>8170</v>
      </c>
      <c r="R138" s="109"/>
      <c r="S138" s="109"/>
      <c r="T138" s="112"/>
      <c r="U138" s="112"/>
      <c r="V138" s="112"/>
      <c r="W138" s="112"/>
    </row>
    <row r="139" spans="1:23" s="2" customFormat="1" ht="12">
      <c r="A139" s="11"/>
      <c r="B139" s="108"/>
      <c r="C139" s="109" t="s">
        <v>8171</v>
      </c>
      <c r="D139" s="14" t="s">
        <v>8172</v>
      </c>
      <c r="E139" s="113" t="s">
        <v>8172</v>
      </c>
      <c r="F139" s="114" t="s">
        <v>8173</v>
      </c>
      <c r="G139" s="113" t="s">
        <v>8174</v>
      </c>
      <c r="H139" s="109" t="s">
        <v>8175</v>
      </c>
      <c r="I139" s="109" t="s">
        <v>427</v>
      </c>
      <c r="J139" s="113" t="s">
        <v>1192</v>
      </c>
      <c r="K139" s="113" t="s">
        <v>272</v>
      </c>
      <c r="L139" s="113" t="s">
        <v>944</v>
      </c>
      <c r="M139" s="113" t="s">
        <v>8176</v>
      </c>
      <c r="N139" s="13" t="s">
        <v>8171</v>
      </c>
      <c r="O139" s="13" t="s">
        <v>283</v>
      </c>
      <c r="P139" s="13" t="s">
        <v>8177</v>
      </c>
      <c r="Q139" s="13" t="s">
        <v>253</v>
      </c>
      <c r="R139" s="109" t="s">
        <v>8178</v>
      </c>
      <c r="S139" s="109" t="s">
        <v>8179</v>
      </c>
      <c r="T139" s="114" t="s">
        <v>8180</v>
      </c>
      <c r="U139" s="114" t="s">
        <v>8181</v>
      </c>
      <c r="V139" s="112" t="s">
        <v>8182</v>
      </c>
      <c r="W139" s="112" t="s">
        <v>8183</v>
      </c>
    </row>
    <row r="140" spans="1:23" s="2" customFormat="1" ht="12">
      <c r="A140" s="11"/>
      <c r="B140" s="108"/>
      <c r="C140" s="109"/>
      <c r="D140" s="14" t="str">
        <f>D139</f>
        <v>奥比中光</v>
      </c>
      <c r="E140" s="109"/>
      <c r="F140" s="112"/>
      <c r="G140" s="109"/>
      <c r="H140" s="109"/>
      <c r="I140" s="109"/>
      <c r="J140" s="109"/>
      <c r="K140" s="109"/>
      <c r="L140" s="109"/>
      <c r="M140" s="109"/>
      <c r="N140" s="13" t="s">
        <v>8184</v>
      </c>
      <c r="O140" s="13" t="s">
        <v>317</v>
      </c>
      <c r="P140" s="13" t="s">
        <v>792</v>
      </c>
      <c r="Q140" s="15" t="s">
        <v>8185</v>
      </c>
      <c r="R140" s="109"/>
      <c r="S140" s="109"/>
      <c r="T140" s="112"/>
      <c r="U140" s="112"/>
      <c r="V140" s="112"/>
      <c r="W140" s="112"/>
    </row>
    <row r="141" spans="1:23" s="2" customFormat="1" ht="12">
      <c r="A141" s="11"/>
      <c r="B141" s="108"/>
      <c r="C141" s="109"/>
      <c r="D141" s="14" t="str">
        <f>D140</f>
        <v>奥比中光</v>
      </c>
      <c r="E141" s="109"/>
      <c r="F141" s="112"/>
      <c r="G141" s="109"/>
      <c r="H141" s="109"/>
      <c r="I141" s="109"/>
      <c r="J141" s="109"/>
      <c r="K141" s="109"/>
      <c r="L141" s="109"/>
      <c r="M141" s="109"/>
      <c r="N141" s="13" t="s">
        <v>2033</v>
      </c>
      <c r="O141" s="13" t="s">
        <v>251</v>
      </c>
      <c r="P141" s="15" t="s">
        <v>252</v>
      </c>
      <c r="Q141" s="15" t="s">
        <v>8186</v>
      </c>
      <c r="R141" s="109"/>
      <c r="S141" s="109"/>
      <c r="T141" s="112"/>
      <c r="U141" s="112"/>
      <c r="V141" s="112"/>
      <c r="W141" s="112"/>
    </row>
    <row r="142" spans="1:23" s="2" customFormat="1" ht="12">
      <c r="A142" s="11"/>
      <c r="B142" s="108"/>
      <c r="C142" s="109"/>
      <c r="D142" s="14" t="str">
        <f>D141</f>
        <v>奥比中光</v>
      </c>
      <c r="E142" s="109"/>
      <c r="F142" s="112"/>
      <c r="G142" s="109"/>
      <c r="H142" s="109"/>
      <c r="I142" s="109"/>
      <c r="J142" s="109"/>
      <c r="K142" s="109"/>
      <c r="L142" s="109"/>
      <c r="M142" s="109"/>
      <c r="N142" s="13" t="s">
        <v>3966</v>
      </c>
      <c r="O142" s="13" t="s">
        <v>257</v>
      </c>
      <c r="P142" s="15" t="s">
        <v>252</v>
      </c>
      <c r="Q142" s="15" t="s">
        <v>8187</v>
      </c>
      <c r="R142" s="109"/>
      <c r="S142" s="109"/>
      <c r="T142" s="112"/>
      <c r="U142" s="112"/>
      <c r="V142" s="112"/>
      <c r="W142" s="112"/>
    </row>
    <row r="143" spans="1:23" s="2" customFormat="1" ht="12">
      <c r="A143" s="11"/>
      <c r="B143" s="108"/>
      <c r="C143" s="109"/>
      <c r="D143" s="14" t="str">
        <f>D142</f>
        <v>奥比中光</v>
      </c>
      <c r="E143" s="109"/>
      <c r="F143" s="112"/>
      <c r="G143" s="109"/>
      <c r="H143" s="109"/>
      <c r="I143" s="109"/>
      <c r="J143" s="109"/>
      <c r="K143" s="109"/>
      <c r="L143" s="109"/>
      <c r="M143" s="109"/>
      <c r="N143" s="13" t="s">
        <v>8188</v>
      </c>
      <c r="O143" s="13" t="s">
        <v>262</v>
      </c>
      <c r="P143" s="15" t="s">
        <v>252</v>
      </c>
      <c r="Q143" s="15" t="s">
        <v>8189</v>
      </c>
      <c r="R143" s="109"/>
      <c r="S143" s="109"/>
      <c r="T143" s="112"/>
      <c r="U143" s="112"/>
      <c r="V143" s="112"/>
      <c r="W143" s="112"/>
    </row>
    <row r="144" spans="1:23" s="2" customFormat="1" ht="12">
      <c r="A144" s="11"/>
      <c r="B144" s="108"/>
      <c r="C144" s="109" t="s">
        <v>8190</v>
      </c>
      <c r="D144" s="14" t="s">
        <v>8191</v>
      </c>
      <c r="E144" s="113" t="s">
        <v>8191</v>
      </c>
      <c r="F144" s="112"/>
      <c r="G144" s="113" t="s">
        <v>8192</v>
      </c>
      <c r="H144" s="109"/>
      <c r="I144" s="109" t="s">
        <v>1040</v>
      </c>
      <c r="J144" s="113" t="s">
        <v>428</v>
      </c>
      <c r="K144" s="113" t="s">
        <v>272</v>
      </c>
      <c r="L144" s="113" t="s">
        <v>1859</v>
      </c>
      <c r="M144" s="113" t="s">
        <v>8193</v>
      </c>
      <c r="N144" s="13" t="s">
        <v>8190</v>
      </c>
      <c r="O144" s="13" t="s">
        <v>257</v>
      </c>
      <c r="P144" s="15" t="s">
        <v>341</v>
      </c>
      <c r="Q144" s="15" t="s">
        <v>2229</v>
      </c>
      <c r="R144" s="109" t="s">
        <v>8194</v>
      </c>
      <c r="S144" s="109" t="s">
        <v>3935</v>
      </c>
      <c r="T144" s="112"/>
      <c r="U144" s="114" t="s">
        <v>8195</v>
      </c>
      <c r="V144" s="112" t="s">
        <v>8196</v>
      </c>
      <c r="W144" s="112" t="s">
        <v>8197</v>
      </c>
    </row>
    <row r="145" spans="1:23" s="2" customFormat="1" ht="12">
      <c r="A145" s="11"/>
      <c r="B145" s="108"/>
      <c r="C145" s="109"/>
      <c r="D145" s="14" t="str">
        <f>D144</f>
        <v>连山融资项目</v>
      </c>
      <c r="E145" s="109"/>
      <c r="F145" s="112"/>
      <c r="G145" s="109"/>
      <c r="H145" s="109"/>
      <c r="I145" s="109"/>
      <c r="J145" s="109"/>
      <c r="K145" s="109"/>
      <c r="L145" s="109"/>
      <c r="M145" s="109"/>
      <c r="N145" s="13" t="s">
        <v>8198</v>
      </c>
      <c r="O145" s="13" t="s">
        <v>262</v>
      </c>
      <c r="P145" s="13" t="s">
        <v>337</v>
      </c>
      <c r="Q145" s="13" t="s">
        <v>8199</v>
      </c>
      <c r="R145" s="109"/>
      <c r="S145" s="109"/>
      <c r="T145" s="112"/>
      <c r="U145" s="112"/>
      <c r="V145" s="112"/>
      <c r="W145" s="112"/>
    </row>
    <row r="146" spans="1:23" s="2" customFormat="1" ht="12">
      <c r="A146" s="11"/>
      <c r="B146" s="108"/>
      <c r="C146" s="109" t="s">
        <v>8200</v>
      </c>
      <c r="D146" s="14" t="s">
        <v>8201</v>
      </c>
      <c r="E146" s="113" t="s">
        <v>8201</v>
      </c>
      <c r="F146" s="114" t="s">
        <v>8202</v>
      </c>
      <c r="G146" s="113" t="s">
        <v>8203</v>
      </c>
      <c r="H146" s="109" t="s">
        <v>8204</v>
      </c>
      <c r="I146" s="109" t="s">
        <v>1606</v>
      </c>
      <c r="J146" s="113" t="s">
        <v>271</v>
      </c>
      <c r="K146" s="113" t="s">
        <v>272</v>
      </c>
      <c r="L146" s="113" t="s">
        <v>1859</v>
      </c>
      <c r="M146" s="113" t="s">
        <v>8205</v>
      </c>
      <c r="N146" s="13" t="s">
        <v>8200</v>
      </c>
      <c r="O146" s="13" t="s">
        <v>283</v>
      </c>
      <c r="P146" s="13" t="s">
        <v>8206</v>
      </c>
      <c r="Q146" s="13" t="s">
        <v>253</v>
      </c>
      <c r="R146" s="109" t="s">
        <v>8207</v>
      </c>
      <c r="S146" s="109" t="s">
        <v>8208</v>
      </c>
      <c r="T146" s="114" t="s">
        <v>8209</v>
      </c>
      <c r="U146" s="114" t="s">
        <v>8210</v>
      </c>
      <c r="V146" s="112" t="s">
        <v>8211</v>
      </c>
      <c r="W146" s="112" t="s">
        <v>8212</v>
      </c>
    </row>
    <row r="147" spans="1:23" s="2" customFormat="1" ht="12">
      <c r="A147" s="11"/>
      <c r="B147" s="108"/>
      <c r="C147" s="109"/>
      <c r="D147" s="14" t="str">
        <f t="shared" ref="D147:D154" si="7">D146</f>
        <v>趣店集团</v>
      </c>
      <c r="E147" s="109"/>
      <c r="F147" s="112"/>
      <c r="G147" s="109"/>
      <c r="H147" s="109"/>
      <c r="I147" s="109"/>
      <c r="J147" s="109"/>
      <c r="K147" s="109"/>
      <c r="L147" s="109"/>
      <c r="M147" s="109"/>
      <c r="N147" s="13" t="s">
        <v>8213</v>
      </c>
      <c r="O147" s="15" t="s">
        <v>285</v>
      </c>
      <c r="P147" s="13" t="s">
        <v>8214</v>
      </c>
      <c r="Q147" s="15" t="s">
        <v>8215</v>
      </c>
      <c r="R147" s="109"/>
      <c r="S147" s="109"/>
      <c r="T147" s="112"/>
      <c r="U147" s="112"/>
      <c r="V147" s="112"/>
      <c r="W147" s="112"/>
    </row>
    <row r="148" spans="1:23" s="2" customFormat="1" ht="12">
      <c r="A148" s="11"/>
      <c r="B148" s="108"/>
      <c r="C148" s="109"/>
      <c r="D148" s="14" t="str">
        <f t="shared" si="7"/>
        <v>趣店集团</v>
      </c>
      <c r="E148" s="109"/>
      <c r="F148" s="112"/>
      <c r="G148" s="109"/>
      <c r="H148" s="109"/>
      <c r="I148" s="109"/>
      <c r="J148" s="109"/>
      <c r="K148" s="109"/>
      <c r="L148" s="109"/>
      <c r="M148" s="109"/>
      <c r="N148" s="13" t="s">
        <v>8216</v>
      </c>
      <c r="O148" s="13" t="s">
        <v>763</v>
      </c>
      <c r="P148" s="13" t="s">
        <v>697</v>
      </c>
      <c r="Q148" s="15" t="s">
        <v>8217</v>
      </c>
      <c r="R148" s="109"/>
      <c r="S148" s="109"/>
      <c r="T148" s="112"/>
      <c r="U148" s="112"/>
      <c r="V148" s="112"/>
      <c r="W148" s="112"/>
    </row>
    <row r="149" spans="1:23" s="2" customFormat="1" ht="12">
      <c r="A149" s="11"/>
      <c r="B149" s="108"/>
      <c r="C149" s="109"/>
      <c r="D149" s="14" t="str">
        <f t="shared" si="7"/>
        <v>趣店集团</v>
      </c>
      <c r="E149" s="109"/>
      <c r="F149" s="112"/>
      <c r="G149" s="109"/>
      <c r="H149" s="109"/>
      <c r="I149" s="109"/>
      <c r="J149" s="109"/>
      <c r="K149" s="109"/>
      <c r="L149" s="109"/>
      <c r="M149" s="109"/>
      <c r="N149" s="13" t="s">
        <v>8218</v>
      </c>
      <c r="O149" s="13" t="s">
        <v>310</v>
      </c>
      <c r="P149" s="15" t="s">
        <v>252</v>
      </c>
      <c r="Q149" s="13" t="s">
        <v>253</v>
      </c>
      <c r="R149" s="109"/>
      <c r="S149" s="109"/>
      <c r="T149" s="112"/>
      <c r="U149" s="112"/>
      <c r="V149" s="112"/>
      <c r="W149" s="112"/>
    </row>
    <row r="150" spans="1:23" s="2" customFormat="1" ht="12">
      <c r="A150" s="11"/>
      <c r="B150" s="108"/>
      <c r="C150" s="109"/>
      <c r="D150" s="14" t="str">
        <f t="shared" si="7"/>
        <v>趣店集团</v>
      </c>
      <c r="E150" s="109"/>
      <c r="F150" s="112"/>
      <c r="G150" s="109"/>
      <c r="H150" s="109"/>
      <c r="I150" s="109"/>
      <c r="J150" s="109"/>
      <c r="K150" s="109"/>
      <c r="L150" s="109"/>
      <c r="M150" s="109"/>
      <c r="N150" s="13" t="s">
        <v>8219</v>
      </c>
      <c r="O150" s="13" t="s">
        <v>317</v>
      </c>
      <c r="P150" s="13" t="s">
        <v>792</v>
      </c>
      <c r="Q150" s="15" t="s">
        <v>8220</v>
      </c>
      <c r="R150" s="109"/>
      <c r="S150" s="109"/>
      <c r="T150" s="112"/>
      <c r="U150" s="112"/>
      <c r="V150" s="112"/>
      <c r="W150" s="112"/>
    </row>
    <row r="151" spans="1:23" s="2" customFormat="1" ht="12">
      <c r="A151" s="11"/>
      <c r="B151" s="108"/>
      <c r="C151" s="109"/>
      <c r="D151" s="14" t="str">
        <f t="shared" si="7"/>
        <v>趣店集团</v>
      </c>
      <c r="E151" s="109"/>
      <c r="F151" s="112"/>
      <c r="G151" s="109"/>
      <c r="H151" s="109"/>
      <c r="I151" s="109"/>
      <c r="J151" s="109"/>
      <c r="K151" s="109"/>
      <c r="L151" s="109"/>
      <c r="M151" s="109"/>
      <c r="N151" s="13" t="s">
        <v>8221</v>
      </c>
      <c r="O151" s="13" t="s">
        <v>251</v>
      </c>
      <c r="P151" s="15" t="s">
        <v>258</v>
      </c>
      <c r="Q151" s="15" t="s">
        <v>8222</v>
      </c>
      <c r="R151" s="109"/>
      <c r="S151" s="109"/>
      <c r="T151" s="112"/>
      <c r="U151" s="112"/>
      <c r="V151" s="112"/>
      <c r="W151" s="112"/>
    </row>
    <row r="152" spans="1:23" s="2" customFormat="1" ht="12">
      <c r="A152" s="11"/>
      <c r="B152" s="108"/>
      <c r="C152" s="109"/>
      <c r="D152" s="14" t="str">
        <f t="shared" si="7"/>
        <v>趣店集团</v>
      </c>
      <c r="E152" s="109"/>
      <c r="F152" s="112"/>
      <c r="G152" s="109"/>
      <c r="H152" s="109"/>
      <c r="I152" s="109"/>
      <c r="J152" s="109"/>
      <c r="K152" s="109"/>
      <c r="L152" s="109"/>
      <c r="M152" s="109"/>
      <c r="N152" s="13" t="s">
        <v>8015</v>
      </c>
      <c r="O152" s="13" t="s">
        <v>257</v>
      </c>
      <c r="P152" s="15" t="s">
        <v>258</v>
      </c>
      <c r="Q152" s="15" t="s">
        <v>8222</v>
      </c>
      <c r="R152" s="109"/>
      <c r="S152" s="109"/>
      <c r="T152" s="112"/>
      <c r="U152" s="112"/>
      <c r="V152" s="112"/>
      <c r="W152" s="112"/>
    </row>
    <row r="153" spans="1:23" s="2" customFormat="1" ht="12">
      <c r="A153" s="11"/>
      <c r="B153" s="108"/>
      <c r="C153" s="109"/>
      <c r="D153" s="14" t="str">
        <f t="shared" si="7"/>
        <v>趣店集团</v>
      </c>
      <c r="E153" s="109"/>
      <c r="F153" s="112"/>
      <c r="G153" s="109"/>
      <c r="H153" s="109"/>
      <c r="I153" s="109"/>
      <c r="J153" s="109"/>
      <c r="K153" s="109"/>
      <c r="L153" s="109"/>
      <c r="M153" s="109"/>
      <c r="N153" s="13" t="s">
        <v>8223</v>
      </c>
      <c r="O153" s="13" t="s">
        <v>262</v>
      </c>
      <c r="P153" s="15" t="s">
        <v>261</v>
      </c>
      <c r="Q153" s="15" t="s">
        <v>1281</v>
      </c>
      <c r="R153" s="109"/>
      <c r="S153" s="109"/>
      <c r="T153" s="112"/>
      <c r="U153" s="112"/>
      <c r="V153" s="112"/>
      <c r="W153" s="112"/>
    </row>
    <row r="154" spans="1:23" s="2" customFormat="1" ht="12">
      <c r="A154" s="11"/>
      <c r="B154" s="108"/>
      <c r="C154" s="109"/>
      <c r="D154" s="14" t="str">
        <f t="shared" si="7"/>
        <v>趣店集团</v>
      </c>
      <c r="E154" s="109"/>
      <c r="F154" s="112"/>
      <c r="G154" s="109"/>
      <c r="H154" s="109"/>
      <c r="I154" s="109"/>
      <c r="J154" s="109"/>
      <c r="K154" s="109"/>
      <c r="L154" s="109"/>
      <c r="M154" s="109"/>
      <c r="N154" s="13" t="s">
        <v>1786</v>
      </c>
      <c r="O154" s="15" t="s">
        <v>326</v>
      </c>
      <c r="P154" s="15" t="s">
        <v>327</v>
      </c>
      <c r="Q154" s="15" t="s">
        <v>8224</v>
      </c>
      <c r="R154" s="109"/>
      <c r="S154" s="109"/>
      <c r="T154" s="112"/>
      <c r="U154" s="112"/>
      <c r="V154" s="112"/>
      <c r="W154" s="112"/>
    </row>
    <row r="155" spans="1:23" s="2" customFormat="1" ht="12">
      <c r="A155" s="11"/>
      <c r="B155" s="108"/>
      <c r="C155" s="109" t="s">
        <v>8225</v>
      </c>
      <c r="D155" s="14" t="s">
        <v>8226</v>
      </c>
      <c r="E155" s="109" t="s">
        <v>8226</v>
      </c>
      <c r="F155" s="112" t="s">
        <v>8227</v>
      </c>
      <c r="G155" s="109"/>
      <c r="H155" s="109" t="s">
        <v>8228</v>
      </c>
      <c r="I155" s="109" t="s">
        <v>5462</v>
      </c>
      <c r="J155" s="113" t="s">
        <v>1780</v>
      </c>
      <c r="K155" s="113" t="s">
        <v>272</v>
      </c>
      <c r="L155" s="113" t="s">
        <v>1859</v>
      </c>
      <c r="M155" s="113" t="s">
        <v>2900</v>
      </c>
      <c r="N155" s="13" t="s">
        <v>8225</v>
      </c>
      <c r="O155" s="15" t="s">
        <v>471</v>
      </c>
      <c r="P155" s="15" t="s">
        <v>276</v>
      </c>
      <c r="Q155" s="15" t="s">
        <v>2229</v>
      </c>
      <c r="R155" s="109" t="s">
        <v>8229</v>
      </c>
      <c r="S155" s="113" t="s">
        <v>255</v>
      </c>
      <c r="T155" s="112" t="s">
        <v>8230</v>
      </c>
      <c r="U155" s="112"/>
      <c r="V155" s="112"/>
      <c r="W155" s="112"/>
    </row>
    <row r="156" spans="1:23" s="2" customFormat="1" ht="12">
      <c r="A156" s="11"/>
      <c r="B156" s="108"/>
      <c r="C156" s="109"/>
      <c r="D156" s="14" t="str">
        <f t="shared" ref="D156:D162" si="8">D155</f>
        <v>2C2P</v>
      </c>
      <c r="E156" s="109"/>
      <c r="F156" s="112"/>
      <c r="G156" s="109"/>
      <c r="H156" s="109"/>
      <c r="I156" s="109"/>
      <c r="J156" s="109"/>
      <c r="K156" s="109"/>
      <c r="L156" s="109"/>
      <c r="M156" s="109"/>
      <c r="N156" s="13" t="s">
        <v>8231</v>
      </c>
      <c r="O156" s="13" t="s">
        <v>310</v>
      </c>
      <c r="P156" s="13" t="s">
        <v>4574</v>
      </c>
      <c r="Q156" s="13" t="s">
        <v>8232</v>
      </c>
      <c r="R156" s="109"/>
      <c r="S156" s="109"/>
      <c r="T156" s="112"/>
      <c r="U156" s="112"/>
      <c r="V156" s="112"/>
      <c r="W156" s="112"/>
    </row>
    <row r="157" spans="1:23" s="2" customFormat="1" ht="12">
      <c r="A157" s="11"/>
      <c r="B157" s="108"/>
      <c r="C157" s="109"/>
      <c r="D157" s="14" t="str">
        <f t="shared" si="8"/>
        <v>2C2P</v>
      </c>
      <c r="E157" s="109"/>
      <c r="F157" s="112"/>
      <c r="G157" s="109"/>
      <c r="H157" s="109"/>
      <c r="I157" s="109"/>
      <c r="J157" s="109"/>
      <c r="K157" s="109"/>
      <c r="L157" s="109"/>
      <c r="M157" s="109"/>
      <c r="N157" s="13" t="s">
        <v>8233</v>
      </c>
      <c r="O157" s="13" t="s">
        <v>315</v>
      </c>
      <c r="P157" s="13" t="s">
        <v>2000</v>
      </c>
      <c r="Q157" s="13" t="s">
        <v>253</v>
      </c>
      <c r="R157" s="109"/>
      <c r="S157" s="109"/>
      <c r="T157" s="112"/>
      <c r="U157" s="112"/>
      <c r="V157" s="112"/>
      <c r="W157" s="112"/>
    </row>
    <row r="158" spans="1:23" s="2" customFormat="1" ht="12">
      <c r="A158" s="11"/>
      <c r="B158" s="108"/>
      <c r="C158" s="109"/>
      <c r="D158" s="14" t="str">
        <f t="shared" si="8"/>
        <v>2C2P</v>
      </c>
      <c r="E158" s="109"/>
      <c r="F158" s="112"/>
      <c r="G158" s="109"/>
      <c r="H158" s="109"/>
      <c r="I158" s="109"/>
      <c r="J158" s="109"/>
      <c r="K158" s="109"/>
      <c r="L158" s="109"/>
      <c r="M158" s="109"/>
      <c r="N158" s="13" t="s">
        <v>8234</v>
      </c>
      <c r="O158" s="13" t="s">
        <v>317</v>
      </c>
      <c r="P158" s="15" t="s">
        <v>2879</v>
      </c>
      <c r="Q158" s="13" t="s">
        <v>8235</v>
      </c>
      <c r="R158" s="109"/>
      <c r="S158" s="109"/>
      <c r="T158" s="112"/>
      <c r="U158" s="112"/>
      <c r="V158" s="112"/>
      <c r="W158" s="112"/>
    </row>
    <row r="159" spans="1:23" s="2" customFormat="1" ht="12">
      <c r="A159" s="11"/>
      <c r="B159" s="108"/>
      <c r="C159" s="109"/>
      <c r="D159" s="14" t="str">
        <f t="shared" si="8"/>
        <v>2C2P</v>
      </c>
      <c r="E159" s="109"/>
      <c r="F159" s="112"/>
      <c r="G159" s="109"/>
      <c r="H159" s="109"/>
      <c r="I159" s="109"/>
      <c r="J159" s="109"/>
      <c r="K159" s="109"/>
      <c r="L159" s="109"/>
      <c r="M159" s="109"/>
      <c r="N159" s="13" t="s">
        <v>8236</v>
      </c>
      <c r="O159" s="13" t="s">
        <v>523</v>
      </c>
      <c r="P159" s="15" t="s">
        <v>2879</v>
      </c>
      <c r="Q159" s="13" t="s">
        <v>253</v>
      </c>
      <c r="R159" s="109"/>
      <c r="S159" s="109"/>
      <c r="T159" s="112"/>
      <c r="U159" s="112"/>
      <c r="V159" s="112"/>
      <c r="W159" s="112"/>
    </row>
    <row r="160" spans="1:23" s="2" customFormat="1" ht="12">
      <c r="A160" s="11"/>
      <c r="B160" s="108"/>
      <c r="C160" s="109"/>
      <c r="D160" s="14" t="str">
        <f t="shared" si="8"/>
        <v>2C2P</v>
      </c>
      <c r="E160" s="109"/>
      <c r="F160" s="112"/>
      <c r="G160" s="109"/>
      <c r="H160" s="109"/>
      <c r="I160" s="109"/>
      <c r="J160" s="109"/>
      <c r="K160" s="109"/>
      <c r="L160" s="109"/>
      <c r="M160" s="109"/>
      <c r="N160" s="13" t="s">
        <v>8237</v>
      </c>
      <c r="O160" s="13" t="s">
        <v>251</v>
      </c>
      <c r="P160" s="13" t="s">
        <v>3699</v>
      </c>
      <c r="Q160" s="13" t="s">
        <v>8238</v>
      </c>
      <c r="R160" s="109"/>
      <c r="S160" s="109"/>
      <c r="T160" s="112"/>
      <c r="U160" s="112"/>
      <c r="V160" s="112"/>
      <c r="W160" s="112"/>
    </row>
    <row r="161" spans="1:23" s="2" customFormat="1" ht="12">
      <c r="A161" s="11"/>
      <c r="B161" s="108"/>
      <c r="C161" s="109"/>
      <c r="D161" s="14" t="str">
        <f t="shared" si="8"/>
        <v>2C2P</v>
      </c>
      <c r="E161" s="109"/>
      <c r="F161" s="112"/>
      <c r="G161" s="109"/>
      <c r="H161" s="109"/>
      <c r="I161" s="109"/>
      <c r="J161" s="109"/>
      <c r="K161" s="109"/>
      <c r="L161" s="109"/>
      <c r="M161" s="109"/>
      <c r="N161" s="13" t="s">
        <v>8239</v>
      </c>
      <c r="O161" s="13" t="s">
        <v>257</v>
      </c>
      <c r="P161" s="13" t="s">
        <v>527</v>
      </c>
      <c r="Q161" s="13" t="s">
        <v>8238</v>
      </c>
      <c r="R161" s="109"/>
      <c r="S161" s="109"/>
      <c r="T161" s="112"/>
      <c r="U161" s="112"/>
      <c r="V161" s="112"/>
      <c r="W161" s="112"/>
    </row>
    <row r="162" spans="1:23" s="2" customFormat="1" ht="12">
      <c r="A162" s="11"/>
      <c r="B162" s="108"/>
      <c r="C162" s="109"/>
      <c r="D162" s="14" t="str">
        <f t="shared" si="8"/>
        <v>2C2P</v>
      </c>
      <c r="E162" s="109"/>
      <c r="F162" s="112"/>
      <c r="G162" s="109"/>
      <c r="H162" s="109"/>
      <c r="I162" s="109"/>
      <c r="J162" s="109"/>
      <c r="K162" s="109"/>
      <c r="L162" s="109"/>
      <c r="M162" s="109"/>
      <c r="N162" s="13" t="s">
        <v>8240</v>
      </c>
      <c r="O162" s="13" t="s">
        <v>262</v>
      </c>
      <c r="P162" s="13" t="s">
        <v>263</v>
      </c>
      <c r="Q162" s="13" t="s">
        <v>8241</v>
      </c>
      <c r="R162" s="109"/>
      <c r="S162" s="109"/>
      <c r="T162" s="112"/>
      <c r="U162" s="112"/>
      <c r="V162" s="112"/>
      <c r="W162" s="112"/>
    </row>
    <row r="163" spans="1:23" s="2" customFormat="1" ht="12">
      <c r="A163" s="11"/>
      <c r="B163" s="108"/>
      <c r="C163" s="109" t="s">
        <v>8242</v>
      </c>
      <c r="D163" s="14" t="s">
        <v>8243</v>
      </c>
      <c r="E163" s="109" t="s">
        <v>8244</v>
      </c>
      <c r="F163" s="112" t="s">
        <v>8245</v>
      </c>
      <c r="G163" s="113" t="s">
        <v>8246</v>
      </c>
      <c r="H163" s="109" t="s">
        <v>8247</v>
      </c>
      <c r="I163" s="109" t="s">
        <v>8248</v>
      </c>
      <c r="J163" s="113" t="s">
        <v>406</v>
      </c>
      <c r="K163" s="113" t="s">
        <v>272</v>
      </c>
      <c r="L163" s="113" t="s">
        <v>407</v>
      </c>
      <c r="M163" s="113" t="s">
        <v>1932</v>
      </c>
      <c r="N163" s="13" t="s">
        <v>8242</v>
      </c>
      <c r="O163" s="15" t="s">
        <v>313</v>
      </c>
      <c r="P163" s="15" t="s">
        <v>252</v>
      </c>
      <c r="Q163" s="15" t="s">
        <v>8249</v>
      </c>
      <c r="R163" s="109" t="s">
        <v>8250</v>
      </c>
      <c r="S163" s="113" t="s">
        <v>255</v>
      </c>
      <c r="T163" s="114" t="s">
        <v>8251</v>
      </c>
      <c r="U163" s="114" t="s">
        <v>8252</v>
      </c>
      <c r="V163" s="112" t="s">
        <v>8253</v>
      </c>
      <c r="W163" s="112" t="s">
        <v>8254</v>
      </c>
    </row>
    <row r="164" spans="1:23" s="2" customFormat="1" ht="12">
      <c r="A164" s="11"/>
      <c r="B164" s="108"/>
      <c r="C164" s="109"/>
      <c r="D164" s="14" t="str">
        <f t="shared" ref="D164:D169" si="9">D163</f>
        <v>e签宝</v>
      </c>
      <c r="E164" s="109"/>
      <c r="F164" s="112"/>
      <c r="G164" s="109"/>
      <c r="H164" s="109"/>
      <c r="I164" s="109"/>
      <c r="J164" s="109"/>
      <c r="K164" s="109"/>
      <c r="L164" s="109"/>
      <c r="M164" s="109"/>
      <c r="N164" s="13" t="s">
        <v>8255</v>
      </c>
      <c r="O164" s="13" t="s">
        <v>310</v>
      </c>
      <c r="P164" s="13" t="s">
        <v>1716</v>
      </c>
      <c r="Q164" s="15" t="s">
        <v>8256</v>
      </c>
      <c r="R164" s="109"/>
      <c r="S164" s="109"/>
      <c r="T164" s="112"/>
      <c r="U164" s="112"/>
      <c r="V164" s="112"/>
      <c r="W164" s="112"/>
    </row>
    <row r="165" spans="1:23" s="2" customFormat="1" ht="12">
      <c r="A165" s="11"/>
      <c r="B165" s="108"/>
      <c r="C165" s="109"/>
      <c r="D165" s="14" t="str">
        <f t="shared" si="9"/>
        <v>e签宝</v>
      </c>
      <c r="E165" s="109"/>
      <c r="F165" s="112"/>
      <c r="G165" s="109"/>
      <c r="H165" s="109"/>
      <c r="I165" s="109"/>
      <c r="J165" s="109"/>
      <c r="K165" s="109"/>
      <c r="L165" s="109"/>
      <c r="M165" s="109"/>
      <c r="N165" s="13" t="s">
        <v>8257</v>
      </c>
      <c r="O165" s="13" t="s">
        <v>317</v>
      </c>
      <c r="P165" s="13" t="s">
        <v>1194</v>
      </c>
      <c r="Q165" s="15" t="s">
        <v>8258</v>
      </c>
      <c r="R165" s="109"/>
      <c r="S165" s="109"/>
      <c r="T165" s="112"/>
      <c r="U165" s="112"/>
      <c r="V165" s="112"/>
      <c r="W165" s="112"/>
    </row>
    <row r="166" spans="1:23" s="2" customFormat="1" ht="12">
      <c r="A166" s="11"/>
      <c r="B166" s="108"/>
      <c r="C166" s="109"/>
      <c r="D166" s="14" t="str">
        <f t="shared" si="9"/>
        <v>e签宝</v>
      </c>
      <c r="E166" s="109"/>
      <c r="F166" s="112"/>
      <c r="G166" s="109"/>
      <c r="H166" s="109"/>
      <c r="I166" s="109"/>
      <c r="J166" s="109"/>
      <c r="K166" s="109"/>
      <c r="L166" s="109"/>
      <c r="M166" s="109"/>
      <c r="N166" s="13" t="s">
        <v>681</v>
      </c>
      <c r="O166" s="13" t="s">
        <v>251</v>
      </c>
      <c r="P166" s="13" t="s">
        <v>320</v>
      </c>
      <c r="Q166" s="15" t="s">
        <v>8259</v>
      </c>
      <c r="R166" s="109"/>
      <c r="S166" s="109"/>
      <c r="T166" s="112"/>
      <c r="U166" s="112"/>
      <c r="V166" s="112"/>
      <c r="W166" s="112"/>
    </row>
    <row r="167" spans="1:23" s="2" customFormat="1" ht="12">
      <c r="A167" s="11"/>
      <c r="B167" s="108"/>
      <c r="C167" s="109"/>
      <c r="D167" s="14" t="str">
        <f t="shared" si="9"/>
        <v>e签宝</v>
      </c>
      <c r="E167" s="109"/>
      <c r="F167" s="112"/>
      <c r="G167" s="109"/>
      <c r="H167" s="109"/>
      <c r="I167" s="109"/>
      <c r="J167" s="109"/>
      <c r="K167" s="109"/>
      <c r="L167" s="109"/>
      <c r="M167" s="109"/>
      <c r="N167" s="13" t="s">
        <v>5233</v>
      </c>
      <c r="O167" s="13" t="s">
        <v>257</v>
      </c>
      <c r="P167" s="13" t="s">
        <v>701</v>
      </c>
      <c r="Q167" s="15" t="s">
        <v>8260</v>
      </c>
      <c r="R167" s="109"/>
      <c r="S167" s="109"/>
      <c r="T167" s="112"/>
      <c r="U167" s="112"/>
      <c r="V167" s="112"/>
      <c r="W167" s="112"/>
    </row>
    <row r="168" spans="1:23" s="2" customFormat="1" ht="12">
      <c r="A168" s="11"/>
      <c r="B168" s="108"/>
      <c r="C168" s="109"/>
      <c r="D168" s="14" t="str">
        <f t="shared" si="9"/>
        <v>e签宝</v>
      </c>
      <c r="E168" s="109"/>
      <c r="F168" s="112"/>
      <c r="G168" s="109"/>
      <c r="H168" s="109"/>
      <c r="I168" s="109"/>
      <c r="J168" s="109"/>
      <c r="K168" s="109"/>
      <c r="L168" s="109"/>
      <c r="M168" s="109"/>
      <c r="N168" s="13" t="s">
        <v>1953</v>
      </c>
      <c r="O168" s="13" t="s">
        <v>262</v>
      </c>
      <c r="P168" s="13" t="s">
        <v>1555</v>
      </c>
      <c r="Q168" s="15" t="s">
        <v>8261</v>
      </c>
      <c r="R168" s="109"/>
      <c r="S168" s="109"/>
      <c r="T168" s="112"/>
      <c r="U168" s="112"/>
      <c r="V168" s="112"/>
      <c r="W168" s="112"/>
    </row>
    <row r="169" spans="1:23" s="2" customFormat="1" ht="12">
      <c r="A169" s="11"/>
      <c r="B169" s="108"/>
      <c r="C169" s="109"/>
      <c r="D169" s="14" t="str">
        <f t="shared" si="9"/>
        <v>e签宝</v>
      </c>
      <c r="E169" s="109"/>
      <c r="F169" s="112"/>
      <c r="G169" s="109"/>
      <c r="H169" s="109"/>
      <c r="I169" s="109"/>
      <c r="J169" s="109"/>
      <c r="K169" s="109"/>
      <c r="L169" s="109"/>
      <c r="M169" s="109"/>
      <c r="N169" s="13" t="s">
        <v>8262</v>
      </c>
      <c r="O169" s="15" t="s">
        <v>326</v>
      </c>
      <c r="P169" s="15" t="s">
        <v>252</v>
      </c>
      <c r="Q169" s="15" t="s">
        <v>8263</v>
      </c>
      <c r="R169" s="109"/>
      <c r="S169" s="109"/>
      <c r="T169" s="112"/>
      <c r="U169" s="112"/>
      <c r="V169" s="112"/>
      <c r="W169" s="112"/>
    </row>
    <row r="170" spans="1:23" s="2" customFormat="1" ht="12">
      <c r="A170" s="11"/>
      <c r="B170" s="108"/>
      <c r="C170" s="109" t="s">
        <v>8264</v>
      </c>
      <c r="D170" s="14" t="s">
        <v>8265</v>
      </c>
      <c r="E170" s="109" t="s">
        <v>8265</v>
      </c>
      <c r="F170" s="112" t="s">
        <v>8266</v>
      </c>
      <c r="G170" s="109"/>
      <c r="H170" s="109" t="s">
        <v>8267</v>
      </c>
      <c r="I170" s="109" t="s">
        <v>246</v>
      </c>
      <c r="J170" s="113" t="s">
        <v>1564</v>
      </c>
      <c r="K170" s="113" t="s">
        <v>272</v>
      </c>
      <c r="L170" s="113" t="s">
        <v>407</v>
      </c>
      <c r="M170" s="113" t="s">
        <v>1932</v>
      </c>
      <c r="N170" s="13" t="s">
        <v>8264</v>
      </c>
      <c r="O170" s="15" t="s">
        <v>471</v>
      </c>
      <c r="P170" s="13" t="s">
        <v>1890</v>
      </c>
      <c r="Q170" s="15" t="s">
        <v>2229</v>
      </c>
      <c r="R170" s="109" t="s">
        <v>8268</v>
      </c>
      <c r="S170" s="109" t="s">
        <v>8269</v>
      </c>
      <c r="T170" s="112" t="s">
        <v>8270</v>
      </c>
      <c r="U170" s="112"/>
      <c r="V170" s="112"/>
      <c r="W170" s="112"/>
    </row>
    <row r="171" spans="1:23" s="2" customFormat="1" ht="12">
      <c r="A171" s="11"/>
      <c r="B171" s="108"/>
      <c r="C171" s="109"/>
      <c r="D171" s="14" t="str">
        <f>D170</f>
        <v>EyeVerify</v>
      </c>
      <c r="E171" s="109"/>
      <c r="F171" s="112"/>
      <c r="G171" s="109"/>
      <c r="H171" s="109"/>
      <c r="I171" s="109"/>
      <c r="J171" s="109"/>
      <c r="K171" s="109"/>
      <c r="L171" s="109"/>
      <c r="M171" s="109"/>
      <c r="N171" s="13" t="s">
        <v>8271</v>
      </c>
      <c r="O171" s="13" t="s">
        <v>262</v>
      </c>
      <c r="P171" s="13" t="s">
        <v>1580</v>
      </c>
      <c r="Q171" s="15" t="s">
        <v>8272</v>
      </c>
      <c r="R171" s="109"/>
      <c r="S171" s="109"/>
      <c r="T171" s="112"/>
      <c r="U171" s="112"/>
      <c r="V171" s="112"/>
      <c r="W171" s="112"/>
    </row>
    <row r="172" spans="1:23" s="2" customFormat="1" ht="12">
      <c r="A172" s="11"/>
      <c r="B172" s="108"/>
      <c r="C172" s="109" t="s">
        <v>4781</v>
      </c>
      <c r="D172" s="14" t="s">
        <v>8273</v>
      </c>
      <c r="E172" s="113" t="s">
        <v>8274</v>
      </c>
      <c r="F172" s="114" t="s">
        <v>8275</v>
      </c>
      <c r="G172" s="113" t="s">
        <v>8276</v>
      </c>
      <c r="H172" s="109" t="s">
        <v>8277</v>
      </c>
      <c r="I172" s="109" t="s">
        <v>4470</v>
      </c>
      <c r="J172" s="113" t="s">
        <v>349</v>
      </c>
      <c r="K172" s="113" t="s">
        <v>272</v>
      </c>
      <c r="L172" s="113" t="s">
        <v>407</v>
      </c>
      <c r="M172" s="113" t="s">
        <v>408</v>
      </c>
      <c r="N172" s="13" t="s">
        <v>4781</v>
      </c>
      <c r="O172" s="15" t="s">
        <v>471</v>
      </c>
      <c r="P172" s="15" t="s">
        <v>252</v>
      </c>
      <c r="Q172" s="15" t="s">
        <v>2229</v>
      </c>
      <c r="R172" s="109" t="s">
        <v>8278</v>
      </c>
      <c r="S172" s="113" t="s">
        <v>255</v>
      </c>
      <c r="T172" s="114" t="s">
        <v>8279</v>
      </c>
      <c r="U172" s="114" t="s">
        <v>8280</v>
      </c>
      <c r="V172" s="112" t="s">
        <v>8281</v>
      </c>
      <c r="W172" s="112" t="s">
        <v>8282</v>
      </c>
    </row>
    <row r="173" spans="1:23" s="2" customFormat="1" ht="12">
      <c r="A173" s="11"/>
      <c r="B173" s="108"/>
      <c r="C173" s="109"/>
      <c r="D173" s="14" t="str">
        <f>D172</f>
        <v>玻森数据BosonNLP</v>
      </c>
      <c r="E173" s="109"/>
      <c r="F173" s="112"/>
      <c r="G173" s="109"/>
      <c r="H173" s="109"/>
      <c r="I173" s="109"/>
      <c r="J173" s="109"/>
      <c r="K173" s="109"/>
      <c r="L173" s="109"/>
      <c r="M173" s="109"/>
      <c r="N173" s="13" t="s">
        <v>8283</v>
      </c>
      <c r="O173" s="13" t="s">
        <v>262</v>
      </c>
      <c r="P173" s="15" t="s">
        <v>341</v>
      </c>
      <c r="Q173" s="15" t="s">
        <v>8284</v>
      </c>
      <c r="R173" s="109"/>
      <c r="S173" s="109"/>
      <c r="T173" s="112"/>
      <c r="U173" s="112"/>
      <c r="V173" s="112"/>
      <c r="W173" s="112"/>
    </row>
    <row r="174" spans="1:23" s="2" customFormat="1" ht="12">
      <c r="A174" s="11"/>
      <c r="B174" s="108"/>
      <c r="C174" s="109"/>
      <c r="D174" s="14" t="str">
        <f>D173</f>
        <v>玻森数据BosonNLP</v>
      </c>
      <c r="E174" s="109"/>
      <c r="F174" s="112"/>
      <c r="G174" s="109"/>
      <c r="H174" s="109"/>
      <c r="I174" s="109"/>
      <c r="J174" s="109"/>
      <c r="K174" s="109"/>
      <c r="L174" s="109"/>
      <c r="M174" s="109"/>
      <c r="N174" s="13" t="s">
        <v>7935</v>
      </c>
      <c r="O174" s="13" t="s">
        <v>721</v>
      </c>
      <c r="P174" s="15" t="s">
        <v>341</v>
      </c>
      <c r="Q174" s="15" t="s">
        <v>8285</v>
      </c>
      <c r="R174" s="109"/>
      <c r="S174" s="109"/>
      <c r="T174" s="112"/>
      <c r="U174" s="112"/>
      <c r="V174" s="112"/>
      <c r="W174" s="112"/>
    </row>
    <row r="175" spans="1:23" s="2" customFormat="1" ht="12">
      <c r="A175" s="11"/>
      <c r="B175" s="108"/>
      <c r="C175" s="109"/>
      <c r="D175" s="14" t="str">
        <f>D174</f>
        <v>玻森数据BosonNLP</v>
      </c>
      <c r="E175" s="109"/>
      <c r="F175" s="112"/>
      <c r="G175" s="109"/>
      <c r="H175" s="109"/>
      <c r="I175" s="109"/>
      <c r="J175" s="109"/>
      <c r="K175" s="109"/>
      <c r="L175" s="109"/>
      <c r="M175" s="109"/>
      <c r="N175" s="13" t="s">
        <v>8286</v>
      </c>
      <c r="O175" s="15" t="s">
        <v>326</v>
      </c>
      <c r="P175" s="15" t="s">
        <v>327</v>
      </c>
      <c r="Q175" s="15" t="s">
        <v>8287</v>
      </c>
      <c r="R175" s="109"/>
      <c r="S175" s="109"/>
      <c r="T175" s="112"/>
      <c r="U175" s="112"/>
      <c r="V175" s="112"/>
      <c r="W175" s="112"/>
    </row>
    <row r="176" spans="1:23" s="2" customFormat="1" ht="12">
      <c r="A176" s="11"/>
      <c r="B176" s="108"/>
      <c r="C176" s="109" t="s">
        <v>8288</v>
      </c>
      <c r="D176" s="14" t="s">
        <v>8289</v>
      </c>
      <c r="E176" s="113" t="s">
        <v>8289</v>
      </c>
      <c r="F176" s="114" t="s">
        <v>8290</v>
      </c>
      <c r="G176" s="113" t="s">
        <v>8291</v>
      </c>
      <c r="H176" s="109" t="s">
        <v>8292</v>
      </c>
      <c r="I176" s="109" t="s">
        <v>8293</v>
      </c>
      <c r="J176" s="113" t="s">
        <v>406</v>
      </c>
      <c r="K176" s="113" t="s">
        <v>272</v>
      </c>
      <c r="L176" s="113" t="s">
        <v>1859</v>
      </c>
      <c r="M176" s="113" t="s">
        <v>4173</v>
      </c>
      <c r="N176" s="13" t="s">
        <v>8288</v>
      </c>
      <c r="O176" s="13" t="s">
        <v>283</v>
      </c>
      <c r="P176" s="13" t="s">
        <v>8294</v>
      </c>
      <c r="Q176" s="13" t="s">
        <v>253</v>
      </c>
      <c r="R176" s="109" t="s">
        <v>8295</v>
      </c>
      <c r="S176" s="109" t="s">
        <v>8296</v>
      </c>
      <c r="T176" s="112"/>
      <c r="U176" s="114" t="s">
        <v>8297</v>
      </c>
      <c r="V176" s="112">
        <v>95527</v>
      </c>
      <c r="W176" s="112" t="s">
        <v>8298</v>
      </c>
    </row>
    <row r="177" spans="1:23" s="2" customFormat="1" ht="12">
      <c r="A177" s="11"/>
      <c r="B177" s="108"/>
      <c r="C177" s="109"/>
      <c r="D177" s="14" t="str">
        <f>D176</f>
        <v>浙商银行</v>
      </c>
      <c r="E177" s="109"/>
      <c r="F177" s="112"/>
      <c r="G177" s="109"/>
      <c r="H177" s="109"/>
      <c r="I177" s="109"/>
      <c r="J177" s="109"/>
      <c r="K177" s="109"/>
      <c r="L177" s="109"/>
      <c r="M177" s="109"/>
      <c r="N177" s="13" t="s">
        <v>8299</v>
      </c>
      <c r="O177" s="15" t="s">
        <v>285</v>
      </c>
      <c r="P177" s="13" t="s">
        <v>805</v>
      </c>
      <c r="Q177" s="15" t="s">
        <v>2229</v>
      </c>
      <c r="R177" s="109"/>
      <c r="S177" s="109"/>
      <c r="T177" s="112"/>
      <c r="U177" s="112"/>
      <c r="V177" s="112"/>
      <c r="W177" s="112"/>
    </row>
    <row r="178" spans="1:23" s="2" customFormat="1" ht="12">
      <c r="A178" s="11"/>
      <c r="B178" s="108"/>
      <c r="C178" s="109"/>
      <c r="D178" s="14" t="str">
        <f>D177</f>
        <v>浙商银行</v>
      </c>
      <c r="E178" s="109"/>
      <c r="F178" s="112"/>
      <c r="G178" s="109"/>
      <c r="H178" s="109"/>
      <c r="I178" s="109"/>
      <c r="J178" s="109"/>
      <c r="K178" s="109"/>
      <c r="L178" s="109"/>
      <c r="M178" s="109"/>
      <c r="N178" s="13" t="s">
        <v>3996</v>
      </c>
      <c r="O178" s="13" t="s">
        <v>283</v>
      </c>
      <c r="P178" s="13" t="s">
        <v>8300</v>
      </c>
      <c r="Q178" s="13" t="s">
        <v>253</v>
      </c>
      <c r="R178" s="109"/>
      <c r="S178" s="109"/>
      <c r="T178" s="112"/>
      <c r="U178" s="112"/>
      <c r="V178" s="112"/>
      <c r="W178" s="112"/>
    </row>
    <row r="179" spans="1:23" s="2" customFormat="1" ht="83.5">
      <c r="A179" s="11"/>
      <c r="B179" s="108"/>
      <c r="C179" s="13" t="s">
        <v>8301</v>
      </c>
      <c r="D179" s="19" t="s">
        <v>8302</v>
      </c>
      <c r="E179" s="13" t="s">
        <v>8302</v>
      </c>
      <c r="F179" s="18" t="s">
        <v>8303</v>
      </c>
      <c r="G179" s="13"/>
      <c r="H179" s="13" t="s">
        <v>8304</v>
      </c>
      <c r="I179" s="13" t="s">
        <v>616</v>
      </c>
      <c r="J179" s="15" t="s">
        <v>1780</v>
      </c>
      <c r="K179" s="15" t="s">
        <v>272</v>
      </c>
      <c r="L179" s="15" t="s">
        <v>1859</v>
      </c>
      <c r="M179" s="15" t="s">
        <v>2900</v>
      </c>
      <c r="N179" s="13" t="s">
        <v>8301</v>
      </c>
      <c r="O179" s="13" t="s">
        <v>257</v>
      </c>
      <c r="P179" s="13" t="s">
        <v>567</v>
      </c>
      <c r="Q179" s="15" t="s">
        <v>8305</v>
      </c>
      <c r="R179" s="13" t="s">
        <v>8306</v>
      </c>
      <c r="S179" s="13" t="s">
        <v>5127</v>
      </c>
      <c r="T179" s="18" t="s">
        <v>8307</v>
      </c>
      <c r="U179" s="18"/>
      <c r="V179" s="18"/>
      <c r="W179" s="18"/>
    </row>
    <row r="180" spans="1:23" s="2" customFormat="1" ht="12">
      <c r="A180" s="11"/>
      <c r="B180" s="108"/>
      <c r="C180" s="109" t="s">
        <v>2212</v>
      </c>
      <c r="D180" s="14" t="s">
        <v>2213</v>
      </c>
      <c r="E180" s="109" t="s">
        <v>2213</v>
      </c>
      <c r="F180" s="112" t="s">
        <v>2214</v>
      </c>
      <c r="G180" s="109"/>
      <c r="H180" s="109" t="s">
        <v>2215</v>
      </c>
      <c r="I180" s="109" t="s">
        <v>2216</v>
      </c>
      <c r="J180" s="113" t="s">
        <v>1725</v>
      </c>
      <c r="K180" s="113" t="s">
        <v>272</v>
      </c>
      <c r="L180" s="113" t="s">
        <v>672</v>
      </c>
      <c r="M180" s="113" t="s">
        <v>909</v>
      </c>
      <c r="N180" s="13" t="s">
        <v>2212</v>
      </c>
      <c r="O180" s="15" t="s">
        <v>654</v>
      </c>
      <c r="P180" s="13" t="s">
        <v>2217</v>
      </c>
      <c r="Q180" s="13" t="s">
        <v>2218</v>
      </c>
      <c r="R180" s="109" t="s">
        <v>2219</v>
      </c>
      <c r="S180" s="109" t="s">
        <v>2220</v>
      </c>
      <c r="T180" s="112" t="s">
        <v>2221</v>
      </c>
      <c r="U180" s="112"/>
      <c r="V180" s="112"/>
      <c r="W180" s="112"/>
    </row>
    <row r="181" spans="1:23" s="2" customFormat="1" ht="12">
      <c r="A181" s="11"/>
      <c r="B181" s="108"/>
      <c r="C181" s="109"/>
      <c r="D181" s="14" t="str">
        <f t="shared" ref="D181:D199" si="10">D180</f>
        <v>Zomato</v>
      </c>
      <c r="E181" s="109"/>
      <c r="F181" s="112"/>
      <c r="G181" s="109"/>
      <c r="H181" s="109"/>
      <c r="I181" s="109"/>
      <c r="J181" s="109"/>
      <c r="K181" s="109"/>
      <c r="L181" s="109"/>
      <c r="M181" s="109"/>
      <c r="N181" s="13" t="s">
        <v>8308</v>
      </c>
      <c r="O181" s="15" t="s">
        <v>285</v>
      </c>
      <c r="P181" s="13" t="s">
        <v>655</v>
      </c>
      <c r="Q181" s="13" t="s">
        <v>2222</v>
      </c>
      <c r="R181" s="109"/>
      <c r="S181" s="109"/>
      <c r="T181" s="112"/>
      <c r="U181" s="112"/>
      <c r="V181" s="112"/>
      <c r="W181" s="112"/>
    </row>
    <row r="182" spans="1:23" s="2" customFormat="1" ht="12">
      <c r="A182" s="11"/>
      <c r="B182" s="108"/>
      <c r="C182" s="109"/>
      <c r="D182" s="14" t="str">
        <f t="shared" si="10"/>
        <v>Zomato</v>
      </c>
      <c r="E182" s="109"/>
      <c r="F182" s="112"/>
      <c r="G182" s="109"/>
      <c r="H182" s="109"/>
      <c r="I182" s="109"/>
      <c r="J182" s="109"/>
      <c r="K182" s="109"/>
      <c r="L182" s="109"/>
      <c r="M182" s="109"/>
      <c r="N182" s="13" t="s">
        <v>8309</v>
      </c>
      <c r="O182" s="15" t="s">
        <v>285</v>
      </c>
      <c r="P182" s="13" t="s">
        <v>2223</v>
      </c>
      <c r="Q182" s="13" t="s">
        <v>2224</v>
      </c>
      <c r="R182" s="109"/>
      <c r="S182" s="109"/>
      <c r="T182" s="112"/>
      <c r="U182" s="112"/>
      <c r="V182" s="112"/>
      <c r="W182" s="112"/>
    </row>
    <row r="183" spans="1:23" s="2" customFormat="1" ht="12">
      <c r="A183" s="11"/>
      <c r="B183" s="108"/>
      <c r="C183" s="109"/>
      <c r="D183" s="14" t="str">
        <f t="shared" si="10"/>
        <v>Zomato</v>
      </c>
      <c r="E183" s="109"/>
      <c r="F183" s="112"/>
      <c r="G183" s="109"/>
      <c r="H183" s="109"/>
      <c r="I183" s="109"/>
      <c r="J183" s="109"/>
      <c r="K183" s="109"/>
      <c r="L183" s="109"/>
      <c r="M183" s="109"/>
      <c r="N183" s="13" t="s">
        <v>8310</v>
      </c>
      <c r="O183" s="15" t="s">
        <v>285</v>
      </c>
      <c r="P183" s="13" t="s">
        <v>454</v>
      </c>
      <c r="Q183" s="15" t="s">
        <v>2225</v>
      </c>
      <c r="R183" s="109"/>
      <c r="S183" s="109"/>
      <c r="T183" s="112"/>
      <c r="U183" s="112"/>
      <c r="V183" s="112"/>
      <c r="W183" s="112"/>
    </row>
    <row r="184" spans="1:23" s="2" customFormat="1" ht="12">
      <c r="A184" s="11"/>
      <c r="B184" s="108"/>
      <c r="C184" s="109"/>
      <c r="D184" s="14" t="str">
        <f t="shared" si="10"/>
        <v>Zomato</v>
      </c>
      <c r="E184" s="109"/>
      <c r="F184" s="112"/>
      <c r="G184" s="109"/>
      <c r="H184" s="109"/>
      <c r="I184" s="109"/>
      <c r="J184" s="109"/>
      <c r="K184" s="109"/>
      <c r="L184" s="109"/>
      <c r="M184" s="109"/>
      <c r="N184" s="13" t="s">
        <v>8311</v>
      </c>
      <c r="O184" s="15" t="s">
        <v>285</v>
      </c>
      <c r="P184" s="13" t="s">
        <v>2226</v>
      </c>
      <c r="Q184" s="13" t="s">
        <v>2227</v>
      </c>
      <c r="R184" s="109"/>
      <c r="S184" s="109"/>
      <c r="T184" s="112"/>
      <c r="U184" s="112"/>
      <c r="V184" s="112"/>
      <c r="W184" s="112"/>
    </row>
    <row r="185" spans="1:23" s="2" customFormat="1" ht="12">
      <c r="A185" s="11"/>
      <c r="B185" s="108"/>
      <c r="C185" s="109"/>
      <c r="D185" s="14" t="str">
        <f t="shared" si="10"/>
        <v>Zomato</v>
      </c>
      <c r="E185" s="109"/>
      <c r="F185" s="112"/>
      <c r="G185" s="109"/>
      <c r="H185" s="109"/>
      <c r="I185" s="109"/>
      <c r="J185" s="109"/>
      <c r="K185" s="109"/>
      <c r="L185" s="109"/>
      <c r="M185" s="109"/>
      <c r="N185" s="13" t="s">
        <v>8312</v>
      </c>
      <c r="O185" s="15" t="s">
        <v>285</v>
      </c>
      <c r="P185" s="13" t="s">
        <v>460</v>
      </c>
      <c r="Q185" s="13" t="s">
        <v>2228</v>
      </c>
      <c r="R185" s="109"/>
      <c r="S185" s="109"/>
      <c r="T185" s="112"/>
      <c r="U185" s="112"/>
      <c r="V185" s="112"/>
      <c r="W185" s="112"/>
    </row>
    <row r="186" spans="1:23" s="2" customFormat="1" ht="12">
      <c r="A186" s="11"/>
      <c r="B186" s="108"/>
      <c r="C186" s="109"/>
      <c r="D186" s="14" t="str">
        <f t="shared" si="10"/>
        <v>Zomato</v>
      </c>
      <c r="E186" s="109"/>
      <c r="F186" s="112"/>
      <c r="G186" s="109"/>
      <c r="H186" s="109"/>
      <c r="I186" s="109"/>
      <c r="J186" s="109"/>
      <c r="K186" s="109"/>
      <c r="L186" s="109"/>
      <c r="M186" s="109"/>
      <c r="N186" s="13" t="s">
        <v>8313</v>
      </c>
      <c r="O186" s="15" t="s">
        <v>285</v>
      </c>
      <c r="P186" s="13" t="s">
        <v>522</v>
      </c>
      <c r="Q186" s="15" t="s">
        <v>2229</v>
      </c>
      <c r="R186" s="109"/>
      <c r="S186" s="109"/>
      <c r="T186" s="112"/>
      <c r="U186" s="112"/>
      <c r="V186" s="112"/>
      <c r="W186" s="112"/>
    </row>
    <row r="187" spans="1:23" s="2" customFormat="1" ht="12">
      <c r="A187" s="11"/>
      <c r="B187" s="108"/>
      <c r="C187" s="109"/>
      <c r="D187" s="14" t="str">
        <f t="shared" si="10"/>
        <v>Zomato</v>
      </c>
      <c r="E187" s="109"/>
      <c r="F187" s="112"/>
      <c r="G187" s="109"/>
      <c r="H187" s="109"/>
      <c r="I187" s="109"/>
      <c r="J187" s="109"/>
      <c r="K187" s="109"/>
      <c r="L187" s="109"/>
      <c r="M187" s="109"/>
      <c r="N187" s="13" t="s">
        <v>8314</v>
      </c>
      <c r="O187" s="15" t="s">
        <v>285</v>
      </c>
      <c r="P187" s="13" t="s">
        <v>286</v>
      </c>
      <c r="Q187" s="15" t="s">
        <v>2230</v>
      </c>
      <c r="R187" s="109"/>
      <c r="S187" s="109"/>
      <c r="T187" s="112"/>
      <c r="U187" s="112"/>
      <c r="V187" s="112"/>
      <c r="W187" s="112"/>
    </row>
    <row r="188" spans="1:23" s="2" customFormat="1" ht="12">
      <c r="A188" s="11"/>
      <c r="B188" s="108"/>
      <c r="C188" s="109"/>
      <c r="D188" s="14" t="str">
        <f t="shared" si="10"/>
        <v>Zomato</v>
      </c>
      <c r="E188" s="109"/>
      <c r="F188" s="112"/>
      <c r="G188" s="109"/>
      <c r="H188" s="109"/>
      <c r="I188" s="109"/>
      <c r="J188" s="109"/>
      <c r="K188" s="109"/>
      <c r="L188" s="109"/>
      <c r="M188" s="109"/>
      <c r="N188" s="13" t="s">
        <v>8315</v>
      </c>
      <c r="O188" s="15" t="s">
        <v>285</v>
      </c>
      <c r="P188" s="13" t="s">
        <v>2231</v>
      </c>
      <c r="Q188" s="13" t="s">
        <v>2232</v>
      </c>
      <c r="R188" s="109"/>
      <c r="S188" s="109"/>
      <c r="T188" s="112"/>
      <c r="U188" s="112"/>
      <c r="V188" s="112"/>
      <c r="W188" s="112"/>
    </row>
    <row r="189" spans="1:23" s="2" customFormat="1" ht="12">
      <c r="A189" s="11"/>
      <c r="B189" s="108"/>
      <c r="C189" s="109"/>
      <c r="D189" s="14" t="str">
        <f t="shared" si="10"/>
        <v>Zomato</v>
      </c>
      <c r="E189" s="109"/>
      <c r="F189" s="112"/>
      <c r="G189" s="109"/>
      <c r="H189" s="109"/>
      <c r="I189" s="109"/>
      <c r="J189" s="109"/>
      <c r="K189" s="109"/>
      <c r="L189" s="109"/>
      <c r="M189" s="109"/>
      <c r="N189" s="13" t="s">
        <v>2667</v>
      </c>
      <c r="O189" s="15" t="s">
        <v>285</v>
      </c>
      <c r="P189" s="13" t="s">
        <v>676</v>
      </c>
      <c r="Q189" s="13" t="s">
        <v>2233</v>
      </c>
      <c r="R189" s="109"/>
      <c r="S189" s="109"/>
      <c r="T189" s="112"/>
      <c r="U189" s="112"/>
      <c r="V189" s="112"/>
      <c r="W189" s="112"/>
    </row>
    <row r="190" spans="1:23" s="2" customFormat="1" ht="12">
      <c r="A190" s="11"/>
      <c r="B190" s="108"/>
      <c r="C190" s="109"/>
      <c r="D190" s="14" t="str">
        <f t="shared" si="10"/>
        <v>Zomato</v>
      </c>
      <c r="E190" s="109"/>
      <c r="F190" s="112"/>
      <c r="G190" s="109"/>
      <c r="H190" s="109"/>
      <c r="I190" s="109"/>
      <c r="J190" s="109"/>
      <c r="K190" s="109"/>
      <c r="L190" s="109"/>
      <c r="M190" s="109"/>
      <c r="N190" s="13" t="s">
        <v>8316</v>
      </c>
      <c r="O190" s="15" t="s">
        <v>285</v>
      </c>
      <c r="P190" s="13" t="s">
        <v>2234</v>
      </c>
      <c r="Q190" s="15" t="s">
        <v>2229</v>
      </c>
      <c r="R190" s="109"/>
      <c r="S190" s="109"/>
      <c r="T190" s="112"/>
      <c r="U190" s="112"/>
      <c r="V190" s="112"/>
      <c r="W190" s="112"/>
    </row>
    <row r="191" spans="1:23" s="2" customFormat="1" ht="12">
      <c r="A191" s="11"/>
      <c r="B191" s="108"/>
      <c r="C191" s="109"/>
      <c r="D191" s="14" t="str">
        <f t="shared" si="10"/>
        <v>Zomato</v>
      </c>
      <c r="E191" s="109"/>
      <c r="F191" s="112"/>
      <c r="G191" s="109"/>
      <c r="H191" s="109"/>
      <c r="I191" s="109"/>
      <c r="J191" s="109"/>
      <c r="K191" s="109"/>
      <c r="L191" s="109"/>
      <c r="M191" s="109"/>
      <c r="N191" s="13" t="s">
        <v>8317</v>
      </c>
      <c r="O191" s="13" t="s">
        <v>2235</v>
      </c>
      <c r="P191" s="13" t="s">
        <v>288</v>
      </c>
      <c r="Q191" s="15" t="s">
        <v>2236</v>
      </c>
      <c r="R191" s="109"/>
      <c r="S191" s="109"/>
      <c r="T191" s="112"/>
      <c r="U191" s="112"/>
      <c r="V191" s="112"/>
      <c r="W191" s="112"/>
    </row>
    <row r="192" spans="1:23" s="2" customFormat="1" ht="12">
      <c r="A192" s="11"/>
      <c r="B192" s="108"/>
      <c r="C192" s="109"/>
      <c r="D192" s="14" t="str">
        <f t="shared" si="10"/>
        <v>Zomato</v>
      </c>
      <c r="E192" s="109"/>
      <c r="F192" s="112"/>
      <c r="G192" s="109"/>
      <c r="H192" s="109"/>
      <c r="I192" s="109"/>
      <c r="J192" s="109"/>
      <c r="K192" s="109"/>
      <c r="L192" s="109"/>
      <c r="M192" s="109"/>
      <c r="N192" s="13" t="s">
        <v>4316</v>
      </c>
      <c r="O192" s="13" t="s">
        <v>2237</v>
      </c>
      <c r="P192" s="13" t="s">
        <v>792</v>
      </c>
      <c r="Q192" s="15" t="s">
        <v>586</v>
      </c>
      <c r="R192" s="109"/>
      <c r="S192" s="109"/>
      <c r="T192" s="112"/>
      <c r="U192" s="112"/>
      <c r="V192" s="112"/>
      <c r="W192" s="112"/>
    </row>
    <row r="193" spans="1:23" s="2" customFormat="1" ht="12">
      <c r="A193" s="11"/>
      <c r="B193" s="108"/>
      <c r="C193" s="109"/>
      <c r="D193" s="14" t="str">
        <f t="shared" si="10"/>
        <v>Zomato</v>
      </c>
      <c r="E193" s="109"/>
      <c r="F193" s="112"/>
      <c r="G193" s="109"/>
      <c r="H193" s="109"/>
      <c r="I193" s="109"/>
      <c r="J193" s="109"/>
      <c r="K193" s="109"/>
      <c r="L193" s="109"/>
      <c r="M193" s="109"/>
      <c r="N193" s="13" t="s">
        <v>8318</v>
      </c>
      <c r="O193" s="13" t="s">
        <v>303</v>
      </c>
      <c r="P193" s="13" t="s">
        <v>458</v>
      </c>
      <c r="Q193" s="15" t="s">
        <v>2238</v>
      </c>
      <c r="R193" s="109"/>
      <c r="S193" s="109"/>
      <c r="T193" s="112"/>
      <c r="U193" s="112"/>
      <c r="V193" s="112"/>
      <c r="W193" s="112"/>
    </row>
    <row r="194" spans="1:23" s="2" customFormat="1" ht="12">
      <c r="A194" s="11"/>
      <c r="B194" s="108"/>
      <c r="C194" s="109"/>
      <c r="D194" s="14" t="str">
        <f t="shared" si="10"/>
        <v>Zomato</v>
      </c>
      <c r="E194" s="109"/>
      <c r="F194" s="112"/>
      <c r="G194" s="109"/>
      <c r="H194" s="109"/>
      <c r="I194" s="109"/>
      <c r="J194" s="109"/>
      <c r="K194" s="109"/>
      <c r="L194" s="109"/>
      <c r="M194" s="109"/>
      <c r="N194" s="13" t="s">
        <v>8319</v>
      </c>
      <c r="O194" s="13" t="s">
        <v>2239</v>
      </c>
      <c r="P194" s="13" t="s">
        <v>885</v>
      </c>
      <c r="Q194" s="15" t="s">
        <v>2240</v>
      </c>
      <c r="R194" s="109"/>
      <c r="S194" s="109"/>
      <c r="T194" s="112"/>
      <c r="U194" s="112"/>
      <c r="V194" s="112"/>
      <c r="W194" s="112"/>
    </row>
    <row r="195" spans="1:23" s="2" customFormat="1" ht="12">
      <c r="A195" s="11"/>
      <c r="B195" s="108"/>
      <c r="C195" s="109"/>
      <c r="D195" s="14" t="str">
        <f t="shared" si="10"/>
        <v>Zomato</v>
      </c>
      <c r="E195" s="109"/>
      <c r="F195" s="112"/>
      <c r="G195" s="109"/>
      <c r="H195" s="109"/>
      <c r="I195" s="109"/>
      <c r="J195" s="109"/>
      <c r="K195" s="109"/>
      <c r="L195" s="109"/>
      <c r="M195" s="109"/>
      <c r="N195" s="13" t="s">
        <v>8320</v>
      </c>
      <c r="O195" s="13" t="s">
        <v>310</v>
      </c>
      <c r="P195" s="13" t="s">
        <v>885</v>
      </c>
      <c r="Q195" s="13" t="s">
        <v>2241</v>
      </c>
      <c r="R195" s="109"/>
      <c r="S195" s="109"/>
      <c r="T195" s="112"/>
      <c r="U195" s="112"/>
      <c r="V195" s="112"/>
      <c r="W195" s="112"/>
    </row>
    <row r="196" spans="1:23" s="2" customFormat="1" ht="12">
      <c r="A196" s="11"/>
      <c r="B196" s="108"/>
      <c r="C196" s="109"/>
      <c r="D196" s="14" t="str">
        <f t="shared" si="10"/>
        <v>Zomato</v>
      </c>
      <c r="E196" s="109"/>
      <c r="F196" s="112"/>
      <c r="G196" s="109"/>
      <c r="H196" s="109"/>
      <c r="I196" s="109"/>
      <c r="J196" s="109"/>
      <c r="K196" s="109"/>
      <c r="L196" s="109"/>
      <c r="M196" s="109"/>
      <c r="N196" s="13" t="s">
        <v>8321</v>
      </c>
      <c r="O196" s="13" t="s">
        <v>317</v>
      </c>
      <c r="P196" s="13" t="s">
        <v>2242</v>
      </c>
      <c r="Q196" s="13" t="s">
        <v>2243</v>
      </c>
      <c r="R196" s="109"/>
      <c r="S196" s="109"/>
      <c r="T196" s="112"/>
      <c r="U196" s="112"/>
      <c r="V196" s="112"/>
      <c r="W196" s="112"/>
    </row>
    <row r="197" spans="1:23" s="2" customFormat="1" ht="12">
      <c r="A197" s="11"/>
      <c r="B197" s="108"/>
      <c r="C197" s="109"/>
      <c r="D197" s="14" t="str">
        <f t="shared" si="10"/>
        <v>Zomato</v>
      </c>
      <c r="E197" s="109"/>
      <c r="F197" s="112"/>
      <c r="G197" s="109"/>
      <c r="H197" s="109"/>
      <c r="I197" s="109"/>
      <c r="J197" s="109"/>
      <c r="K197" s="109"/>
      <c r="L197" s="109"/>
      <c r="M197" s="109"/>
      <c r="N197" s="13" t="s">
        <v>8322</v>
      </c>
      <c r="O197" s="13" t="s">
        <v>251</v>
      </c>
      <c r="P197" s="13" t="s">
        <v>337</v>
      </c>
      <c r="Q197" s="13" t="s">
        <v>2244</v>
      </c>
      <c r="R197" s="109"/>
      <c r="S197" s="109"/>
      <c r="T197" s="112"/>
      <c r="U197" s="112"/>
      <c r="V197" s="112"/>
      <c r="W197" s="112"/>
    </row>
    <row r="198" spans="1:23" s="2" customFormat="1" ht="12">
      <c r="A198" s="11"/>
      <c r="B198" s="108"/>
      <c r="C198" s="109"/>
      <c r="D198" s="14" t="str">
        <f t="shared" si="10"/>
        <v>Zomato</v>
      </c>
      <c r="E198" s="109"/>
      <c r="F198" s="112"/>
      <c r="G198" s="109"/>
      <c r="H198" s="109"/>
      <c r="I198" s="109"/>
      <c r="J198" s="109"/>
      <c r="K198" s="109"/>
      <c r="L198" s="109"/>
      <c r="M198" s="109"/>
      <c r="N198" s="13" t="s">
        <v>8323</v>
      </c>
      <c r="O198" s="13" t="s">
        <v>257</v>
      </c>
      <c r="P198" s="13" t="s">
        <v>2245</v>
      </c>
      <c r="Q198" s="13" t="s">
        <v>2244</v>
      </c>
      <c r="R198" s="109"/>
      <c r="S198" s="109"/>
      <c r="T198" s="112"/>
      <c r="U198" s="112"/>
      <c r="V198" s="112"/>
      <c r="W198" s="112"/>
    </row>
    <row r="199" spans="1:23" s="2" customFormat="1" ht="12">
      <c r="A199" s="11"/>
      <c r="B199" s="108"/>
      <c r="C199" s="109"/>
      <c r="D199" s="14" t="str">
        <f t="shared" si="10"/>
        <v>Zomato</v>
      </c>
      <c r="E199" s="109"/>
      <c r="F199" s="112"/>
      <c r="G199" s="109"/>
      <c r="H199" s="109"/>
      <c r="I199" s="109"/>
      <c r="J199" s="109"/>
      <c r="K199" s="109"/>
      <c r="L199" s="109"/>
      <c r="M199" s="109"/>
      <c r="N199" s="13" t="s">
        <v>8324</v>
      </c>
      <c r="O199" s="13" t="s">
        <v>262</v>
      </c>
      <c r="P199" s="13" t="s">
        <v>1938</v>
      </c>
      <c r="Q199" s="13" t="s">
        <v>2244</v>
      </c>
      <c r="R199" s="109"/>
      <c r="S199" s="109"/>
      <c r="T199" s="112"/>
      <c r="U199" s="112"/>
      <c r="V199" s="112"/>
      <c r="W199" s="112"/>
    </row>
    <row r="200" spans="1:23" s="2" customFormat="1" ht="12">
      <c r="A200" s="11"/>
      <c r="B200" s="108"/>
      <c r="C200" s="109" t="s">
        <v>8325</v>
      </c>
      <c r="D200" s="14" t="s">
        <v>8326</v>
      </c>
      <c r="E200" s="113" t="s">
        <v>8326</v>
      </c>
      <c r="F200" s="114" t="s">
        <v>8327</v>
      </c>
      <c r="G200" s="113" t="s">
        <v>8328</v>
      </c>
      <c r="H200" s="109" t="s">
        <v>8329</v>
      </c>
      <c r="I200" s="109" t="s">
        <v>3629</v>
      </c>
      <c r="J200" s="113" t="s">
        <v>406</v>
      </c>
      <c r="K200" s="113" t="s">
        <v>272</v>
      </c>
      <c r="L200" s="113" t="s">
        <v>386</v>
      </c>
      <c r="M200" s="113" t="s">
        <v>387</v>
      </c>
      <c r="N200" s="13" t="s">
        <v>8325</v>
      </c>
      <c r="O200" s="15" t="s">
        <v>285</v>
      </c>
      <c r="P200" s="13" t="s">
        <v>1544</v>
      </c>
      <c r="Q200" s="15" t="s">
        <v>8330</v>
      </c>
      <c r="R200" s="109" t="s">
        <v>8331</v>
      </c>
      <c r="S200" s="109" t="s">
        <v>8332</v>
      </c>
      <c r="T200" s="114" t="s">
        <v>8333</v>
      </c>
      <c r="U200" s="114" t="s">
        <v>8334</v>
      </c>
      <c r="V200" s="112" t="s">
        <v>8335</v>
      </c>
      <c r="W200" s="112"/>
    </row>
    <row r="201" spans="1:23" s="2" customFormat="1" ht="12">
      <c r="A201" s="11"/>
      <c r="B201" s="108"/>
      <c r="C201" s="109"/>
      <c r="D201" s="14" t="str">
        <f>D200</f>
        <v>淘票票</v>
      </c>
      <c r="E201" s="109"/>
      <c r="F201" s="112"/>
      <c r="G201" s="109"/>
      <c r="H201" s="109"/>
      <c r="I201" s="109"/>
      <c r="J201" s="109"/>
      <c r="K201" s="109"/>
      <c r="L201" s="109"/>
      <c r="M201" s="109"/>
      <c r="N201" s="13" t="s">
        <v>8336</v>
      </c>
      <c r="O201" s="13" t="s">
        <v>262</v>
      </c>
      <c r="P201" s="13" t="s">
        <v>8337</v>
      </c>
      <c r="Q201" s="15" t="s">
        <v>8338</v>
      </c>
      <c r="R201" s="109"/>
      <c r="S201" s="109"/>
      <c r="T201" s="112"/>
      <c r="U201" s="112"/>
      <c r="V201" s="112"/>
      <c r="W201" s="112"/>
    </row>
    <row r="202" spans="1:23" s="2" customFormat="1" ht="12">
      <c r="A202" s="11"/>
      <c r="B202" s="108"/>
      <c r="C202" s="109" t="s">
        <v>8339</v>
      </c>
      <c r="D202" s="14" t="s">
        <v>8340</v>
      </c>
      <c r="E202" s="113" t="s">
        <v>8340</v>
      </c>
      <c r="F202" s="114" t="s">
        <v>8341</v>
      </c>
      <c r="G202" s="113" t="s">
        <v>8342</v>
      </c>
      <c r="H202" s="109" t="s">
        <v>8343</v>
      </c>
      <c r="I202" s="109" t="s">
        <v>3983</v>
      </c>
      <c r="J202" s="113" t="s">
        <v>349</v>
      </c>
      <c r="K202" s="113" t="s">
        <v>272</v>
      </c>
      <c r="L202" s="113" t="s">
        <v>407</v>
      </c>
      <c r="M202" s="113" t="s">
        <v>8344</v>
      </c>
      <c r="N202" s="13" t="s">
        <v>8339</v>
      </c>
      <c r="O202" s="13" t="s">
        <v>257</v>
      </c>
      <c r="P202" s="13" t="s">
        <v>637</v>
      </c>
      <c r="Q202" s="15" t="s">
        <v>8345</v>
      </c>
      <c r="R202" s="109" t="s">
        <v>8346</v>
      </c>
      <c r="S202" s="109" t="s">
        <v>1078</v>
      </c>
      <c r="T202" s="114" t="s">
        <v>8347</v>
      </c>
      <c r="U202" s="114" t="s">
        <v>8348</v>
      </c>
      <c r="V202" s="112"/>
      <c r="W202" s="112" t="s">
        <v>8349</v>
      </c>
    </row>
    <row r="203" spans="1:23" s="2" customFormat="1" ht="12">
      <c r="A203" s="11"/>
      <c r="B203" s="108"/>
      <c r="C203" s="109"/>
      <c r="D203" s="14" t="str">
        <f>D202</f>
        <v>安心记加班</v>
      </c>
      <c r="E203" s="109"/>
      <c r="F203" s="112"/>
      <c r="G203" s="109"/>
      <c r="H203" s="109"/>
      <c r="I203" s="109"/>
      <c r="J203" s="109"/>
      <c r="K203" s="109"/>
      <c r="L203" s="109"/>
      <c r="M203" s="109"/>
      <c r="N203" s="13" t="s">
        <v>8350</v>
      </c>
      <c r="O203" s="13" t="s">
        <v>260</v>
      </c>
      <c r="P203" s="15" t="s">
        <v>341</v>
      </c>
      <c r="Q203" s="15" t="s">
        <v>8351</v>
      </c>
      <c r="R203" s="109"/>
      <c r="S203" s="109"/>
      <c r="T203" s="112"/>
      <c r="U203" s="112"/>
      <c r="V203" s="112"/>
      <c r="W203" s="112"/>
    </row>
    <row r="204" spans="1:23" s="2" customFormat="1" ht="12">
      <c r="A204" s="11"/>
      <c r="B204" s="108"/>
      <c r="C204" s="109"/>
      <c r="D204" s="14" t="str">
        <f>D203</f>
        <v>安心记加班</v>
      </c>
      <c r="E204" s="109"/>
      <c r="F204" s="112"/>
      <c r="G204" s="109"/>
      <c r="H204" s="109"/>
      <c r="I204" s="109"/>
      <c r="J204" s="109"/>
      <c r="K204" s="109"/>
      <c r="L204" s="109"/>
      <c r="M204" s="109"/>
      <c r="N204" s="13" t="s">
        <v>8352</v>
      </c>
      <c r="O204" s="13" t="s">
        <v>262</v>
      </c>
      <c r="P204" s="15" t="s">
        <v>327</v>
      </c>
      <c r="Q204" s="15" t="s">
        <v>399</v>
      </c>
      <c r="R204" s="109"/>
      <c r="S204" s="109"/>
      <c r="T204" s="112"/>
      <c r="U204" s="112"/>
      <c r="V204" s="112"/>
      <c r="W204" s="112"/>
    </row>
    <row r="205" spans="1:23" s="2" customFormat="1" ht="12">
      <c r="A205" s="11"/>
      <c r="B205" s="108"/>
      <c r="C205" s="109"/>
      <c r="D205" s="14" t="str">
        <f>D204</f>
        <v>安心记加班</v>
      </c>
      <c r="E205" s="109"/>
      <c r="F205" s="112"/>
      <c r="G205" s="109"/>
      <c r="H205" s="109"/>
      <c r="I205" s="109"/>
      <c r="J205" s="109"/>
      <c r="K205" s="109"/>
      <c r="L205" s="109"/>
      <c r="M205" s="109"/>
      <c r="N205" s="13" t="s">
        <v>1166</v>
      </c>
      <c r="O205" s="15" t="s">
        <v>326</v>
      </c>
      <c r="P205" s="15" t="s">
        <v>327</v>
      </c>
      <c r="Q205" s="15" t="s">
        <v>8353</v>
      </c>
      <c r="R205" s="109"/>
      <c r="S205" s="109"/>
      <c r="T205" s="112"/>
      <c r="U205" s="112"/>
      <c r="V205" s="112"/>
      <c r="W205" s="112"/>
    </row>
    <row r="206" spans="1:23" s="2" customFormat="1" ht="12">
      <c r="A206" s="11"/>
      <c r="B206" s="108"/>
      <c r="C206" s="109" t="s">
        <v>8354</v>
      </c>
      <c r="D206" s="14" t="s">
        <v>8355</v>
      </c>
      <c r="E206" s="113" t="s">
        <v>8355</v>
      </c>
      <c r="F206" s="114" t="s">
        <v>8356</v>
      </c>
      <c r="G206" s="113" t="s">
        <v>8357</v>
      </c>
      <c r="H206" s="109" t="s">
        <v>8358</v>
      </c>
      <c r="I206" s="109" t="s">
        <v>3449</v>
      </c>
      <c r="J206" s="113" t="s">
        <v>1192</v>
      </c>
      <c r="K206" s="113" t="s">
        <v>272</v>
      </c>
      <c r="L206" s="113" t="s">
        <v>1859</v>
      </c>
      <c r="M206" s="113" t="s">
        <v>7943</v>
      </c>
      <c r="N206" s="13" t="s">
        <v>8354</v>
      </c>
      <c r="O206" s="13" t="s">
        <v>257</v>
      </c>
      <c r="P206" s="15" t="s">
        <v>252</v>
      </c>
      <c r="Q206" s="15" t="s">
        <v>8359</v>
      </c>
      <c r="R206" s="109" t="s">
        <v>1129</v>
      </c>
      <c r="S206" s="113" t="s">
        <v>255</v>
      </c>
      <c r="T206" s="114" t="s">
        <v>8360</v>
      </c>
      <c r="U206" s="112"/>
      <c r="V206" s="112"/>
      <c r="W206" s="112"/>
    </row>
    <row r="207" spans="1:23" s="2" customFormat="1" ht="12">
      <c r="A207" s="11"/>
      <c r="B207" s="108"/>
      <c r="C207" s="109"/>
      <c r="D207" s="14" t="str">
        <f>D206</f>
        <v>金贝塔</v>
      </c>
      <c r="E207" s="109"/>
      <c r="F207" s="112"/>
      <c r="G207" s="109"/>
      <c r="H207" s="109"/>
      <c r="I207" s="109"/>
      <c r="J207" s="109"/>
      <c r="K207" s="109"/>
      <c r="L207" s="109"/>
      <c r="M207" s="109"/>
      <c r="N207" s="13" t="s">
        <v>8361</v>
      </c>
      <c r="O207" s="13" t="s">
        <v>262</v>
      </c>
      <c r="P207" s="15" t="s">
        <v>252</v>
      </c>
      <c r="Q207" s="15" t="s">
        <v>2229</v>
      </c>
      <c r="R207" s="109"/>
      <c r="S207" s="109"/>
      <c r="T207" s="112"/>
      <c r="U207" s="112"/>
      <c r="V207" s="112"/>
      <c r="W207" s="112"/>
    </row>
    <row r="208" spans="1:23" s="2" customFormat="1" ht="36">
      <c r="A208" s="11"/>
      <c r="B208" s="108"/>
      <c r="C208" s="13" t="s">
        <v>8362</v>
      </c>
      <c r="D208" s="19" t="s">
        <v>8363</v>
      </c>
      <c r="E208" s="15" t="s">
        <v>8363</v>
      </c>
      <c r="F208" s="16" t="s">
        <v>8364</v>
      </c>
      <c r="G208" s="15" t="s">
        <v>8365</v>
      </c>
      <c r="H208" s="13" t="s">
        <v>8366</v>
      </c>
      <c r="I208" s="13" t="s">
        <v>4470</v>
      </c>
      <c r="J208" s="15" t="s">
        <v>4471</v>
      </c>
      <c r="K208" s="15" t="s">
        <v>272</v>
      </c>
      <c r="L208" s="15" t="s">
        <v>1859</v>
      </c>
      <c r="M208" s="15" t="s">
        <v>1860</v>
      </c>
      <c r="N208" s="13" t="s">
        <v>8362</v>
      </c>
      <c r="O208" s="15" t="s">
        <v>285</v>
      </c>
      <c r="P208" s="15" t="s">
        <v>252</v>
      </c>
      <c r="Q208" s="15" t="s">
        <v>2229</v>
      </c>
      <c r="R208" s="13" t="s">
        <v>4335</v>
      </c>
      <c r="S208" s="15" t="s">
        <v>255</v>
      </c>
      <c r="T208" s="16" t="s">
        <v>8367</v>
      </c>
      <c r="U208" s="18"/>
      <c r="V208" s="18"/>
      <c r="W208" s="18"/>
    </row>
    <row r="209" spans="1:23" s="2" customFormat="1" ht="108">
      <c r="A209" s="11"/>
      <c r="B209" s="108"/>
      <c r="C209" s="13" t="s">
        <v>8368</v>
      </c>
      <c r="D209" s="19" t="s">
        <v>8369</v>
      </c>
      <c r="E209" s="15" t="s">
        <v>8369</v>
      </c>
      <c r="F209" s="16" t="s">
        <v>8370</v>
      </c>
      <c r="G209" s="15" t="s">
        <v>8371</v>
      </c>
      <c r="H209" s="13" t="s">
        <v>8372</v>
      </c>
      <c r="I209" s="13" t="s">
        <v>8373</v>
      </c>
      <c r="J209" s="15" t="s">
        <v>428</v>
      </c>
      <c r="K209" s="15" t="s">
        <v>272</v>
      </c>
      <c r="L209" s="15" t="s">
        <v>1859</v>
      </c>
      <c r="M209" s="15" t="s">
        <v>8374</v>
      </c>
      <c r="N209" s="13" t="s">
        <v>8368</v>
      </c>
      <c r="O209" s="15" t="s">
        <v>285</v>
      </c>
      <c r="P209" s="13" t="s">
        <v>1063</v>
      </c>
      <c r="Q209" s="15" t="s">
        <v>2229</v>
      </c>
      <c r="R209" s="13" t="s">
        <v>5283</v>
      </c>
      <c r="S209" s="13" t="s">
        <v>1065</v>
      </c>
      <c r="T209" s="16" t="s">
        <v>8375</v>
      </c>
      <c r="U209" s="16" t="s">
        <v>8376</v>
      </c>
      <c r="V209" s="18" t="s">
        <v>8377</v>
      </c>
      <c r="W209" s="18" t="s">
        <v>8378</v>
      </c>
    </row>
    <row r="210" spans="1:23" s="2" customFormat="1" ht="12">
      <c r="A210" s="11"/>
      <c r="B210" s="108"/>
      <c r="C210" s="109" t="s">
        <v>8379</v>
      </c>
      <c r="D210" s="14" t="s">
        <v>8380</v>
      </c>
      <c r="E210" s="113" t="s">
        <v>8380</v>
      </c>
      <c r="F210" s="114" t="s">
        <v>8381</v>
      </c>
      <c r="G210" s="113" t="s">
        <v>8382</v>
      </c>
      <c r="H210" s="109" t="s">
        <v>8383</v>
      </c>
      <c r="I210" s="109" t="s">
        <v>1617</v>
      </c>
      <c r="J210" s="113" t="s">
        <v>1192</v>
      </c>
      <c r="K210" s="113" t="s">
        <v>272</v>
      </c>
      <c r="L210" s="113" t="s">
        <v>1008</v>
      </c>
      <c r="M210" s="113" t="s">
        <v>8384</v>
      </c>
      <c r="N210" s="13" t="s">
        <v>8379</v>
      </c>
      <c r="O210" s="13" t="s">
        <v>315</v>
      </c>
      <c r="P210" s="15" t="s">
        <v>252</v>
      </c>
      <c r="Q210" s="15" t="s">
        <v>8385</v>
      </c>
      <c r="R210" s="109" t="s">
        <v>2526</v>
      </c>
      <c r="S210" s="113" t="s">
        <v>255</v>
      </c>
      <c r="T210" s="114" t="s">
        <v>8386</v>
      </c>
      <c r="U210" s="114" t="s">
        <v>8387</v>
      </c>
      <c r="V210" s="112" t="s">
        <v>8388</v>
      </c>
      <c r="W210" s="112" t="s">
        <v>8389</v>
      </c>
    </row>
    <row r="211" spans="1:23" s="2" customFormat="1" ht="12">
      <c r="A211" s="11"/>
      <c r="B211" s="108"/>
      <c r="C211" s="109"/>
      <c r="D211" s="14" t="str">
        <f>D210</f>
        <v>南方银谷</v>
      </c>
      <c r="E211" s="109"/>
      <c r="F211" s="112"/>
      <c r="G211" s="109"/>
      <c r="H211" s="109"/>
      <c r="I211" s="109"/>
      <c r="J211" s="109"/>
      <c r="K211" s="109"/>
      <c r="L211" s="109"/>
      <c r="M211" s="109"/>
      <c r="N211" s="13" t="s">
        <v>8390</v>
      </c>
      <c r="O211" s="13" t="s">
        <v>317</v>
      </c>
      <c r="P211" s="15" t="s">
        <v>252</v>
      </c>
      <c r="Q211" s="15" t="s">
        <v>8391</v>
      </c>
      <c r="R211" s="109"/>
      <c r="S211" s="109"/>
      <c r="T211" s="112"/>
      <c r="U211" s="112"/>
      <c r="V211" s="112"/>
      <c r="W211" s="112"/>
    </row>
    <row r="212" spans="1:23" s="2" customFormat="1" ht="12">
      <c r="A212" s="11"/>
      <c r="B212" s="108"/>
      <c r="C212" s="109"/>
      <c r="D212" s="14" t="str">
        <f>D211</f>
        <v>南方银谷</v>
      </c>
      <c r="E212" s="109"/>
      <c r="F212" s="112"/>
      <c r="G212" s="109"/>
      <c r="H212" s="109"/>
      <c r="I212" s="109"/>
      <c r="J212" s="109"/>
      <c r="K212" s="109"/>
      <c r="L212" s="109"/>
      <c r="M212" s="109"/>
      <c r="N212" s="13" t="s">
        <v>8392</v>
      </c>
      <c r="O212" s="13" t="s">
        <v>251</v>
      </c>
      <c r="P212" s="15" t="s">
        <v>409</v>
      </c>
      <c r="Q212" s="15" t="s">
        <v>8393</v>
      </c>
      <c r="R212" s="109"/>
      <c r="S212" s="109"/>
      <c r="T212" s="112"/>
      <c r="U212" s="112"/>
      <c r="V212" s="112"/>
      <c r="W212" s="112"/>
    </row>
    <row r="213" spans="1:23" s="2" customFormat="1" ht="12">
      <c r="A213" s="11"/>
      <c r="B213" s="108"/>
      <c r="C213" s="109"/>
      <c r="D213" s="14" t="str">
        <f>D212</f>
        <v>南方银谷</v>
      </c>
      <c r="E213" s="109"/>
      <c r="F213" s="112"/>
      <c r="G213" s="109"/>
      <c r="H213" s="109"/>
      <c r="I213" s="109"/>
      <c r="J213" s="109"/>
      <c r="K213" s="109"/>
      <c r="L213" s="109"/>
      <c r="M213" s="109"/>
      <c r="N213" s="13" t="s">
        <v>8394</v>
      </c>
      <c r="O213" s="13" t="s">
        <v>257</v>
      </c>
      <c r="P213" s="15" t="s">
        <v>341</v>
      </c>
      <c r="Q213" s="15" t="s">
        <v>8395</v>
      </c>
      <c r="R213" s="109"/>
      <c r="S213" s="109"/>
      <c r="T213" s="112"/>
      <c r="U213" s="112"/>
      <c r="V213" s="112"/>
      <c r="W213" s="112"/>
    </row>
    <row r="214" spans="1:23" s="2" customFormat="1" ht="12">
      <c r="A214" s="11"/>
      <c r="B214" s="108"/>
      <c r="C214" s="109"/>
      <c r="D214" s="14" t="str">
        <f>D213</f>
        <v>南方银谷</v>
      </c>
      <c r="E214" s="109"/>
      <c r="F214" s="112"/>
      <c r="G214" s="109"/>
      <c r="H214" s="109"/>
      <c r="I214" s="109"/>
      <c r="J214" s="109"/>
      <c r="K214" s="109"/>
      <c r="L214" s="109"/>
      <c r="M214" s="109"/>
      <c r="N214" s="13" t="s">
        <v>8396</v>
      </c>
      <c r="O214" s="13" t="s">
        <v>262</v>
      </c>
      <c r="P214" s="15" t="s">
        <v>341</v>
      </c>
      <c r="Q214" s="15" t="s">
        <v>8397</v>
      </c>
      <c r="R214" s="109"/>
      <c r="S214" s="109"/>
      <c r="T214" s="112"/>
      <c r="U214" s="112"/>
      <c r="V214" s="112"/>
      <c r="W214" s="112"/>
    </row>
    <row r="215" spans="1:23" s="2" customFormat="1" ht="12">
      <c r="A215" s="11"/>
      <c r="B215" s="108"/>
      <c r="C215" s="109" t="s">
        <v>2472</v>
      </c>
      <c r="D215" s="14" t="s">
        <v>2473</v>
      </c>
      <c r="E215" s="109" t="s">
        <v>2474</v>
      </c>
      <c r="F215" s="112" t="s">
        <v>2475</v>
      </c>
      <c r="G215" s="113" t="s">
        <v>2476</v>
      </c>
      <c r="H215" s="109" t="s">
        <v>2477</v>
      </c>
      <c r="I215" s="109" t="s">
        <v>2478</v>
      </c>
      <c r="J215" s="113" t="s">
        <v>271</v>
      </c>
      <c r="K215" s="113" t="s">
        <v>248</v>
      </c>
      <c r="L215" s="113" t="s">
        <v>273</v>
      </c>
      <c r="M215" s="113" t="s">
        <v>274</v>
      </c>
      <c r="N215" s="13" t="s">
        <v>2472</v>
      </c>
      <c r="O215" s="15" t="s">
        <v>285</v>
      </c>
      <c r="P215" s="13" t="s">
        <v>2479</v>
      </c>
      <c r="Q215" s="15" t="s">
        <v>2480</v>
      </c>
      <c r="R215" s="109" t="s">
        <v>2481</v>
      </c>
      <c r="S215" s="109" t="s">
        <v>2482</v>
      </c>
      <c r="T215" s="114" t="s">
        <v>2483</v>
      </c>
      <c r="U215" s="114" t="s">
        <v>2484</v>
      </c>
      <c r="V215" s="112" t="s">
        <v>2485</v>
      </c>
      <c r="W215" s="112" t="s">
        <v>2486</v>
      </c>
    </row>
    <row r="216" spans="1:23" s="2" customFormat="1" ht="12">
      <c r="A216" s="11"/>
      <c r="B216" s="108"/>
      <c r="C216" s="109"/>
      <c r="D216" s="14" t="str">
        <f t="shared" ref="D216:D226" si="11">D215</f>
        <v>ofo小黄车</v>
      </c>
      <c r="E216" s="109"/>
      <c r="F216" s="112"/>
      <c r="G216" s="109"/>
      <c r="H216" s="109"/>
      <c r="I216" s="109"/>
      <c r="J216" s="109"/>
      <c r="K216" s="109"/>
      <c r="L216" s="109"/>
      <c r="M216" s="109"/>
      <c r="N216" s="13" t="s">
        <v>8398</v>
      </c>
      <c r="O216" s="15" t="s">
        <v>285</v>
      </c>
      <c r="P216" s="13" t="s">
        <v>2487</v>
      </c>
      <c r="Q216" s="15" t="s">
        <v>240</v>
      </c>
      <c r="R216" s="109"/>
      <c r="S216" s="109"/>
      <c r="T216" s="112"/>
      <c r="U216" s="112"/>
      <c r="V216" s="112"/>
      <c r="W216" s="112"/>
    </row>
    <row r="217" spans="1:23" s="2" customFormat="1" ht="12">
      <c r="A217" s="11"/>
      <c r="B217" s="108"/>
      <c r="C217" s="109"/>
      <c r="D217" s="14" t="str">
        <f t="shared" si="11"/>
        <v>ofo小黄车</v>
      </c>
      <c r="E217" s="109"/>
      <c r="F217" s="112"/>
      <c r="G217" s="109"/>
      <c r="H217" s="109"/>
      <c r="I217" s="109"/>
      <c r="J217" s="109"/>
      <c r="K217" s="109"/>
      <c r="L217" s="109"/>
      <c r="M217" s="109"/>
      <c r="N217" s="13" t="s">
        <v>8399</v>
      </c>
      <c r="O217" s="13" t="s">
        <v>310</v>
      </c>
      <c r="P217" s="13" t="s">
        <v>318</v>
      </c>
      <c r="Q217" s="15" t="s">
        <v>2488</v>
      </c>
      <c r="R217" s="109"/>
      <c r="S217" s="109"/>
      <c r="T217" s="112"/>
      <c r="U217" s="112"/>
      <c r="V217" s="112"/>
      <c r="W217" s="112"/>
    </row>
    <row r="218" spans="1:23" s="2" customFormat="1" ht="12">
      <c r="A218" s="11"/>
      <c r="B218" s="108"/>
      <c r="C218" s="109"/>
      <c r="D218" s="14" t="str">
        <f t="shared" si="11"/>
        <v>ofo小黄车</v>
      </c>
      <c r="E218" s="109"/>
      <c r="F218" s="112"/>
      <c r="G218" s="109"/>
      <c r="H218" s="109"/>
      <c r="I218" s="109"/>
      <c r="J218" s="109"/>
      <c r="K218" s="109"/>
      <c r="L218" s="109"/>
      <c r="M218" s="109"/>
      <c r="N218" s="13" t="s">
        <v>8400</v>
      </c>
      <c r="O218" s="13" t="s">
        <v>315</v>
      </c>
      <c r="P218" s="15" t="s">
        <v>299</v>
      </c>
      <c r="Q218" s="15" t="s">
        <v>2229</v>
      </c>
      <c r="R218" s="109"/>
      <c r="S218" s="109"/>
      <c r="T218" s="112"/>
      <c r="U218" s="112"/>
      <c r="V218" s="112"/>
      <c r="W218" s="112"/>
    </row>
    <row r="219" spans="1:23" s="2" customFormat="1" ht="12">
      <c r="A219" s="11"/>
      <c r="B219" s="108"/>
      <c r="C219" s="109"/>
      <c r="D219" s="14" t="str">
        <f t="shared" si="11"/>
        <v>ofo小黄车</v>
      </c>
      <c r="E219" s="109"/>
      <c r="F219" s="112"/>
      <c r="G219" s="109"/>
      <c r="H219" s="109"/>
      <c r="I219" s="109"/>
      <c r="J219" s="109"/>
      <c r="K219" s="109"/>
      <c r="L219" s="109"/>
      <c r="M219" s="109"/>
      <c r="N219" s="13" t="s">
        <v>8401</v>
      </c>
      <c r="O219" s="13" t="s">
        <v>317</v>
      </c>
      <c r="P219" s="13" t="s">
        <v>2122</v>
      </c>
      <c r="Q219" s="15" t="s">
        <v>2489</v>
      </c>
      <c r="R219" s="109"/>
      <c r="S219" s="109"/>
      <c r="T219" s="112"/>
      <c r="U219" s="112"/>
      <c r="V219" s="112"/>
      <c r="W219" s="112"/>
    </row>
    <row r="220" spans="1:23" s="2" customFormat="1" ht="12">
      <c r="A220" s="11"/>
      <c r="B220" s="108"/>
      <c r="C220" s="109"/>
      <c r="D220" s="14" t="str">
        <f t="shared" si="11"/>
        <v>ofo小黄车</v>
      </c>
      <c r="E220" s="109"/>
      <c r="F220" s="112"/>
      <c r="G220" s="109"/>
      <c r="H220" s="109"/>
      <c r="I220" s="109"/>
      <c r="J220" s="109"/>
      <c r="K220" s="109"/>
      <c r="L220" s="109"/>
      <c r="M220" s="109"/>
      <c r="N220" s="13" t="s">
        <v>8402</v>
      </c>
      <c r="O220" s="13" t="s">
        <v>251</v>
      </c>
      <c r="P220" s="13" t="s">
        <v>2490</v>
      </c>
      <c r="Q220" s="15" t="s">
        <v>2491</v>
      </c>
      <c r="R220" s="109"/>
      <c r="S220" s="109"/>
      <c r="T220" s="112"/>
      <c r="U220" s="112"/>
      <c r="V220" s="112"/>
      <c r="W220" s="112"/>
    </row>
    <row r="221" spans="1:23" s="2" customFormat="1" ht="12">
      <c r="A221" s="11"/>
      <c r="B221" s="108"/>
      <c r="C221" s="109"/>
      <c r="D221" s="14" t="str">
        <f t="shared" si="11"/>
        <v>ofo小黄车</v>
      </c>
      <c r="E221" s="109"/>
      <c r="F221" s="112"/>
      <c r="G221" s="109"/>
      <c r="H221" s="109"/>
      <c r="I221" s="109"/>
      <c r="J221" s="109"/>
      <c r="K221" s="109"/>
      <c r="L221" s="109"/>
      <c r="M221" s="109"/>
      <c r="N221" s="13" t="s">
        <v>4146</v>
      </c>
      <c r="O221" s="13" t="s">
        <v>565</v>
      </c>
      <c r="P221" s="15" t="s">
        <v>258</v>
      </c>
      <c r="Q221" s="15" t="s">
        <v>266</v>
      </c>
      <c r="R221" s="109"/>
      <c r="S221" s="109"/>
      <c r="T221" s="112"/>
      <c r="U221" s="112"/>
      <c r="V221" s="112"/>
      <c r="W221" s="112"/>
    </row>
    <row r="222" spans="1:23" s="2" customFormat="1" ht="12">
      <c r="A222" s="11"/>
      <c r="B222" s="108"/>
      <c r="C222" s="109"/>
      <c r="D222" s="14" t="str">
        <f t="shared" si="11"/>
        <v>ofo小黄车</v>
      </c>
      <c r="E222" s="109"/>
      <c r="F222" s="112"/>
      <c r="G222" s="109"/>
      <c r="H222" s="109"/>
      <c r="I222" s="109"/>
      <c r="J222" s="109"/>
      <c r="K222" s="109"/>
      <c r="L222" s="109"/>
      <c r="M222" s="109"/>
      <c r="N222" s="13" t="s">
        <v>8403</v>
      </c>
      <c r="O222" s="13" t="s">
        <v>257</v>
      </c>
      <c r="P222" s="15" t="s">
        <v>258</v>
      </c>
      <c r="Q222" s="15" t="s">
        <v>2492</v>
      </c>
      <c r="R222" s="109"/>
      <c r="S222" s="109"/>
      <c r="T222" s="112"/>
      <c r="U222" s="112"/>
      <c r="V222" s="112"/>
      <c r="W222" s="112"/>
    </row>
    <row r="223" spans="1:23" s="2" customFormat="1" ht="12">
      <c r="A223" s="11"/>
      <c r="B223" s="108"/>
      <c r="C223" s="109"/>
      <c r="D223" s="14" t="str">
        <f t="shared" si="11"/>
        <v>ofo小黄车</v>
      </c>
      <c r="E223" s="109"/>
      <c r="F223" s="112"/>
      <c r="G223" s="109"/>
      <c r="H223" s="109"/>
      <c r="I223" s="109"/>
      <c r="J223" s="109"/>
      <c r="K223" s="109"/>
      <c r="L223" s="109"/>
      <c r="M223" s="109"/>
      <c r="N223" s="13" t="s">
        <v>8299</v>
      </c>
      <c r="O223" s="13" t="s">
        <v>260</v>
      </c>
      <c r="P223" s="13" t="s">
        <v>360</v>
      </c>
      <c r="Q223" s="15" t="s">
        <v>2493</v>
      </c>
      <c r="R223" s="109"/>
      <c r="S223" s="109"/>
      <c r="T223" s="112"/>
      <c r="U223" s="112"/>
      <c r="V223" s="112"/>
      <c r="W223" s="112"/>
    </row>
    <row r="224" spans="1:23" s="2" customFormat="1" ht="12">
      <c r="A224" s="11"/>
      <c r="B224" s="108"/>
      <c r="C224" s="109"/>
      <c r="D224" s="14" t="str">
        <f t="shared" si="11"/>
        <v>ofo小黄车</v>
      </c>
      <c r="E224" s="109"/>
      <c r="F224" s="112"/>
      <c r="G224" s="109"/>
      <c r="H224" s="109"/>
      <c r="I224" s="109"/>
      <c r="J224" s="109"/>
      <c r="K224" s="109"/>
      <c r="L224" s="109"/>
      <c r="M224" s="109"/>
      <c r="N224" s="13" t="s">
        <v>8404</v>
      </c>
      <c r="O224" s="13" t="s">
        <v>262</v>
      </c>
      <c r="P224" s="13" t="s">
        <v>2494</v>
      </c>
      <c r="Q224" s="15" t="s">
        <v>2495</v>
      </c>
      <c r="R224" s="109"/>
      <c r="S224" s="109"/>
      <c r="T224" s="112"/>
      <c r="U224" s="112"/>
      <c r="V224" s="112"/>
      <c r="W224" s="112"/>
    </row>
    <row r="225" spans="1:23" s="2" customFormat="1" ht="12">
      <c r="A225" s="11"/>
      <c r="B225" s="108"/>
      <c r="C225" s="109"/>
      <c r="D225" s="14" t="str">
        <f t="shared" si="11"/>
        <v>ofo小黄车</v>
      </c>
      <c r="E225" s="109"/>
      <c r="F225" s="112"/>
      <c r="G225" s="109"/>
      <c r="H225" s="109"/>
      <c r="I225" s="109"/>
      <c r="J225" s="109"/>
      <c r="K225" s="109"/>
      <c r="L225" s="109"/>
      <c r="M225" s="109"/>
      <c r="N225" s="13" t="s">
        <v>8405</v>
      </c>
      <c r="O225" s="13" t="s">
        <v>721</v>
      </c>
      <c r="P225" s="13" t="s">
        <v>2374</v>
      </c>
      <c r="Q225" s="15" t="s">
        <v>2496</v>
      </c>
      <c r="R225" s="109"/>
      <c r="S225" s="109"/>
      <c r="T225" s="112"/>
      <c r="U225" s="112"/>
      <c r="V225" s="112"/>
      <c r="W225" s="112"/>
    </row>
    <row r="226" spans="1:23" s="2" customFormat="1" ht="12">
      <c r="A226" s="11"/>
      <c r="B226" s="108"/>
      <c r="C226" s="109"/>
      <c r="D226" s="14" t="str">
        <f t="shared" si="11"/>
        <v>ofo小黄车</v>
      </c>
      <c r="E226" s="109"/>
      <c r="F226" s="112"/>
      <c r="G226" s="109"/>
      <c r="H226" s="109"/>
      <c r="I226" s="109"/>
      <c r="J226" s="109"/>
      <c r="K226" s="109"/>
      <c r="L226" s="109"/>
      <c r="M226" s="109"/>
      <c r="N226" s="13" t="s">
        <v>8406</v>
      </c>
      <c r="O226" s="15" t="s">
        <v>326</v>
      </c>
      <c r="P226" s="15" t="s">
        <v>327</v>
      </c>
      <c r="Q226" s="15" t="s">
        <v>2497</v>
      </c>
      <c r="R226" s="109"/>
      <c r="S226" s="109"/>
      <c r="T226" s="112"/>
      <c r="U226" s="112"/>
      <c r="V226" s="112"/>
      <c r="W226" s="112"/>
    </row>
    <row r="227" spans="1:23" s="2" customFormat="1" ht="12">
      <c r="A227" s="11"/>
      <c r="B227" s="108"/>
      <c r="C227" s="109" t="s">
        <v>8407</v>
      </c>
      <c r="D227" s="14" t="s">
        <v>8408</v>
      </c>
      <c r="E227" s="113" t="s">
        <v>8408</v>
      </c>
      <c r="F227" s="114" t="s">
        <v>8409</v>
      </c>
      <c r="G227" s="113" t="s">
        <v>8410</v>
      </c>
      <c r="H227" s="109" t="s">
        <v>8411</v>
      </c>
      <c r="I227" s="109" t="s">
        <v>2710</v>
      </c>
      <c r="J227" s="113" t="s">
        <v>1041</v>
      </c>
      <c r="K227" s="113" t="s">
        <v>272</v>
      </c>
      <c r="L227" s="113" t="s">
        <v>1859</v>
      </c>
      <c r="M227" s="113" t="s">
        <v>4452</v>
      </c>
      <c r="N227" s="13" t="s">
        <v>8407</v>
      </c>
      <c r="O227" s="13" t="s">
        <v>283</v>
      </c>
      <c r="P227" s="13" t="s">
        <v>8412</v>
      </c>
      <c r="Q227" s="13" t="s">
        <v>253</v>
      </c>
      <c r="R227" s="109" t="s">
        <v>8413</v>
      </c>
      <c r="S227" s="109" t="s">
        <v>8414</v>
      </c>
      <c r="T227" s="114" t="s">
        <v>8415</v>
      </c>
      <c r="U227" s="114" t="s">
        <v>8416</v>
      </c>
      <c r="V227" s="112" t="s">
        <v>8417</v>
      </c>
      <c r="W227" s="112" t="s">
        <v>8418</v>
      </c>
    </row>
    <row r="228" spans="1:23" s="2" customFormat="1" ht="12">
      <c r="A228" s="11"/>
      <c r="B228" s="108"/>
      <c r="C228" s="109"/>
      <c r="D228" s="14" t="str">
        <f>D227</f>
        <v>众安保险</v>
      </c>
      <c r="E228" s="109"/>
      <c r="F228" s="112"/>
      <c r="G228" s="109"/>
      <c r="H228" s="109"/>
      <c r="I228" s="109"/>
      <c r="J228" s="109"/>
      <c r="K228" s="109"/>
      <c r="L228" s="109"/>
      <c r="M228" s="109"/>
      <c r="N228" s="13" t="s">
        <v>7902</v>
      </c>
      <c r="O228" s="13" t="s">
        <v>262</v>
      </c>
      <c r="P228" s="13" t="s">
        <v>8419</v>
      </c>
      <c r="Q228" s="15" t="s">
        <v>8420</v>
      </c>
      <c r="R228" s="109"/>
      <c r="S228" s="109"/>
      <c r="T228" s="112"/>
      <c r="U228" s="112"/>
      <c r="V228" s="112"/>
      <c r="W228" s="112"/>
    </row>
    <row r="229" spans="1:23" s="2" customFormat="1" ht="12">
      <c r="A229" s="11"/>
      <c r="B229" s="108"/>
      <c r="C229" s="109"/>
      <c r="D229" s="14" t="str">
        <f>D228</f>
        <v>众安保险</v>
      </c>
      <c r="E229" s="109"/>
      <c r="F229" s="112"/>
      <c r="G229" s="109"/>
      <c r="H229" s="109"/>
      <c r="I229" s="109"/>
      <c r="J229" s="109"/>
      <c r="K229" s="109"/>
      <c r="L229" s="109"/>
      <c r="M229" s="109"/>
      <c r="N229" s="13" t="s">
        <v>8421</v>
      </c>
      <c r="O229" s="15" t="s">
        <v>326</v>
      </c>
      <c r="P229" s="15" t="s">
        <v>252</v>
      </c>
      <c r="Q229" s="15" t="s">
        <v>8422</v>
      </c>
      <c r="R229" s="109"/>
      <c r="S229" s="109"/>
      <c r="T229" s="112"/>
      <c r="U229" s="112"/>
      <c r="V229" s="112"/>
      <c r="W229" s="112"/>
    </row>
    <row r="230" spans="1:23" s="2" customFormat="1" ht="12">
      <c r="A230" s="11"/>
      <c r="B230" s="108"/>
      <c r="C230" s="109" t="s">
        <v>8423</v>
      </c>
      <c r="D230" s="14" t="s">
        <v>8424</v>
      </c>
      <c r="E230" s="113" t="s">
        <v>8424</v>
      </c>
      <c r="F230" s="114" t="s">
        <v>8425</v>
      </c>
      <c r="G230" s="113" t="s">
        <v>8426</v>
      </c>
      <c r="H230" s="109" t="s">
        <v>8427</v>
      </c>
      <c r="I230" s="109" t="s">
        <v>3250</v>
      </c>
      <c r="J230" s="113" t="s">
        <v>406</v>
      </c>
      <c r="K230" s="113" t="s">
        <v>272</v>
      </c>
      <c r="L230" s="113" t="s">
        <v>1859</v>
      </c>
      <c r="M230" s="113" t="s">
        <v>2900</v>
      </c>
      <c r="N230" s="13" t="s">
        <v>8423</v>
      </c>
      <c r="O230" s="13" t="s">
        <v>257</v>
      </c>
      <c r="P230" s="15" t="s">
        <v>409</v>
      </c>
      <c r="Q230" s="15" t="s">
        <v>2229</v>
      </c>
      <c r="R230" s="109" t="s">
        <v>8428</v>
      </c>
      <c r="S230" s="109" t="s">
        <v>8429</v>
      </c>
      <c r="T230" s="114" t="s">
        <v>8430</v>
      </c>
      <c r="U230" s="114" t="s">
        <v>8431</v>
      </c>
      <c r="V230" s="112" t="s">
        <v>8432</v>
      </c>
      <c r="W230" s="112" t="s">
        <v>8433</v>
      </c>
    </row>
    <row r="231" spans="1:23" s="2" customFormat="1" ht="12">
      <c r="A231" s="11"/>
      <c r="B231" s="108"/>
      <c r="C231" s="109"/>
      <c r="D231" s="14" t="str">
        <f>D230</f>
        <v>二维火</v>
      </c>
      <c r="E231" s="109"/>
      <c r="F231" s="112"/>
      <c r="G231" s="109"/>
      <c r="H231" s="109"/>
      <c r="I231" s="109"/>
      <c r="J231" s="109"/>
      <c r="K231" s="109"/>
      <c r="L231" s="109"/>
      <c r="M231" s="109"/>
      <c r="N231" s="13" t="s">
        <v>8434</v>
      </c>
      <c r="O231" s="13" t="s">
        <v>262</v>
      </c>
      <c r="P231" s="15" t="s">
        <v>341</v>
      </c>
      <c r="Q231" s="15" t="s">
        <v>8435</v>
      </c>
      <c r="R231" s="109"/>
      <c r="S231" s="109"/>
      <c r="T231" s="112"/>
      <c r="U231" s="112"/>
      <c r="V231" s="112"/>
      <c r="W231" s="112"/>
    </row>
    <row r="232" spans="1:23" s="2" customFormat="1" ht="12">
      <c r="A232" s="11"/>
      <c r="B232" s="108"/>
      <c r="C232" s="109"/>
      <c r="D232" s="14" t="str">
        <f>D231</f>
        <v>二维火</v>
      </c>
      <c r="E232" s="109"/>
      <c r="F232" s="112"/>
      <c r="G232" s="109"/>
      <c r="H232" s="109"/>
      <c r="I232" s="109"/>
      <c r="J232" s="109"/>
      <c r="K232" s="109"/>
      <c r="L232" s="109"/>
      <c r="M232" s="109"/>
      <c r="N232" s="13" t="s">
        <v>8436</v>
      </c>
      <c r="O232" s="15" t="s">
        <v>326</v>
      </c>
      <c r="P232" s="15" t="s">
        <v>327</v>
      </c>
      <c r="Q232" s="15" t="s">
        <v>540</v>
      </c>
      <c r="R232" s="109"/>
      <c r="S232" s="109"/>
      <c r="T232" s="112"/>
      <c r="U232" s="112"/>
      <c r="V232" s="112"/>
      <c r="W232" s="112"/>
    </row>
    <row r="233" spans="1:23" s="2" customFormat="1" ht="12">
      <c r="A233" s="11"/>
      <c r="B233" s="108"/>
      <c r="C233" s="109" t="s">
        <v>555</v>
      </c>
      <c r="D233" s="14" t="s">
        <v>8437</v>
      </c>
      <c r="E233" s="109" t="s">
        <v>8437</v>
      </c>
      <c r="F233" s="112" t="s">
        <v>8438</v>
      </c>
      <c r="G233" s="113" t="s">
        <v>8439</v>
      </c>
      <c r="H233" s="109" t="s">
        <v>8440</v>
      </c>
      <c r="I233" s="109" t="s">
        <v>2773</v>
      </c>
      <c r="J233" s="113" t="s">
        <v>1192</v>
      </c>
      <c r="K233" s="113" t="s">
        <v>248</v>
      </c>
      <c r="L233" s="113" t="s">
        <v>1859</v>
      </c>
      <c r="M233" s="113" t="s">
        <v>2900</v>
      </c>
      <c r="N233" s="13" t="s">
        <v>555</v>
      </c>
      <c r="O233" s="13" t="s">
        <v>251</v>
      </c>
      <c r="P233" s="15" t="s">
        <v>258</v>
      </c>
      <c r="Q233" s="15" t="s">
        <v>8441</v>
      </c>
      <c r="R233" s="109" t="s">
        <v>8442</v>
      </c>
      <c r="S233" s="109" t="s">
        <v>551</v>
      </c>
      <c r="T233" s="114" t="s">
        <v>8443</v>
      </c>
      <c r="U233" s="114" t="s">
        <v>8444</v>
      </c>
      <c r="V233" s="112" t="s">
        <v>8445</v>
      </c>
      <c r="W233" s="112" t="s">
        <v>8446</v>
      </c>
    </row>
    <row r="234" spans="1:23" s="2" customFormat="1" ht="12">
      <c r="A234" s="11"/>
      <c r="B234" s="108"/>
      <c r="C234" s="109"/>
      <c r="D234" s="14" t="str">
        <f>D233</f>
        <v>BLUE Mobile</v>
      </c>
      <c r="E234" s="109"/>
      <c r="F234" s="112"/>
      <c r="G234" s="109"/>
      <c r="H234" s="109"/>
      <c r="I234" s="109"/>
      <c r="J234" s="109"/>
      <c r="K234" s="109"/>
      <c r="L234" s="109"/>
      <c r="M234" s="109"/>
      <c r="N234" s="13" t="s">
        <v>3872</v>
      </c>
      <c r="O234" s="13" t="s">
        <v>257</v>
      </c>
      <c r="P234" s="13" t="s">
        <v>337</v>
      </c>
      <c r="Q234" s="15" t="s">
        <v>8447</v>
      </c>
      <c r="R234" s="109"/>
      <c r="S234" s="109"/>
      <c r="T234" s="112"/>
      <c r="U234" s="112"/>
      <c r="V234" s="112"/>
      <c r="W234" s="112"/>
    </row>
    <row r="235" spans="1:23" s="2" customFormat="1" ht="12">
      <c r="A235" s="11"/>
      <c r="B235" s="108"/>
      <c r="C235" s="109"/>
      <c r="D235" s="14" t="str">
        <f>D234</f>
        <v>BLUE Mobile</v>
      </c>
      <c r="E235" s="109"/>
      <c r="F235" s="112"/>
      <c r="G235" s="109"/>
      <c r="H235" s="109"/>
      <c r="I235" s="109"/>
      <c r="J235" s="109"/>
      <c r="K235" s="109"/>
      <c r="L235" s="109"/>
      <c r="M235" s="109"/>
      <c r="N235" s="13" t="s">
        <v>3996</v>
      </c>
      <c r="O235" s="13" t="s">
        <v>262</v>
      </c>
      <c r="P235" s="15" t="s">
        <v>261</v>
      </c>
      <c r="Q235" s="15" t="s">
        <v>8448</v>
      </c>
      <c r="R235" s="109"/>
      <c r="S235" s="109"/>
      <c r="T235" s="112"/>
      <c r="U235" s="112"/>
      <c r="V235" s="112"/>
      <c r="W235" s="112"/>
    </row>
    <row r="236" spans="1:23" s="2" customFormat="1" ht="12">
      <c r="A236" s="11"/>
      <c r="B236" s="108"/>
      <c r="C236" s="109"/>
      <c r="D236" s="14" t="str">
        <f>D235</f>
        <v>BLUE Mobile</v>
      </c>
      <c r="E236" s="109"/>
      <c r="F236" s="112"/>
      <c r="G236" s="109"/>
      <c r="H236" s="109"/>
      <c r="I236" s="109"/>
      <c r="J236" s="109"/>
      <c r="K236" s="109"/>
      <c r="L236" s="109"/>
      <c r="M236" s="109"/>
      <c r="N236" s="13" t="s">
        <v>8449</v>
      </c>
      <c r="O236" s="13" t="s">
        <v>262</v>
      </c>
      <c r="P236" s="15" t="s">
        <v>258</v>
      </c>
      <c r="Q236" s="15" t="s">
        <v>8450</v>
      </c>
      <c r="R236" s="109"/>
      <c r="S236" s="109"/>
      <c r="T236" s="112"/>
      <c r="U236" s="112"/>
      <c r="V236" s="112"/>
      <c r="W236" s="112"/>
    </row>
    <row r="237" spans="1:23" s="2" customFormat="1" ht="12">
      <c r="A237" s="11"/>
      <c r="B237" s="108"/>
      <c r="C237" s="109"/>
      <c r="D237" s="14" t="str">
        <f>D236</f>
        <v>BLUE Mobile</v>
      </c>
      <c r="E237" s="109"/>
      <c r="F237" s="112"/>
      <c r="G237" s="109"/>
      <c r="H237" s="109"/>
      <c r="I237" s="109"/>
      <c r="J237" s="109"/>
      <c r="K237" s="109"/>
      <c r="L237" s="109"/>
      <c r="M237" s="109"/>
      <c r="N237" s="13" t="s">
        <v>2752</v>
      </c>
      <c r="O237" s="15" t="s">
        <v>326</v>
      </c>
      <c r="P237" s="15" t="s">
        <v>327</v>
      </c>
      <c r="Q237" s="15" t="s">
        <v>8451</v>
      </c>
      <c r="R237" s="109"/>
      <c r="S237" s="109"/>
      <c r="T237" s="112"/>
      <c r="U237" s="112"/>
      <c r="V237" s="112"/>
      <c r="W237" s="112"/>
    </row>
    <row r="238" spans="1:23" s="2" customFormat="1" ht="12">
      <c r="A238" s="11"/>
      <c r="B238" s="108"/>
      <c r="C238" s="109" t="s">
        <v>8452</v>
      </c>
      <c r="D238" s="14" t="s">
        <v>8453</v>
      </c>
      <c r="E238" s="113" t="s">
        <v>8453</v>
      </c>
      <c r="F238" s="114" t="s">
        <v>8454</v>
      </c>
      <c r="G238" s="113" t="s">
        <v>8455</v>
      </c>
      <c r="H238" s="109" t="s">
        <v>8456</v>
      </c>
      <c r="I238" s="109" t="s">
        <v>2478</v>
      </c>
      <c r="J238" s="113" t="s">
        <v>271</v>
      </c>
      <c r="K238" s="113" t="s">
        <v>272</v>
      </c>
      <c r="L238" s="113" t="s">
        <v>273</v>
      </c>
      <c r="M238" s="113" t="s">
        <v>274</v>
      </c>
      <c r="N238" s="13" t="s">
        <v>8452</v>
      </c>
      <c r="O238" s="13" t="s">
        <v>565</v>
      </c>
      <c r="P238" s="15" t="s">
        <v>252</v>
      </c>
      <c r="Q238" s="15" t="s">
        <v>8457</v>
      </c>
      <c r="R238" s="109" t="s">
        <v>2868</v>
      </c>
      <c r="S238" s="113" t="s">
        <v>255</v>
      </c>
      <c r="T238" s="114" t="s">
        <v>8458</v>
      </c>
      <c r="U238" s="114" t="s">
        <v>8459</v>
      </c>
      <c r="V238" s="112" t="s">
        <v>8460</v>
      </c>
      <c r="W238" s="112" t="s">
        <v>8461</v>
      </c>
    </row>
    <row r="239" spans="1:23" s="2" customFormat="1" ht="12">
      <c r="A239" s="11"/>
      <c r="B239" s="108"/>
      <c r="C239" s="109"/>
      <c r="D239" s="14" t="str">
        <f>D238</f>
        <v>停简单</v>
      </c>
      <c r="E239" s="109"/>
      <c r="F239" s="112"/>
      <c r="G239" s="109"/>
      <c r="H239" s="109"/>
      <c r="I239" s="109"/>
      <c r="J239" s="109"/>
      <c r="K239" s="109"/>
      <c r="L239" s="109"/>
      <c r="M239" s="109"/>
      <c r="N239" s="13" t="s">
        <v>8106</v>
      </c>
      <c r="O239" s="13" t="s">
        <v>257</v>
      </c>
      <c r="P239" s="15" t="s">
        <v>409</v>
      </c>
      <c r="Q239" s="15" t="s">
        <v>8462</v>
      </c>
      <c r="R239" s="109"/>
      <c r="S239" s="109"/>
      <c r="T239" s="112"/>
      <c r="U239" s="112"/>
      <c r="V239" s="112"/>
      <c r="W239" s="112"/>
    </row>
    <row r="240" spans="1:23" s="2" customFormat="1" ht="12">
      <c r="A240" s="11"/>
      <c r="B240" s="108"/>
      <c r="C240" s="109"/>
      <c r="D240" s="14" t="str">
        <f>D239</f>
        <v>停简单</v>
      </c>
      <c r="E240" s="109"/>
      <c r="F240" s="112"/>
      <c r="G240" s="109"/>
      <c r="H240" s="109"/>
      <c r="I240" s="109"/>
      <c r="J240" s="109"/>
      <c r="K240" s="109"/>
      <c r="L240" s="109"/>
      <c r="M240" s="109"/>
      <c r="N240" s="13" t="s">
        <v>8463</v>
      </c>
      <c r="O240" s="13" t="s">
        <v>262</v>
      </c>
      <c r="P240" s="13" t="s">
        <v>458</v>
      </c>
      <c r="Q240" s="15" t="s">
        <v>8464</v>
      </c>
      <c r="R240" s="109"/>
      <c r="S240" s="109"/>
      <c r="T240" s="112"/>
      <c r="U240" s="112"/>
      <c r="V240" s="112"/>
      <c r="W240" s="112"/>
    </row>
    <row r="241" spans="1:23" s="2" customFormat="1" ht="12">
      <c r="A241" s="11"/>
      <c r="B241" s="108"/>
      <c r="C241" s="109"/>
      <c r="D241" s="14" t="str">
        <f>D240</f>
        <v>停简单</v>
      </c>
      <c r="E241" s="109"/>
      <c r="F241" s="112"/>
      <c r="G241" s="109"/>
      <c r="H241" s="109"/>
      <c r="I241" s="109"/>
      <c r="J241" s="109"/>
      <c r="K241" s="109"/>
      <c r="L241" s="109"/>
      <c r="M241" s="109"/>
      <c r="N241" s="13" t="s">
        <v>8465</v>
      </c>
      <c r="O241" s="15" t="s">
        <v>326</v>
      </c>
      <c r="P241" s="15" t="s">
        <v>261</v>
      </c>
      <c r="Q241" s="15" t="s">
        <v>8464</v>
      </c>
      <c r="R241" s="109"/>
      <c r="S241" s="109"/>
      <c r="T241" s="112"/>
      <c r="U241" s="112"/>
      <c r="V241" s="112"/>
      <c r="W241" s="112"/>
    </row>
    <row r="242" spans="1:23" s="2" customFormat="1" ht="12">
      <c r="A242" s="11"/>
      <c r="B242" s="108"/>
      <c r="C242" s="109" t="s">
        <v>8466</v>
      </c>
      <c r="D242" s="14" t="s">
        <v>8467</v>
      </c>
      <c r="E242" s="109" t="s">
        <v>8467</v>
      </c>
      <c r="F242" s="112" t="s">
        <v>8468</v>
      </c>
      <c r="G242" s="113" t="s">
        <v>8469</v>
      </c>
      <c r="H242" s="109" t="s">
        <v>8470</v>
      </c>
      <c r="I242" s="109" t="s">
        <v>4424</v>
      </c>
      <c r="J242" s="113" t="s">
        <v>1192</v>
      </c>
      <c r="K242" s="113" t="s">
        <v>272</v>
      </c>
      <c r="L242" s="113" t="s">
        <v>1859</v>
      </c>
      <c r="M242" s="113" t="s">
        <v>8205</v>
      </c>
      <c r="N242" s="13" t="s">
        <v>8466</v>
      </c>
      <c r="O242" s="15" t="s">
        <v>285</v>
      </c>
      <c r="P242" s="13" t="s">
        <v>792</v>
      </c>
      <c r="Q242" s="13" t="s">
        <v>8471</v>
      </c>
      <c r="R242" s="109" t="s">
        <v>8472</v>
      </c>
      <c r="S242" s="109" t="s">
        <v>2482</v>
      </c>
      <c r="T242" s="114" t="s">
        <v>8473</v>
      </c>
      <c r="U242" s="114" t="s">
        <v>8474</v>
      </c>
      <c r="V242" s="112"/>
      <c r="W242" s="112" t="s">
        <v>8475</v>
      </c>
    </row>
    <row r="243" spans="1:23" s="2" customFormat="1" ht="12">
      <c r="A243" s="11"/>
      <c r="B243" s="108"/>
      <c r="C243" s="109"/>
      <c r="D243" s="14" t="str">
        <f t="shared" ref="D243:D248" si="12">D242</f>
        <v>Akulaku</v>
      </c>
      <c r="E243" s="109"/>
      <c r="F243" s="112"/>
      <c r="G243" s="109"/>
      <c r="H243" s="109"/>
      <c r="I243" s="109"/>
      <c r="J243" s="109"/>
      <c r="K243" s="109"/>
      <c r="L243" s="109"/>
      <c r="M243" s="109"/>
      <c r="N243" s="13" t="s">
        <v>3655</v>
      </c>
      <c r="O243" s="13" t="s">
        <v>317</v>
      </c>
      <c r="P243" s="13" t="s">
        <v>337</v>
      </c>
      <c r="Q243" s="13" t="s">
        <v>8476</v>
      </c>
      <c r="R243" s="109"/>
      <c r="S243" s="109"/>
      <c r="T243" s="112"/>
      <c r="U243" s="112"/>
      <c r="V243" s="112"/>
      <c r="W243" s="112"/>
    </row>
    <row r="244" spans="1:23" s="2" customFormat="1" ht="12">
      <c r="A244" s="11"/>
      <c r="B244" s="108"/>
      <c r="C244" s="109"/>
      <c r="D244" s="14" t="str">
        <f t="shared" si="12"/>
        <v>Akulaku</v>
      </c>
      <c r="E244" s="109"/>
      <c r="F244" s="112"/>
      <c r="G244" s="109"/>
      <c r="H244" s="109"/>
      <c r="I244" s="109"/>
      <c r="J244" s="109"/>
      <c r="K244" s="109"/>
      <c r="L244" s="109"/>
      <c r="M244" s="109"/>
      <c r="N244" s="13" t="s">
        <v>4515</v>
      </c>
      <c r="O244" s="13" t="s">
        <v>317</v>
      </c>
      <c r="P244" s="13" t="s">
        <v>320</v>
      </c>
      <c r="Q244" s="15" t="s">
        <v>2229</v>
      </c>
      <c r="R244" s="109"/>
      <c r="S244" s="109"/>
      <c r="T244" s="112"/>
      <c r="U244" s="112"/>
      <c r="V244" s="112"/>
      <c r="W244" s="112"/>
    </row>
    <row r="245" spans="1:23" s="2" customFormat="1" ht="12">
      <c r="A245" s="11"/>
      <c r="B245" s="108"/>
      <c r="C245" s="109"/>
      <c r="D245" s="14" t="str">
        <f t="shared" si="12"/>
        <v>Akulaku</v>
      </c>
      <c r="E245" s="109"/>
      <c r="F245" s="112"/>
      <c r="G245" s="109"/>
      <c r="H245" s="109"/>
      <c r="I245" s="109"/>
      <c r="J245" s="109"/>
      <c r="K245" s="109"/>
      <c r="L245" s="109"/>
      <c r="M245" s="109"/>
      <c r="N245" s="13" t="s">
        <v>8477</v>
      </c>
      <c r="O245" s="13" t="s">
        <v>251</v>
      </c>
      <c r="P245" s="13" t="s">
        <v>1890</v>
      </c>
      <c r="Q245" s="15" t="s">
        <v>8478</v>
      </c>
      <c r="R245" s="109"/>
      <c r="S245" s="109"/>
      <c r="T245" s="112"/>
      <c r="U245" s="112"/>
      <c r="V245" s="112"/>
      <c r="W245" s="112"/>
    </row>
    <row r="246" spans="1:23" s="2" customFormat="1" ht="12">
      <c r="A246" s="11"/>
      <c r="B246" s="108"/>
      <c r="C246" s="109"/>
      <c r="D246" s="14" t="str">
        <f t="shared" si="12"/>
        <v>Akulaku</v>
      </c>
      <c r="E246" s="109"/>
      <c r="F246" s="112"/>
      <c r="G246" s="109"/>
      <c r="H246" s="109"/>
      <c r="I246" s="109"/>
      <c r="J246" s="109"/>
      <c r="K246" s="109"/>
      <c r="L246" s="109"/>
      <c r="M246" s="109"/>
      <c r="N246" s="13" t="s">
        <v>8479</v>
      </c>
      <c r="O246" s="13" t="s">
        <v>257</v>
      </c>
      <c r="P246" s="13" t="s">
        <v>805</v>
      </c>
      <c r="Q246" s="13" t="s">
        <v>8480</v>
      </c>
      <c r="R246" s="109"/>
      <c r="S246" s="109"/>
      <c r="T246" s="112"/>
      <c r="U246" s="112"/>
      <c r="V246" s="112"/>
      <c r="W246" s="112"/>
    </row>
    <row r="247" spans="1:23" s="2" customFormat="1" ht="12">
      <c r="A247" s="11"/>
      <c r="B247" s="108"/>
      <c r="C247" s="109"/>
      <c r="D247" s="14" t="str">
        <f t="shared" si="12"/>
        <v>Akulaku</v>
      </c>
      <c r="E247" s="109"/>
      <c r="F247" s="112"/>
      <c r="G247" s="109"/>
      <c r="H247" s="109"/>
      <c r="I247" s="109"/>
      <c r="J247" s="109"/>
      <c r="K247" s="109"/>
      <c r="L247" s="109"/>
      <c r="M247" s="109"/>
      <c r="N247" s="13" t="s">
        <v>8481</v>
      </c>
      <c r="O247" s="13" t="s">
        <v>262</v>
      </c>
      <c r="P247" s="13" t="s">
        <v>897</v>
      </c>
      <c r="Q247" s="15" t="s">
        <v>8482</v>
      </c>
      <c r="R247" s="109"/>
      <c r="S247" s="109"/>
      <c r="T247" s="112"/>
      <c r="U247" s="112"/>
      <c r="V247" s="112"/>
      <c r="W247" s="112"/>
    </row>
    <row r="248" spans="1:23" s="2" customFormat="1" ht="12">
      <c r="A248" s="11"/>
      <c r="B248" s="108"/>
      <c r="C248" s="109"/>
      <c r="D248" s="14" t="str">
        <f t="shared" si="12"/>
        <v>Akulaku</v>
      </c>
      <c r="E248" s="109"/>
      <c r="F248" s="112"/>
      <c r="G248" s="109"/>
      <c r="H248" s="109"/>
      <c r="I248" s="109"/>
      <c r="J248" s="109"/>
      <c r="K248" s="109"/>
      <c r="L248" s="109"/>
      <c r="M248" s="109"/>
      <c r="N248" s="13" t="s">
        <v>8483</v>
      </c>
      <c r="O248" s="13" t="s">
        <v>721</v>
      </c>
      <c r="P248" s="13" t="s">
        <v>337</v>
      </c>
      <c r="Q248" s="13" t="s">
        <v>8484</v>
      </c>
      <c r="R248" s="109"/>
      <c r="S248" s="109"/>
      <c r="T248" s="112"/>
      <c r="U248" s="112"/>
      <c r="V248" s="112"/>
      <c r="W248" s="112"/>
    </row>
    <row r="249" spans="1:23" s="2" customFormat="1" ht="12">
      <c r="A249" s="11"/>
      <c r="B249" s="108"/>
      <c r="C249" s="109" t="s">
        <v>8485</v>
      </c>
      <c r="D249" s="14" t="s">
        <v>8486</v>
      </c>
      <c r="E249" s="113" t="s">
        <v>8486</v>
      </c>
      <c r="F249" s="114" t="s">
        <v>8487</v>
      </c>
      <c r="G249" s="113" t="s">
        <v>8488</v>
      </c>
      <c r="H249" s="109" t="s">
        <v>8489</v>
      </c>
      <c r="I249" s="109" t="s">
        <v>2787</v>
      </c>
      <c r="J249" s="113" t="s">
        <v>385</v>
      </c>
      <c r="K249" s="113" t="s">
        <v>272</v>
      </c>
      <c r="L249" s="113" t="s">
        <v>407</v>
      </c>
      <c r="M249" s="113" t="s">
        <v>3933</v>
      </c>
      <c r="N249" s="13" t="s">
        <v>8485</v>
      </c>
      <c r="O249" s="13" t="s">
        <v>257</v>
      </c>
      <c r="P249" s="15" t="s">
        <v>409</v>
      </c>
      <c r="Q249" s="15" t="s">
        <v>8490</v>
      </c>
      <c r="R249" s="109" t="s">
        <v>8491</v>
      </c>
      <c r="S249" s="109" t="s">
        <v>412</v>
      </c>
      <c r="T249" s="114" t="s">
        <v>8492</v>
      </c>
      <c r="U249" s="114" t="s">
        <v>8493</v>
      </c>
      <c r="V249" s="112" t="s">
        <v>8494</v>
      </c>
      <c r="W249" s="112" t="s">
        <v>8495</v>
      </c>
    </row>
    <row r="250" spans="1:23" s="2" customFormat="1" ht="12">
      <c r="A250" s="11"/>
      <c r="B250" s="108"/>
      <c r="C250" s="109"/>
      <c r="D250" s="14" t="str">
        <f>D249</f>
        <v>噼里啪</v>
      </c>
      <c r="E250" s="109"/>
      <c r="F250" s="112"/>
      <c r="G250" s="109"/>
      <c r="H250" s="109"/>
      <c r="I250" s="109"/>
      <c r="J250" s="109"/>
      <c r="K250" s="109"/>
      <c r="L250" s="109"/>
      <c r="M250" s="109"/>
      <c r="N250" s="13" t="s">
        <v>8496</v>
      </c>
      <c r="O250" s="13" t="s">
        <v>262</v>
      </c>
      <c r="P250" s="13" t="s">
        <v>8497</v>
      </c>
      <c r="Q250" s="15" t="s">
        <v>8498</v>
      </c>
      <c r="R250" s="109"/>
      <c r="S250" s="109"/>
      <c r="T250" s="112"/>
      <c r="U250" s="112"/>
      <c r="V250" s="112"/>
      <c r="W250" s="112"/>
    </row>
    <row r="251" spans="1:23" s="2" customFormat="1" ht="12">
      <c r="A251" s="11"/>
      <c r="B251" s="108"/>
      <c r="C251" s="109"/>
      <c r="D251" s="14" t="str">
        <f>D250</f>
        <v>噼里啪</v>
      </c>
      <c r="E251" s="109"/>
      <c r="F251" s="112"/>
      <c r="G251" s="109"/>
      <c r="H251" s="109"/>
      <c r="I251" s="109"/>
      <c r="J251" s="109"/>
      <c r="K251" s="109"/>
      <c r="L251" s="109"/>
      <c r="M251" s="109"/>
      <c r="N251" s="13" t="s">
        <v>8499</v>
      </c>
      <c r="O251" s="13" t="s">
        <v>721</v>
      </c>
      <c r="P251" s="15" t="s">
        <v>341</v>
      </c>
      <c r="Q251" s="15" t="s">
        <v>325</v>
      </c>
      <c r="R251" s="109"/>
      <c r="S251" s="109"/>
      <c r="T251" s="112"/>
      <c r="U251" s="112"/>
      <c r="V251" s="112"/>
      <c r="W251" s="112"/>
    </row>
    <row r="252" spans="1:23" s="2" customFormat="1" ht="12">
      <c r="A252" s="11"/>
      <c r="B252" s="108"/>
      <c r="C252" s="109"/>
      <c r="D252" s="14" t="str">
        <f>D251</f>
        <v>噼里啪</v>
      </c>
      <c r="E252" s="109"/>
      <c r="F252" s="112"/>
      <c r="G252" s="109"/>
      <c r="H252" s="109"/>
      <c r="I252" s="109"/>
      <c r="J252" s="109"/>
      <c r="K252" s="109"/>
      <c r="L252" s="109"/>
      <c r="M252" s="109"/>
      <c r="N252" s="13" t="s">
        <v>8500</v>
      </c>
      <c r="O252" s="15" t="s">
        <v>326</v>
      </c>
      <c r="P252" s="13" t="s">
        <v>3653</v>
      </c>
      <c r="Q252" s="13" t="s">
        <v>253</v>
      </c>
      <c r="R252" s="109"/>
      <c r="S252" s="109"/>
      <c r="T252" s="112"/>
      <c r="U252" s="112"/>
      <c r="V252" s="112"/>
      <c r="W252" s="112"/>
    </row>
    <row r="253" spans="1:23" s="2" customFormat="1" ht="12">
      <c r="A253" s="11"/>
      <c r="B253" s="108"/>
      <c r="C253" s="109" t="s">
        <v>8501</v>
      </c>
      <c r="D253" s="14" t="s">
        <v>8502</v>
      </c>
      <c r="E253" s="109" t="s">
        <v>8502</v>
      </c>
      <c r="F253" s="112" t="s">
        <v>8503</v>
      </c>
      <c r="G253" s="109"/>
      <c r="H253" s="109" t="s">
        <v>8504</v>
      </c>
      <c r="I253" s="109" t="s">
        <v>3436</v>
      </c>
      <c r="J253" s="113" t="s">
        <v>1780</v>
      </c>
      <c r="K253" s="113" t="s">
        <v>272</v>
      </c>
      <c r="L253" s="113" t="s">
        <v>672</v>
      </c>
      <c r="M253" s="113" t="s">
        <v>909</v>
      </c>
      <c r="N253" s="13" t="s">
        <v>8501</v>
      </c>
      <c r="O253" s="15" t="s">
        <v>285</v>
      </c>
      <c r="P253" s="13" t="s">
        <v>322</v>
      </c>
      <c r="Q253" s="15" t="s">
        <v>2229</v>
      </c>
      <c r="R253" s="109" t="s">
        <v>8505</v>
      </c>
      <c r="S253" s="109" t="s">
        <v>8506</v>
      </c>
      <c r="T253" s="112" t="s">
        <v>8507</v>
      </c>
      <c r="U253" s="112"/>
      <c r="V253" s="112"/>
      <c r="W253" s="112"/>
    </row>
    <row r="254" spans="1:23" s="2" customFormat="1" ht="12">
      <c r="A254" s="11"/>
      <c r="B254" s="108"/>
      <c r="C254" s="109"/>
      <c r="D254" s="14" t="str">
        <f>D253</f>
        <v>Chope</v>
      </c>
      <c r="E254" s="109"/>
      <c r="F254" s="112"/>
      <c r="G254" s="109"/>
      <c r="H254" s="109"/>
      <c r="I254" s="109"/>
      <c r="J254" s="109"/>
      <c r="K254" s="109"/>
      <c r="L254" s="109"/>
      <c r="M254" s="109"/>
      <c r="N254" s="13" t="s">
        <v>8508</v>
      </c>
      <c r="O254" s="13" t="s">
        <v>317</v>
      </c>
      <c r="P254" s="13" t="s">
        <v>2063</v>
      </c>
      <c r="Q254" s="13" t="s">
        <v>8509</v>
      </c>
      <c r="R254" s="109"/>
      <c r="S254" s="109"/>
      <c r="T254" s="112"/>
      <c r="U254" s="112"/>
      <c r="V254" s="112"/>
      <c r="W254" s="112"/>
    </row>
    <row r="255" spans="1:23" s="2" customFormat="1" ht="12">
      <c r="A255" s="11"/>
      <c r="B255" s="108"/>
      <c r="C255" s="109"/>
      <c r="D255" s="14" t="str">
        <f>D254</f>
        <v>Chope</v>
      </c>
      <c r="E255" s="109"/>
      <c r="F255" s="112"/>
      <c r="G255" s="109"/>
      <c r="H255" s="109"/>
      <c r="I255" s="109"/>
      <c r="J255" s="109"/>
      <c r="K255" s="109"/>
      <c r="L255" s="109"/>
      <c r="M255" s="109"/>
      <c r="N255" s="13" t="s">
        <v>2005</v>
      </c>
      <c r="O255" s="13" t="s">
        <v>251</v>
      </c>
      <c r="P255" s="13" t="s">
        <v>2000</v>
      </c>
      <c r="Q255" s="13" t="s">
        <v>8510</v>
      </c>
      <c r="R255" s="109"/>
      <c r="S255" s="109"/>
      <c r="T255" s="112"/>
      <c r="U255" s="112"/>
      <c r="V255" s="112"/>
      <c r="W255" s="112"/>
    </row>
    <row r="256" spans="1:23" s="2" customFormat="1" ht="12">
      <c r="A256" s="11"/>
      <c r="B256" s="108"/>
      <c r="C256" s="109"/>
      <c r="D256" s="14" t="str">
        <f>D255</f>
        <v>Chope</v>
      </c>
      <c r="E256" s="109"/>
      <c r="F256" s="112"/>
      <c r="G256" s="109"/>
      <c r="H256" s="109"/>
      <c r="I256" s="109"/>
      <c r="J256" s="109"/>
      <c r="K256" s="109"/>
      <c r="L256" s="109"/>
      <c r="M256" s="109"/>
      <c r="N256" s="13" t="s">
        <v>8511</v>
      </c>
      <c r="O256" s="13" t="s">
        <v>257</v>
      </c>
      <c r="P256" s="13" t="s">
        <v>890</v>
      </c>
      <c r="Q256" s="13" t="s">
        <v>8512</v>
      </c>
      <c r="R256" s="109"/>
      <c r="S256" s="109"/>
      <c r="T256" s="112"/>
      <c r="U256" s="112"/>
      <c r="V256" s="112"/>
      <c r="W256" s="112"/>
    </row>
    <row r="257" spans="1:23" s="2" customFormat="1" ht="12">
      <c r="A257" s="11"/>
      <c r="B257" s="108"/>
      <c r="C257" s="109"/>
      <c r="D257" s="14" t="str">
        <f>D256</f>
        <v>Chope</v>
      </c>
      <c r="E257" s="109"/>
      <c r="F257" s="112"/>
      <c r="G257" s="109"/>
      <c r="H257" s="109"/>
      <c r="I257" s="109"/>
      <c r="J257" s="109"/>
      <c r="K257" s="109"/>
      <c r="L257" s="109"/>
      <c r="M257" s="109"/>
      <c r="N257" s="13" t="s">
        <v>666</v>
      </c>
      <c r="O257" s="13" t="s">
        <v>262</v>
      </c>
      <c r="P257" s="13" t="s">
        <v>8513</v>
      </c>
      <c r="Q257" s="13" t="s">
        <v>8514</v>
      </c>
      <c r="R257" s="109"/>
      <c r="S257" s="109"/>
      <c r="T257" s="112"/>
      <c r="U257" s="112"/>
      <c r="V257" s="112"/>
      <c r="W257" s="112"/>
    </row>
    <row r="258" spans="1:23" s="2" customFormat="1" ht="12">
      <c r="A258" s="11"/>
      <c r="B258" s="108"/>
      <c r="C258" s="109" t="s">
        <v>8501</v>
      </c>
      <c r="D258" s="14" t="s">
        <v>8515</v>
      </c>
      <c r="E258" s="113" t="s">
        <v>8515</v>
      </c>
      <c r="F258" s="114" t="s">
        <v>8516</v>
      </c>
      <c r="G258" s="113" t="s">
        <v>8517</v>
      </c>
      <c r="H258" s="109" t="s">
        <v>8518</v>
      </c>
      <c r="I258" s="109" t="s">
        <v>2887</v>
      </c>
      <c r="J258" s="113" t="s">
        <v>1192</v>
      </c>
      <c r="K258" s="113" t="s">
        <v>272</v>
      </c>
      <c r="L258" s="113" t="s">
        <v>407</v>
      </c>
      <c r="M258" s="113" t="s">
        <v>408</v>
      </c>
      <c r="N258" s="13" t="s">
        <v>8501</v>
      </c>
      <c r="O258" s="13" t="s">
        <v>251</v>
      </c>
      <c r="P258" s="15" t="s">
        <v>409</v>
      </c>
      <c r="Q258" s="15" t="s">
        <v>8519</v>
      </c>
      <c r="R258" s="109" t="s">
        <v>8520</v>
      </c>
      <c r="S258" s="109" t="s">
        <v>412</v>
      </c>
      <c r="T258" s="114" t="s">
        <v>8521</v>
      </c>
      <c r="U258" s="114" t="s">
        <v>8522</v>
      </c>
      <c r="V258" s="112" t="s">
        <v>8523</v>
      </c>
      <c r="W258" s="112" t="s">
        <v>8524</v>
      </c>
    </row>
    <row r="259" spans="1:23" s="2" customFormat="1" ht="12">
      <c r="A259" s="11"/>
      <c r="B259" s="108"/>
      <c r="C259" s="109"/>
      <c r="D259" s="14" t="str">
        <f t="shared" ref="D259:D265" si="13">D258</f>
        <v>数位</v>
      </c>
      <c r="E259" s="109"/>
      <c r="F259" s="112"/>
      <c r="G259" s="109"/>
      <c r="H259" s="109"/>
      <c r="I259" s="109"/>
      <c r="J259" s="109"/>
      <c r="K259" s="109"/>
      <c r="L259" s="109"/>
      <c r="M259" s="109"/>
      <c r="N259" s="13" t="s">
        <v>4757</v>
      </c>
      <c r="O259" s="13" t="s">
        <v>565</v>
      </c>
      <c r="P259" s="15" t="s">
        <v>409</v>
      </c>
      <c r="Q259" s="15" t="s">
        <v>8525</v>
      </c>
      <c r="R259" s="109"/>
      <c r="S259" s="109"/>
      <c r="T259" s="112"/>
      <c r="U259" s="112"/>
      <c r="V259" s="112"/>
      <c r="W259" s="112"/>
    </row>
    <row r="260" spans="1:23" s="2" customFormat="1" ht="12">
      <c r="A260" s="11"/>
      <c r="B260" s="108"/>
      <c r="C260" s="109"/>
      <c r="D260" s="14" t="str">
        <f t="shared" si="13"/>
        <v>数位</v>
      </c>
      <c r="E260" s="109"/>
      <c r="F260" s="112"/>
      <c r="G260" s="109"/>
      <c r="H260" s="109"/>
      <c r="I260" s="109"/>
      <c r="J260" s="109"/>
      <c r="K260" s="109"/>
      <c r="L260" s="109"/>
      <c r="M260" s="109"/>
      <c r="N260" s="13" t="s">
        <v>8526</v>
      </c>
      <c r="O260" s="13" t="s">
        <v>257</v>
      </c>
      <c r="P260" s="15" t="s">
        <v>252</v>
      </c>
      <c r="Q260" s="15" t="s">
        <v>8527</v>
      </c>
      <c r="R260" s="109"/>
      <c r="S260" s="109"/>
      <c r="T260" s="112"/>
      <c r="U260" s="112"/>
      <c r="V260" s="112"/>
      <c r="W260" s="112"/>
    </row>
    <row r="261" spans="1:23" s="2" customFormat="1" ht="12">
      <c r="A261" s="11"/>
      <c r="B261" s="108"/>
      <c r="C261" s="109"/>
      <c r="D261" s="14" t="str">
        <f t="shared" si="13"/>
        <v>数位</v>
      </c>
      <c r="E261" s="109"/>
      <c r="F261" s="112"/>
      <c r="G261" s="109"/>
      <c r="H261" s="109"/>
      <c r="I261" s="109"/>
      <c r="J261" s="109"/>
      <c r="K261" s="109"/>
      <c r="L261" s="109"/>
      <c r="M261" s="109"/>
      <c r="N261" s="13" t="s">
        <v>8528</v>
      </c>
      <c r="O261" s="13" t="s">
        <v>260</v>
      </c>
      <c r="P261" s="15" t="s">
        <v>341</v>
      </c>
      <c r="Q261" s="15" t="s">
        <v>8529</v>
      </c>
      <c r="R261" s="109"/>
      <c r="S261" s="109"/>
      <c r="T261" s="112"/>
      <c r="U261" s="112"/>
      <c r="V261" s="112"/>
      <c r="W261" s="112"/>
    </row>
    <row r="262" spans="1:23" s="2" customFormat="1" ht="12">
      <c r="A262" s="11"/>
      <c r="B262" s="108"/>
      <c r="C262" s="109"/>
      <c r="D262" s="14" t="str">
        <f t="shared" si="13"/>
        <v>数位</v>
      </c>
      <c r="E262" s="109"/>
      <c r="F262" s="112"/>
      <c r="G262" s="109"/>
      <c r="H262" s="109"/>
      <c r="I262" s="109"/>
      <c r="J262" s="109"/>
      <c r="K262" s="109"/>
      <c r="L262" s="109"/>
      <c r="M262" s="109"/>
      <c r="N262" s="13" t="s">
        <v>8530</v>
      </c>
      <c r="O262" s="13" t="s">
        <v>262</v>
      </c>
      <c r="P262" s="13" t="s">
        <v>1164</v>
      </c>
      <c r="Q262" s="15" t="s">
        <v>8531</v>
      </c>
      <c r="R262" s="109"/>
      <c r="S262" s="109"/>
      <c r="T262" s="112"/>
      <c r="U262" s="112"/>
      <c r="V262" s="112"/>
      <c r="W262" s="112"/>
    </row>
    <row r="263" spans="1:23" s="2" customFormat="1" ht="12">
      <c r="A263" s="11"/>
      <c r="B263" s="108"/>
      <c r="C263" s="109"/>
      <c r="D263" s="14" t="str">
        <f t="shared" si="13"/>
        <v>数位</v>
      </c>
      <c r="E263" s="109"/>
      <c r="F263" s="112"/>
      <c r="G263" s="109"/>
      <c r="H263" s="109"/>
      <c r="I263" s="109"/>
      <c r="J263" s="109"/>
      <c r="K263" s="109"/>
      <c r="L263" s="109"/>
      <c r="M263" s="109"/>
      <c r="N263" s="13" t="s">
        <v>8532</v>
      </c>
      <c r="O263" s="13" t="s">
        <v>721</v>
      </c>
      <c r="P263" s="13" t="s">
        <v>8533</v>
      </c>
      <c r="Q263" s="15" t="s">
        <v>8534</v>
      </c>
      <c r="R263" s="109"/>
      <c r="S263" s="109"/>
      <c r="T263" s="112"/>
      <c r="U263" s="112"/>
      <c r="V263" s="112"/>
      <c r="W263" s="112"/>
    </row>
    <row r="264" spans="1:23" s="2" customFormat="1" ht="12">
      <c r="A264" s="11"/>
      <c r="B264" s="108"/>
      <c r="C264" s="109"/>
      <c r="D264" s="14" t="str">
        <f t="shared" si="13"/>
        <v>数位</v>
      </c>
      <c r="E264" s="109"/>
      <c r="F264" s="112"/>
      <c r="G264" s="109"/>
      <c r="H264" s="109"/>
      <c r="I264" s="109"/>
      <c r="J264" s="109"/>
      <c r="K264" s="109"/>
      <c r="L264" s="109"/>
      <c r="M264" s="109"/>
      <c r="N264" s="13" t="s">
        <v>8535</v>
      </c>
      <c r="O264" s="15" t="s">
        <v>326</v>
      </c>
      <c r="P264" s="13" t="s">
        <v>623</v>
      </c>
      <c r="Q264" s="15" t="s">
        <v>8536</v>
      </c>
      <c r="R264" s="109"/>
      <c r="S264" s="109"/>
      <c r="T264" s="112"/>
      <c r="U264" s="112"/>
      <c r="V264" s="112"/>
      <c r="W264" s="112"/>
    </row>
    <row r="265" spans="1:23" s="2" customFormat="1" ht="12">
      <c r="A265" s="11"/>
      <c r="B265" s="108"/>
      <c r="C265" s="109"/>
      <c r="D265" s="14" t="str">
        <f t="shared" si="13"/>
        <v>数位</v>
      </c>
      <c r="E265" s="109"/>
      <c r="F265" s="112"/>
      <c r="G265" s="109"/>
      <c r="H265" s="109"/>
      <c r="I265" s="109"/>
      <c r="J265" s="109"/>
      <c r="K265" s="109"/>
      <c r="L265" s="109"/>
      <c r="M265" s="109"/>
      <c r="N265" s="13" t="s">
        <v>8537</v>
      </c>
      <c r="O265" s="15" t="s">
        <v>437</v>
      </c>
      <c r="P265" s="13" t="s">
        <v>3653</v>
      </c>
      <c r="Q265" s="13" t="s">
        <v>253</v>
      </c>
      <c r="R265" s="109"/>
      <c r="S265" s="109"/>
      <c r="T265" s="112"/>
      <c r="U265" s="112"/>
      <c r="V265" s="112"/>
      <c r="W265" s="112"/>
    </row>
    <row r="266" spans="1:23" s="2" customFormat="1" ht="48">
      <c r="A266" s="11"/>
      <c r="B266" s="108"/>
      <c r="C266" s="13" t="s">
        <v>8538</v>
      </c>
      <c r="D266" s="19" t="s">
        <v>8539</v>
      </c>
      <c r="E266" s="15" t="s">
        <v>8539</v>
      </c>
      <c r="F266" s="16" t="s">
        <v>8540</v>
      </c>
      <c r="G266" s="15" t="s">
        <v>8541</v>
      </c>
      <c r="H266" s="13"/>
      <c r="I266" s="13" t="s">
        <v>2478</v>
      </c>
      <c r="J266" s="15" t="s">
        <v>271</v>
      </c>
      <c r="K266" s="15" t="s">
        <v>272</v>
      </c>
      <c r="L266" s="15" t="s">
        <v>407</v>
      </c>
      <c r="M266" s="15" t="s">
        <v>1932</v>
      </c>
      <c r="N266" s="13" t="s">
        <v>8538</v>
      </c>
      <c r="O266" s="15" t="s">
        <v>285</v>
      </c>
      <c r="P266" s="15" t="s">
        <v>341</v>
      </c>
      <c r="Q266" s="15" t="s">
        <v>8542</v>
      </c>
      <c r="R266" s="13" t="s">
        <v>931</v>
      </c>
      <c r="S266" s="13" t="s">
        <v>432</v>
      </c>
      <c r="T266" s="18"/>
      <c r="U266" s="16" t="s">
        <v>8543</v>
      </c>
      <c r="V266" s="18"/>
      <c r="W266" s="18"/>
    </row>
    <row r="267" spans="1:23" s="2" customFormat="1" ht="36">
      <c r="A267" s="11"/>
      <c r="B267" s="108"/>
      <c r="C267" s="13" t="s">
        <v>8544</v>
      </c>
      <c r="D267" s="19" t="s">
        <v>8545</v>
      </c>
      <c r="E267" s="15" t="s">
        <v>8545</v>
      </c>
      <c r="F267" s="16" t="s">
        <v>8546</v>
      </c>
      <c r="G267" s="15" t="s">
        <v>8547</v>
      </c>
      <c r="H267" s="13"/>
      <c r="I267" s="13" t="s">
        <v>3584</v>
      </c>
      <c r="J267" s="15" t="s">
        <v>349</v>
      </c>
      <c r="K267" s="15" t="s">
        <v>272</v>
      </c>
      <c r="L267" s="15" t="s">
        <v>1859</v>
      </c>
      <c r="M267" s="15" t="s">
        <v>1860</v>
      </c>
      <c r="N267" s="13" t="s">
        <v>8544</v>
      </c>
      <c r="O267" s="15" t="s">
        <v>285</v>
      </c>
      <c r="P267" s="15" t="s">
        <v>341</v>
      </c>
      <c r="Q267" s="15" t="s">
        <v>2229</v>
      </c>
      <c r="R267" s="13" t="s">
        <v>931</v>
      </c>
      <c r="S267" s="13" t="s">
        <v>432</v>
      </c>
      <c r="T267" s="16" t="s">
        <v>8548</v>
      </c>
      <c r="U267" s="18"/>
      <c r="V267" s="18"/>
      <c r="W267" s="18"/>
    </row>
    <row r="268" spans="1:23" s="2" customFormat="1" ht="60">
      <c r="A268" s="11"/>
      <c r="B268" s="108"/>
      <c r="C268" s="13" t="s">
        <v>2295</v>
      </c>
      <c r="D268" s="19" t="s">
        <v>8549</v>
      </c>
      <c r="E268" s="15" t="s">
        <v>8549</v>
      </c>
      <c r="F268" s="16" t="s">
        <v>8550</v>
      </c>
      <c r="G268" s="15" t="s">
        <v>8551</v>
      </c>
      <c r="H268" s="13" t="s">
        <v>8552</v>
      </c>
      <c r="I268" s="13" t="s">
        <v>3710</v>
      </c>
      <c r="J268" s="15" t="s">
        <v>271</v>
      </c>
      <c r="K268" s="15" t="s">
        <v>272</v>
      </c>
      <c r="L268" s="15" t="s">
        <v>407</v>
      </c>
      <c r="M268" s="15" t="s">
        <v>1170</v>
      </c>
      <c r="N268" s="13" t="s">
        <v>2295</v>
      </c>
      <c r="O268" s="15" t="s">
        <v>285</v>
      </c>
      <c r="P268" s="15" t="s">
        <v>341</v>
      </c>
      <c r="Q268" s="15" t="s">
        <v>2229</v>
      </c>
      <c r="R268" s="13" t="s">
        <v>931</v>
      </c>
      <c r="S268" s="13" t="s">
        <v>432</v>
      </c>
      <c r="T268" s="16" t="s">
        <v>8553</v>
      </c>
      <c r="U268" s="16" t="s">
        <v>8554</v>
      </c>
      <c r="V268" s="18" t="s">
        <v>8555</v>
      </c>
      <c r="W268" s="18" t="s">
        <v>8556</v>
      </c>
    </row>
    <row r="269" spans="1:23" s="2" customFormat="1" ht="12">
      <c r="A269" s="11"/>
      <c r="B269" s="108"/>
      <c r="C269" s="109" t="s">
        <v>8557</v>
      </c>
      <c r="D269" s="14" t="s">
        <v>8558</v>
      </c>
      <c r="E269" s="113" t="s">
        <v>8558</v>
      </c>
      <c r="F269" s="114" t="s">
        <v>8559</v>
      </c>
      <c r="G269" s="113" t="s">
        <v>8560</v>
      </c>
      <c r="H269" s="109" t="s">
        <v>8561</v>
      </c>
      <c r="I269" s="109" t="s">
        <v>2446</v>
      </c>
      <c r="J269" s="113" t="s">
        <v>271</v>
      </c>
      <c r="K269" s="113" t="s">
        <v>272</v>
      </c>
      <c r="L269" s="113" t="s">
        <v>1859</v>
      </c>
      <c r="M269" s="113" t="s">
        <v>8562</v>
      </c>
      <c r="N269" s="13" t="s">
        <v>8557</v>
      </c>
      <c r="O269" s="15" t="s">
        <v>285</v>
      </c>
      <c r="P269" s="13" t="s">
        <v>1194</v>
      </c>
      <c r="Q269" s="15" t="s">
        <v>8563</v>
      </c>
      <c r="R269" s="109" t="s">
        <v>8564</v>
      </c>
      <c r="S269" s="109" t="s">
        <v>3974</v>
      </c>
      <c r="T269" s="114" t="s">
        <v>8565</v>
      </c>
      <c r="U269" s="114" t="s">
        <v>8566</v>
      </c>
      <c r="V269" s="112" t="s">
        <v>8567</v>
      </c>
      <c r="W269" s="112" t="s">
        <v>8568</v>
      </c>
    </row>
    <row r="270" spans="1:23" s="2" customFormat="1" ht="12">
      <c r="A270" s="11"/>
      <c r="B270" s="108"/>
      <c r="C270" s="109"/>
      <c r="D270" s="14" t="str">
        <f>D269</f>
        <v>中和农信</v>
      </c>
      <c r="E270" s="109"/>
      <c r="F270" s="112"/>
      <c r="G270" s="109"/>
      <c r="H270" s="109"/>
      <c r="I270" s="109"/>
      <c r="J270" s="109"/>
      <c r="K270" s="109"/>
      <c r="L270" s="109"/>
      <c r="M270" s="109"/>
      <c r="N270" s="13" t="s">
        <v>8569</v>
      </c>
      <c r="O270" s="13" t="s">
        <v>251</v>
      </c>
      <c r="P270" s="13" t="s">
        <v>1202</v>
      </c>
      <c r="Q270" s="15" t="s">
        <v>8570</v>
      </c>
      <c r="R270" s="109"/>
      <c r="S270" s="109"/>
      <c r="T270" s="112"/>
      <c r="U270" s="112"/>
      <c r="V270" s="112"/>
      <c r="W270" s="112"/>
    </row>
    <row r="271" spans="1:23" s="2" customFormat="1" ht="12">
      <c r="A271" s="11"/>
      <c r="B271" s="108"/>
      <c r="C271" s="109"/>
      <c r="D271" s="14" t="str">
        <f>D270</f>
        <v>中和农信</v>
      </c>
      <c r="E271" s="109"/>
      <c r="F271" s="112"/>
      <c r="G271" s="109"/>
      <c r="H271" s="109"/>
      <c r="I271" s="109"/>
      <c r="J271" s="109"/>
      <c r="K271" s="109"/>
      <c r="L271" s="109"/>
      <c r="M271" s="109"/>
      <c r="N271" s="13" t="s">
        <v>8571</v>
      </c>
      <c r="O271" s="13" t="s">
        <v>257</v>
      </c>
      <c r="P271" s="15" t="s">
        <v>409</v>
      </c>
      <c r="Q271" s="13" t="s">
        <v>8572</v>
      </c>
      <c r="R271" s="109"/>
      <c r="S271" s="109"/>
      <c r="T271" s="112"/>
      <c r="U271" s="112"/>
      <c r="V271" s="112"/>
      <c r="W271" s="112"/>
    </row>
    <row r="272" spans="1:23" s="2" customFormat="1" ht="12">
      <c r="A272" s="11"/>
      <c r="B272" s="108"/>
      <c r="C272" s="109"/>
      <c r="D272" s="14" t="str">
        <f>D271</f>
        <v>中和农信</v>
      </c>
      <c r="E272" s="109"/>
      <c r="F272" s="112"/>
      <c r="G272" s="109"/>
      <c r="H272" s="109"/>
      <c r="I272" s="109"/>
      <c r="J272" s="109"/>
      <c r="K272" s="109"/>
      <c r="L272" s="109"/>
      <c r="M272" s="109"/>
      <c r="N272" s="13" t="s">
        <v>8573</v>
      </c>
      <c r="O272" s="15" t="s">
        <v>285</v>
      </c>
      <c r="P272" s="13" t="s">
        <v>1032</v>
      </c>
      <c r="Q272" s="13" t="s">
        <v>8574</v>
      </c>
      <c r="R272" s="109"/>
      <c r="S272" s="109"/>
      <c r="T272" s="112"/>
      <c r="U272" s="112"/>
      <c r="V272" s="112"/>
      <c r="W272" s="112"/>
    </row>
    <row r="273" spans="1:23" s="2" customFormat="1" ht="12">
      <c r="A273" s="11"/>
      <c r="B273" s="108"/>
      <c r="C273" s="109"/>
      <c r="D273" s="14" t="str">
        <f>D272</f>
        <v>中和农信</v>
      </c>
      <c r="E273" s="109"/>
      <c r="F273" s="112"/>
      <c r="G273" s="109"/>
      <c r="H273" s="109"/>
      <c r="I273" s="109"/>
      <c r="J273" s="109"/>
      <c r="K273" s="109"/>
      <c r="L273" s="109"/>
      <c r="M273" s="109"/>
      <c r="N273" s="13" t="s">
        <v>8575</v>
      </c>
      <c r="O273" s="13" t="s">
        <v>262</v>
      </c>
      <c r="P273" s="15" t="s">
        <v>341</v>
      </c>
      <c r="Q273" s="15" t="s">
        <v>8576</v>
      </c>
      <c r="R273" s="109"/>
      <c r="S273" s="109"/>
      <c r="T273" s="112"/>
      <c r="U273" s="112"/>
      <c r="V273" s="112"/>
      <c r="W273" s="112"/>
    </row>
    <row r="274" spans="1:23" s="2" customFormat="1" ht="72">
      <c r="A274" s="11"/>
      <c r="B274" s="108"/>
      <c r="C274" s="13" t="s">
        <v>8577</v>
      </c>
      <c r="D274" s="19" t="s">
        <v>8578</v>
      </c>
      <c r="E274" s="15" t="s">
        <v>8578</v>
      </c>
      <c r="F274" s="16" t="s">
        <v>8579</v>
      </c>
      <c r="G274" s="15" t="s">
        <v>8580</v>
      </c>
      <c r="H274" s="13"/>
      <c r="I274" s="13" t="s">
        <v>3867</v>
      </c>
      <c r="J274" s="15" t="s">
        <v>2627</v>
      </c>
      <c r="K274" s="15" t="s">
        <v>272</v>
      </c>
      <c r="L274" s="15" t="s">
        <v>1859</v>
      </c>
      <c r="M274" s="15" t="s">
        <v>4173</v>
      </c>
      <c r="N274" s="13" t="s">
        <v>8577</v>
      </c>
      <c r="O274" s="15" t="s">
        <v>285</v>
      </c>
      <c r="P274" s="13" t="s">
        <v>1684</v>
      </c>
      <c r="Q274" s="15" t="s">
        <v>2229</v>
      </c>
      <c r="R274" s="13" t="s">
        <v>1683</v>
      </c>
      <c r="S274" s="13" t="s">
        <v>749</v>
      </c>
      <c r="T274" s="18"/>
      <c r="U274" s="16" t="s">
        <v>8581</v>
      </c>
      <c r="V274" s="18"/>
      <c r="W274" s="18"/>
    </row>
    <row r="275" spans="1:23" s="2" customFormat="1" ht="12">
      <c r="A275" s="11"/>
      <c r="B275" s="108"/>
      <c r="C275" s="109" t="s">
        <v>8582</v>
      </c>
      <c r="D275" s="14" t="s">
        <v>8583</v>
      </c>
      <c r="E275" s="113" t="s">
        <v>8583</v>
      </c>
      <c r="F275" s="114" t="s">
        <v>8584</v>
      </c>
      <c r="G275" s="113" t="s">
        <v>8585</v>
      </c>
      <c r="H275" s="109" t="s">
        <v>8586</v>
      </c>
      <c r="I275" s="109" t="s">
        <v>1922</v>
      </c>
      <c r="J275" s="113" t="s">
        <v>1126</v>
      </c>
      <c r="K275" s="113" t="s">
        <v>272</v>
      </c>
      <c r="L275" s="113" t="s">
        <v>386</v>
      </c>
      <c r="M275" s="113" t="s">
        <v>1140</v>
      </c>
      <c r="N275" s="13" t="s">
        <v>8582</v>
      </c>
      <c r="O275" s="13" t="s">
        <v>721</v>
      </c>
      <c r="P275" s="15" t="s">
        <v>341</v>
      </c>
      <c r="Q275" s="15" t="s">
        <v>8587</v>
      </c>
      <c r="R275" s="109" t="s">
        <v>8588</v>
      </c>
      <c r="S275" s="109" t="s">
        <v>432</v>
      </c>
      <c r="T275" s="114" t="s">
        <v>8589</v>
      </c>
      <c r="U275" s="112"/>
      <c r="V275" s="112"/>
      <c r="W275" s="112" t="s">
        <v>8590</v>
      </c>
    </row>
    <row r="276" spans="1:23" s="2" customFormat="1" ht="12">
      <c r="A276" s="11"/>
      <c r="B276" s="108"/>
      <c r="C276" s="109"/>
      <c r="D276" s="14" t="str">
        <f>D275</f>
        <v>摇滚客</v>
      </c>
      <c r="E276" s="109"/>
      <c r="F276" s="112"/>
      <c r="G276" s="109"/>
      <c r="H276" s="109"/>
      <c r="I276" s="109"/>
      <c r="J276" s="109"/>
      <c r="K276" s="109"/>
      <c r="L276" s="109"/>
      <c r="M276" s="109"/>
      <c r="N276" s="13" t="s">
        <v>3733</v>
      </c>
      <c r="O276" s="15" t="s">
        <v>326</v>
      </c>
      <c r="P276" s="13" t="s">
        <v>2470</v>
      </c>
      <c r="Q276" s="15" t="s">
        <v>8591</v>
      </c>
      <c r="R276" s="109"/>
      <c r="S276" s="109"/>
      <c r="T276" s="112"/>
      <c r="U276" s="112"/>
      <c r="V276" s="112"/>
      <c r="W276" s="112"/>
    </row>
    <row r="277" spans="1:23" s="2" customFormat="1" ht="12">
      <c r="A277" s="11"/>
      <c r="B277" s="108"/>
      <c r="C277" s="109" t="s">
        <v>8592</v>
      </c>
      <c r="D277" s="14" t="s">
        <v>8593</v>
      </c>
      <c r="E277" s="113" t="s">
        <v>8593</v>
      </c>
      <c r="F277" s="114" t="s">
        <v>8594</v>
      </c>
      <c r="G277" s="113" t="s">
        <v>8595</v>
      </c>
      <c r="H277" s="109" t="s">
        <v>8596</v>
      </c>
      <c r="I277" s="109" t="s">
        <v>1040</v>
      </c>
      <c r="J277" s="113" t="s">
        <v>406</v>
      </c>
      <c r="K277" s="113" t="s">
        <v>272</v>
      </c>
      <c r="L277" s="113" t="s">
        <v>407</v>
      </c>
      <c r="M277" s="113" t="s">
        <v>8344</v>
      </c>
      <c r="N277" s="13" t="s">
        <v>8592</v>
      </c>
      <c r="O277" s="13" t="s">
        <v>251</v>
      </c>
      <c r="P277" s="15" t="s">
        <v>409</v>
      </c>
      <c r="Q277" s="15" t="s">
        <v>8597</v>
      </c>
      <c r="R277" s="109" t="s">
        <v>3478</v>
      </c>
      <c r="S277" s="109" t="s">
        <v>3906</v>
      </c>
      <c r="T277" s="114" t="s">
        <v>8598</v>
      </c>
      <c r="U277" s="114" t="s">
        <v>8599</v>
      </c>
      <c r="V277" s="112" t="s">
        <v>8600</v>
      </c>
      <c r="W277" s="112" t="s">
        <v>8601</v>
      </c>
    </row>
    <row r="278" spans="1:23" s="2" customFormat="1" ht="12">
      <c r="A278" s="11"/>
      <c r="B278" s="108"/>
      <c r="C278" s="109"/>
      <c r="D278" s="14" t="str">
        <f t="shared" ref="D278:D284" si="14">D277</f>
        <v>青团社</v>
      </c>
      <c r="E278" s="109"/>
      <c r="F278" s="112"/>
      <c r="G278" s="109"/>
      <c r="H278" s="109"/>
      <c r="I278" s="109"/>
      <c r="J278" s="109"/>
      <c r="K278" s="109"/>
      <c r="L278" s="109"/>
      <c r="M278" s="109"/>
      <c r="N278" s="13" t="s">
        <v>8602</v>
      </c>
      <c r="O278" s="15" t="s">
        <v>285</v>
      </c>
      <c r="P278" s="15" t="s">
        <v>341</v>
      </c>
      <c r="Q278" s="15" t="s">
        <v>8081</v>
      </c>
      <c r="R278" s="109"/>
      <c r="S278" s="109"/>
      <c r="T278" s="112"/>
      <c r="U278" s="112"/>
      <c r="V278" s="112"/>
      <c r="W278" s="112"/>
    </row>
    <row r="279" spans="1:23" s="2" customFormat="1" ht="12">
      <c r="A279" s="11"/>
      <c r="B279" s="108"/>
      <c r="C279" s="109"/>
      <c r="D279" s="14" t="str">
        <f t="shared" si="14"/>
        <v>青团社</v>
      </c>
      <c r="E279" s="109"/>
      <c r="F279" s="112"/>
      <c r="G279" s="109"/>
      <c r="H279" s="109"/>
      <c r="I279" s="109"/>
      <c r="J279" s="109"/>
      <c r="K279" s="109"/>
      <c r="L279" s="109"/>
      <c r="M279" s="109"/>
      <c r="N279" s="13" t="s">
        <v>8603</v>
      </c>
      <c r="O279" s="13" t="s">
        <v>565</v>
      </c>
      <c r="P279" s="15" t="s">
        <v>409</v>
      </c>
      <c r="Q279" s="15" t="s">
        <v>8604</v>
      </c>
      <c r="R279" s="109"/>
      <c r="S279" s="109"/>
      <c r="T279" s="112"/>
      <c r="U279" s="112"/>
      <c r="V279" s="112"/>
      <c r="W279" s="112"/>
    </row>
    <row r="280" spans="1:23" s="2" customFormat="1" ht="12">
      <c r="A280" s="11"/>
      <c r="B280" s="108"/>
      <c r="C280" s="109"/>
      <c r="D280" s="14" t="str">
        <f t="shared" si="14"/>
        <v>青团社</v>
      </c>
      <c r="E280" s="109"/>
      <c r="F280" s="112"/>
      <c r="G280" s="109"/>
      <c r="H280" s="109"/>
      <c r="I280" s="109"/>
      <c r="J280" s="109"/>
      <c r="K280" s="109"/>
      <c r="L280" s="109"/>
      <c r="M280" s="109"/>
      <c r="N280" s="13" t="s">
        <v>8605</v>
      </c>
      <c r="O280" s="13" t="s">
        <v>257</v>
      </c>
      <c r="P280" s="13" t="s">
        <v>1206</v>
      </c>
      <c r="Q280" s="15" t="s">
        <v>8606</v>
      </c>
      <c r="R280" s="109"/>
      <c r="S280" s="109"/>
      <c r="T280" s="112"/>
      <c r="U280" s="112"/>
      <c r="V280" s="112"/>
      <c r="W280" s="112"/>
    </row>
    <row r="281" spans="1:23" s="2" customFormat="1" ht="12">
      <c r="A281" s="11"/>
      <c r="B281" s="108"/>
      <c r="C281" s="109"/>
      <c r="D281" s="14" t="str">
        <f t="shared" si="14"/>
        <v>青团社</v>
      </c>
      <c r="E281" s="109"/>
      <c r="F281" s="112"/>
      <c r="G281" s="109"/>
      <c r="H281" s="109"/>
      <c r="I281" s="109"/>
      <c r="J281" s="109"/>
      <c r="K281" s="109"/>
      <c r="L281" s="109"/>
      <c r="M281" s="109"/>
      <c r="N281" s="13" t="s">
        <v>8479</v>
      </c>
      <c r="O281" s="13" t="s">
        <v>260</v>
      </c>
      <c r="P281" s="13" t="s">
        <v>360</v>
      </c>
      <c r="Q281" s="13" t="s">
        <v>253</v>
      </c>
      <c r="R281" s="109"/>
      <c r="S281" s="109"/>
      <c r="T281" s="112"/>
      <c r="U281" s="112"/>
      <c r="V281" s="112"/>
      <c r="W281" s="112"/>
    </row>
    <row r="282" spans="1:23" s="2" customFormat="1" ht="12">
      <c r="A282" s="11"/>
      <c r="B282" s="108"/>
      <c r="C282" s="109"/>
      <c r="D282" s="14" t="str">
        <f t="shared" si="14"/>
        <v>青团社</v>
      </c>
      <c r="E282" s="109"/>
      <c r="F282" s="112"/>
      <c r="G282" s="109"/>
      <c r="H282" s="109"/>
      <c r="I282" s="109"/>
      <c r="J282" s="109"/>
      <c r="K282" s="109"/>
      <c r="L282" s="109"/>
      <c r="M282" s="109"/>
      <c r="N282" s="13" t="s">
        <v>241</v>
      </c>
      <c r="O282" s="13" t="s">
        <v>262</v>
      </c>
      <c r="P282" s="13" t="s">
        <v>8607</v>
      </c>
      <c r="Q282" s="15" t="s">
        <v>8608</v>
      </c>
      <c r="R282" s="109"/>
      <c r="S282" s="109"/>
      <c r="T282" s="112"/>
      <c r="U282" s="112"/>
      <c r="V282" s="112"/>
      <c r="W282" s="112"/>
    </row>
    <row r="283" spans="1:23" s="2" customFormat="1" ht="12">
      <c r="A283" s="11"/>
      <c r="B283" s="108"/>
      <c r="C283" s="109"/>
      <c r="D283" s="14" t="str">
        <f t="shared" si="14"/>
        <v>青团社</v>
      </c>
      <c r="E283" s="109"/>
      <c r="F283" s="112"/>
      <c r="G283" s="109"/>
      <c r="H283" s="109"/>
      <c r="I283" s="109"/>
      <c r="J283" s="109"/>
      <c r="K283" s="109"/>
      <c r="L283" s="109"/>
      <c r="M283" s="109"/>
      <c r="N283" s="13" t="s">
        <v>8609</v>
      </c>
      <c r="O283" s="13" t="s">
        <v>721</v>
      </c>
      <c r="P283" s="13" t="s">
        <v>360</v>
      </c>
      <c r="Q283" s="15" t="s">
        <v>8610</v>
      </c>
      <c r="R283" s="109"/>
      <c r="S283" s="109"/>
      <c r="T283" s="112"/>
      <c r="U283" s="112"/>
      <c r="V283" s="112"/>
      <c r="W283" s="112"/>
    </row>
    <row r="284" spans="1:23" s="2" customFormat="1" ht="12">
      <c r="A284" s="11"/>
      <c r="B284" s="108"/>
      <c r="C284" s="109"/>
      <c r="D284" s="14" t="str">
        <f t="shared" si="14"/>
        <v>青团社</v>
      </c>
      <c r="E284" s="109"/>
      <c r="F284" s="112"/>
      <c r="G284" s="109"/>
      <c r="H284" s="109"/>
      <c r="I284" s="109"/>
      <c r="J284" s="109"/>
      <c r="K284" s="109"/>
      <c r="L284" s="109"/>
      <c r="M284" s="109"/>
      <c r="N284" s="13" t="s">
        <v>8611</v>
      </c>
      <c r="O284" s="15" t="s">
        <v>326</v>
      </c>
      <c r="P284" s="13" t="s">
        <v>3653</v>
      </c>
      <c r="Q284" s="15" t="s">
        <v>8612</v>
      </c>
      <c r="R284" s="109"/>
      <c r="S284" s="109"/>
      <c r="T284" s="112"/>
      <c r="U284" s="112"/>
      <c r="V284" s="112"/>
      <c r="W284" s="112"/>
    </row>
    <row r="285" spans="1:23" s="2" customFormat="1" ht="12">
      <c r="A285" s="11"/>
      <c r="B285" s="108"/>
      <c r="C285" s="109" t="s">
        <v>4788</v>
      </c>
      <c r="D285" s="14" t="s">
        <v>8613</v>
      </c>
      <c r="E285" s="113" t="s">
        <v>8614</v>
      </c>
      <c r="F285" s="114" t="s">
        <v>8615</v>
      </c>
      <c r="G285" s="113" t="s">
        <v>8616</v>
      </c>
      <c r="H285" s="109" t="s">
        <v>8617</v>
      </c>
      <c r="I285" s="109" t="s">
        <v>3464</v>
      </c>
      <c r="J285" s="113" t="s">
        <v>406</v>
      </c>
      <c r="K285" s="113" t="s">
        <v>272</v>
      </c>
      <c r="L285" s="113" t="s">
        <v>350</v>
      </c>
      <c r="M285" s="113" t="s">
        <v>1379</v>
      </c>
      <c r="N285" s="13" t="s">
        <v>4788</v>
      </c>
      <c r="O285" s="13" t="s">
        <v>257</v>
      </c>
      <c r="P285" s="15" t="s">
        <v>252</v>
      </c>
      <c r="Q285" s="15" t="s">
        <v>8618</v>
      </c>
      <c r="R285" s="109" t="s">
        <v>8619</v>
      </c>
      <c r="S285" s="113" t="s">
        <v>255</v>
      </c>
      <c r="T285" s="114" t="s">
        <v>8620</v>
      </c>
      <c r="U285" s="114" t="s">
        <v>8621</v>
      </c>
      <c r="V285" s="112" t="s">
        <v>8622</v>
      </c>
      <c r="W285" s="112"/>
    </row>
    <row r="286" spans="1:23" s="2" customFormat="1" ht="12">
      <c r="A286" s="11"/>
      <c r="B286" s="108"/>
      <c r="C286" s="109"/>
      <c r="D286" s="14" t="str">
        <f>D285</f>
        <v>垂衣CHAMPZEE</v>
      </c>
      <c r="E286" s="109"/>
      <c r="F286" s="112"/>
      <c r="G286" s="109"/>
      <c r="H286" s="109"/>
      <c r="I286" s="109"/>
      <c r="J286" s="109"/>
      <c r="K286" s="109"/>
      <c r="L286" s="109"/>
      <c r="M286" s="109"/>
      <c r="N286" s="13" t="s">
        <v>8623</v>
      </c>
      <c r="O286" s="13" t="s">
        <v>260</v>
      </c>
      <c r="P286" s="15" t="s">
        <v>276</v>
      </c>
      <c r="Q286" s="15" t="s">
        <v>8624</v>
      </c>
      <c r="R286" s="109"/>
      <c r="S286" s="109"/>
      <c r="T286" s="112"/>
      <c r="U286" s="112"/>
      <c r="V286" s="112"/>
      <c r="W286" s="112"/>
    </row>
    <row r="287" spans="1:23" s="2" customFormat="1" ht="12">
      <c r="A287" s="11"/>
      <c r="B287" s="108"/>
      <c r="C287" s="109"/>
      <c r="D287" s="14" t="str">
        <f>D286</f>
        <v>垂衣CHAMPZEE</v>
      </c>
      <c r="E287" s="109"/>
      <c r="F287" s="112"/>
      <c r="G287" s="109"/>
      <c r="H287" s="109"/>
      <c r="I287" s="109"/>
      <c r="J287" s="109"/>
      <c r="K287" s="109"/>
      <c r="L287" s="109"/>
      <c r="M287" s="109"/>
      <c r="N287" s="13" t="s">
        <v>8625</v>
      </c>
      <c r="O287" s="13" t="s">
        <v>262</v>
      </c>
      <c r="P287" s="15" t="s">
        <v>276</v>
      </c>
      <c r="Q287" s="15" t="s">
        <v>8626</v>
      </c>
      <c r="R287" s="109"/>
      <c r="S287" s="109"/>
      <c r="T287" s="112"/>
      <c r="U287" s="112"/>
      <c r="V287" s="112"/>
      <c r="W287" s="112"/>
    </row>
    <row r="288" spans="1:23" s="2" customFormat="1" ht="12">
      <c r="A288" s="11"/>
      <c r="B288" s="108"/>
      <c r="C288" s="109"/>
      <c r="D288" s="14" t="str">
        <f>D287</f>
        <v>垂衣CHAMPZEE</v>
      </c>
      <c r="E288" s="109"/>
      <c r="F288" s="112"/>
      <c r="G288" s="109"/>
      <c r="H288" s="109"/>
      <c r="I288" s="109"/>
      <c r="J288" s="109"/>
      <c r="K288" s="109"/>
      <c r="L288" s="109"/>
      <c r="M288" s="109"/>
      <c r="N288" s="13" t="s">
        <v>4183</v>
      </c>
      <c r="O288" s="13" t="s">
        <v>721</v>
      </c>
      <c r="P288" s="13" t="s">
        <v>8627</v>
      </c>
      <c r="Q288" s="15" t="s">
        <v>8628</v>
      </c>
      <c r="R288" s="109"/>
      <c r="S288" s="109"/>
      <c r="T288" s="112"/>
      <c r="U288" s="112"/>
      <c r="V288" s="112"/>
      <c r="W288" s="112"/>
    </row>
    <row r="289" spans="1:23" s="2" customFormat="1" ht="12">
      <c r="A289" s="11"/>
      <c r="B289" s="108"/>
      <c r="C289" s="109"/>
      <c r="D289" s="14" t="str">
        <f>D288</f>
        <v>垂衣CHAMPZEE</v>
      </c>
      <c r="E289" s="109"/>
      <c r="F289" s="112"/>
      <c r="G289" s="109"/>
      <c r="H289" s="109"/>
      <c r="I289" s="109"/>
      <c r="J289" s="109"/>
      <c r="K289" s="109"/>
      <c r="L289" s="109"/>
      <c r="M289" s="109"/>
      <c r="N289" s="13" t="s">
        <v>8629</v>
      </c>
      <c r="O289" s="15" t="s">
        <v>326</v>
      </c>
      <c r="P289" s="15" t="s">
        <v>327</v>
      </c>
      <c r="Q289" s="15" t="s">
        <v>8630</v>
      </c>
      <c r="R289" s="109"/>
      <c r="S289" s="109"/>
      <c r="T289" s="112"/>
      <c r="U289" s="112"/>
      <c r="V289" s="112"/>
      <c r="W289" s="112"/>
    </row>
    <row r="290" spans="1:23" s="2" customFormat="1" ht="12">
      <c r="A290" s="11"/>
      <c r="B290" s="108"/>
      <c r="C290" s="109"/>
      <c r="D290" s="14" t="str">
        <f>D289</f>
        <v>垂衣CHAMPZEE</v>
      </c>
      <c r="E290" s="109"/>
      <c r="F290" s="112"/>
      <c r="G290" s="109"/>
      <c r="H290" s="109"/>
      <c r="I290" s="109"/>
      <c r="J290" s="109"/>
      <c r="K290" s="109"/>
      <c r="L290" s="109"/>
      <c r="M290" s="109"/>
      <c r="N290" s="13" t="s">
        <v>8449</v>
      </c>
      <c r="O290" s="15" t="s">
        <v>437</v>
      </c>
      <c r="P290" s="13" t="s">
        <v>623</v>
      </c>
      <c r="Q290" s="15" t="s">
        <v>5369</v>
      </c>
      <c r="R290" s="109"/>
      <c r="S290" s="109"/>
      <c r="T290" s="112"/>
      <c r="U290" s="112"/>
      <c r="V290" s="112"/>
      <c r="W290" s="112"/>
    </row>
    <row r="291" spans="1:23" s="2" customFormat="1" ht="12">
      <c r="A291" s="11"/>
      <c r="B291" s="108"/>
      <c r="C291" s="109" t="s">
        <v>8631</v>
      </c>
      <c r="D291" s="14" t="s">
        <v>8632</v>
      </c>
      <c r="E291" s="113" t="s">
        <v>8632</v>
      </c>
      <c r="F291" s="114" t="s">
        <v>8633</v>
      </c>
      <c r="G291" s="113" t="s">
        <v>8634</v>
      </c>
      <c r="H291" s="109" t="s">
        <v>8635</v>
      </c>
      <c r="I291" s="109" t="s">
        <v>8636</v>
      </c>
      <c r="J291" s="113" t="s">
        <v>973</v>
      </c>
      <c r="K291" s="113" t="s">
        <v>272</v>
      </c>
      <c r="L291" s="113" t="s">
        <v>1798</v>
      </c>
      <c r="M291" s="113" t="s">
        <v>8637</v>
      </c>
      <c r="N291" s="13" t="s">
        <v>8631</v>
      </c>
      <c r="O291" s="15" t="s">
        <v>285</v>
      </c>
      <c r="P291" s="15" t="s">
        <v>252</v>
      </c>
      <c r="Q291" s="15" t="s">
        <v>2229</v>
      </c>
      <c r="R291" s="109" t="s">
        <v>8638</v>
      </c>
      <c r="S291" s="113" t="s">
        <v>255</v>
      </c>
      <c r="T291" s="114" t="s">
        <v>8639</v>
      </c>
      <c r="U291" s="112"/>
      <c r="V291" s="112"/>
      <c r="W291" s="112"/>
    </row>
    <row r="292" spans="1:23" s="2" customFormat="1" ht="12">
      <c r="A292" s="11"/>
      <c r="B292" s="108"/>
      <c r="C292" s="109"/>
      <c r="D292" s="14" t="str">
        <f t="shared" ref="D292:D297" si="15">D291</f>
        <v>洛克公园</v>
      </c>
      <c r="E292" s="109"/>
      <c r="F292" s="112"/>
      <c r="G292" s="109"/>
      <c r="H292" s="109"/>
      <c r="I292" s="109"/>
      <c r="J292" s="109"/>
      <c r="K292" s="109"/>
      <c r="L292" s="109"/>
      <c r="M292" s="109"/>
      <c r="N292" s="13" t="s">
        <v>8640</v>
      </c>
      <c r="O292" s="13" t="s">
        <v>523</v>
      </c>
      <c r="P292" s="15" t="s">
        <v>409</v>
      </c>
      <c r="Q292" s="15" t="s">
        <v>8641</v>
      </c>
      <c r="R292" s="109"/>
      <c r="S292" s="109"/>
      <c r="T292" s="112"/>
      <c r="U292" s="112"/>
      <c r="V292" s="112"/>
      <c r="W292" s="112"/>
    </row>
    <row r="293" spans="1:23" s="2" customFormat="1" ht="12">
      <c r="A293" s="11"/>
      <c r="B293" s="108"/>
      <c r="C293" s="109"/>
      <c r="D293" s="14" t="str">
        <f t="shared" si="15"/>
        <v>洛克公园</v>
      </c>
      <c r="E293" s="109"/>
      <c r="F293" s="112"/>
      <c r="G293" s="109"/>
      <c r="H293" s="109"/>
      <c r="I293" s="109"/>
      <c r="J293" s="109"/>
      <c r="K293" s="109"/>
      <c r="L293" s="109"/>
      <c r="M293" s="109"/>
      <c r="N293" s="13" t="s">
        <v>8642</v>
      </c>
      <c r="O293" s="13" t="s">
        <v>251</v>
      </c>
      <c r="P293" s="15" t="s">
        <v>252</v>
      </c>
      <c r="Q293" s="15" t="s">
        <v>8643</v>
      </c>
      <c r="R293" s="109"/>
      <c r="S293" s="109"/>
      <c r="T293" s="112"/>
      <c r="U293" s="112"/>
      <c r="V293" s="112"/>
      <c r="W293" s="112"/>
    </row>
    <row r="294" spans="1:23" s="2" customFormat="1" ht="12">
      <c r="A294" s="11"/>
      <c r="B294" s="108"/>
      <c r="C294" s="109"/>
      <c r="D294" s="14" t="str">
        <f t="shared" si="15"/>
        <v>洛克公园</v>
      </c>
      <c r="E294" s="109"/>
      <c r="F294" s="112"/>
      <c r="G294" s="109"/>
      <c r="H294" s="109"/>
      <c r="I294" s="109"/>
      <c r="J294" s="109"/>
      <c r="K294" s="109"/>
      <c r="L294" s="109"/>
      <c r="M294" s="109"/>
      <c r="N294" s="13" t="s">
        <v>4047</v>
      </c>
      <c r="O294" s="13" t="s">
        <v>565</v>
      </c>
      <c r="P294" s="13" t="s">
        <v>395</v>
      </c>
      <c r="Q294" s="15" t="s">
        <v>8644</v>
      </c>
      <c r="R294" s="109"/>
      <c r="S294" s="109"/>
      <c r="T294" s="112"/>
      <c r="U294" s="112"/>
      <c r="V294" s="112"/>
      <c r="W294" s="112"/>
    </row>
    <row r="295" spans="1:23" s="2" customFormat="1" ht="12">
      <c r="A295" s="11"/>
      <c r="B295" s="108"/>
      <c r="C295" s="109"/>
      <c r="D295" s="14" t="str">
        <f t="shared" si="15"/>
        <v>洛克公园</v>
      </c>
      <c r="E295" s="109"/>
      <c r="F295" s="112"/>
      <c r="G295" s="109"/>
      <c r="H295" s="109"/>
      <c r="I295" s="109"/>
      <c r="J295" s="109"/>
      <c r="K295" s="109"/>
      <c r="L295" s="109"/>
      <c r="M295" s="109"/>
      <c r="N295" s="13" t="s">
        <v>8056</v>
      </c>
      <c r="O295" s="13" t="s">
        <v>257</v>
      </c>
      <c r="P295" s="15" t="s">
        <v>341</v>
      </c>
      <c r="Q295" s="15" t="s">
        <v>715</v>
      </c>
      <c r="R295" s="109"/>
      <c r="S295" s="109"/>
      <c r="T295" s="112"/>
      <c r="U295" s="112"/>
      <c r="V295" s="112"/>
      <c r="W295" s="112"/>
    </row>
    <row r="296" spans="1:23" s="2" customFormat="1" ht="12">
      <c r="A296" s="11"/>
      <c r="B296" s="108"/>
      <c r="C296" s="109"/>
      <c r="D296" s="14" t="str">
        <f t="shared" si="15"/>
        <v>洛克公园</v>
      </c>
      <c r="E296" s="109"/>
      <c r="F296" s="112"/>
      <c r="G296" s="109"/>
      <c r="H296" s="109"/>
      <c r="I296" s="109"/>
      <c r="J296" s="109"/>
      <c r="K296" s="109"/>
      <c r="L296" s="109"/>
      <c r="M296" s="109"/>
      <c r="N296" s="13" t="s">
        <v>8645</v>
      </c>
      <c r="O296" s="13" t="s">
        <v>4142</v>
      </c>
      <c r="P296" s="13" t="s">
        <v>3761</v>
      </c>
      <c r="Q296" s="13" t="s">
        <v>2859</v>
      </c>
      <c r="R296" s="109"/>
      <c r="S296" s="109"/>
      <c r="T296" s="112"/>
      <c r="U296" s="112"/>
      <c r="V296" s="112"/>
      <c r="W296" s="112"/>
    </row>
    <row r="297" spans="1:23" s="2" customFormat="1" ht="12">
      <c r="A297" s="11"/>
      <c r="B297" s="108"/>
      <c r="C297" s="109"/>
      <c r="D297" s="14" t="str">
        <f t="shared" si="15"/>
        <v>洛克公园</v>
      </c>
      <c r="E297" s="109"/>
      <c r="F297" s="112"/>
      <c r="G297" s="109"/>
      <c r="H297" s="109"/>
      <c r="I297" s="109"/>
      <c r="J297" s="109"/>
      <c r="K297" s="109"/>
      <c r="L297" s="109"/>
      <c r="M297" s="109"/>
      <c r="N297" s="13" t="s">
        <v>8646</v>
      </c>
      <c r="O297" s="13" t="s">
        <v>262</v>
      </c>
      <c r="P297" s="15" t="s">
        <v>341</v>
      </c>
      <c r="Q297" s="15" t="s">
        <v>8647</v>
      </c>
      <c r="R297" s="109"/>
      <c r="S297" s="109"/>
      <c r="T297" s="112"/>
      <c r="U297" s="112"/>
      <c r="V297" s="112"/>
      <c r="W297" s="112"/>
    </row>
    <row r="298" spans="1:23" s="2" customFormat="1" ht="24">
      <c r="A298" s="11"/>
      <c r="B298" s="108"/>
      <c r="C298" s="13" t="s">
        <v>8648</v>
      </c>
      <c r="D298" s="19" t="s">
        <v>8649</v>
      </c>
      <c r="E298" s="15" t="s">
        <v>8649</v>
      </c>
      <c r="F298" s="16" t="s">
        <v>8650</v>
      </c>
      <c r="G298" s="15" t="s">
        <v>8651</v>
      </c>
      <c r="H298" s="13" t="s">
        <v>8652</v>
      </c>
      <c r="I298" s="13" t="s">
        <v>784</v>
      </c>
      <c r="J298" s="15" t="s">
        <v>428</v>
      </c>
      <c r="K298" s="15" t="s">
        <v>272</v>
      </c>
      <c r="L298" s="15" t="s">
        <v>1859</v>
      </c>
      <c r="M298" s="15" t="s">
        <v>4452</v>
      </c>
      <c r="N298" s="13" t="s">
        <v>8648</v>
      </c>
      <c r="O298" s="15" t="s">
        <v>471</v>
      </c>
      <c r="P298" s="13" t="s">
        <v>1716</v>
      </c>
      <c r="Q298" s="15" t="s">
        <v>2229</v>
      </c>
      <c r="R298" s="13" t="s">
        <v>1800</v>
      </c>
      <c r="S298" s="13" t="s">
        <v>1718</v>
      </c>
      <c r="T298" s="18"/>
      <c r="U298" s="18"/>
      <c r="V298" s="18"/>
      <c r="W298" s="18"/>
    </row>
    <row r="299" spans="1:23" s="2" customFormat="1" ht="12">
      <c r="A299" s="11"/>
      <c r="B299" s="108"/>
      <c r="C299" s="109" t="s">
        <v>8653</v>
      </c>
      <c r="D299" s="14" t="s">
        <v>8654</v>
      </c>
      <c r="E299" s="113" t="s">
        <v>8654</v>
      </c>
      <c r="F299" s="114" t="s">
        <v>8655</v>
      </c>
      <c r="G299" s="113" t="s">
        <v>8656</v>
      </c>
      <c r="H299" s="109" t="s">
        <v>8657</v>
      </c>
      <c r="I299" s="109" t="s">
        <v>3527</v>
      </c>
      <c r="J299" s="113" t="s">
        <v>1980</v>
      </c>
      <c r="K299" s="113" t="s">
        <v>272</v>
      </c>
      <c r="L299" s="113" t="s">
        <v>249</v>
      </c>
      <c r="M299" s="113" t="s">
        <v>8658</v>
      </c>
      <c r="N299" s="13" t="s">
        <v>8653</v>
      </c>
      <c r="O299" s="13" t="s">
        <v>260</v>
      </c>
      <c r="P299" s="15" t="s">
        <v>341</v>
      </c>
      <c r="Q299" s="15" t="s">
        <v>2229</v>
      </c>
      <c r="R299" s="109" t="s">
        <v>8659</v>
      </c>
      <c r="S299" s="109" t="s">
        <v>432</v>
      </c>
      <c r="T299" s="114" t="s">
        <v>8660</v>
      </c>
      <c r="U299" s="114" t="s">
        <v>8661</v>
      </c>
      <c r="V299" s="112" t="s">
        <v>8662</v>
      </c>
      <c r="W299" s="112" t="s">
        <v>8663</v>
      </c>
    </row>
    <row r="300" spans="1:23" s="2" customFormat="1" ht="12">
      <c r="A300" s="11"/>
      <c r="B300" s="108"/>
      <c r="C300" s="109"/>
      <c r="D300" s="14" t="str">
        <f>D299</f>
        <v>海鸟窝</v>
      </c>
      <c r="E300" s="109"/>
      <c r="F300" s="112"/>
      <c r="G300" s="109"/>
      <c r="H300" s="109"/>
      <c r="I300" s="109"/>
      <c r="J300" s="109"/>
      <c r="K300" s="109"/>
      <c r="L300" s="109"/>
      <c r="M300" s="109"/>
      <c r="N300" s="13" t="s">
        <v>8664</v>
      </c>
      <c r="O300" s="13" t="s">
        <v>260</v>
      </c>
      <c r="P300" s="13" t="s">
        <v>2494</v>
      </c>
      <c r="Q300" s="15" t="s">
        <v>8665</v>
      </c>
      <c r="R300" s="109"/>
      <c r="S300" s="109"/>
      <c r="T300" s="112"/>
      <c r="U300" s="112"/>
      <c r="V300" s="112"/>
      <c r="W300" s="112"/>
    </row>
    <row r="301" spans="1:23" s="2" customFormat="1" ht="12">
      <c r="A301" s="11"/>
      <c r="B301" s="108"/>
      <c r="C301" s="109"/>
      <c r="D301" s="14" t="str">
        <f>D300</f>
        <v>海鸟窝</v>
      </c>
      <c r="E301" s="109"/>
      <c r="F301" s="112"/>
      <c r="G301" s="109"/>
      <c r="H301" s="109"/>
      <c r="I301" s="109"/>
      <c r="J301" s="109"/>
      <c r="K301" s="109"/>
      <c r="L301" s="109"/>
      <c r="M301" s="109"/>
      <c r="N301" s="13" t="s">
        <v>8666</v>
      </c>
      <c r="O301" s="13" t="s">
        <v>262</v>
      </c>
      <c r="P301" s="13" t="s">
        <v>3833</v>
      </c>
      <c r="Q301" s="15" t="s">
        <v>8667</v>
      </c>
      <c r="R301" s="109"/>
      <c r="S301" s="109"/>
      <c r="T301" s="112"/>
      <c r="U301" s="112"/>
      <c r="V301" s="112"/>
      <c r="W301" s="112"/>
    </row>
    <row r="302" spans="1:23" s="2" customFormat="1" ht="12">
      <c r="A302" s="11"/>
      <c r="B302" s="108"/>
      <c r="C302" s="109" t="s">
        <v>8477</v>
      </c>
      <c r="D302" s="14" t="s">
        <v>8668</v>
      </c>
      <c r="E302" s="109" t="s">
        <v>8669</v>
      </c>
      <c r="F302" s="112" t="s">
        <v>8670</v>
      </c>
      <c r="G302" s="113" t="s">
        <v>8671</v>
      </c>
      <c r="H302" s="109" t="s">
        <v>8672</v>
      </c>
      <c r="I302" s="109" t="s">
        <v>2176</v>
      </c>
      <c r="J302" s="113" t="s">
        <v>1041</v>
      </c>
      <c r="K302" s="113" t="s">
        <v>272</v>
      </c>
      <c r="L302" s="113" t="s">
        <v>350</v>
      </c>
      <c r="M302" s="113" t="s">
        <v>1379</v>
      </c>
      <c r="N302" s="13" t="s">
        <v>8477</v>
      </c>
      <c r="O302" s="13" t="s">
        <v>257</v>
      </c>
      <c r="P302" s="13" t="s">
        <v>805</v>
      </c>
      <c r="Q302" s="15" t="s">
        <v>8673</v>
      </c>
      <c r="R302" s="109" t="s">
        <v>8674</v>
      </c>
      <c r="S302" s="109" t="s">
        <v>551</v>
      </c>
      <c r="T302" s="114" t="s">
        <v>8675</v>
      </c>
      <c r="U302" s="114" t="s">
        <v>8676</v>
      </c>
      <c r="V302" s="112" t="s">
        <v>8677</v>
      </c>
      <c r="W302" s="112" t="s">
        <v>8678</v>
      </c>
    </row>
    <row r="303" spans="1:23" s="2" customFormat="1" ht="12">
      <c r="A303" s="11"/>
      <c r="B303" s="108"/>
      <c r="C303" s="109"/>
      <c r="D303" s="14" t="str">
        <f>D302</f>
        <v>MsParis女神派</v>
      </c>
      <c r="E303" s="109"/>
      <c r="F303" s="112"/>
      <c r="G303" s="109"/>
      <c r="H303" s="109"/>
      <c r="I303" s="109"/>
      <c r="J303" s="109"/>
      <c r="K303" s="109"/>
      <c r="L303" s="109"/>
      <c r="M303" s="109"/>
      <c r="N303" s="13" t="s">
        <v>8679</v>
      </c>
      <c r="O303" s="13" t="s">
        <v>262</v>
      </c>
      <c r="P303" s="13" t="s">
        <v>1669</v>
      </c>
      <c r="Q303" s="15" t="s">
        <v>8680</v>
      </c>
      <c r="R303" s="109"/>
      <c r="S303" s="109"/>
      <c r="T303" s="112"/>
      <c r="U303" s="112"/>
      <c r="V303" s="112"/>
      <c r="W303" s="112"/>
    </row>
    <row r="304" spans="1:23" s="2" customFormat="1" ht="12">
      <c r="A304" s="11"/>
      <c r="B304" s="108"/>
      <c r="C304" s="109"/>
      <c r="D304" s="14" t="str">
        <f>D303</f>
        <v>MsParis女神派</v>
      </c>
      <c r="E304" s="109"/>
      <c r="F304" s="112"/>
      <c r="G304" s="109"/>
      <c r="H304" s="109"/>
      <c r="I304" s="109"/>
      <c r="J304" s="109"/>
      <c r="K304" s="109"/>
      <c r="L304" s="109"/>
      <c r="M304" s="109"/>
      <c r="N304" s="13" t="s">
        <v>8681</v>
      </c>
      <c r="O304" s="13" t="s">
        <v>721</v>
      </c>
      <c r="P304" s="13" t="s">
        <v>324</v>
      </c>
      <c r="Q304" s="15" t="s">
        <v>8435</v>
      </c>
      <c r="R304" s="109"/>
      <c r="S304" s="109"/>
      <c r="T304" s="112"/>
      <c r="U304" s="112"/>
      <c r="V304" s="112"/>
      <c r="W304" s="112"/>
    </row>
    <row r="305" spans="1:23" s="2" customFormat="1" ht="12">
      <c r="A305" s="11"/>
      <c r="B305" s="108"/>
      <c r="C305" s="109" t="s">
        <v>2897</v>
      </c>
      <c r="D305" s="14" t="s">
        <v>1998</v>
      </c>
      <c r="E305" s="109" t="s">
        <v>1998</v>
      </c>
      <c r="F305" s="112" t="s">
        <v>2898</v>
      </c>
      <c r="G305" s="109"/>
      <c r="H305" s="109" t="s">
        <v>2899</v>
      </c>
      <c r="I305" s="109" t="s">
        <v>246</v>
      </c>
      <c r="J305" s="113" t="s">
        <v>1725</v>
      </c>
      <c r="K305" s="113" t="s">
        <v>272</v>
      </c>
      <c r="L305" s="113" t="s">
        <v>1859</v>
      </c>
      <c r="M305" s="113" t="s">
        <v>2900</v>
      </c>
      <c r="N305" s="13" t="s">
        <v>2897</v>
      </c>
      <c r="O305" s="13" t="s">
        <v>763</v>
      </c>
      <c r="P305" s="13" t="s">
        <v>2901</v>
      </c>
      <c r="Q305" s="15" t="s">
        <v>2902</v>
      </c>
      <c r="R305" s="109" t="s">
        <v>2903</v>
      </c>
      <c r="S305" s="109" t="s">
        <v>2904</v>
      </c>
      <c r="T305" s="112" t="s">
        <v>2905</v>
      </c>
      <c r="U305" s="112"/>
      <c r="V305" s="112"/>
      <c r="W305" s="112"/>
    </row>
    <row r="306" spans="1:23" s="2" customFormat="1" ht="12">
      <c r="A306" s="11"/>
      <c r="B306" s="108"/>
      <c r="C306" s="109"/>
      <c r="D306" s="14" t="str">
        <f t="shared" ref="D306:D316" si="16">D305</f>
        <v>Paytm</v>
      </c>
      <c r="E306" s="109"/>
      <c r="F306" s="112"/>
      <c r="G306" s="109"/>
      <c r="H306" s="109"/>
      <c r="I306" s="109"/>
      <c r="J306" s="109"/>
      <c r="K306" s="109"/>
      <c r="L306" s="109"/>
      <c r="M306" s="109"/>
      <c r="N306" s="13" t="s">
        <v>8682</v>
      </c>
      <c r="O306" s="15" t="s">
        <v>285</v>
      </c>
      <c r="P306" s="13" t="s">
        <v>320</v>
      </c>
      <c r="Q306" s="15" t="s">
        <v>2906</v>
      </c>
      <c r="R306" s="109"/>
      <c r="S306" s="109"/>
      <c r="T306" s="112"/>
      <c r="U306" s="112"/>
      <c r="V306" s="112"/>
      <c r="W306" s="112"/>
    </row>
    <row r="307" spans="1:23" s="2" customFormat="1" ht="12">
      <c r="A307" s="11"/>
      <c r="B307" s="108"/>
      <c r="C307" s="109"/>
      <c r="D307" s="14" t="str">
        <f t="shared" si="16"/>
        <v>Paytm</v>
      </c>
      <c r="E307" s="109"/>
      <c r="F307" s="112"/>
      <c r="G307" s="109"/>
      <c r="H307" s="109"/>
      <c r="I307" s="109"/>
      <c r="J307" s="109"/>
      <c r="K307" s="109"/>
      <c r="L307" s="109"/>
      <c r="M307" s="109"/>
      <c r="N307" s="13" t="s">
        <v>8683</v>
      </c>
      <c r="O307" s="13" t="s">
        <v>2237</v>
      </c>
      <c r="P307" s="13" t="s">
        <v>306</v>
      </c>
      <c r="Q307" s="15" t="s">
        <v>2907</v>
      </c>
      <c r="R307" s="109"/>
      <c r="S307" s="109"/>
      <c r="T307" s="112"/>
      <c r="U307" s="112"/>
      <c r="V307" s="112"/>
      <c r="W307" s="112"/>
    </row>
    <row r="308" spans="1:23" s="2" customFormat="1" ht="12">
      <c r="A308" s="11"/>
      <c r="B308" s="108"/>
      <c r="C308" s="109"/>
      <c r="D308" s="14" t="str">
        <f t="shared" si="16"/>
        <v>Paytm</v>
      </c>
      <c r="E308" s="109"/>
      <c r="F308" s="112"/>
      <c r="G308" s="109"/>
      <c r="H308" s="109"/>
      <c r="I308" s="109"/>
      <c r="J308" s="109"/>
      <c r="K308" s="109"/>
      <c r="L308" s="109"/>
      <c r="M308" s="109"/>
      <c r="N308" s="13" t="s">
        <v>8684</v>
      </c>
      <c r="O308" s="15" t="s">
        <v>285</v>
      </c>
      <c r="P308" s="13" t="s">
        <v>1032</v>
      </c>
      <c r="Q308" s="15" t="s">
        <v>296</v>
      </c>
      <c r="R308" s="109"/>
      <c r="S308" s="109"/>
      <c r="T308" s="112"/>
      <c r="U308" s="112"/>
      <c r="V308" s="112"/>
      <c r="W308" s="112"/>
    </row>
    <row r="309" spans="1:23" s="2" customFormat="1" ht="12">
      <c r="A309" s="11"/>
      <c r="B309" s="108"/>
      <c r="C309" s="109"/>
      <c r="D309" s="14" t="str">
        <f t="shared" si="16"/>
        <v>Paytm</v>
      </c>
      <c r="E309" s="109"/>
      <c r="F309" s="112"/>
      <c r="G309" s="109"/>
      <c r="H309" s="109"/>
      <c r="I309" s="109"/>
      <c r="J309" s="109"/>
      <c r="K309" s="109"/>
      <c r="L309" s="109"/>
      <c r="M309" s="109"/>
      <c r="N309" s="13" t="s">
        <v>4796</v>
      </c>
      <c r="O309" s="15" t="s">
        <v>285</v>
      </c>
      <c r="P309" s="13" t="s">
        <v>2908</v>
      </c>
      <c r="Q309" s="13" t="s">
        <v>2909</v>
      </c>
      <c r="R309" s="109"/>
      <c r="S309" s="109"/>
      <c r="T309" s="112"/>
      <c r="U309" s="112"/>
      <c r="V309" s="112"/>
      <c r="W309" s="112"/>
    </row>
    <row r="310" spans="1:23" s="2" customFormat="1" ht="12">
      <c r="A310" s="11"/>
      <c r="B310" s="108"/>
      <c r="C310" s="109"/>
      <c r="D310" s="14" t="str">
        <f t="shared" si="16"/>
        <v>Paytm</v>
      </c>
      <c r="E310" s="109"/>
      <c r="F310" s="112"/>
      <c r="G310" s="109"/>
      <c r="H310" s="109"/>
      <c r="I310" s="109"/>
      <c r="J310" s="109"/>
      <c r="K310" s="109"/>
      <c r="L310" s="109"/>
      <c r="M310" s="109"/>
      <c r="N310" s="13" t="s">
        <v>8685</v>
      </c>
      <c r="O310" s="15" t="s">
        <v>285</v>
      </c>
      <c r="P310" s="13" t="s">
        <v>2910</v>
      </c>
      <c r="Q310" s="15" t="s">
        <v>2911</v>
      </c>
      <c r="R310" s="109"/>
      <c r="S310" s="109"/>
      <c r="T310" s="112"/>
      <c r="U310" s="112"/>
      <c r="V310" s="112"/>
      <c r="W310" s="112"/>
    </row>
    <row r="311" spans="1:23" s="2" customFormat="1" ht="12">
      <c r="A311" s="11"/>
      <c r="B311" s="108"/>
      <c r="C311" s="109"/>
      <c r="D311" s="14" t="str">
        <f t="shared" si="16"/>
        <v>Paytm</v>
      </c>
      <c r="E311" s="109"/>
      <c r="F311" s="112"/>
      <c r="G311" s="109"/>
      <c r="H311" s="109"/>
      <c r="I311" s="109"/>
      <c r="J311" s="109"/>
      <c r="K311" s="109"/>
      <c r="L311" s="109"/>
      <c r="M311" s="109"/>
      <c r="N311" s="13" t="s">
        <v>8686</v>
      </c>
      <c r="O311" s="15" t="s">
        <v>285</v>
      </c>
      <c r="P311" s="13" t="s">
        <v>286</v>
      </c>
      <c r="Q311" s="15" t="s">
        <v>2912</v>
      </c>
      <c r="R311" s="109"/>
      <c r="S311" s="109"/>
      <c r="T311" s="112"/>
      <c r="U311" s="112"/>
      <c r="V311" s="112"/>
      <c r="W311" s="112"/>
    </row>
    <row r="312" spans="1:23" s="2" customFormat="1" ht="12">
      <c r="A312" s="11"/>
      <c r="B312" s="108"/>
      <c r="C312" s="109"/>
      <c r="D312" s="14" t="str">
        <f t="shared" si="16"/>
        <v>Paytm</v>
      </c>
      <c r="E312" s="109"/>
      <c r="F312" s="112"/>
      <c r="G312" s="109"/>
      <c r="H312" s="109"/>
      <c r="I312" s="109"/>
      <c r="J312" s="109"/>
      <c r="K312" s="109"/>
      <c r="L312" s="109"/>
      <c r="M312" s="109"/>
      <c r="N312" s="13" t="s">
        <v>8687</v>
      </c>
      <c r="O312" s="13" t="s">
        <v>317</v>
      </c>
      <c r="P312" s="13" t="s">
        <v>2913</v>
      </c>
      <c r="Q312" s="15" t="s">
        <v>2912</v>
      </c>
      <c r="R312" s="109"/>
      <c r="S312" s="109"/>
      <c r="T312" s="112"/>
      <c r="U312" s="112"/>
      <c r="V312" s="112"/>
      <c r="W312" s="112"/>
    </row>
    <row r="313" spans="1:23" s="2" customFormat="1" ht="12">
      <c r="A313" s="11"/>
      <c r="B313" s="108"/>
      <c r="C313" s="109"/>
      <c r="D313" s="14" t="str">
        <f t="shared" si="16"/>
        <v>Paytm</v>
      </c>
      <c r="E313" s="109"/>
      <c r="F313" s="112"/>
      <c r="G313" s="109"/>
      <c r="H313" s="109"/>
      <c r="I313" s="109"/>
      <c r="J313" s="109"/>
      <c r="K313" s="109"/>
      <c r="L313" s="109"/>
      <c r="M313" s="109"/>
      <c r="N313" s="13" t="s">
        <v>8688</v>
      </c>
      <c r="O313" s="15" t="s">
        <v>285</v>
      </c>
      <c r="P313" s="13" t="s">
        <v>885</v>
      </c>
      <c r="Q313" s="15" t="s">
        <v>2914</v>
      </c>
      <c r="R313" s="109"/>
      <c r="S313" s="109"/>
      <c r="T313" s="112"/>
      <c r="U313" s="112"/>
      <c r="V313" s="112"/>
      <c r="W313" s="112"/>
    </row>
    <row r="314" spans="1:23" s="2" customFormat="1" ht="12">
      <c r="A314" s="11"/>
      <c r="B314" s="108"/>
      <c r="C314" s="109"/>
      <c r="D314" s="14" t="str">
        <f t="shared" si="16"/>
        <v>Paytm</v>
      </c>
      <c r="E314" s="109"/>
      <c r="F314" s="112"/>
      <c r="G314" s="109"/>
      <c r="H314" s="109"/>
      <c r="I314" s="109"/>
      <c r="J314" s="109"/>
      <c r="K314" s="109"/>
      <c r="L314" s="109"/>
      <c r="M314" s="109"/>
      <c r="N314" s="13" t="s">
        <v>8689</v>
      </c>
      <c r="O314" s="13" t="s">
        <v>251</v>
      </c>
      <c r="P314" s="15" t="s">
        <v>299</v>
      </c>
      <c r="Q314" s="15" t="s">
        <v>2915</v>
      </c>
      <c r="R314" s="109"/>
      <c r="S314" s="109"/>
      <c r="T314" s="112"/>
      <c r="U314" s="112"/>
      <c r="V314" s="112"/>
      <c r="W314" s="112"/>
    </row>
    <row r="315" spans="1:23" s="2" customFormat="1" ht="12">
      <c r="A315" s="11"/>
      <c r="B315" s="108"/>
      <c r="C315" s="109"/>
      <c r="D315" s="14" t="str">
        <f t="shared" si="16"/>
        <v>Paytm</v>
      </c>
      <c r="E315" s="109"/>
      <c r="F315" s="112"/>
      <c r="G315" s="109"/>
      <c r="H315" s="109"/>
      <c r="I315" s="109"/>
      <c r="J315" s="109"/>
      <c r="K315" s="109"/>
      <c r="L315" s="109"/>
      <c r="M315" s="109"/>
      <c r="N315" s="13" t="s">
        <v>8690</v>
      </c>
      <c r="O315" s="13" t="s">
        <v>257</v>
      </c>
      <c r="P315" s="13" t="s">
        <v>2916</v>
      </c>
      <c r="Q315" s="15" t="s">
        <v>586</v>
      </c>
      <c r="R315" s="109"/>
      <c r="S315" s="109"/>
      <c r="T315" s="112"/>
      <c r="U315" s="112"/>
      <c r="V315" s="112"/>
      <c r="W315" s="112"/>
    </row>
    <row r="316" spans="1:23" s="2" customFormat="1" ht="12">
      <c r="A316" s="11"/>
      <c r="B316" s="108"/>
      <c r="C316" s="109"/>
      <c r="D316" s="14" t="str">
        <f t="shared" si="16"/>
        <v>Paytm</v>
      </c>
      <c r="E316" s="109"/>
      <c r="F316" s="112"/>
      <c r="G316" s="109"/>
      <c r="H316" s="109"/>
      <c r="I316" s="109"/>
      <c r="J316" s="109"/>
      <c r="K316" s="109"/>
      <c r="L316" s="109"/>
      <c r="M316" s="109"/>
      <c r="N316" s="13" t="s">
        <v>8691</v>
      </c>
      <c r="O316" s="13" t="s">
        <v>262</v>
      </c>
      <c r="P316" s="13" t="s">
        <v>2917</v>
      </c>
      <c r="Q316" s="15" t="s">
        <v>2229</v>
      </c>
      <c r="R316" s="109"/>
      <c r="S316" s="109"/>
      <c r="T316" s="112"/>
      <c r="U316" s="112"/>
      <c r="V316" s="112"/>
      <c r="W316" s="112"/>
    </row>
    <row r="317" spans="1:23" s="2" customFormat="1" ht="12">
      <c r="A317" s="11"/>
      <c r="B317" s="108"/>
      <c r="C317" s="109" t="s">
        <v>8692</v>
      </c>
      <c r="D317" s="14" t="s">
        <v>8693</v>
      </c>
      <c r="E317" s="113" t="s">
        <v>8693</v>
      </c>
      <c r="F317" s="114" t="s">
        <v>8694</v>
      </c>
      <c r="G317" s="113" t="s">
        <v>8695</v>
      </c>
      <c r="H317" s="109" t="s">
        <v>8696</v>
      </c>
      <c r="I317" s="109" t="s">
        <v>444</v>
      </c>
      <c r="J317" s="113" t="s">
        <v>372</v>
      </c>
      <c r="K317" s="113" t="s">
        <v>272</v>
      </c>
      <c r="L317" s="113" t="s">
        <v>1859</v>
      </c>
      <c r="M317" s="113" t="s">
        <v>2900</v>
      </c>
      <c r="N317" s="13" t="s">
        <v>8692</v>
      </c>
      <c r="O317" s="13" t="s">
        <v>565</v>
      </c>
      <c r="P317" s="15" t="s">
        <v>341</v>
      </c>
      <c r="Q317" s="15" t="s">
        <v>8697</v>
      </c>
      <c r="R317" s="109" t="s">
        <v>1077</v>
      </c>
      <c r="S317" s="109" t="s">
        <v>432</v>
      </c>
      <c r="T317" s="114" t="s">
        <v>8698</v>
      </c>
      <c r="U317" s="114" t="s">
        <v>8699</v>
      </c>
      <c r="V317" s="112" t="s">
        <v>8700</v>
      </c>
      <c r="W317" s="112" t="s">
        <v>8701</v>
      </c>
    </row>
    <row r="318" spans="1:23" s="2" customFormat="1" ht="12">
      <c r="A318" s="11"/>
      <c r="B318" s="108"/>
      <c r="C318" s="109"/>
      <c r="D318" s="14" t="str">
        <f>D317</f>
        <v>利楚商服扫呗</v>
      </c>
      <c r="E318" s="109"/>
      <c r="F318" s="112"/>
      <c r="G318" s="109"/>
      <c r="H318" s="109"/>
      <c r="I318" s="109"/>
      <c r="J318" s="109"/>
      <c r="K318" s="109"/>
      <c r="L318" s="109"/>
      <c r="M318" s="109"/>
      <c r="N318" s="13" t="s">
        <v>8702</v>
      </c>
      <c r="O318" s="13" t="s">
        <v>257</v>
      </c>
      <c r="P318" s="15" t="s">
        <v>341</v>
      </c>
      <c r="Q318" s="15" t="s">
        <v>8703</v>
      </c>
      <c r="R318" s="109"/>
      <c r="S318" s="109"/>
      <c r="T318" s="112"/>
      <c r="U318" s="112"/>
      <c r="V318" s="112"/>
      <c r="W318" s="112"/>
    </row>
    <row r="319" spans="1:23" s="2" customFormat="1" ht="12">
      <c r="A319" s="11"/>
      <c r="B319" s="108"/>
      <c r="C319" s="109"/>
      <c r="D319" s="14" t="str">
        <f>D318</f>
        <v>利楚商服扫呗</v>
      </c>
      <c r="E319" s="109"/>
      <c r="F319" s="112"/>
      <c r="G319" s="109"/>
      <c r="H319" s="109"/>
      <c r="I319" s="109"/>
      <c r="J319" s="109"/>
      <c r="K319" s="109"/>
      <c r="L319" s="109"/>
      <c r="M319" s="109"/>
      <c r="N319" s="13" t="s">
        <v>4870</v>
      </c>
      <c r="O319" s="13" t="s">
        <v>262</v>
      </c>
      <c r="P319" s="13" t="s">
        <v>1164</v>
      </c>
      <c r="Q319" s="15" t="s">
        <v>8704</v>
      </c>
      <c r="R319" s="109"/>
      <c r="S319" s="109"/>
      <c r="T319" s="112"/>
      <c r="U319" s="112"/>
      <c r="V319" s="112"/>
      <c r="W319" s="112"/>
    </row>
    <row r="320" spans="1:23" s="2" customFormat="1" ht="12">
      <c r="A320" s="11"/>
      <c r="B320" s="108"/>
      <c r="C320" s="109"/>
      <c r="D320" s="14" t="str">
        <f>D319</f>
        <v>利楚商服扫呗</v>
      </c>
      <c r="E320" s="109"/>
      <c r="F320" s="112"/>
      <c r="G320" s="109"/>
      <c r="H320" s="109"/>
      <c r="I320" s="109"/>
      <c r="J320" s="109"/>
      <c r="K320" s="109"/>
      <c r="L320" s="109"/>
      <c r="M320" s="109"/>
      <c r="N320" s="13" t="s">
        <v>8705</v>
      </c>
      <c r="O320" s="13" t="s">
        <v>721</v>
      </c>
      <c r="P320" s="15" t="s">
        <v>341</v>
      </c>
      <c r="Q320" s="15" t="s">
        <v>8706</v>
      </c>
      <c r="R320" s="109"/>
      <c r="S320" s="109"/>
      <c r="T320" s="112"/>
      <c r="U320" s="112"/>
      <c r="V320" s="112"/>
      <c r="W320" s="112"/>
    </row>
    <row r="321" spans="1:23" s="2" customFormat="1" ht="12">
      <c r="A321" s="11"/>
      <c r="B321" s="108"/>
      <c r="C321" s="109" t="s">
        <v>967</v>
      </c>
      <c r="D321" s="14" t="s">
        <v>974</v>
      </c>
      <c r="E321" s="113" t="s">
        <v>974</v>
      </c>
      <c r="F321" s="114" t="s">
        <v>3059</v>
      </c>
      <c r="G321" s="113" t="s">
        <v>3060</v>
      </c>
      <c r="H321" s="109" t="s">
        <v>3061</v>
      </c>
      <c r="I321" s="109" t="s">
        <v>3062</v>
      </c>
      <c r="J321" s="113" t="s">
        <v>406</v>
      </c>
      <c r="K321" s="113" t="s">
        <v>272</v>
      </c>
      <c r="L321" s="113" t="s">
        <v>672</v>
      </c>
      <c r="M321" s="113" t="s">
        <v>673</v>
      </c>
      <c r="N321" s="13" t="s">
        <v>967</v>
      </c>
      <c r="O321" s="15" t="s">
        <v>313</v>
      </c>
      <c r="P321" s="15" t="s">
        <v>252</v>
      </c>
      <c r="Q321" s="15" t="s">
        <v>968</v>
      </c>
      <c r="R321" s="109" t="s">
        <v>3063</v>
      </c>
      <c r="S321" s="113" t="s">
        <v>255</v>
      </c>
      <c r="T321" s="112"/>
      <c r="U321" s="114" t="s">
        <v>3064</v>
      </c>
      <c r="V321" s="112" t="s">
        <v>3065</v>
      </c>
      <c r="W321" s="112"/>
    </row>
    <row r="322" spans="1:23" s="2" customFormat="1" ht="12">
      <c r="A322" s="11"/>
      <c r="B322" s="108"/>
      <c r="C322" s="109"/>
      <c r="D322" s="14" t="str">
        <f>D321</f>
        <v>口碑</v>
      </c>
      <c r="E322" s="109"/>
      <c r="F322" s="112"/>
      <c r="G322" s="109"/>
      <c r="H322" s="109"/>
      <c r="I322" s="109"/>
      <c r="J322" s="109"/>
      <c r="K322" s="109"/>
      <c r="L322" s="109"/>
      <c r="M322" s="109"/>
      <c r="N322" s="13" t="s">
        <v>8707</v>
      </c>
      <c r="O322" s="15" t="s">
        <v>285</v>
      </c>
      <c r="P322" s="13" t="s">
        <v>2161</v>
      </c>
      <c r="Q322" s="15" t="s">
        <v>3066</v>
      </c>
      <c r="R322" s="109"/>
      <c r="S322" s="109"/>
      <c r="T322" s="112"/>
      <c r="U322" s="112"/>
      <c r="V322" s="112"/>
      <c r="W322" s="112"/>
    </row>
    <row r="323" spans="1:23" s="2" customFormat="1" ht="12">
      <c r="A323" s="11"/>
      <c r="B323" s="108"/>
      <c r="C323" s="109"/>
      <c r="D323" s="14" t="str">
        <f>D322</f>
        <v>口碑</v>
      </c>
      <c r="E323" s="109"/>
      <c r="F323" s="112"/>
      <c r="G323" s="109"/>
      <c r="H323" s="109"/>
      <c r="I323" s="109"/>
      <c r="J323" s="109"/>
      <c r="K323" s="109"/>
      <c r="L323" s="109"/>
      <c r="M323" s="109"/>
      <c r="N323" s="13" t="s">
        <v>8708</v>
      </c>
      <c r="O323" s="15" t="s">
        <v>285</v>
      </c>
      <c r="P323" s="15" t="s">
        <v>409</v>
      </c>
      <c r="Q323" s="15" t="s">
        <v>3067</v>
      </c>
      <c r="R323" s="109"/>
      <c r="S323" s="109"/>
      <c r="T323" s="112"/>
      <c r="U323" s="112"/>
      <c r="V323" s="112"/>
      <c r="W323" s="112"/>
    </row>
    <row r="324" spans="1:23" s="2" customFormat="1" ht="12">
      <c r="A324" s="11"/>
      <c r="B324" s="108"/>
      <c r="C324" s="109"/>
      <c r="D324" s="14" t="str">
        <f>D323</f>
        <v>口碑</v>
      </c>
      <c r="E324" s="109"/>
      <c r="F324" s="112"/>
      <c r="G324" s="109"/>
      <c r="H324" s="109"/>
      <c r="I324" s="109"/>
      <c r="J324" s="109"/>
      <c r="K324" s="109"/>
      <c r="L324" s="109"/>
      <c r="M324" s="109"/>
      <c r="N324" s="13" t="s">
        <v>8709</v>
      </c>
      <c r="O324" s="15" t="s">
        <v>285</v>
      </c>
      <c r="P324" s="13" t="s">
        <v>3068</v>
      </c>
      <c r="Q324" s="15" t="s">
        <v>586</v>
      </c>
      <c r="R324" s="109"/>
      <c r="S324" s="109"/>
      <c r="T324" s="112"/>
      <c r="U324" s="112"/>
      <c r="V324" s="112"/>
      <c r="W324" s="112"/>
    </row>
    <row r="325" spans="1:23" s="2" customFormat="1" ht="12">
      <c r="A325" s="11"/>
      <c r="B325" s="108"/>
      <c r="C325" s="109"/>
      <c r="D325" s="14" t="str">
        <f>D324</f>
        <v>口碑</v>
      </c>
      <c r="E325" s="109"/>
      <c r="F325" s="112"/>
      <c r="G325" s="109"/>
      <c r="H325" s="109"/>
      <c r="I325" s="109"/>
      <c r="J325" s="109"/>
      <c r="K325" s="109"/>
      <c r="L325" s="109"/>
      <c r="M325" s="109"/>
      <c r="N325" s="13" t="s">
        <v>8710</v>
      </c>
      <c r="O325" s="15" t="s">
        <v>471</v>
      </c>
      <c r="P325" s="13" t="s">
        <v>460</v>
      </c>
      <c r="Q325" s="15" t="s">
        <v>240</v>
      </c>
      <c r="R325" s="109"/>
      <c r="S325" s="109"/>
      <c r="T325" s="112"/>
      <c r="U325" s="112"/>
      <c r="V325" s="112"/>
      <c r="W325" s="112"/>
    </row>
    <row r="326" spans="1:23" s="2" customFormat="1" ht="72">
      <c r="A326" s="11"/>
      <c r="B326" s="108"/>
      <c r="C326" s="13" t="s">
        <v>8711</v>
      </c>
      <c r="D326" s="19" t="s">
        <v>8712</v>
      </c>
      <c r="E326" s="15" t="s">
        <v>8712</v>
      </c>
      <c r="F326" s="16" t="s">
        <v>8713</v>
      </c>
      <c r="G326" s="15" t="s">
        <v>8714</v>
      </c>
      <c r="H326" s="13" t="s">
        <v>8715</v>
      </c>
      <c r="I326" s="13" t="s">
        <v>1471</v>
      </c>
      <c r="J326" s="15" t="s">
        <v>8716</v>
      </c>
      <c r="K326" s="15" t="s">
        <v>272</v>
      </c>
      <c r="L326" s="15" t="s">
        <v>1859</v>
      </c>
      <c r="M326" s="15" t="s">
        <v>4173</v>
      </c>
      <c r="N326" s="13" t="s">
        <v>8711</v>
      </c>
      <c r="O326" s="13" t="s">
        <v>262</v>
      </c>
      <c r="P326" s="15" t="s">
        <v>252</v>
      </c>
      <c r="Q326" s="15" t="s">
        <v>8717</v>
      </c>
      <c r="R326" s="13" t="s">
        <v>1683</v>
      </c>
      <c r="S326" s="15" t="s">
        <v>255</v>
      </c>
      <c r="T326" s="18"/>
      <c r="U326" s="18"/>
      <c r="V326" s="18"/>
      <c r="W326" s="18" t="s">
        <v>8718</v>
      </c>
    </row>
    <row r="327" spans="1:23" s="2" customFormat="1" ht="12">
      <c r="A327" s="11"/>
      <c r="B327" s="108"/>
      <c r="C327" s="109" t="s">
        <v>8719</v>
      </c>
      <c r="D327" s="14" t="s">
        <v>8720</v>
      </c>
      <c r="E327" s="113" t="s">
        <v>8720</v>
      </c>
      <c r="F327" s="114" t="s">
        <v>8721</v>
      </c>
      <c r="G327" s="113" t="s">
        <v>8722</v>
      </c>
      <c r="H327" s="109" t="s">
        <v>8723</v>
      </c>
      <c r="I327" s="109" t="s">
        <v>546</v>
      </c>
      <c r="J327" s="113" t="s">
        <v>5336</v>
      </c>
      <c r="K327" s="113" t="s">
        <v>272</v>
      </c>
      <c r="L327" s="113" t="s">
        <v>407</v>
      </c>
      <c r="M327" s="113" t="s">
        <v>1170</v>
      </c>
      <c r="N327" s="13" t="s">
        <v>8719</v>
      </c>
      <c r="O327" s="13" t="s">
        <v>565</v>
      </c>
      <c r="P327" s="13" t="s">
        <v>578</v>
      </c>
      <c r="Q327" s="15" t="s">
        <v>8724</v>
      </c>
      <c r="R327" s="109" t="s">
        <v>8725</v>
      </c>
      <c r="S327" s="109" t="s">
        <v>581</v>
      </c>
      <c r="T327" s="114" t="s">
        <v>8726</v>
      </c>
      <c r="U327" s="114" t="s">
        <v>8727</v>
      </c>
      <c r="V327" s="112" t="s">
        <v>8728</v>
      </c>
      <c r="W327" s="112" t="s">
        <v>8729</v>
      </c>
    </row>
    <row r="328" spans="1:23" s="2" customFormat="1" ht="12">
      <c r="A328" s="11"/>
      <c r="B328" s="108"/>
      <c r="C328" s="109"/>
      <c r="D328" s="14" t="str">
        <f>D327</f>
        <v>四叶草安全</v>
      </c>
      <c r="E328" s="109"/>
      <c r="F328" s="112"/>
      <c r="G328" s="109"/>
      <c r="H328" s="109"/>
      <c r="I328" s="109"/>
      <c r="J328" s="109"/>
      <c r="K328" s="109"/>
      <c r="L328" s="109"/>
      <c r="M328" s="109"/>
      <c r="N328" s="13" t="s">
        <v>8730</v>
      </c>
      <c r="O328" s="13" t="s">
        <v>257</v>
      </c>
      <c r="P328" s="15" t="s">
        <v>409</v>
      </c>
      <c r="Q328" s="15" t="s">
        <v>2229</v>
      </c>
      <c r="R328" s="109"/>
      <c r="S328" s="109"/>
      <c r="T328" s="112"/>
      <c r="U328" s="112"/>
      <c r="V328" s="112"/>
      <c r="W328" s="112"/>
    </row>
    <row r="329" spans="1:23" s="2" customFormat="1" ht="12">
      <c r="A329" s="11"/>
      <c r="B329" s="108"/>
      <c r="C329" s="109"/>
      <c r="D329" s="14" t="str">
        <f>D328</f>
        <v>四叶草安全</v>
      </c>
      <c r="E329" s="109"/>
      <c r="F329" s="112"/>
      <c r="G329" s="109"/>
      <c r="H329" s="109"/>
      <c r="I329" s="109"/>
      <c r="J329" s="109"/>
      <c r="K329" s="109"/>
      <c r="L329" s="109"/>
      <c r="M329" s="109"/>
      <c r="N329" s="13" t="s">
        <v>8731</v>
      </c>
      <c r="O329" s="13" t="s">
        <v>262</v>
      </c>
      <c r="P329" s="13" t="s">
        <v>8732</v>
      </c>
      <c r="Q329" s="15" t="s">
        <v>8733</v>
      </c>
      <c r="R329" s="109"/>
      <c r="S329" s="109"/>
      <c r="T329" s="112"/>
      <c r="U329" s="112"/>
      <c r="V329" s="112"/>
      <c r="W329" s="112"/>
    </row>
    <row r="330" spans="1:23" s="2" customFormat="1" ht="12">
      <c r="A330" s="11"/>
      <c r="B330" s="108"/>
      <c r="C330" s="109"/>
      <c r="D330" s="14" t="str">
        <f>D329</f>
        <v>四叶草安全</v>
      </c>
      <c r="E330" s="109"/>
      <c r="F330" s="112"/>
      <c r="G330" s="109"/>
      <c r="H330" s="109"/>
      <c r="I330" s="109"/>
      <c r="J330" s="109"/>
      <c r="K330" s="109"/>
      <c r="L330" s="109"/>
      <c r="M330" s="109"/>
      <c r="N330" s="13" t="s">
        <v>8405</v>
      </c>
      <c r="O330" s="13" t="s">
        <v>721</v>
      </c>
      <c r="P330" s="13" t="s">
        <v>639</v>
      </c>
      <c r="Q330" s="15" t="s">
        <v>8734</v>
      </c>
      <c r="R330" s="109"/>
      <c r="S330" s="109"/>
      <c r="T330" s="112"/>
      <c r="U330" s="112"/>
      <c r="V330" s="112"/>
      <c r="W330" s="112"/>
    </row>
    <row r="331" spans="1:23" s="2" customFormat="1" ht="12">
      <c r="A331" s="11"/>
      <c r="B331" s="108"/>
      <c r="C331" s="109" t="s">
        <v>8735</v>
      </c>
      <c r="D331" s="14" t="s">
        <v>8736</v>
      </c>
      <c r="E331" s="113" t="s">
        <v>8736</v>
      </c>
      <c r="F331" s="114" t="s">
        <v>8737</v>
      </c>
      <c r="G331" s="113" t="s">
        <v>8738</v>
      </c>
      <c r="H331" s="109" t="s">
        <v>8739</v>
      </c>
      <c r="I331" s="109" t="s">
        <v>745</v>
      </c>
      <c r="J331" s="113" t="s">
        <v>1192</v>
      </c>
      <c r="K331" s="113" t="s">
        <v>272</v>
      </c>
      <c r="L331" s="113" t="s">
        <v>1859</v>
      </c>
      <c r="M331" s="113" t="s">
        <v>8740</v>
      </c>
      <c r="N331" s="13" t="s">
        <v>8735</v>
      </c>
      <c r="O331" s="15" t="s">
        <v>471</v>
      </c>
      <c r="P331" s="15" t="s">
        <v>252</v>
      </c>
      <c r="Q331" s="15" t="s">
        <v>8741</v>
      </c>
      <c r="R331" s="109" t="s">
        <v>8742</v>
      </c>
      <c r="S331" s="113" t="s">
        <v>255</v>
      </c>
      <c r="T331" s="114" t="s">
        <v>8743</v>
      </c>
      <c r="U331" s="114" t="s">
        <v>8744</v>
      </c>
      <c r="V331" s="112" t="s">
        <v>8745</v>
      </c>
      <c r="W331" s="112" t="s">
        <v>8746</v>
      </c>
    </row>
    <row r="332" spans="1:23" s="2" customFormat="1" ht="12">
      <c r="A332" s="11"/>
      <c r="B332" s="108"/>
      <c r="C332" s="109"/>
      <c r="D332" s="14" t="str">
        <f>D331</f>
        <v>微众信科</v>
      </c>
      <c r="E332" s="109"/>
      <c r="F332" s="112"/>
      <c r="G332" s="109"/>
      <c r="H332" s="109"/>
      <c r="I332" s="109"/>
      <c r="J332" s="109"/>
      <c r="K332" s="109"/>
      <c r="L332" s="109"/>
      <c r="M332" s="109"/>
      <c r="N332" s="13" t="s">
        <v>1315</v>
      </c>
      <c r="O332" s="13" t="s">
        <v>315</v>
      </c>
      <c r="P332" s="15" t="s">
        <v>409</v>
      </c>
      <c r="Q332" s="15" t="s">
        <v>8747</v>
      </c>
      <c r="R332" s="109"/>
      <c r="S332" s="109"/>
      <c r="T332" s="112"/>
      <c r="U332" s="112"/>
      <c r="V332" s="112"/>
      <c r="W332" s="112"/>
    </row>
    <row r="333" spans="1:23" s="2" customFormat="1" ht="12">
      <c r="A333" s="11"/>
      <c r="B333" s="108"/>
      <c r="C333" s="109"/>
      <c r="D333" s="14" t="str">
        <f>D332</f>
        <v>微众信科</v>
      </c>
      <c r="E333" s="109"/>
      <c r="F333" s="112"/>
      <c r="G333" s="109"/>
      <c r="H333" s="109"/>
      <c r="I333" s="109"/>
      <c r="J333" s="109"/>
      <c r="K333" s="109"/>
      <c r="L333" s="109"/>
      <c r="M333" s="109"/>
      <c r="N333" s="13" t="s">
        <v>8748</v>
      </c>
      <c r="O333" s="13" t="s">
        <v>317</v>
      </c>
      <c r="P333" s="15" t="s">
        <v>409</v>
      </c>
      <c r="Q333" s="15" t="s">
        <v>8749</v>
      </c>
      <c r="R333" s="109"/>
      <c r="S333" s="109"/>
      <c r="T333" s="112"/>
      <c r="U333" s="112"/>
      <c r="V333" s="112"/>
      <c r="W333" s="112"/>
    </row>
    <row r="334" spans="1:23" s="2" customFormat="1" ht="12">
      <c r="A334" s="11"/>
      <c r="B334" s="108"/>
      <c r="C334" s="109"/>
      <c r="D334" s="14" t="str">
        <f>D333</f>
        <v>微众信科</v>
      </c>
      <c r="E334" s="109"/>
      <c r="F334" s="112"/>
      <c r="G334" s="109"/>
      <c r="H334" s="109"/>
      <c r="I334" s="109"/>
      <c r="J334" s="109"/>
      <c r="K334" s="109"/>
      <c r="L334" s="109"/>
      <c r="M334" s="109"/>
      <c r="N334" s="13" t="s">
        <v>8750</v>
      </c>
      <c r="O334" s="13" t="s">
        <v>251</v>
      </c>
      <c r="P334" s="15" t="s">
        <v>409</v>
      </c>
      <c r="Q334" s="15" t="s">
        <v>8751</v>
      </c>
      <c r="R334" s="109"/>
      <c r="S334" s="109"/>
      <c r="T334" s="112"/>
      <c r="U334" s="112"/>
      <c r="V334" s="112"/>
      <c r="W334" s="112"/>
    </row>
    <row r="335" spans="1:23" s="2" customFormat="1" ht="12">
      <c r="A335" s="11"/>
      <c r="B335" s="108"/>
      <c r="C335" s="109"/>
      <c r="D335" s="14" t="str">
        <f>D334</f>
        <v>微众信科</v>
      </c>
      <c r="E335" s="109"/>
      <c r="F335" s="112"/>
      <c r="G335" s="109"/>
      <c r="H335" s="109"/>
      <c r="I335" s="109"/>
      <c r="J335" s="109"/>
      <c r="K335" s="109"/>
      <c r="L335" s="109"/>
      <c r="M335" s="109"/>
      <c r="N335" s="13" t="s">
        <v>8752</v>
      </c>
      <c r="O335" s="13" t="s">
        <v>257</v>
      </c>
      <c r="P335" s="15" t="s">
        <v>409</v>
      </c>
      <c r="Q335" s="15" t="s">
        <v>8753</v>
      </c>
      <c r="R335" s="109"/>
      <c r="S335" s="109"/>
      <c r="T335" s="112"/>
      <c r="U335" s="112"/>
      <c r="V335" s="112"/>
      <c r="W335" s="112"/>
    </row>
    <row r="336" spans="1:23" s="2" customFormat="1" ht="12">
      <c r="A336" s="11"/>
      <c r="B336" s="108"/>
      <c r="C336" s="109"/>
      <c r="D336" s="14" t="str">
        <f>D335</f>
        <v>微众信科</v>
      </c>
      <c r="E336" s="109"/>
      <c r="F336" s="112"/>
      <c r="G336" s="109"/>
      <c r="H336" s="109"/>
      <c r="I336" s="109"/>
      <c r="J336" s="109"/>
      <c r="K336" s="109"/>
      <c r="L336" s="109"/>
      <c r="M336" s="109"/>
      <c r="N336" s="13" t="s">
        <v>8754</v>
      </c>
      <c r="O336" s="13" t="s">
        <v>262</v>
      </c>
      <c r="P336" s="15" t="s">
        <v>341</v>
      </c>
      <c r="Q336" s="13" t="s">
        <v>8755</v>
      </c>
      <c r="R336" s="109"/>
      <c r="S336" s="109"/>
      <c r="T336" s="112"/>
      <c r="U336" s="112"/>
      <c r="V336" s="112"/>
      <c r="W336" s="112"/>
    </row>
    <row r="337" spans="1:23" s="2" customFormat="1" ht="12">
      <c r="A337" s="11"/>
      <c r="B337" s="108"/>
      <c r="C337" s="109" t="s">
        <v>8756</v>
      </c>
      <c r="D337" s="14" t="s">
        <v>8757</v>
      </c>
      <c r="E337" s="113" t="s">
        <v>8757</v>
      </c>
      <c r="F337" s="114" t="s">
        <v>8758</v>
      </c>
      <c r="G337" s="113" t="s">
        <v>8759</v>
      </c>
      <c r="H337" s="109" t="s">
        <v>8760</v>
      </c>
      <c r="I337" s="109" t="s">
        <v>686</v>
      </c>
      <c r="J337" s="113" t="s">
        <v>1858</v>
      </c>
      <c r="K337" s="113" t="s">
        <v>272</v>
      </c>
      <c r="L337" s="113" t="s">
        <v>1859</v>
      </c>
      <c r="M337" s="113" t="s">
        <v>4173</v>
      </c>
      <c r="N337" s="13" t="s">
        <v>8756</v>
      </c>
      <c r="O337" s="13" t="s">
        <v>687</v>
      </c>
      <c r="P337" s="13" t="s">
        <v>8761</v>
      </c>
      <c r="Q337" s="15" t="s">
        <v>8762</v>
      </c>
      <c r="R337" s="109" t="s">
        <v>8763</v>
      </c>
      <c r="S337" s="109" t="s">
        <v>8764</v>
      </c>
      <c r="T337" s="112"/>
      <c r="U337" s="114" t="s">
        <v>8765</v>
      </c>
      <c r="V337" s="112">
        <v>95580</v>
      </c>
      <c r="W337" s="112"/>
    </row>
    <row r="338" spans="1:23" s="2" customFormat="1" ht="12">
      <c r="A338" s="11"/>
      <c r="B338" s="108"/>
      <c r="C338" s="109"/>
      <c r="D338" s="14" t="str">
        <f>D337</f>
        <v>邮储银行</v>
      </c>
      <c r="E338" s="109"/>
      <c r="F338" s="112"/>
      <c r="G338" s="109"/>
      <c r="H338" s="109"/>
      <c r="I338" s="109"/>
      <c r="J338" s="109"/>
      <c r="K338" s="109"/>
      <c r="L338" s="109"/>
      <c r="M338" s="109"/>
      <c r="N338" s="13" t="s">
        <v>8766</v>
      </c>
      <c r="O338" s="13" t="s">
        <v>283</v>
      </c>
      <c r="P338" s="13" t="s">
        <v>8767</v>
      </c>
      <c r="Q338" s="13" t="s">
        <v>253</v>
      </c>
      <c r="R338" s="109"/>
      <c r="S338" s="109"/>
      <c r="T338" s="112"/>
      <c r="U338" s="112"/>
      <c r="V338" s="112"/>
      <c r="W338" s="112"/>
    </row>
    <row r="339" spans="1:23" s="2" customFormat="1" ht="12">
      <c r="A339" s="11"/>
      <c r="B339" s="108"/>
      <c r="C339" s="109"/>
      <c r="D339" s="14" t="str">
        <f>D338</f>
        <v>邮储银行</v>
      </c>
      <c r="E339" s="109"/>
      <c r="F339" s="112"/>
      <c r="G339" s="109"/>
      <c r="H339" s="109"/>
      <c r="I339" s="109"/>
      <c r="J339" s="109"/>
      <c r="K339" s="109"/>
      <c r="L339" s="109"/>
      <c r="M339" s="109"/>
      <c r="N339" s="13" t="s">
        <v>8768</v>
      </c>
      <c r="O339" s="13" t="s">
        <v>283</v>
      </c>
      <c r="P339" s="13" t="s">
        <v>8769</v>
      </c>
      <c r="Q339" s="13" t="s">
        <v>253</v>
      </c>
      <c r="R339" s="109"/>
      <c r="S339" s="109"/>
      <c r="T339" s="112"/>
      <c r="U339" s="112"/>
      <c r="V339" s="112"/>
      <c r="W339" s="112"/>
    </row>
    <row r="340" spans="1:23" s="2" customFormat="1" ht="12">
      <c r="A340" s="11"/>
      <c r="B340" s="108"/>
      <c r="C340" s="109"/>
      <c r="D340" s="14" t="str">
        <f>D339</f>
        <v>邮储银行</v>
      </c>
      <c r="E340" s="109"/>
      <c r="F340" s="112"/>
      <c r="G340" s="109"/>
      <c r="H340" s="109"/>
      <c r="I340" s="109"/>
      <c r="J340" s="109"/>
      <c r="K340" s="109"/>
      <c r="L340" s="109"/>
      <c r="M340" s="109"/>
      <c r="N340" s="13" t="s">
        <v>8770</v>
      </c>
      <c r="O340" s="15" t="s">
        <v>285</v>
      </c>
      <c r="P340" s="13" t="s">
        <v>8771</v>
      </c>
      <c r="Q340" s="15" t="s">
        <v>8772</v>
      </c>
      <c r="R340" s="109"/>
      <c r="S340" s="109"/>
      <c r="T340" s="112"/>
      <c r="U340" s="112"/>
      <c r="V340" s="112"/>
      <c r="W340" s="112"/>
    </row>
    <row r="341" spans="1:23" s="2" customFormat="1" ht="12">
      <c r="A341" s="11"/>
      <c r="B341" s="108"/>
      <c r="C341" s="109" t="s">
        <v>8773</v>
      </c>
      <c r="D341" s="14" t="s">
        <v>8774</v>
      </c>
      <c r="E341" s="113" t="s">
        <v>8774</v>
      </c>
      <c r="F341" s="114" t="s">
        <v>8775</v>
      </c>
      <c r="G341" s="113" t="s">
        <v>8776</v>
      </c>
      <c r="H341" s="109" t="s">
        <v>8777</v>
      </c>
      <c r="I341" s="109" t="s">
        <v>8778</v>
      </c>
      <c r="J341" s="113" t="s">
        <v>406</v>
      </c>
      <c r="K341" s="113" t="s">
        <v>272</v>
      </c>
      <c r="L341" s="113" t="s">
        <v>485</v>
      </c>
      <c r="M341" s="113" t="s">
        <v>8779</v>
      </c>
      <c r="N341" s="13" t="s">
        <v>8773</v>
      </c>
      <c r="O341" s="15" t="s">
        <v>275</v>
      </c>
      <c r="P341" s="15" t="s">
        <v>252</v>
      </c>
      <c r="Q341" s="13" t="s">
        <v>253</v>
      </c>
      <c r="R341" s="109" t="s">
        <v>8780</v>
      </c>
      <c r="S341" s="113" t="s">
        <v>255</v>
      </c>
      <c r="T341" s="114" t="s">
        <v>8781</v>
      </c>
      <c r="U341" s="114" t="s">
        <v>8782</v>
      </c>
      <c r="V341" s="112" t="s">
        <v>8783</v>
      </c>
      <c r="W341" s="112" t="s">
        <v>8784</v>
      </c>
    </row>
    <row r="342" spans="1:23" s="2" customFormat="1" ht="12">
      <c r="A342" s="11"/>
      <c r="B342" s="108"/>
      <c r="C342" s="109"/>
      <c r="D342" s="14" t="str">
        <f>D341</f>
        <v>校宝在线</v>
      </c>
      <c r="E342" s="109"/>
      <c r="F342" s="112"/>
      <c r="G342" s="109"/>
      <c r="H342" s="109"/>
      <c r="I342" s="109"/>
      <c r="J342" s="109"/>
      <c r="K342" s="109"/>
      <c r="L342" s="109"/>
      <c r="M342" s="109"/>
      <c r="N342" s="13" t="s">
        <v>8785</v>
      </c>
      <c r="O342" s="13" t="s">
        <v>523</v>
      </c>
      <c r="P342" s="13" t="s">
        <v>637</v>
      </c>
      <c r="Q342" s="15" t="s">
        <v>8786</v>
      </c>
      <c r="R342" s="109"/>
      <c r="S342" s="109"/>
      <c r="T342" s="112"/>
      <c r="U342" s="112"/>
      <c r="V342" s="112"/>
      <c r="W342" s="112"/>
    </row>
    <row r="343" spans="1:23" s="2" customFormat="1" ht="12">
      <c r="A343" s="11"/>
      <c r="B343" s="108"/>
      <c r="C343" s="109"/>
      <c r="D343" s="14" t="str">
        <f>D342</f>
        <v>校宝在线</v>
      </c>
      <c r="E343" s="109"/>
      <c r="F343" s="112"/>
      <c r="G343" s="109"/>
      <c r="H343" s="109"/>
      <c r="I343" s="109"/>
      <c r="J343" s="109"/>
      <c r="K343" s="109"/>
      <c r="L343" s="109"/>
      <c r="M343" s="109"/>
      <c r="N343" s="13" t="s">
        <v>8787</v>
      </c>
      <c r="O343" s="13" t="s">
        <v>251</v>
      </c>
      <c r="P343" s="13" t="s">
        <v>637</v>
      </c>
      <c r="Q343" s="15" t="s">
        <v>2229</v>
      </c>
      <c r="R343" s="109"/>
      <c r="S343" s="109"/>
      <c r="T343" s="112"/>
      <c r="U343" s="112"/>
      <c r="V343" s="112"/>
      <c r="W343" s="112"/>
    </row>
    <row r="344" spans="1:23" s="2" customFormat="1" ht="12">
      <c r="A344" s="11"/>
      <c r="B344" s="108"/>
      <c r="C344" s="109"/>
      <c r="D344" s="14" t="str">
        <f>D343</f>
        <v>校宝在线</v>
      </c>
      <c r="E344" s="109"/>
      <c r="F344" s="112"/>
      <c r="G344" s="109"/>
      <c r="H344" s="109"/>
      <c r="I344" s="109"/>
      <c r="J344" s="109"/>
      <c r="K344" s="109"/>
      <c r="L344" s="109"/>
      <c r="M344" s="109"/>
      <c r="N344" s="13" t="s">
        <v>8350</v>
      </c>
      <c r="O344" s="15" t="s">
        <v>362</v>
      </c>
      <c r="P344" s="15" t="s">
        <v>252</v>
      </c>
      <c r="Q344" s="13" t="s">
        <v>253</v>
      </c>
      <c r="R344" s="109"/>
      <c r="S344" s="109"/>
      <c r="T344" s="112"/>
      <c r="U344" s="112"/>
      <c r="V344" s="112"/>
      <c r="W344" s="112"/>
    </row>
    <row r="345" spans="1:23" s="2" customFormat="1" ht="12">
      <c r="A345" s="11"/>
      <c r="B345" s="108"/>
      <c r="C345" s="109"/>
      <c r="D345" s="14" t="str">
        <f>D344</f>
        <v>校宝在线</v>
      </c>
      <c r="E345" s="109"/>
      <c r="F345" s="112"/>
      <c r="G345" s="109"/>
      <c r="H345" s="109"/>
      <c r="I345" s="109"/>
      <c r="J345" s="109"/>
      <c r="K345" s="109"/>
      <c r="L345" s="109"/>
      <c r="M345" s="109"/>
      <c r="N345" s="13" t="s">
        <v>8788</v>
      </c>
      <c r="O345" s="13" t="s">
        <v>257</v>
      </c>
      <c r="P345" s="15" t="s">
        <v>341</v>
      </c>
      <c r="Q345" s="15" t="s">
        <v>8789</v>
      </c>
      <c r="R345" s="109"/>
      <c r="S345" s="109"/>
      <c r="T345" s="112"/>
      <c r="U345" s="112"/>
      <c r="V345" s="112"/>
      <c r="W345" s="112"/>
    </row>
    <row r="346" spans="1:23" s="2" customFormat="1" ht="12">
      <c r="A346" s="11"/>
      <c r="B346" s="108"/>
      <c r="C346" s="109"/>
      <c r="D346" s="14" t="str">
        <f>D345</f>
        <v>校宝在线</v>
      </c>
      <c r="E346" s="109"/>
      <c r="F346" s="112"/>
      <c r="G346" s="109"/>
      <c r="H346" s="109"/>
      <c r="I346" s="109"/>
      <c r="J346" s="109"/>
      <c r="K346" s="109"/>
      <c r="L346" s="109"/>
      <c r="M346" s="109"/>
      <c r="N346" s="13" t="s">
        <v>8790</v>
      </c>
      <c r="O346" s="13" t="s">
        <v>262</v>
      </c>
      <c r="P346" s="15" t="s">
        <v>341</v>
      </c>
      <c r="Q346" s="15" t="s">
        <v>702</v>
      </c>
      <c r="R346" s="109"/>
      <c r="S346" s="109"/>
      <c r="T346" s="112"/>
      <c r="U346" s="112"/>
      <c r="V346" s="112"/>
      <c r="W346" s="112"/>
    </row>
    <row r="347" spans="1:23" s="2" customFormat="1" ht="96">
      <c r="A347" s="11"/>
      <c r="B347" s="108"/>
      <c r="C347" s="13" t="s">
        <v>875</v>
      </c>
      <c r="D347" s="19" t="s">
        <v>8791</v>
      </c>
      <c r="E347" s="15" t="s">
        <v>8791</v>
      </c>
      <c r="F347" s="16" t="s">
        <v>8792</v>
      </c>
      <c r="G347" s="15" t="s">
        <v>8793</v>
      </c>
      <c r="H347" s="13"/>
      <c r="I347" s="13" t="s">
        <v>745</v>
      </c>
      <c r="J347" s="15" t="s">
        <v>406</v>
      </c>
      <c r="K347" s="15" t="s">
        <v>272</v>
      </c>
      <c r="L347" s="15" t="s">
        <v>386</v>
      </c>
      <c r="M347" s="15" t="s">
        <v>645</v>
      </c>
      <c r="N347" s="13" t="s">
        <v>875</v>
      </c>
      <c r="O347" s="13" t="s">
        <v>262</v>
      </c>
      <c r="P347" s="15" t="s">
        <v>341</v>
      </c>
      <c r="Q347" s="15" t="s">
        <v>2229</v>
      </c>
      <c r="R347" s="13" t="s">
        <v>931</v>
      </c>
      <c r="S347" s="13" t="s">
        <v>432</v>
      </c>
      <c r="T347" s="18"/>
      <c r="U347" s="16" t="s">
        <v>8794</v>
      </c>
      <c r="V347" s="18" t="s">
        <v>8795</v>
      </c>
      <c r="W347" s="18" t="s">
        <v>8796</v>
      </c>
    </row>
    <row r="348" spans="1:23" s="2" customFormat="1" ht="12">
      <c r="A348" s="11"/>
      <c r="B348" s="108"/>
      <c r="C348" s="109" t="s">
        <v>1352</v>
      </c>
      <c r="D348" s="14" t="s">
        <v>8797</v>
      </c>
      <c r="E348" s="113" t="s">
        <v>8797</v>
      </c>
      <c r="F348" s="114" t="s">
        <v>8798</v>
      </c>
      <c r="G348" s="113" t="s">
        <v>8799</v>
      </c>
      <c r="H348" s="109" t="s">
        <v>8800</v>
      </c>
      <c r="I348" s="109" t="s">
        <v>2503</v>
      </c>
      <c r="J348" s="113" t="s">
        <v>406</v>
      </c>
      <c r="K348" s="113" t="s">
        <v>272</v>
      </c>
      <c r="L348" s="113" t="s">
        <v>1859</v>
      </c>
      <c r="M348" s="113" t="s">
        <v>2900</v>
      </c>
      <c r="N348" s="13" t="s">
        <v>1352</v>
      </c>
      <c r="O348" s="13" t="s">
        <v>257</v>
      </c>
      <c r="P348" s="15" t="s">
        <v>409</v>
      </c>
      <c r="Q348" s="15" t="s">
        <v>2229</v>
      </c>
      <c r="R348" s="109" t="s">
        <v>8801</v>
      </c>
      <c r="S348" s="109" t="s">
        <v>412</v>
      </c>
      <c r="T348" s="114" t="s">
        <v>8802</v>
      </c>
      <c r="U348" s="114" t="s">
        <v>8803</v>
      </c>
      <c r="V348" s="112" t="s">
        <v>8804</v>
      </c>
      <c r="W348" s="112"/>
    </row>
    <row r="349" spans="1:23" s="2" customFormat="1" ht="12">
      <c r="A349" s="11"/>
      <c r="B349" s="108"/>
      <c r="C349" s="109"/>
      <c r="D349" s="14" t="str">
        <f>D348</f>
        <v>付呗</v>
      </c>
      <c r="E349" s="109"/>
      <c r="F349" s="112"/>
      <c r="G349" s="109"/>
      <c r="H349" s="109"/>
      <c r="I349" s="109"/>
      <c r="J349" s="109"/>
      <c r="K349" s="109"/>
      <c r="L349" s="109"/>
      <c r="M349" s="109"/>
      <c r="N349" s="13" t="s">
        <v>8805</v>
      </c>
      <c r="O349" s="15" t="s">
        <v>285</v>
      </c>
      <c r="P349" s="15" t="s">
        <v>252</v>
      </c>
      <c r="Q349" s="15" t="s">
        <v>2229</v>
      </c>
      <c r="R349" s="109"/>
      <c r="S349" s="109"/>
      <c r="T349" s="112"/>
      <c r="U349" s="112"/>
      <c r="V349" s="112"/>
      <c r="W349" s="112"/>
    </row>
    <row r="350" spans="1:23" s="2" customFormat="1" ht="12">
      <c r="A350" s="11"/>
      <c r="B350" s="108"/>
      <c r="C350" s="109"/>
      <c r="D350" s="14" t="str">
        <f>D349</f>
        <v>付呗</v>
      </c>
      <c r="E350" s="109"/>
      <c r="F350" s="112"/>
      <c r="G350" s="109"/>
      <c r="H350" s="109"/>
      <c r="I350" s="109"/>
      <c r="J350" s="109"/>
      <c r="K350" s="109"/>
      <c r="L350" s="109"/>
      <c r="M350" s="109"/>
      <c r="N350" s="13" t="s">
        <v>7881</v>
      </c>
      <c r="O350" s="13" t="s">
        <v>262</v>
      </c>
      <c r="P350" s="15" t="s">
        <v>341</v>
      </c>
      <c r="Q350" s="15" t="s">
        <v>8806</v>
      </c>
      <c r="R350" s="109"/>
      <c r="S350" s="109"/>
      <c r="T350" s="112"/>
      <c r="U350" s="112"/>
      <c r="V350" s="112"/>
      <c r="W350" s="112"/>
    </row>
    <row r="351" spans="1:23" s="2" customFormat="1" ht="12">
      <c r="A351" s="11"/>
      <c r="B351" s="108"/>
      <c r="C351" s="109"/>
      <c r="D351" s="14" t="str">
        <f>D350</f>
        <v>付呗</v>
      </c>
      <c r="E351" s="109"/>
      <c r="F351" s="112"/>
      <c r="G351" s="109"/>
      <c r="H351" s="109"/>
      <c r="I351" s="109"/>
      <c r="J351" s="109"/>
      <c r="K351" s="109"/>
      <c r="L351" s="109"/>
      <c r="M351" s="109"/>
      <c r="N351" s="13" t="s">
        <v>8807</v>
      </c>
      <c r="O351" s="15" t="s">
        <v>326</v>
      </c>
      <c r="P351" s="15" t="s">
        <v>327</v>
      </c>
      <c r="Q351" s="15" t="s">
        <v>4353</v>
      </c>
      <c r="R351" s="109"/>
      <c r="S351" s="109"/>
      <c r="T351" s="112"/>
      <c r="U351" s="112"/>
      <c r="V351" s="112"/>
      <c r="W351" s="112"/>
    </row>
    <row r="352" spans="1:23" s="2" customFormat="1" ht="96">
      <c r="A352" s="11"/>
      <c r="B352" s="108"/>
      <c r="C352" s="13" t="s">
        <v>8808</v>
      </c>
      <c r="D352" s="19" t="s">
        <v>8809</v>
      </c>
      <c r="E352" s="15" t="s">
        <v>8809</v>
      </c>
      <c r="F352" s="16" t="s">
        <v>8810</v>
      </c>
      <c r="G352" s="15" t="s">
        <v>8811</v>
      </c>
      <c r="H352" s="13" t="s">
        <v>8812</v>
      </c>
      <c r="I352" s="13" t="s">
        <v>2381</v>
      </c>
      <c r="J352" s="15" t="s">
        <v>385</v>
      </c>
      <c r="K352" s="15" t="s">
        <v>272</v>
      </c>
      <c r="L352" s="15" t="s">
        <v>335</v>
      </c>
      <c r="M352" s="15" t="s">
        <v>3437</v>
      </c>
      <c r="N352" s="13" t="s">
        <v>8808</v>
      </c>
      <c r="O352" s="13" t="s">
        <v>262</v>
      </c>
      <c r="P352" s="15" t="s">
        <v>252</v>
      </c>
      <c r="Q352" s="15" t="s">
        <v>2229</v>
      </c>
      <c r="R352" s="13" t="s">
        <v>1683</v>
      </c>
      <c r="S352" s="15" t="s">
        <v>255</v>
      </c>
      <c r="T352" s="16" t="s">
        <v>8813</v>
      </c>
      <c r="U352" s="16" t="s">
        <v>8814</v>
      </c>
      <c r="V352" s="18"/>
      <c r="W352" s="18" t="s">
        <v>8815</v>
      </c>
    </row>
    <row r="353" spans="1:23" s="2" customFormat="1" ht="12">
      <c r="A353" s="11"/>
      <c r="B353" s="108"/>
      <c r="C353" s="109" t="s">
        <v>4220</v>
      </c>
      <c r="D353" s="14" t="s">
        <v>8816</v>
      </c>
      <c r="E353" s="109" t="s">
        <v>8816</v>
      </c>
      <c r="F353" s="112" t="s">
        <v>8817</v>
      </c>
      <c r="G353" s="113" t="s">
        <v>8818</v>
      </c>
      <c r="H353" s="109" t="s">
        <v>8819</v>
      </c>
      <c r="I353" s="109" t="s">
        <v>2953</v>
      </c>
      <c r="J353" s="113" t="s">
        <v>271</v>
      </c>
      <c r="K353" s="113" t="s">
        <v>272</v>
      </c>
      <c r="L353" s="113" t="s">
        <v>1859</v>
      </c>
      <c r="M353" s="113" t="s">
        <v>2900</v>
      </c>
      <c r="N353" s="13" t="s">
        <v>4220</v>
      </c>
      <c r="O353" s="15" t="s">
        <v>285</v>
      </c>
      <c r="P353" s="15" t="s">
        <v>252</v>
      </c>
      <c r="Q353" s="15" t="s">
        <v>8820</v>
      </c>
      <c r="R353" s="109" t="s">
        <v>8821</v>
      </c>
      <c r="S353" s="113" t="s">
        <v>255</v>
      </c>
      <c r="T353" s="114" t="s">
        <v>8822</v>
      </c>
      <c r="U353" s="114" t="s">
        <v>8823</v>
      </c>
      <c r="V353" s="112" t="s">
        <v>8824</v>
      </c>
      <c r="W353" s="112"/>
    </row>
    <row r="354" spans="1:23" s="2" customFormat="1" ht="12">
      <c r="A354" s="11"/>
      <c r="B354" s="108"/>
      <c r="C354" s="109"/>
      <c r="D354" s="14" t="str">
        <f>D353</f>
        <v>19pay</v>
      </c>
      <c r="E354" s="109"/>
      <c r="F354" s="112"/>
      <c r="G354" s="109"/>
      <c r="H354" s="109"/>
      <c r="I354" s="109"/>
      <c r="J354" s="109"/>
      <c r="K354" s="109"/>
      <c r="L354" s="109"/>
      <c r="M354" s="109"/>
      <c r="N354" s="13" t="s">
        <v>8825</v>
      </c>
      <c r="O354" s="13" t="s">
        <v>262</v>
      </c>
      <c r="P354" s="15" t="s">
        <v>276</v>
      </c>
      <c r="Q354" s="15" t="s">
        <v>8826</v>
      </c>
      <c r="R354" s="109"/>
      <c r="S354" s="109"/>
      <c r="T354" s="112"/>
      <c r="U354" s="112"/>
      <c r="V354" s="112"/>
      <c r="W354" s="112"/>
    </row>
    <row r="355" spans="1:23" s="2" customFormat="1" ht="12">
      <c r="A355" s="11"/>
      <c r="B355" s="108"/>
      <c r="C355" s="109" t="s">
        <v>8827</v>
      </c>
      <c r="D355" s="14" t="s">
        <v>8828</v>
      </c>
      <c r="E355" s="113" t="s">
        <v>8828</v>
      </c>
      <c r="F355" s="114" t="s">
        <v>8829</v>
      </c>
      <c r="G355" s="113" t="s">
        <v>8830</v>
      </c>
      <c r="H355" s="109" t="s">
        <v>8831</v>
      </c>
      <c r="I355" s="109" t="s">
        <v>8778</v>
      </c>
      <c r="J355" s="113" t="s">
        <v>372</v>
      </c>
      <c r="K355" s="113" t="s">
        <v>272</v>
      </c>
      <c r="L355" s="113" t="s">
        <v>407</v>
      </c>
      <c r="M355" s="113" t="s">
        <v>1170</v>
      </c>
      <c r="N355" s="13" t="s">
        <v>8827</v>
      </c>
      <c r="O355" s="13" t="s">
        <v>262</v>
      </c>
      <c r="P355" s="15" t="s">
        <v>252</v>
      </c>
      <c r="Q355" s="15" t="s">
        <v>8832</v>
      </c>
      <c r="R355" s="109" t="s">
        <v>8833</v>
      </c>
      <c r="S355" s="113" t="s">
        <v>255</v>
      </c>
      <c r="T355" s="114" t="s">
        <v>8834</v>
      </c>
      <c r="U355" s="114" t="s">
        <v>8835</v>
      </c>
      <c r="V355" s="112" t="s">
        <v>8836</v>
      </c>
      <c r="W355" s="112" t="s">
        <v>8837</v>
      </c>
    </row>
    <row r="356" spans="1:23" s="2" customFormat="1" ht="12">
      <c r="A356" s="11"/>
      <c r="B356" s="108"/>
      <c r="C356" s="109"/>
      <c r="D356" s="14" t="str">
        <f>D355</f>
        <v>安天</v>
      </c>
      <c r="E356" s="109"/>
      <c r="F356" s="112"/>
      <c r="G356" s="109"/>
      <c r="H356" s="109"/>
      <c r="I356" s="109"/>
      <c r="J356" s="109"/>
      <c r="K356" s="109"/>
      <c r="L356" s="109"/>
      <c r="M356" s="109"/>
      <c r="N356" s="13" t="s">
        <v>8838</v>
      </c>
      <c r="O356" s="15" t="s">
        <v>326</v>
      </c>
      <c r="P356" s="15" t="s">
        <v>252</v>
      </c>
      <c r="Q356" s="15" t="s">
        <v>8839</v>
      </c>
      <c r="R356" s="109"/>
      <c r="S356" s="109"/>
      <c r="T356" s="112"/>
      <c r="U356" s="112"/>
      <c r="V356" s="112"/>
      <c r="W356" s="112"/>
    </row>
    <row r="357" spans="1:23" s="2" customFormat="1" ht="12">
      <c r="A357" s="11"/>
      <c r="B357" s="108"/>
      <c r="C357" s="109" t="s">
        <v>8840</v>
      </c>
      <c r="D357" s="14" t="s">
        <v>8841</v>
      </c>
      <c r="E357" s="113" t="s">
        <v>8841</v>
      </c>
      <c r="F357" s="114" t="s">
        <v>8842</v>
      </c>
      <c r="G357" s="113" t="s">
        <v>8843</v>
      </c>
      <c r="H357" s="109" t="s">
        <v>8844</v>
      </c>
      <c r="I357" s="109" t="s">
        <v>384</v>
      </c>
      <c r="J357" s="113" t="s">
        <v>271</v>
      </c>
      <c r="K357" s="113" t="s">
        <v>272</v>
      </c>
      <c r="L357" s="113" t="s">
        <v>249</v>
      </c>
      <c r="M357" s="113" t="s">
        <v>1357</v>
      </c>
      <c r="N357" s="13" t="s">
        <v>8840</v>
      </c>
      <c r="O357" s="13" t="s">
        <v>260</v>
      </c>
      <c r="P357" s="15" t="s">
        <v>341</v>
      </c>
      <c r="Q357" s="15" t="s">
        <v>2229</v>
      </c>
      <c r="R357" s="109" t="s">
        <v>8845</v>
      </c>
      <c r="S357" s="109" t="s">
        <v>432</v>
      </c>
      <c r="T357" s="114" t="s">
        <v>8846</v>
      </c>
      <c r="U357" s="114" t="s">
        <v>8847</v>
      </c>
      <c r="V357" s="112" t="s">
        <v>8848</v>
      </c>
      <c r="W357" s="112" t="s">
        <v>8849</v>
      </c>
    </row>
    <row r="358" spans="1:23" s="2" customFormat="1" ht="12">
      <c r="A358" s="11"/>
      <c r="B358" s="108"/>
      <c r="C358" s="109"/>
      <c r="D358" s="14" t="str">
        <f>D357</f>
        <v>内啥网</v>
      </c>
      <c r="E358" s="109"/>
      <c r="F358" s="112"/>
      <c r="G358" s="109"/>
      <c r="H358" s="109"/>
      <c r="I358" s="109"/>
      <c r="J358" s="109"/>
      <c r="K358" s="109"/>
      <c r="L358" s="109"/>
      <c r="M358" s="109"/>
      <c r="N358" s="13" t="s">
        <v>8850</v>
      </c>
      <c r="O358" s="13" t="s">
        <v>262</v>
      </c>
      <c r="P358" s="15" t="s">
        <v>341</v>
      </c>
      <c r="Q358" s="15" t="s">
        <v>8851</v>
      </c>
      <c r="R358" s="109"/>
      <c r="S358" s="109"/>
      <c r="T358" s="112"/>
      <c r="U358" s="112"/>
      <c r="V358" s="112"/>
      <c r="W358" s="112"/>
    </row>
    <row r="359" spans="1:23" s="2" customFormat="1" ht="12">
      <c r="A359" s="11"/>
      <c r="B359" s="108"/>
      <c r="C359" s="109"/>
      <c r="D359" s="14" t="str">
        <f>D358</f>
        <v>内啥网</v>
      </c>
      <c r="E359" s="109"/>
      <c r="F359" s="112"/>
      <c r="G359" s="109"/>
      <c r="H359" s="109"/>
      <c r="I359" s="109"/>
      <c r="J359" s="109"/>
      <c r="K359" s="109"/>
      <c r="L359" s="109"/>
      <c r="M359" s="109"/>
      <c r="N359" s="13" t="s">
        <v>8852</v>
      </c>
      <c r="O359" s="15" t="s">
        <v>326</v>
      </c>
      <c r="P359" s="15" t="s">
        <v>327</v>
      </c>
      <c r="Q359" s="15" t="s">
        <v>8853</v>
      </c>
      <c r="R359" s="109"/>
      <c r="S359" s="109"/>
      <c r="T359" s="112"/>
      <c r="U359" s="112"/>
      <c r="V359" s="112"/>
      <c r="W359" s="112"/>
    </row>
    <row r="360" spans="1:23" s="2" customFormat="1" ht="12">
      <c r="A360" s="11"/>
      <c r="B360" s="108"/>
      <c r="C360" s="109"/>
      <c r="D360" s="14" t="str">
        <f>D359</f>
        <v>内啥网</v>
      </c>
      <c r="E360" s="109"/>
      <c r="F360" s="112"/>
      <c r="G360" s="109"/>
      <c r="H360" s="109"/>
      <c r="I360" s="109"/>
      <c r="J360" s="109"/>
      <c r="K360" s="109"/>
      <c r="L360" s="109"/>
      <c r="M360" s="109"/>
      <c r="N360" s="13" t="s">
        <v>8854</v>
      </c>
      <c r="O360" s="15" t="s">
        <v>437</v>
      </c>
      <c r="P360" s="15" t="s">
        <v>252</v>
      </c>
      <c r="Q360" s="13" t="s">
        <v>8855</v>
      </c>
      <c r="R360" s="109"/>
      <c r="S360" s="109"/>
      <c r="T360" s="112"/>
      <c r="U360" s="112"/>
      <c r="V360" s="112"/>
      <c r="W360" s="112"/>
    </row>
    <row r="361" spans="1:23" s="2" customFormat="1" ht="12">
      <c r="A361" s="11"/>
      <c r="B361" s="108"/>
      <c r="C361" s="109" t="s">
        <v>8856</v>
      </c>
      <c r="D361" s="14" t="s">
        <v>8857</v>
      </c>
      <c r="E361" s="113" t="s">
        <v>8857</v>
      </c>
      <c r="F361" s="114" t="s">
        <v>8858</v>
      </c>
      <c r="G361" s="113" t="s">
        <v>8859</v>
      </c>
      <c r="H361" s="109" t="s">
        <v>8860</v>
      </c>
      <c r="I361" s="109" t="s">
        <v>2773</v>
      </c>
      <c r="J361" s="113" t="s">
        <v>547</v>
      </c>
      <c r="K361" s="113" t="s">
        <v>272</v>
      </c>
      <c r="L361" s="113" t="s">
        <v>407</v>
      </c>
      <c r="M361" s="113" t="s">
        <v>470</v>
      </c>
      <c r="N361" s="13" t="s">
        <v>8856</v>
      </c>
      <c r="O361" s="13" t="s">
        <v>251</v>
      </c>
      <c r="P361" s="15" t="s">
        <v>252</v>
      </c>
      <c r="Q361" s="15" t="s">
        <v>8861</v>
      </c>
      <c r="R361" s="109" t="s">
        <v>8862</v>
      </c>
      <c r="S361" s="109" t="s">
        <v>1078</v>
      </c>
      <c r="T361" s="114" t="s">
        <v>8863</v>
      </c>
      <c r="U361" s="114" t="s">
        <v>8864</v>
      </c>
      <c r="V361" s="112" t="s">
        <v>8865</v>
      </c>
      <c r="W361" s="112" t="s">
        <v>8866</v>
      </c>
    </row>
    <row r="362" spans="1:23" s="2" customFormat="1" ht="12">
      <c r="A362" s="11"/>
      <c r="B362" s="108"/>
      <c r="C362" s="109"/>
      <c r="D362" s="14" t="str">
        <f>D361</f>
        <v>人人租</v>
      </c>
      <c r="E362" s="109"/>
      <c r="F362" s="112"/>
      <c r="G362" s="109"/>
      <c r="H362" s="109"/>
      <c r="I362" s="109"/>
      <c r="J362" s="109"/>
      <c r="K362" s="109"/>
      <c r="L362" s="109"/>
      <c r="M362" s="109"/>
      <c r="N362" s="13" t="s">
        <v>8867</v>
      </c>
      <c r="O362" s="13" t="s">
        <v>257</v>
      </c>
      <c r="P362" s="15" t="s">
        <v>252</v>
      </c>
      <c r="Q362" s="15" t="s">
        <v>8868</v>
      </c>
      <c r="R362" s="109"/>
      <c r="S362" s="109"/>
      <c r="T362" s="112"/>
      <c r="U362" s="112"/>
      <c r="V362" s="112"/>
      <c r="W362" s="112"/>
    </row>
    <row r="363" spans="1:23" s="2" customFormat="1" ht="12">
      <c r="A363" s="11"/>
      <c r="B363" s="108"/>
      <c r="C363" s="109"/>
      <c r="D363" s="14" t="str">
        <f>D362</f>
        <v>人人租</v>
      </c>
      <c r="E363" s="109"/>
      <c r="F363" s="112"/>
      <c r="G363" s="109"/>
      <c r="H363" s="109"/>
      <c r="I363" s="109"/>
      <c r="J363" s="109"/>
      <c r="K363" s="109"/>
      <c r="L363" s="109"/>
      <c r="M363" s="109"/>
      <c r="N363" s="13" t="s">
        <v>8869</v>
      </c>
      <c r="O363" s="13" t="s">
        <v>262</v>
      </c>
      <c r="P363" s="15" t="s">
        <v>341</v>
      </c>
      <c r="Q363" s="15" t="s">
        <v>2229</v>
      </c>
      <c r="R363" s="109"/>
      <c r="S363" s="109"/>
      <c r="T363" s="112"/>
      <c r="U363" s="112"/>
      <c r="V363" s="112"/>
      <c r="W363" s="112"/>
    </row>
    <row r="364" spans="1:23" s="2" customFormat="1" ht="12">
      <c r="A364" s="11"/>
      <c r="B364" s="108"/>
      <c r="C364" s="109"/>
      <c r="D364" s="14" t="str">
        <f>D363</f>
        <v>人人租</v>
      </c>
      <c r="E364" s="109"/>
      <c r="F364" s="112"/>
      <c r="G364" s="109"/>
      <c r="H364" s="109"/>
      <c r="I364" s="109"/>
      <c r="J364" s="109"/>
      <c r="K364" s="109"/>
      <c r="L364" s="109"/>
      <c r="M364" s="109"/>
      <c r="N364" s="13" t="s">
        <v>8870</v>
      </c>
      <c r="O364" s="15" t="s">
        <v>326</v>
      </c>
      <c r="P364" s="13" t="s">
        <v>3833</v>
      </c>
      <c r="Q364" s="15" t="s">
        <v>8871</v>
      </c>
      <c r="R364" s="109"/>
      <c r="S364" s="109"/>
      <c r="T364" s="112"/>
      <c r="U364" s="112"/>
      <c r="V364" s="112"/>
      <c r="W364" s="112"/>
    </row>
    <row r="365" spans="1:23" s="2" customFormat="1" ht="12">
      <c r="A365" s="11"/>
      <c r="B365" s="108"/>
      <c r="C365" s="109" t="s">
        <v>8872</v>
      </c>
      <c r="D365" s="14" t="s">
        <v>8873</v>
      </c>
      <c r="E365" s="109" t="s">
        <v>8873</v>
      </c>
      <c r="F365" s="112" t="s">
        <v>8874</v>
      </c>
      <c r="G365" s="109"/>
      <c r="H365" s="109" t="s">
        <v>8875</v>
      </c>
      <c r="I365" s="109" t="s">
        <v>8876</v>
      </c>
      <c r="J365" s="113" t="s">
        <v>8877</v>
      </c>
      <c r="K365" s="113" t="s">
        <v>272</v>
      </c>
      <c r="L365" s="113" t="s">
        <v>1859</v>
      </c>
      <c r="M365" s="113" t="s">
        <v>2900</v>
      </c>
      <c r="N365" s="13" t="s">
        <v>8872</v>
      </c>
      <c r="O365" s="15" t="s">
        <v>285</v>
      </c>
      <c r="P365" s="15" t="s">
        <v>276</v>
      </c>
      <c r="Q365" s="15" t="s">
        <v>8878</v>
      </c>
      <c r="R365" s="109" t="s">
        <v>8879</v>
      </c>
      <c r="S365" s="109" t="s">
        <v>731</v>
      </c>
      <c r="T365" s="112" t="s">
        <v>8880</v>
      </c>
      <c r="U365" s="112"/>
      <c r="V365" s="112"/>
      <c r="W365" s="112"/>
    </row>
    <row r="366" spans="1:23" s="2" customFormat="1" ht="12">
      <c r="A366" s="11"/>
      <c r="B366" s="108"/>
      <c r="C366" s="109"/>
      <c r="D366" s="14" t="str">
        <f>D365</f>
        <v>Ascend Money</v>
      </c>
      <c r="E366" s="109"/>
      <c r="F366" s="112"/>
      <c r="G366" s="109"/>
      <c r="H366" s="109"/>
      <c r="I366" s="109"/>
      <c r="J366" s="109"/>
      <c r="K366" s="109"/>
      <c r="L366" s="109"/>
      <c r="M366" s="109"/>
      <c r="N366" s="13" t="s">
        <v>7987</v>
      </c>
      <c r="O366" s="15" t="s">
        <v>285</v>
      </c>
      <c r="P366" s="15" t="s">
        <v>2879</v>
      </c>
      <c r="Q366" s="15" t="s">
        <v>2229</v>
      </c>
      <c r="R366" s="109"/>
      <c r="S366" s="109"/>
      <c r="T366" s="112"/>
      <c r="U366" s="112"/>
      <c r="V366" s="112"/>
      <c r="W366" s="112"/>
    </row>
    <row r="367" spans="1:23" s="2" customFormat="1" ht="12">
      <c r="A367" s="11"/>
      <c r="B367" s="108"/>
      <c r="C367" s="109"/>
      <c r="D367" s="14" t="str">
        <f>D366</f>
        <v>Ascend Money</v>
      </c>
      <c r="E367" s="109"/>
      <c r="F367" s="112"/>
      <c r="G367" s="109"/>
      <c r="H367" s="109"/>
      <c r="I367" s="109"/>
      <c r="J367" s="109"/>
      <c r="K367" s="109"/>
      <c r="L367" s="109"/>
      <c r="M367" s="109"/>
      <c r="N367" s="13" t="s">
        <v>8881</v>
      </c>
      <c r="O367" s="13" t="s">
        <v>262</v>
      </c>
      <c r="P367" s="15" t="s">
        <v>258</v>
      </c>
      <c r="Q367" s="15" t="s">
        <v>2229</v>
      </c>
      <c r="R367" s="109"/>
      <c r="S367" s="109"/>
      <c r="T367" s="112"/>
      <c r="U367" s="112"/>
      <c r="V367" s="112"/>
      <c r="W367" s="112"/>
    </row>
    <row r="368" spans="1:23" s="2" customFormat="1" ht="12">
      <c r="A368" s="11"/>
      <c r="B368" s="108"/>
      <c r="C368" s="109" t="s">
        <v>8882</v>
      </c>
      <c r="D368" s="14" t="s">
        <v>8883</v>
      </c>
      <c r="E368" s="113" t="s">
        <v>8883</v>
      </c>
      <c r="F368" s="114" t="s">
        <v>8884</v>
      </c>
      <c r="G368" s="113" t="s">
        <v>8885</v>
      </c>
      <c r="H368" s="109" t="s">
        <v>8886</v>
      </c>
      <c r="I368" s="109" t="s">
        <v>2887</v>
      </c>
      <c r="J368" s="113" t="s">
        <v>630</v>
      </c>
      <c r="K368" s="113" t="s">
        <v>248</v>
      </c>
      <c r="L368" s="113" t="s">
        <v>1966</v>
      </c>
      <c r="M368" s="113" t="s">
        <v>2838</v>
      </c>
      <c r="N368" s="13" t="s">
        <v>8882</v>
      </c>
      <c r="O368" s="13" t="s">
        <v>283</v>
      </c>
      <c r="P368" s="13" t="s">
        <v>8887</v>
      </c>
      <c r="Q368" s="13" t="s">
        <v>253</v>
      </c>
      <c r="R368" s="109" t="s">
        <v>8888</v>
      </c>
      <c r="S368" s="109" t="s">
        <v>8889</v>
      </c>
      <c r="T368" s="114" t="s">
        <v>8890</v>
      </c>
      <c r="U368" s="114" t="s">
        <v>8891</v>
      </c>
      <c r="V368" s="112" t="s">
        <v>8892</v>
      </c>
      <c r="W368" s="112" t="s">
        <v>8893</v>
      </c>
    </row>
    <row r="369" spans="1:23" s="2" customFormat="1" ht="12">
      <c r="A369" s="11"/>
      <c r="B369" s="108"/>
      <c r="C369" s="109"/>
      <c r="D369" s="14" t="str">
        <f t="shared" ref="D369:D375" si="17">D368</f>
        <v>蛋壳公寓</v>
      </c>
      <c r="E369" s="109"/>
      <c r="F369" s="112"/>
      <c r="G369" s="109"/>
      <c r="H369" s="109"/>
      <c r="I369" s="109"/>
      <c r="J369" s="109"/>
      <c r="K369" s="109"/>
      <c r="L369" s="109"/>
      <c r="M369" s="109"/>
      <c r="N369" s="13" t="s">
        <v>8894</v>
      </c>
      <c r="O369" s="13" t="s">
        <v>317</v>
      </c>
      <c r="P369" s="13" t="s">
        <v>8895</v>
      </c>
      <c r="Q369" s="13" t="s">
        <v>8896</v>
      </c>
      <c r="R369" s="109"/>
      <c r="S369" s="109"/>
      <c r="T369" s="112"/>
      <c r="U369" s="112"/>
      <c r="V369" s="112"/>
      <c r="W369" s="112"/>
    </row>
    <row r="370" spans="1:23" s="2" customFormat="1" ht="12">
      <c r="A370" s="11"/>
      <c r="B370" s="108"/>
      <c r="C370" s="109"/>
      <c r="D370" s="14" t="str">
        <f t="shared" si="17"/>
        <v>蛋壳公寓</v>
      </c>
      <c r="E370" s="109"/>
      <c r="F370" s="112"/>
      <c r="G370" s="109"/>
      <c r="H370" s="109"/>
      <c r="I370" s="109"/>
      <c r="J370" s="109"/>
      <c r="K370" s="109"/>
      <c r="L370" s="109"/>
      <c r="M370" s="109"/>
      <c r="N370" s="13" t="s">
        <v>8315</v>
      </c>
      <c r="O370" s="13" t="s">
        <v>251</v>
      </c>
      <c r="P370" s="13" t="s">
        <v>288</v>
      </c>
      <c r="Q370" s="13" t="s">
        <v>8897</v>
      </c>
      <c r="R370" s="109"/>
      <c r="S370" s="109"/>
      <c r="T370" s="112"/>
      <c r="U370" s="112"/>
      <c r="V370" s="112"/>
      <c r="W370" s="112"/>
    </row>
    <row r="371" spans="1:23" s="2" customFormat="1" ht="12">
      <c r="A371" s="11"/>
      <c r="B371" s="108"/>
      <c r="C371" s="109"/>
      <c r="D371" s="14" t="str">
        <f t="shared" si="17"/>
        <v>蛋壳公寓</v>
      </c>
      <c r="E371" s="109"/>
      <c r="F371" s="112"/>
      <c r="G371" s="109"/>
      <c r="H371" s="109"/>
      <c r="I371" s="109"/>
      <c r="J371" s="109"/>
      <c r="K371" s="109"/>
      <c r="L371" s="109"/>
      <c r="M371" s="109"/>
      <c r="N371" s="13" t="s">
        <v>8898</v>
      </c>
      <c r="O371" s="13" t="s">
        <v>565</v>
      </c>
      <c r="P371" s="13" t="s">
        <v>1890</v>
      </c>
      <c r="Q371" s="13" t="s">
        <v>8899</v>
      </c>
      <c r="R371" s="109"/>
      <c r="S371" s="109"/>
      <c r="T371" s="112"/>
      <c r="U371" s="112"/>
      <c r="V371" s="112"/>
      <c r="W371" s="112"/>
    </row>
    <row r="372" spans="1:23" s="2" customFormat="1" ht="12">
      <c r="A372" s="11"/>
      <c r="B372" s="108"/>
      <c r="C372" s="109"/>
      <c r="D372" s="14" t="str">
        <f t="shared" si="17"/>
        <v>蛋壳公寓</v>
      </c>
      <c r="E372" s="109"/>
      <c r="F372" s="112"/>
      <c r="G372" s="109"/>
      <c r="H372" s="109"/>
      <c r="I372" s="109"/>
      <c r="J372" s="109"/>
      <c r="K372" s="109"/>
      <c r="L372" s="109"/>
      <c r="M372" s="109"/>
      <c r="N372" s="13" t="s">
        <v>8900</v>
      </c>
      <c r="O372" s="13" t="s">
        <v>257</v>
      </c>
      <c r="P372" s="13" t="s">
        <v>320</v>
      </c>
      <c r="Q372" s="13" t="s">
        <v>8901</v>
      </c>
      <c r="R372" s="109"/>
      <c r="S372" s="109"/>
      <c r="T372" s="112"/>
      <c r="U372" s="112"/>
      <c r="V372" s="112"/>
      <c r="W372" s="112"/>
    </row>
    <row r="373" spans="1:23" s="2" customFormat="1" ht="12">
      <c r="A373" s="11"/>
      <c r="B373" s="108"/>
      <c r="C373" s="109"/>
      <c r="D373" s="14" t="str">
        <f t="shared" si="17"/>
        <v>蛋壳公寓</v>
      </c>
      <c r="E373" s="109"/>
      <c r="F373" s="112"/>
      <c r="G373" s="109"/>
      <c r="H373" s="109"/>
      <c r="I373" s="109"/>
      <c r="J373" s="109"/>
      <c r="K373" s="109"/>
      <c r="L373" s="109"/>
      <c r="M373" s="109"/>
      <c r="N373" s="13" t="s">
        <v>8902</v>
      </c>
      <c r="O373" s="13" t="s">
        <v>260</v>
      </c>
      <c r="P373" s="15" t="s">
        <v>409</v>
      </c>
      <c r="Q373" s="15" t="s">
        <v>8903</v>
      </c>
      <c r="R373" s="109"/>
      <c r="S373" s="109"/>
      <c r="T373" s="112"/>
      <c r="U373" s="112"/>
      <c r="V373" s="112"/>
      <c r="W373" s="112"/>
    </row>
    <row r="374" spans="1:23" s="2" customFormat="1" ht="12">
      <c r="A374" s="11"/>
      <c r="B374" s="108"/>
      <c r="C374" s="109"/>
      <c r="D374" s="14" t="str">
        <f t="shared" si="17"/>
        <v>蛋壳公寓</v>
      </c>
      <c r="E374" s="109"/>
      <c r="F374" s="112"/>
      <c r="G374" s="109"/>
      <c r="H374" s="109"/>
      <c r="I374" s="109"/>
      <c r="J374" s="109"/>
      <c r="K374" s="109"/>
      <c r="L374" s="109"/>
      <c r="M374" s="109"/>
      <c r="N374" s="13" t="s">
        <v>8904</v>
      </c>
      <c r="O374" s="13" t="s">
        <v>262</v>
      </c>
      <c r="P374" s="15" t="s">
        <v>341</v>
      </c>
      <c r="Q374" s="15" t="s">
        <v>8905</v>
      </c>
      <c r="R374" s="109"/>
      <c r="S374" s="109"/>
      <c r="T374" s="112"/>
      <c r="U374" s="112"/>
      <c r="V374" s="112"/>
      <c r="W374" s="112"/>
    </row>
    <row r="375" spans="1:23" s="2" customFormat="1" ht="12">
      <c r="A375" s="11"/>
      <c r="B375" s="108"/>
      <c r="C375" s="109"/>
      <c r="D375" s="14" t="str">
        <f t="shared" si="17"/>
        <v>蛋壳公寓</v>
      </c>
      <c r="E375" s="109"/>
      <c r="F375" s="112"/>
      <c r="G375" s="109"/>
      <c r="H375" s="109"/>
      <c r="I375" s="109"/>
      <c r="J375" s="109"/>
      <c r="K375" s="109"/>
      <c r="L375" s="109"/>
      <c r="M375" s="109"/>
      <c r="N375" s="13" t="s">
        <v>8906</v>
      </c>
      <c r="O375" s="15" t="s">
        <v>326</v>
      </c>
      <c r="P375" s="15" t="s">
        <v>327</v>
      </c>
      <c r="Q375" s="15" t="s">
        <v>8907</v>
      </c>
      <c r="R375" s="109"/>
      <c r="S375" s="109"/>
      <c r="T375" s="112"/>
      <c r="U375" s="112"/>
      <c r="V375" s="112"/>
      <c r="W375" s="112"/>
    </row>
    <row r="376" spans="1:23" s="2" customFormat="1" ht="12">
      <c r="A376" s="11"/>
      <c r="B376" s="108"/>
      <c r="C376" s="109" t="s">
        <v>8908</v>
      </c>
      <c r="D376" s="14" t="s">
        <v>8909</v>
      </c>
      <c r="E376" s="113" t="s">
        <v>8909</v>
      </c>
      <c r="F376" s="114" t="s">
        <v>8910</v>
      </c>
      <c r="G376" s="113" t="s">
        <v>8911</v>
      </c>
      <c r="H376" s="109" t="s">
        <v>8912</v>
      </c>
      <c r="I376" s="109" t="s">
        <v>8913</v>
      </c>
      <c r="J376" s="113" t="s">
        <v>349</v>
      </c>
      <c r="K376" s="113" t="s">
        <v>272</v>
      </c>
      <c r="L376" s="113" t="s">
        <v>672</v>
      </c>
      <c r="M376" s="113" t="s">
        <v>909</v>
      </c>
      <c r="N376" s="13" t="s">
        <v>8908</v>
      </c>
      <c r="O376" s="13" t="s">
        <v>283</v>
      </c>
      <c r="P376" s="13" t="s">
        <v>8914</v>
      </c>
      <c r="Q376" s="13" t="s">
        <v>253</v>
      </c>
      <c r="R376" s="109" t="s">
        <v>8915</v>
      </c>
      <c r="S376" s="109" t="s">
        <v>8916</v>
      </c>
      <c r="T376" s="112"/>
      <c r="U376" s="114" t="s">
        <v>8917</v>
      </c>
      <c r="V376" s="112" t="s">
        <v>8918</v>
      </c>
      <c r="W376" s="112"/>
    </row>
    <row r="377" spans="1:23" s="2" customFormat="1" ht="12">
      <c r="A377" s="11"/>
      <c r="B377" s="108"/>
      <c r="C377" s="109"/>
      <c r="D377" s="14" t="str">
        <f>D376</f>
        <v>百胜中国</v>
      </c>
      <c r="E377" s="109"/>
      <c r="F377" s="112"/>
      <c r="G377" s="109"/>
      <c r="H377" s="109"/>
      <c r="I377" s="109"/>
      <c r="J377" s="109"/>
      <c r="K377" s="109"/>
      <c r="L377" s="109"/>
      <c r="M377" s="109"/>
      <c r="N377" s="13" t="s">
        <v>7987</v>
      </c>
      <c r="O377" s="13" t="s">
        <v>283</v>
      </c>
      <c r="P377" s="15" t="s">
        <v>276</v>
      </c>
      <c r="Q377" s="13" t="s">
        <v>253</v>
      </c>
      <c r="R377" s="109"/>
      <c r="S377" s="109"/>
      <c r="T377" s="112"/>
      <c r="U377" s="112"/>
      <c r="V377" s="112"/>
      <c r="W377" s="112"/>
    </row>
    <row r="378" spans="1:23" s="2" customFormat="1" ht="12">
      <c r="A378" s="11"/>
      <c r="B378" s="108"/>
      <c r="C378" s="109"/>
      <c r="D378" s="14" t="str">
        <f>D377</f>
        <v>百胜中国</v>
      </c>
      <c r="E378" s="109"/>
      <c r="F378" s="112"/>
      <c r="G378" s="109"/>
      <c r="H378" s="109"/>
      <c r="I378" s="109"/>
      <c r="J378" s="109"/>
      <c r="K378" s="109"/>
      <c r="L378" s="109"/>
      <c r="M378" s="109"/>
      <c r="N378" s="13" t="s">
        <v>8403</v>
      </c>
      <c r="O378" s="15" t="s">
        <v>285</v>
      </c>
      <c r="P378" s="13" t="s">
        <v>8011</v>
      </c>
      <c r="Q378" s="15" t="s">
        <v>3591</v>
      </c>
      <c r="R378" s="109"/>
      <c r="S378" s="109"/>
      <c r="T378" s="112"/>
      <c r="U378" s="112"/>
      <c r="V378" s="112"/>
      <c r="W378" s="112"/>
    </row>
    <row r="379" spans="1:23" s="2" customFormat="1" ht="12">
      <c r="A379" s="11"/>
      <c r="B379" s="108"/>
      <c r="C379" s="109" t="s">
        <v>8919</v>
      </c>
      <c r="D379" s="14" t="s">
        <v>8920</v>
      </c>
      <c r="E379" s="113" t="s">
        <v>8920</v>
      </c>
      <c r="F379" s="114" t="s">
        <v>8921</v>
      </c>
      <c r="G379" s="113" t="s">
        <v>8922</v>
      </c>
      <c r="H379" s="109" t="s">
        <v>8923</v>
      </c>
      <c r="I379" s="109" t="s">
        <v>2070</v>
      </c>
      <c r="J379" s="113" t="s">
        <v>385</v>
      </c>
      <c r="K379" s="113" t="s">
        <v>272</v>
      </c>
      <c r="L379" s="113" t="s">
        <v>407</v>
      </c>
      <c r="M379" s="113" t="s">
        <v>470</v>
      </c>
      <c r="N379" s="13" t="s">
        <v>8919</v>
      </c>
      <c r="O379" s="15" t="s">
        <v>362</v>
      </c>
      <c r="P379" s="15" t="s">
        <v>252</v>
      </c>
      <c r="Q379" s="13" t="s">
        <v>253</v>
      </c>
      <c r="R379" s="109" t="s">
        <v>632</v>
      </c>
      <c r="S379" s="113" t="s">
        <v>255</v>
      </c>
      <c r="T379" s="114" t="s">
        <v>8924</v>
      </c>
      <c r="U379" s="114" t="s">
        <v>8925</v>
      </c>
      <c r="V379" s="112"/>
      <c r="W379" s="112"/>
    </row>
    <row r="380" spans="1:23" s="2" customFormat="1" ht="12">
      <c r="A380" s="11"/>
      <c r="B380" s="108"/>
      <c r="C380" s="109"/>
      <c r="D380" s="14" t="str">
        <f>D379</f>
        <v>掌慧纵盈</v>
      </c>
      <c r="E380" s="109"/>
      <c r="F380" s="112"/>
      <c r="G380" s="109"/>
      <c r="H380" s="109"/>
      <c r="I380" s="109"/>
      <c r="J380" s="109"/>
      <c r="K380" s="109"/>
      <c r="L380" s="109"/>
      <c r="M380" s="109"/>
      <c r="N380" s="13" t="s">
        <v>8052</v>
      </c>
      <c r="O380" s="13" t="s">
        <v>257</v>
      </c>
      <c r="P380" s="15" t="s">
        <v>252</v>
      </c>
      <c r="Q380" s="15" t="s">
        <v>8926</v>
      </c>
      <c r="R380" s="109"/>
      <c r="S380" s="109"/>
      <c r="T380" s="112"/>
      <c r="U380" s="112"/>
      <c r="V380" s="112"/>
      <c r="W380" s="112"/>
    </row>
    <row r="381" spans="1:23" s="2" customFormat="1" ht="12">
      <c r="A381" s="11"/>
      <c r="B381" s="108"/>
      <c r="C381" s="109"/>
      <c r="D381" s="14" t="str">
        <f>D380</f>
        <v>掌慧纵盈</v>
      </c>
      <c r="E381" s="109"/>
      <c r="F381" s="112"/>
      <c r="G381" s="109"/>
      <c r="H381" s="109"/>
      <c r="I381" s="109"/>
      <c r="J381" s="109"/>
      <c r="K381" s="109"/>
      <c r="L381" s="109"/>
      <c r="M381" s="109"/>
      <c r="N381" s="13" t="s">
        <v>8927</v>
      </c>
      <c r="O381" s="15" t="s">
        <v>285</v>
      </c>
      <c r="P381" s="15" t="s">
        <v>341</v>
      </c>
      <c r="Q381" s="15" t="s">
        <v>8928</v>
      </c>
      <c r="R381" s="109"/>
      <c r="S381" s="109"/>
      <c r="T381" s="112"/>
      <c r="U381" s="112"/>
      <c r="V381" s="112"/>
      <c r="W381" s="112"/>
    </row>
    <row r="382" spans="1:23" s="2" customFormat="1" ht="12">
      <c r="A382" s="11"/>
      <c r="B382" s="108"/>
      <c r="C382" s="109"/>
      <c r="D382" s="14" t="str">
        <f>D381</f>
        <v>掌慧纵盈</v>
      </c>
      <c r="E382" s="109"/>
      <c r="F382" s="112"/>
      <c r="G382" s="109"/>
      <c r="H382" s="109"/>
      <c r="I382" s="109"/>
      <c r="J382" s="109"/>
      <c r="K382" s="109"/>
      <c r="L382" s="109"/>
      <c r="M382" s="109"/>
      <c r="N382" s="13" t="s">
        <v>8929</v>
      </c>
      <c r="O382" s="13" t="s">
        <v>262</v>
      </c>
      <c r="P382" s="15" t="s">
        <v>252</v>
      </c>
      <c r="Q382" s="15" t="s">
        <v>3365</v>
      </c>
      <c r="R382" s="109"/>
      <c r="S382" s="109"/>
      <c r="T382" s="112"/>
      <c r="U382" s="112"/>
      <c r="V382" s="112"/>
      <c r="W382" s="112"/>
    </row>
    <row r="383" spans="1:23" s="2" customFormat="1" ht="12">
      <c r="A383" s="11"/>
      <c r="B383" s="108"/>
      <c r="C383" s="109" t="s">
        <v>8930</v>
      </c>
      <c r="D383" s="14" t="s">
        <v>8931</v>
      </c>
      <c r="E383" s="113" t="s">
        <v>8931</v>
      </c>
      <c r="F383" s="114" t="s">
        <v>8932</v>
      </c>
      <c r="G383" s="113" t="s">
        <v>8933</v>
      </c>
      <c r="H383" s="109" t="s">
        <v>8934</v>
      </c>
      <c r="I383" s="109" t="s">
        <v>3265</v>
      </c>
      <c r="J383" s="113" t="s">
        <v>271</v>
      </c>
      <c r="K383" s="113" t="s">
        <v>272</v>
      </c>
      <c r="L383" s="113" t="s">
        <v>407</v>
      </c>
      <c r="M383" s="113" t="s">
        <v>1932</v>
      </c>
      <c r="N383" s="13" t="s">
        <v>8930</v>
      </c>
      <c r="O383" s="13" t="s">
        <v>262</v>
      </c>
      <c r="P383" s="15" t="s">
        <v>341</v>
      </c>
      <c r="Q383" s="15" t="s">
        <v>2229</v>
      </c>
      <c r="R383" s="109" t="s">
        <v>3093</v>
      </c>
      <c r="S383" s="109" t="s">
        <v>3743</v>
      </c>
      <c r="T383" s="114" t="s">
        <v>8935</v>
      </c>
      <c r="U383" s="114" t="s">
        <v>8936</v>
      </c>
      <c r="V383" s="112" t="s">
        <v>8937</v>
      </c>
      <c r="W383" s="112" t="s">
        <v>8938</v>
      </c>
    </row>
    <row r="384" spans="1:23" s="2" customFormat="1" ht="12">
      <c r="A384" s="11"/>
      <c r="B384" s="108"/>
      <c r="C384" s="109"/>
      <c r="D384" s="14" t="str">
        <f>D383</f>
        <v>特微智能</v>
      </c>
      <c r="E384" s="109"/>
      <c r="F384" s="112"/>
      <c r="G384" s="109"/>
      <c r="H384" s="109"/>
      <c r="I384" s="109"/>
      <c r="J384" s="109"/>
      <c r="K384" s="109"/>
      <c r="L384" s="109"/>
      <c r="M384" s="109"/>
      <c r="N384" s="13" t="s">
        <v>7914</v>
      </c>
      <c r="O384" s="13" t="s">
        <v>721</v>
      </c>
      <c r="P384" s="15" t="s">
        <v>252</v>
      </c>
      <c r="Q384" s="15" t="s">
        <v>8939</v>
      </c>
      <c r="R384" s="109"/>
      <c r="S384" s="109"/>
      <c r="T384" s="112"/>
      <c r="U384" s="112"/>
      <c r="V384" s="112"/>
      <c r="W384" s="112"/>
    </row>
    <row r="385" spans="1:23" s="2" customFormat="1" ht="12">
      <c r="A385" s="11"/>
      <c r="B385" s="108"/>
      <c r="C385" s="109" t="s">
        <v>8940</v>
      </c>
      <c r="D385" s="14" t="s">
        <v>8941</v>
      </c>
      <c r="E385" s="113" t="s">
        <v>8941</v>
      </c>
      <c r="F385" s="114" t="s">
        <v>8942</v>
      </c>
      <c r="G385" s="113" t="s">
        <v>8943</v>
      </c>
      <c r="H385" s="109" t="s">
        <v>8944</v>
      </c>
      <c r="I385" s="109" t="s">
        <v>1606</v>
      </c>
      <c r="J385" s="113" t="s">
        <v>406</v>
      </c>
      <c r="K385" s="113" t="s">
        <v>272</v>
      </c>
      <c r="L385" s="113" t="s">
        <v>1859</v>
      </c>
      <c r="M385" s="113" t="s">
        <v>4452</v>
      </c>
      <c r="N385" s="13" t="s">
        <v>8940</v>
      </c>
      <c r="O385" s="13" t="s">
        <v>251</v>
      </c>
      <c r="P385" s="15" t="s">
        <v>252</v>
      </c>
      <c r="Q385" s="13" t="s">
        <v>2859</v>
      </c>
      <c r="R385" s="109" t="s">
        <v>632</v>
      </c>
      <c r="S385" s="113" t="s">
        <v>255</v>
      </c>
      <c r="T385" s="114" t="s">
        <v>8945</v>
      </c>
      <c r="U385" s="114" t="s">
        <v>8946</v>
      </c>
      <c r="V385" s="112" t="s">
        <v>8947</v>
      </c>
      <c r="W385" s="112" t="s">
        <v>8948</v>
      </c>
    </row>
    <row r="386" spans="1:23" s="2" customFormat="1" ht="12">
      <c r="A386" s="11"/>
      <c r="B386" s="108"/>
      <c r="C386" s="109"/>
      <c r="D386" s="14" t="str">
        <f>D385</f>
        <v>保险师</v>
      </c>
      <c r="E386" s="109"/>
      <c r="F386" s="112"/>
      <c r="G386" s="109"/>
      <c r="H386" s="109"/>
      <c r="I386" s="109"/>
      <c r="J386" s="109"/>
      <c r="K386" s="109"/>
      <c r="L386" s="109"/>
      <c r="M386" s="109"/>
      <c r="N386" s="13" t="s">
        <v>8685</v>
      </c>
      <c r="O386" s="13" t="s">
        <v>565</v>
      </c>
      <c r="P386" s="15" t="s">
        <v>252</v>
      </c>
      <c r="Q386" s="15" t="s">
        <v>2571</v>
      </c>
      <c r="R386" s="109"/>
      <c r="S386" s="109"/>
      <c r="T386" s="112"/>
      <c r="U386" s="112"/>
      <c r="V386" s="112"/>
      <c r="W386" s="112"/>
    </row>
    <row r="387" spans="1:23" s="2" customFormat="1" ht="12">
      <c r="A387" s="11"/>
      <c r="B387" s="108"/>
      <c r="C387" s="109"/>
      <c r="D387" s="14" t="str">
        <f>D386</f>
        <v>保险师</v>
      </c>
      <c r="E387" s="109"/>
      <c r="F387" s="112"/>
      <c r="G387" s="109"/>
      <c r="H387" s="109"/>
      <c r="I387" s="109"/>
      <c r="J387" s="109"/>
      <c r="K387" s="109"/>
      <c r="L387" s="109"/>
      <c r="M387" s="109"/>
      <c r="N387" s="13" t="s">
        <v>8625</v>
      </c>
      <c r="O387" s="13" t="s">
        <v>565</v>
      </c>
      <c r="P387" s="15" t="s">
        <v>341</v>
      </c>
      <c r="Q387" s="15" t="s">
        <v>8949</v>
      </c>
      <c r="R387" s="109"/>
      <c r="S387" s="109"/>
      <c r="T387" s="112"/>
      <c r="U387" s="112"/>
      <c r="V387" s="112"/>
      <c r="W387" s="112"/>
    </row>
    <row r="388" spans="1:23" s="2" customFormat="1" ht="12">
      <c r="A388" s="11"/>
      <c r="B388" s="108"/>
      <c r="C388" s="109"/>
      <c r="D388" s="14" t="str">
        <f>D387</f>
        <v>保险师</v>
      </c>
      <c r="E388" s="109"/>
      <c r="F388" s="112"/>
      <c r="G388" s="109"/>
      <c r="H388" s="109"/>
      <c r="I388" s="109"/>
      <c r="J388" s="109"/>
      <c r="K388" s="109"/>
      <c r="L388" s="109"/>
      <c r="M388" s="109"/>
      <c r="N388" s="13" t="s">
        <v>8950</v>
      </c>
      <c r="O388" s="13" t="s">
        <v>257</v>
      </c>
      <c r="P388" s="15" t="s">
        <v>341</v>
      </c>
      <c r="Q388" s="15" t="s">
        <v>8951</v>
      </c>
      <c r="R388" s="109"/>
      <c r="S388" s="109"/>
      <c r="T388" s="112"/>
      <c r="U388" s="112"/>
      <c r="V388" s="112"/>
      <c r="W388" s="112"/>
    </row>
    <row r="389" spans="1:23" s="2" customFormat="1" ht="12">
      <c r="A389" s="11"/>
      <c r="B389" s="108"/>
      <c r="C389" s="109"/>
      <c r="D389" s="14" t="str">
        <f>D388</f>
        <v>保险师</v>
      </c>
      <c r="E389" s="109"/>
      <c r="F389" s="112"/>
      <c r="G389" s="109"/>
      <c r="H389" s="109"/>
      <c r="I389" s="109"/>
      <c r="J389" s="109"/>
      <c r="K389" s="109"/>
      <c r="L389" s="109"/>
      <c r="M389" s="109"/>
      <c r="N389" s="13" t="s">
        <v>8952</v>
      </c>
      <c r="O389" s="13" t="s">
        <v>262</v>
      </c>
      <c r="P389" s="15" t="s">
        <v>341</v>
      </c>
      <c r="Q389" s="15" t="s">
        <v>462</v>
      </c>
      <c r="R389" s="109"/>
      <c r="S389" s="109"/>
      <c r="T389" s="112"/>
      <c r="U389" s="112"/>
      <c r="V389" s="112"/>
      <c r="W389" s="112"/>
    </row>
    <row r="390" spans="1:23" s="2" customFormat="1" ht="12">
      <c r="A390" s="11"/>
      <c r="B390" s="108"/>
      <c r="C390" s="109"/>
      <c r="D390" s="14" t="str">
        <f>D389</f>
        <v>保险师</v>
      </c>
      <c r="E390" s="109"/>
      <c r="F390" s="112"/>
      <c r="G390" s="109"/>
      <c r="H390" s="109"/>
      <c r="I390" s="109"/>
      <c r="J390" s="109"/>
      <c r="K390" s="109"/>
      <c r="L390" s="109"/>
      <c r="M390" s="109"/>
      <c r="N390" s="13" t="s">
        <v>8953</v>
      </c>
      <c r="O390" s="15" t="s">
        <v>326</v>
      </c>
      <c r="P390" s="13" t="s">
        <v>360</v>
      </c>
      <c r="Q390" s="15" t="s">
        <v>8954</v>
      </c>
      <c r="R390" s="109"/>
      <c r="S390" s="109"/>
      <c r="T390" s="112"/>
      <c r="U390" s="112"/>
      <c r="V390" s="112"/>
      <c r="W390" s="112"/>
    </row>
    <row r="391" spans="1:23" s="2" customFormat="1" ht="12">
      <c r="A391" s="11"/>
      <c r="B391" s="108"/>
      <c r="C391" s="109" t="s">
        <v>8955</v>
      </c>
      <c r="D391" s="14" t="s">
        <v>8956</v>
      </c>
      <c r="E391" s="113" t="s">
        <v>8956</v>
      </c>
      <c r="F391" s="114" t="s">
        <v>8957</v>
      </c>
      <c r="G391" s="113" t="s">
        <v>8958</v>
      </c>
      <c r="H391" s="109" t="s">
        <v>8959</v>
      </c>
      <c r="I391" s="109" t="s">
        <v>3265</v>
      </c>
      <c r="J391" s="113" t="s">
        <v>271</v>
      </c>
      <c r="K391" s="113" t="s">
        <v>272</v>
      </c>
      <c r="L391" s="113" t="s">
        <v>273</v>
      </c>
      <c r="M391" s="113" t="s">
        <v>2598</v>
      </c>
      <c r="N391" s="13" t="s">
        <v>8955</v>
      </c>
      <c r="O391" s="13" t="s">
        <v>260</v>
      </c>
      <c r="P391" s="13" t="s">
        <v>637</v>
      </c>
      <c r="Q391" s="15" t="s">
        <v>8960</v>
      </c>
      <c r="R391" s="109" t="s">
        <v>2553</v>
      </c>
      <c r="S391" s="109" t="s">
        <v>1078</v>
      </c>
      <c r="T391" s="114" t="s">
        <v>8961</v>
      </c>
      <c r="U391" s="114" t="s">
        <v>8962</v>
      </c>
      <c r="V391" s="112" t="s">
        <v>8963</v>
      </c>
      <c r="W391" s="112" t="s">
        <v>8964</v>
      </c>
    </row>
    <row r="392" spans="1:23" s="2" customFormat="1" ht="12">
      <c r="A392" s="11"/>
      <c r="B392" s="108"/>
      <c r="C392" s="109"/>
      <c r="D392" s="14" t="str">
        <f>D391</f>
        <v>明觉科技</v>
      </c>
      <c r="E392" s="109"/>
      <c r="F392" s="112"/>
      <c r="G392" s="109"/>
      <c r="H392" s="109"/>
      <c r="I392" s="109"/>
      <c r="J392" s="109"/>
      <c r="K392" s="109"/>
      <c r="L392" s="109"/>
      <c r="M392" s="109"/>
      <c r="N392" s="13" t="s">
        <v>8965</v>
      </c>
      <c r="O392" s="13" t="s">
        <v>262</v>
      </c>
      <c r="P392" s="13" t="s">
        <v>1164</v>
      </c>
      <c r="Q392" s="15" t="s">
        <v>8966</v>
      </c>
      <c r="R392" s="109"/>
      <c r="S392" s="109"/>
      <c r="T392" s="112"/>
      <c r="U392" s="112"/>
      <c r="V392" s="112"/>
      <c r="W392" s="112"/>
    </row>
    <row r="393" spans="1:23" s="2" customFormat="1" ht="84">
      <c r="A393" s="11"/>
      <c r="B393" s="108"/>
      <c r="C393" s="13" t="s">
        <v>8967</v>
      </c>
      <c r="D393" s="19" t="s">
        <v>8968</v>
      </c>
      <c r="E393" s="15" t="s">
        <v>8968</v>
      </c>
      <c r="F393" s="16" t="s">
        <v>8969</v>
      </c>
      <c r="G393" s="15" t="s">
        <v>8970</v>
      </c>
      <c r="H393" s="13" t="s">
        <v>8971</v>
      </c>
      <c r="I393" s="13" t="s">
        <v>3584</v>
      </c>
      <c r="J393" s="15" t="s">
        <v>1192</v>
      </c>
      <c r="K393" s="15" t="s">
        <v>272</v>
      </c>
      <c r="L393" s="15" t="s">
        <v>713</v>
      </c>
      <c r="M393" s="15" t="s">
        <v>714</v>
      </c>
      <c r="N393" s="13" t="s">
        <v>8967</v>
      </c>
      <c r="O393" s="15" t="s">
        <v>326</v>
      </c>
      <c r="P393" s="15" t="s">
        <v>341</v>
      </c>
      <c r="Q393" s="15" t="s">
        <v>2229</v>
      </c>
      <c r="R393" s="13" t="s">
        <v>931</v>
      </c>
      <c r="S393" s="13" t="s">
        <v>432</v>
      </c>
      <c r="T393" s="16" t="s">
        <v>8972</v>
      </c>
      <c r="U393" s="16" t="s">
        <v>8973</v>
      </c>
      <c r="V393" s="18" t="s">
        <v>8974</v>
      </c>
      <c r="W393" s="18" t="s">
        <v>8975</v>
      </c>
    </row>
    <row r="394" spans="1:23" s="2" customFormat="1" ht="12">
      <c r="A394" s="11"/>
      <c r="B394" s="108"/>
      <c r="C394" s="109" t="s">
        <v>8976</v>
      </c>
      <c r="D394" s="14" t="s">
        <v>8977</v>
      </c>
      <c r="E394" s="113" t="s">
        <v>8977</v>
      </c>
      <c r="F394" s="114" t="s">
        <v>8978</v>
      </c>
      <c r="G394" s="113" t="s">
        <v>8979</v>
      </c>
      <c r="H394" s="109" t="s">
        <v>8980</v>
      </c>
      <c r="I394" s="109" t="s">
        <v>2773</v>
      </c>
      <c r="J394" s="113" t="s">
        <v>406</v>
      </c>
      <c r="K394" s="113" t="s">
        <v>272</v>
      </c>
      <c r="L394" s="113" t="s">
        <v>672</v>
      </c>
      <c r="M394" s="113" t="s">
        <v>853</v>
      </c>
      <c r="N394" s="13" t="s">
        <v>8976</v>
      </c>
      <c r="O394" s="13" t="s">
        <v>257</v>
      </c>
      <c r="P394" s="15" t="s">
        <v>252</v>
      </c>
      <c r="Q394" s="15" t="s">
        <v>2229</v>
      </c>
      <c r="R394" s="109" t="s">
        <v>1129</v>
      </c>
      <c r="S394" s="113" t="s">
        <v>255</v>
      </c>
      <c r="T394" s="114" t="s">
        <v>8981</v>
      </c>
      <c r="U394" s="114" t="s">
        <v>8982</v>
      </c>
      <c r="V394" s="112" t="s">
        <v>8983</v>
      </c>
      <c r="W394" s="112" t="s">
        <v>8984</v>
      </c>
    </row>
    <row r="395" spans="1:23" s="2" customFormat="1" ht="12">
      <c r="A395" s="11"/>
      <c r="B395" s="108"/>
      <c r="C395" s="109"/>
      <c r="D395" s="14" t="str">
        <f>D394</f>
        <v>通卡联城</v>
      </c>
      <c r="E395" s="109"/>
      <c r="F395" s="112"/>
      <c r="G395" s="109"/>
      <c r="H395" s="109"/>
      <c r="I395" s="109"/>
      <c r="J395" s="109"/>
      <c r="K395" s="109"/>
      <c r="L395" s="109"/>
      <c r="M395" s="109"/>
      <c r="N395" s="13" t="s">
        <v>8318</v>
      </c>
      <c r="O395" s="13" t="s">
        <v>262</v>
      </c>
      <c r="P395" s="15" t="s">
        <v>252</v>
      </c>
      <c r="Q395" s="15" t="s">
        <v>8985</v>
      </c>
      <c r="R395" s="109"/>
      <c r="S395" s="109"/>
      <c r="T395" s="112"/>
      <c r="U395" s="112"/>
      <c r="V395" s="112"/>
      <c r="W395" s="112"/>
    </row>
    <row r="396" spans="1:23" s="2" customFormat="1" ht="132">
      <c r="A396" s="11"/>
      <c r="B396" s="108"/>
      <c r="C396" s="13" t="s">
        <v>8986</v>
      </c>
      <c r="D396" s="19" t="s">
        <v>8987</v>
      </c>
      <c r="E396" s="15" t="s">
        <v>8987</v>
      </c>
      <c r="F396" s="16" t="s">
        <v>8988</v>
      </c>
      <c r="G396" s="15" t="s">
        <v>8989</v>
      </c>
      <c r="H396" s="13" t="s">
        <v>8990</v>
      </c>
      <c r="I396" s="13" t="s">
        <v>4424</v>
      </c>
      <c r="J396" s="15" t="s">
        <v>2325</v>
      </c>
      <c r="K396" s="15" t="s">
        <v>272</v>
      </c>
      <c r="L396" s="15" t="s">
        <v>273</v>
      </c>
      <c r="M396" s="15" t="s">
        <v>274</v>
      </c>
      <c r="N396" s="13" t="s">
        <v>8986</v>
      </c>
      <c r="O396" s="13" t="s">
        <v>262</v>
      </c>
      <c r="P396" s="15" t="s">
        <v>252</v>
      </c>
      <c r="Q396" s="15" t="s">
        <v>2229</v>
      </c>
      <c r="R396" s="13" t="s">
        <v>1683</v>
      </c>
      <c r="S396" s="15" t="s">
        <v>255</v>
      </c>
      <c r="T396" s="16" t="s">
        <v>8991</v>
      </c>
      <c r="U396" s="16" t="s">
        <v>8992</v>
      </c>
      <c r="V396" s="18" t="s">
        <v>8993</v>
      </c>
      <c r="W396" s="18" t="s">
        <v>8994</v>
      </c>
    </row>
    <row r="397" spans="1:23" s="2" customFormat="1" ht="12">
      <c r="A397" s="11"/>
      <c r="B397" s="108"/>
      <c r="C397" s="109" t="s">
        <v>3579</v>
      </c>
      <c r="D397" s="14" t="s">
        <v>3580</v>
      </c>
      <c r="E397" s="113" t="s">
        <v>3580</v>
      </c>
      <c r="F397" s="114" t="s">
        <v>3581</v>
      </c>
      <c r="G397" s="113" t="s">
        <v>3582</v>
      </c>
      <c r="H397" s="109" t="s">
        <v>3583</v>
      </c>
      <c r="I397" s="109" t="s">
        <v>3584</v>
      </c>
      <c r="J397" s="113" t="s">
        <v>247</v>
      </c>
      <c r="K397" s="113" t="s">
        <v>272</v>
      </c>
      <c r="L397" s="113" t="s">
        <v>273</v>
      </c>
      <c r="M397" s="113" t="s">
        <v>274</v>
      </c>
      <c r="N397" s="13" t="s">
        <v>3579</v>
      </c>
      <c r="O397" s="15" t="s">
        <v>285</v>
      </c>
      <c r="P397" s="13" t="s">
        <v>1590</v>
      </c>
      <c r="Q397" s="15" t="s">
        <v>586</v>
      </c>
      <c r="R397" s="109" t="s">
        <v>3585</v>
      </c>
      <c r="S397" s="109" t="s">
        <v>3586</v>
      </c>
      <c r="T397" s="114" t="s">
        <v>3587</v>
      </c>
      <c r="U397" s="114" t="s">
        <v>3588</v>
      </c>
      <c r="V397" s="112" t="s">
        <v>3589</v>
      </c>
      <c r="W397" s="112" t="s">
        <v>3590</v>
      </c>
    </row>
    <row r="398" spans="1:23" s="2" customFormat="1" ht="12">
      <c r="A398" s="11"/>
      <c r="B398" s="108"/>
      <c r="C398" s="109"/>
      <c r="D398" s="14" t="str">
        <f t="shared" ref="D398:D407" si="18">D397</f>
        <v>哈啰</v>
      </c>
      <c r="E398" s="109"/>
      <c r="F398" s="112"/>
      <c r="G398" s="109"/>
      <c r="H398" s="109"/>
      <c r="I398" s="109"/>
      <c r="J398" s="109"/>
      <c r="K398" s="109"/>
      <c r="L398" s="109"/>
      <c r="M398" s="109"/>
      <c r="N398" s="13" t="s">
        <v>8995</v>
      </c>
      <c r="O398" s="15" t="s">
        <v>285</v>
      </c>
      <c r="P398" s="13" t="s">
        <v>301</v>
      </c>
      <c r="Q398" s="15" t="s">
        <v>2229</v>
      </c>
      <c r="R398" s="109"/>
      <c r="S398" s="109"/>
      <c r="T398" s="112"/>
      <c r="U398" s="112"/>
      <c r="V398" s="112"/>
      <c r="W398" s="112"/>
    </row>
    <row r="399" spans="1:23" s="2" customFormat="1" ht="12">
      <c r="A399" s="11"/>
      <c r="B399" s="108"/>
      <c r="C399" s="109"/>
      <c r="D399" s="14" t="str">
        <f t="shared" si="18"/>
        <v>哈啰</v>
      </c>
      <c r="E399" s="109"/>
      <c r="F399" s="112"/>
      <c r="G399" s="109"/>
      <c r="H399" s="109"/>
      <c r="I399" s="109"/>
      <c r="J399" s="109"/>
      <c r="K399" s="109"/>
      <c r="L399" s="109"/>
      <c r="M399" s="109"/>
      <c r="N399" s="13" t="s">
        <v>588</v>
      </c>
      <c r="O399" s="15" t="s">
        <v>285</v>
      </c>
      <c r="P399" s="13" t="s">
        <v>3022</v>
      </c>
      <c r="Q399" s="15" t="s">
        <v>3591</v>
      </c>
      <c r="R399" s="109"/>
      <c r="S399" s="109"/>
      <c r="T399" s="112"/>
      <c r="U399" s="112"/>
      <c r="V399" s="112"/>
      <c r="W399" s="112"/>
    </row>
    <row r="400" spans="1:23" s="2" customFormat="1" ht="12">
      <c r="A400" s="11"/>
      <c r="B400" s="108"/>
      <c r="C400" s="109"/>
      <c r="D400" s="14" t="str">
        <f t="shared" si="18"/>
        <v>哈啰</v>
      </c>
      <c r="E400" s="109"/>
      <c r="F400" s="112"/>
      <c r="G400" s="109"/>
      <c r="H400" s="109"/>
      <c r="I400" s="109"/>
      <c r="J400" s="109"/>
      <c r="K400" s="109"/>
      <c r="L400" s="109"/>
      <c r="M400" s="109"/>
      <c r="N400" s="13" t="s">
        <v>8996</v>
      </c>
      <c r="O400" s="13" t="s">
        <v>303</v>
      </c>
      <c r="P400" s="13" t="s">
        <v>1239</v>
      </c>
      <c r="Q400" s="15" t="s">
        <v>2229</v>
      </c>
      <c r="R400" s="109"/>
      <c r="S400" s="109"/>
      <c r="T400" s="112"/>
      <c r="U400" s="112"/>
      <c r="V400" s="112"/>
      <c r="W400" s="112"/>
    </row>
    <row r="401" spans="1:23" s="2" customFormat="1" ht="12">
      <c r="A401" s="11"/>
      <c r="B401" s="108"/>
      <c r="C401" s="109"/>
      <c r="D401" s="14" t="str">
        <f t="shared" si="18"/>
        <v>哈啰</v>
      </c>
      <c r="E401" s="109"/>
      <c r="F401" s="112"/>
      <c r="G401" s="109"/>
      <c r="H401" s="109"/>
      <c r="I401" s="109"/>
      <c r="J401" s="109"/>
      <c r="K401" s="109"/>
      <c r="L401" s="109"/>
      <c r="M401" s="109"/>
      <c r="N401" s="13" t="s">
        <v>8967</v>
      </c>
      <c r="O401" s="13" t="s">
        <v>310</v>
      </c>
      <c r="P401" s="13" t="s">
        <v>318</v>
      </c>
      <c r="Q401" s="15" t="s">
        <v>3592</v>
      </c>
      <c r="R401" s="109"/>
      <c r="S401" s="109"/>
      <c r="T401" s="112"/>
      <c r="U401" s="112"/>
      <c r="V401" s="112"/>
      <c r="W401" s="112"/>
    </row>
    <row r="402" spans="1:23" s="2" customFormat="1" ht="12">
      <c r="A402" s="11"/>
      <c r="B402" s="108"/>
      <c r="C402" s="109"/>
      <c r="D402" s="14" t="str">
        <f t="shared" si="18"/>
        <v>哈啰</v>
      </c>
      <c r="E402" s="109"/>
      <c r="F402" s="112"/>
      <c r="G402" s="109"/>
      <c r="H402" s="109"/>
      <c r="I402" s="109"/>
      <c r="J402" s="109"/>
      <c r="K402" s="109"/>
      <c r="L402" s="109"/>
      <c r="M402" s="109"/>
      <c r="N402" s="13" t="s">
        <v>8997</v>
      </c>
      <c r="O402" s="13" t="s">
        <v>317</v>
      </c>
      <c r="P402" s="13" t="s">
        <v>984</v>
      </c>
      <c r="Q402" s="15" t="s">
        <v>3593</v>
      </c>
      <c r="R402" s="109"/>
      <c r="S402" s="109"/>
      <c r="T402" s="112"/>
      <c r="U402" s="112"/>
      <c r="V402" s="112"/>
      <c r="W402" s="112"/>
    </row>
    <row r="403" spans="1:23" s="2" customFormat="1" ht="12">
      <c r="A403" s="11"/>
      <c r="B403" s="108"/>
      <c r="C403" s="109"/>
      <c r="D403" s="14" t="str">
        <f t="shared" si="18"/>
        <v>哈啰</v>
      </c>
      <c r="E403" s="109"/>
      <c r="F403" s="112"/>
      <c r="G403" s="109"/>
      <c r="H403" s="109"/>
      <c r="I403" s="109"/>
      <c r="J403" s="109"/>
      <c r="K403" s="109"/>
      <c r="L403" s="109"/>
      <c r="M403" s="109"/>
      <c r="N403" s="13" t="s">
        <v>8950</v>
      </c>
      <c r="O403" s="15" t="s">
        <v>313</v>
      </c>
      <c r="P403" s="15" t="s">
        <v>252</v>
      </c>
      <c r="Q403" s="15" t="s">
        <v>3594</v>
      </c>
      <c r="R403" s="109"/>
      <c r="S403" s="109"/>
      <c r="T403" s="112"/>
      <c r="U403" s="112"/>
      <c r="V403" s="112"/>
      <c r="W403" s="112"/>
    </row>
    <row r="404" spans="1:23" s="2" customFormat="1" ht="12">
      <c r="A404" s="11"/>
      <c r="B404" s="108"/>
      <c r="C404" s="109"/>
      <c r="D404" s="14" t="str">
        <f t="shared" si="18"/>
        <v>哈啰</v>
      </c>
      <c r="E404" s="109"/>
      <c r="F404" s="112"/>
      <c r="G404" s="109"/>
      <c r="H404" s="109"/>
      <c r="I404" s="109"/>
      <c r="J404" s="109"/>
      <c r="K404" s="109"/>
      <c r="L404" s="109"/>
      <c r="M404" s="109"/>
      <c r="N404" s="13" t="s">
        <v>8998</v>
      </c>
      <c r="O404" s="13" t="s">
        <v>565</v>
      </c>
      <c r="P404" s="15" t="s">
        <v>409</v>
      </c>
      <c r="Q404" s="15" t="s">
        <v>3595</v>
      </c>
      <c r="R404" s="109"/>
      <c r="S404" s="109"/>
      <c r="T404" s="112"/>
      <c r="U404" s="112"/>
      <c r="V404" s="112"/>
      <c r="W404" s="112"/>
    </row>
    <row r="405" spans="1:23" s="2" customFormat="1" ht="12">
      <c r="A405" s="11"/>
      <c r="B405" s="108"/>
      <c r="C405" s="109"/>
      <c r="D405" s="14" t="str">
        <f t="shared" si="18"/>
        <v>哈啰</v>
      </c>
      <c r="E405" s="109"/>
      <c r="F405" s="112"/>
      <c r="G405" s="109"/>
      <c r="H405" s="109"/>
      <c r="I405" s="109"/>
      <c r="J405" s="109"/>
      <c r="K405" s="109"/>
      <c r="L405" s="109"/>
      <c r="M405" s="109"/>
      <c r="N405" s="13" t="s">
        <v>8999</v>
      </c>
      <c r="O405" s="13" t="s">
        <v>257</v>
      </c>
      <c r="P405" s="15" t="s">
        <v>409</v>
      </c>
      <c r="Q405" s="15" t="s">
        <v>3596</v>
      </c>
      <c r="R405" s="109"/>
      <c r="S405" s="109"/>
      <c r="T405" s="112"/>
      <c r="U405" s="112"/>
      <c r="V405" s="112"/>
      <c r="W405" s="112"/>
    </row>
    <row r="406" spans="1:23" s="2" customFormat="1" ht="12">
      <c r="A406" s="11"/>
      <c r="B406" s="108"/>
      <c r="C406" s="109"/>
      <c r="D406" s="14" t="str">
        <f t="shared" si="18"/>
        <v>哈啰</v>
      </c>
      <c r="E406" s="109"/>
      <c r="F406" s="112"/>
      <c r="G406" s="109"/>
      <c r="H406" s="109"/>
      <c r="I406" s="109"/>
      <c r="J406" s="109"/>
      <c r="K406" s="109"/>
      <c r="L406" s="109"/>
      <c r="M406" s="109"/>
      <c r="N406" s="13" t="s">
        <v>9000</v>
      </c>
      <c r="O406" s="13" t="s">
        <v>260</v>
      </c>
      <c r="P406" s="15" t="s">
        <v>341</v>
      </c>
      <c r="Q406" s="13" t="s">
        <v>3597</v>
      </c>
      <c r="R406" s="109"/>
      <c r="S406" s="109"/>
      <c r="T406" s="112"/>
      <c r="U406" s="112"/>
      <c r="V406" s="112"/>
      <c r="W406" s="112"/>
    </row>
    <row r="407" spans="1:23" s="2" customFormat="1" ht="12">
      <c r="A407" s="11"/>
      <c r="B407" s="108"/>
      <c r="C407" s="109"/>
      <c r="D407" s="14" t="str">
        <f t="shared" si="18"/>
        <v>哈啰</v>
      </c>
      <c r="E407" s="109"/>
      <c r="F407" s="112"/>
      <c r="G407" s="109"/>
      <c r="H407" s="109"/>
      <c r="I407" s="109"/>
      <c r="J407" s="109"/>
      <c r="K407" s="109"/>
      <c r="L407" s="109"/>
      <c r="M407" s="109"/>
      <c r="N407" s="13" t="s">
        <v>9001</v>
      </c>
      <c r="O407" s="13" t="s">
        <v>262</v>
      </c>
      <c r="P407" s="15" t="s">
        <v>341</v>
      </c>
      <c r="Q407" s="13" t="s">
        <v>3598</v>
      </c>
      <c r="R407" s="109"/>
      <c r="S407" s="109"/>
      <c r="T407" s="112"/>
      <c r="U407" s="112"/>
      <c r="V407" s="112"/>
      <c r="W407" s="112"/>
    </row>
    <row r="408" spans="1:23" s="2" customFormat="1" ht="12">
      <c r="A408" s="11"/>
      <c r="B408" s="108"/>
      <c r="C408" s="109" t="s">
        <v>8950</v>
      </c>
      <c r="D408" s="14" t="s">
        <v>3594</v>
      </c>
      <c r="E408" s="113" t="s">
        <v>3594</v>
      </c>
      <c r="F408" s="114" t="s">
        <v>9002</v>
      </c>
      <c r="G408" s="113" t="s">
        <v>9003</v>
      </c>
      <c r="H408" s="109" t="s">
        <v>9004</v>
      </c>
      <c r="I408" s="109" t="s">
        <v>2176</v>
      </c>
      <c r="J408" s="113" t="s">
        <v>1126</v>
      </c>
      <c r="K408" s="113" t="s">
        <v>272</v>
      </c>
      <c r="L408" s="113" t="s">
        <v>273</v>
      </c>
      <c r="M408" s="113" t="s">
        <v>274</v>
      </c>
      <c r="N408" s="13" t="s">
        <v>8950</v>
      </c>
      <c r="O408" s="15" t="s">
        <v>313</v>
      </c>
      <c r="P408" s="15" t="s">
        <v>252</v>
      </c>
      <c r="Q408" s="15" t="s">
        <v>3580</v>
      </c>
      <c r="R408" s="109" t="s">
        <v>9005</v>
      </c>
      <c r="S408" s="113" t="s">
        <v>255</v>
      </c>
      <c r="T408" s="114" t="s">
        <v>9006</v>
      </c>
      <c r="U408" s="114" t="s">
        <v>9007</v>
      </c>
      <c r="V408" s="112" t="s">
        <v>9008</v>
      </c>
      <c r="W408" s="112" t="s">
        <v>9009</v>
      </c>
    </row>
    <row r="409" spans="1:23" s="2" customFormat="1" ht="12">
      <c r="A409" s="11"/>
      <c r="B409" s="108"/>
      <c r="C409" s="109"/>
      <c r="D409" s="14" t="str">
        <f>D408</f>
        <v>永安行</v>
      </c>
      <c r="E409" s="109"/>
      <c r="F409" s="112"/>
      <c r="G409" s="109"/>
      <c r="H409" s="109"/>
      <c r="I409" s="109"/>
      <c r="J409" s="109"/>
      <c r="K409" s="109"/>
      <c r="L409" s="109"/>
      <c r="M409" s="109"/>
      <c r="N409" s="13" t="s">
        <v>8827</v>
      </c>
      <c r="O409" s="13" t="s">
        <v>283</v>
      </c>
      <c r="P409" s="13" t="s">
        <v>9010</v>
      </c>
      <c r="Q409" s="13" t="s">
        <v>253</v>
      </c>
      <c r="R409" s="109"/>
      <c r="S409" s="109"/>
      <c r="T409" s="112"/>
      <c r="U409" s="112"/>
      <c r="V409" s="112"/>
      <c r="W409" s="112"/>
    </row>
    <row r="410" spans="1:23" s="2" customFormat="1" ht="12">
      <c r="A410" s="11"/>
      <c r="B410" s="108"/>
      <c r="C410" s="109"/>
      <c r="D410" s="14" t="str">
        <f>D409</f>
        <v>永安行</v>
      </c>
      <c r="E410" s="109"/>
      <c r="F410" s="112"/>
      <c r="G410" s="109"/>
      <c r="H410" s="109"/>
      <c r="I410" s="109"/>
      <c r="J410" s="109"/>
      <c r="K410" s="109"/>
      <c r="L410" s="109"/>
      <c r="M410" s="109"/>
      <c r="N410" s="13" t="s">
        <v>8401</v>
      </c>
      <c r="O410" s="13" t="s">
        <v>262</v>
      </c>
      <c r="P410" s="15" t="s">
        <v>409</v>
      </c>
      <c r="Q410" s="13" t="s">
        <v>9011</v>
      </c>
      <c r="R410" s="109"/>
      <c r="S410" s="109"/>
      <c r="T410" s="112"/>
      <c r="U410" s="112"/>
      <c r="V410" s="112"/>
      <c r="W410" s="112"/>
    </row>
    <row r="411" spans="1:23" s="2" customFormat="1" ht="12">
      <c r="A411" s="11"/>
      <c r="B411" s="108"/>
      <c r="C411" s="109"/>
      <c r="D411" s="14" t="str">
        <f>D410</f>
        <v>永安行</v>
      </c>
      <c r="E411" s="109"/>
      <c r="F411" s="112"/>
      <c r="G411" s="109"/>
      <c r="H411" s="109"/>
      <c r="I411" s="109"/>
      <c r="J411" s="109"/>
      <c r="K411" s="109"/>
      <c r="L411" s="109"/>
      <c r="M411" s="109"/>
      <c r="N411" s="13" t="s">
        <v>9012</v>
      </c>
      <c r="O411" s="15" t="s">
        <v>326</v>
      </c>
      <c r="P411" s="13" t="s">
        <v>3761</v>
      </c>
      <c r="Q411" s="15" t="s">
        <v>9013</v>
      </c>
      <c r="R411" s="109"/>
      <c r="S411" s="109"/>
      <c r="T411" s="112"/>
      <c r="U411" s="112"/>
      <c r="V411" s="112"/>
      <c r="W411" s="112"/>
    </row>
    <row r="412" spans="1:23" s="2" customFormat="1" ht="12">
      <c r="A412" s="11"/>
      <c r="B412" s="108"/>
      <c r="C412" s="109" t="s">
        <v>9014</v>
      </c>
      <c r="D412" s="14" t="s">
        <v>9015</v>
      </c>
      <c r="E412" s="109" t="s">
        <v>9016</v>
      </c>
      <c r="F412" s="112" t="s">
        <v>9017</v>
      </c>
      <c r="G412" s="109"/>
      <c r="H412" s="109" t="s">
        <v>9018</v>
      </c>
      <c r="I412" s="109" t="s">
        <v>9019</v>
      </c>
      <c r="J412" s="113" t="s">
        <v>1564</v>
      </c>
      <c r="K412" s="113" t="s">
        <v>272</v>
      </c>
      <c r="L412" s="113" t="s">
        <v>1859</v>
      </c>
      <c r="M412" s="113" t="s">
        <v>2900</v>
      </c>
      <c r="N412" s="13" t="s">
        <v>9014</v>
      </c>
      <c r="O412" s="15" t="s">
        <v>285</v>
      </c>
      <c r="P412" s="13" t="s">
        <v>678</v>
      </c>
      <c r="Q412" s="13" t="s">
        <v>9020</v>
      </c>
      <c r="R412" s="109" t="s">
        <v>9021</v>
      </c>
      <c r="S412" s="109" t="s">
        <v>9022</v>
      </c>
      <c r="T412" s="112" t="s">
        <v>9023</v>
      </c>
      <c r="U412" s="112"/>
      <c r="V412" s="112"/>
      <c r="W412" s="112"/>
    </row>
    <row r="413" spans="1:23" s="2" customFormat="1" ht="12">
      <c r="A413" s="11"/>
      <c r="B413" s="108"/>
      <c r="C413" s="109"/>
      <c r="D413" s="14" t="str">
        <f>D412</f>
        <v>MoneyGram速汇金</v>
      </c>
      <c r="E413" s="109"/>
      <c r="F413" s="112"/>
      <c r="G413" s="109"/>
      <c r="H413" s="109"/>
      <c r="I413" s="109"/>
      <c r="J413" s="109"/>
      <c r="K413" s="109"/>
      <c r="L413" s="109"/>
      <c r="M413" s="109"/>
      <c r="N413" s="13" t="s">
        <v>8288</v>
      </c>
      <c r="O413" s="15" t="s">
        <v>285</v>
      </c>
      <c r="P413" s="13" t="s">
        <v>458</v>
      </c>
      <c r="Q413" s="13" t="s">
        <v>9024</v>
      </c>
      <c r="R413" s="109"/>
      <c r="S413" s="109"/>
      <c r="T413" s="112"/>
      <c r="U413" s="112"/>
      <c r="V413" s="112"/>
      <c r="W413" s="112"/>
    </row>
    <row r="414" spans="1:23" s="2" customFormat="1" ht="12">
      <c r="A414" s="11"/>
      <c r="B414" s="108"/>
      <c r="C414" s="109"/>
      <c r="D414" s="14" t="str">
        <f>D413</f>
        <v>MoneyGram速汇金</v>
      </c>
      <c r="E414" s="109"/>
      <c r="F414" s="112"/>
      <c r="G414" s="109"/>
      <c r="H414" s="109"/>
      <c r="I414" s="109"/>
      <c r="J414" s="109"/>
      <c r="K414" s="109"/>
      <c r="L414" s="109"/>
      <c r="M414" s="109"/>
      <c r="N414" s="13" t="s">
        <v>9025</v>
      </c>
      <c r="O414" s="15" t="s">
        <v>285</v>
      </c>
      <c r="P414" s="13" t="s">
        <v>1032</v>
      </c>
      <c r="Q414" s="13" t="s">
        <v>9024</v>
      </c>
      <c r="R414" s="109"/>
      <c r="S414" s="109"/>
      <c r="T414" s="112"/>
      <c r="U414" s="112"/>
      <c r="V414" s="112"/>
      <c r="W414" s="112"/>
    </row>
    <row r="415" spans="1:23" s="2" customFormat="1" ht="12">
      <c r="A415" s="11"/>
      <c r="B415" s="108"/>
      <c r="C415" s="109"/>
      <c r="D415" s="14" t="str">
        <f>D414</f>
        <v>MoneyGram速汇金</v>
      </c>
      <c r="E415" s="109"/>
      <c r="F415" s="112"/>
      <c r="G415" s="109"/>
      <c r="H415" s="109"/>
      <c r="I415" s="109"/>
      <c r="J415" s="109"/>
      <c r="K415" s="109"/>
      <c r="L415" s="109"/>
      <c r="M415" s="109"/>
      <c r="N415" s="13" t="s">
        <v>9026</v>
      </c>
      <c r="O415" s="15" t="s">
        <v>471</v>
      </c>
      <c r="P415" s="13" t="s">
        <v>9027</v>
      </c>
      <c r="Q415" s="15" t="s">
        <v>2229</v>
      </c>
      <c r="R415" s="109"/>
      <c r="S415" s="109"/>
      <c r="T415" s="112"/>
      <c r="U415" s="112"/>
      <c r="V415" s="112"/>
      <c r="W415" s="112"/>
    </row>
    <row r="416" spans="1:23" s="2" customFormat="1" ht="12">
      <c r="A416" s="11"/>
      <c r="B416" s="108"/>
      <c r="C416" s="109" t="s">
        <v>2555</v>
      </c>
      <c r="D416" s="14" t="s">
        <v>9028</v>
      </c>
      <c r="E416" s="113" t="s">
        <v>9028</v>
      </c>
      <c r="F416" s="114" t="s">
        <v>9029</v>
      </c>
      <c r="G416" s="113" t="s">
        <v>9030</v>
      </c>
      <c r="H416" s="109" t="s">
        <v>9031</v>
      </c>
      <c r="I416" s="109" t="s">
        <v>2787</v>
      </c>
      <c r="J416" s="113" t="s">
        <v>428</v>
      </c>
      <c r="K416" s="113" t="s">
        <v>272</v>
      </c>
      <c r="L416" s="113" t="s">
        <v>1859</v>
      </c>
      <c r="M416" s="113" t="s">
        <v>8193</v>
      </c>
      <c r="N416" s="13" t="s">
        <v>2555</v>
      </c>
      <c r="O416" s="13" t="s">
        <v>523</v>
      </c>
      <c r="P416" s="15" t="s">
        <v>341</v>
      </c>
      <c r="Q416" s="15" t="s">
        <v>9032</v>
      </c>
      <c r="R416" s="109" t="s">
        <v>353</v>
      </c>
      <c r="S416" s="109" t="s">
        <v>432</v>
      </c>
      <c r="T416" s="114" t="s">
        <v>9033</v>
      </c>
      <c r="U416" s="114" t="s">
        <v>9034</v>
      </c>
      <c r="V416" s="112" t="s">
        <v>9035</v>
      </c>
      <c r="W416" s="112" t="s">
        <v>9036</v>
      </c>
    </row>
    <row r="417" spans="1:23" s="2" customFormat="1" ht="12">
      <c r="A417" s="11"/>
      <c r="B417" s="108"/>
      <c r="C417" s="109"/>
      <c r="D417" s="14" t="str">
        <f>D416</f>
        <v>雨点金服</v>
      </c>
      <c r="E417" s="109"/>
      <c r="F417" s="112"/>
      <c r="G417" s="109"/>
      <c r="H417" s="109"/>
      <c r="I417" s="109"/>
      <c r="J417" s="109"/>
      <c r="K417" s="109"/>
      <c r="L417" s="109"/>
      <c r="M417" s="109"/>
      <c r="N417" s="13" t="s">
        <v>9037</v>
      </c>
      <c r="O417" s="13" t="s">
        <v>251</v>
      </c>
      <c r="P417" s="15" t="s">
        <v>341</v>
      </c>
      <c r="Q417" s="15" t="s">
        <v>9038</v>
      </c>
      <c r="R417" s="109"/>
      <c r="S417" s="109"/>
      <c r="T417" s="112"/>
      <c r="U417" s="112"/>
      <c r="V417" s="112"/>
      <c r="W417" s="112"/>
    </row>
    <row r="418" spans="1:23" s="2" customFormat="1" ht="12">
      <c r="A418" s="11"/>
      <c r="B418" s="108"/>
      <c r="C418" s="109"/>
      <c r="D418" s="14" t="str">
        <f>D417</f>
        <v>雨点金服</v>
      </c>
      <c r="E418" s="109"/>
      <c r="F418" s="112"/>
      <c r="G418" s="109"/>
      <c r="H418" s="109"/>
      <c r="I418" s="109"/>
      <c r="J418" s="109"/>
      <c r="K418" s="109"/>
      <c r="L418" s="109"/>
      <c r="M418" s="109"/>
      <c r="N418" s="13" t="s">
        <v>9039</v>
      </c>
      <c r="O418" s="13" t="s">
        <v>257</v>
      </c>
      <c r="P418" s="13" t="s">
        <v>578</v>
      </c>
      <c r="Q418" s="15" t="s">
        <v>9040</v>
      </c>
      <c r="R418" s="109"/>
      <c r="S418" s="109"/>
      <c r="T418" s="112"/>
      <c r="U418" s="112"/>
      <c r="V418" s="112"/>
      <c r="W418" s="112"/>
    </row>
    <row r="419" spans="1:23" s="2" customFormat="1" ht="12">
      <c r="A419" s="11"/>
      <c r="B419" s="108"/>
      <c r="C419" s="109"/>
      <c r="D419" s="14" t="str">
        <f>D418</f>
        <v>雨点金服</v>
      </c>
      <c r="E419" s="109"/>
      <c r="F419" s="112"/>
      <c r="G419" s="109"/>
      <c r="H419" s="109"/>
      <c r="I419" s="109"/>
      <c r="J419" s="109"/>
      <c r="K419" s="109"/>
      <c r="L419" s="109"/>
      <c r="M419" s="109"/>
      <c r="N419" s="13" t="s">
        <v>8404</v>
      </c>
      <c r="O419" s="13" t="s">
        <v>262</v>
      </c>
      <c r="P419" s="13" t="s">
        <v>9041</v>
      </c>
      <c r="Q419" s="15" t="s">
        <v>9042</v>
      </c>
      <c r="R419" s="109"/>
      <c r="S419" s="109"/>
      <c r="T419" s="112"/>
      <c r="U419" s="112"/>
      <c r="V419" s="112"/>
      <c r="W419" s="112"/>
    </row>
    <row r="420" spans="1:23" s="2" customFormat="1" ht="12">
      <c r="A420" s="11"/>
      <c r="B420" s="108"/>
      <c r="C420" s="109"/>
      <c r="D420" s="14" t="str">
        <f>D419</f>
        <v>雨点金服</v>
      </c>
      <c r="E420" s="109"/>
      <c r="F420" s="112"/>
      <c r="G420" s="109"/>
      <c r="H420" s="109"/>
      <c r="I420" s="109"/>
      <c r="J420" s="109"/>
      <c r="K420" s="109"/>
      <c r="L420" s="109"/>
      <c r="M420" s="109"/>
      <c r="N420" s="13" t="s">
        <v>3182</v>
      </c>
      <c r="O420" s="15" t="s">
        <v>326</v>
      </c>
      <c r="P420" s="13" t="s">
        <v>360</v>
      </c>
      <c r="Q420" s="15" t="s">
        <v>9043</v>
      </c>
      <c r="R420" s="109"/>
      <c r="S420" s="109"/>
      <c r="T420" s="112"/>
      <c r="U420" s="112"/>
      <c r="V420" s="112"/>
      <c r="W420" s="112"/>
    </row>
    <row r="421" spans="1:23" s="2" customFormat="1" ht="12">
      <c r="A421" s="11"/>
      <c r="B421" s="108"/>
      <c r="C421" s="109" t="s">
        <v>4299</v>
      </c>
      <c r="D421" s="14" t="s">
        <v>9044</v>
      </c>
      <c r="E421" s="109" t="s">
        <v>9044</v>
      </c>
      <c r="F421" s="112" t="s">
        <v>9045</v>
      </c>
      <c r="G421" s="109"/>
      <c r="H421" s="109" t="s">
        <v>9046</v>
      </c>
      <c r="I421" s="109" t="s">
        <v>1957</v>
      </c>
      <c r="J421" s="113" t="s">
        <v>9047</v>
      </c>
      <c r="K421" s="113" t="s">
        <v>272</v>
      </c>
      <c r="L421" s="113" t="s">
        <v>1859</v>
      </c>
      <c r="M421" s="113" t="s">
        <v>2900</v>
      </c>
      <c r="N421" s="13" t="s">
        <v>4299</v>
      </c>
      <c r="O421" s="15" t="s">
        <v>285</v>
      </c>
      <c r="P421" s="13" t="s">
        <v>699</v>
      </c>
      <c r="Q421" s="13" t="s">
        <v>9048</v>
      </c>
      <c r="R421" s="109" t="s">
        <v>9049</v>
      </c>
      <c r="S421" s="109" t="s">
        <v>2384</v>
      </c>
      <c r="T421" s="112" t="s">
        <v>9050</v>
      </c>
      <c r="U421" s="112"/>
      <c r="V421" s="112"/>
      <c r="W421" s="112"/>
    </row>
    <row r="422" spans="1:23" s="2" customFormat="1" ht="12">
      <c r="A422" s="11"/>
      <c r="B422" s="108"/>
      <c r="C422" s="109"/>
      <c r="D422" s="14" t="str">
        <f>D421</f>
        <v>Mynt</v>
      </c>
      <c r="E422" s="109"/>
      <c r="F422" s="112"/>
      <c r="G422" s="109"/>
      <c r="H422" s="109"/>
      <c r="I422" s="109"/>
      <c r="J422" s="109"/>
      <c r="K422" s="109"/>
      <c r="L422" s="109"/>
      <c r="M422" s="109"/>
      <c r="N422" s="13" t="s">
        <v>9051</v>
      </c>
      <c r="O422" s="13" t="s">
        <v>262</v>
      </c>
      <c r="P422" s="15" t="s">
        <v>276</v>
      </c>
      <c r="Q422" s="15" t="s">
        <v>2229</v>
      </c>
      <c r="R422" s="109"/>
      <c r="S422" s="109"/>
      <c r="T422" s="112"/>
      <c r="U422" s="112"/>
      <c r="V422" s="112"/>
      <c r="W422" s="112"/>
    </row>
    <row r="423" spans="1:23" s="2" customFormat="1" ht="12">
      <c r="A423" s="11"/>
      <c r="B423" s="108"/>
      <c r="C423" s="109" t="s">
        <v>9052</v>
      </c>
      <c r="D423" s="14" t="s">
        <v>9053</v>
      </c>
      <c r="E423" s="113" t="s">
        <v>9053</v>
      </c>
      <c r="F423" s="114" t="s">
        <v>9054</v>
      </c>
      <c r="G423" s="113" t="s">
        <v>9055</v>
      </c>
      <c r="H423" s="109" t="s">
        <v>9056</v>
      </c>
      <c r="I423" s="109" t="s">
        <v>3568</v>
      </c>
      <c r="J423" s="113" t="s">
        <v>3842</v>
      </c>
      <c r="K423" s="113" t="s">
        <v>272</v>
      </c>
      <c r="L423" s="113" t="s">
        <v>1101</v>
      </c>
      <c r="M423" s="113" t="s">
        <v>5105</v>
      </c>
      <c r="N423" s="13" t="s">
        <v>9052</v>
      </c>
      <c r="O423" s="15" t="s">
        <v>359</v>
      </c>
      <c r="P423" s="15" t="s">
        <v>252</v>
      </c>
      <c r="Q423" s="15" t="s">
        <v>9057</v>
      </c>
      <c r="R423" s="109" t="s">
        <v>9058</v>
      </c>
      <c r="S423" s="113" t="s">
        <v>255</v>
      </c>
      <c r="T423" s="114" t="s">
        <v>9059</v>
      </c>
      <c r="U423" s="114" t="s">
        <v>9060</v>
      </c>
      <c r="V423" s="112" t="s">
        <v>9061</v>
      </c>
      <c r="W423" s="112" t="s">
        <v>9062</v>
      </c>
    </row>
    <row r="424" spans="1:23" s="2" customFormat="1" ht="12">
      <c r="A424" s="11"/>
      <c r="B424" s="108"/>
      <c r="C424" s="109"/>
      <c r="D424" s="14" t="str">
        <f>D423</f>
        <v>雨诺</v>
      </c>
      <c r="E424" s="109"/>
      <c r="F424" s="112"/>
      <c r="G424" s="109"/>
      <c r="H424" s="109"/>
      <c r="I424" s="109"/>
      <c r="J424" s="109"/>
      <c r="K424" s="109"/>
      <c r="L424" s="109"/>
      <c r="M424" s="109"/>
      <c r="N424" s="13" t="s">
        <v>9063</v>
      </c>
      <c r="O424" s="15" t="s">
        <v>359</v>
      </c>
      <c r="P424" s="13" t="s">
        <v>1345</v>
      </c>
      <c r="Q424" s="15" t="s">
        <v>2229</v>
      </c>
      <c r="R424" s="109"/>
      <c r="S424" s="109"/>
      <c r="T424" s="112"/>
      <c r="U424" s="112"/>
      <c r="V424" s="112"/>
      <c r="W424" s="112"/>
    </row>
    <row r="425" spans="1:23" s="2" customFormat="1" ht="12">
      <c r="A425" s="11"/>
      <c r="B425" s="108"/>
      <c r="C425" s="109"/>
      <c r="D425" s="14" t="str">
        <f>D424</f>
        <v>雨诺</v>
      </c>
      <c r="E425" s="109"/>
      <c r="F425" s="112"/>
      <c r="G425" s="109"/>
      <c r="H425" s="109"/>
      <c r="I425" s="109"/>
      <c r="J425" s="109"/>
      <c r="K425" s="109"/>
      <c r="L425" s="109"/>
      <c r="M425" s="109"/>
      <c r="N425" s="13" t="s">
        <v>9064</v>
      </c>
      <c r="O425" s="15" t="s">
        <v>362</v>
      </c>
      <c r="P425" s="15" t="s">
        <v>409</v>
      </c>
      <c r="Q425" s="13" t="s">
        <v>253</v>
      </c>
      <c r="R425" s="109"/>
      <c r="S425" s="109"/>
      <c r="T425" s="112"/>
      <c r="U425" s="112"/>
      <c r="V425" s="112"/>
      <c r="W425" s="112"/>
    </row>
    <row r="426" spans="1:23" s="2" customFormat="1" ht="12">
      <c r="A426" s="11"/>
      <c r="B426" s="108"/>
      <c r="C426" s="109"/>
      <c r="D426" s="14" t="str">
        <f>D425</f>
        <v>雨诺</v>
      </c>
      <c r="E426" s="109"/>
      <c r="F426" s="112"/>
      <c r="G426" s="109"/>
      <c r="H426" s="109"/>
      <c r="I426" s="109"/>
      <c r="J426" s="109"/>
      <c r="K426" s="109"/>
      <c r="L426" s="109"/>
      <c r="M426" s="109"/>
      <c r="N426" s="13" t="s">
        <v>9065</v>
      </c>
      <c r="O426" s="13" t="s">
        <v>260</v>
      </c>
      <c r="P426" s="15" t="s">
        <v>341</v>
      </c>
      <c r="Q426" s="15" t="s">
        <v>9066</v>
      </c>
      <c r="R426" s="109"/>
      <c r="S426" s="109"/>
      <c r="T426" s="112"/>
      <c r="U426" s="112"/>
      <c r="V426" s="112"/>
      <c r="W426" s="112"/>
    </row>
    <row r="427" spans="1:23" s="2" customFormat="1" ht="12">
      <c r="A427" s="11"/>
      <c r="B427" s="108"/>
      <c r="C427" s="109" t="s">
        <v>2636</v>
      </c>
      <c r="D427" s="14" t="s">
        <v>9067</v>
      </c>
      <c r="E427" s="113" t="s">
        <v>9067</v>
      </c>
      <c r="F427" s="114" t="s">
        <v>9068</v>
      </c>
      <c r="G427" s="113" t="s">
        <v>9069</v>
      </c>
      <c r="H427" s="109" t="s">
        <v>9070</v>
      </c>
      <c r="I427" s="109" t="s">
        <v>3584</v>
      </c>
      <c r="J427" s="113" t="s">
        <v>271</v>
      </c>
      <c r="K427" s="113" t="s">
        <v>248</v>
      </c>
      <c r="L427" s="113" t="s">
        <v>407</v>
      </c>
      <c r="M427" s="113" t="s">
        <v>762</v>
      </c>
      <c r="N427" s="13" t="s">
        <v>2636</v>
      </c>
      <c r="O427" s="15" t="s">
        <v>471</v>
      </c>
      <c r="P427" s="15" t="s">
        <v>252</v>
      </c>
      <c r="Q427" s="15" t="s">
        <v>9071</v>
      </c>
      <c r="R427" s="109" t="s">
        <v>2658</v>
      </c>
      <c r="S427" s="113" t="s">
        <v>255</v>
      </c>
      <c r="T427" s="114" t="s">
        <v>9072</v>
      </c>
      <c r="U427" s="114" t="s">
        <v>9073</v>
      </c>
      <c r="V427" s="112">
        <v>18810301931</v>
      </c>
      <c r="W427" s="112" t="s">
        <v>9074</v>
      </c>
    </row>
    <row r="428" spans="1:23" s="2" customFormat="1" ht="12">
      <c r="A428" s="11"/>
      <c r="B428" s="108"/>
      <c r="C428" s="109"/>
      <c r="D428" s="14" t="str">
        <f>D427</f>
        <v>深鉴科技</v>
      </c>
      <c r="E428" s="109"/>
      <c r="F428" s="112"/>
      <c r="G428" s="109"/>
      <c r="H428" s="109"/>
      <c r="I428" s="109"/>
      <c r="J428" s="109"/>
      <c r="K428" s="109"/>
      <c r="L428" s="109"/>
      <c r="M428" s="109"/>
      <c r="N428" s="13" t="s">
        <v>9075</v>
      </c>
      <c r="O428" s="13" t="s">
        <v>260</v>
      </c>
      <c r="P428" s="13" t="s">
        <v>676</v>
      </c>
      <c r="Q428" s="15" t="s">
        <v>9076</v>
      </c>
      <c r="R428" s="109"/>
      <c r="S428" s="109"/>
      <c r="T428" s="112"/>
      <c r="U428" s="112"/>
      <c r="V428" s="112"/>
      <c r="W428" s="112"/>
    </row>
    <row r="429" spans="1:23" s="2" customFormat="1" ht="12">
      <c r="A429" s="11"/>
      <c r="B429" s="108"/>
      <c r="C429" s="109"/>
      <c r="D429" s="14" t="str">
        <f>D428</f>
        <v>深鉴科技</v>
      </c>
      <c r="E429" s="109"/>
      <c r="F429" s="112"/>
      <c r="G429" s="109"/>
      <c r="H429" s="109"/>
      <c r="I429" s="109"/>
      <c r="J429" s="109"/>
      <c r="K429" s="109"/>
      <c r="L429" s="109"/>
      <c r="M429" s="109"/>
      <c r="N429" s="13" t="s">
        <v>9077</v>
      </c>
      <c r="O429" s="13" t="s">
        <v>262</v>
      </c>
      <c r="P429" s="15" t="s">
        <v>258</v>
      </c>
      <c r="Q429" s="15" t="s">
        <v>9078</v>
      </c>
      <c r="R429" s="109"/>
      <c r="S429" s="109"/>
      <c r="T429" s="112"/>
      <c r="U429" s="112"/>
      <c r="V429" s="112"/>
      <c r="W429" s="112"/>
    </row>
    <row r="430" spans="1:23" s="2" customFormat="1" ht="12">
      <c r="A430" s="11"/>
      <c r="B430" s="108"/>
      <c r="C430" s="109"/>
      <c r="D430" s="14" t="str">
        <f>D429</f>
        <v>深鉴科技</v>
      </c>
      <c r="E430" s="109"/>
      <c r="F430" s="112"/>
      <c r="G430" s="109"/>
      <c r="H430" s="109"/>
      <c r="I430" s="109"/>
      <c r="J430" s="109"/>
      <c r="K430" s="109"/>
      <c r="L430" s="109"/>
      <c r="M430" s="109"/>
      <c r="N430" s="13" t="s">
        <v>9079</v>
      </c>
      <c r="O430" s="15" t="s">
        <v>326</v>
      </c>
      <c r="P430" s="13" t="s">
        <v>460</v>
      </c>
      <c r="Q430" s="15" t="s">
        <v>9080</v>
      </c>
      <c r="R430" s="109"/>
      <c r="S430" s="109"/>
      <c r="T430" s="112"/>
      <c r="U430" s="112"/>
      <c r="V430" s="112"/>
      <c r="W430" s="112"/>
    </row>
    <row r="431" spans="1:23" s="2" customFormat="1" ht="84">
      <c r="A431" s="11"/>
      <c r="B431" s="108"/>
      <c r="C431" s="13" t="s">
        <v>9081</v>
      </c>
      <c r="D431" s="19" t="s">
        <v>9082</v>
      </c>
      <c r="E431" s="15" t="s">
        <v>9082</v>
      </c>
      <c r="F431" s="16" t="s">
        <v>9083</v>
      </c>
      <c r="G431" s="15" t="s">
        <v>9084</v>
      </c>
      <c r="H431" s="13" t="s">
        <v>9085</v>
      </c>
      <c r="I431" s="13" t="s">
        <v>3970</v>
      </c>
      <c r="J431" s="15" t="s">
        <v>1041</v>
      </c>
      <c r="K431" s="15" t="s">
        <v>272</v>
      </c>
      <c r="L431" s="15" t="s">
        <v>407</v>
      </c>
      <c r="M431" s="15" t="s">
        <v>8344</v>
      </c>
      <c r="N431" s="13" t="s">
        <v>9081</v>
      </c>
      <c r="O431" s="15" t="s">
        <v>285</v>
      </c>
      <c r="P431" s="15" t="s">
        <v>341</v>
      </c>
      <c r="Q431" s="15" t="s">
        <v>2229</v>
      </c>
      <c r="R431" s="13" t="s">
        <v>931</v>
      </c>
      <c r="S431" s="13" t="s">
        <v>432</v>
      </c>
      <c r="T431" s="16" t="s">
        <v>9086</v>
      </c>
      <c r="U431" s="16" t="s">
        <v>9087</v>
      </c>
      <c r="V431" s="18" t="s">
        <v>9088</v>
      </c>
      <c r="W431" s="18" t="s">
        <v>9089</v>
      </c>
    </row>
    <row r="432" spans="1:23" s="2" customFormat="1" ht="72">
      <c r="A432" s="11"/>
      <c r="B432" s="108"/>
      <c r="C432" s="13" t="s">
        <v>9090</v>
      </c>
      <c r="D432" s="19" t="s">
        <v>9091</v>
      </c>
      <c r="E432" s="15" t="s">
        <v>9091</v>
      </c>
      <c r="F432" s="16" t="s">
        <v>9092</v>
      </c>
      <c r="G432" s="15" t="s">
        <v>9093</v>
      </c>
      <c r="H432" s="13" t="s">
        <v>9094</v>
      </c>
      <c r="I432" s="13" t="s">
        <v>9095</v>
      </c>
      <c r="J432" s="15" t="s">
        <v>428</v>
      </c>
      <c r="K432" s="15" t="s">
        <v>272</v>
      </c>
      <c r="L432" s="15" t="s">
        <v>407</v>
      </c>
      <c r="M432" s="15" t="s">
        <v>1932</v>
      </c>
      <c r="N432" s="13" t="s">
        <v>9090</v>
      </c>
      <c r="O432" s="15" t="s">
        <v>285</v>
      </c>
      <c r="P432" s="15" t="s">
        <v>341</v>
      </c>
      <c r="Q432" s="15" t="s">
        <v>2229</v>
      </c>
      <c r="R432" s="13" t="s">
        <v>931</v>
      </c>
      <c r="S432" s="13" t="s">
        <v>432</v>
      </c>
      <c r="T432" s="18"/>
      <c r="U432" s="16" t="s">
        <v>9096</v>
      </c>
      <c r="V432" s="18"/>
      <c r="W432" s="18" t="s">
        <v>9097</v>
      </c>
    </row>
    <row r="433" spans="1:23" s="2" customFormat="1" ht="12">
      <c r="A433" s="11"/>
      <c r="B433" s="108"/>
      <c r="C433" s="109" t="s">
        <v>9098</v>
      </c>
      <c r="D433" s="14" t="s">
        <v>9099</v>
      </c>
      <c r="E433" s="113" t="s">
        <v>9099</v>
      </c>
      <c r="F433" s="114" t="s">
        <v>9100</v>
      </c>
      <c r="G433" s="113" t="s">
        <v>9101</v>
      </c>
      <c r="H433" s="109" t="s">
        <v>9102</v>
      </c>
      <c r="I433" s="109" t="s">
        <v>2991</v>
      </c>
      <c r="J433" s="113" t="s">
        <v>761</v>
      </c>
      <c r="K433" s="113" t="s">
        <v>272</v>
      </c>
      <c r="L433" s="113" t="s">
        <v>386</v>
      </c>
      <c r="M433" s="113" t="s">
        <v>645</v>
      </c>
      <c r="N433" s="13" t="s">
        <v>9098</v>
      </c>
      <c r="O433" s="13" t="s">
        <v>257</v>
      </c>
      <c r="P433" s="15" t="s">
        <v>252</v>
      </c>
      <c r="Q433" s="15" t="s">
        <v>2229</v>
      </c>
      <c r="R433" s="109" t="s">
        <v>9103</v>
      </c>
      <c r="S433" s="113" t="s">
        <v>255</v>
      </c>
      <c r="T433" s="114" t="s">
        <v>9104</v>
      </c>
      <c r="U433" s="114" t="s">
        <v>9105</v>
      </c>
      <c r="V433" s="112" t="s">
        <v>9106</v>
      </c>
      <c r="W433" s="112" t="s">
        <v>9107</v>
      </c>
    </row>
    <row r="434" spans="1:23" s="2" customFormat="1" ht="12">
      <c r="A434" s="11"/>
      <c r="B434" s="108"/>
      <c r="C434" s="109"/>
      <c r="D434" s="14" t="str">
        <f>D433</f>
        <v>嘉图软件</v>
      </c>
      <c r="E434" s="109"/>
      <c r="F434" s="112"/>
      <c r="G434" s="109"/>
      <c r="H434" s="109"/>
      <c r="I434" s="109"/>
      <c r="J434" s="109"/>
      <c r="K434" s="109"/>
      <c r="L434" s="109"/>
      <c r="M434" s="109"/>
      <c r="N434" s="13" t="s">
        <v>9108</v>
      </c>
      <c r="O434" s="13" t="s">
        <v>262</v>
      </c>
      <c r="P434" s="13" t="s">
        <v>9109</v>
      </c>
      <c r="Q434" s="15" t="s">
        <v>9110</v>
      </c>
      <c r="R434" s="109"/>
      <c r="S434" s="109"/>
      <c r="T434" s="112"/>
      <c r="U434" s="112"/>
      <c r="V434" s="112"/>
      <c r="W434" s="112"/>
    </row>
    <row r="435" spans="1:23" s="2" customFormat="1" ht="12">
      <c r="A435" s="11"/>
      <c r="B435" s="108"/>
      <c r="C435" s="109" t="s">
        <v>9111</v>
      </c>
      <c r="D435" s="14" t="s">
        <v>9112</v>
      </c>
      <c r="E435" s="113" t="s">
        <v>9112</v>
      </c>
      <c r="F435" s="114" t="s">
        <v>9113</v>
      </c>
      <c r="G435" s="113" t="s">
        <v>9114</v>
      </c>
      <c r="H435" s="109" t="s">
        <v>9115</v>
      </c>
      <c r="I435" s="109" t="s">
        <v>1320</v>
      </c>
      <c r="J435" s="113" t="s">
        <v>1126</v>
      </c>
      <c r="K435" s="113" t="s">
        <v>272</v>
      </c>
      <c r="L435" s="113" t="s">
        <v>407</v>
      </c>
      <c r="M435" s="113" t="s">
        <v>1932</v>
      </c>
      <c r="N435" s="13" t="s">
        <v>9111</v>
      </c>
      <c r="O435" s="15" t="s">
        <v>285</v>
      </c>
      <c r="P435" s="15" t="s">
        <v>252</v>
      </c>
      <c r="Q435" s="15" t="s">
        <v>2229</v>
      </c>
      <c r="R435" s="109" t="s">
        <v>9116</v>
      </c>
      <c r="S435" s="113" t="s">
        <v>255</v>
      </c>
      <c r="T435" s="114" t="s">
        <v>9117</v>
      </c>
      <c r="U435" s="114" t="s">
        <v>9118</v>
      </c>
      <c r="V435" s="112" t="s">
        <v>9119</v>
      </c>
      <c r="W435" s="112" t="s">
        <v>9120</v>
      </c>
    </row>
    <row r="436" spans="1:23" s="2" customFormat="1" ht="12">
      <c r="A436" s="11"/>
      <c r="B436" s="108"/>
      <c r="C436" s="109"/>
      <c r="D436" s="14" t="str">
        <f>D435</f>
        <v>大汉软件</v>
      </c>
      <c r="E436" s="109"/>
      <c r="F436" s="112"/>
      <c r="G436" s="109"/>
      <c r="H436" s="109"/>
      <c r="I436" s="109"/>
      <c r="J436" s="109"/>
      <c r="K436" s="109"/>
      <c r="L436" s="109"/>
      <c r="M436" s="109"/>
      <c r="N436" s="13" t="s">
        <v>9121</v>
      </c>
      <c r="O436" s="15" t="s">
        <v>285</v>
      </c>
      <c r="P436" s="15" t="s">
        <v>252</v>
      </c>
      <c r="Q436" s="15" t="s">
        <v>2229</v>
      </c>
      <c r="R436" s="109"/>
      <c r="S436" s="109"/>
      <c r="T436" s="112"/>
      <c r="U436" s="112"/>
      <c r="V436" s="112"/>
      <c r="W436" s="112"/>
    </row>
    <row r="437" spans="1:23" s="2" customFormat="1" ht="12">
      <c r="A437" s="11"/>
      <c r="B437" s="108"/>
      <c r="C437" s="109"/>
      <c r="D437" s="14" t="str">
        <f>D436</f>
        <v>大汉软件</v>
      </c>
      <c r="E437" s="109"/>
      <c r="F437" s="112"/>
      <c r="G437" s="109"/>
      <c r="H437" s="109"/>
      <c r="I437" s="109"/>
      <c r="J437" s="109"/>
      <c r="K437" s="109"/>
      <c r="L437" s="109"/>
      <c r="M437" s="109"/>
      <c r="N437" s="13" t="s">
        <v>2033</v>
      </c>
      <c r="O437" s="13" t="s">
        <v>262</v>
      </c>
      <c r="P437" s="15" t="s">
        <v>252</v>
      </c>
      <c r="Q437" s="15" t="s">
        <v>1556</v>
      </c>
      <c r="R437" s="109"/>
      <c r="S437" s="109"/>
      <c r="T437" s="112"/>
      <c r="U437" s="112"/>
      <c r="V437" s="112"/>
      <c r="W437" s="112"/>
    </row>
    <row r="438" spans="1:23" s="2" customFormat="1" ht="12">
      <c r="A438" s="11"/>
      <c r="B438" s="108"/>
      <c r="C438" s="109" t="s">
        <v>9122</v>
      </c>
      <c r="D438" s="14" t="s">
        <v>9123</v>
      </c>
      <c r="E438" s="113" t="s">
        <v>9123</v>
      </c>
      <c r="F438" s="114" t="s">
        <v>9124</v>
      </c>
      <c r="G438" s="113" t="s">
        <v>9125</v>
      </c>
      <c r="H438" s="109" t="s">
        <v>9126</v>
      </c>
      <c r="I438" s="109" t="s">
        <v>4916</v>
      </c>
      <c r="J438" s="113" t="s">
        <v>9127</v>
      </c>
      <c r="K438" s="113" t="s">
        <v>272</v>
      </c>
      <c r="L438" s="113" t="s">
        <v>407</v>
      </c>
      <c r="M438" s="113" t="s">
        <v>1932</v>
      </c>
      <c r="N438" s="13" t="s">
        <v>9122</v>
      </c>
      <c r="O438" s="13" t="s">
        <v>687</v>
      </c>
      <c r="P438" s="13" t="s">
        <v>1380</v>
      </c>
      <c r="Q438" s="15" t="s">
        <v>9128</v>
      </c>
      <c r="R438" s="109" t="s">
        <v>9129</v>
      </c>
      <c r="S438" s="109" t="s">
        <v>1383</v>
      </c>
      <c r="T438" s="114" t="s">
        <v>9130</v>
      </c>
      <c r="U438" s="114" t="s">
        <v>9131</v>
      </c>
      <c r="V438" s="112" t="s">
        <v>9132</v>
      </c>
      <c r="W438" s="112" t="s">
        <v>9133</v>
      </c>
    </row>
    <row r="439" spans="1:23" s="2" customFormat="1" ht="12">
      <c r="A439" s="11"/>
      <c r="B439" s="108"/>
      <c r="C439" s="109"/>
      <c r="D439" s="14" t="str">
        <f>D438</f>
        <v>南威软件</v>
      </c>
      <c r="E439" s="109"/>
      <c r="F439" s="112"/>
      <c r="G439" s="109"/>
      <c r="H439" s="109"/>
      <c r="I439" s="109"/>
      <c r="J439" s="109"/>
      <c r="K439" s="109"/>
      <c r="L439" s="109"/>
      <c r="M439" s="109"/>
      <c r="N439" s="13" t="s">
        <v>9134</v>
      </c>
      <c r="O439" s="13" t="s">
        <v>687</v>
      </c>
      <c r="P439" s="13" t="s">
        <v>9135</v>
      </c>
      <c r="Q439" s="15" t="s">
        <v>2229</v>
      </c>
      <c r="R439" s="109"/>
      <c r="S439" s="109"/>
      <c r="T439" s="112"/>
      <c r="U439" s="112"/>
      <c r="V439" s="112"/>
      <c r="W439" s="112"/>
    </row>
    <row r="440" spans="1:23" s="2" customFormat="1" ht="12">
      <c r="A440" s="11"/>
      <c r="B440" s="108"/>
      <c r="C440" s="109"/>
      <c r="D440" s="14" t="str">
        <f>D439</f>
        <v>南威软件</v>
      </c>
      <c r="E440" s="109"/>
      <c r="F440" s="112"/>
      <c r="G440" s="109"/>
      <c r="H440" s="109"/>
      <c r="I440" s="109"/>
      <c r="J440" s="109"/>
      <c r="K440" s="109"/>
      <c r="L440" s="109"/>
      <c r="M440" s="109"/>
      <c r="N440" s="13" t="s">
        <v>9136</v>
      </c>
      <c r="O440" s="13" t="s">
        <v>283</v>
      </c>
      <c r="P440" s="13" t="s">
        <v>9137</v>
      </c>
      <c r="Q440" s="13" t="s">
        <v>253</v>
      </c>
      <c r="R440" s="109"/>
      <c r="S440" s="109"/>
      <c r="T440" s="112"/>
      <c r="U440" s="112"/>
      <c r="V440" s="112"/>
      <c r="W440" s="112"/>
    </row>
    <row r="441" spans="1:23" s="2" customFormat="1" ht="12">
      <c r="A441" s="11"/>
      <c r="B441" s="108"/>
      <c r="C441" s="109"/>
      <c r="D441" s="14" t="str">
        <f>D440</f>
        <v>南威软件</v>
      </c>
      <c r="E441" s="109"/>
      <c r="F441" s="112"/>
      <c r="G441" s="109"/>
      <c r="H441" s="109"/>
      <c r="I441" s="109"/>
      <c r="J441" s="109"/>
      <c r="K441" s="109"/>
      <c r="L441" s="109"/>
      <c r="M441" s="109"/>
      <c r="N441" s="13" t="s">
        <v>9138</v>
      </c>
      <c r="O441" s="13" t="s">
        <v>262</v>
      </c>
      <c r="P441" s="13" t="s">
        <v>9139</v>
      </c>
      <c r="Q441" s="15" t="s">
        <v>9140</v>
      </c>
      <c r="R441" s="109"/>
      <c r="S441" s="109"/>
      <c r="T441" s="112"/>
      <c r="U441" s="112"/>
      <c r="V441" s="112"/>
      <c r="W441" s="112"/>
    </row>
    <row r="442" spans="1:23" s="2" customFormat="1" ht="12">
      <c r="A442" s="11"/>
      <c r="B442" s="108"/>
      <c r="C442" s="109" t="s">
        <v>9141</v>
      </c>
      <c r="D442" s="14" t="s">
        <v>9142</v>
      </c>
      <c r="E442" s="113" t="s">
        <v>9142</v>
      </c>
      <c r="F442" s="114" t="s">
        <v>9143</v>
      </c>
      <c r="G442" s="113" t="s">
        <v>9144</v>
      </c>
      <c r="H442" s="109"/>
      <c r="I442" s="109" t="s">
        <v>1617</v>
      </c>
      <c r="J442" s="113" t="s">
        <v>1192</v>
      </c>
      <c r="K442" s="113" t="s">
        <v>272</v>
      </c>
      <c r="L442" s="113" t="s">
        <v>407</v>
      </c>
      <c r="M442" s="113" t="s">
        <v>1932</v>
      </c>
      <c r="N442" s="13" t="s">
        <v>9141</v>
      </c>
      <c r="O442" s="15" t="s">
        <v>359</v>
      </c>
      <c r="P442" s="13" t="s">
        <v>2391</v>
      </c>
      <c r="Q442" s="15" t="s">
        <v>2229</v>
      </c>
      <c r="R442" s="109" t="s">
        <v>9145</v>
      </c>
      <c r="S442" s="109" t="s">
        <v>9146</v>
      </c>
      <c r="T442" s="114" t="s">
        <v>9147</v>
      </c>
      <c r="U442" s="114" t="s">
        <v>9148</v>
      </c>
      <c r="V442" s="112" t="s">
        <v>9149</v>
      </c>
      <c r="W442" s="112"/>
    </row>
    <row r="443" spans="1:23" s="2" customFormat="1" ht="12">
      <c r="A443" s="11"/>
      <c r="B443" s="108"/>
      <c r="C443" s="109"/>
      <c r="D443" s="14" t="str">
        <f>D442</f>
        <v>思迅软件</v>
      </c>
      <c r="E443" s="109"/>
      <c r="F443" s="112"/>
      <c r="G443" s="109"/>
      <c r="H443" s="109"/>
      <c r="I443" s="109"/>
      <c r="J443" s="109"/>
      <c r="K443" s="109"/>
      <c r="L443" s="109"/>
      <c r="M443" s="109"/>
      <c r="N443" s="13" t="s">
        <v>1940</v>
      </c>
      <c r="O443" s="15" t="s">
        <v>362</v>
      </c>
      <c r="P443" s="15" t="s">
        <v>252</v>
      </c>
      <c r="Q443" s="13" t="s">
        <v>253</v>
      </c>
      <c r="R443" s="109"/>
      <c r="S443" s="109"/>
      <c r="T443" s="112"/>
      <c r="U443" s="112"/>
      <c r="V443" s="112"/>
      <c r="W443" s="112"/>
    </row>
    <row r="444" spans="1:23" s="2" customFormat="1" ht="12">
      <c r="A444" s="11"/>
      <c r="B444" s="108"/>
      <c r="C444" s="109" t="s">
        <v>9150</v>
      </c>
      <c r="D444" s="14" t="s">
        <v>9151</v>
      </c>
      <c r="E444" s="113" t="s">
        <v>9151</v>
      </c>
      <c r="F444" s="114" t="s">
        <v>9152</v>
      </c>
      <c r="G444" s="113" t="s">
        <v>9153</v>
      </c>
      <c r="H444" s="109" t="s">
        <v>9154</v>
      </c>
      <c r="I444" s="109" t="s">
        <v>9155</v>
      </c>
      <c r="J444" s="113" t="s">
        <v>428</v>
      </c>
      <c r="K444" s="113" t="s">
        <v>272</v>
      </c>
      <c r="L444" s="113" t="s">
        <v>1859</v>
      </c>
      <c r="M444" s="113" t="s">
        <v>8374</v>
      </c>
      <c r="N444" s="13" t="s">
        <v>9150</v>
      </c>
      <c r="O444" s="15" t="s">
        <v>285</v>
      </c>
      <c r="P444" s="13" t="s">
        <v>9156</v>
      </c>
      <c r="Q444" s="15" t="s">
        <v>2229</v>
      </c>
      <c r="R444" s="109" t="s">
        <v>9157</v>
      </c>
      <c r="S444" s="109" t="s">
        <v>9158</v>
      </c>
      <c r="T444" s="114" t="s">
        <v>9159</v>
      </c>
      <c r="U444" s="114" t="s">
        <v>9160</v>
      </c>
      <c r="V444" s="112" t="s">
        <v>9161</v>
      </c>
      <c r="W444" s="112" t="s">
        <v>9162</v>
      </c>
    </row>
    <row r="445" spans="1:23" s="2" customFormat="1" ht="12">
      <c r="A445" s="11"/>
      <c r="B445" s="108"/>
      <c r="C445" s="109"/>
      <c r="D445" s="14" t="str">
        <f>D444</f>
        <v>恒生聚源</v>
      </c>
      <c r="E445" s="109"/>
      <c r="F445" s="112"/>
      <c r="G445" s="109"/>
      <c r="H445" s="109"/>
      <c r="I445" s="109"/>
      <c r="J445" s="109"/>
      <c r="K445" s="109"/>
      <c r="L445" s="109"/>
      <c r="M445" s="109"/>
      <c r="N445" s="13" t="s">
        <v>9163</v>
      </c>
      <c r="O445" s="13" t="s">
        <v>262</v>
      </c>
      <c r="P445" s="13" t="s">
        <v>9164</v>
      </c>
      <c r="Q445" s="15" t="s">
        <v>9165</v>
      </c>
      <c r="R445" s="109"/>
      <c r="S445" s="109"/>
      <c r="T445" s="112"/>
      <c r="U445" s="112"/>
      <c r="V445" s="112"/>
      <c r="W445" s="112"/>
    </row>
    <row r="446" spans="1:23" s="2" customFormat="1" ht="12">
      <c r="A446" s="11"/>
      <c r="B446" s="108"/>
      <c r="C446" s="109" t="s">
        <v>9166</v>
      </c>
      <c r="D446" s="14" t="s">
        <v>9167</v>
      </c>
      <c r="E446" s="113" t="s">
        <v>9167</v>
      </c>
      <c r="F446" s="114" t="s">
        <v>9168</v>
      </c>
      <c r="G446" s="113" t="s">
        <v>9169</v>
      </c>
      <c r="H446" s="109" t="s">
        <v>9170</v>
      </c>
      <c r="I446" s="109" t="s">
        <v>483</v>
      </c>
      <c r="J446" s="113" t="s">
        <v>973</v>
      </c>
      <c r="K446" s="113" t="s">
        <v>272</v>
      </c>
      <c r="L446" s="113" t="s">
        <v>407</v>
      </c>
      <c r="M446" s="113" t="s">
        <v>9171</v>
      </c>
      <c r="N446" s="13" t="s">
        <v>9166</v>
      </c>
      <c r="O446" s="15" t="s">
        <v>285</v>
      </c>
      <c r="P446" s="13" t="s">
        <v>9172</v>
      </c>
      <c r="Q446" s="15" t="s">
        <v>2229</v>
      </c>
      <c r="R446" s="109" t="s">
        <v>9173</v>
      </c>
      <c r="S446" s="109" t="s">
        <v>9174</v>
      </c>
      <c r="T446" s="114" t="s">
        <v>9175</v>
      </c>
      <c r="U446" s="114" t="s">
        <v>9176</v>
      </c>
      <c r="V446" s="112" t="s">
        <v>9177</v>
      </c>
      <c r="W446" s="112" t="s">
        <v>9178</v>
      </c>
    </row>
    <row r="447" spans="1:23" s="2" customFormat="1" ht="12">
      <c r="A447" s="11"/>
      <c r="B447" s="108"/>
      <c r="C447" s="109"/>
      <c r="D447" s="14" t="str">
        <f>D446</f>
        <v>易百信息</v>
      </c>
      <c r="E447" s="109"/>
      <c r="F447" s="112"/>
      <c r="G447" s="109"/>
      <c r="H447" s="109"/>
      <c r="I447" s="109"/>
      <c r="J447" s="109"/>
      <c r="K447" s="109"/>
      <c r="L447" s="109"/>
      <c r="M447" s="109"/>
      <c r="N447" s="13" t="s">
        <v>9179</v>
      </c>
      <c r="O447" s="13" t="s">
        <v>257</v>
      </c>
      <c r="P447" s="15" t="s">
        <v>341</v>
      </c>
      <c r="Q447" s="15" t="s">
        <v>9180</v>
      </c>
      <c r="R447" s="109"/>
      <c r="S447" s="109"/>
      <c r="T447" s="112"/>
      <c r="U447" s="112"/>
      <c r="V447" s="112"/>
      <c r="W447" s="112"/>
    </row>
    <row r="448" spans="1:23" s="2" customFormat="1" ht="12">
      <c r="A448" s="11"/>
      <c r="B448" s="108"/>
      <c r="C448" s="109"/>
      <c r="D448" s="14" t="str">
        <f>D447</f>
        <v>易百信息</v>
      </c>
      <c r="E448" s="109"/>
      <c r="F448" s="112"/>
      <c r="G448" s="109"/>
      <c r="H448" s="109"/>
      <c r="I448" s="109"/>
      <c r="J448" s="109"/>
      <c r="K448" s="109"/>
      <c r="L448" s="109"/>
      <c r="M448" s="109"/>
      <c r="N448" s="13" t="s">
        <v>9181</v>
      </c>
      <c r="O448" s="13" t="s">
        <v>262</v>
      </c>
      <c r="P448" s="13" t="s">
        <v>9182</v>
      </c>
      <c r="Q448" s="15" t="s">
        <v>1351</v>
      </c>
      <c r="R448" s="109"/>
      <c r="S448" s="109"/>
      <c r="T448" s="112"/>
      <c r="U448" s="112"/>
      <c r="V448" s="112"/>
      <c r="W448" s="112"/>
    </row>
    <row r="449" spans="1:23" s="2" customFormat="1" ht="12">
      <c r="A449" s="11"/>
      <c r="B449" s="108"/>
      <c r="C449" s="109" t="s">
        <v>9183</v>
      </c>
      <c r="D449" s="14" t="s">
        <v>9184</v>
      </c>
      <c r="E449" s="113" t="s">
        <v>9184</v>
      </c>
      <c r="F449" s="114" t="s">
        <v>9185</v>
      </c>
      <c r="G449" s="113" t="s">
        <v>9186</v>
      </c>
      <c r="H449" s="109" t="s">
        <v>9187</v>
      </c>
      <c r="I449" s="109" t="s">
        <v>4493</v>
      </c>
      <c r="J449" s="113" t="s">
        <v>9188</v>
      </c>
      <c r="K449" s="113" t="s">
        <v>272</v>
      </c>
      <c r="L449" s="113" t="s">
        <v>407</v>
      </c>
      <c r="M449" s="113" t="s">
        <v>1170</v>
      </c>
      <c r="N449" s="13" t="s">
        <v>9183</v>
      </c>
      <c r="O449" s="13" t="s">
        <v>283</v>
      </c>
      <c r="P449" s="13" t="s">
        <v>9189</v>
      </c>
      <c r="Q449" s="13" t="s">
        <v>253</v>
      </c>
      <c r="R449" s="109" t="s">
        <v>9190</v>
      </c>
      <c r="S449" s="109" t="s">
        <v>9191</v>
      </c>
      <c r="T449" s="114" t="s">
        <v>9192</v>
      </c>
      <c r="U449" s="114" t="s">
        <v>9193</v>
      </c>
      <c r="V449" s="112" t="s">
        <v>9194</v>
      </c>
      <c r="W449" s="112" t="s">
        <v>9195</v>
      </c>
    </row>
    <row r="450" spans="1:23" s="2" customFormat="1" ht="12">
      <c r="A450" s="11"/>
      <c r="B450" s="108"/>
      <c r="C450" s="109"/>
      <c r="D450" s="14" t="str">
        <f>D449</f>
        <v>吉大正元</v>
      </c>
      <c r="E450" s="109"/>
      <c r="F450" s="112"/>
      <c r="G450" s="109"/>
      <c r="H450" s="109"/>
      <c r="I450" s="109"/>
      <c r="J450" s="109"/>
      <c r="K450" s="109"/>
      <c r="L450" s="109"/>
      <c r="M450" s="109"/>
      <c r="N450" s="13" t="s">
        <v>9196</v>
      </c>
      <c r="O450" s="15" t="s">
        <v>285</v>
      </c>
      <c r="P450" s="15" t="s">
        <v>341</v>
      </c>
      <c r="Q450" s="15" t="s">
        <v>2229</v>
      </c>
      <c r="R450" s="109"/>
      <c r="S450" s="109"/>
      <c r="T450" s="112"/>
      <c r="U450" s="112"/>
      <c r="V450" s="112"/>
      <c r="W450" s="112"/>
    </row>
    <row r="451" spans="1:23" s="2" customFormat="1" ht="12">
      <c r="A451" s="11"/>
      <c r="B451" s="108"/>
      <c r="C451" s="109"/>
      <c r="D451" s="14" t="str">
        <f>D450</f>
        <v>吉大正元</v>
      </c>
      <c r="E451" s="109"/>
      <c r="F451" s="112"/>
      <c r="G451" s="109"/>
      <c r="H451" s="109"/>
      <c r="I451" s="109"/>
      <c r="J451" s="109"/>
      <c r="K451" s="109"/>
      <c r="L451" s="109"/>
      <c r="M451" s="109"/>
      <c r="N451" s="13" t="s">
        <v>9197</v>
      </c>
      <c r="O451" s="13" t="s">
        <v>251</v>
      </c>
      <c r="P451" s="15" t="s">
        <v>252</v>
      </c>
      <c r="Q451" s="15" t="s">
        <v>9198</v>
      </c>
      <c r="R451" s="109"/>
      <c r="S451" s="109"/>
      <c r="T451" s="112"/>
      <c r="U451" s="112"/>
      <c r="V451" s="112"/>
      <c r="W451" s="112"/>
    </row>
    <row r="452" spans="1:23" s="2" customFormat="1" ht="12">
      <c r="A452" s="11"/>
      <c r="B452" s="108"/>
      <c r="C452" s="109"/>
      <c r="D452" s="14" t="str">
        <f>D451</f>
        <v>吉大正元</v>
      </c>
      <c r="E452" s="109"/>
      <c r="F452" s="112"/>
      <c r="G452" s="109"/>
      <c r="H452" s="109"/>
      <c r="I452" s="109"/>
      <c r="J452" s="109"/>
      <c r="K452" s="109"/>
      <c r="L452" s="109"/>
      <c r="M452" s="109"/>
      <c r="N452" s="13" t="s">
        <v>9199</v>
      </c>
      <c r="O452" s="13" t="s">
        <v>257</v>
      </c>
      <c r="P452" s="15" t="s">
        <v>252</v>
      </c>
      <c r="Q452" s="15" t="s">
        <v>9200</v>
      </c>
      <c r="R452" s="109"/>
      <c r="S452" s="109"/>
      <c r="T452" s="112"/>
      <c r="U452" s="112"/>
      <c r="V452" s="112"/>
      <c r="W452" s="112"/>
    </row>
    <row r="453" spans="1:23" s="2" customFormat="1" ht="12">
      <c r="A453" s="11"/>
      <c r="B453" s="108"/>
      <c r="C453" s="109"/>
      <c r="D453" s="14" t="str">
        <f>D452</f>
        <v>吉大正元</v>
      </c>
      <c r="E453" s="109"/>
      <c r="F453" s="112"/>
      <c r="G453" s="109"/>
      <c r="H453" s="109"/>
      <c r="I453" s="109"/>
      <c r="J453" s="109"/>
      <c r="K453" s="109"/>
      <c r="L453" s="109"/>
      <c r="M453" s="109"/>
      <c r="N453" s="13" t="s">
        <v>9201</v>
      </c>
      <c r="O453" s="13" t="s">
        <v>4142</v>
      </c>
      <c r="P453" s="15" t="s">
        <v>252</v>
      </c>
      <c r="Q453" s="15" t="s">
        <v>9202</v>
      </c>
      <c r="R453" s="109"/>
      <c r="S453" s="109"/>
      <c r="T453" s="112"/>
      <c r="U453" s="112"/>
      <c r="V453" s="112"/>
      <c r="W453" s="112"/>
    </row>
    <row r="454" spans="1:23" s="2" customFormat="1" ht="12">
      <c r="A454" s="11"/>
      <c r="B454" s="108"/>
      <c r="C454" s="109"/>
      <c r="D454" s="14" t="str">
        <f>D453</f>
        <v>吉大正元</v>
      </c>
      <c r="E454" s="109"/>
      <c r="F454" s="112"/>
      <c r="G454" s="109"/>
      <c r="H454" s="109"/>
      <c r="I454" s="109"/>
      <c r="J454" s="109"/>
      <c r="K454" s="109"/>
      <c r="L454" s="109"/>
      <c r="M454" s="109"/>
      <c r="N454" s="13" t="s">
        <v>9203</v>
      </c>
      <c r="O454" s="13" t="s">
        <v>262</v>
      </c>
      <c r="P454" s="15" t="s">
        <v>252</v>
      </c>
      <c r="Q454" s="15" t="s">
        <v>9204</v>
      </c>
      <c r="R454" s="109"/>
      <c r="S454" s="109"/>
      <c r="T454" s="112"/>
      <c r="U454" s="112"/>
      <c r="V454" s="112"/>
      <c r="W454" s="112"/>
    </row>
    <row r="455" spans="1:23" s="2" customFormat="1" ht="12">
      <c r="A455" s="11"/>
      <c r="B455" s="108"/>
      <c r="C455" s="109" t="s">
        <v>9205</v>
      </c>
      <c r="D455" s="14" t="s">
        <v>9206</v>
      </c>
      <c r="E455" s="109" t="s">
        <v>9206</v>
      </c>
      <c r="F455" s="112" t="s">
        <v>9207</v>
      </c>
      <c r="G455" s="109"/>
      <c r="H455" s="109" t="s">
        <v>9208</v>
      </c>
      <c r="I455" s="109" t="s">
        <v>3332</v>
      </c>
      <c r="J455" s="113" t="s">
        <v>3228</v>
      </c>
      <c r="K455" s="113" t="s">
        <v>272</v>
      </c>
      <c r="L455" s="113" t="s">
        <v>1859</v>
      </c>
      <c r="M455" s="113" t="s">
        <v>2900</v>
      </c>
      <c r="N455" s="13" t="s">
        <v>9205</v>
      </c>
      <c r="O455" s="13" t="s">
        <v>283</v>
      </c>
      <c r="P455" s="15" t="s">
        <v>276</v>
      </c>
      <c r="Q455" s="13" t="s">
        <v>253</v>
      </c>
      <c r="R455" s="109" t="s">
        <v>4933</v>
      </c>
      <c r="S455" s="109" t="s">
        <v>9209</v>
      </c>
      <c r="T455" s="112" t="s">
        <v>9210</v>
      </c>
      <c r="U455" s="112"/>
      <c r="V455" s="112"/>
      <c r="W455" s="112"/>
    </row>
    <row r="456" spans="1:23" s="2" customFormat="1" ht="12">
      <c r="A456" s="11"/>
      <c r="B456" s="108"/>
      <c r="C456" s="109"/>
      <c r="D456" s="14" t="str">
        <f>D455</f>
        <v>Kakao Pay</v>
      </c>
      <c r="E456" s="109"/>
      <c r="F456" s="112"/>
      <c r="G456" s="109"/>
      <c r="H456" s="109"/>
      <c r="I456" s="109"/>
      <c r="J456" s="109"/>
      <c r="K456" s="109"/>
      <c r="L456" s="109"/>
      <c r="M456" s="109"/>
      <c r="N456" s="13" t="s">
        <v>9211</v>
      </c>
      <c r="O456" s="15" t="s">
        <v>285</v>
      </c>
      <c r="P456" s="13" t="s">
        <v>792</v>
      </c>
      <c r="Q456" s="15" t="s">
        <v>2229</v>
      </c>
      <c r="R456" s="109"/>
      <c r="S456" s="109"/>
      <c r="T456" s="112"/>
      <c r="U456" s="112"/>
      <c r="V456" s="112"/>
      <c r="W456" s="112"/>
    </row>
    <row r="457" spans="1:23" s="2" customFormat="1" ht="12">
      <c r="A457" s="11"/>
      <c r="B457" s="108"/>
      <c r="C457" s="109" t="s">
        <v>4974</v>
      </c>
      <c r="D457" s="14" t="s">
        <v>9212</v>
      </c>
      <c r="E457" s="113" t="s">
        <v>9212</v>
      </c>
      <c r="F457" s="114" t="s">
        <v>9213</v>
      </c>
      <c r="G457" s="113" t="s">
        <v>9214</v>
      </c>
      <c r="H457" s="109" t="s">
        <v>9215</v>
      </c>
      <c r="I457" s="109" t="s">
        <v>4424</v>
      </c>
      <c r="J457" s="113" t="s">
        <v>9216</v>
      </c>
      <c r="K457" s="113" t="s">
        <v>272</v>
      </c>
      <c r="L457" s="113" t="s">
        <v>407</v>
      </c>
      <c r="M457" s="113" t="s">
        <v>1932</v>
      </c>
      <c r="N457" s="13" t="s">
        <v>4974</v>
      </c>
      <c r="O457" s="15" t="s">
        <v>471</v>
      </c>
      <c r="P457" s="13" t="s">
        <v>910</v>
      </c>
      <c r="Q457" s="15" t="s">
        <v>9217</v>
      </c>
      <c r="R457" s="109" t="s">
        <v>9218</v>
      </c>
      <c r="S457" s="109" t="s">
        <v>912</v>
      </c>
      <c r="T457" s="114" t="s">
        <v>9219</v>
      </c>
      <c r="U457" s="114" t="s">
        <v>9220</v>
      </c>
      <c r="V457" s="112" t="s">
        <v>9221</v>
      </c>
      <c r="W457" s="112"/>
    </row>
    <row r="458" spans="1:23" s="2" customFormat="1" ht="12">
      <c r="A458" s="11"/>
      <c r="B458" s="108"/>
      <c r="C458" s="109"/>
      <c r="D458" s="14" t="str">
        <f>D457</f>
        <v>邦道科技</v>
      </c>
      <c r="E458" s="109"/>
      <c r="F458" s="112"/>
      <c r="G458" s="109"/>
      <c r="H458" s="109"/>
      <c r="I458" s="109"/>
      <c r="J458" s="109"/>
      <c r="K458" s="109"/>
      <c r="L458" s="109"/>
      <c r="M458" s="109"/>
      <c r="N458" s="13" t="s">
        <v>9222</v>
      </c>
      <c r="O458" s="15" t="s">
        <v>285</v>
      </c>
      <c r="P458" s="15" t="s">
        <v>341</v>
      </c>
      <c r="Q458" s="15" t="s">
        <v>2229</v>
      </c>
      <c r="R458" s="109"/>
      <c r="S458" s="109"/>
      <c r="T458" s="112"/>
      <c r="U458" s="112"/>
      <c r="V458" s="112"/>
      <c r="W458" s="112"/>
    </row>
    <row r="459" spans="1:23" s="2" customFormat="1" ht="12">
      <c r="A459" s="11"/>
      <c r="B459" s="108"/>
      <c r="C459" s="109" t="s">
        <v>9223</v>
      </c>
      <c r="D459" s="14" t="s">
        <v>9217</v>
      </c>
      <c r="E459" s="113" t="s">
        <v>9217</v>
      </c>
      <c r="F459" s="114" t="s">
        <v>9224</v>
      </c>
      <c r="G459" s="113" t="s">
        <v>9225</v>
      </c>
      <c r="H459" s="109" t="s">
        <v>9226</v>
      </c>
      <c r="I459" s="109" t="s">
        <v>8137</v>
      </c>
      <c r="J459" s="113" t="s">
        <v>9216</v>
      </c>
      <c r="K459" s="113" t="s">
        <v>272</v>
      </c>
      <c r="L459" s="113" t="s">
        <v>407</v>
      </c>
      <c r="M459" s="113" t="s">
        <v>1932</v>
      </c>
      <c r="N459" s="13" t="s">
        <v>9223</v>
      </c>
      <c r="O459" s="13" t="s">
        <v>687</v>
      </c>
      <c r="P459" s="13" t="s">
        <v>9227</v>
      </c>
      <c r="Q459" s="15" t="s">
        <v>9228</v>
      </c>
      <c r="R459" s="109" t="s">
        <v>9229</v>
      </c>
      <c r="S459" s="109" t="s">
        <v>9230</v>
      </c>
      <c r="T459" s="114" t="s">
        <v>9231</v>
      </c>
      <c r="U459" s="114" t="s">
        <v>9232</v>
      </c>
      <c r="V459" s="112" t="s">
        <v>9233</v>
      </c>
      <c r="W459" s="112" t="s">
        <v>9234</v>
      </c>
    </row>
    <row r="460" spans="1:23" s="2" customFormat="1" ht="12">
      <c r="A460" s="11"/>
      <c r="B460" s="108"/>
      <c r="C460" s="109"/>
      <c r="D460" s="14" t="str">
        <f>D459</f>
        <v>朗新科技</v>
      </c>
      <c r="E460" s="109"/>
      <c r="F460" s="112"/>
      <c r="G460" s="109"/>
      <c r="H460" s="109"/>
      <c r="I460" s="109"/>
      <c r="J460" s="109"/>
      <c r="K460" s="109"/>
      <c r="L460" s="109"/>
      <c r="M460" s="109"/>
      <c r="N460" s="13" t="s">
        <v>9235</v>
      </c>
      <c r="O460" s="13" t="s">
        <v>687</v>
      </c>
      <c r="P460" s="15" t="s">
        <v>252</v>
      </c>
      <c r="Q460" s="15" t="s">
        <v>9236</v>
      </c>
      <c r="R460" s="109"/>
      <c r="S460" s="109"/>
      <c r="T460" s="112"/>
      <c r="U460" s="112"/>
      <c r="V460" s="112"/>
      <c r="W460" s="112"/>
    </row>
    <row r="461" spans="1:23" s="2" customFormat="1" ht="12">
      <c r="A461" s="11"/>
      <c r="B461" s="108"/>
      <c r="C461" s="109"/>
      <c r="D461" s="14" t="str">
        <f>D460</f>
        <v>朗新科技</v>
      </c>
      <c r="E461" s="109"/>
      <c r="F461" s="112"/>
      <c r="G461" s="109"/>
      <c r="H461" s="109"/>
      <c r="I461" s="109"/>
      <c r="J461" s="109"/>
      <c r="K461" s="109"/>
      <c r="L461" s="109"/>
      <c r="M461" s="109"/>
      <c r="N461" s="13" t="s">
        <v>4409</v>
      </c>
      <c r="O461" s="13" t="s">
        <v>283</v>
      </c>
      <c r="P461" s="15" t="s">
        <v>252</v>
      </c>
      <c r="Q461" s="13" t="s">
        <v>253</v>
      </c>
      <c r="R461" s="109"/>
      <c r="S461" s="109"/>
      <c r="T461" s="112"/>
      <c r="U461" s="112"/>
      <c r="V461" s="112"/>
      <c r="W461" s="112"/>
    </row>
    <row r="462" spans="1:23" s="2" customFormat="1" ht="12">
      <c r="A462" s="11"/>
      <c r="B462" s="108"/>
      <c r="C462" s="109"/>
      <c r="D462" s="14" t="str">
        <f>D461</f>
        <v>朗新科技</v>
      </c>
      <c r="E462" s="109"/>
      <c r="F462" s="112"/>
      <c r="G462" s="109"/>
      <c r="H462" s="109"/>
      <c r="I462" s="109"/>
      <c r="J462" s="109"/>
      <c r="K462" s="109"/>
      <c r="L462" s="109"/>
      <c r="M462" s="109"/>
      <c r="N462" s="13" t="s">
        <v>9237</v>
      </c>
      <c r="O462" s="13" t="s">
        <v>262</v>
      </c>
      <c r="P462" s="13" t="s">
        <v>9238</v>
      </c>
      <c r="Q462" s="15" t="s">
        <v>9239</v>
      </c>
      <c r="R462" s="109"/>
      <c r="S462" s="109"/>
      <c r="T462" s="112"/>
      <c r="U462" s="112"/>
      <c r="V462" s="112"/>
      <c r="W462" s="112"/>
    </row>
    <row r="463" spans="1:23" s="2" customFormat="1" ht="12">
      <c r="A463" s="11"/>
      <c r="B463" s="108"/>
      <c r="C463" s="109"/>
      <c r="D463" s="14" t="str">
        <f>D462</f>
        <v>朗新科技</v>
      </c>
      <c r="E463" s="109"/>
      <c r="F463" s="112"/>
      <c r="G463" s="109"/>
      <c r="H463" s="109"/>
      <c r="I463" s="109"/>
      <c r="J463" s="109"/>
      <c r="K463" s="109"/>
      <c r="L463" s="109"/>
      <c r="M463" s="109"/>
      <c r="N463" s="13" t="s">
        <v>9240</v>
      </c>
      <c r="O463" s="15" t="s">
        <v>326</v>
      </c>
      <c r="P463" s="15" t="s">
        <v>341</v>
      </c>
      <c r="Q463" s="13" t="s">
        <v>9241</v>
      </c>
      <c r="R463" s="109"/>
      <c r="S463" s="109"/>
      <c r="T463" s="112"/>
      <c r="U463" s="112"/>
      <c r="V463" s="112"/>
      <c r="W463" s="112"/>
    </row>
    <row r="464" spans="1:23" s="2" customFormat="1" ht="108">
      <c r="A464" s="11"/>
      <c r="B464" s="108"/>
      <c r="C464" s="13" t="s">
        <v>9242</v>
      </c>
      <c r="D464" s="19" t="s">
        <v>9243</v>
      </c>
      <c r="E464" s="15" t="s">
        <v>9243</v>
      </c>
      <c r="F464" s="16" t="s">
        <v>9244</v>
      </c>
      <c r="G464" s="15" t="s">
        <v>9245</v>
      </c>
      <c r="H464" s="13"/>
      <c r="I464" s="13" t="s">
        <v>3332</v>
      </c>
      <c r="J464" s="15" t="s">
        <v>271</v>
      </c>
      <c r="K464" s="15" t="s">
        <v>272</v>
      </c>
      <c r="L464" s="15" t="s">
        <v>1859</v>
      </c>
      <c r="M464" s="15" t="s">
        <v>4452</v>
      </c>
      <c r="N464" s="13" t="s">
        <v>9242</v>
      </c>
      <c r="O464" s="15" t="s">
        <v>326</v>
      </c>
      <c r="P464" s="13" t="s">
        <v>1194</v>
      </c>
      <c r="Q464" s="15" t="s">
        <v>9246</v>
      </c>
      <c r="R464" s="13" t="s">
        <v>3973</v>
      </c>
      <c r="S464" s="13" t="s">
        <v>3974</v>
      </c>
      <c r="T464" s="18"/>
      <c r="U464" s="18"/>
      <c r="V464" s="18"/>
      <c r="W464" s="18"/>
    </row>
    <row r="465" spans="1:23" s="2" customFormat="1" ht="12">
      <c r="A465" s="11"/>
      <c r="B465" s="108"/>
      <c r="C465" s="109" t="s">
        <v>9247</v>
      </c>
      <c r="D465" s="14" t="s">
        <v>9248</v>
      </c>
      <c r="E465" s="113" t="s">
        <v>9248</v>
      </c>
      <c r="F465" s="114" t="s">
        <v>9249</v>
      </c>
      <c r="G465" s="113" t="s">
        <v>9250</v>
      </c>
      <c r="H465" s="109" t="s">
        <v>9251</v>
      </c>
      <c r="I465" s="109" t="s">
        <v>2710</v>
      </c>
      <c r="J465" s="113" t="s">
        <v>1192</v>
      </c>
      <c r="K465" s="113" t="s">
        <v>272</v>
      </c>
      <c r="L465" s="113" t="s">
        <v>335</v>
      </c>
      <c r="M465" s="113" t="s">
        <v>3437</v>
      </c>
      <c r="N465" s="13" t="s">
        <v>9247</v>
      </c>
      <c r="O465" s="13" t="s">
        <v>317</v>
      </c>
      <c r="P465" s="15" t="s">
        <v>276</v>
      </c>
      <c r="Q465" s="15" t="s">
        <v>2229</v>
      </c>
      <c r="R465" s="109" t="s">
        <v>9252</v>
      </c>
      <c r="S465" s="113" t="s">
        <v>255</v>
      </c>
      <c r="T465" s="114" t="s">
        <v>9253</v>
      </c>
      <c r="U465" s="114" t="s">
        <v>9254</v>
      </c>
      <c r="V465" s="112" t="s">
        <v>9255</v>
      </c>
      <c r="W465" s="112" t="s">
        <v>9256</v>
      </c>
    </row>
    <row r="466" spans="1:23" s="2" customFormat="1" ht="12">
      <c r="A466" s="11"/>
      <c r="B466" s="108"/>
      <c r="C466" s="109"/>
      <c r="D466" s="14" t="str">
        <f>D465</f>
        <v>花生科技</v>
      </c>
      <c r="E466" s="109"/>
      <c r="F466" s="112"/>
      <c r="G466" s="109"/>
      <c r="H466" s="109"/>
      <c r="I466" s="109"/>
      <c r="J466" s="109"/>
      <c r="K466" s="109"/>
      <c r="L466" s="109"/>
      <c r="M466" s="109"/>
      <c r="N466" s="13" t="s">
        <v>9257</v>
      </c>
      <c r="O466" s="13" t="s">
        <v>251</v>
      </c>
      <c r="P466" s="13" t="s">
        <v>320</v>
      </c>
      <c r="Q466" s="15" t="s">
        <v>8393</v>
      </c>
      <c r="R466" s="109"/>
      <c r="S466" s="109"/>
      <c r="T466" s="112"/>
      <c r="U466" s="112"/>
      <c r="V466" s="112"/>
      <c r="W466" s="112"/>
    </row>
    <row r="467" spans="1:23" s="2" customFormat="1" ht="12">
      <c r="A467" s="11"/>
      <c r="B467" s="108"/>
      <c r="C467" s="109"/>
      <c r="D467" s="14" t="str">
        <f>D466</f>
        <v>花生科技</v>
      </c>
      <c r="E467" s="109"/>
      <c r="F467" s="112"/>
      <c r="G467" s="109"/>
      <c r="H467" s="109"/>
      <c r="I467" s="109"/>
      <c r="J467" s="109"/>
      <c r="K467" s="109"/>
      <c r="L467" s="109"/>
      <c r="M467" s="109"/>
      <c r="N467" s="13" t="s">
        <v>9258</v>
      </c>
      <c r="O467" s="13" t="s">
        <v>257</v>
      </c>
      <c r="P467" s="15" t="s">
        <v>252</v>
      </c>
      <c r="Q467" s="15" t="s">
        <v>8395</v>
      </c>
      <c r="R467" s="109"/>
      <c r="S467" s="109"/>
      <c r="T467" s="112"/>
      <c r="U467" s="112"/>
      <c r="V467" s="112"/>
      <c r="W467" s="112"/>
    </row>
    <row r="468" spans="1:23" s="2" customFormat="1" ht="12">
      <c r="A468" s="11"/>
      <c r="B468" s="108"/>
      <c r="C468" s="109"/>
      <c r="D468" s="14" t="str">
        <f>D467</f>
        <v>花生科技</v>
      </c>
      <c r="E468" s="109"/>
      <c r="F468" s="112"/>
      <c r="G468" s="109"/>
      <c r="H468" s="109"/>
      <c r="I468" s="109"/>
      <c r="J468" s="109"/>
      <c r="K468" s="109"/>
      <c r="L468" s="109"/>
      <c r="M468" s="109"/>
      <c r="N468" s="13" t="s">
        <v>9259</v>
      </c>
      <c r="O468" s="13" t="s">
        <v>262</v>
      </c>
      <c r="P468" s="15" t="s">
        <v>341</v>
      </c>
      <c r="Q468" s="15" t="s">
        <v>8397</v>
      </c>
      <c r="R468" s="109"/>
      <c r="S468" s="109"/>
      <c r="T468" s="112"/>
      <c r="U468" s="112"/>
      <c r="V468" s="112"/>
      <c r="W468" s="112"/>
    </row>
    <row r="469" spans="1:23" s="2" customFormat="1" ht="132">
      <c r="A469" s="11"/>
      <c r="B469" s="108"/>
      <c r="C469" s="13" t="s">
        <v>9260</v>
      </c>
      <c r="D469" s="19" t="s">
        <v>9261</v>
      </c>
      <c r="E469" s="15" t="s">
        <v>9261</v>
      </c>
      <c r="F469" s="16" t="s">
        <v>9262</v>
      </c>
      <c r="G469" s="15" t="s">
        <v>9263</v>
      </c>
      <c r="H469" s="13"/>
      <c r="I469" s="13" t="s">
        <v>5070</v>
      </c>
      <c r="J469" s="15" t="s">
        <v>3842</v>
      </c>
      <c r="K469" s="15" t="s">
        <v>272</v>
      </c>
      <c r="L469" s="15" t="s">
        <v>350</v>
      </c>
      <c r="M469" s="15" t="s">
        <v>1238</v>
      </c>
      <c r="N469" s="13" t="s">
        <v>9260</v>
      </c>
      <c r="O469" s="15" t="s">
        <v>285</v>
      </c>
      <c r="P469" s="15" t="s">
        <v>341</v>
      </c>
      <c r="Q469" s="15" t="s">
        <v>2229</v>
      </c>
      <c r="R469" s="13" t="s">
        <v>931</v>
      </c>
      <c r="S469" s="13" t="s">
        <v>749</v>
      </c>
      <c r="T469" s="16" t="s">
        <v>9264</v>
      </c>
      <c r="U469" s="16" t="s">
        <v>9265</v>
      </c>
      <c r="V469" s="18" t="s">
        <v>9266</v>
      </c>
      <c r="W469" s="18" t="s">
        <v>9267</v>
      </c>
    </row>
    <row r="470" spans="1:23" s="2" customFormat="1" ht="12">
      <c r="A470" s="11"/>
      <c r="B470" s="108"/>
      <c r="C470" s="109" t="s">
        <v>9268</v>
      </c>
      <c r="D470" s="14" t="s">
        <v>9269</v>
      </c>
      <c r="E470" s="113" t="s">
        <v>9269</v>
      </c>
      <c r="F470" s="114" t="s">
        <v>9270</v>
      </c>
      <c r="G470" s="113" t="s">
        <v>9271</v>
      </c>
      <c r="H470" s="109" t="s">
        <v>9272</v>
      </c>
      <c r="I470" s="109" t="s">
        <v>9273</v>
      </c>
      <c r="J470" s="113" t="s">
        <v>4875</v>
      </c>
      <c r="K470" s="113" t="s">
        <v>272</v>
      </c>
      <c r="L470" s="113" t="s">
        <v>407</v>
      </c>
      <c r="M470" s="113" t="s">
        <v>1932</v>
      </c>
      <c r="N470" s="13" t="s">
        <v>9268</v>
      </c>
      <c r="O470" s="13" t="s">
        <v>687</v>
      </c>
      <c r="P470" s="13" t="s">
        <v>578</v>
      </c>
      <c r="Q470" s="15" t="s">
        <v>2229</v>
      </c>
      <c r="R470" s="109" t="s">
        <v>9274</v>
      </c>
      <c r="S470" s="109" t="s">
        <v>9275</v>
      </c>
      <c r="T470" s="114" t="s">
        <v>9276</v>
      </c>
      <c r="U470" s="114" t="s">
        <v>9277</v>
      </c>
      <c r="V470" s="112">
        <v>4006300248</v>
      </c>
      <c r="W470" s="112"/>
    </row>
    <row r="471" spans="1:23" s="2" customFormat="1" ht="12">
      <c r="A471" s="11"/>
      <c r="B471" s="108"/>
      <c r="C471" s="109"/>
      <c r="D471" s="14" t="str">
        <f>D470</f>
        <v>新开普电子</v>
      </c>
      <c r="E471" s="109"/>
      <c r="F471" s="112"/>
      <c r="G471" s="109"/>
      <c r="H471" s="109"/>
      <c r="I471" s="109"/>
      <c r="J471" s="109"/>
      <c r="K471" s="109"/>
      <c r="L471" s="109"/>
      <c r="M471" s="109"/>
      <c r="N471" s="13" t="s">
        <v>9278</v>
      </c>
      <c r="O471" s="13" t="s">
        <v>283</v>
      </c>
      <c r="P471" s="13" t="s">
        <v>9279</v>
      </c>
      <c r="Q471" s="13" t="s">
        <v>253</v>
      </c>
      <c r="R471" s="109"/>
      <c r="S471" s="109"/>
      <c r="T471" s="112"/>
      <c r="U471" s="112"/>
      <c r="V471" s="112"/>
      <c r="W471" s="112"/>
    </row>
    <row r="472" spans="1:23" s="2" customFormat="1" ht="12">
      <c r="A472" s="11"/>
      <c r="B472" s="108"/>
      <c r="C472" s="109"/>
      <c r="D472" s="14" t="str">
        <f>D471</f>
        <v>新开普电子</v>
      </c>
      <c r="E472" s="109"/>
      <c r="F472" s="112"/>
      <c r="G472" s="109"/>
      <c r="H472" s="109"/>
      <c r="I472" s="109"/>
      <c r="J472" s="109"/>
      <c r="K472" s="109"/>
      <c r="L472" s="109"/>
      <c r="M472" s="109"/>
      <c r="N472" s="13" t="s">
        <v>9280</v>
      </c>
      <c r="O472" s="13" t="s">
        <v>262</v>
      </c>
      <c r="P472" s="15" t="s">
        <v>252</v>
      </c>
      <c r="Q472" s="15" t="s">
        <v>9281</v>
      </c>
      <c r="R472" s="109"/>
      <c r="S472" s="109"/>
      <c r="T472" s="112"/>
      <c r="U472" s="112"/>
      <c r="V472" s="112"/>
      <c r="W472" s="112"/>
    </row>
    <row r="473" spans="1:23" s="2" customFormat="1" ht="12">
      <c r="A473" s="11"/>
      <c r="B473" s="108"/>
      <c r="C473" s="109" t="s">
        <v>3784</v>
      </c>
      <c r="D473" s="14" t="s">
        <v>9282</v>
      </c>
      <c r="E473" s="109" t="s">
        <v>9282</v>
      </c>
      <c r="F473" s="112" t="s">
        <v>9283</v>
      </c>
      <c r="G473" s="109"/>
      <c r="H473" s="109" t="s">
        <v>9284</v>
      </c>
      <c r="I473" s="109" t="s">
        <v>9285</v>
      </c>
      <c r="J473" s="113" t="s">
        <v>9286</v>
      </c>
      <c r="K473" s="113" t="s">
        <v>272</v>
      </c>
      <c r="L473" s="113" t="s">
        <v>1859</v>
      </c>
      <c r="M473" s="113" t="s">
        <v>2900</v>
      </c>
      <c r="N473" s="13" t="s">
        <v>3784</v>
      </c>
      <c r="O473" s="15" t="s">
        <v>285</v>
      </c>
      <c r="P473" s="13" t="s">
        <v>9287</v>
      </c>
      <c r="Q473" s="13" t="s">
        <v>1736</v>
      </c>
      <c r="R473" s="109" t="s">
        <v>9288</v>
      </c>
      <c r="S473" s="109" t="s">
        <v>9289</v>
      </c>
      <c r="T473" s="112" t="s">
        <v>9290</v>
      </c>
      <c r="U473" s="112"/>
      <c r="V473" s="112"/>
      <c r="W473" s="112"/>
    </row>
    <row r="474" spans="1:23" s="2" customFormat="1" ht="12">
      <c r="A474" s="11"/>
      <c r="B474" s="108"/>
      <c r="C474" s="109"/>
      <c r="D474" s="14" t="str">
        <f t="shared" ref="D474:D485" si="19">D473</f>
        <v>Klarna</v>
      </c>
      <c r="E474" s="109"/>
      <c r="F474" s="112"/>
      <c r="G474" s="109"/>
      <c r="H474" s="109"/>
      <c r="I474" s="109"/>
      <c r="J474" s="109"/>
      <c r="K474" s="109"/>
      <c r="L474" s="109"/>
      <c r="M474" s="109"/>
      <c r="N474" s="13" t="s">
        <v>9291</v>
      </c>
      <c r="O474" s="15" t="s">
        <v>285</v>
      </c>
      <c r="P474" s="13" t="s">
        <v>306</v>
      </c>
      <c r="Q474" s="13" t="s">
        <v>253</v>
      </c>
      <c r="R474" s="109"/>
      <c r="S474" s="109"/>
      <c r="T474" s="112"/>
      <c r="U474" s="112"/>
      <c r="V474" s="112"/>
      <c r="W474" s="112"/>
    </row>
    <row r="475" spans="1:23" s="2" customFormat="1" ht="12">
      <c r="A475" s="11"/>
      <c r="B475" s="108"/>
      <c r="C475" s="109"/>
      <c r="D475" s="14" t="str">
        <f t="shared" si="19"/>
        <v>Klarna</v>
      </c>
      <c r="E475" s="109"/>
      <c r="F475" s="112"/>
      <c r="G475" s="109"/>
      <c r="H475" s="109"/>
      <c r="I475" s="109"/>
      <c r="J475" s="109"/>
      <c r="K475" s="109"/>
      <c r="L475" s="109"/>
      <c r="M475" s="109"/>
      <c r="N475" s="13" t="s">
        <v>9292</v>
      </c>
      <c r="O475" s="15" t="s">
        <v>285</v>
      </c>
      <c r="P475" s="13" t="s">
        <v>1651</v>
      </c>
      <c r="Q475" s="13" t="s">
        <v>9293</v>
      </c>
      <c r="R475" s="109"/>
      <c r="S475" s="109"/>
      <c r="T475" s="112"/>
      <c r="U475" s="112"/>
      <c r="V475" s="112"/>
      <c r="W475" s="112"/>
    </row>
    <row r="476" spans="1:23" s="2" customFormat="1" ht="12">
      <c r="A476" s="11"/>
      <c r="B476" s="108"/>
      <c r="C476" s="109"/>
      <c r="D476" s="14" t="str">
        <f t="shared" si="19"/>
        <v>Klarna</v>
      </c>
      <c r="E476" s="109"/>
      <c r="F476" s="112"/>
      <c r="G476" s="109"/>
      <c r="H476" s="109"/>
      <c r="I476" s="109"/>
      <c r="J476" s="109"/>
      <c r="K476" s="109"/>
      <c r="L476" s="109"/>
      <c r="M476" s="109"/>
      <c r="N476" s="13" t="s">
        <v>9294</v>
      </c>
      <c r="O476" s="15" t="s">
        <v>285</v>
      </c>
      <c r="P476" s="15" t="s">
        <v>276</v>
      </c>
      <c r="Q476" s="15" t="s">
        <v>2229</v>
      </c>
      <c r="R476" s="109"/>
      <c r="S476" s="109"/>
      <c r="T476" s="112"/>
      <c r="U476" s="112"/>
      <c r="V476" s="112"/>
      <c r="W476" s="112"/>
    </row>
    <row r="477" spans="1:23" s="2" customFormat="1" ht="12">
      <c r="A477" s="11"/>
      <c r="B477" s="108"/>
      <c r="C477" s="109"/>
      <c r="D477" s="14" t="str">
        <f t="shared" si="19"/>
        <v>Klarna</v>
      </c>
      <c r="E477" s="109"/>
      <c r="F477" s="112"/>
      <c r="G477" s="109"/>
      <c r="H477" s="109"/>
      <c r="I477" s="109"/>
      <c r="J477" s="109"/>
      <c r="K477" s="109"/>
      <c r="L477" s="109"/>
      <c r="M477" s="109"/>
      <c r="N477" s="13" t="s">
        <v>9295</v>
      </c>
      <c r="O477" s="15" t="s">
        <v>285</v>
      </c>
      <c r="P477" s="13" t="s">
        <v>8011</v>
      </c>
      <c r="Q477" s="13" t="s">
        <v>9296</v>
      </c>
      <c r="R477" s="109"/>
      <c r="S477" s="109"/>
      <c r="T477" s="112"/>
      <c r="U477" s="112"/>
      <c r="V477" s="112"/>
      <c r="W477" s="112"/>
    </row>
    <row r="478" spans="1:23" s="2" customFormat="1" ht="12">
      <c r="A478" s="11"/>
      <c r="B478" s="108"/>
      <c r="C478" s="109"/>
      <c r="D478" s="14" t="str">
        <f t="shared" si="19"/>
        <v>Klarna</v>
      </c>
      <c r="E478" s="109"/>
      <c r="F478" s="112"/>
      <c r="G478" s="109"/>
      <c r="H478" s="109"/>
      <c r="I478" s="109"/>
      <c r="J478" s="109"/>
      <c r="K478" s="109"/>
      <c r="L478" s="109"/>
      <c r="M478" s="109"/>
      <c r="N478" s="13" t="s">
        <v>9297</v>
      </c>
      <c r="O478" s="15" t="s">
        <v>285</v>
      </c>
      <c r="P478" s="13" t="s">
        <v>458</v>
      </c>
      <c r="Q478" s="13" t="s">
        <v>9298</v>
      </c>
      <c r="R478" s="109"/>
      <c r="S478" s="109"/>
      <c r="T478" s="112"/>
      <c r="U478" s="112"/>
      <c r="V478" s="112"/>
      <c r="W478" s="112"/>
    </row>
    <row r="479" spans="1:23" s="2" customFormat="1" ht="12">
      <c r="A479" s="11"/>
      <c r="B479" s="108"/>
      <c r="C479" s="109"/>
      <c r="D479" s="14" t="str">
        <f t="shared" si="19"/>
        <v>Klarna</v>
      </c>
      <c r="E479" s="109"/>
      <c r="F479" s="112"/>
      <c r="G479" s="109"/>
      <c r="H479" s="109"/>
      <c r="I479" s="109"/>
      <c r="J479" s="109"/>
      <c r="K479" s="109"/>
      <c r="L479" s="109"/>
      <c r="M479" s="109"/>
      <c r="N479" s="13" t="s">
        <v>8325</v>
      </c>
      <c r="O479" s="15" t="s">
        <v>285</v>
      </c>
      <c r="P479" s="13" t="s">
        <v>9299</v>
      </c>
      <c r="Q479" s="13" t="s">
        <v>9300</v>
      </c>
      <c r="R479" s="109"/>
      <c r="S479" s="109"/>
      <c r="T479" s="112"/>
      <c r="U479" s="112"/>
      <c r="V479" s="112"/>
      <c r="W479" s="112"/>
    </row>
    <row r="480" spans="1:23" s="2" customFormat="1" ht="12">
      <c r="A480" s="11"/>
      <c r="B480" s="108"/>
      <c r="C480" s="109"/>
      <c r="D480" s="14" t="str">
        <f t="shared" si="19"/>
        <v>Klarna</v>
      </c>
      <c r="E480" s="109"/>
      <c r="F480" s="112"/>
      <c r="G480" s="109"/>
      <c r="H480" s="109"/>
      <c r="I480" s="109"/>
      <c r="J480" s="109"/>
      <c r="K480" s="109"/>
      <c r="L480" s="109"/>
      <c r="M480" s="109"/>
      <c r="N480" s="13" t="s">
        <v>8056</v>
      </c>
      <c r="O480" s="15" t="s">
        <v>285</v>
      </c>
      <c r="P480" s="13" t="s">
        <v>9301</v>
      </c>
      <c r="Q480" s="13" t="s">
        <v>9302</v>
      </c>
      <c r="R480" s="109"/>
      <c r="S480" s="109"/>
      <c r="T480" s="112"/>
      <c r="U480" s="112"/>
      <c r="V480" s="112"/>
      <c r="W480" s="112"/>
    </row>
    <row r="481" spans="1:23" s="2" customFormat="1" ht="12">
      <c r="A481" s="11"/>
      <c r="B481" s="108"/>
      <c r="C481" s="109"/>
      <c r="D481" s="14" t="str">
        <f t="shared" si="19"/>
        <v>Klarna</v>
      </c>
      <c r="E481" s="109"/>
      <c r="F481" s="112"/>
      <c r="G481" s="109"/>
      <c r="H481" s="109"/>
      <c r="I481" s="109"/>
      <c r="J481" s="109"/>
      <c r="K481" s="109"/>
      <c r="L481" s="109"/>
      <c r="M481" s="109"/>
      <c r="N481" s="13" t="s">
        <v>9303</v>
      </c>
      <c r="O481" s="15" t="s">
        <v>285</v>
      </c>
      <c r="P481" s="15" t="s">
        <v>276</v>
      </c>
      <c r="Q481" s="13" t="s">
        <v>9304</v>
      </c>
      <c r="R481" s="109"/>
      <c r="S481" s="109"/>
      <c r="T481" s="112"/>
      <c r="U481" s="112"/>
      <c r="V481" s="112"/>
      <c r="W481" s="112"/>
    </row>
    <row r="482" spans="1:23" s="2" customFormat="1" ht="12">
      <c r="A482" s="11"/>
      <c r="B482" s="108"/>
      <c r="C482" s="109"/>
      <c r="D482" s="14" t="str">
        <f t="shared" si="19"/>
        <v>Klarna</v>
      </c>
      <c r="E482" s="109"/>
      <c r="F482" s="112"/>
      <c r="G482" s="109"/>
      <c r="H482" s="109"/>
      <c r="I482" s="109"/>
      <c r="J482" s="109"/>
      <c r="K482" s="109"/>
      <c r="L482" s="109"/>
      <c r="M482" s="109"/>
      <c r="N482" s="13" t="s">
        <v>9305</v>
      </c>
      <c r="O482" s="15" t="s">
        <v>285</v>
      </c>
      <c r="P482" s="13" t="s">
        <v>897</v>
      </c>
      <c r="Q482" s="13" t="s">
        <v>9306</v>
      </c>
      <c r="R482" s="109"/>
      <c r="S482" s="109"/>
      <c r="T482" s="112"/>
      <c r="U482" s="112"/>
      <c r="V482" s="112"/>
      <c r="W482" s="112"/>
    </row>
    <row r="483" spans="1:23" s="2" customFormat="1" ht="12">
      <c r="A483" s="11"/>
      <c r="B483" s="108"/>
      <c r="C483" s="109"/>
      <c r="D483" s="14" t="str">
        <f t="shared" si="19"/>
        <v>Klarna</v>
      </c>
      <c r="E483" s="109"/>
      <c r="F483" s="112"/>
      <c r="G483" s="109"/>
      <c r="H483" s="109"/>
      <c r="I483" s="109"/>
      <c r="J483" s="109"/>
      <c r="K483" s="109"/>
      <c r="L483" s="109"/>
      <c r="M483" s="109"/>
      <c r="N483" s="13" t="s">
        <v>9307</v>
      </c>
      <c r="O483" s="13" t="s">
        <v>251</v>
      </c>
      <c r="P483" s="13" t="s">
        <v>9308</v>
      </c>
      <c r="Q483" s="13" t="s">
        <v>9309</v>
      </c>
      <c r="R483" s="109"/>
      <c r="S483" s="109"/>
      <c r="T483" s="112"/>
      <c r="U483" s="112"/>
      <c r="V483" s="112"/>
      <c r="W483" s="112"/>
    </row>
    <row r="484" spans="1:23" s="2" customFormat="1" ht="12">
      <c r="A484" s="11"/>
      <c r="B484" s="108"/>
      <c r="C484" s="109"/>
      <c r="D484" s="14" t="str">
        <f t="shared" si="19"/>
        <v>Klarna</v>
      </c>
      <c r="E484" s="109"/>
      <c r="F484" s="112"/>
      <c r="G484" s="109"/>
      <c r="H484" s="109"/>
      <c r="I484" s="109"/>
      <c r="J484" s="109"/>
      <c r="K484" s="109"/>
      <c r="L484" s="109"/>
      <c r="M484" s="109"/>
      <c r="N484" s="13" t="s">
        <v>9310</v>
      </c>
      <c r="O484" s="13" t="s">
        <v>257</v>
      </c>
      <c r="P484" s="13" t="s">
        <v>678</v>
      </c>
      <c r="Q484" s="13" t="s">
        <v>2243</v>
      </c>
      <c r="R484" s="109"/>
      <c r="S484" s="109"/>
      <c r="T484" s="112"/>
      <c r="U484" s="112"/>
      <c r="V484" s="112"/>
      <c r="W484" s="112"/>
    </row>
    <row r="485" spans="1:23" s="2" customFormat="1" ht="12">
      <c r="A485" s="11"/>
      <c r="B485" s="108"/>
      <c r="C485" s="109"/>
      <c r="D485" s="14" t="str">
        <f t="shared" si="19"/>
        <v>Klarna</v>
      </c>
      <c r="E485" s="109"/>
      <c r="F485" s="112"/>
      <c r="G485" s="109"/>
      <c r="H485" s="109"/>
      <c r="I485" s="109"/>
      <c r="J485" s="109"/>
      <c r="K485" s="109"/>
      <c r="L485" s="109"/>
      <c r="M485" s="109"/>
      <c r="N485" s="13" t="s">
        <v>9311</v>
      </c>
      <c r="O485" s="13" t="s">
        <v>262</v>
      </c>
      <c r="P485" s="13" t="s">
        <v>9312</v>
      </c>
      <c r="Q485" s="13" t="s">
        <v>9313</v>
      </c>
      <c r="R485" s="109"/>
      <c r="S485" s="109"/>
      <c r="T485" s="112"/>
      <c r="U485" s="112"/>
      <c r="V485" s="112"/>
      <c r="W485" s="112"/>
    </row>
    <row r="486" spans="1:23" s="2" customFormat="1" ht="12">
      <c r="A486" s="11"/>
      <c r="B486" s="108"/>
      <c r="C486" s="109" t="s">
        <v>9314</v>
      </c>
      <c r="D486" s="14" t="s">
        <v>9315</v>
      </c>
      <c r="E486" s="113" t="s">
        <v>9315</v>
      </c>
      <c r="F486" s="114" t="s">
        <v>9316</v>
      </c>
      <c r="G486" s="113" t="s">
        <v>9317</v>
      </c>
      <c r="H486" s="109" t="s">
        <v>9318</v>
      </c>
      <c r="I486" s="109" t="s">
        <v>2176</v>
      </c>
      <c r="J486" s="113" t="s">
        <v>349</v>
      </c>
      <c r="K486" s="113" t="s">
        <v>272</v>
      </c>
      <c r="L486" s="113" t="s">
        <v>1859</v>
      </c>
      <c r="M486" s="113" t="s">
        <v>4173</v>
      </c>
      <c r="N486" s="13" t="s">
        <v>9314</v>
      </c>
      <c r="O486" s="13" t="s">
        <v>262</v>
      </c>
      <c r="P486" s="15" t="s">
        <v>341</v>
      </c>
      <c r="Q486" s="15" t="s">
        <v>9319</v>
      </c>
      <c r="R486" s="109" t="s">
        <v>8659</v>
      </c>
      <c r="S486" s="109" t="s">
        <v>432</v>
      </c>
      <c r="T486" s="114" t="s">
        <v>9320</v>
      </c>
      <c r="U486" s="114" t="s">
        <v>9321</v>
      </c>
      <c r="V486" s="112" t="s">
        <v>9322</v>
      </c>
      <c r="W486" s="112" t="s">
        <v>9323</v>
      </c>
    </row>
    <row r="487" spans="1:23" s="2" customFormat="1" ht="12">
      <c r="A487" s="11"/>
      <c r="B487" s="108"/>
      <c r="C487" s="109"/>
      <c r="D487" s="14" t="str">
        <f>D486</f>
        <v>阿法金融</v>
      </c>
      <c r="E487" s="109"/>
      <c r="F487" s="112"/>
      <c r="G487" s="109"/>
      <c r="H487" s="109"/>
      <c r="I487" s="109"/>
      <c r="J487" s="109"/>
      <c r="K487" s="109"/>
      <c r="L487" s="109"/>
      <c r="M487" s="109"/>
      <c r="N487" s="13" t="s">
        <v>3350</v>
      </c>
      <c r="O487" s="13" t="s">
        <v>721</v>
      </c>
      <c r="P487" s="15" t="s">
        <v>252</v>
      </c>
      <c r="Q487" s="15" t="s">
        <v>9324</v>
      </c>
      <c r="R487" s="109"/>
      <c r="S487" s="109"/>
      <c r="T487" s="112"/>
      <c r="U487" s="112"/>
      <c r="V487" s="112"/>
      <c r="W487" s="112"/>
    </row>
    <row r="488" spans="1:23" s="2" customFormat="1" ht="12">
      <c r="A488" s="11"/>
      <c r="B488" s="108"/>
      <c r="C488" s="109"/>
      <c r="D488" s="14" t="str">
        <f>D487</f>
        <v>阿法金融</v>
      </c>
      <c r="E488" s="109"/>
      <c r="F488" s="112"/>
      <c r="G488" s="109"/>
      <c r="H488" s="109"/>
      <c r="I488" s="109"/>
      <c r="J488" s="109"/>
      <c r="K488" s="109"/>
      <c r="L488" s="109"/>
      <c r="M488" s="109"/>
      <c r="N488" s="13" t="s">
        <v>9325</v>
      </c>
      <c r="O488" s="15" t="s">
        <v>326</v>
      </c>
      <c r="P488" s="15" t="s">
        <v>327</v>
      </c>
      <c r="Q488" s="15" t="s">
        <v>9326</v>
      </c>
      <c r="R488" s="109"/>
      <c r="S488" s="109"/>
      <c r="T488" s="112"/>
      <c r="U488" s="112"/>
      <c r="V488" s="112"/>
      <c r="W488" s="112"/>
    </row>
    <row r="489" spans="1:23" s="2" customFormat="1" ht="12">
      <c r="A489" s="11"/>
      <c r="B489" s="108"/>
      <c r="C489" s="109" t="s">
        <v>9327</v>
      </c>
      <c r="D489" s="14" t="s">
        <v>9328</v>
      </c>
      <c r="E489" s="109" t="s">
        <v>9329</v>
      </c>
      <c r="F489" s="112" t="s">
        <v>9330</v>
      </c>
      <c r="G489" s="113" t="s">
        <v>9331</v>
      </c>
      <c r="H489" s="109" t="s">
        <v>9332</v>
      </c>
      <c r="I489" s="109" t="s">
        <v>9333</v>
      </c>
      <c r="J489" s="113" t="s">
        <v>1192</v>
      </c>
      <c r="K489" s="113" t="s">
        <v>272</v>
      </c>
      <c r="L489" s="113" t="s">
        <v>672</v>
      </c>
      <c r="M489" s="113" t="s">
        <v>4227</v>
      </c>
      <c r="N489" s="13" t="s">
        <v>9327</v>
      </c>
      <c r="O489" s="15" t="s">
        <v>285</v>
      </c>
      <c r="P489" s="15" t="s">
        <v>252</v>
      </c>
      <c r="Q489" s="15" t="s">
        <v>2229</v>
      </c>
      <c r="R489" s="109" t="s">
        <v>9334</v>
      </c>
      <c r="S489" s="109" t="s">
        <v>9335</v>
      </c>
      <c r="T489" s="114" t="s">
        <v>9336</v>
      </c>
      <c r="U489" s="114" t="s">
        <v>9337</v>
      </c>
      <c r="V489" s="112"/>
      <c r="W489" s="112" t="s">
        <v>9338</v>
      </c>
    </row>
    <row r="490" spans="1:23" s="2" customFormat="1" ht="12">
      <c r="A490" s="11"/>
      <c r="B490" s="108"/>
      <c r="C490" s="109"/>
      <c r="D490" s="14" t="str">
        <f>D489</f>
        <v>mobrella漂流伞</v>
      </c>
      <c r="E490" s="109"/>
      <c r="F490" s="112"/>
      <c r="G490" s="109"/>
      <c r="H490" s="109"/>
      <c r="I490" s="109"/>
      <c r="J490" s="109"/>
      <c r="K490" s="109"/>
      <c r="L490" s="109"/>
      <c r="M490" s="109"/>
      <c r="N490" s="13" t="s">
        <v>9098</v>
      </c>
      <c r="O490" s="13" t="s">
        <v>257</v>
      </c>
      <c r="P490" s="15" t="s">
        <v>341</v>
      </c>
      <c r="Q490" s="15" t="s">
        <v>9339</v>
      </c>
      <c r="R490" s="109"/>
      <c r="S490" s="109"/>
      <c r="T490" s="112"/>
      <c r="U490" s="112"/>
      <c r="V490" s="112"/>
      <c r="W490" s="112"/>
    </row>
    <row r="491" spans="1:23" s="2" customFormat="1" ht="12">
      <c r="A491" s="11"/>
      <c r="B491" s="108"/>
      <c r="C491" s="109"/>
      <c r="D491" s="14" t="str">
        <f>D490</f>
        <v>mobrella漂流伞</v>
      </c>
      <c r="E491" s="109"/>
      <c r="F491" s="112"/>
      <c r="G491" s="109"/>
      <c r="H491" s="109"/>
      <c r="I491" s="109"/>
      <c r="J491" s="109"/>
      <c r="K491" s="109"/>
      <c r="L491" s="109"/>
      <c r="M491" s="109"/>
      <c r="N491" s="13" t="s">
        <v>8200</v>
      </c>
      <c r="O491" s="13" t="s">
        <v>262</v>
      </c>
      <c r="P491" s="13" t="s">
        <v>8627</v>
      </c>
      <c r="Q491" s="15" t="s">
        <v>9340</v>
      </c>
      <c r="R491" s="109"/>
      <c r="S491" s="109"/>
      <c r="T491" s="112"/>
      <c r="U491" s="112"/>
      <c r="V491" s="112"/>
      <c r="W491" s="112"/>
    </row>
    <row r="492" spans="1:23" s="2" customFormat="1" ht="12">
      <c r="A492" s="11"/>
      <c r="B492" s="108"/>
      <c r="C492" s="109"/>
      <c r="D492" s="14" t="str">
        <f>D491</f>
        <v>mobrella漂流伞</v>
      </c>
      <c r="E492" s="109"/>
      <c r="F492" s="112"/>
      <c r="G492" s="109"/>
      <c r="H492" s="109"/>
      <c r="I492" s="109"/>
      <c r="J492" s="109"/>
      <c r="K492" s="109"/>
      <c r="L492" s="109"/>
      <c r="M492" s="109"/>
      <c r="N492" s="13" t="s">
        <v>9075</v>
      </c>
      <c r="O492" s="13" t="s">
        <v>721</v>
      </c>
      <c r="P492" s="15" t="s">
        <v>341</v>
      </c>
      <c r="Q492" s="15" t="s">
        <v>9341</v>
      </c>
      <c r="R492" s="109"/>
      <c r="S492" s="109"/>
      <c r="T492" s="112"/>
      <c r="U492" s="112"/>
      <c r="V492" s="112"/>
      <c r="W492" s="112"/>
    </row>
    <row r="493" spans="1:23" s="2" customFormat="1" ht="12">
      <c r="A493" s="11"/>
      <c r="B493" s="108"/>
      <c r="C493" s="109"/>
      <c r="D493" s="14" t="str">
        <f>D492</f>
        <v>mobrella漂流伞</v>
      </c>
      <c r="E493" s="109"/>
      <c r="F493" s="112"/>
      <c r="G493" s="109"/>
      <c r="H493" s="109"/>
      <c r="I493" s="109"/>
      <c r="J493" s="109"/>
      <c r="K493" s="109"/>
      <c r="L493" s="109"/>
      <c r="M493" s="109"/>
      <c r="N493" s="13" t="s">
        <v>3350</v>
      </c>
      <c r="O493" s="15" t="s">
        <v>326</v>
      </c>
      <c r="P493" s="13" t="s">
        <v>2610</v>
      </c>
      <c r="Q493" s="15" t="s">
        <v>9342</v>
      </c>
      <c r="R493" s="109"/>
      <c r="S493" s="109"/>
      <c r="T493" s="112"/>
      <c r="U493" s="112"/>
      <c r="V493" s="112"/>
      <c r="W493" s="112"/>
    </row>
    <row r="494" spans="1:23" s="2" customFormat="1" ht="12">
      <c r="A494" s="11"/>
      <c r="B494" s="108"/>
      <c r="C494" s="109"/>
      <c r="D494" s="14" t="str">
        <f>D493</f>
        <v>mobrella漂流伞</v>
      </c>
      <c r="E494" s="109"/>
      <c r="F494" s="112"/>
      <c r="G494" s="109"/>
      <c r="H494" s="109"/>
      <c r="I494" s="109"/>
      <c r="J494" s="109"/>
      <c r="K494" s="109"/>
      <c r="L494" s="109"/>
      <c r="M494" s="109"/>
      <c r="N494" s="13" t="s">
        <v>9343</v>
      </c>
      <c r="O494" s="15" t="s">
        <v>437</v>
      </c>
      <c r="P494" s="15" t="s">
        <v>327</v>
      </c>
      <c r="Q494" s="15" t="s">
        <v>9344</v>
      </c>
      <c r="R494" s="109"/>
      <c r="S494" s="109"/>
      <c r="T494" s="112"/>
      <c r="U494" s="112"/>
      <c r="V494" s="112"/>
      <c r="W494" s="112"/>
    </row>
    <row r="495" spans="1:23" s="2" customFormat="1" ht="12">
      <c r="A495" s="11"/>
      <c r="B495" s="108"/>
      <c r="C495" s="109" t="s">
        <v>9345</v>
      </c>
      <c r="D495" s="14" t="s">
        <v>9346</v>
      </c>
      <c r="E495" s="113" t="s">
        <v>9346</v>
      </c>
      <c r="F495" s="114" t="s">
        <v>9347</v>
      </c>
      <c r="G495" s="113" t="s">
        <v>9348</v>
      </c>
      <c r="H495" s="109" t="s">
        <v>9349</v>
      </c>
      <c r="I495" s="109" t="s">
        <v>5335</v>
      </c>
      <c r="J495" s="113" t="s">
        <v>1215</v>
      </c>
      <c r="K495" s="113" t="s">
        <v>272</v>
      </c>
      <c r="L495" s="113" t="s">
        <v>350</v>
      </c>
      <c r="M495" s="113" t="s">
        <v>1238</v>
      </c>
      <c r="N495" s="13" t="s">
        <v>9345</v>
      </c>
      <c r="O495" s="15" t="s">
        <v>285</v>
      </c>
      <c r="P495" s="15" t="s">
        <v>252</v>
      </c>
      <c r="Q495" s="15" t="s">
        <v>9350</v>
      </c>
      <c r="R495" s="109" t="s">
        <v>9351</v>
      </c>
      <c r="S495" s="109" t="s">
        <v>912</v>
      </c>
      <c r="T495" s="114" t="s">
        <v>9352</v>
      </c>
      <c r="U495" s="114" t="s">
        <v>9353</v>
      </c>
      <c r="V495" s="112" t="s">
        <v>9354</v>
      </c>
      <c r="W495" s="112" t="s">
        <v>9355</v>
      </c>
    </row>
    <row r="496" spans="1:23" s="2" customFormat="1" ht="12">
      <c r="A496" s="11"/>
      <c r="B496" s="108"/>
      <c r="C496" s="109"/>
      <c r="D496" s="14" t="str">
        <f>D495</f>
        <v>猩便利</v>
      </c>
      <c r="E496" s="109"/>
      <c r="F496" s="112"/>
      <c r="G496" s="109"/>
      <c r="H496" s="109"/>
      <c r="I496" s="109"/>
      <c r="J496" s="109"/>
      <c r="K496" s="109"/>
      <c r="L496" s="109"/>
      <c r="M496" s="109"/>
      <c r="N496" s="13" t="s">
        <v>9356</v>
      </c>
      <c r="O496" s="13" t="s">
        <v>262</v>
      </c>
      <c r="P496" s="13" t="s">
        <v>9357</v>
      </c>
      <c r="Q496" s="15" t="s">
        <v>9358</v>
      </c>
      <c r="R496" s="109"/>
      <c r="S496" s="109"/>
      <c r="T496" s="112"/>
      <c r="U496" s="112"/>
      <c r="V496" s="112"/>
      <c r="W496" s="112"/>
    </row>
    <row r="497" spans="1:23" s="2" customFormat="1" ht="12">
      <c r="A497" s="11"/>
      <c r="B497" s="108"/>
      <c r="C497" s="109"/>
      <c r="D497" s="14" t="str">
        <f>D496</f>
        <v>猩便利</v>
      </c>
      <c r="E497" s="109"/>
      <c r="F497" s="112"/>
      <c r="G497" s="109"/>
      <c r="H497" s="109"/>
      <c r="I497" s="109"/>
      <c r="J497" s="109"/>
      <c r="K497" s="109"/>
      <c r="L497" s="109"/>
      <c r="M497" s="109"/>
      <c r="N497" s="13" t="s">
        <v>9359</v>
      </c>
      <c r="O497" s="15" t="s">
        <v>326</v>
      </c>
      <c r="P497" s="13" t="s">
        <v>637</v>
      </c>
      <c r="Q497" s="15" t="s">
        <v>9360</v>
      </c>
      <c r="R497" s="109"/>
      <c r="S497" s="109"/>
      <c r="T497" s="112"/>
      <c r="U497" s="112"/>
      <c r="V497" s="112"/>
      <c r="W497" s="112"/>
    </row>
    <row r="498" spans="1:23" s="2" customFormat="1" ht="12">
      <c r="A498" s="11"/>
      <c r="B498" s="108"/>
      <c r="C498" s="109" t="s">
        <v>9361</v>
      </c>
      <c r="D498" s="14" t="s">
        <v>9362</v>
      </c>
      <c r="E498" s="113" t="s">
        <v>9362</v>
      </c>
      <c r="F498" s="114" t="s">
        <v>9363</v>
      </c>
      <c r="G498" s="113" t="s">
        <v>9364</v>
      </c>
      <c r="H498" s="109" t="s">
        <v>9365</v>
      </c>
      <c r="I498" s="109" t="s">
        <v>9366</v>
      </c>
      <c r="J498" s="113" t="s">
        <v>2627</v>
      </c>
      <c r="K498" s="113" t="s">
        <v>272</v>
      </c>
      <c r="L498" s="113" t="s">
        <v>672</v>
      </c>
      <c r="M498" s="113" t="s">
        <v>853</v>
      </c>
      <c r="N498" s="13" t="s">
        <v>9361</v>
      </c>
      <c r="O498" s="13" t="s">
        <v>317</v>
      </c>
      <c r="P498" s="15" t="s">
        <v>409</v>
      </c>
      <c r="Q498" s="15" t="s">
        <v>9367</v>
      </c>
      <c r="R498" s="109" t="s">
        <v>3411</v>
      </c>
      <c r="S498" s="109" t="s">
        <v>2601</v>
      </c>
      <c r="T498" s="112" t="s">
        <v>9368</v>
      </c>
      <c r="U498" s="114" t="s">
        <v>9369</v>
      </c>
      <c r="V498" s="112" t="s">
        <v>9370</v>
      </c>
      <c r="W498" s="112" t="s">
        <v>9371</v>
      </c>
    </row>
    <row r="499" spans="1:23" s="2" customFormat="1" ht="12">
      <c r="A499" s="11"/>
      <c r="B499" s="108"/>
      <c r="C499" s="109"/>
      <c r="D499" s="14" t="str">
        <f>D498</f>
        <v>商米科技</v>
      </c>
      <c r="E499" s="109"/>
      <c r="F499" s="112"/>
      <c r="G499" s="109"/>
      <c r="H499" s="109"/>
      <c r="I499" s="109"/>
      <c r="J499" s="109"/>
      <c r="K499" s="109"/>
      <c r="L499" s="109"/>
      <c r="M499" s="109"/>
      <c r="N499" s="13" t="s">
        <v>9372</v>
      </c>
      <c r="O499" s="13" t="s">
        <v>251</v>
      </c>
      <c r="P499" s="15" t="s">
        <v>409</v>
      </c>
      <c r="Q499" s="13" t="s">
        <v>253</v>
      </c>
      <c r="R499" s="109"/>
      <c r="S499" s="109"/>
      <c r="T499" s="112"/>
      <c r="U499" s="112"/>
      <c r="V499" s="112"/>
      <c r="W499" s="112"/>
    </row>
    <row r="500" spans="1:23" s="2" customFormat="1" ht="12">
      <c r="A500" s="11"/>
      <c r="B500" s="108"/>
      <c r="C500" s="109"/>
      <c r="D500" s="14" t="str">
        <f>D499</f>
        <v>商米科技</v>
      </c>
      <c r="E500" s="109"/>
      <c r="F500" s="112"/>
      <c r="G500" s="109"/>
      <c r="H500" s="109"/>
      <c r="I500" s="109"/>
      <c r="J500" s="109"/>
      <c r="K500" s="109"/>
      <c r="L500" s="109"/>
      <c r="M500" s="109"/>
      <c r="N500" s="13" t="s">
        <v>9373</v>
      </c>
      <c r="O500" s="13" t="s">
        <v>565</v>
      </c>
      <c r="P500" s="13" t="s">
        <v>637</v>
      </c>
      <c r="Q500" s="15" t="s">
        <v>9374</v>
      </c>
      <c r="R500" s="109"/>
      <c r="S500" s="109"/>
      <c r="T500" s="112"/>
      <c r="U500" s="112"/>
      <c r="V500" s="112"/>
      <c r="W500" s="112"/>
    </row>
    <row r="501" spans="1:23" s="2" customFormat="1" ht="12">
      <c r="A501" s="11"/>
      <c r="B501" s="108"/>
      <c r="C501" s="109"/>
      <c r="D501" s="14" t="str">
        <f>D500</f>
        <v>商米科技</v>
      </c>
      <c r="E501" s="109"/>
      <c r="F501" s="112"/>
      <c r="G501" s="109"/>
      <c r="H501" s="109"/>
      <c r="I501" s="109"/>
      <c r="J501" s="109"/>
      <c r="K501" s="109"/>
      <c r="L501" s="109"/>
      <c r="M501" s="109"/>
      <c r="N501" s="13" t="s">
        <v>8609</v>
      </c>
      <c r="O501" s="13" t="s">
        <v>257</v>
      </c>
      <c r="P501" s="13" t="s">
        <v>578</v>
      </c>
      <c r="Q501" s="15" t="s">
        <v>9375</v>
      </c>
      <c r="R501" s="109"/>
      <c r="S501" s="109"/>
      <c r="T501" s="112"/>
      <c r="U501" s="112"/>
      <c r="V501" s="112"/>
      <c r="W501" s="112"/>
    </row>
    <row r="502" spans="1:23" s="2" customFormat="1" ht="12">
      <c r="A502" s="11"/>
      <c r="B502" s="108"/>
      <c r="C502" s="109"/>
      <c r="D502" s="14" t="str">
        <f>D501</f>
        <v>商米科技</v>
      </c>
      <c r="E502" s="109"/>
      <c r="F502" s="112"/>
      <c r="G502" s="109"/>
      <c r="H502" s="109"/>
      <c r="I502" s="109"/>
      <c r="J502" s="109"/>
      <c r="K502" s="109"/>
      <c r="L502" s="109"/>
      <c r="M502" s="109"/>
      <c r="N502" s="13" t="s">
        <v>9376</v>
      </c>
      <c r="O502" s="13" t="s">
        <v>262</v>
      </c>
      <c r="P502" s="13" t="s">
        <v>1345</v>
      </c>
      <c r="Q502" s="15" t="s">
        <v>9377</v>
      </c>
      <c r="R502" s="109"/>
      <c r="S502" s="109"/>
      <c r="T502" s="112"/>
      <c r="U502" s="112"/>
      <c r="V502" s="112"/>
      <c r="W502" s="112"/>
    </row>
    <row r="503" spans="1:23" s="2" customFormat="1" ht="12">
      <c r="A503" s="11"/>
      <c r="B503" s="108"/>
      <c r="C503" s="109"/>
      <c r="D503" s="14" t="str">
        <f>D502</f>
        <v>商米科技</v>
      </c>
      <c r="E503" s="109"/>
      <c r="F503" s="112"/>
      <c r="G503" s="109"/>
      <c r="H503" s="109"/>
      <c r="I503" s="109"/>
      <c r="J503" s="109"/>
      <c r="K503" s="109"/>
      <c r="L503" s="109"/>
      <c r="M503" s="109"/>
      <c r="N503" s="13" t="s">
        <v>9378</v>
      </c>
      <c r="O503" s="15" t="s">
        <v>326</v>
      </c>
      <c r="P503" s="15" t="s">
        <v>252</v>
      </c>
      <c r="Q503" s="15" t="s">
        <v>9379</v>
      </c>
      <c r="R503" s="109"/>
      <c r="S503" s="109"/>
      <c r="T503" s="112"/>
      <c r="U503" s="112"/>
      <c r="V503" s="112"/>
      <c r="W503" s="112"/>
    </row>
    <row r="504" spans="1:23" s="2" customFormat="1" ht="48">
      <c r="A504" s="11"/>
      <c r="B504" s="108"/>
      <c r="C504" s="13" t="s">
        <v>9380</v>
      </c>
      <c r="D504" s="19" t="s">
        <v>9381</v>
      </c>
      <c r="E504" s="15" t="s">
        <v>9381</v>
      </c>
      <c r="F504" s="16" t="s">
        <v>9382</v>
      </c>
      <c r="G504" s="15" t="s">
        <v>9383</v>
      </c>
      <c r="H504" s="13"/>
      <c r="I504" s="13" t="s">
        <v>2176</v>
      </c>
      <c r="J504" s="15" t="s">
        <v>9384</v>
      </c>
      <c r="K504" s="15" t="s">
        <v>272</v>
      </c>
      <c r="L504" s="15" t="s">
        <v>273</v>
      </c>
      <c r="M504" s="15" t="s">
        <v>274</v>
      </c>
      <c r="N504" s="13" t="s">
        <v>9380</v>
      </c>
      <c r="O504" s="15" t="s">
        <v>285</v>
      </c>
      <c r="P504" s="13" t="s">
        <v>9385</v>
      </c>
      <c r="Q504" s="15" t="s">
        <v>9386</v>
      </c>
      <c r="R504" s="13" t="s">
        <v>9387</v>
      </c>
      <c r="S504" s="13" t="s">
        <v>9388</v>
      </c>
      <c r="T504" s="18"/>
      <c r="U504" s="16" t="s">
        <v>9389</v>
      </c>
      <c r="V504" s="18" t="s">
        <v>9390</v>
      </c>
      <c r="W504" s="18" t="s">
        <v>9009</v>
      </c>
    </row>
    <row r="505" spans="1:23" s="2" customFormat="1" ht="12">
      <c r="A505" s="11"/>
      <c r="B505" s="108"/>
      <c r="C505" s="109" t="s">
        <v>9391</v>
      </c>
      <c r="D505" s="14" t="s">
        <v>9392</v>
      </c>
      <c r="E505" s="113" t="s">
        <v>9392</v>
      </c>
      <c r="F505" s="114" t="s">
        <v>9393</v>
      </c>
      <c r="G505" s="113" t="s">
        <v>9394</v>
      </c>
      <c r="H505" s="109" t="s">
        <v>9395</v>
      </c>
      <c r="I505" s="109" t="s">
        <v>9333</v>
      </c>
      <c r="J505" s="113" t="s">
        <v>9396</v>
      </c>
      <c r="K505" s="113" t="s">
        <v>272</v>
      </c>
      <c r="L505" s="113" t="s">
        <v>273</v>
      </c>
      <c r="M505" s="113" t="s">
        <v>274</v>
      </c>
      <c r="N505" s="13" t="s">
        <v>9391</v>
      </c>
      <c r="O505" s="13" t="s">
        <v>565</v>
      </c>
      <c r="P505" s="13" t="s">
        <v>337</v>
      </c>
      <c r="Q505" s="15" t="s">
        <v>9397</v>
      </c>
      <c r="R505" s="109" t="s">
        <v>9398</v>
      </c>
      <c r="S505" s="109" t="s">
        <v>339</v>
      </c>
      <c r="T505" s="114" t="s">
        <v>9399</v>
      </c>
      <c r="U505" s="114" t="s">
        <v>9400</v>
      </c>
      <c r="V505" s="112" t="s">
        <v>9401</v>
      </c>
      <c r="W505" s="112" t="s">
        <v>9402</v>
      </c>
    </row>
    <row r="506" spans="1:23" s="2" customFormat="1" ht="12">
      <c r="A506" s="11"/>
      <c r="B506" s="108"/>
      <c r="C506" s="109"/>
      <c r="D506" s="14" t="str">
        <f>D505</f>
        <v>立刻出行</v>
      </c>
      <c r="E506" s="109"/>
      <c r="F506" s="112"/>
      <c r="G506" s="109"/>
      <c r="H506" s="109"/>
      <c r="I506" s="109"/>
      <c r="J506" s="109"/>
      <c r="K506" s="109"/>
      <c r="L506" s="109"/>
      <c r="M506" s="109"/>
      <c r="N506" s="13" t="s">
        <v>9403</v>
      </c>
      <c r="O506" s="13" t="s">
        <v>257</v>
      </c>
      <c r="P506" s="15" t="s">
        <v>409</v>
      </c>
      <c r="Q506" s="15" t="s">
        <v>9404</v>
      </c>
      <c r="R506" s="109"/>
      <c r="S506" s="109"/>
      <c r="T506" s="112"/>
      <c r="U506" s="112"/>
      <c r="V506" s="112"/>
      <c r="W506" s="112"/>
    </row>
    <row r="507" spans="1:23" s="2" customFormat="1" ht="12">
      <c r="A507" s="11"/>
      <c r="B507" s="108"/>
      <c r="C507" s="109"/>
      <c r="D507" s="14" t="str">
        <f>D506</f>
        <v>立刻出行</v>
      </c>
      <c r="E507" s="109"/>
      <c r="F507" s="112"/>
      <c r="G507" s="109"/>
      <c r="H507" s="109"/>
      <c r="I507" s="109"/>
      <c r="J507" s="109"/>
      <c r="K507" s="109"/>
      <c r="L507" s="109"/>
      <c r="M507" s="109"/>
      <c r="N507" s="13" t="s">
        <v>9405</v>
      </c>
      <c r="O507" s="13" t="s">
        <v>262</v>
      </c>
      <c r="P507" s="15" t="s">
        <v>276</v>
      </c>
      <c r="Q507" s="15" t="s">
        <v>9406</v>
      </c>
      <c r="R507" s="109"/>
      <c r="S507" s="109"/>
      <c r="T507" s="112"/>
      <c r="U507" s="112"/>
      <c r="V507" s="112"/>
      <c r="W507" s="112"/>
    </row>
    <row r="508" spans="1:23" s="2" customFormat="1" ht="12">
      <c r="A508" s="11"/>
      <c r="B508" s="108"/>
      <c r="C508" s="109"/>
      <c r="D508" s="14" t="str">
        <f>D507</f>
        <v>立刻出行</v>
      </c>
      <c r="E508" s="109"/>
      <c r="F508" s="112"/>
      <c r="G508" s="109"/>
      <c r="H508" s="109"/>
      <c r="I508" s="109"/>
      <c r="J508" s="109"/>
      <c r="K508" s="109"/>
      <c r="L508" s="109"/>
      <c r="M508" s="109"/>
      <c r="N508" s="13" t="s">
        <v>9077</v>
      </c>
      <c r="O508" s="15" t="s">
        <v>326</v>
      </c>
      <c r="P508" s="15" t="s">
        <v>276</v>
      </c>
      <c r="Q508" s="15" t="s">
        <v>9407</v>
      </c>
      <c r="R508" s="109"/>
      <c r="S508" s="109"/>
      <c r="T508" s="112"/>
      <c r="U508" s="112"/>
      <c r="V508" s="112"/>
      <c r="W508" s="112"/>
    </row>
    <row r="509" spans="1:23" s="2" customFormat="1" ht="12">
      <c r="A509" s="11"/>
      <c r="B509" s="108"/>
      <c r="C509" s="109" t="s">
        <v>9408</v>
      </c>
      <c r="D509" s="14" t="s">
        <v>9409</v>
      </c>
      <c r="E509" s="113" t="s">
        <v>9409</v>
      </c>
      <c r="F509" s="114" t="s">
        <v>9410</v>
      </c>
      <c r="G509" s="113" t="s">
        <v>9411</v>
      </c>
      <c r="H509" s="109" t="s">
        <v>9412</v>
      </c>
      <c r="I509" s="109" t="s">
        <v>3710</v>
      </c>
      <c r="J509" s="113" t="s">
        <v>271</v>
      </c>
      <c r="K509" s="113" t="s">
        <v>272</v>
      </c>
      <c r="L509" s="113" t="s">
        <v>407</v>
      </c>
      <c r="M509" s="113" t="s">
        <v>7980</v>
      </c>
      <c r="N509" s="13" t="s">
        <v>9408</v>
      </c>
      <c r="O509" s="13" t="s">
        <v>257</v>
      </c>
      <c r="P509" s="13" t="s">
        <v>637</v>
      </c>
      <c r="Q509" s="15" t="s">
        <v>9413</v>
      </c>
      <c r="R509" s="109" t="s">
        <v>1092</v>
      </c>
      <c r="S509" s="109" t="s">
        <v>1078</v>
      </c>
      <c r="T509" s="114" t="s">
        <v>9414</v>
      </c>
      <c r="U509" s="114" t="s">
        <v>9415</v>
      </c>
      <c r="V509" s="112" t="s">
        <v>9416</v>
      </c>
      <c r="W509" s="112" t="s">
        <v>9417</v>
      </c>
    </row>
    <row r="510" spans="1:23" s="2" customFormat="1" ht="12">
      <c r="A510" s="11"/>
      <c r="B510" s="108"/>
      <c r="C510" s="109"/>
      <c r="D510" s="14" t="str">
        <f>D509</f>
        <v>鲸准</v>
      </c>
      <c r="E510" s="109"/>
      <c r="F510" s="112"/>
      <c r="G510" s="109"/>
      <c r="H510" s="109"/>
      <c r="I510" s="109"/>
      <c r="J510" s="109"/>
      <c r="K510" s="109"/>
      <c r="L510" s="109"/>
      <c r="M510" s="109"/>
      <c r="N510" s="13" t="s">
        <v>9418</v>
      </c>
      <c r="O510" s="13" t="s">
        <v>262</v>
      </c>
      <c r="P510" s="15" t="s">
        <v>341</v>
      </c>
      <c r="Q510" s="15" t="s">
        <v>9419</v>
      </c>
      <c r="R510" s="109"/>
      <c r="S510" s="109"/>
      <c r="T510" s="112"/>
      <c r="U510" s="112"/>
      <c r="V510" s="112"/>
      <c r="W510" s="112"/>
    </row>
    <row r="511" spans="1:23" s="2" customFormat="1" ht="12">
      <c r="A511" s="11"/>
      <c r="B511" s="108"/>
      <c r="C511" s="109"/>
      <c r="D511" s="14" t="str">
        <f>D510</f>
        <v>鲸准</v>
      </c>
      <c r="E511" s="109"/>
      <c r="F511" s="112"/>
      <c r="G511" s="109"/>
      <c r="H511" s="109"/>
      <c r="I511" s="109"/>
      <c r="J511" s="109"/>
      <c r="K511" s="109"/>
      <c r="L511" s="109"/>
      <c r="M511" s="109"/>
      <c r="N511" s="13" t="s">
        <v>9420</v>
      </c>
      <c r="O511" s="15" t="s">
        <v>326</v>
      </c>
      <c r="P511" s="15" t="s">
        <v>341</v>
      </c>
      <c r="Q511" s="15" t="s">
        <v>9421</v>
      </c>
      <c r="R511" s="109"/>
      <c r="S511" s="109"/>
      <c r="T511" s="112"/>
      <c r="U511" s="112"/>
      <c r="V511" s="112"/>
      <c r="W511" s="112"/>
    </row>
    <row r="512" spans="1:23" s="2" customFormat="1" ht="12">
      <c r="A512" s="11"/>
      <c r="B512" s="108"/>
      <c r="C512" s="109" t="s">
        <v>9422</v>
      </c>
      <c r="D512" s="14" t="s">
        <v>9423</v>
      </c>
      <c r="E512" s="109" t="s">
        <v>9423</v>
      </c>
      <c r="F512" s="112" t="s">
        <v>9424</v>
      </c>
      <c r="G512" s="109"/>
      <c r="H512" s="109" t="s">
        <v>9425</v>
      </c>
      <c r="I512" s="109" t="s">
        <v>246</v>
      </c>
      <c r="J512" s="113" t="s">
        <v>1564</v>
      </c>
      <c r="K512" s="113" t="s">
        <v>272</v>
      </c>
      <c r="L512" s="113" t="s">
        <v>407</v>
      </c>
      <c r="M512" s="113" t="s">
        <v>408</v>
      </c>
      <c r="N512" s="13" t="s">
        <v>9422</v>
      </c>
      <c r="O512" s="13" t="s">
        <v>251</v>
      </c>
      <c r="P512" s="13" t="s">
        <v>9426</v>
      </c>
      <c r="Q512" s="13" t="s">
        <v>4612</v>
      </c>
      <c r="R512" s="109" t="s">
        <v>9427</v>
      </c>
      <c r="S512" s="109" t="s">
        <v>9428</v>
      </c>
      <c r="T512" s="114" t="s">
        <v>9429</v>
      </c>
      <c r="U512" s="112"/>
      <c r="V512" s="112"/>
      <c r="W512" s="112"/>
    </row>
    <row r="513" spans="1:23" s="2" customFormat="1" ht="12">
      <c r="A513" s="11"/>
      <c r="B513" s="108"/>
      <c r="C513" s="109"/>
      <c r="D513" s="14" t="str">
        <f>D512</f>
        <v>TigerGraph</v>
      </c>
      <c r="E513" s="109"/>
      <c r="F513" s="112"/>
      <c r="G513" s="109"/>
      <c r="H513" s="109"/>
      <c r="I513" s="109"/>
      <c r="J513" s="109"/>
      <c r="K513" s="109"/>
      <c r="L513" s="109"/>
      <c r="M513" s="109"/>
      <c r="N513" s="13" t="s">
        <v>4889</v>
      </c>
      <c r="O513" s="13" t="s">
        <v>257</v>
      </c>
      <c r="P513" s="13" t="s">
        <v>2061</v>
      </c>
      <c r="Q513" s="15" t="s">
        <v>9430</v>
      </c>
      <c r="R513" s="109"/>
      <c r="S513" s="109"/>
      <c r="T513" s="112"/>
      <c r="U513" s="112"/>
      <c r="V513" s="112"/>
      <c r="W513" s="112"/>
    </row>
    <row r="514" spans="1:23" s="2" customFormat="1" ht="12">
      <c r="A514" s="11"/>
      <c r="B514" s="108"/>
      <c r="C514" s="109"/>
      <c r="D514" s="14" t="str">
        <f>D513</f>
        <v>TigerGraph</v>
      </c>
      <c r="E514" s="109"/>
      <c r="F514" s="112"/>
      <c r="G514" s="109"/>
      <c r="H514" s="109"/>
      <c r="I514" s="109"/>
      <c r="J514" s="109"/>
      <c r="K514" s="109"/>
      <c r="L514" s="109"/>
      <c r="M514" s="109"/>
      <c r="N514" s="13" t="s">
        <v>9431</v>
      </c>
      <c r="O514" s="13" t="s">
        <v>262</v>
      </c>
      <c r="P514" s="13" t="s">
        <v>9432</v>
      </c>
      <c r="Q514" s="15" t="s">
        <v>9433</v>
      </c>
      <c r="R514" s="109"/>
      <c r="S514" s="109"/>
      <c r="T514" s="112"/>
      <c r="U514" s="112"/>
      <c r="V514" s="112"/>
      <c r="W514" s="112"/>
    </row>
    <row r="515" spans="1:23" s="2" customFormat="1" ht="84">
      <c r="A515" s="11"/>
      <c r="B515" s="108"/>
      <c r="C515" s="13" t="s">
        <v>9434</v>
      </c>
      <c r="D515" s="19" t="s">
        <v>9435</v>
      </c>
      <c r="E515" s="15" t="s">
        <v>9435</v>
      </c>
      <c r="F515" s="16" t="s">
        <v>9436</v>
      </c>
      <c r="G515" s="15" t="s">
        <v>9437</v>
      </c>
      <c r="H515" s="13" t="s">
        <v>9438</v>
      </c>
      <c r="I515" s="13" t="s">
        <v>9333</v>
      </c>
      <c r="J515" s="15" t="s">
        <v>372</v>
      </c>
      <c r="K515" s="15" t="s">
        <v>272</v>
      </c>
      <c r="L515" s="15" t="s">
        <v>407</v>
      </c>
      <c r="M515" s="15" t="s">
        <v>1932</v>
      </c>
      <c r="N515" s="13" t="s">
        <v>9434</v>
      </c>
      <c r="O515" s="15" t="s">
        <v>326</v>
      </c>
      <c r="P515" s="13" t="s">
        <v>578</v>
      </c>
      <c r="Q515" s="15" t="s">
        <v>9439</v>
      </c>
      <c r="R515" s="13" t="s">
        <v>3934</v>
      </c>
      <c r="S515" s="13" t="s">
        <v>9440</v>
      </c>
      <c r="T515" s="16" t="s">
        <v>9441</v>
      </c>
      <c r="U515" s="16" t="s">
        <v>9442</v>
      </c>
      <c r="V515" s="18" t="s">
        <v>9443</v>
      </c>
      <c r="W515" s="18" t="s">
        <v>9444</v>
      </c>
    </row>
    <row r="516" spans="1:23" s="2" customFormat="1" ht="12">
      <c r="A516" s="11"/>
      <c r="B516" s="108"/>
      <c r="C516" s="109" t="s">
        <v>9445</v>
      </c>
      <c r="D516" s="14" t="s">
        <v>9446</v>
      </c>
      <c r="E516" s="113" t="s">
        <v>9446</v>
      </c>
      <c r="F516" s="114" t="s">
        <v>9447</v>
      </c>
      <c r="G516" s="113" t="s">
        <v>9448</v>
      </c>
      <c r="H516" s="109" t="s">
        <v>9449</v>
      </c>
      <c r="I516" s="109" t="s">
        <v>3629</v>
      </c>
      <c r="J516" s="113" t="s">
        <v>428</v>
      </c>
      <c r="K516" s="113" t="s">
        <v>272</v>
      </c>
      <c r="L516" s="113" t="s">
        <v>512</v>
      </c>
      <c r="M516" s="113" t="s">
        <v>7961</v>
      </c>
      <c r="N516" s="13" t="s">
        <v>9445</v>
      </c>
      <c r="O516" s="13" t="s">
        <v>251</v>
      </c>
      <c r="P516" s="13" t="s">
        <v>1194</v>
      </c>
      <c r="Q516" s="15" t="s">
        <v>9450</v>
      </c>
      <c r="R516" s="109" t="s">
        <v>4749</v>
      </c>
      <c r="S516" s="109" t="s">
        <v>9451</v>
      </c>
      <c r="T516" s="114" t="s">
        <v>9452</v>
      </c>
      <c r="U516" s="114" t="s">
        <v>9453</v>
      </c>
      <c r="V516" s="112" t="s">
        <v>9454</v>
      </c>
      <c r="W516" s="112" t="s">
        <v>9455</v>
      </c>
    </row>
    <row r="517" spans="1:23" s="2" customFormat="1" ht="12">
      <c r="A517" s="11"/>
      <c r="B517" s="108"/>
      <c r="C517" s="109"/>
      <c r="D517" s="14" t="str">
        <f>D516</f>
        <v>凯京集团</v>
      </c>
      <c r="E517" s="109"/>
      <c r="F517" s="112"/>
      <c r="G517" s="109"/>
      <c r="H517" s="109"/>
      <c r="I517" s="109"/>
      <c r="J517" s="109"/>
      <c r="K517" s="109"/>
      <c r="L517" s="109"/>
      <c r="M517" s="109"/>
      <c r="N517" s="13" t="s">
        <v>9037</v>
      </c>
      <c r="O517" s="15" t="s">
        <v>285</v>
      </c>
      <c r="P517" s="15" t="s">
        <v>252</v>
      </c>
      <c r="Q517" s="15" t="s">
        <v>9456</v>
      </c>
      <c r="R517" s="109"/>
      <c r="S517" s="109"/>
      <c r="T517" s="112"/>
      <c r="U517" s="112"/>
      <c r="V517" s="112"/>
      <c r="W517" s="112"/>
    </row>
    <row r="518" spans="1:23" s="2" customFormat="1" ht="12">
      <c r="A518" s="11"/>
      <c r="B518" s="108"/>
      <c r="C518" s="109"/>
      <c r="D518" s="14" t="str">
        <f>D517</f>
        <v>凯京集团</v>
      </c>
      <c r="E518" s="109"/>
      <c r="F518" s="112"/>
      <c r="G518" s="109"/>
      <c r="H518" s="109"/>
      <c r="I518" s="109"/>
      <c r="J518" s="109"/>
      <c r="K518" s="109"/>
      <c r="L518" s="109"/>
      <c r="M518" s="109"/>
      <c r="N518" s="13" t="s">
        <v>9457</v>
      </c>
      <c r="O518" s="13" t="s">
        <v>257</v>
      </c>
      <c r="P518" s="13" t="s">
        <v>578</v>
      </c>
      <c r="Q518" s="15" t="s">
        <v>9040</v>
      </c>
      <c r="R518" s="109"/>
      <c r="S518" s="109"/>
      <c r="T518" s="112"/>
      <c r="U518" s="112"/>
      <c r="V518" s="112"/>
      <c r="W518" s="112"/>
    </row>
    <row r="519" spans="1:23" s="2" customFormat="1" ht="12">
      <c r="A519" s="11"/>
      <c r="B519" s="108"/>
      <c r="C519" s="109"/>
      <c r="D519" s="14" t="str">
        <f>D518</f>
        <v>凯京集团</v>
      </c>
      <c r="E519" s="109"/>
      <c r="F519" s="112"/>
      <c r="G519" s="109"/>
      <c r="H519" s="109"/>
      <c r="I519" s="109"/>
      <c r="J519" s="109"/>
      <c r="K519" s="109"/>
      <c r="L519" s="109"/>
      <c r="M519" s="109"/>
      <c r="N519" s="13" t="s">
        <v>8044</v>
      </c>
      <c r="O519" s="13" t="s">
        <v>262</v>
      </c>
      <c r="P519" s="15" t="s">
        <v>252</v>
      </c>
      <c r="Q519" s="15" t="s">
        <v>9042</v>
      </c>
      <c r="R519" s="109"/>
      <c r="S519" s="109"/>
      <c r="T519" s="112"/>
      <c r="U519" s="112"/>
      <c r="V519" s="112"/>
      <c r="W519" s="112"/>
    </row>
    <row r="520" spans="1:23" s="2" customFormat="1" ht="12">
      <c r="A520" s="11"/>
      <c r="B520" s="108"/>
      <c r="C520" s="109"/>
      <c r="D520" s="14" t="str">
        <f>D519</f>
        <v>凯京集团</v>
      </c>
      <c r="E520" s="109"/>
      <c r="F520" s="112"/>
      <c r="G520" s="109"/>
      <c r="H520" s="109"/>
      <c r="I520" s="109"/>
      <c r="J520" s="109"/>
      <c r="K520" s="109"/>
      <c r="L520" s="109"/>
      <c r="M520" s="109"/>
      <c r="N520" s="13" t="s">
        <v>2005</v>
      </c>
      <c r="O520" s="15" t="s">
        <v>326</v>
      </c>
      <c r="P520" s="15" t="s">
        <v>252</v>
      </c>
      <c r="Q520" s="13" t="s">
        <v>253</v>
      </c>
      <c r="R520" s="109"/>
      <c r="S520" s="109"/>
      <c r="T520" s="112"/>
      <c r="U520" s="112"/>
      <c r="V520" s="112"/>
      <c r="W520" s="112"/>
    </row>
    <row r="521" spans="1:23" s="2" customFormat="1" ht="12">
      <c r="A521" s="11"/>
      <c r="B521" s="108"/>
      <c r="C521" s="109" t="s">
        <v>7909</v>
      </c>
      <c r="D521" s="14" t="s">
        <v>9458</v>
      </c>
      <c r="E521" s="113" t="s">
        <v>9458</v>
      </c>
      <c r="F521" s="114" t="s">
        <v>9459</v>
      </c>
      <c r="G521" s="113" t="s">
        <v>9460</v>
      </c>
      <c r="H521" s="109" t="s">
        <v>9461</v>
      </c>
      <c r="I521" s="109" t="s">
        <v>9462</v>
      </c>
      <c r="J521" s="113" t="s">
        <v>406</v>
      </c>
      <c r="K521" s="113" t="s">
        <v>272</v>
      </c>
      <c r="L521" s="113" t="s">
        <v>407</v>
      </c>
      <c r="M521" s="113" t="s">
        <v>3933</v>
      </c>
      <c r="N521" s="13" t="s">
        <v>7909</v>
      </c>
      <c r="O521" s="13" t="s">
        <v>283</v>
      </c>
      <c r="P521" s="13" t="s">
        <v>9463</v>
      </c>
      <c r="Q521" s="13" t="s">
        <v>253</v>
      </c>
      <c r="R521" s="109" t="s">
        <v>9464</v>
      </c>
      <c r="S521" s="109" t="s">
        <v>9465</v>
      </c>
      <c r="T521" s="114" t="s">
        <v>9466</v>
      </c>
      <c r="U521" s="114" t="s">
        <v>9467</v>
      </c>
      <c r="V521" s="112" t="s">
        <v>9468</v>
      </c>
      <c r="W521" s="112" t="s">
        <v>9469</v>
      </c>
    </row>
    <row r="522" spans="1:23" s="2" customFormat="1" ht="12">
      <c r="A522" s="11"/>
      <c r="B522" s="108"/>
      <c r="C522" s="109"/>
      <c r="D522" s="14" t="str">
        <f>D521</f>
        <v>税友软件</v>
      </c>
      <c r="E522" s="109"/>
      <c r="F522" s="112"/>
      <c r="G522" s="109"/>
      <c r="H522" s="109"/>
      <c r="I522" s="109"/>
      <c r="J522" s="109"/>
      <c r="K522" s="109"/>
      <c r="L522" s="109"/>
      <c r="M522" s="109"/>
      <c r="N522" s="13" t="s">
        <v>4614</v>
      </c>
      <c r="O522" s="15" t="s">
        <v>285</v>
      </c>
      <c r="P522" s="15" t="s">
        <v>252</v>
      </c>
      <c r="Q522" s="13" t="s">
        <v>9470</v>
      </c>
      <c r="R522" s="109"/>
      <c r="S522" s="109"/>
      <c r="T522" s="112"/>
      <c r="U522" s="112"/>
      <c r="V522" s="112"/>
      <c r="W522" s="112"/>
    </row>
    <row r="523" spans="1:23" s="2" customFormat="1" ht="120">
      <c r="A523" s="11"/>
      <c r="B523" s="108"/>
      <c r="C523" s="13" t="s">
        <v>9471</v>
      </c>
      <c r="D523" s="19" t="s">
        <v>9472</v>
      </c>
      <c r="E523" s="15" t="s">
        <v>9472</v>
      </c>
      <c r="F523" s="16" t="s">
        <v>9473</v>
      </c>
      <c r="G523" s="15" t="s">
        <v>9474</v>
      </c>
      <c r="H523" s="13" t="s">
        <v>9475</v>
      </c>
      <c r="I523" s="13" t="s">
        <v>3823</v>
      </c>
      <c r="J523" s="15" t="s">
        <v>547</v>
      </c>
      <c r="K523" s="15" t="s">
        <v>272</v>
      </c>
      <c r="L523" s="15" t="s">
        <v>1859</v>
      </c>
      <c r="M523" s="15" t="s">
        <v>2900</v>
      </c>
      <c r="N523" s="13" t="s">
        <v>9471</v>
      </c>
      <c r="O523" s="15" t="s">
        <v>285</v>
      </c>
      <c r="P523" s="15" t="s">
        <v>341</v>
      </c>
      <c r="Q523" s="15" t="s">
        <v>2229</v>
      </c>
      <c r="R523" s="13" t="s">
        <v>931</v>
      </c>
      <c r="S523" s="13" t="s">
        <v>3935</v>
      </c>
      <c r="T523" s="18"/>
      <c r="U523" s="16" t="s">
        <v>9476</v>
      </c>
      <c r="V523" s="18"/>
      <c r="W523" s="18" t="s">
        <v>9477</v>
      </c>
    </row>
    <row r="524" spans="1:23" s="2" customFormat="1" ht="72">
      <c r="A524" s="11"/>
      <c r="B524" s="108"/>
      <c r="C524" s="13" t="s">
        <v>9478</v>
      </c>
      <c r="D524" s="19" t="s">
        <v>9479</v>
      </c>
      <c r="E524" s="15" t="s">
        <v>9479</v>
      </c>
      <c r="F524" s="16" t="s">
        <v>9480</v>
      </c>
      <c r="G524" s="15" t="s">
        <v>9481</v>
      </c>
      <c r="H524" s="13" t="s">
        <v>9482</v>
      </c>
      <c r="I524" s="13" t="s">
        <v>1378</v>
      </c>
      <c r="J524" s="15" t="s">
        <v>1192</v>
      </c>
      <c r="K524" s="15" t="s">
        <v>272</v>
      </c>
      <c r="L524" s="15" t="s">
        <v>273</v>
      </c>
      <c r="M524" s="15" t="s">
        <v>274</v>
      </c>
      <c r="N524" s="13" t="s">
        <v>9478</v>
      </c>
      <c r="O524" s="15" t="s">
        <v>285</v>
      </c>
      <c r="P524" s="13" t="s">
        <v>578</v>
      </c>
      <c r="Q524" s="15" t="s">
        <v>2229</v>
      </c>
      <c r="R524" s="13" t="s">
        <v>3934</v>
      </c>
      <c r="S524" s="13" t="s">
        <v>581</v>
      </c>
      <c r="T524" s="16" t="s">
        <v>9483</v>
      </c>
      <c r="U524" s="16" t="s">
        <v>9484</v>
      </c>
      <c r="V524" s="18" t="s">
        <v>9485</v>
      </c>
      <c r="W524" s="18" t="s">
        <v>9486</v>
      </c>
    </row>
    <row r="525" spans="1:23" s="2" customFormat="1" ht="12">
      <c r="A525" s="11"/>
      <c r="B525" s="108"/>
      <c r="C525" s="109" t="s">
        <v>4505</v>
      </c>
      <c r="D525" s="14" t="s">
        <v>4506</v>
      </c>
      <c r="E525" s="109" t="s">
        <v>4506</v>
      </c>
      <c r="F525" s="112" t="s">
        <v>4507</v>
      </c>
      <c r="G525" s="109"/>
      <c r="H525" s="109" t="s">
        <v>4508</v>
      </c>
      <c r="I525" s="109" t="s">
        <v>3332</v>
      </c>
      <c r="J525" s="113" t="s">
        <v>1725</v>
      </c>
      <c r="K525" s="113" t="s">
        <v>272</v>
      </c>
      <c r="L525" s="113" t="s">
        <v>350</v>
      </c>
      <c r="M525" s="113" t="s">
        <v>617</v>
      </c>
      <c r="N525" s="13" t="s">
        <v>4505</v>
      </c>
      <c r="O525" s="15" t="s">
        <v>285</v>
      </c>
      <c r="P525" s="13" t="s">
        <v>3693</v>
      </c>
      <c r="Q525" s="13" t="s">
        <v>4509</v>
      </c>
      <c r="R525" s="109" t="s">
        <v>4510</v>
      </c>
      <c r="S525" s="109" t="s">
        <v>2482</v>
      </c>
      <c r="T525" s="112" t="s">
        <v>4511</v>
      </c>
      <c r="U525" s="112"/>
      <c r="V525" s="112"/>
      <c r="W525" s="112"/>
    </row>
    <row r="526" spans="1:23" s="2" customFormat="1" ht="12">
      <c r="A526" s="11"/>
      <c r="B526" s="108"/>
      <c r="C526" s="109"/>
      <c r="D526" s="14" t="str">
        <f>D525</f>
        <v>Paytm Mall</v>
      </c>
      <c r="E526" s="109"/>
      <c r="F526" s="112"/>
      <c r="G526" s="109"/>
      <c r="H526" s="109"/>
      <c r="I526" s="109"/>
      <c r="J526" s="109"/>
      <c r="K526" s="109"/>
      <c r="L526" s="109"/>
      <c r="M526" s="109"/>
      <c r="N526" s="13" t="s">
        <v>3259</v>
      </c>
      <c r="O526" s="13" t="s">
        <v>257</v>
      </c>
      <c r="P526" s="13" t="s">
        <v>2910</v>
      </c>
      <c r="Q526" s="15" t="s">
        <v>4512</v>
      </c>
      <c r="R526" s="109"/>
      <c r="S526" s="109"/>
      <c r="T526" s="112"/>
      <c r="U526" s="112"/>
      <c r="V526" s="112"/>
      <c r="W526" s="112"/>
    </row>
    <row r="527" spans="1:23" s="2" customFormat="1" ht="12">
      <c r="A527" s="11"/>
      <c r="B527" s="108"/>
      <c r="C527" s="109"/>
      <c r="D527" s="14" t="str">
        <f>D526</f>
        <v>Paytm Mall</v>
      </c>
      <c r="E527" s="109"/>
      <c r="F527" s="112"/>
      <c r="G527" s="109"/>
      <c r="H527" s="109"/>
      <c r="I527" s="109"/>
      <c r="J527" s="109"/>
      <c r="K527" s="109"/>
      <c r="L527" s="109"/>
      <c r="M527" s="109"/>
      <c r="N527" s="13" t="s">
        <v>9487</v>
      </c>
      <c r="O527" s="13" t="s">
        <v>262</v>
      </c>
      <c r="P527" s="13" t="s">
        <v>288</v>
      </c>
      <c r="Q527" s="15" t="s">
        <v>4513</v>
      </c>
      <c r="R527" s="109"/>
      <c r="S527" s="109"/>
      <c r="T527" s="112"/>
      <c r="U527" s="112"/>
      <c r="V527" s="112"/>
      <c r="W527" s="112"/>
    </row>
    <row r="528" spans="1:23" s="2" customFormat="1" ht="12">
      <c r="A528" s="11"/>
      <c r="B528" s="108"/>
      <c r="C528" s="109"/>
      <c r="D528" s="14" t="str">
        <f>D527</f>
        <v>Paytm Mall</v>
      </c>
      <c r="E528" s="109"/>
      <c r="F528" s="112"/>
      <c r="G528" s="109"/>
      <c r="H528" s="109"/>
      <c r="I528" s="109"/>
      <c r="J528" s="109"/>
      <c r="K528" s="109"/>
      <c r="L528" s="109"/>
      <c r="M528" s="109"/>
      <c r="N528" s="13" t="s">
        <v>8686</v>
      </c>
      <c r="O528" s="15" t="s">
        <v>326</v>
      </c>
      <c r="P528" s="13" t="s">
        <v>286</v>
      </c>
      <c r="Q528" s="15" t="s">
        <v>4513</v>
      </c>
      <c r="R528" s="109"/>
      <c r="S528" s="109"/>
      <c r="T528" s="112"/>
      <c r="U528" s="112"/>
      <c r="V528" s="112"/>
      <c r="W528" s="112"/>
    </row>
    <row r="529" spans="1:23" s="2" customFormat="1" ht="12">
      <c r="A529" s="11"/>
      <c r="B529" s="108"/>
      <c r="C529" s="109"/>
      <c r="D529" s="14" t="str">
        <f>D528</f>
        <v>Paytm Mall</v>
      </c>
      <c r="E529" s="109"/>
      <c r="F529" s="112"/>
      <c r="G529" s="109"/>
      <c r="H529" s="109"/>
      <c r="I529" s="109"/>
      <c r="J529" s="109"/>
      <c r="K529" s="109"/>
      <c r="L529" s="109"/>
      <c r="M529" s="109"/>
      <c r="N529" s="13" t="s">
        <v>9488</v>
      </c>
      <c r="O529" s="15" t="s">
        <v>437</v>
      </c>
      <c r="P529" s="13" t="s">
        <v>792</v>
      </c>
      <c r="Q529" s="15" t="s">
        <v>4514</v>
      </c>
      <c r="R529" s="109"/>
      <c r="S529" s="109"/>
      <c r="T529" s="112"/>
      <c r="U529" s="112"/>
      <c r="V529" s="112"/>
      <c r="W529" s="112"/>
    </row>
    <row r="530" spans="1:23" s="2" customFormat="1" ht="71.5">
      <c r="A530" s="11"/>
      <c r="B530" s="108"/>
      <c r="C530" s="13" t="s">
        <v>2472</v>
      </c>
      <c r="D530" s="19" t="s">
        <v>9489</v>
      </c>
      <c r="E530" s="13" t="s">
        <v>9489</v>
      </c>
      <c r="F530" s="18" t="s">
        <v>9490</v>
      </c>
      <c r="G530" s="13"/>
      <c r="H530" s="13" t="s">
        <v>9491</v>
      </c>
      <c r="I530" s="13" t="s">
        <v>9492</v>
      </c>
      <c r="J530" s="15" t="s">
        <v>2878</v>
      </c>
      <c r="K530" s="15" t="s">
        <v>272</v>
      </c>
      <c r="L530" s="15" t="s">
        <v>1859</v>
      </c>
      <c r="M530" s="15" t="s">
        <v>8562</v>
      </c>
      <c r="N530" s="13" t="s">
        <v>2472</v>
      </c>
      <c r="O530" s="15" t="s">
        <v>285</v>
      </c>
      <c r="P530" s="13" t="s">
        <v>9493</v>
      </c>
      <c r="Q530" s="15" t="s">
        <v>2229</v>
      </c>
      <c r="R530" s="13" t="s">
        <v>9494</v>
      </c>
      <c r="S530" s="13" t="s">
        <v>9495</v>
      </c>
      <c r="T530" s="18" t="s">
        <v>9496</v>
      </c>
      <c r="U530" s="18"/>
      <c r="V530" s="18"/>
      <c r="W530" s="18"/>
    </row>
    <row r="531" spans="1:23" s="2" customFormat="1" ht="72">
      <c r="A531" s="11"/>
      <c r="B531" s="108"/>
      <c r="C531" s="13" t="s">
        <v>9497</v>
      </c>
      <c r="D531" s="19" t="s">
        <v>9498</v>
      </c>
      <c r="E531" s="13" t="s">
        <v>9498</v>
      </c>
      <c r="F531" s="18" t="s">
        <v>9499</v>
      </c>
      <c r="G531" s="13"/>
      <c r="H531" s="13" t="s">
        <v>9500</v>
      </c>
      <c r="I531" s="13" t="s">
        <v>483</v>
      </c>
      <c r="J531" s="15" t="s">
        <v>5310</v>
      </c>
      <c r="K531" s="15" t="s">
        <v>272</v>
      </c>
      <c r="L531" s="15" t="s">
        <v>1859</v>
      </c>
      <c r="M531" s="15" t="s">
        <v>2900</v>
      </c>
      <c r="N531" s="13" t="s">
        <v>9497</v>
      </c>
      <c r="O531" s="15" t="s">
        <v>285</v>
      </c>
      <c r="P531" s="15" t="s">
        <v>2879</v>
      </c>
      <c r="Q531" s="15" t="s">
        <v>2229</v>
      </c>
      <c r="R531" s="13" t="s">
        <v>4335</v>
      </c>
      <c r="S531" s="15" t="s">
        <v>255</v>
      </c>
      <c r="T531" s="18" t="s">
        <v>9501</v>
      </c>
      <c r="U531" s="18"/>
      <c r="V531" s="18"/>
      <c r="W531" s="18"/>
    </row>
    <row r="532" spans="1:23" s="2" customFormat="1" ht="60">
      <c r="A532" s="11"/>
      <c r="B532" s="108"/>
      <c r="C532" s="13" t="s">
        <v>2874</v>
      </c>
      <c r="D532" s="19" t="s">
        <v>9502</v>
      </c>
      <c r="E532" s="15" t="s">
        <v>9502</v>
      </c>
      <c r="F532" s="16" t="s">
        <v>9503</v>
      </c>
      <c r="G532" s="15" t="s">
        <v>9504</v>
      </c>
      <c r="H532" s="13"/>
      <c r="I532" s="13" t="s">
        <v>4333</v>
      </c>
      <c r="J532" s="15" t="s">
        <v>271</v>
      </c>
      <c r="K532" s="15" t="s">
        <v>272</v>
      </c>
      <c r="L532" s="15" t="s">
        <v>672</v>
      </c>
      <c r="M532" s="15" t="s">
        <v>909</v>
      </c>
      <c r="N532" s="13" t="s">
        <v>2874</v>
      </c>
      <c r="O532" s="13" t="s">
        <v>262</v>
      </c>
      <c r="P532" s="13" t="s">
        <v>792</v>
      </c>
      <c r="Q532" s="15" t="s">
        <v>9505</v>
      </c>
      <c r="R532" s="13" t="s">
        <v>9506</v>
      </c>
      <c r="S532" s="13" t="s">
        <v>449</v>
      </c>
      <c r="T532" s="16" t="s">
        <v>9507</v>
      </c>
      <c r="U532" s="16" t="s">
        <v>9508</v>
      </c>
      <c r="V532" s="18"/>
      <c r="W532" s="18"/>
    </row>
    <row r="533" spans="1:23" s="2" customFormat="1" ht="71.5">
      <c r="A533" s="11"/>
      <c r="B533" s="108"/>
      <c r="C533" s="13" t="s">
        <v>9509</v>
      </c>
      <c r="D533" s="19" t="s">
        <v>9510</v>
      </c>
      <c r="E533" s="15" t="s">
        <v>9510</v>
      </c>
      <c r="F533" s="16" t="s">
        <v>9511</v>
      </c>
      <c r="G533" s="15" t="s">
        <v>9512</v>
      </c>
      <c r="H533" s="13"/>
      <c r="I533" s="13" t="s">
        <v>9513</v>
      </c>
      <c r="J533" s="15" t="s">
        <v>271</v>
      </c>
      <c r="K533" s="15" t="s">
        <v>248</v>
      </c>
      <c r="L533" s="15" t="s">
        <v>407</v>
      </c>
      <c r="M533" s="15" t="s">
        <v>470</v>
      </c>
      <c r="N533" s="13" t="s">
        <v>9509</v>
      </c>
      <c r="O533" s="15" t="s">
        <v>285</v>
      </c>
      <c r="P533" s="13" t="s">
        <v>9514</v>
      </c>
      <c r="Q533" s="15" t="s">
        <v>9515</v>
      </c>
      <c r="R533" s="13" t="s">
        <v>9516</v>
      </c>
      <c r="S533" s="13" t="s">
        <v>1347</v>
      </c>
      <c r="T533" s="18"/>
      <c r="U533" s="16" t="s">
        <v>9517</v>
      </c>
      <c r="V533" s="18"/>
      <c r="W533" s="18"/>
    </row>
    <row r="534" spans="1:23" s="2" customFormat="1" ht="12">
      <c r="A534" s="11"/>
      <c r="B534" s="108"/>
      <c r="C534" s="109" t="s">
        <v>9518</v>
      </c>
      <c r="D534" s="14" t="s">
        <v>9519</v>
      </c>
      <c r="E534" s="113" t="s">
        <v>9519</v>
      </c>
      <c r="F534" s="114" t="s">
        <v>9520</v>
      </c>
      <c r="G534" s="113" t="s">
        <v>9521</v>
      </c>
      <c r="H534" s="109" t="s">
        <v>9522</v>
      </c>
      <c r="I534" s="109" t="s">
        <v>9523</v>
      </c>
      <c r="J534" s="113" t="s">
        <v>1126</v>
      </c>
      <c r="K534" s="113" t="s">
        <v>272</v>
      </c>
      <c r="L534" s="113" t="s">
        <v>407</v>
      </c>
      <c r="M534" s="113" t="s">
        <v>1932</v>
      </c>
      <c r="N534" s="13" t="s">
        <v>9518</v>
      </c>
      <c r="O534" s="13" t="s">
        <v>687</v>
      </c>
      <c r="P534" s="13" t="s">
        <v>9524</v>
      </c>
      <c r="Q534" s="15" t="s">
        <v>9525</v>
      </c>
      <c r="R534" s="109" t="s">
        <v>9526</v>
      </c>
      <c r="S534" s="109" t="s">
        <v>9527</v>
      </c>
      <c r="T534" s="114" t="s">
        <v>9528</v>
      </c>
      <c r="U534" s="114" t="s">
        <v>9529</v>
      </c>
      <c r="V534" s="112" t="s">
        <v>9530</v>
      </c>
      <c r="W534" s="112" t="s">
        <v>9531</v>
      </c>
    </row>
    <row r="535" spans="1:23" s="2" customFormat="1" ht="12">
      <c r="A535" s="11"/>
      <c r="B535" s="108"/>
      <c r="C535" s="109"/>
      <c r="D535" s="14" t="str">
        <f>D534</f>
        <v>润和软件</v>
      </c>
      <c r="E535" s="109"/>
      <c r="F535" s="112"/>
      <c r="G535" s="109"/>
      <c r="H535" s="109"/>
      <c r="I535" s="109"/>
      <c r="J535" s="109"/>
      <c r="K535" s="109"/>
      <c r="L535" s="109"/>
      <c r="M535" s="109"/>
      <c r="N535" s="13" t="s">
        <v>8996</v>
      </c>
      <c r="O535" s="13" t="s">
        <v>687</v>
      </c>
      <c r="P535" s="13" t="s">
        <v>9532</v>
      </c>
      <c r="Q535" s="15" t="s">
        <v>2229</v>
      </c>
      <c r="R535" s="109"/>
      <c r="S535" s="109"/>
      <c r="T535" s="112"/>
      <c r="U535" s="112"/>
      <c r="V535" s="112"/>
      <c r="W535" s="112"/>
    </row>
    <row r="536" spans="1:23" s="2" customFormat="1" ht="12">
      <c r="A536" s="11"/>
      <c r="B536" s="108"/>
      <c r="C536" s="109"/>
      <c r="D536" s="14" t="str">
        <f>D535</f>
        <v>润和软件</v>
      </c>
      <c r="E536" s="109"/>
      <c r="F536" s="112"/>
      <c r="G536" s="109"/>
      <c r="H536" s="109"/>
      <c r="I536" s="109"/>
      <c r="J536" s="109"/>
      <c r="K536" s="109"/>
      <c r="L536" s="109"/>
      <c r="M536" s="109"/>
      <c r="N536" s="13" t="s">
        <v>9533</v>
      </c>
      <c r="O536" s="13" t="s">
        <v>283</v>
      </c>
      <c r="P536" s="15" t="s">
        <v>252</v>
      </c>
      <c r="Q536" s="13" t="s">
        <v>253</v>
      </c>
      <c r="R536" s="109"/>
      <c r="S536" s="109"/>
      <c r="T536" s="112"/>
      <c r="U536" s="112"/>
      <c r="V536" s="112"/>
      <c r="W536" s="112"/>
    </row>
    <row r="537" spans="1:23" s="2" customFormat="1" ht="12">
      <c r="A537" s="11"/>
      <c r="B537" s="108"/>
      <c r="C537" s="109"/>
      <c r="D537" s="14" t="str">
        <f>D536</f>
        <v>润和软件</v>
      </c>
      <c r="E537" s="109"/>
      <c r="F537" s="112"/>
      <c r="G537" s="109"/>
      <c r="H537" s="109"/>
      <c r="I537" s="109"/>
      <c r="J537" s="109"/>
      <c r="K537" s="109"/>
      <c r="L537" s="109"/>
      <c r="M537" s="109"/>
      <c r="N537" s="13" t="s">
        <v>9534</v>
      </c>
      <c r="O537" s="15" t="s">
        <v>285</v>
      </c>
      <c r="P537" s="15" t="s">
        <v>252</v>
      </c>
      <c r="Q537" s="15" t="s">
        <v>9535</v>
      </c>
      <c r="R537" s="109"/>
      <c r="S537" s="109"/>
      <c r="T537" s="112"/>
      <c r="U537" s="112"/>
      <c r="V537" s="112"/>
      <c r="W537" s="112"/>
    </row>
    <row r="538" spans="1:23" s="2" customFormat="1" ht="12">
      <c r="A538" s="11"/>
      <c r="B538" s="108"/>
      <c r="C538" s="109" t="s">
        <v>4530</v>
      </c>
      <c r="D538" s="14" t="s">
        <v>9536</v>
      </c>
      <c r="E538" s="113" t="s">
        <v>9536</v>
      </c>
      <c r="F538" s="114" t="s">
        <v>9537</v>
      </c>
      <c r="G538" s="113" t="s">
        <v>9538</v>
      </c>
      <c r="H538" s="109"/>
      <c r="I538" s="109" t="s">
        <v>9513</v>
      </c>
      <c r="J538" s="113" t="s">
        <v>406</v>
      </c>
      <c r="K538" s="113" t="s">
        <v>272</v>
      </c>
      <c r="L538" s="113" t="s">
        <v>1101</v>
      </c>
      <c r="M538" s="113" t="s">
        <v>5105</v>
      </c>
      <c r="N538" s="13" t="s">
        <v>4530</v>
      </c>
      <c r="O538" s="15" t="s">
        <v>285</v>
      </c>
      <c r="P538" s="15" t="s">
        <v>341</v>
      </c>
      <c r="Q538" s="15" t="s">
        <v>2229</v>
      </c>
      <c r="R538" s="109" t="s">
        <v>9539</v>
      </c>
      <c r="S538" s="109" t="s">
        <v>3743</v>
      </c>
      <c r="T538" s="114" t="s">
        <v>9540</v>
      </c>
      <c r="U538" s="114" t="s">
        <v>9541</v>
      </c>
      <c r="V538" s="112"/>
      <c r="W538" s="112"/>
    </row>
    <row r="539" spans="1:23" s="2" customFormat="1" ht="12">
      <c r="A539" s="11"/>
      <c r="B539" s="108"/>
      <c r="C539" s="109"/>
      <c r="D539" s="14" t="str">
        <f>D538</f>
        <v>浙江扁鹊</v>
      </c>
      <c r="E539" s="109"/>
      <c r="F539" s="112"/>
      <c r="G539" s="109"/>
      <c r="H539" s="109"/>
      <c r="I539" s="109"/>
      <c r="J539" s="109"/>
      <c r="K539" s="109"/>
      <c r="L539" s="109"/>
      <c r="M539" s="109"/>
      <c r="N539" s="13" t="s">
        <v>9542</v>
      </c>
      <c r="O539" s="15" t="s">
        <v>285</v>
      </c>
      <c r="P539" s="13" t="s">
        <v>8607</v>
      </c>
      <c r="Q539" s="15" t="s">
        <v>9543</v>
      </c>
      <c r="R539" s="109"/>
      <c r="S539" s="109"/>
      <c r="T539" s="112"/>
      <c r="U539" s="112"/>
      <c r="V539" s="112"/>
      <c r="W539" s="112"/>
    </row>
    <row r="540" spans="1:23" s="2" customFormat="1" ht="12">
      <c r="A540" s="11"/>
      <c r="B540" s="108"/>
      <c r="C540" s="109" t="s">
        <v>9544</v>
      </c>
      <c r="D540" s="14" t="s">
        <v>9545</v>
      </c>
      <c r="E540" s="113" t="s">
        <v>9545</v>
      </c>
      <c r="F540" s="114" t="s">
        <v>9546</v>
      </c>
      <c r="G540" s="113" t="s">
        <v>9547</v>
      </c>
      <c r="H540" s="109" t="s">
        <v>9548</v>
      </c>
      <c r="I540" s="109" t="s">
        <v>4777</v>
      </c>
      <c r="J540" s="113" t="s">
        <v>1126</v>
      </c>
      <c r="K540" s="113" t="s">
        <v>272</v>
      </c>
      <c r="L540" s="113" t="s">
        <v>3605</v>
      </c>
      <c r="M540" s="113" t="s">
        <v>9549</v>
      </c>
      <c r="N540" s="13" t="s">
        <v>9544</v>
      </c>
      <c r="O540" s="13" t="s">
        <v>262</v>
      </c>
      <c r="P540" s="15" t="s">
        <v>252</v>
      </c>
      <c r="Q540" s="15" t="s">
        <v>9550</v>
      </c>
      <c r="R540" s="109" t="s">
        <v>9551</v>
      </c>
      <c r="S540" s="109" t="s">
        <v>1078</v>
      </c>
      <c r="T540" s="114" t="s">
        <v>9552</v>
      </c>
      <c r="U540" s="114" t="s">
        <v>9553</v>
      </c>
      <c r="V540" s="112">
        <v>18752085387</v>
      </c>
      <c r="W540" s="112" t="s">
        <v>9554</v>
      </c>
    </row>
    <row r="541" spans="1:23" s="2" customFormat="1" ht="12">
      <c r="A541" s="11"/>
      <c r="B541" s="108"/>
      <c r="C541" s="109"/>
      <c r="D541" s="14" t="str">
        <f>D540</f>
        <v>纯白矩阵</v>
      </c>
      <c r="E541" s="109"/>
      <c r="F541" s="112"/>
      <c r="G541" s="109"/>
      <c r="H541" s="109"/>
      <c r="I541" s="109"/>
      <c r="J541" s="109"/>
      <c r="K541" s="109"/>
      <c r="L541" s="109"/>
      <c r="M541" s="109"/>
      <c r="N541" s="13" t="s">
        <v>9555</v>
      </c>
      <c r="O541" s="15" t="s">
        <v>326</v>
      </c>
      <c r="P541" s="13" t="s">
        <v>2610</v>
      </c>
      <c r="Q541" s="15" t="s">
        <v>9556</v>
      </c>
      <c r="R541" s="109"/>
      <c r="S541" s="109"/>
      <c r="T541" s="112"/>
      <c r="U541" s="112"/>
      <c r="V541" s="112"/>
      <c r="W541" s="112"/>
    </row>
    <row r="542" spans="1:23" s="2" customFormat="1" ht="192">
      <c r="A542" s="11"/>
      <c r="B542" s="108"/>
      <c r="C542" s="13" t="s">
        <v>9557</v>
      </c>
      <c r="D542" s="19" t="s">
        <v>9558</v>
      </c>
      <c r="E542" s="15" t="s">
        <v>9558</v>
      </c>
      <c r="F542" s="16" t="s">
        <v>9559</v>
      </c>
      <c r="G542" s="15" t="s">
        <v>9560</v>
      </c>
      <c r="H542" s="13" t="s">
        <v>9561</v>
      </c>
      <c r="I542" s="13" t="s">
        <v>9562</v>
      </c>
      <c r="J542" s="15" t="s">
        <v>406</v>
      </c>
      <c r="K542" s="15" t="s">
        <v>272</v>
      </c>
      <c r="L542" s="15" t="s">
        <v>407</v>
      </c>
      <c r="M542" s="15" t="s">
        <v>3933</v>
      </c>
      <c r="N542" s="13" t="s">
        <v>9557</v>
      </c>
      <c r="O542" s="15" t="s">
        <v>285</v>
      </c>
      <c r="P542" s="13" t="s">
        <v>9563</v>
      </c>
      <c r="Q542" s="15" t="s">
        <v>2229</v>
      </c>
      <c r="R542" s="13" t="s">
        <v>9058</v>
      </c>
      <c r="S542" s="13" t="s">
        <v>9564</v>
      </c>
      <c r="T542" s="16" t="s">
        <v>9565</v>
      </c>
      <c r="U542" s="16" t="s">
        <v>9566</v>
      </c>
      <c r="V542" s="18" t="s">
        <v>9567</v>
      </c>
      <c r="W542" s="18" t="s">
        <v>9568</v>
      </c>
    </row>
    <row r="543" spans="1:23" s="2" customFormat="1" ht="180">
      <c r="A543" s="11"/>
      <c r="B543" s="108"/>
      <c r="C543" s="13" t="s">
        <v>9569</v>
      </c>
      <c r="D543" s="19" t="s">
        <v>9570</v>
      </c>
      <c r="E543" s="15" t="s">
        <v>9570</v>
      </c>
      <c r="F543" s="16" t="s">
        <v>9571</v>
      </c>
      <c r="G543" s="15" t="s">
        <v>9572</v>
      </c>
      <c r="H543" s="13"/>
      <c r="I543" s="13" t="s">
        <v>3771</v>
      </c>
      <c r="J543" s="15" t="s">
        <v>406</v>
      </c>
      <c r="K543" s="15" t="s">
        <v>272</v>
      </c>
      <c r="L543" s="15" t="s">
        <v>407</v>
      </c>
      <c r="M543" s="15" t="s">
        <v>408</v>
      </c>
      <c r="N543" s="13" t="s">
        <v>9569</v>
      </c>
      <c r="O543" s="15" t="s">
        <v>285</v>
      </c>
      <c r="P543" s="15" t="s">
        <v>341</v>
      </c>
      <c r="Q543" s="15" t="s">
        <v>2229</v>
      </c>
      <c r="R543" s="13" t="s">
        <v>931</v>
      </c>
      <c r="S543" s="13" t="s">
        <v>3935</v>
      </c>
      <c r="T543" s="16" t="s">
        <v>9573</v>
      </c>
      <c r="U543" s="16" t="s">
        <v>9574</v>
      </c>
      <c r="V543" s="18"/>
      <c r="W543" s="18"/>
    </row>
    <row r="544" spans="1:23" s="2" customFormat="1" ht="84">
      <c r="A544" s="11"/>
      <c r="B544" s="108"/>
      <c r="C544" s="13" t="s">
        <v>9575</v>
      </c>
      <c r="D544" s="19" t="s">
        <v>9576</v>
      </c>
      <c r="E544" s="13" t="s">
        <v>9577</v>
      </c>
      <c r="F544" s="16" t="s">
        <v>9578</v>
      </c>
      <c r="G544" s="15" t="s">
        <v>9579</v>
      </c>
      <c r="H544" s="13"/>
      <c r="I544" s="13" t="s">
        <v>5070</v>
      </c>
      <c r="J544" s="15" t="s">
        <v>5047</v>
      </c>
      <c r="K544" s="15" t="s">
        <v>272</v>
      </c>
      <c r="L544" s="15" t="s">
        <v>1859</v>
      </c>
      <c r="M544" s="15" t="s">
        <v>2900</v>
      </c>
      <c r="N544" s="13" t="s">
        <v>9575</v>
      </c>
      <c r="O544" s="15" t="s">
        <v>326</v>
      </c>
      <c r="P544" s="15" t="s">
        <v>341</v>
      </c>
      <c r="Q544" s="15" t="s">
        <v>9580</v>
      </c>
      <c r="R544" s="13" t="s">
        <v>931</v>
      </c>
      <c r="S544" s="13" t="s">
        <v>432</v>
      </c>
      <c r="T544" s="18"/>
      <c r="U544" s="16" t="s">
        <v>9581</v>
      </c>
      <c r="V544" s="18"/>
      <c r="W544" s="18"/>
    </row>
    <row r="545" spans="1:23" s="2" customFormat="1" ht="84">
      <c r="A545" s="11"/>
      <c r="B545" s="108"/>
      <c r="C545" s="13" t="s">
        <v>9420</v>
      </c>
      <c r="D545" s="19" t="s">
        <v>9582</v>
      </c>
      <c r="E545" s="15" t="s">
        <v>9582</v>
      </c>
      <c r="F545" s="16" t="s">
        <v>9583</v>
      </c>
      <c r="G545" s="15" t="s">
        <v>9584</v>
      </c>
      <c r="H545" s="13" t="s">
        <v>9585</v>
      </c>
      <c r="I545" s="13" t="s">
        <v>3710</v>
      </c>
      <c r="J545" s="15" t="s">
        <v>406</v>
      </c>
      <c r="K545" s="15" t="s">
        <v>272</v>
      </c>
      <c r="L545" s="15" t="s">
        <v>1859</v>
      </c>
      <c r="M545" s="15" t="s">
        <v>8562</v>
      </c>
      <c r="N545" s="13" t="s">
        <v>9420</v>
      </c>
      <c r="O545" s="15" t="s">
        <v>471</v>
      </c>
      <c r="P545" s="15" t="s">
        <v>252</v>
      </c>
      <c r="Q545" s="15" t="s">
        <v>2229</v>
      </c>
      <c r="R545" s="13" t="s">
        <v>253</v>
      </c>
      <c r="S545" s="15" t="s">
        <v>255</v>
      </c>
      <c r="T545" s="16" t="s">
        <v>9586</v>
      </c>
      <c r="U545" s="16" t="s">
        <v>9587</v>
      </c>
      <c r="V545" s="18" t="s">
        <v>9588</v>
      </c>
      <c r="W545" s="18" t="s">
        <v>9589</v>
      </c>
    </row>
    <row r="546" spans="1:23" s="2" customFormat="1" ht="12">
      <c r="A546" s="11"/>
      <c r="B546" s="108"/>
      <c r="C546" s="109" t="s">
        <v>4796</v>
      </c>
      <c r="D546" s="14" t="s">
        <v>9590</v>
      </c>
      <c r="E546" s="113" t="s">
        <v>9590</v>
      </c>
      <c r="F546" s="114" t="s">
        <v>9591</v>
      </c>
      <c r="G546" s="113" t="s">
        <v>9592</v>
      </c>
      <c r="H546" s="109" t="s">
        <v>9593</v>
      </c>
      <c r="I546" s="109" t="s">
        <v>784</v>
      </c>
      <c r="J546" s="113" t="s">
        <v>1858</v>
      </c>
      <c r="K546" s="113" t="s">
        <v>272</v>
      </c>
      <c r="L546" s="113" t="s">
        <v>4061</v>
      </c>
      <c r="M546" s="113" t="s">
        <v>9594</v>
      </c>
      <c r="N546" s="13" t="s">
        <v>4796</v>
      </c>
      <c r="O546" s="15" t="s">
        <v>285</v>
      </c>
      <c r="P546" s="13" t="s">
        <v>578</v>
      </c>
      <c r="Q546" s="15" t="s">
        <v>9595</v>
      </c>
      <c r="R546" s="109" t="s">
        <v>9116</v>
      </c>
      <c r="S546" s="109" t="s">
        <v>581</v>
      </c>
      <c r="T546" s="114" t="s">
        <v>9596</v>
      </c>
      <c r="U546" s="114" t="s">
        <v>9597</v>
      </c>
      <c r="V546" s="112" t="s">
        <v>9598</v>
      </c>
      <c r="W546" s="112" t="s">
        <v>9599</v>
      </c>
    </row>
    <row r="547" spans="1:23" s="2" customFormat="1" ht="12">
      <c r="A547" s="11"/>
      <c r="B547" s="108"/>
      <c r="C547" s="109"/>
      <c r="D547" s="14" t="str">
        <f>D546</f>
        <v>北京环境交易所</v>
      </c>
      <c r="E547" s="109"/>
      <c r="F547" s="112"/>
      <c r="G547" s="109"/>
      <c r="H547" s="109"/>
      <c r="I547" s="109"/>
      <c r="J547" s="109"/>
      <c r="K547" s="109"/>
      <c r="L547" s="109"/>
      <c r="M547" s="109"/>
      <c r="N547" s="13" t="s">
        <v>9600</v>
      </c>
      <c r="O547" s="13" t="s">
        <v>262</v>
      </c>
      <c r="P547" s="15" t="s">
        <v>252</v>
      </c>
      <c r="Q547" s="15" t="s">
        <v>9601</v>
      </c>
      <c r="R547" s="109"/>
      <c r="S547" s="109"/>
      <c r="T547" s="112"/>
      <c r="U547" s="112"/>
      <c r="V547" s="112"/>
      <c r="W547" s="112"/>
    </row>
    <row r="548" spans="1:23" s="2" customFormat="1" ht="12">
      <c r="A548" s="11"/>
      <c r="B548" s="108"/>
      <c r="C548" s="109" t="s">
        <v>9602</v>
      </c>
      <c r="D548" s="14" t="s">
        <v>9603</v>
      </c>
      <c r="E548" s="113" t="s">
        <v>9603</v>
      </c>
      <c r="F548" s="114" t="s">
        <v>9604</v>
      </c>
      <c r="G548" s="113" t="s">
        <v>9605</v>
      </c>
      <c r="H548" s="109" t="s">
        <v>9606</v>
      </c>
      <c r="I548" s="109" t="s">
        <v>2773</v>
      </c>
      <c r="J548" s="113" t="s">
        <v>372</v>
      </c>
      <c r="K548" s="113" t="s">
        <v>272</v>
      </c>
      <c r="L548" s="113" t="s">
        <v>273</v>
      </c>
      <c r="M548" s="113" t="s">
        <v>274</v>
      </c>
      <c r="N548" s="13" t="s">
        <v>9602</v>
      </c>
      <c r="O548" s="13" t="s">
        <v>251</v>
      </c>
      <c r="P548" s="15" t="s">
        <v>252</v>
      </c>
      <c r="Q548" s="15" t="s">
        <v>2229</v>
      </c>
      <c r="R548" s="109" t="s">
        <v>9607</v>
      </c>
      <c r="S548" s="113" t="s">
        <v>255</v>
      </c>
      <c r="T548" s="114" t="s">
        <v>9608</v>
      </c>
      <c r="U548" s="114" t="s">
        <v>9609</v>
      </c>
      <c r="V548" s="112" t="s">
        <v>9610</v>
      </c>
      <c r="W548" s="112" t="s">
        <v>9611</v>
      </c>
    </row>
    <row r="549" spans="1:23" s="2" customFormat="1" ht="12">
      <c r="A549" s="11"/>
      <c r="B549" s="108"/>
      <c r="C549" s="109"/>
      <c r="D549" s="14" t="str">
        <f>D548</f>
        <v>武汉小安科技</v>
      </c>
      <c r="E549" s="109"/>
      <c r="F549" s="112"/>
      <c r="G549" s="109"/>
      <c r="H549" s="109"/>
      <c r="I549" s="109"/>
      <c r="J549" s="109"/>
      <c r="K549" s="109"/>
      <c r="L549" s="109"/>
      <c r="M549" s="109"/>
      <c r="N549" s="13" t="s">
        <v>2016</v>
      </c>
      <c r="O549" s="13" t="s">
        <v>257</v>
      </c>
      <c r="P549" s="15" t="s">
        <v>341</v>
      </c>
      <c r="Q549" s="15" t="s">
        <v>9612</v>
      </c>
      <c r="R549" s="109"/>
      <c r="S549" s="109"/>
      <c r="T549" s="112"/>
      <c r="U549" s="112"/>
      <c r="V549" s="112"/>
      <c r="W549" s="112"/>
    </row>
    <row r="550" spans="1:23" s="2" customFormat="1" ht="12">
      <c r="A550" s="11"/>
      <c r="B550" s="108"/>
      <c r="C550" s="109"/>
      <c r="D550" s="14" t="str">
        <f>D549</f>
        <v>武汉小安科技</v>
      </c>
      <c r="E550" s="109"/>
      <c r="F550" s="112"/>
      <c r="G550" s="109"/>
      <c r="H550" s="109"/>
      <c r="I550" s="109"/>
      <c r="J550" s="109"/>
      <c r="K550" s="109"/>
      <c r="L550" s="109"/>
      <c r="M550" s="109"/>
      <c r="N550" s="13" t="s">
        <v>9613</v>
      </c>
      <c r="O550" s="13" t="s">
        <v>262</v>
      </c>
      <c r="P550" s="15" t="s">
        <v>341</v>
      </c>
      <c r="Q550" s="15" t="s">
        <v>9614</v>
      </c>
      <c r="R550" s="109"/>
      <c r="S550" s="109"/>
      <c r="T550" s="112"/>
      <c r="U550" s="112"/>
      <c r="V550" s="112"/>
      <c r="W550" s="112"/>
    </row>
    <row r="551" spans="1:23" s="2" customFormat="1" ht="12">
      <c r="A551" s="11"/>
      <c r="B551" s="108"/>
      <c r="C551" s="109" t="s">
        <v>4085</v>
      </c>
      <c r="D551" s="14" t="s">
        <v>9615</v>
      </c>
      <c r="E551" s="113" t="s">
        <v>9615</v>
      </c>
      <c r="F551" s="114" t="s">
        <v>9616</v>
      </c>
      <c r="G551" s="113" t="s">
        <v>9617</v>
      </c>
      <c r="H551" s="109" t="s">
        <v>9618</v>
      </c>
      <c r="I551" s="109" t="s">
        <v>4717</v>
      </c>
      <c r="J551" s="113" t="s">
        <v>1192</v>
      </c>
      <c r="K551" s="113" t="s">
        <v>272</v>
      </c>
      <c r="L551" s="113" t="s">
        <v>1859</v>
      </c>
      <c r="M551" s="113" t="s">
        <v>4452</v>
      </c>
      <c r="N551" s="13" t="s">
        <v>4085</v>
      </c>
      <c r="O551" s="13" t="s">
        <v>721</v>
      </c>
      <c r="P551" s="15" t="s">
        <v>252</v>
      </c>
      <c r="Q551" s="15" t="s">
        <v>9619</v>
      </c>
      <c r="R551" s="109" t="s">
        <v>9516</v>
      </c>
      <c r="S551" s="113" t="s">
        <v>255</v>
      </c>
      <c r="T551" s="114" t="s">
        <v>9620</v>
      </c>
      <c r="U551" s="114" t="s">
        <v>9621</v>
      </c>
      <c r="V551" s="112" t="s">
        <v>9622</v>
      </c>
      <c r="W551" s="112" t="s">
        <v>9623</v>
      </c>
    </row>
    <row r="552" spans="1:23" s="2" customFormat="1" ht="12">
      <c r="A552" s="11"/>
      <c r="B552" s="108"/>
      <c r="C552" s="109"/>
      <c r="D552" s="14" t="str">
        <f>D551</f>
        <v>中保车服</v>
      </c>
      <c r="E552" s="109"/>
      <c r="F552" s="112"/>
      <c r="G552" s="109"/>
      <c r="H552" s="109"/>
      <c r="I552" s="109"/>
      <c r="J552" s="109"/>
      <c r="K552" s="109"/>
      <c r="L552" s="109"/>
      <c r="M552" s="109"/>
      <c r="N552" s="13" t="s">
        <v>9624</v>
      </c>
      <c r="O552" s="15" t="s">
        <v>285</v>
      </c>
      <c r="P552" s="15" t="s">
        <v>409</v>
      </c>
      <c r="Q552" s="15" t="s">
        <v>9625</v>
      </c>
      <c r="R552" s="109"/>
      <c r="S552" s="109"/>
      <c r="T552" s="112"/>
      <c r="U552" s="112"/>
      <c r="V552" s="112"/>
      <c r="W552" s="112"/>
    </row>
    <row r="553" spans="1:23" s="2" customFormat="1" ht="12">
      <c r="A553" s="11"/>
      <c r="B553" s="108"/>
      <c r="C553" s="109" t="s">
        <v>2781</v>
      </c>
      <c r="D553" s="14" t="s">
        <v>9626</v>
      </c>
      <c r="E553" s="113" t="s">
        <v>9626</v>
      </c>
      <c r="F553" s="114" t="s">
        <v>9627</v>
      </c>
      <c r="G553" s="113" t="s">
        <v>9628</v>
      </c>
      <c r="H553" s="109" t="s">
        <v>9629</v>
      </c>
      <c r="I553" s="109" t="s">
        <v>9630</v>
      </c>
      <c r="J553" s="113" t="s">
        <v>271</v>
      </c>
      <c r="K553" s="113" t="s">
        <v>272</v>
      </c>
      <c r="L553" s="113" t="s">
        <v>512</v>
      </c>
      <c r="M553" s="113" t="s">
        <v>1781</v>
      </c>
      <c r="N553" s="13" t="s">
        <v>2781</v>
      </c>
      <c r="O553" s="15" t="s">
        <v>285</v>
      </c>
      <c r="P553" s="15" t="s">
        <v>409</v>
      </c>
      <c r="Q553" s="15" t="s">
        <v>9631</v>
      </c>
      <c r="R553" s="109" t="s">
        <v>9632</v>
      </c>
      <c r="S553" s="109" t="s">
        <v>9633</v>
      </c>
      <c r="T553" s="114" t="s">
        <v>9634</v>
      </c>
      <c r="U553" s="114" t="s">
        <v>9635</v>
      </c>
      <c r="V553" s="112" t="s">
        <v>9636</v>
      </c>
      <c r="W553" s="112"/>
    </row>
    <row r="554" spans="1:23" s="2" customFormat="1" ht="12">
      <c r="A554" s="11"/>
      <c r="B554" s="108"/>
      <c r="C554" s="109"/>
      <c r="D554" s="14" t="str">
        <f>D553</f>
        <v>中交兴路</v>
      </c>
      <c r="E554" s="109"/>
      <c r="F554" s="112"/>
      <c r="G554" s="109"/>
      <c r="H554" s="109"/>
      <c r="I554" s="109"/>
      <c r="J554" s="109"/>
      <c r="K554" s="109"/>
      <c r="L554" s="109"/>
      <c r="M554" s="109"/>
      <c r="N554" s="13" t="s">
        <v>9637</v>
      </c>
      <c r="O554" s="13" t="s">
        <v>257</v>
      </c>
      <c r="P554" s="15" t="s">
        <v>409</v>
      </c>
      <c r="Q554" s="15" t="s">
        <v>9638</v>
      </c>
      <c r="R554" s="109"/>
      <c r="S554" s="109"/>
      <c r="T554" s="112"/>
      <c r="U554" s="112"/>
      <c r="V554" s="112"/>
      <c r="W554" s="112"/>
    </row>
    <row r="555" spans="1:23" s="2" customFormat="1" ht="12">
      <c r="A555" s="11"/>
      <c r="B555" s="108"/>
      <c r="C555" s="109"/>
      <c r="D555" s="14" t="str">
        <f>D554</f>
        <v>中交兴路</v>
      </c>
      <c r="E555" s="109"/>
      <c r="F555" s="112"/>
      <c r="G555" s="109"/>
      <c r="H555" s="109"/>
      <c r="I555" s="109"/>
      <c r="J555" s="109"/>
      <c r="K555" s="109"/>
      <c r="L555" s="109"/>
      <c r="M555" s="109"/>
      <c r="N555" s="13" t="s">
        <v>9639</v>
      </c>
      <c r="O555" s="13" t="s">
        <v>262</v>
      </c>
      <c r="P555" s="13" t="s">
        <v>2089</v>
      </c>
      <c r="Q555" s="15" t="s">
        <v>9640</v>
      </c>
      <c r="R555" s="109"/>
      <c r="S555" s="109"/>
      <c r="T555" s="112"/>
      <c r="U555" s="112"/>
      <c r="V555" s="112"/>
      <c r="W555" s="112"/>
    </row>
    <row r="556" spans="1:23" s="2" customFormat="1" ht="12">
      <c r="A556" s="11"/>
      <c r="B556" s="108"/>
      <c r="C556" s="109"/>
      <c r="D556" s="14" t="str">
        <f>D555</f>
        <v>中交兴路</v>
      </c>
      <c r="E556" s="109"/>
      <c r="F556" s="112"/>
      <c r="G556" s="109"/>
      <c r="H556" s="109"/>
      <c r="I556" s="109"/>
      <c r="J556" s="109"/>
      <c r="K556" s="109"/>
      <c r="L556" s="109"/>
      <c r="M556" s="109"/>
      <c r="N556" s="13" t="s">
        <v>9641</v>
      </c>
      <c r="O556" s="15" t="s">
        <v>285</v>
      </c>
      <c r="P556" s="15" t="s">
        <v>252</v>
      </c>
      <c r="Q556" s="15" t="s">
        <v>9642</v>
      </c>
      <c r="R556" s="109"/>
      <c r="S556" s="109"/>
      <c r="T556" s="112"/>
      <c r="U556" s="112"/>
      <c r="V556" s="112"/>
      <c r="W556" s="112"/>
    </row>
    <row r="557" spans="1:23" s="2" customFormat="1" ht="12">
      <c r="A557" s="11"/>
      <c r="B557" s="108"/>
      <c r="C557" s="109"/>
      <c r="D557" s="14" t="str">
        <f>D556</f>
        <v>中交兴路</v>
      </c>
      <c r="E557" s="109"/>
      <c r="F557" s="112"/>
      <c r="G557" s="109"/>
      <c r="H557" s="109"/>
      <c r="I557" s="109"/>
      <c r="J557" s="109"/>
      <c r="K557" s="109"/>
      <c r="L557" s="109"/>
      <c r="M557" s="109"/>
      <c r="N557" s="13" t="s">
        <v>9643</v>
      </c>
      <c r="O557" s="15" t="s">
        <v>326</v>
      </c>
      <c r="P557" s="15" t="s">
        <v>252</v>
      </c>
      <c r="Q557" s="15" t="s">
        <v>9644</v>
      </c>
      <c r="R557" s="109"/>
      <c r="S557" s="109"/>
      <c r="T557" s="112"/>
      <c r="U557" s="112"/>
      <c r="V557" s="112"/>
      <c r="W557" s="112"/>
    </row>
    <row r="558" spans="1:23" s="2" customFormat="1" ht="12">
      <c r="A558" s="11"/>
      <c r="B558" s="108"/>
      <c r="C558" s="109" t="s">
        <v>9645</v>
      </c>
      <c r="D558" s="14" t="s">
        <v>9646</v>
      </c>
      <c r="E558" s="113" t="s">
        <v>9646</v>
      </c>
      <c r="F558" s="114" t="s">
        <v>9647</v>
      </c>
      <c r="G558" s="113" t="s">
        <v>9648</v>
      </c>
      <c r="H558" s="109" t="s">
        <v>9649</v>
      </c>
      <c r="I558" s="109" t="s">
        <v>5574</v>
      </c>
      <c r="J558" s="113" t="s">
        <v>349</v>
      </c>
      <c r="K558" s="113" t="s">
        <v>272</v>
      </c>
      <c r="L558" s="113" t="s">
        <v>1101</v>
      </c>
      <c r="M558" s="113" t="s">
        <v>9650</v>
      </c>
      <c r="N558" s="13" t="s">
        <v>9645</v>
      </c>
      <c r="O558" s="13" t="s">
        <v>523</v>
      </c>
      <c r="P558" s="15" t="s">
        <v>252</v>
      </c>
      <c r="Q558" s="15" t="s">
        <v>9651</v>
      </c>
      <c r="R558" s="109" t="s">
        <v>9652</v>
      </c>
      <c r="S558" s="109" t="s">
        <v>9653</v>
      </c>
      <c r="T558" s="114" t="s">
        <v>9654</v>
      </c>
      <c r="U558" s="114" t="s">
        <v>9655</v>
      </c>
      <c r="V558" s="112" t="s">
        <v>9656</v>
      </c>
      <c r="W558" s="112" t="s">
        <v>9657</v>
      </c>
    </row>
    <row r="559" spans="1:23" s="2" customFormat="1" ht="12">
      <c r="A559" s="11"/>
      <c r="B559" s="108"/>
      <c r="C559" s="109"/>
      <c r="D559" s="14" t="str">
        <f>D558</f>
        <v>镁信健康</v>
      </c>
      <c r="E559" s="109"/>
      <c r="F559" s="112"/>
      <c r="G559" s="109"/>
      <c r="H559" s="109"/>
      <c r="I559" s="109"/>
      <c r="J559" s="109"/>
      <c r="K559" s="109"/>
      <c r="L559" s="109"/>
      <c r="M559" s="109"/>
      <c r="N559" s="13" t="s">
        <v>9658</v>
      </c>
      <c r="O559" s="13" t="s">
        <v>251</v>
      </c>
      <c r="P559" s="13" t="s">
        <v>1239</v>
      </c>
      <c r="Q559" s="15" t="s">
        <v>9659</v>
      </c>
      <c r="R559" s="109"/>
      <c r="S559" s="109"/>
      <c r="T559" s="112"/>
      <c r="U559" s="112"/>
      <c r="V559" s="112"/>
      <c r="W559" s="112"/>
    </row>
    <row r="560" spans="1:23" s="2" customFormat="1" ht="12">
      <c r="A560" s="11"/>
      <c r="B560" s="108"/>
      <c r="C560" s="109"/>
      <c r="D560" s="14" t="str">
        <f>D559</f>
        <v>镁信健康</v>
      </c>
      <c r="E560" s="109"/>
      <c r="F560" s="112"/>
      <c r="G560" s="109"/>
      <c r="H560" s="109"/>
      <c r="I560" s="109"/>
      <c r="J560" s="109"/>
      <c r="K560" s="109"/>
      <c r="L560" s="109"/>
      <c r="M560" s="109"/>
      <c r="N560" s="13" t="s">
        <v>9660</v>
      </c>
      <c r="O560" s="13" t="s">
        <v>257</v>
      </c>
      <c r="P560" s="13" t="s">
        <v>1194</v>
      </c>
      <c r="Q560" s="15" t="s">
        <v>9661</v>
      </c>
      <c r="R560" s="109"/>
      <c r="S560" s="109"/>
      <c r="T560" s="112"/>
      <c r="U560" s="112"/>
      <c r="V560" s="112"/>
      <c r="W560" s="112"/>
    </row>
    <row r="561" spans="1:23" s="2" customFormat="1" ht="12">
      <c r="A561" s="11"/>
      <c r="B561" s="108"/>
      <c r="C561" s="109"/>
      <c r="D561" s="14" t="str">
        <f>D560</f>
        <v>镁信健康</v>
      </c>
      <c r="E561" s="109"/>
      <c r="F561" s="112"/>
      <c r="G561" s="109"/>
      <c r="H561" s="109"/>
      <c r="I561" s="109"/>
      <c r="J561" s="109"/>
      <c r="K561" s="109"/>
      <c r="L561" s="109"/>
      <c r="M561" s="109"/>
      <c r="N561" s="13" t="s">
        <v>9662</v>
      </c>
      <c r="O561" s="15" t="s">
        <v>285</v>
      </c>
      <c r="P561" s="15" t="s">
        <v>341</v>
      </c>
      <c r="Q561" s="15" t="s">
        <v>9663</v>
      </c>
      <c r="R561" s="109"/>
      <c r="S561" s="109"/>
      <c r="T561" s="112"/>
      <c r="U561" s="112"/>
      <c r="V561" s="112"/>
      <c r="W561" s="112"/>
    </row>
    <row r="562" spans="1:23" s="2" customFormat="1" ht="12">
      <c r="A562" s="11"/>
      <c r="B562" s="108"/>
      <c r="C562" s="109"/>
      <c r="D562" s="14" t="str">
        <f>D561</f>
        <v>镁信健康</v>
      </c>
      <c r="E562" s="109"/>
      <c r="F562" s="112"/>
      <c r="G562" s="109"/>
      <c r="H562" s="109"/>
      <c r="I562" s="109"/>
      <c r="J562" s="109"/>
      <c r="K562" s="109"/>
      <c r="L562" s="109"/>
      <c r="M562" s="109"/>
      <c r="N562" s="13" t="s">
        <v>8748</v>
      </c>
      <c r="O562" s="13" t="s">
        <v>262</v>
      </c>
      <c r="P562" s="15" t="s">
        <v>409</v>
      </c>
      <c r="Q562" s="15" t="s">
        <v>9664</v>
      </c>
      <c r="R562" s="109"/>
      <c r="S562" s="109"/>
      <c r="T562" s="112"/>
      <c r="U562" s="112"/>
      <c r="V562" s="112"/>
      <c r="W562" s="112"/>
    </row>
    <row r="563" spans="1:23" s="2" customFormat="1" ht="12">
      <c r="A563" s="11"/>
      <c r="B563" s="108"/>
      <c r="C563" s="109"/>
      <c r="D563" s="14" t="str">
        <f>D562</f>
        <v>镁信健康</v>
      </c>
      <c r="E563" s="109"/>
      <c r="F563" s="112"/>
      <c r="G563" s="109"/>
      <c r="H563" s="109"/>
      <c r="I563" s="109"/>
      <c r="J563" s="109"/>
      <c r="K563" s="109"/>
      <c r="L563" s="109"/>
      <c r="M563" s="109"/>
      <c r="N563" s="13" t="s">
        <v>9665</v>
      </c>
      <c r="O563" s="15" t="s">
        <v>326</v>
      </c>
      <c r="P563" s="15" t="s">
        <v>252</v>
      </c>
      <c r="Q563" s="15" t="s">
        <v>9666</v>
      </c>
      <c r="R563" s="109"/>
      <c r="S563" s="109"/>
      <c r="T563" s="112"/>
      <c r="U563" s="112"/>
      <c r="V563" s="112"/>
      <c r="W563" s="112"/>
    </row>
    <row r="564" spans="1:23" s="2" customFormat="1" ht="96">
      <c r="A564" s="11"/>
      <c r="B564" s="108"/>
      <c r="C564" s="13" t="s">
        <v>9667</v>
      </c>
      <c r="D564" s="19" t="s">
        <v>9668</v>
      </c>
      <c r="E564" s="15" t="s">
        <v>9668</v>
      </c>
      <c r="F564" s="16" t="s">
        <v>9669</v>
      </c>
      <c r="G564" s="15" t="s">
        <v>9670</v>
      </c>
      <c r="H564" s="13" t="s">
        <v>9671</v>
      </c>
      <c r="I564" s="13" t="s">
        <v>1462</v>
      </c>
      <c r="J564" s="15" t="s">
        <v>3382</v>
      </c>
      <c r="K564" s="15" t="s">
        <v>272</v>
      </c>
      <c r="L564" s="15" t="s">
        <v>407</v>
      </c>
      <c r="M564" s="15" t="s">
        <v>3933</v>
      </c>
      <c r="N564" s="13" t="s">
        <v>9667</v>
      </c>
      <c r="O564" s="15" t="s">
        <v>285</v>
      </c>
      <c r="P564" s="13" t="s">
        <v>637</v>
      </c>
      <c r="Q564" s="15" t="s">
        <v>2229</v>
      </c>
      <c r="R564" s="13" t="s">
        <v>4335</v>
      </c>
      <c r="S564" s="13" t="s">
        <v>1347</v>
      </c>
      <c r="T564" s="16" t="s">
        <v>9672</v>
      </c>
      <c r="U564" s="16" t="s">
        <v>9673</v>
      </c>
      <c r="V564" s="18" t="s">
        <v>9674</v>
      </c>
      <c r="W564" s="18" t="s">
        <v>9675</v>
      </c>
    </row>
    <row r="565" spans="1:23" s="2" customFormat="1" ht="12">
      <c r="A565" s="11"/>
      <c r="B565" s="108"/>
      <c r="C565" s="109" t="s">
        <v>9676</v>
      </c>
      <c r="D565" s="14" t="s">
        <v>9677</v>
      </c>
      <c r="E565" s="113" t="s">
        <v>9677</v>
      </c>
      <c r="F565" s="114" t="s">
        <v>9678</v>
      </c>
      <c r="G565" s="113" t="s">
        <v>9679</v>
      </c>
      <c r="H565" s="109" t="s">
        <v>9680</v>
      </c>
      <c r="I565" s="109" t="s">
        <v>3889</v>
      </c>
      <c r="J565" s="113" t="s">
        <v>1215</v>
      </c>
      <c r="K565" s="113" t="s">
        <v>272</v>
      </c>
      <c r="L565" s="113" t="s">
        <v>407</v>
      </c>
      <c r="M565" s="113" t="s">
        <v>577</v>
      </c>
      <c r="N565" s="13" t="s">
        <v>9676</v>
      </c>
      <c r="O565" s="13" t="s">
        <v>317</v>
      </c>
      <c r="P565" s="15" t="s">
        <v>252</v>
      </c>
      <c r="Q565" s="13" t="s">
        <v>253</v>
      </c>
      <c r="R565" s="109" t="s">
        <v>9681</v>
      </c>
      <c r="S565" s="113" t="s">
        <v>255</v>
      </c>
      <c r="T565" s="114" t="s">
        <v>9682</v>
      </c>
      <c r="U565" s="114" t="s">
        <v>9683</v>
      </c>
      <c r="V565" s="112" t="s">
        <v>8164</v>
      </c>
      <c r="W565" s="112" t="s">
        <v>9684</v>
      </c>
    </row>
    <row r="566" spans="1:23" s="2" customFormat="1" ht="12">
      <c r="A566" s="11"/>
      <c r="B566" s="108"/>
      <c r="C566" s="109"/>
      <c r="D566" s="14" t="str">
        <f>D565</f>
        <v>趣开单</v>
      </c>
      <c r="E566" s="109"/>
      <c r="F566" s="112"/>
      <c r="G566" s="109"/>
      <c r="H566" s="109"/>
      <c r="I566" s="109"/>
      <c r="J566" s="109"/>
      <c r="K566" s="109"/>
      <c r="L566" s="109"/>
      <c r="M566" s="109"/>
      <c r="N566" s="13" t="s">
        <v>8731</v>
      </c>
      <c r="O566" s="13" t="s">
        <v>523</v>
      </c>
      <c r="P566" s="13" t="s">
        <v>805</v>
      </c>
      <c r="Q566" s="15" t="s">
        <v>8159</v>
      </c>
      <c r="R566" s="109"/>
      <c r="S566" s="109"/>
      <c r="T566" s="112"/>
      <c r="U566" s="112"/>
      <c r="V566" s="112"/>
      <c r="W566" s="112"/>
    </row>
    <row r="567" spans="1:23" s="2" customFormat="1" ht="12">
      <c r="A567" s="11"/>
      <c r="B567" s="108"/>
      <c r="C567" s="109"/>
      <c r="D567" s="14" t="str">
        <f>D566</f>
        <v>趣开单</v>
      </c>
      <c r="E567" s="109"/>
      <c r="F567" s="112"/>
      <c r="G567" s="109"/>
      <c r="H567" s="109"/>
      <c r="I567" s="109"/>
      <c r="J567" s="109"/>
      <c r="K567" s="109"/>
      <c r="L567" s="109"/>
      <c r="M567" s="109"/>
      <c r="N567" s="13" t="s">
        <v>624</v>
      </c>
      <c r="O567" s="13" t="s">
        <v>251</v>
      </c>
      <c r="P567" s="15" t="s">
        <v>252</v>
      </c>
      <c r="Q567" s="13" t="s">
        <v>253</v>
      </c>
      <c r="R567" s="109"/>
      <c r="S567" s="109"/>
      <c r="T567" s="112"/>
      <c r="U567" s="112"/>
      <c r="V567" s="112"/>
      <c r="W567" s="112"/>
    </row>
    <row r="568" spans="1:23" s="2" customFormat="1" ht="12">
      <c r="A568" s="11"/>
      <c r="B568" s="108"/>
      <c r="C568" s="109"/>
      <c r="D568" s="14" t="str">
        <f>D567</f>
        <v>趣开单</v>
      </c>
      <c r="E568" s="109"/>
      <c r="F568" s="112"/>
      <c r="G568" s="109"/>
      <c r="H568" s="109"/>
      <c r="I568" s="109"/>
      <c r="J568" s="109"/>
      <c r="K568" s="109"/>
      <c r="L568" s="109"/>
      <c r="M568" s="109"/>
      <c r="N568" s="13" t="s">
        <v>8166</v>
      </c>
      <c r="O568" s="13" t="s">
        <v>565</v>
      </c>
      <c r="P568" s="13" t="s">
        <v>805</v>
      </c>
      <c r="Q568" s="13" t="s">
        <v>8167</v>
      </c>
      <c r="R568" s="109"/>
      <c r="S568" s="109"/>
      <c r="T568" s="112"/>
      <c r="U568" s="112"/>
      <c r="V568" s="112"/>
      <c r="W568" s="112"/>
    </row>
    <row r="569" spans="1:23" s="2" customFormat="1" ht="12">
      <c r="A569" s="11"/>
      <c r="B569" s="108"/>
      <c r="C569" s="109"/>
      <c r="D569" s="14" t="str">
        <f>D568</f>
        <v>趣开单</v>
      </c>
      <c r="E569" s="109"/>
      <c r="F569" s="112"/>
      <c r="G569" s="109"/>
      <c r="H569" s="109"/>
      <c r="I569" s="109"/>
      <c r="J569" s="109"/>
      <c r="K569" s="109"/>
      <c r="L569" s="109"/>
      <c r="M569" s="109"/>
      <c r="N569" s="13" t="s">
        <v>8168</v>
      </c>
      <c r="O569" s="13" t="s">
        <v>257</v>
      </c>
      <c r="P569" s="13" t="s">
        <v>987</v>
      </c>
      <c r="Q569" s="13" t="s">
        <v>9685</v>
      </c>
      <c r="R569" s="109"/>
      <c r="S569" s="109"/>
      <c r="T569" s="112"/>
      <c r="U569" s="112"/>
      <c r="V569" s="112"/>
      <c r="W569" s="112"/>
    </row>
    <row r="570" spans="1:23" s="2" customFormat="1" ht="12">
      <c r="A570" s="11"/>
      <c r="B570" s="108"/>
      <c r="C570" s="109"/>
      <c r="D570" s="14" t="str">
        <f>D569</f>
        <v>趣开单</v>
      </c>
      <c r="E570" s="109"/>
      <c r="F570" s="112"/>
      <c r="G570" s="109"/>
      <c r="H570" s="109"/>
      <c r="I570" s="109"/>
      <c r="J570" s="109"/>
      <c r="K570" s="109"/>
      <c r="L570" s="109"/>
      <c r="M570" s="109"/>
      <c r="N570" s="13" t="s">
        <v>3958</v>
      </c>
      <c r="O570" s="13" t="s">
        <v>262</v>
      </c>
      <c r="P570" s="15" t="s">
        <v>341</v>
      </c>
      <c r="Q570" s="13" t="s">
        <v>8170</v>
      </c>
      <c r="R570" s="109"/>
      <c r="S570" s="109"/>
      <c r="T570" s="112"/>
      <c r="U570" s="112"/>
      <c r="V570" s="112"/>
      <c r="W570" s="112"/>
    </row>
    <row r="571" spans="1:23" s="2" customFormat="1" ht="12">
      <c r="A571" s="11"/>
      <c r="B571" s="108"/>
      <c r="C571" s="109" t="s">
        <v>9686</v>
      </c>
      <c r="D571" s="14" t="s">
        <v>9687</v>
      </c>
      <c r="E571" s="113" t="s">
        <v>9687</v>
      </c>
      <c r="F571" s="114" t="s">
        <v>9688</v>
      </c>
      <c r="G571" s="113" t="s">
        <v>9689</v>
      </c>
      <c r="H571" s="109" t="s">
        <v>9690</v>
      </c>
      <c r="I571" s="109" t="s">
        <v>2518</v>
      </c>
      <c r="J571" s="113" t="s">
        <v>1980</v>
      </c>
      <c r="K571" s="113" t="s">
        <v>272</v>
      </c>
      <c r="L571" s="113" t="s">
        <v>407</v>
      </c>
      <c r="M571" s="113" t="s">
        <v>470</v>
      </c>
      <c r="N571" s="13" t="s">
        <v>9686</v>
      </c>
      <c r="O571" s="13" t="s">
        <v>251</v>
      </c>
      <c r="P571" s="13" t="s">
        <v>701</v>
      </c>
      <c r="Q571" s="15" t="s">
        <v>9691</v>
      </c>
      <c r="R571" s="109" t="s">
        <v>9116</v>
      </c>
      <c r="S571" s="109" t="s">
        <v>9692</v>
      </c>
      <c r="T571" s="114" t="s">
        <v>9693</v>
      </c>
      <c r="U571" s="114" t="s">
        <v>9694</v>
      </c>
      <c r="V571" s="112" t="s">
        <v>9695</v>
      </c>
      <c r="W571" s="112" t="s">
        <v>9696</v>
      </c>
    </row>
    <row r="572" spans="1:23" s="2" customFormat="1" ht="12">
      <c r="A572" s="11"/>
      <c r="B572" s="108"/>
      <c r="C572" s="109"/>
      <c r="D572" s="14" t="str">
        <f>D571</f>
        <v>智慧油客</v>
      </c>
      <c r="E572" s="109"/>
      <c r="F572" s="112"/>
      <c r="G572" s="109"/>
      <c r="H572" s="109"/>
      <c r="I572" s="109"/>
      <c r="J572" s="109"/>
      <c r="K572" s="109"/>
      <c r="L572" s="109"/>
      <c r="M572" s="109"/>
      <c r="N572" s="13" t="s">
        <v>9697</v>
      </c>
      <c r="O572" s="13" t="s">
        <v>257</v>
      </c>
      <c r="P572" s="15" t="s">
        <v>341</v>
      </c>
      <c r="Q572" s="15" t="s">
        <v>9698</v>
      </c>
      <c r="R572" s="109"/>
      <c r="S572" s="109"/>
      <c r="T572" s="112"/>
      <c r="U572" s="112"/>
      <c r="V572" s="112"/>
      <c r="W572" s="112"/>
    </row>
    <row r="573" spans="1:23" s="2" customFormat="1" ht="12">
      <c r="A573" s="11"/>
      <c r="B573" s="108"/>
      <c r="C573" s="109"/>
      <c r="D573" s="14" t="str">
        <f>D572</f>
        <v>智慧油客</v>
      </c>
      <c r="E573" s="109"/>
      <c r="F573" s="112"/>
      <c r="G573" s="109"/>
      <c r="H573" s="109"/>
      <c r="I573" s="109"/>
      <c r="J573" s="109"/>
      <c r="K573" s="109"/>
      <c r="L573" s="109"/>
      <c r="M573" s="109"/>
      <c r="N573" s="13" t="s">
        <v>9639</v>
      </c>
      <c r="O573" s="13" t="s">
        <v>260</v>
      </c>
      <c r="P573" s="15" t="s">
        <v>252</v>
      </c>
      <c r="Q573" s="13" t="s">
        <v>9699</v>
      </c>
      <c r="R573" s="109"/>
      <c r="S573" s="109"/>
      <c r="T573" s="112"/>
      <c r="U573" s="112"/>
      <c r="V573" s="112"/>
      <c r="W573" s="112"/>
    </row>
    <row r="574" spans="1:23" s="2" customFormat="1" ht="12">
      <c r="A574" s="11"/>
      <c r="B574" s="108"/>
      <c r="C574" s="109"/>
      <c r="D574" s="14" t="str">
        <f>D573</f>
        <v>智慧油客</v>
      </c>
      <c r="E574" s="109"/>
      <c r="F574" s="112"/>
      <c r="G574" s="109"/>
      <c r="H574" s="109"/>
      <c r="I574" s="109"/>
      <c r="J574" s="109"/>
      <c r="K574" s="109"/>
      <c r="L574" s="109"/>
      <c r="M574" s="109"/>
      <c r="N574" s="13" t="s">
        <v>8026</v>
      </c>
      <c r="O574" s="13" t="s">
        <v>262</v>
      </c>
      <c r="P574" s="15" t="s">
        <v>252</v>
      </c>
      <c r="Q574" s="15" t="s">
        <v>9700</v>
      </c>
      <c r="R574" s="109"/>
      <c r="S574" s="109"/>
      <c r="T574" s="112"/>
      <c r="U574" s="112"/>
      <c r="V574" s="112"/>
      <c r="W574" s="112"/>
    </row>
    <row r="575" spans="1:23" s="2" customFormat="1" ht="103.5">
      <c r="A575" s="11"/>
      <c r="B575" s="108"/>
      <c r="C575" s="13" t="s">
        <v>9701</v>
      </c>
      <c r="D575" s="19" t="s">
        <v>9702</v>
      </c>
      <c r="E575" s="13" t="s">
        <v>9703</v>
      </c>
      <c r="F575" s="18" t="s">
        <v>9704</v>
      </c>
      <c r="G575" s="13"/>
      <c r="H575" s="13" t="s">
        <v>9705</v>
      </c>
      <c r="I575" s="13" t="s">
        <v>1617</v>
      </c>
      <c r="J575" s="15" t="s">
        <v>1650</v>
      </c>
      <c r="K575" s="15" t="s">
        <v>272</v>
      </c>
      <c r="L575" s="15" t="s">
        <v>1859</v>
      </c>
      <c r="M575" s="15" t="s">
        <v>2900</v>
      </c>
      <c r="N575" s="13" t="s">
        <v>9701</v>
      </c>
      <c r="O575" s="15" t="s">
        <v>471</v>
      </c>
      <c r="P575" s="13" t="s">
        <v>318</v>
      </c>
      <c r="Q575" s="15" t="s">
        <v>2229</v>
      </c>
      <c r="R575" s="13" t="s">
        <v>3679</v>
      </c>
      <c r="S575" s="13" t="s">
        <v>598</v>
      </c>
      <c r="T575" s="18" t="s">
        <v>9706</v>
      </c>
      <c r="U575" s="18"/>
      <c r="V575" s="18"/>
      <c r="W575" s="18"/>
    </row>
    <row r="576" spans="1:23" s="2" customFormat="1" ht="12">
      <c r="A576" s="11"/>
      <c r="B576" s="108"/>
      <c r="C576" s="109" t="s">
        <v>9707</v>
      </c>
      <c r="D576" s="14" t="s">
        <v>9708</v>
      </c>
      <c r="E576" s="113" t="s">
        <v>9708</v>
      </c>
      <c r="F576" s="114" t="s">
        <v>9709</v>
      </c>
      <c r="G576" s="113" t="s">
        <v>9710</v>
      </c>
      <c r="H576" s="109" t="s">
        <v>9711</v>
      </c>
      <c r="I576" s="109" t="s">
        <v>5335</v>
      </c>
      <c r="J576" s="113" t="s">
        <v>271</v>
      </c>
      <c r="K576" s="113" t="s">
        <v>272</v>
      </c>
      <c r="L576" s="113" t="s">
        <v>407</v>
      </c>
      <c r="M576" s="113" t="s">
        <v>9712</v>
      </c>
      <c r="N576" s="13" t="s">
        <v>9707</v>
      </c>
      <c r="O576" s="13" t="s">
        <v>721</v>
      </c>
      <c r="P576" s="15" t="s">
        <v>341</v>
      </c>
      <c r="Q576" s="15" t="s">
        <v>9713</v>
      </c>
      <c r="R576" s="109" t="s">
        <v>2954</v>
      </c>
      <c r="S576" s="109" t="s">
        <v>432</v>
      </c>
      <c r="T576" s="114" t="s">
        <v>9714</v>
      </c>
      <c r="U576" s="114" t="s">
        <v>9715</v>
      </c>
      <c r="V576" s="112" t="s">
        <v>9716</v>
      </c>
      <c r="W576" s="112" t="s">
        <v>9717</v>
      </c>
    </row>
    <row r="577" spans="1:23" s="2" customFormat="1" ht="12">
      <c r="A577" s="11"/>
      <c r="B577" s="108"/>
      <c r="C577" s="109"/>
      <c r="D577" s="14" t="str">
        <f>D576</f>
        <v>一砂信息</v>
      </c>
      <c r="E577" s="109"/>
      <c r="F577" s="112"/>
      <c r="G577" s="109"/>
      <c r="H577" s="109"/>
      <c r="I577" s="109"/>
      <c r="J577" s="109"/>
      <c r="K577" s="109"/>
      <c r="L577" s="109"/>
      <c r="M577" s="109"/>
      <c r="N577" s="13" t="s">
        <v>9718</v>
      </c>
      <c r="O577" s="15" t="s">
        <v>285</v>
      </c>
      <c r="P577" s="15" t="s">
        <v>341</v>
      </c>
      <c r="Q577" s="15" t="s">
        <v>2229</v>
      </c>
      <c r="R577" s="109"/>
      <c r="S577" s="109"/>
      <c r="T577" s="112"/>
      <c r="U577" s="112"/>
      <c r="V577" s="112"/>
      <c r="W577" s="112"/>
    </row>
    <row r="578" spans="1:23" s="2" customFormat="1" ht="12">
      <c r="A578" s="11"/>
      <c r="B578" s="108"/>
      <c r="C578" s="109" t="s">
        <v>1209</v>
      </c>
      <c r="D578" s="14" t="s">
        <v>9719</v>
      </c>
      <c r="E578" s="109" t="s">
        <v>9719</v>
      </c>
      <c r="F578" s="112" t="s">
        <v>9720</v>
      </c>
      <c r="G578" s="113" t="s">
        <v>9721</v>
      </c>
      <c r="H578" s="109" t="s">
        <v>9722</v>
      </c>
      <c r="I578" s="109" t="s">
        <v>2518</v>
      </c>
      <c r="J578" s="113" t="s">
        <v>1215</v>
      </c>
      <c r="K578" s="113" t="s">
        <v>272</v>
      </c>
      <c r="L578" s="113" t="s">
        <v>1101</v>
      </c>
      <c r="M578" s="113" t="s">
        <v>5105</v>
      </c>
      <c r="N578" s="13" t="s">
        <v>1209</v>
      </c>
      <c r="O578" s="15" t="s">
        <v>285</v>
      </c>
      <c r="P578" s="13" t="s">
        <v>9723</v>
      </c>
      <c r="Q578" s="15" t="s">
        <v>9724</v>
      </c>
      <c r="R578" s="109" t="s">
        <v>9725</v>
      </c>
      <c r="S578" s="109" t="s">
        <v>9726</v>
      </c>
      <c r="T578" s="112"/>
      <c r="U578" s="114" t="s">
        <v>9727</v>
      </c>
      <c r="V578" s="112" t="s">
        <v>9728</v>
      </c>
      <c r="W578" s="112" t="s">
        <v>9729</v>
      </c>
    </row>
    <row r="579" spans="1:23" s="2" customFormat="1" ht="12">
      <c r="A579" s="11"/>
      <c r="B579" s="108"/>
      <c r="C579" s="109"/>
      <c r="D579" s="14" t="str">
        <f>D578</f>
        <v>PACS+</v>
      </c>
      <c r="E579" s="109"/>
      <c r="F579" s="112"/>
      <c r="G579" s="109"/>
      <c r="H579" s="109"/>
      <c r="I579" s="109"/>
      <c r="J579" s="109"/>
      <c r="K579" s="109"/>
      <c r="L579" s="109"/>
      <c r="M579" s="109"/>
      <c r="N579" s="13" t="s">
        <v>8526</v>
      </c>
      <c r="O579" s="13" t="s">
        <v>262</v>
      </c>
      <c r="P579" s="15" t="s">
        <v>252</v>
      </c>
      <c r="Q579" s="15" t="s">
        <v>2229</v>
      </c>
      <c r="R579" s="109"/>
      <c r="S579" s="109"/>
      <c r="T579" s="112"/>
      <c r="U579" s="112"/>
      <c r="V579" s="112"/>
      <c r="W579" s="112"/>
    </row>
    <row r="580" spans="1:23" s="2" customFormat="1" ht="156">
      <c r="A580" s="11"/>
      <c r="B580" s="108"/>
      <c r="C580" s="13" t="s">
        <v>9730</v>
      </c>
      <c r="D580" s="19" t="s">
        <v>9731</v>
      </c>
      <c r="E580" s="15" t="s">
        <v>9731</v>
      </c>
      <c r="F580" s="16" t="s">
        <v>9732</v>
      </c>
      <c r="G580" s="15" t="s">
        <v>9733</v>
      </c>
      <c r="H580" s="13" t="s">
        <v>9734</v>
      </c>
      <c r="I580" s="13" t="s">
        <v>1606</v>
      </c>
      <c r="J580" s="15" t="s">
        <v>547</v>
      </c>
      <c r="K580" s="15" t="s">
        <v>272</v>
      </c>
      <c r="L580" s="15" t="s">
        <v>407</v>
      </c>
      <c r="M580" s="15" t="s">
        <v>1170</v>
      </c>
      <c r="N580" s="13" t="s">
        <v>9730</v>
      </c>
      <c r="O580" s="13" t="s">
        <v>262</v>
      </c>
      <c r="P580" s="15" t="s">
        <v>252</v>
      </c>
      <c r="Q580" s="15" t="s">
        <v>2229</v>
      </c>
      <c r="R580" s="13" t="s">
        <v>1683</v>
      </c>
      <c r="S580" s="15" t="s">
        <v>255</v>
      </c>
      <c r="T580" s="18"/>
      <c r="U580" s="16" t="s">
        <v>9735</v>
      </c>
      <c r="V580" s="18" t="s">
        <v>9736</v>
      </c>
      <c r="W580" s="18" t="s">
        <v>9737</v>
      </c>
    </row>
    <row r="581" spans="1:23" s="2" customFormat="1" ht="59.5">
      <c r="A581" s="11"/>
      <c r="B581" s="108"/>
      <c r="C581" s="13" t="s">
        <v>9738</v>
      </c>
      <c r="D581" s="19" t="s">
        <v>9739</v>
      </c>
      <c r="E581" s="15" t="s">
        <v>9739</v>
      </c>
      <c r="F581" s="16" t="s">
        <v>9740</v>
      </c>
      <c r="G581" s="15" t="s">
        <v>9741</v>
      </c>
      <c r="H581" s="13"/>
      <c r="I581" s="13" t="s">
        <v>4683</v>
      </c>
      <c r="J581" s="15" t="s">
        <v>406</v>
      </c>
      <c r="K581" s="15" t="s">
        <v>272</v>
      </c>
      <c r="L581" s="15" t="s">
        <v>350</v>
      </c>
      <c r="M581" s="15" t="s">
        <v>1238</v>
      </c>
      <c r="N581" s="13" t="s">
        <v>9738</v>
      </c>
      <c r="O581" s="15" t="s">
        <v>285</v>
      </c>
      <c r="P581" s="15" t="s">
        <v>341</v>
      </c>
      <c r="Q581" s="15" t="s">
        <v>2229</v>
      </c>
      <c r="R581" s="13" t="s">
        <v>931</v>
      </c>
      <c r="S581" s="13" t="s">
        <v>9742</v>
      </c>
      <c r="T581" s="18"/>
      <c r="U581" s="16" t="s">
        <v>9743</v>
      </c>
      <c r="V581" s="18"/>
      <c r="W581" s="18"/>
    </row>
    <row r="582" spans="1:23" s="2" customFormat="1" ht="12">
      <c r="A582" s="11"/>
      <c r="B582" s="108"/>
      <c r="C582" s="109" t="s">
        <v>9744</v>
      </c>
      <c r="D582" s="14" t="s">
        <v>9745</v>
      </c>
      <c r="E582" s="113" t="s">
        <v>9745</v>
      </c>
      <c r="F582" s="114" t="s">
        <v>9746</v>
      </c>
      <c r="G582" s="113" t="s">
        <v>9747</v>
      </c>
      <c r="H582" s="109" t="s">
        <v>9748</v>
      </c>
      <c r="I582" s="109" t="s">
        <v>5346</v>
      </c>
      <c r="J582" s="113" t="s">
        <v>1192</v>
      </c>
      <c r="K582" s="113" t="s">
        <v>272</v>
      </c>
      <c r="L582" s="113" t="s">
        <v>273</v>
      </c>
      <c r="M582" s="113" t="s">
        <v>2598</v>
      </c>
      <c r="N582" s="13" t="s">
        <v>9744</v>
      </c>
      <c r="O582" s="13" t="s">
        <v>262</v>
      </c>
      <c r="P582" s="15" t="s">
        <v>252</v>
      </c>
      <c r="Q582" s="15" t="s">
        <v>2229</v>
      </c>
      <c r="R582" s="109" t="s">
        <v>8833</v>
      </c>
      <c r="S582" s="113" t="s">
        <v>255</v>
      </c>
      <c r="T582" s="114" t="s">
        <v>9749</v>
      </c>
      <c r="U582" s="114" t="s">
        <v>9750</v>
      </c>
      <c r="V582" s="112" t="s">
        <v>9751</v>
      </c>
      <c r="W582" s="112" t="s">
        <v>9752</v>
      </c>
    </row>
    <row r="583" spans="1:23" s="2" customFormat="1" ht="12">
      <c r="A583" s="11"/>
      <c r="B583" s="108"/>
      <c r="C583" s="109"/>
      <c r="D583" s="14" t="str">
        <f>D582</f>
        <v>猛犸充电</v>
      </c>
      <c r="E583" s="109"/>
      <c r="F583" s="112"/>
      <c r="G583" s="109"/>
      <c r="H583" s="109"/>
      <c r="I583" s="109"/>
      <c r="J583" s="109"/>
      <c r="K583" s="109"/>
      <c r="L583" s="109"/>
      <c r="M583" s="109"/>
      <c r="N583" s="13" t="s">
        <v>9753</v>
      </c>
      <c r="O583" s="15" t="s">
        <v>326</v>
      </c>
      <c r="P583" s="15" t="s">
        <v>252</v>
      </c>
      <c r="Q583" s="15" t="s">
        <v>9754</v>
      </c>
      <c r="R583" s="109"/>
      <c r="S583" s="109"/>
      <c r="T583" s="112"/>
      <c r="U583" s="112"/>
      <c r="V583" s="112"/>
      <c r="W583" s="112"/>
    </row>
    <row r="584" spans="1:23" s="2" customFormat="1" ht="72">
      <c r="A584" s="11"/>
      <c r="B584" s="108"/>
      <c r="C584" s="13" t="s">
        <v>8379</v>
      </c>
      <c r="D584" s="19" t="s">
        <v>9755</v>
      </c>
      <c r="E584" s="15" t="s">
        <v>9755</v>
      </c>
      <c r="F584" s="16" t="s">
        <v>9756</v>
      </c>
      <c r="G584" s="15" t="s">
        <v>9757</v>
      </c>
      <c r="H584" s="13"/>
      <c r="I584" s="13" t="s">
        <v>4747</v>
      </c>
      <c r="J584" s="15" t="s">
        <v>1192</v>
      </c>
      <c r="K584" s="15" t="s">
        <v>272</v>
      </c>
      <c r="L584" s="15" t="s">
        <v>350</v>
      </c>
      <c r="M584" s="13" t="s">
        <v>1907</v>
      </c>
      <c r="N584" s="13" t="s">
        <v>8379</v>
      </c>
      <c r="O584" s="15" t="s">
        <v>285</v>
      </c>
      <c r="P584" s="15" t="s">
        <v>341</v>
      </c>
      <c r="Q584" s="15" t="s">
        <v>2229</v>
      </c>
      <c r="R584" s="13" t="s">
        <v>931</v>
      </c>
      <c r="S584" s="13" t="s">
        <v>432</v>
      </c>
      <c r="T584" s="18"/>
      <c r="U584" s="16" t="s">
        <v>9758</v>
      </c>
      <c r="V584" s="18"/>
      <c r="W584" s="18"/>
    </row>
    <row r="585" spans="1:23" s="2" customFormat="1" ht="12">
      <c r="A585" s="11"/>
      <c r="B585" s="108"/>
      <c r="C585" s="109" t="s">
        <v>9759</v>
      </c>
      <c r="D585" s="14" t="s">
        <v>9760</v>
      </c>
      <c r="E585" s="113" t="s">
        <v>9760</v>
      </c>
      <c r="F585" s="114" t="s">
        <v>9761</v>
      </c>
      <c r="G585" s="113" t="s">
        <v>9762</v>
      </c>
      <c r="H585" s="109" t="s">
        <v>9763</v>
      </c>
      <c r="I585" s="109" t="s">
        <v>5046</v>
      </c>
      <c r="J585" s="113" t="s">
        <v>271</v>
      </c>
      <c r="K585" s="113" t="s">
        <v>272</v>
      </c>
      <c r="L585" s="113" t="s">
        <v>407</v>
      </c>
      <c r="M585" s="113" t="s">
        <v>762</v>
      </c>
      <c r="N585" s="13" t="s">
        <v>9759</v>
      </c>
      <c r="O585" s="13" t="s">
        <v>262</v>
      </c>
      <c r="P585" s="13" t="s">
        <v>1115</v>
      </c>
      <c r="Q585" s="15" t="s">
        <v>9764</v>
      </c>
      <c r="R585" s="109" t="s">
        <v>9765</v>
      </c>
      <c r="S585" s="109" t="s">
        <v>5551</v>
      </c>
      <c r="T585" s="114" t="s">
        <v>9766</v>
      </c>
      <c r="U585" s="114" t="s">
        <v>9767</v>
      </c>
      <c r="V585" s="112" t="s">
        <v>9768</v>
      </c>
      <c r="W585" s="112" t="s">
        <v>9769</v>
      </c>
    </row>
    <row r="586" spans="1:23" s="2" customFormat="1" ht="12">
      <c r="A586" s="11"/>
      <c r="B586" s="108"/>
      <c r="C586" s="109"/>
      <c r="D586" s="14" t="str">
        <f>D585</f>
        <v>瑞莱智慧</v>
      </c>
      <c r="E586" s="109"/>
      <c r="F586" s="112"/>
      <c r="G586" s="109"/>
      <c r="H586" s="109"/>
      <c r="I586" s="109"/>
      <c r="J586" s="109"/>
      <c r="K586" s="109"/>
      <c r="L586" s="109"/>
      <c r="M586" s="109"/>
      <c r="N586" s="13" t="s">
        <v>2781</v>
      </c>
      <c r="O586" s="13" t="s">
        <v>721</v>
      </c>
      <c r="P586" s="15" t="s">
        <v>258</v>
      </c>
      <c r="Q586" s="15" t="s">
        <v>9770</v>
      </c>
      <c r="R586" s="109"/>
      <c r="S586" s="109"/>
      <c r="T586" s="112"/>
      <c r="U586" s="112"/>
      <c r="V586" s="112"/>
      <c r="W586" s="112"/>
    </row>
    <row r="587" spans="1:23" s="2" customFormat="1" ht="12">
      <c r="A587" s="11"/>
      <c r="B587" s="108"/>
      <c r="C587" s="109"/>
      <c r="D587" s="14" t="str">
        <f>D586</f>
        <v>瑞莱智慧</v>
      </c>
      <c r="E587" s="109"/>
      <c r="F587" s="112"/>
      <c r="G587" s="109"/>
      <c r="H587" s="109"/>
      <c r="I587" s="109"/>
      <c r="J587" s="109"/>
      <c r="K587" s="109"/>
      <c r="L587" s="109"/>
      <c r="M587" s="109"/>
      <c r="N587" s="13" t="s">
        <v>9294</v>
      </c>
      <c r="O587" s="15" t="s">
        <v>326</v>
      </c>
      <c r="P587" s="15" t="s">
        <v>252</v>
      </c>
      <c r="Q587" s="15" t="s">
        <v>9771</v>
      </c>
      <c r="R587" s="109"/>
      <c r="S587" s="109"/>
      <c r="T587" s="112"/>
      <c r="U587" s="112"/>
      <c r="V587" s="112"/>
      <c r="W587" s="112"/>
    </row>
    <row r="588" spans="1:23" s="2" customFormat="1" ht="12">
      <c r="A588" s="11"/>
      <c r="B588" s="108"/>
      <c r="C588" s="109"/>
      <c r="D588" s="14" t="str">
        <f>D587</f>
        <v>瑞莱智慧</v>
      </c>
      <c r="E588" s="109"/>
      <c r="F588" s="112"/>
      <c r="G588" s="109"/>
      <c r="H588" s="109"/>
      <c r="I588" s="109"/>
      <c r="J588" s="109"/>
      <c r="K588" s="109"/>
      <c r="L588" s="109"/>
      <c r="M588" s="109"/>
      <c r="N588" s="13" t="s">
        <v>9772</v>
      </c>
      <c r="O588" s="15" t="s">
        <v>326</v>
      </c>
      <c r="P588" s="15" t="s">
        <v>341</v>
      </c>
      <c r="Q588" s="15" t="s">
        <v>9773</v>
      </c>
      <c r="R588" s="109"/>
      <c r="S588" s="109"/>
      <c r="T588" s="112"/>
      <c r="U588" s="112"/>
      <c r="V588" s="112"/>
      <c r="W588" s="112"/>
    </row>
    <row r="589" spans="1:23" s="2" customFormat="1" ht="120">
      <c r="A589" s="11"/>
      <c r="B589" s="108"/>
      <c r="C589" s="13" t="s">
        <v>4803</v>
      </c>
      <c r="D589" s="19" t="s">
        <v>9774</v>
      </c>
      <c r="E589" s="15" t="s">
        <v>9774</v>
      </c>
      <c r="F589" s="16" t="s">
        <v>9775</v>
      </c>
      <c r="G589" s="15" t="s">
        <v>9776</v>
      </c>
      <c r="H589" s="13" t="s">
        <v>9777</v>
      </c>
      <c r="I589" s="13" t="s">
        <v>9778</v>
      </c>
      <c r="J589" s="15" t="s">
        <v>406</v>
      </c>
      <c r="K589" s="15" t="s">
        <v>272</v>
      </c>
      <c r="L589" s="15" t="s">
        <v>485</v>
      </c>
      <c r="M589" s="15" t="s">
        <v>8779</v>
      </c>
      <c r="N589" s="13" t="s">
        <v>4803</v>
      </c>
      <c r="O589" s="15" t="s">
        <v>285</v>
      </c>
      <c r="P589" s="13" t="s">
        <v>1063</v>
      </c>
      <c r="Q589" s="15" t="s">
        <v>2229</v>
      </c>
      <c r="R589" s="13" t="s">
        <v>5283</v>
      </c>
      <c r="S589" s="13" t="s">
        <v>1065</v>
      </c>
      <c r="T589" s="16" t="s">
        <v>9779</v>
      </c>
      <c r="U589" s="16" t="s">
        <v>9780</v>
      </c>
      <c r="V589" s="18"/>
      <c r="W589" s="18"/>
    </row>
    <row r="590" spans="1:23" s="2" customFormat="1" ht="12">
      <c r="A590" s="11"/>
      <c r="B590" s="108"/>
      <c r="C590" s="109" t="s">
        <v>4837</v>
      </c>
      <c r="D590" s="14" t="s">
        <v>4838</v>
      </c>
      <c r="E590" s="109" t="s">
        <v>4838</v>
      </c>
      <c r="F590" s="112" t="s">
        <v>4839</v>
      </c>
      <c r="G590" s="109"/>
      <c r="H590" s="109" t="s">
        <v>4840</v>
      </c>
      <c r="I590" s="109" t="s">
        <v>334</v>
      </c>
      <c r="J590" s="113" t="s">
        <v>2156</v>
      </c>
      <c r="K590" s="113" t="s">
        <v>272</v>
      </c>
      <c r="L590" s="113" t="s">
        <v>350</v>
      </c>
      <c r="M590" s="113" t="s">
        <v>617</v>
      </c>
      <c r="N590" s="13" t="s">
        <v>4837</v>
      </c>
      <c r="O590" s="13" t="s">
        <v>283</v>
      </c>
      <c r="P590" s="13" t="s">
        <v>1024</v>
      </c>
      <c r="Q590" s="13" t="s">
        <v>253</v>
      </c>
      <c r="R590" s="109" t="s">
        <v>4841</v>
      </c>
      <c r="S590" s="109" t="s">
        <v>4842</v>
      </c>
      <c r="T590" s="112" t="s">
        <v>4843</v>
      </c>
      <c r="U590" s="112"/>
      <c r="V590" s="112"/>
      <c r="W590" s="112"/>
    </row>
    <row r="591" spans="1:23" s="2" customFormat="1" ht="12">
      <c r="A591" s="11"/>
      <c r="B591" s="108"/>
      <c r="C591" s="109"/>
      <c r="D591" s="14" t="str">
        <f>D590</f>
        <v>Bukalapak</v>
      </c>
      <c r="E591" s="109"/>
      <c r="F591" s="112"/>
      <c r="G591" s="109"/>
      <c r="H591" s="109"/>
      <c r="I591" s="109"/>
      <c r="J591" s="109"/>
      <c r="K591" s="109"/>
      <c r="L591" s="109"/>
      <c r="M591" s="109"/>
      <c r="N591" s="13" t="s">
        <v>9781</v>
      </c>
      <c r="O591" s="15" t="s">
        <v>285</v>
      </c>
      <c r="P591" s="15" t="s">
        <v>258</v>
      </c>
      <c r="Q591" s="15" t="s">
        <v>2906</v>
      </c>
      <c r="R591" s="109"/>
      <c r="S591" s="109"/>
      <c r="T591" s="112"/>
      <c r="U591" s="112"/>
      <c r="V591" s="112"/>
      <c r="W591" s="112"/>
    </row>
    <row r="592" spans="1:23" s="2" customFormat="1" ht="12">
      <c r="A592" s="11"/>
      <c r="B592" s="108"/>
      <c r="C592" s="109"/>
      <c r="D592" s="14" t="str">
        <f>D591</f>
        <v>Bukalapak</v>
      </c>
      <c r="E592" s="109"/>
      <c r="F592" s="112"/>
      <c r="G592" s="109"/>
      <c r="H592" s="109"/>
      <c r="I592" s="109"/>
      <c r="J592" s="109"/>
      <c r="K592" s="109"/>
      <c r="L592" s="109"/>
      <c r="M592" s="109"/>
      <c r="N592" s="13" t="s">
        <v>9782</v>
      </c>
      <c r="O592" s="13" t="s">
        <v>317</v>
      </c>
      <c r="P592" s="13" t="s">
        <v>1032</v>
      </c>
      <c r="Q592" s="13" t="s">
        <v>4844</v>
      </c>
      <c r="R592" s="109"/>
      <c r="S592" s="109"/>
      <c r="T592" s="112"/>
      <c r="U592" s="112"/>
      <c r="V592" s="112"/>
      <c r="W592" s="112"/>
    </row>
    <row r="593" spans="1:23" s="2" customFormat="1" ht="12">
      <c r="A593" s="11"/>
      <c r="B593" s="108"/>
      <c r="C593" s="109"/>
      <c r="D593" s="14" t="str">
        <f>D592</f>
        <v>Bukalapak</v>
      </c>
      <c r="E593" s="109"/>
      <c r="F593" s="112"/>
      <c r="G593" s="109"/>
      <c r="H593" s="109"/>
      <c r="I593" s="109"/>
      <c r="J593" s="109"/>
      <c r="K593" s="109"/>
      <c r="L593" s="109"/>
      <c r="M593" s="109"/>
      <c r="N593" s="13" t="s">
        <v>9235</v>
      </c>
      <c r="O593" s="13" t="s">
        <v>251</v>
      </c>
      <c r="P593" s="15" t="s">
        <v>276</v>
      </c>
      <c r="Q593" s="15" t="s">
        <v>240</v>
      </c>
      <c r="R593" s="109"/>
      <c r="S593" s="109"/>
      <c r="T593" s="112"/>
      <c r="U593" s="112"/>
      <c r="V593" s="112"/>
      <c r="W593" s="112"/>
    </row>
    <row r="594" spans="1:23" s="2" customFormat="1" ht="12">
      <c r="A594" s="11"/>
      <c r="B594" s="108"/>
      <c r="C594" s="109"/>
      <c r="D594" s="14" t="str">
        <f>D593</f>
        <v>Bukalapak</v>
      </c>
      <c r="E594" s="109"/>
      <c r="F594" s="112"/>
      <c r="G594" s="109"/>
      <c r="H594" s="109"/>
      <c r="I594" s="109"/>
      <c r="J594" s="109"/>
      <c r="K594" s="109"/>
      <c r="L594" s="109"/>
      <c r="M594" s="109"/>
      <c r="N594" s="13" t="s">
        <v>9783</v>
      </c>
      <c r="O594" s="13" t="s">
        <v>257</v>
      </c>
      <c r="P594" s="15" t="s">
        <v>258</v>
      </c>
      <c r="Q594" s="13" t="s">
        <v>4845</v>
      </c>
      <c r="R594" s="109"/>
      <c r="S594" s="109"/>
      <c r="T594" s="112"/>
      <c r="U594" s="112"/>
      <c r="V594" s="112"/>
      <c r="W594" s="112"/>
    </row>
    <row r="595" spans="1:23" s="2" customFormat="1" ht="12">
      <c r="A595" s="11"/>
      <c r="B595" s="108"/>
      <c r="C595" s="109"/>
      <c r="D595" s="14" t="str">
        <f>D594</f>
        <v>Bukalapak</v>
      </c>
      <c r="E595" s="109"/>
      <c r="F595" s="112"/>
      <c r="G595" s="109"/>
      <c r="H595" s="109"/>
      <c r="I595" s="109"/>
      <c r="J595" s="109"/>
      <c r="K595" s="109"/>
      <c r="L595" s="109"/>
      <c r="M595" s="109"/>
      <c r="N595" s="13" t="s">
        <v>9784</v>
      </c>
      <c r="O595" s="13" t="s">
        <v>262</v>
      </c>
      <c r="P595" s="15" t="s">
        <v>276</v>
      </c>
      <c r="Q595" s="13" t="s">
        <v>4846</v>
      </c>
      <c r="R595" s="109"/>
      <c r="S595" s="109"/>
      <c r="T595" s="112"/>
      <c r="U595" s="112"/>
      <c r="V595" s="112"/>
      <c r="W595" s="112"/>
    </row>
    <row r="596" spans="1:23" s="2" customFormat="1" ht="12">
      <c r="A596" s="11"/>
      <c r="B596" s="108"/>
      <c r="C596" s="109" t="s">
        <v>1743</v>
      </c>
      <c r="D596" s="14" t="s">
        <v>9785</v>
      </c>
      <c r="E596" s="113" t="s">
        <v>9785</v>
      </c>
      <c r="F596" s="114" t="s">
        <v>9786</v>
      </c>
      <c r="G596" s="113" t="s">
        <v>9787</v>
      </c>
      <c r="H596" s="109" t="s">
        <v>9788</v>
      </c>
      <c r="I596" s="109" t="s">
        <v>5029</v>
      </c>
      <c r="J596" s="113" t="s">
        <v>406</v>
      </c>
      <c r="K596" s="113" t="s">
        <v>272</v>
      </c>
      <c r="L596" s="113" t="s">
        <v>672</v>
      </c>
      <c r="M596" s="113" t="s">
        <v>9789</v>
      </c>
      <c r="N596" s="13" t="s">
        <v>1743</v>
      </c>
      <c r="O596" s="15" t="s">
        <v>285</v>
      </c>
      <c r="P596" s="15" t="s">
        <v>409</v>
      </c>
      <c r="Q596" s="15" t="s">
        <v>7882</v>
      </c>
      <c r="R596" s="109" t="s">
        <v>9790</v>
      </c>
      <c r="S596" s="109" t="s">
        <v>412</v>
      </c>
      <c r="T596" s="114" t="s">
        <v>9791</v>
      </c>
      <c r="U596" s="114" t="s">
        <v>9792</v>
      </c>
      <c r="V596" s="112" t="s">
        <v>9793</v>
      </c>
      <c r="W596" s="112"/>
    </row>
    <row r="597" spans="1:23" s="2" customFormat="1" ht="12">
      <c r="A597" s="11"/>
      <c r="B597" s="108"/>
      <c r="C597" s="109"/>
      <c r="D597" s="14" t="str">
        <f>D596</f>
        <v>企鹅科技</v>
      </c>
      <c r="E597" s="109"/>
      <c r="F597" s="112"/>
      <c r="G597" s="109"/>
      <c r="H597" s="109"/>
      <c r="I597" s="109"/>
      <c r="J597" s="109"/>
      <c r="K597" s="109"/>
      <c r="L597" s="109"/>
      <c r="M597" s="109"/>
      <c r="N597" s="13" t="s">
        <v>9794</v>
      </c>
      <c r="O597" s="15" t="s">
        <v>285</v>
      </c>
      <c r="P597" s="15" t="s">
        <v>252</v>
      </c>
      <c r="Q597" s="15" t="s">
        <v>2229</v>
      </c>
      <c r="R597" s="109"/>
      <c r="S597" s="109"/>
      <c r="T597" s="112"/>
      <c r="U597" s="112"/>
      <c r="V597" s="112"/>
      <c r="W597" s="112"/>
    </row>
    <row r="598" spans="1:23" s="2" customFormat="1" ht="12">
      <c r="A598" s="11"/>
      <c r="B598" s="108"/>
      <c r="C598" s="109"/>
      <c r="D598" s="14" t="str">
        <f>D597</f>
        <v>企鹅科技</v>
      </c>
      <c r="E598" s="109"/>
      <c r="F598" s="112"/>
      <c r="G598" s="109"/>
      <c r="H598" s="109"/>
      <c r="I598" s="109"/>
      <c r="J598" s="109"/>
      <c r="K598" s="109"/>
      <c r="L598" s="109"/>
      <c r="M598" s="109"/>
      <c r="N598" s="13" t="s">
        <v>8026</v>
      </c>
      <c r="O598" s="15" t="s">
        <v>326</v>
      </c>
      <c r="P598" s="13" t="s">
        <v>360</v>
      </c>
      <c r="Q598" s="15" t="s">
        <v>9795</v>
      </c>
      <c r="R598" s="109"/>
      <c r="S598" s="109"/>
      <c r="T598" s="112"/>
      <c r="U598" s="112"/>
      <c r="V598" s="112"/>
      <c r="W598" s="112"/>
    </row>
    <row r="599" spans="1:23" s="2" customFormat="1" ht="72">
      <c r="A599" s="11"/>
      <c r="B599" s="108"/>
      <c r="C599" s="13" t="s">
        <v>4870</v>
      </c>
      <c r="D599" s="19" t="s">
        <v>9796</v>
      </c>
      <c r="E599" s="15" t="s">
        <v>9796</v>
      </c>
      <c r="F599" s="16" t="s">
        <v>9797</v>
      </c>
      <c r="G599" s="15" t="s">
        <v>9798</v>
      </c>
      <c r="H599" s="13" t="s">
        <v>9799</v>
      </c>
      <c r="I599" s="13" t="s">
        <v>2518</v>
      </c>
      <c r="J599" s="15" t="s">
        <v>406</v>
      </c>
      <c r="K599" s="15" t="s">
        <v>272</v>
      </c>
      <c r="L599" s="15" t="s">
        <v>407</v>
      </c>
      <c r="M599" s="15" t="s">
        <v>3933</v>
      </c>
      <c r="N599" s="13" t="s">
        <v>4870</v>
      </c>
      <c r="O599" s="15" t="s">
        <v>285</v>
      </c>
      <c r="P599" s="15" t="s">
        <v>252</v>
      </c>
      <c r="Q599" s="15" t="s">
        <v>2229</v>
      </c>
      <c r="R599" s="13" t="s">
        <v>4335</v>
      </c>
      <c r="S599" s="15" t="s">
        <v>255</v>
      </c>
      <c r="T599" s="16" t="s">
        <v>9800</v>
      </c>
      <c r="U599" s="16" t="s">
        <v>9801</v>
      </c>
      <c r="V599" s="18" t="s">
        <v>9802</v>
      </c>
      <c r="W599" s="18"/>
    </row>
    <row r="600" spans="1:23" s="2" customFormat="1" ht="48">
      <c r="A600" s="11"/>
      <c r="B600" s="108"/>
      <c r="C600" s="13" t="s">
        <v>2704</v>
      </c>
      <c r="D600" s="19" t="s">
        <v>9803</v>
      </c>
      <c r="E600" s="15" t="s">
        <v>9803</v>
      </c>
      <c r="F600" s="16" t="s">
        <v>9804</v>
      </c>
      <c r="G600" s="15" t="s">
        <v>9805</v>
      </c>
      <c r="H600" s="13" t="s">
        <v>9806</v>
      </c>
      <c r="I600" s="13" t="s">
        <v>2381</v>
      </c>
      <c r="J600" s="15" t="s">
        <v>1906</v>
      </c>
      <c r="K600" s="15" t="s">
        <v>272</v>
      </c>
      <c r="L600" s="15" t="s">
        <v>1966</v>
      </c>
      <c r="M600" s="15" t="s">
        <v>9807</v>
      </c>
      <c r="N600" s="13" t="s">
        <v>2704</v>
      </c>
      <c r="O600" s="15" t="s">
        <v>285</v>
      </c>
      <c r="P600" s="13" t="s">
        <v>9808</v>
      </c>
      <c r="Q600" s="15" t="s">
        <v>9809</v>
      </c>
      <c r="R600" s="13" t="s">
        <v>9810</v>
      </c>
      <c r="S600" s="13" t="s">
        <v>2904</v>
      </c>
      <c r="T600" s="16" t="s">
        <v>9811</v>
      </c>
      <c r="U600" s="16" t="s">
        <v>9812</v>
      </c>
      <c r="V600" s="18" t="s">
        <v>9813</v>
      </c>
      <c r="W600" s="18" t="s">
        <v>9814</v>
      </c>
    </row>
    <row r="601" spans="1:23" s="2" customFormat="1" ht="57.5">
      <c r="A601" s="11"/>
      <c r="B601" s="108"/>
      <c r="C601" s="13" t="s">
        <v>9815</v>
      </c>
      <c r="D601" s="19" t="s">
        <v>9816</v>
      </c>
      <c r="E601" s="13" t="s">
        <v>9816</v>
      </c>
      <c r="F601" s="18" t="s">
        <v>9817</v>
      </c>
      <c r="G601" s="13"/>
      <c r="H601" s="13" t="s">
        <v>9818</v>
      </c>
      <c r="I601" s="13" t="s">
        <v>4160</v>
      </c>
      <c r="J601" s="15" t="s">
        <v>1931</v>
      </c>
      <c r="K601" s="15" t="s">
        <v>272</v>
      </c>
      <c r="L601" s="15" t="s">
        <v>407</v>
      </c>
      <c r="M601" s="15" t="s">
        <v>1170</v>
      </c>
      <c r="N601" s="13" t="s">
        <v>9815</v>
      </c>
      <c r="O601" s="13" t="s">
        <v>262</v>
      </c>
      <c r="P601" s="13" t="s">
        <v>337</v>
      </c>
      <c r="Q601" s="15" t="s">
        <v>9819</v>
      </c>
      <c r="R601" s="13" t="s">
        <v>2757</v>
      </c>
      <c r="S601" s="13" t="s">
        <v>339</v>
      </c>
      <c r="T601" s="18" t="s">
        <v>9820</v>
      </c>
      <c r="U601" s="18"/>
      <c r="V601" s="18"/>
      <c r="W601" s="18"/>
    </row>
    <row r="602" spans="1:23" s="2" customFormat="1" ht="96">
      <c r="A602" s="11"/>
      <c r="B602" s="108"/>
      <c r="C602" s="13" t="s">
        <v>9418</v>
      </c>
      <c r="D602" s="19" t="s">
        <v>9821</v>
      </c>
      <c r="E602" s="15" t="s">
        <v>9821</v>
      </c>
      <c r="F602" s="16" t="s">
        <v>9822</v>
      </c>
      <c r="G602" s="15" t="s">
        <v>9823</v>
      </c>
      <c r="H602" s="13"/>
      <c r="I602" s="13" t="s">
        <v>4424</v>
      </c>
      <c r="J602" s="15" t="s">
        <v>1192</v>
      </c>
      <c r="K602" s="15" t="s">
        <v>272</v>
      </c>
      <c r="L602" s="15" t="s">
        <v>1859</v>
      </c>
      <c r="M602" s="15" t="s">
        <v>8374</v>
      </c>
      <c r="N602" s="13" t="s">
        <v>9418</v>
      </c>
      <c r="O602" s="15" t="s">
        <v>285</v>
      </c>
      <c r="P602" s="15" t="s">
        <v>252</v>
      </c>
      <c r="Q602" s="15" t="s">
        <v>2229</v>
      </c>
      <c r="R602" s="13" t="s">
        <v>4335</v>
      </c>
      <c r="S602" s="15" t="s">
        <v>255</v>
      </c>
      <c r="T602" s="16" t="s">
        <v>9824</v>
      </c>
      <c r="U602" s="16" t="s">
        <v>9825</v>
      </c>
      <c r="V602" s="18" t="s">
        <v>9826</v>
      </c>
      <c r="W602" s="18" t="s">
        <v>9827</v>
      </c>
    </row>
    <row r="603" spans="1:23" s="2" customFormat="1" ht="60">
      <c r="A603" s="11"/>
      <c r="B603" s="108"/>
      <c r="C603" s="13" t="s">
        <v>9828</v>
      </c>
      <c r="D603" s="19" t="s">
        <v>9829</v>
      </c>
      <c r="E603" s="15" t="s">
        <v>9829</v>
      </c>
      <c r="F603" s="16" t="s">
        <v>9830</v>
      </c>
      <c r="G603" s="15" t="s">
        <v>9831</v>
      </c>
      <c r="H603" s="13" t="s">
        <v>9832</v>
      </c>
      <c r="I603" s="13" t="s">
        <v>1922</v>
      </c>
      <c r="J603" s="15" t="s">
        <v>3382</v>
      </c>
      <c r="K603" s="15" t="s">
        <v>272</v>
      </c>
      <c r="L603" s="15" t="s">
        <v>1859</v>
      </c>
      <c r="M603" s="15" t="s">
        <v>8374</v>
      </c>
      <c r="N603" s="13" t="s">
        <v>9828</v>
      </c>
      <c r="O603" s="15" t="s">
        <v>326</v>
      </c>
      <c r="P603" s="15" t="s">
        <v>252</v>
      </c>
      <c r="Q603" s="15" t="s">
        <v>2229</v>
      </c>
      <c r="R603" s="13" t="s">
        <v>2839</v>
      </c>
      <c r="S603" s="15" t="s">
        <v>255</v>
      </c>
      <c r="T603" s="16" t="s">
        <v>9833</v>
      </c>
      <c r="U603" s="16" t="s">
        <v>9834</v>
      </c>
      <c r="V603" s="18" t="s">
        <v>9835</v>
      </c>
      <c r="W603" s="18" t="s">
        <v>9836</v>
      </c>
    </row>
    <row r="604" spans="1:23" s="2" customFormat="1" ht="12">
      <c r="A604" s="11"/>
      <c r="B604" s="108"/>
      <c r="C604" s="109" t="s">
        <v>9837</v>
      </c>
      <c r="D604" s="14" t="s">
        <v>9838</v>
      </c>
      <c r="E604" s="113" t="s">
        <v>9838</v>
      </c>
      <c r="F604" s="114" t="s">
        <v>9839</v>
      </c>
      <c r="G604" s="113" t="s">
        <v>9840</v>
      </c>
      <c r="H604" s="109" t="s">
        <v>9841</v>
      </c>
      <c r="I604" s="109" t="s">
        <v>1214</v>
      </c>
      <c r="J604" s="113" t="s">
        <v>3842</v>
      </c>
      <c r="K604" s="113" t="s">
        <v>272</v>
      </c>
      <c r="L604" s="113" t="s">
        <v>672</v>
      </c>
      <c r="M604" s="113" t="s">
        <v>853</v>
      </c>
      <c r="N604" s="13" t="s">
        <v>9837</v>
      </c>
      <c r="O604" s="15" t="s">
        <v>285</v>
      </c>
      <c r="P604" s="15" t="s">
        <v>252</v>
      </c>
      <c r="Q604" s="15" t="s">
        <v>2229</v>
      </c>
      <c r="R604" s="109" t="s">
        <v>9842</v>
      </c>
      <c r="S604" s="113" t="s">
        <v>255</v>
      </c>
      <c r="T604" s="114" t="s">
        <v>9843</v>
      </c>
      <c r="U604" s="114" t="s">
        <v>9844</v>
      </c>
      <c r="V604" s="112" t="s">
        <v>9845</v>
      </c>
      <c r="W604" s="112" t="s">
        <v>9846</v>
      </c>
    </row>
    <row r="605" spans="1:23" s="2" customFormat="1" ht="12">
      <c r="A605" s="11"/>
      <c r="B605" s="108"/>
      <c r="C605" s="109"/>
      <c r="D605" s="14" t="str">
        <f>D604</f>
        <v>易触科技</v>
      </c>
      <c r="E605" s="109"/>
      <c r="F605" s="112"/>
      <c r="G605" s="109"/>
      <c r="H605" s="109"/>
      <c r="I605" s="109"/>
      <c r="J605" s="109"/>
      <c r="K605" s="109"/>
      <c r="L605" s="109"/>
      <c r="M605" s="109"/>
      <c r="N605" s="13" t="s">
        <v>9847</v>
      </c>
      <c r="O605" s="13" t="s">
        <v>262</v>
      </c>
      <c r="P605" s="15" t="s">
        <v>252</v>
      </c>
      <c r="Q605" s="15" t="s">
        <v>9848</v>
      </c>
      <c r="R605" s="109"/>
      <c r="S605" s="109"/>
      <c r="T605" s="112"/>
      <c r="U605" s="112"/>
      <c r="V605" s="112"/>
      <c r="W605" s="112"/>
    </row>
    <row r="606" spans="1:23" s="2" customFormat="1" ht="12">
      <c r="A606" s="11"/>
      <c r="B606" s="108"/>
      <c r="C606" s="109"/>
      <c r="D606" s="14" t="str">
        <f>D605</f>
        <v>易触科技</v>
      </c>
      <c r="E606" s="109"/>
      <c r="F606" s="112"/>
      <c r="G606" s="109"/>
      <c r="H606" s="109"/>
      <c r="I606" s="109"/>
      <c r="J606" s="109"/>
      <c r="K606" s="109"/>
      <c r="L606" s="109"/>
      <c r="M606" s="109"/>
      <c r="N606" s="13" t="s">
        <v>9849</v>
      </c>
      <c r="O606" s="15" t="s">
        <v>326</v>
      </c>
      <c r="P606" s="15" t="s">
        <v>252</v>
      </c>
      <c r="Q606" s="15" t="s">
        <v>7882</v>
      </c>
      <c r="R606" s="109"/>
      <c r="S606" s="109"/>
      <c r="T606" s="112"/>
      <c r="U606" s="112"/>
      <c r="V606" s="112"/>
      <c r="W606" s="112"/>
    </row>
    <row r="607" spans="1:23" s="2" customFormat="1" ht="12">
      <c r="A607" s="11"/>
      <c r="B607" s="108"/>
      <c r="C607" s="109" t="s">
        <v>9850</v>
      </c>
      <c r="D607" s="14" t="s">
        <v>9851</v>
      </c>
      <c r="E607" s="113" t="s">
        <v>9851</v>
      </c>
      <c r="F607" s="114" t="s">
        <v>9852</v>
      </c>
      <c r="G607" s="113" t="s">
        <v>9853</v>
      </c>
      <c r="H607" s="109" t="s">
        <v>9854</v>
      </c>
      <c r="I607" s="109" t="s">
        <v>3464</v>
      </c>
      <c r="J607" s="113" t="s">
        <v>406</v>
      </c>
      <c r="K607" s="113" t="s">
        <v>272</v>
      </c>
      <c r="L607" s="113" t="s">
        <v>1859</v>
      </c>
      <c r="M607" s="113" t="s">
        <v>4173</v>
      </c>
      <c r="N607" s="13" t="s">
        <v>9850</v>
      </c>
      <c r="O607" s="15" t="s">
        <v>285</v>
      </c>
      <c r="P607" s="15" t="s">
        <v>252</v>
      </c>
      <c r="Q607" s="15" t="s">
        <v>9855</v>
      </c>
      <c r="R607" s="109" t="s">
        <v>9856</v>
      </c>
      <c r="S607" s="113" t="s">
        <v>255</v>
      </c>
      <c r="T607" s="114" t="s">
        <v>9857</v>
      </c>
      <c r="U607" s="114" t="s">
        <v>9858</v>
      </c>
      <c r="V607" s="112" t="s">
        <v>9859</v>
      </c>
      <c r="W607" s="112"/>
    </row>
    <row r="608" spans="1:23" s="2" customFormat="1" ht="12">
      <c r="A608" s="11"/>
      <c r="B608" s="108"/>
      <c r="C608" s="109"/>
      <c r="D608" s="14" t="str">
        <f>D607</f>
        <v>网商银行</v>
      </c>
      <c r="E608" s="109"/>
      <c r="F608" s="112"/>
      <c r="G608" s="109"/>
      <c r="H608" s="109"/>
      <c r="I608" s="109"/>
      <c r="J608" s="109"/>
      <c r="K608" s="109"/>
      <c r="L608" s="109"/>
      <c r="M608" s="109"/>
      <c r="N608" s="13" t="s">
        <v>9860</v>
      </c>
      <c r="O608" s="15" t="s">
        <v>326</v>
      </c>
      <c r="P608" s="15" t="s">
        <v>252</v>
      </c>
      <c r="Q608" s="15" t="s">
        <v>2229</v>
      </c>
      <c r="R608" s="109"/>
      <c r="S608" s="109"/>
      <c r="T608" s="112"/>
      <c r="U608" s="112"/>
      <c r="V608" s="112"/>
      <c r="W608" s="112"/>
    </row>
    <row r="609" spans="1:23" s="2" customFormat="1" ht="84">
      <c r="A609" s="11"/>
      <c r="B609" s="108"/>
      <c r="C609" s="13" t="s">
        <v>9861</v>
      </c>
      <c r="D609" s="19" t="s">
        <v>9862</v>
      </c>
      <c r="E609" s="15" t="s">
        <v>9862</v>
      </c>
      <c r="F609" s="16" t="s">
        <v>9863</v>
      </c>
      <c r="G609" s="15" t="s">
        <v>9864</v>
      </c>
      <c r="H609" s="13"/>
      <c r="I609" s="13" t="s">
        <v>9865</v>
      </c>
      <c r="J609" s="15" t="s">
        <v>9866</v>
      </c>
      <c r="K609" s="15" t="s">
        <v>272</v>
      </c>
      <c r="L609" s="15" t="s">
        <v>273</v>
      </c>
      <c r="M609" s="15" t="s">
        <v>9867</v>
      </c>
      <c r="N609" s="13" t="s">
        <v>9861</v>
      </c>
      <c r="O609" s="13" t="s">
        <v>262</v>
      </c>
      <c r="P609" s="13" t="s">
        <v>9868</v>
      </c>
      <c r="Q609" s="15" t="s">
        <v>9869</v>
      </c>
      <c r="R609" s="13" t="s">
        <v>9870</v>
      </c>
      <c r="S609" s="13" t="s">
        <v>3041</v>
      </c>
      <c r="T609" s="18"/>
      <c r="U609" s="16" t="s">
        <v>9871</v>
      </c>
      <c r="V609" s="18"/>
      <c r="W609" s="18"/>
    </row>
    <row r="610" spans="1:23" s="2" customFormat="1" ht="12">
      <c r="A610" s="11"/>
      <c r="B610" s="108"/>
      <c r="C610" s="109" t="s">
        <v>9872</v>
      </c>
      <c r="D610" s="14" t="s">
        <v>9873</v>
      </c>
      <c r="E610" s="113" t="s">
        <v>9873</v>
      </c>
      <c r="F610" s="114" t="s">
        <v>9874</v>
      </c>
      <c r="G610" s="113" t="s">
        <v>9875</v>
      </c>
      <c r="H610" s="109"/>
      <c r="I610" s="109" t="s">
        <v>3983</v>
      </c>
      <c r="J610" s="113" t="s">
        <v>973</v>
      </c>
      <c r="K610" s="113" t="s">
        <v>272</v>
      </c>
      <c r="L610" s="113" t="s">
        <v>1798</v>
      </c>
      <c r="M610" s="113" t="s">
        <v>9876</v>
      </c>
      <c r="N610" s="13" t="s">
        <v>9872</v>
      </c>
      <c r="O610" s="13" t="s">
        <v>721</v>
      </c>
      <c r="P610" s="15" t="s">
        <v>252</v>
      </c>
      <c r="Q610" s="15" t="s">
        <v>2229</v>
      </c>
      <c r="R610" s="109" t="s">
        <v>9877</v>
      </c>
      <c r="S610" s="113" t="s">
        <v>255</v>
      </c>
      <c r="T610" s="114" t="s">
        <v>9878</v>
      </c>
      <c r="U610" s="114" t="s">
        <v>9879</v>
      </c>
      <c r="V610" s="112" t="s">
        <v>9880</v>
      </c>
      <c r="W610" s="112" t="s">
        <v>9881</v>
      </c>
    </row>
    <row r="611" spans="1:23" s="2" customFormat="1" ht="12">
      <c r="A611" s="11"/>
      <c r="B611" s="108"/>
      <c r="C611" s="109"/>
      <c r="D611" s="14" t="str">
        <f>D610</f>
        <v>约健</v>
      </c>
      <c r="E611" s="109"/>
      <c r="F611" s="112"/>
      <c r="G611" s="109"/>
      <c r="H611" s="109"/>
      <c r="I611" s="109"/>
      <c r="J611" s="109"/>
      <c r="K611" s="109"/>
      <c r="L611" s="109"/>
      <c r="M611" s="109"/>
      <c r="N611" s="13" t="s">
        <v>9882</v>
      </c>
      <c r="O611" s="15" t="s">
        <v>326</v>
      </c>
      <c r="P611" s="13" t="s">
        <v>623</v>
      </c>
      <c r="Q611" s="13" t="s">
        <v>253</v>
      </c>
      <c r="R611" s="109"/>
      <c r="S611" s="109"/>
      <c r="T611" s="112"/>
      <c r="U611" s="112"/>
      <c r="V611" s="112"/>
      <c r="W611" s="112"/>
    </row>
    <row r="612" spans="1:23" s="2" customFormat="1" ht="36">
      <c r="A612" s="11"/>
      <c r="B612" s="108"/>
      <c r="C612" s="13" t="s">
        <v>9883</v>
      </c>
      <c r="D612" s="19" t="s">
        <v>9884</v>
      </c>
      <c r="E612" s="13" t="s">
        <v>9884</v>
      </c>
      <c r="F612" s="18" t="s">
        <v>9885</v>
      </c>
      <c r="G612" s="13"/>
      <c r="H612" s="13"/>
      <c r="I612" s="13" t="s">
        <v>5063</v>
      </c>
      <c r="J612" s="15" t="s">
        <v>5480</v>
      </c>
      <c r="K612" s="15" t="s">
        <v>272</v>
      </c>
      <c r="L612" s="15" t="s">
        <v>1859</v>
      </c>
      <c r="M612" s="15" t="s">
        <v>2900</v>
      </c>
      <c r="N612" s="13" t="s">
        <v>9883</v>
      </c>
      <c r="O612" s="15" t="s">
        <v>285</v>
      </c>
      <c r="P612" s="15" t="s">
        <v>2879</v>
      </c>
      <c r="Q612" s="15" t="s">
        <v>2229</v>
      </c>
      <c r="R612" s="13" t="s">
        <v>4335</v>
      </c>
      <c r="S612" s="15" t="s">
        <v>255</v>
      </c>
      <c r="T612" s="18"/>
      <c r="U612" s="18"/>
      <c r="V612" s="18"/>
      <c r="W612" s="18"/>
    </row>
    <row r="613" spans="1:23" s="2" customFormat="1" ht="12">
      <c r="A613" s="11"/>
      <c r="B613" s="108"/>
      <c r="C613" s="109" t="s">
        <v>9886</v>
      </c>
      <c r="D613" s="14" t="s">
        <v>9887</v>
      </c>
      <c r="E613" s="113" t="s">
        <v>9887</v>
      </c>
      <c r="F613" s="114" t="s">
        <v>9888</v>
      </c>
      <c r="G613" s="113" t="s">
        <v>9889</v>
      </c>
      <c r="H613" s="109" t="s">
        <v>9890</v>
      </c>
      <c r="I613" s="109" t="s">
        <v>9891</v>
      </c>
      <c r="J613" s="113" t="s">
        <v>349</v>
      </c>
      <c r="K613" s="113" t="s">
        <v>272</v>
      </c>
      <c r="L613" s="113" t="s">
        <v>386</v>
      </c>
      <c r="M613" s="113" t="s">
        <v>1767</v>
      </c>
      <c r="N613" s="13" t="s">
        <v>9886</v>
      </c>
      <c r="O613" s="13" t="s">
        <v>687</v>
      </c>
      <c r="P613" s="13" t="s">
        <v>9892</v>
      </c>
      <c r="Q613" s="15" t="s">
        <v>2229</v>
      </c>
      <c r="R613" s="109" t="s">
        <v>9893</v>
      </c>
      <c r="S613" s="109" t="s">
        <v>9894</v>
      </c>
      <c r="T613" s="114" t="s">
        <v>9895</v>
      </c>
      <c r="U613" s="114" t="s">
        <v>9896</v>
      </c>
      <c r="V613" s="112" t="s">
        <v>9897</v>
      </c>
      <c r="W613" s="112" t="s">
        <v>9898</v>
      </c>
    </row>
    <row r="614" spans="1:23" s="2" customFormat="1" ht="12">
      <c r="A614" s="11"/>
      <c r="B614" s="108"/>
      <c r="C614" s="109"/>
      <c r="D614" s="14" t="str">
        <f>D613</f>
        <v>金桥信息</v>
      </c>
      <c r="E614" s="109"/>
      <c r="F614" s="112"/>
      <c r="G614" s="109"/>
      <c r="H614" s="109"/>
      <c r="I614" s="109"/>
      <c r="J614" s="109"/>
      <c r="K614" s="109"/>
      <c r="L614" s="109"/>
      <c r="M614" s="109"/>
      <c r="N614" s="13" t="s">
        <v>9860</v>
      </c>
      <c r="O614" s="13" t="s">
        <v>283</v>
      </c>
      <c r="P614" s="13" t="s">
        <v>9899</v>
      </c>
      <c r="Q614" s="13" t="s">
        <v>253</v>
      </c>
      <c r="R614" s="109"/>
      <c r="S614" s="109"/>
      <c r="T614" s="112"/>
      <c r="U614" s="112"/>
      <c r="V614" s="112"/>
      <c r="W614" s="112"/>
    </row>
    <row r="615" spans="1:23" s="2" customFormat="1" ht="108">
      <c r="A615" s="11"/>
      <c r="B615" s="108"/>
      <c r="C615" s="13" t="s">
        <v>9900</v>
      </c>
      <c r="D615" s="19" t="s">
        <v>9901</v>
      </c>
      <c r="E615" s="15" t="s">
        <v>9901</v>
      </c>
      <c r="F615" s="16" t="s">
        <v>9902</v>
      </c>
      <c r="G615" s="15" t="s">
        <v>9903</v>
      </c>
      <c r="H615" s="13" t="s">
        <v>9904</v>
      </c>
      <c r="I615" s="13" t="s">
        <v>4683</v>
      </c>
      <c r="J615" s="15" t="s">
        <v>1192</v>
      </c>
      <c r="K615" s="15" t="s">
        <v>272</v>
      </c>
      <c r="L615" s="15" t="s">
        <v>350</v>
      </c>
      <c r="M615" s="15" t="s">
        <v>2314</v>
      </c>
      <c r="N615" s="13" t="s">
        <v>9900</v>
      </c>
      <c r="O615" s="15" t="s">
        <v>285</v>
      </c>
      <c r="P615" s="15" t="s">
        <v>252</v>
      </c>
      <c r="Q615" s="15" t="s">
        <v>2229</v>
      </c>
      <c r="R615" s="13" t="s">
        <v>4335</v>
      </c>
      <c r="S615" s="15" t="s">
        <v>255</v>
      </c>
      <c r="T615" s="16" t="s">
        <v>9905</v>
      </c>
      <c r="U615" s="16" t="s">
        <v>9906</v>
      </c>
      <c r="V615" s="18" t="s">
        <v>9907</v>
      </c>
      <c r="W615" s="18" t="s">
        <v>9908</v>
      </c>
    </row>
    <row r="616" spans="1:23" s="2" customFormat="1" ht="96">
      <c r="A616" s="11"/>
      <c r="B616" s="108"/>
      <c r="C616" s="13" t="s">
        <v>4120</v>
      </c>
      <c r="D616" s="19" t="s">
        <v>9909</v>
      </c>
      <c r="E616" s="15" t="s">
        <v>9909</v>
      </c>
      <c r="F616" s="16" t="s">
        <v>9910</v>
      </c>
      <c r="G616" s="15" t="s">
        <v>9911</v>
      </c>
      <c r="H616" s="13"/>
      <c r="I616" s="13" t="s">
        <v>5491</v>
      </c>
      <c r="J616" s="15" t="s">
        <v>406</v>
      </c>
      <c r="K616" s="15" t="s">
        <v>272</v>
      </c>
      <c r="L616" s="15" t="s">
        <v>273</v>
      </c>
      <c r="M616" s="15" t="s">
        <v>2598</v>
      </c>
      <c r="N616" s="13" t="s">
        <v>4120</v>
      </c>
      <c r="O616" s="15" t="s">
        <v>285</v>
      </c>
      <c r="P616" s="13" t="s">
        <v>3740</v>
      </c>
      <c r="Q616" s="15" t="s">
        <v>2229</v>
      </c>
      <c r="R616" s="13" t="s">
        <v>3742</v>
      </c>
      <c r="S616" s="13" t="s">
        <v>9912</v>
      </c>
      <c r="T616" s="18"/>
      <c r="U616" s="16" t="s">
        <v>9913</v>
      </c>
      <c r="V616" s="18"/>
      <c r="W616" s="18"/>
    </row>
    <row r="617" spans="1:23" s="2" customFormat="1" ht="59.5">
      <c r="A617" s="11"/>
      <c r="B617" s="108"/>
      <c r="C617" s="13" t="s">
        <v>9914</v>
      </c>
      <c r="D617" s="19" t="s">
        <v>9915</v>
      </c>
      <c r="E617" s="13" t="s">
        <v>9915</v>
      </c>
      <c r="F617" s="18" t="s">
        <v>9916</v>
      </c>
      <c r="G617" s="13"/>
      <c r="H617" s="13" t="s">
        <v>9917</v>
      </c>
      <c r="I617" s="13" t="s">
        <v>2887</v>
      </c>
      <c r="J617" s="15" t="s">
        <v>9918</v>
      </c>
      <c r="K617" s="15" t="s">
        <v>272</v>
      </c>
      <c r="L617" s="15" t="s">
        <v>1859</v>
      </c>
      <c r="M617" s="15" t="s">
        <v>2900</v>
      </c>
      <c r="N617" s="13" t="s">
        <v>9914</v>
      </c>
      <c r="O617" s="15" t="s">
        <v>285</v>
      </c>
      <c r="P617" s="13" t="s">
        <v>9919</v>
      </c>
      <c r="Q617" s="15" t="s">
        <v>2229</v>
      </c>
      <c r="R617" s="13" t="s">
        <v>8442</v>
      </c>
      <c r="S617" s="13" t="s">
        <v>9920</v>
      </c>
      <c r="T617" s="18" t="s">
        <v>9921</v>
      </c>
      <c r="U617" s="18"/>
      <c r="V617" s="18"/>
      <c r="W617" s="18"/>
    </row>
    <row r="618" spans="1:23" s="2" customFormat="1" ht="120">
      <c r="A618" s="11"/>
      <c r="B618" s="108"/>
      <c r="C618" s="13" t="s">
        <v>9922</v>
      </c>
      <c r="D618" s="19" t="s">
        <v>9923</v>
      </c>
      <c r="E618" s="15" t="s">
        <v>9923</v>
      </c>
      <c r="F618" s="16" t="s">
        <v>9924</v>
      </c>
      <c r="G618" s="15" t="s">
        <v>9925</v>
      </c>
      <c r="H618" s="13" t="s">
        <v>9926</v>
      </c>
      <c r="I618" s="13" t="s">
        <v>9927</v>
      </c>
      <c r="J618" s="15" t="s">
        <v>1472</v>
      </c>
      <c r="K618" s="15" t="s">
        <v>272</v>
      </c>
      <c r="L618" s="15" t="s">
        <v>407</v>
      </c>
      <c r="M618" s="15" t="s">
        <v>8344</v>
      </c>
      <c r="N618" s="13" t="s">
        <v>9922</v>
      </c>
      <c r="O618" s="15" t="s">
        <v>285</v>
      </c>
      <c r="P618" s="15" t="s">
        <v>252</v>
      </c>
      <c r="Q618" s="15" t="s">
        <v>2229</v>
      </c>
      <c r="R618" s="13" t="s">
        <v>4335</v>
      </c>
      <c r="S618" s="15" t="s">
        <v>255</v>
      </c>
      <c r="T618" s="18"/>
      <c r="U618" s="16" t="s">
        <v>9928</v>
      </c>
      <c r="V618" s="18" t="s">
        <v>9929</v>
      </c>
      <c r="W618" s="18" t="s">
        <v>9930</v>
      </c>
    </row>
    <row r="619" spans="1:23" s="2" customFormat="1" ht="12">
      <c r="A619" s="11"/>
      <c r="B619" s="108"/>
      <c r="C619" s="109" t="s">
        <v>9931</v>
      </c>
      <c r="D619" s="14" t="s">
        <v>9932</v>
      </c>
      <c r="E619" s="113" t="s">
        <v>9932</v>
      </c>
      <c r="F619" s="114" t="s">
        <v>9933</v>
      </c>
      <c r="G619" s="113" t="s">
        <v>9934</v>
      </c>
      <c r="H619" s="109" t="s">
        <v>9935</v>
      </c>
      <c r="I619" s="109" t="s">
        <v>9936</v>
      </c>
      <c r="J619" s="113" t="s">
        <v>385</v>
      </c>
      <c r="K619" s="113" t="s">
        <v>272</v>
      </c>
      <c r="L619" s="113" t="s">
        <v>407</v>
      </c>
      <c r="M619" s="113" t="s">
        <v>408</v>
      </c>
      <c r="N619" s="13" t="s">
        <v>9931</v>
      </c>
      <c r="O619" s="15" t="s">
        <v>285</v>
      </c>
      <c r="P619" s="15" t="s">
        <v>252</v>
      </c>
      <c r="Q619" s="15" t="s">
        <v>2229</v>
      </c>
      <c r="R619" s="109" t="s">
        <v>9937</v>
      </c>
      <c r="S619" s="113" t="s">
        <v>255</v>
      </c>
      <c r="T619" s="114" t="s">
        <v>9938</v>
      </c>
      <c r="U619" s="114" t="s">
        <v>9939</v>
      </c>
      <c r="V619" s="112"/>
      <c r="W619" s="112" t="s">
        <v>9940</v>
      </c>
    </row>
    <row r="620" spans="1:23" s="2" customFormat="1" ht="12">
      <c r="A620" s="11"/>
      <c r="B620" s="108"/>
      <c r="C620" s="109"/>
      <c r="D620" s="14" t="str">
        <f>D619</f>
        <v>融数联智</v>
      </c>
      <c r="E620" s="109"/>
      <c r="F620" s="112"/>
      <c r="G620" s="109"/>
      <c r="H620" s="109"/>
      <c r="I620" s="109"/>
      <c r="J620" s="109"/>
      <c r="K620" s="109"/>
      <c r="L620" s="109"/>
      <c r="M620" s="109"/>
      <c r="N620" s="13" t="s">
        <v>9941</v>
      </c>
      <c r="O620" s="13" t="s">
        <v>262</v>
      </c>
      <c r="P620" s="15" t="s">
        <v>341</v>
      </c>
      <c r="Q620" s="15" t="s">
        <v>9942</v>
      </c>
      <c r="R620" s="109"/>
      <c r="S620" s="109"/>
      <c r="T620" s="112"/>
      <c r="U620" s="112"/>
      <c r="V620" s="112"/>
      <c r="W620" s="112"/>
    </row>
    <row r="621" spans="1:23" s="2" customFormat="1" ht="12">
      <c r="A621" s="11"/>
      <c r="B621" s="108"/>
      <c r="C621" s="109"/>
      <c r="D621" s="14" t="str">
        <f>D620</f>
        <v>融数联智</v>
      </c>
      <c r="E621" s="109"/>
      <c r="F621" s="112"/>
      <c r="G621" s="109"/>
      <c r="H621" s="109"/>
      <c r="I621" s="109"/>
      <c r="J621" s="109"/>
      <c r="K621" s="109"/>
      <c r="L621" s="109"/>
      <c r="M621" s="109"/>
      <c r="N621" s="13" t="s">
        <v>9943</v>
      </c>
      <c r="O621" s="13" t="s">
        <v>721</v>
      </c>
      <c r="P621" s="13" t="s">
        <v>360</v>
      </c>
      <c r="Q621" s="13" t="s">
        <v>253</v>
      </c>
      <c r="R621" s="109"/>
      <c r="S621" s="109"/>
      <c r="T621" s="112"/>
      <c r="U621" s="112"/>
      <c r="V621" s="112"/>
      <c r="W621" s="112"/>
    </row>
    <row r="622" spans="1:23" s="2" customFormat="1" ht="12">
      <c r="A622" s="11"/>
      <c r="B622" s="108"/>
      <c r="C622" s="109"/>
      <c r="D622" s="14" t="str">
        <f>D621</f>
        <v>融数联智</v>
      </c>
      <c r="E622" s="109"/>
      <c r="F622" s="112"/>
      <c r="G622" s="109"/>
      <c r="H622" s="109"/>
      <c r="I622" s="109"/>
      <c r="J622" s="109"/>
      <c r="K622" s="109"/>
      <c r="L622" s="109"/>
      <c r="M622" s="109"/>
      <c r="N622" s="13" t="s">
        <v>9944</v>
      </c>
      <c r="O622" s="15" t="s">
        <v>326</v>
      </c>
      <c r="P622" s="15" t="s">
        <v>327</v>
      </c>
      <c r="Q622" s="15" t="s">
        <v>9945</v>
      </c>
      <c r="R622" s="109"/>
      <c r="S622" s="109"/>
      <c r="T622" s="112"/>
      <c r="U622" s="112"/>
      <c r="V622" s="112"/>
      <c r="W622" s="112"/>
    </row>
    <row r="623" spans="1:23" s="2" customFormat="1" ht="12">
      <c r="A623" s="11"/>
      <c r="B623" s="108"/>
      <c r="C623" s="109" t="s">
        <v>9946</v>
      </c>
      <c r="D623" s="14" t="s">
        <v>9947</v>
      </c>
      <c r="E623" s="113" t="s">
        <v>9947</v>
      </c>
      <c r="F623" s="114" t="s">
        <v>9948</v>
      </c>
      <c r="G623" s="113" t="s">
        <v>9949</v>
      </c>
      <c r="H623" s="109" t="s">
        <v>9950</v>
      </c>
      <c r="I623" s="109" t="s">
        <v>4160</v>
      </c>
      <c r="J623" s="113" t="s">
        <v>406</v>
      </c>
      <c r="K623" s="113" t="s">
        <v>272</v>
      </c>
      <c r="L623" s="113" t="s">
        <v>386</v>
      </c>
      <c r="M623" s="109" t="s">
        <v>9951</v>
      </c>
      <c r="N623" s="13" t="s">
        <v>9946</v>
      </c>
      <c r="O623" s="13" t="s">
        <v>687</v>
      </c>
      <c r="P623" s="13" t="s">
        <v>9952</v>
      </c>
      <c r="Q623" s="15" t="s">
        <v>2229</v>
      </c>
      <c r="R623" s="109" t="s">
        <v>9953</v>
      </c>
      <c r="S623" s="109" t="s">
        <v>9954</v>
      </c>
      <c r="T623" s="114" t="s">
        <v>9955</v>
      </c>
      <c r="U623" s="114" t="s">
        <v>9956</v>
      </c>
      <c r="V623" s="112" t="s">
        <v>9957</v>
      </c>
      <c r="W623" s="112" t="s">
        <v>9958</v>
      </c>
    </row>
    <row r="624" spans="1:23" s="2" customFormat="1" ht="12">
      <c r="A624" s="11"/>
      <c r="B624" s="108"/>
      <c r="C624" s="109"/>
      <c r="D624" s="14" t="str">
        <f>D623</f>
        <v>阜博集团</v>
      </c>
      <c r="E624" s="109"/>
      <c r="F624" s="112"/>
      <c r="G624" s="109"/>
      <c r="H624" s="109"/>
      <c r="I624" s="109"/>
      <c r="J624" s="109"/>
      <c r="K624" s="109"/>
      <c r="L624" s="109"/>
      <c r="M624" s="109"/>
      <c r="N624" s="13" t="s">
        <v>9959</v>
      </c>
      <c r="O624" s="13" t="s">
        <v>687</v>
      </c>
      <c r="P624" s="13" t="s">
        <v>9960</v>
      </c>
      <c r="Q624" s="15" t="s">
        <v>9961</v>
      </c>
      <c r="R624" s="109"/>
      <c r="S624" s="109"/>
      <c r="T624" s="112"/>
      <c r="U624" s="112"/>
      <c r="V624" s="112"/>
      <c r="W624" s="112"/>
    </row>
    <row r="625" spans="1:23" s="2" customFormat="1" ht="12">
      <c r="A625" s="11"/>
      <c r="B625" s="108"/>
      <c r="C625" s="109"/>
      <c r="D625" s="14" t="str">
        <f>D624</f>
        <v>阜博集团</v>
      </c>
      <c r="E625" s="109"/>
      <c r="F625" s="112"/>
      <c r="G625" s="109"/>
      <c r="H625" s="109"/>
      <c r="I625" s="109"/>
      <c r="J625" s="109"/>
      <c r="K625" s="109"/>
      <c r="L625" s="109"/>
      <c r="M625" s="109"/>
      <c r="N625" s="13" t="s">
        <v>9962</v>
      </c>
      <c r="O625" s="13" t="s">
        <v>283</v>
      </c>
      <c r="P625" s="15" t="s">
        <v>9963</v>
      </c>
      <c r="Q625" s="13" t="s">
        <v>253</v>
      </c>
      <c r="R625" s="109"/>
      <c r="S625" s="109"/>
      <c r="T625" s="112"/>
      <c r="U625" s="112"/>
      <c r="V625" s="112"/>
      <c r="W625" s="112"/>
    </row>
    <row r="626" spans="1:23" s="2" customFormat="1" ht="12">
      <c r="A626" s="11"/>
      <c r="B626" s="108"/>
      <c r="C626" s="109"/>
      <c r="D626" s="14" t="str">
        <f>D625</f>
        <v>阜博集团</v>
      </c>
      <c r="E626" s="109"/>
      <c r="F626" s="112"/>
      <c r="G626" s="109"/>
      <c r="H626" s="109"/>
      <c r="I626" s="109"/>
      <c r="J626" s="109"/>
      <c r="K626" s="109"/>
      <c r="L626" s="109"/>
      <c r="M626" s="109"/>
      <c r="N626" s="13" t="s">
        <v>9964</v>
      </c>
      <c r="O626" s="13" t="s">
        <v>262</v>
      </c>
      <c r="P626" s="13" t="s">
        <v>395</v>
      </c>
      <c r="Q626" s="15" t="s">
        <v>9965</v>
      </c>
      <c r="R626" s="109"/>
      <c r="S626" s="109"/>
      <c r="T626" s="112"/>
      <c r="U626" s="112"/>
      <c r="V626" s="112"/>
      <c r="W626" s="112"/>
    </row>
    <row r="627" spans="1:23" s="2" customFormat="1" ht="12">
      <c r="A627" s="11"/>
      <c r="B627" s="108"/>
      <c r="C627" s="109" t="s">
        <v>1646</v>
      </c>
      <c r="D627" s="14" t="s">
        <v>9966</v>
      </c>
      <c r="E627" s="113" t="s">
        <v>9966</v>
      </c>
      <c r="F627" s="114" t="s">
        <v>9967</v>
      </c>
      <c r="G627" s="113" t="s">
        <v>9968</v>
      </c>
      <c r="H627" s="109" t="s">
        <v>9969</v>
      </c>
      <c r="I627" s="109" t="s">
        <v>1845</v>
      </c>
      <c r="J627" s="113" t="s">
        <v>271</v>
      </c>
      <c r="K627" s="113" t="s">
        <v>272</v>
      </c>
      <c r="L627" s="113" t="s">
        <v>407</v>
      </c>
      <c r="M627" s="113" t="s">
        <v>1932</v>
      </c>
      <c r="N627" s="13" t="s">
        <v>1646</v>
      </c>
      <c r="O627" s="13" t="s">
        <v>687</v>
      </c>
      <c r="P627" s="13" t="s">
        <v>9970</v>
      </c>
      <c r="Q627" s="15" t="s">
        <v>2331</v>
      </c>
      <c r="R627" s="109" t="s">
        <v>9971</v>
      </c>
      <c r="S627" s="109" t="s">
        <v>9972</v>
      </c>
      <c r="T627" s="112"/>
      <c r="U627" s="114" t="s">
        <v>9973</v>
      </c>
      <c r="V627" s="112" t="s">
        <v>9974</v>
      </c>
      <c r="W627" s="112" t="s">
        <v>9975</v>
      </c>
    </row>
    <row r="628" spans="1:23" s="2" customFormat="1" ht="12">
      <c r="A628" s="11"/>
      <c r="B628" s="108"/>
      <c r="C628" s="109"/>
      <c r="D628" s="14" t="str">
        <f>D627</f>
        <v>华宇软件</v>
      </c>
      <c r="E628" s="109"/>
      <c r="F628" s="112"/>
      <c r="G628" s="109"/>
      <c r="H628" s="109"/>
      <c r="I628" s="109"/>
      <c r="J628" s="109"/>
      <c r="K628" s="109"/>
      <c r="L628" s="109"/>
      <c r="M628" s="109"/>
      <c r="N628" s="13" t="s">
        <v>9976</v>
      </c>
      <c r="O628" s="13" t="s">
        <v>687</v>
      </c>
      <c r="P628" s="13" t="s">
        <v>9977</v>
      </c>
      <c r="Q628" s="15" t="s">
        <v>9978</v>
      </c>
      <c r="R628" s="109"/>
      <c r="S628" s="109"/>
      <c r="T628" s="112"/>
      <c r="U628" s="112"/>
      <c r="V628" s="112"/>
      <c r="W628" s="112"/>
    </row>
    <row r="629" spans="1:23" s="2" customFormat="1" ht="12">
      <c r="A629" s="11"/>
      <c r="B629" s="108"/>
      <c r="C629" s="109"/>
      <c r="D629" s="14" t="str">
        <f>D628</f>
        <v>华宇软件</v>
      </c>
      <c r="E629" s="109"/>
      <c r="F629" s="112"/>
      <c r="G629" s="109"/>
      <c r="H629" s="109"/>
      <c r="I629" s="109"/>
      <c r="J629" s="109"/>
      <c r="K629" s="109"/>
      <c r="L629" s="109"/>
      <c r="M629" s="109"/>
      <c r="N629" s="13" t="s">
        <v>9979</v>
      </c>
      <c r="O629" s="13" t="s">
        <v>283</v>
      </c>
      <c r="P629" s="15" t="s">
        <v>252</v>
      </c>
      <c r="Q629" s="13" t="s">
        <v>253</v>
      </c>
      <c r="R629" s="109"/>
      <c r="S629" s="109"/>
      <c r="T629" s="112"/>
      <c r="U629" s="112"/>
      <c r="V629" s="112"/>
      <c r="W629" s="112"/>
    </row>
    <row r="630" spans="1:23" s="2" customFormat="1" ht="12">
      <c r="A630" s="11"/>
      <c r="B630" s="108"/>
      <c r="C630" s="109" t="s">
        <v>9980</v>
      </c>
      <c r="D630" s="14" t="s">
        <v>9981</v>
      </c>
      <c r="E630" s="113" t="s">
        <v>9981</v>
      </c>
      <c r="F630" s="114" t="s">
        <v>9982</v>
      </c>
      <c r="G630" s="113" t="s">
        <v>9983</v>
      </c>
      <c r="H630" s="109"/>
      <c r="I630" s="109" t="s">
        <v>9984</v>
      </c>
      <c r="J630" s="113" t="s">
        <v>1192</v>
      </c>
      <c r="K630" s="113" t="s">
        <v>272</v>
      </c>
      <c r="L630" s="113" t="s">
        <v>407</v>
      </c>
      <c r="M630" s="113" t="s">
        <v>470</v>
      </c>
      <c r="N630" s="13" t="s">
        <v>9980</v>
      </c>
      <c r="O630" s="15" t="s">
        <v>471</v>
      </c>
      <c r="P630" s="15" t="s">
        <v>252</v>
      </c>
      <c r="Q630" s="15" t="s">
        <v>2229</v>
      </c>
      <c r="R630" s="109" t="s">
        <v>931</v>
      </c>
      <c r="S630" s="113" t="s">
        <v>255</v>
      </c>
      <c r="T630" s="112"/>
      <c r="U630" s="114" t="s">
        <v>9985</v>
      </c>
      <c r="V630" s="112"/>
      <c r="W630" s="112"/>
    </row>
    <row r="631" spans="1:23" s="2" customFormat="1" ht="12">
      <c r="A631" s="11"/>
      <c r="B631" s="108"/>
      <c r="C631" s="109"/>
      <c r="D631" s="14" t="str">
        <f>D630</f>
        <v>神图科技</v>
      </c>
      <c r="E631" s="109"/>
      <c r="F631" s="112"/>
      <c r="G631" s="109"/>
      <c r="H631" s="109"/>
      <c r="I631" s="109"/>
      <c r="J631" s="109"/>
      <c r="K631" s="109"/>
      <c r="L631" s="109"/>
      <c r="M631" s="109"/>
      <c r="N631" s="13" t="s">
        <v>755</v>
      </c>
      <c r="O631" s="15" t="s">
        <v>326</v>
      </c>
      <c r="P631" s="15" t="s">
        <v>341</v>
      </c>
      <c r="Q631" s="15" t="s">
        <v>9986</v>
      </c>
      <c r="R631" s="109"/>
      <c r="S631" s="109"/>
      <c r="T631" s="112"/>
      <c r="U631" s="112"/>
      <c r="V631" s="112"/>
      <c r="W631" s="112"/>
    </row>
    <row r="632" spans="1:23" s="2" customFormat="1" ht="71.5">
      <c r="A632" s="11"/>
      <c r="B632" s="108"/>
      <c r="C632" s="13" t="s">
        <v>9987</v>
      </c>
      <c r="D632" s="19" t="s">
        <v>9988</v>
      </c>
      <c r="E632" s="15" t="s">
        <v>9988</v>
      </c>
      <c r="F632" s="16" t="s">
        <v>9989</v>
      </c>
      <c r="G632" s="15" t="s">
        <v>9990</v>
      </c>
      <c r="H632" s="13"/>
      <c r="I632" s="13" t="s">
        <v>3889</v>
      </c>
      <c r="J632" s="15" t="s">
        <v>271</v>
      </c>
      <c r="K632" s="15" t="s">
        <v>272</v>
      </c>
      <c r="L632" s="15" t="s">
        <v>1859</v>
      </c>
      <c r="M632" s="15" t="s">
        <v>4452</v>
      </c>
      <c r="N632" s="13" t="s">
        <v>9987</v>
      </c>
      <c r="O632" s="13" t="s">
        <v>262</v>
      </c>
      <c r="P632" s="15" t="s">
        <v>252</v>
      </c>
      <c r="Q632" s="15" t="s">
        <v>9991</v>
      </c>
      <c r="R632" s="13" t="s">
        <v>1683</v>
      </c>
      <c r="S632" s="15" t="s">
        <v>255</v>
      </c>
      <c r="T632" s="18"/>
      <c r="U632" s="18" t="s">
        <v>9992</v>
      </c>
      <c r="V632" s="18" t="s">
        <v>9993</v>
      </c>
      <c r="W632" s="18" t="s">
        <v>9994</v>
      </c>
    </row>
    <row r="633" spans="1:23" s="2" customFormat="1" ht="227">
      <c r="A633" s="11"/>
      <c r="B633" s="108"/>
      <c r="C633" s="13" t="s">
        <v>9995</v>
      </c>
      <c r="D633" s="19" t="s">
        <v>9996</v>
      </c>
      <c r="E633" s="15" t="s">
        <v>9996</v>
      </c>
      <c r="F633" s="16" t="s">
        <v>9997</v>
      </c>
      <c r="G633" s="15" t="s">
        <v>9998</v>
      </c>
      <c r="H633" s="13" t="s">
        <v>9999</v>
      </c>
      <c r="I633" s="13" t="s">
        <v>4414</v>
      </c>
      <c r="J633" s="15" t="s">
        <v>385</v>
      </c>
      <c r="K633" s="15" t="s">
        <v>272</v>
      </c>
      <c r="L633" s="15" t="s">
        <v>273</v>
      </c>
      <c r="M633" s="15" t="s">
        <v>274</v>
      </c>
      <c r="N633" s="13" t="s">
        <v>9995</v>
      </c>
      <c r="O633" s="15" t="s">
        <v>285</v>
      </c>
      <c r="P633" s="15" t="s">
        <v>252</v>
      </c>
      <c r="Q633" s="15" t="s">
        <v>2229</v>
      </c>
      <c r="R633" s="13" t="s">
        <v>4335</v>
      </c>
      <c r="S633" s="15" t="s">
        <v>255</v>
      </c>
      <c r="T633" s="18"/>
      <c r="U633" s="16" t="s">
        <v>10000</v>
      </c>
      <c r="V633" s="18" t="s">
        <v>10001</v>
      </c>
      <c r="W633" s="18"/>
    </row>
    <row r="634" spans="1:23" s="2" customFormat="1" ht="60">
      <c r="A634" s="11"/>
      <c r="B634" s="108"/>
      <c r="C634" s="13" t="s">
        <v>10002</v>
      </c>
      <c r="D634" s="19" t="s">
        <v>8153</v>
      </c>
      <c r="E634" s="15" t="s">
        <v>8153</v>
      </c>
      <c r="F634" s="16" t="s">
        <v>10003</v>
      </c>
      <c r="G634" s="15" t="s">
        <v>10004</v>
      </c>
      <c r="H634" s="13"/>
      <c r="I634" s="13" t="s">
        <v>1715</v>
      </c>
      <c r="J634" s="15" t="s">
        <v>406</v>
      </c>
      <c r="K634" s="15" t="s">
        <v>272</v>
      </c>
      <c r="L634" s="15" t="s">
        <v>407</v>
      </c>
      <c r="M634" s="15" t="s">
        <v>470</v>
      </c>
      <c r="N634" s="13" t="s">
        <v>10002</v>
      </c>
      <c r="O634" s="15" t="s">
        <v>471</v>
      </c>
      <c r="P634" s="15" t="s">
        <v>252</v>
      </c>
      <c r="Q634" s="15" t="s">
        <v>2229</v>
      </c>
      <c r="R634" s="13" t="s">
        <v>253</v>
      </c>
      <c r="S634" s="15" t="s">
        <v>255</v>
      </c>
      <c r="T634" s="18"/>
      <c r="U634" s="16" t="s">
        <v>10005</v>
      </c>
      <c r="V634" s="18" t="s">
        <v>10006</v>
      </c>
      <c r="W634" s="18"/>
    </row>
    <row r="635" spans="1:23" s="2" customFormat="1" ht="12">
      <c r="A635" s="11"/>
      <c r="B635" s="108"/>
      <c r="C635" s="109" t="s">
        <v>10007</v>
      </c>
      <c r="D635" s="14" t="s">
        <v>10008</v>
      </c>
      <c r="E635" s="109" t="s">
        <v>10008</v>
      </c>
      <c r="F635" s="112" t="s">
        <v>10009</v>
      </c>
      <c r="G635" s="109"/>
      <c r="H635" s="109" t="s">
        <v>10010</v>
      </c>
      <c r="I635" s="109" t="s">
        <v>1422</v>
      </c>
      <c r="J635" s="113" t="s">
        <v>9047</v>
      </c>
      <c r="K635" s="113" t="s">
        <v>272</v>
      </c>
      <c r="L635" s="113" t="s">
        <v>1859</v>
      </c>
      <c r="M635" s="113" t="s">
        <v>2900</v>
      </c>
      <c r="N635" s="13" t="s">
        <v>10007</v>
      </c>
      <c r="O635" s="15" t="s">
        <v>285</v>
      </c>
      <c r="P635" s="13" t="s">
        <v>10011</v>
      </c>
      <c r="Q635" s="13" t="s">
        <v>10012</v>
      </c>
      <c r="R635" s="109" t="s">
        <v>10013</v>
      </c>
      <c r="S635" s="109" t="s">
        <v>449</v>
      </c>
      <c r="T635" s="112" t="s">
        <v>10014</v>
      </c>
      <c r="U635" s="112"/>
      <c r="V635" s="112"/>
      <c r="W635" s="112"/>
    </row>
    <row r="636" spans="1:23" s="2" customFormat="1" ht="12">
      <c r="A636" s="11"/>
      <c r="B636" s="108"/>
      <c r="C636" s="109"/>
      <c r="D636" s="14" t="str">
        <f>D635</f>
        <v>GCash</v>
      </c>
      <c r="E636" s="109"/>
      <c r="F636" s="112"/>
      <c r="G636" s="109"/>
      <c r="H636" s="109"/>
      <c r="I636" s="109"/>
      <c r="J636" s="109"/>
      <c r="K636" s="109"/>
      <c r="L636" s="109"/>
      <c r="M636" s="109"/>
      <c r="N636" s="13" t="s">
        <v>9051</v>
      </c>
      <c r="O636" s="15" t="s">
        <v>285</v>
      </c>
      <c r="P636" s="15" t="s">
        <v>276</v>
      </c>
      <c r="Q636" s="15" t="s">
        <v>2229</v>
      </c>
      <c r="R636" s="109"/>
      <c r="S636" s="109"/>
      <c r="T636" s="112"/>
      <c r="U636" s="112"/>
      <c r="V636" s="112"/>
      <c r="W636" s="112"/>
    </row>
    <row r="637" spans="1:23" s="2" customFormat="1" ht="12">
      <c r="A637" s="11"/>
      <c r="B637" s="108"/>
      <c r="C637" s="109" t="s">
        <v>10015</v>
      </c>
      <c r="D637" s="14" t="s">
        <v>10016</v>
      </c>
      <c r="E637" s="113" t="s">
        <v>10017</v>
      </c>
      <c r="F637" s="114" t="s">
        <v>10018</v>
      </c>
      <c r="G637" s="109"/>
      <c r="H637" s="109"/>
      <c r="I637" s="109" t="s">
        <v>5063</v>
      </c>
      <c r="J637" s="113" t="s">
        <v>630</v>
      </c>
      <c r="K637" s="113" t="s">
        <v>272</v>
      </c>
      <c r="L637" s="113" t="s">
        <v>3605</v>
      </c>
      <c r="M637" s="113" t="s">
        <v>10019</v>
      </c>
      <c r="N637" s="13" t="s">
        <v>10015</v>
      </c>
      <c r="O637" s="15" t="s">
        <v>285</v>
      </c>
      <c r="P637" s="15" t="s">
        <v>252</v>
      </c>
      <c r="Q637" s="13" t="s">
        <v>10020</v>
      </c>
      <c r="R637" s="109" t="s">
        <v>3934</v>
      </c>
      <c r="S637" s="113" t="s">
        <v>255</v>
      </c>
      <c r="T637" s="112"/>
      <c r="U637" s="112"/>
      <c r="V637" s="112"/>
      <c r="W637" s="112"/>
    </row>
    <row r="638" spans="1:23" s="2" customFormat="1" ht="12">
      <c r="A638" s="11"/>
      <c r="B638" s="108"/>
      <c r="C638" s="109"/>
      <c r="D638" s="14" t="str">
        <f>D637</f>
        <v>西游记NFT</v>
      </c>
      <c r="E638" s="109"/>
      <c r="F638" s="112"/>
      <c r="G638" s="109"/>
      <c r="H638" s="109"/>
      <c r="I638" s="109"/>
      <c r="J638" s="109"/>
      <c r="K638" s="109"/>
      <c r="L638" s="109"/>
      <c r="M638" s="109"/>
      <c r="N638" s="13" t="s">
        <v>10021</v>
      </c>
      <c r="O638" s="15" t="s">
        <v>285</v>
      </c>
      <c r="P638" s="15" t="s">
        <v>252</v>
      </c>
      <c r="Q638" s="15" t="s">
        <v>10022</v>
      </c>
      <c r="R638" s="109"/>
      <c r="S638" s="109"/>
      <c r="T638" s="112"/>
      <c r="U638" s="112"/>
      <c r="V638" s="112"/>
      <c r="W638" s="112"/>
    </row>
    <row r="639" spans="1:23" s="2" customFormat="1" ht="69">
      <c r="A639" s="11"/>
      <c r="B639" s="108"/>
      <c r="C639" s="13" t="s">
        <v>2957</v>
      </c>
      <c r="D639" s="19" t="s">
        <v>10023</v>
      </c>
      <c r="E639" s="13" t="s">
        <v>10023</v>
      </c>
      <c r="F639" s="18" t="s">
        <v>10024</v>
      </c>
      <c r="G639" s="13"/>
      <c r="H639" s="13"/>
      <c r="I639" s="13" t="s">
        <v>629</v>
      </c>
      <c r="J639" s="15" t="s">
        <v>10025</v>
      </c>
      <c r="K639" s="15" t="s">
        <v>272</v>
      </c>
      <c r="L639" s="15" t="s">
        <v>350</v>
      </c>
      <c r="M639" s="15" t="s">
        <v>1090</v>
      </c>
      <c r="N639" s="13" t="s">
        <v>2957</v>
      </c>
      <c r="O639" s="15" t="s">
        <v>285</v>
      </c>
      <c r="P639" s="15" t="s">
        <v>2879</v>
      </c>
      <c r="Q639" s="15" t="s">
        <v>2229</v>
      </c>
      <c r="R639" s="13" t="s">
        <v>4335</v>
      </c>
      <c r="S639" s="15" t="s">
        <v>255</v>
      </c>
      <c r="T639" s="18" t="s">
        <v>10026</v>
      </c>
      <c r="U639" s="18"/>
      <c r="V639" s="18"/>
      <c r="W639" s="18"/>
    </row>
    <row r="640" spans="1:23" s="2" customFormat="1" ht="12">
      <c r="A640" s="11"/>
      <c r="B640" s="108"/>
      <c r="C640" s="109" t="s">
        <v>10027</v>
      </c>
      <c r="D640" s="14" t="s">
        <v>10028</v>
      </c>
      <c r="E640" s="113" t="s">
        <v>10028</v>
      </c>
      <c r="F640" s="114" t="s">
        <v>10029</v>
      </c>
      <c r="G640" s="113" t="s">
        <v>10030</v>
      </c>
      <c r="H640" s="109" t="s">
        <v>10031</v>
      </c>
      <c r="I640" s="109" t="s">
        <v>10032</v>
      </c>
      <c r="J640" s="113" t="s">
        <v>10033</v>
      </c>
      <c r="K640" s="113" t="s">
        <v>272</v>
      </c>
      <c r="L640" s="113" t="s">
        <v>273</v>
      </c>
      <c r="M640" s="113" t="s">
        <v>2598</v>
      </c>
      <c r="N640" s="13" t="s">
        <v>10027</v>
      </c>
      <c r="O640" s="15" t="s">
        <v>285</v>
      </c>
      <c r="P640" s="15" t="s">
        <v>409</v>
      </c>
      <c r="Q640" s="15" t="s">
        <v>10034</v>
      </c>
      <c r="R640" s="109" t="s">
        <v>7963</v>
      </c>
      <c r="S640" s="109" t="s">
        <v>412</v>
      </c>
      <c r="T640" s="112"/>
      <c r="U640" s="114" t="s">
        <v>10035</v>
      </c>
      <c r="V640" s="112"/>
      <c r="W640" s="112"/>
    </row>
    <row r="641" spans="1:23" s="2" customFormat="1" ht="12">
      <c r="A641" s="11"/>
      <c r="B641" s="108"/>
      <c r="C641" s="109"/>
      <c r="D641" s="14" t="str">
        <f>D640</f>
        <v>中交车旺</v>
      </c>
      <c r="E641" s="109"/>
      <c r="F641" s="112"/>
      <c r="G641" s="109"/>
      <c r="H641" s="109"/>
      <c r="I641" s="109"/>
      <c r="J641" s="109"/>
      <c r="K641" s="109"/>
      <c r="L641" s="109"/>
      <c r="M641" s="109"/>
      <c r="N641" s="13" t="s">
        <v>10036</v>
      </c>
      <c r="O641" s="13" t="s">
        <v>262</v>
      </c>
      <c r="P641" s="15" t="s">
        <v>409</v>
      </c>
      <c r="Q641" s="15" t="s">
        <v>10037</v>
      </c>
      <c r="R641" s="109"/>
      <c r="S641" s="109"/>
      <c r="T641" s="112"/>
      <c r="U641" s="112"/>
      <c r="V641" s="112"/>
      <c r="W641" s="112"/>
    </row>
    <row r="642" spans="1:23" s="2" customFormat="1" ht="12">
      <c r="A642" s="11"/>
      <c r="B642" s="108"/>
      <c r="C642" s="109" t="s">
        <v>10038</v>
      </c>
      <c r="D642" s="14" t="s">
        <v>10039</v>
      </c>
      <c r="E642" s="113" t="s">
        <v>10039</v>
      </c>
      <c r="F642" s="114" t="s">
        <v>10040</v>
      </c>
      <c r="G642" s="113" t="s">
        <v>10041</v>
      </c>
      <c r="H642" s="109"/>
      <c r="I642" s="109" t="s">
        <v>9865</v>
      </c>
      <c r="J642" s="113" t="s">
        <v>10042</v>
      </c>
      <c r="K642" s="113" t="s">
        <v>272</v>
      </c>
      <c r="L642" s="113" t="s">
        <v>944</v>
      </c>
      <c r="M642" s="113" t="s">
        <v>10043</v>
      </c>
      <c r="N642" s="13" t="s">
        <v>10038</v>
      </c>
      <c r="O642" s="15" t="s">
        <v>285</v>
      </c>
      <c r="P642" s="13" t="s">
        <v>578</v>
      </c>
      <c r="Q642" s="15" t="s">
        <v>10044</v>
      </c>
      <c r="R642" s="109" t="s">
        <v>10045</v>
      </c>
      <c r="S642" s="109" t="s">
        <v>581</v>
      </c>
      <c r="T642" s="114" t="s">
        <v>10046</v>
      </c>
      <c r="U642" s="114" t="s">
        <v>10047</v>
      </c>
      <c r="V642" s="112" t="s">
        <v>10048</v>
      </c>
      <c r="W642" s="112" t="s">
        <v>10049</v>
      </c>
    </row>
    <row r="643" spans="1:23" s="2" customFormat="1" ht="12">
      <c r="A643" s="11"/>
      <c r="B643" s="108"/>
      <c r="C643" s="109"/>
      <c r="D643" s="14" t="str">
        <f>D642</f>
        <v>小哈换电</v>
      </c>
      <c r="E643" s="109"/>
      <c r="F643" s="112"/>
      <c r="G643" s="109"/>
      <c r="H643" s="109"/>
      <c r="I643" s="109"/>
      <c r="J643" s="109"/>
      <c r="K643" s="109"/>
      <c r="L643" s="109"/>
      <c r="M643" s="109"/>
      <c r="N643" s="13" t="s">
        <v>10050</v>
      </c>
      <c r="O643" s="15" t="s">
        <v>285</v>
      </c>
      <c r="P643" s="15" t="s">
        <v>409</v>
      </c>
      <c r="Q643" s="15" t="s">
        <v>10051</v>
      </c>
      <c r="R643" s="109"/>
      <c r="S643" s="109"/>
      <c r="T643" s="112"/>
      <c r="U643" s="112"/>
      <c r="V643" s="112"/>
      <c r="W643" s="112"/>
    </row>
    <row r="644" spans="1:23" s="2" customFormat="1" ht="12">
      <c r="A644" s="11"/>
      <c r="B644" s="108"/>
      <c r="C644" s="109"/>
      <c r="D644" s="14" t="str">
        <f>D643</f>
        <v>小哈换电</v>
      </c>
      <c r="E644" s="109"/>
      <c r="F644" s="112"/>
      <c r="G644" s="109"/>
      <c r="H644" s="109"/>
      <c r="I644" s="109"/>
      <c r="J644" s="109"/>
      <c r="K644" s="109"/>
      <c r="L644" s="109"/>
      <c r="M644" s="109"/>
      <c r="N644" s="13" t="s">
        <v>10052</v>
      </c>
      <c r="O644" s="15" t="s">
        <v>285</v>
      </c>
      <c r="P644" s="13" t="s">
        <v>578</v>
      </c>
      <c r="Q644" s="15" t="s">
        <v>10044</v>
      </c>
      <c r="R644" s="109"/>
      <c r="S644" s="109"/>
      <c r="T644" s="112"/>
      <c r="U644" s="112"/>
      <c r="V644" s="112"/>
      <c r="W644" s="112"/>
    </row>
    <row r="645" spans="1:23" s="2" customFormat="1" ht="12">
      <c r="A645" s="11"/>
      <c r="B645" s="108"/>
      <c r="C645" s="109"/>
      <c r="D645" s="14" t="str">
        <f>D644</f>
        <v>小哈换电</v>
      </c>
      <c r="E645" s="109"/>
      <c r="F645" s="112"/>
      <c r="G645" s="109"/>
      <c r="H645" s="109"/>
      <c r="I645" s="109"/>
      <c r="J645" s="109"/>
      <c r="K645" s="109"/>
      <c r="L645" s="109"/>
      <c r="M645" s="109"/>
      <c r="N645" s="13" t="s">
        <v>10053</v>
      </c>
      <c r="O645" s="15" t="s">
        <v>285</v>
      </c>
      <c r="P645" s="15" t="s">
        <v>341</v>
      </c>
      <c r="Q645" s="15" t="s">
        <v>10054</v>
      </c>
      <c r="R645" s="109"/>
      <c r="S645" s="109"/>
      <c r="T645" s="112"/>
      <c r="U645" s="112"/>
      <c r="V645" s="112"/>
      <c r="W645" s="112"/>
    </row>
    <row r="646" spans="1:23" s="2" customFormat="1" ht="12">
      <c r="A646" s="11"/>
      <c r="B646" s="108"/>
      <c r="C646" s="109" t="s">
        <v>3206</v>
      </c>
      <c r="D646" s="14" t="s">
        <v>10055</v>
      </c>
      <c r="E646" s="109" t="s">
        <v>10055</v>
      </c>
      <c r="F646" s="112" t="s">
        <v>10056</v>
      </c>
      <c r="G646" s="109"/>
      <c r="H646" s="109" t="s">
        <v>10057</v>
      </c>
      <c r="I646" s="109" t="s">
        <v>616</v>
      </c>
      <c r="J646" s="113" t="s">
        <v>1780</v>
      </c>
      <c r="K646" s="113" t="s">
        <v>272</v>
      </c>
      <c r="L646" s="113" t="s">
        <v>1859</v>
      </c>
      <c r="M646" s="113" t="s">
        <v>2900</v>
      </c>
      <c r="N646" s="13" t="s">
        <v>3206</v>
      </c>
      <c r="O646" s="13" t="s">
        <v>317</v>
      </c>
      <c r="P646" s="13" t="s">
        <v>792</v>
      </c>
      <c r="Q646" s="13" t="s">
        <v>10058</v>
      </c>
      <c r="R646" s="109" t="s">
        <v>10059</v>
      </c>
      <c r="S646" s="109" t="s">
        <v>449</v>
      </c>
      <c r="T646" s="112" t="s">
        <v>10060</v>
      </c>
      <c r="U646" s="112"/>
      <c r="V646" s="112"/>
      <c r="W646" s="112"/>
    </row>
    <row r="647" spans="1:23" s="2" customFormat="1" ht="12">
      <c r="A647" s="11"/>
      <c r="B647" s="108"/>
      <c r="C647" s="109"/>
      <c r="D647" s="14" t="str">
        <f>D646</f>
        <v>M-DAQ</v>
      </c>
      <c r="E647" s="109"/>
      <c r="F647" s="112"/>
      <c r="G647" s="109"/>
      <c r="H647" s="109"/>
      <c r="I647" s="109"/>
      <c r="J647" s="109"/>
      <c r="K647" s="109"/>
      <c r="L647" s="109"/>
      <c r="M647" s="109"/>
      <c r="N647" s="13" t="s">
        <v>10061</v>
      </c>
      <c r="O647" s="13" t="s">
        <v>251</v>
      </c>
      <c r="P647" s="15" t="s">
        <v>276</v>
      </c>
      <c r="Q647" s="15" t="s">
        <v>10062</v>
      </c>
      <c r="R647" s="109"/>
      <c r="S647" s="109"/>
      <c r="T647" s="112"/>
      <c r="U647" s="112"/>
      <c r="V647" s="112"/>
      <c r="W647" s="112"/>
    </row>
    <row r="648" spans="1:23" s="2" customFormat="1" ht="12">
      <c r="A648" s="11"/>
      <c r="B648" s="108"/>
      <c r="C648" s="109"/>
      <c r="D648" s="14" t="str">
        <f>D647</f>
        <v>M-DAQ</v>
      </c>
      <c r="E648" s="109"/>
      <c r="F648" s="112"/>
      <c r="G648" s="109"/>
      <c r="H648" s="109"/>
      <c r="I648" s="109"/>
      <c r="J648" s="109"/>
      <c r="K648" s="109"/>
      <c r="L648" s="109"/>
      <c r="M648" s="109"/>
      <c r="N648" s="13" t="s">
        <v>8953</v>
      </c>
      <c r="O648" s="13" t="s">
        <v>257</v>
      </c>
      <c r="P648" s="13" t="s">
        <v>10063</v>
      </c>
      <c r="Q648" s="13" t="s">
        <v>10064</v>
      </c>
      <c r="R648" s="109"/>
      <c r="S648" s="109"/>
      <c r="T648" s="112"/>
      <c r="U648" s="112"/>
      <c r="V648" s="112"/>
      <c r="W648" s="112"/>
    </row>
    <row r="649" spans="1:23" s="2" customFormat="1" ht="12">
      <c r="A649" s="11"/>
      <c r="B649" s="108"/>
      <c r="C649" s="109"/>
      <c r="D649" s="14" t="str">
        <f>D648</f>
        <v>M-DAQ</v>
      </c>
      <c r="E649" s="109"/>
      <c r="F649" s="112"/>
      <c r="G649" s="109"/>
      <c r="H649" s="109"/>
      <c r="I649" s="109"/>
      <c r="J649" s="109"/>
      <c r="K649" s="109"/>
      <c r="L649" s="109"/>
      <c r="M649" s="109"/>
      <c r="N649" s="13" t="s">
        <v>10065</v>
      </c>
      <c r="O649" s="13" t="s">
        <v>262</v>
      </c>
      <c r="P649" s="13" t="s">
        <v>10066</v>
      </c>
      <c r="Q649" s="15" t="s">
        <v>10067</v>
      </c>
      <c r="R649" s="109"/>
      <c r="S649" s="109"/>
      <c r="T649" s="112"/>
      <c r="U649" s="112"/>
      <c r="V649" s="112"/>
      <c r="W649" s="112"/>
    </row>
    <row r="650" spans="1:23" s="2" customFormat="1" ht="84">
      <c r="A650" s="11"/>
      <c r="B650" s="108"/>
      <c r="C650" s="13" t="s">
        <v>10068</v>
      </c>
      <c r="D650" s="19" t="s">
        <v>10069</v>
      </c>
      <c r="E650" s="15" t="s">
        <v>10069</v>
      </c>
      <c r="F650" s="16" t="s">
        <v>10070</v>
      </c>
      <c r="G650" s="15" t="s">
        <v>10071</v>
      </c>
      <c r="H650" s="13" t="s">
        <v>10072</v>
      </c>
      <c r="I650" s="13" t="s">
        <v>9865</v>
      </c>
      <c r="J650" s="15" t="s">
        <v>271</v>
      </c>
      <c r="K650" s="15" t="s">
        <v>272</v>
      </c>
      <c r="L650" s="15" t="s">
        <v>407</v>
      </c>
      <c r="M650" s="15" t="s">
        <v>3933</v>
      </c>
      <c r="N650" s="13" t="s">
        <v>10068</v>
      </c>
      <c r="O650" s="15" t="s">
        <v>285</v>
      </c>
      <c r="P650" s="15" t="s">
        <v>252</v>
      </c>
      <c r="Q650" s="15" t="s">
        <v>2229</v>
      </c>
      <c r="R650" s="13" t="s">
        <v>4335</v>
      </c>
      <c r="S650" s="15" t="s">
        <v>255</v>
      </c>
      <c r="T650" s="18"/>
      <c r="U650" s="16" t="s">
        <v>10073</v>
      </c>
      <c r="V650" s="18" t="s">
        <v>10074</v>
      </c>
      <c r="W650" s="18" t="s">
        <v>10075</v>
      </c>
    </row>
    <row r="651" spans="1:23" s="2" customFormat="1" ht="12">
      <c r="A651" s="11"/>
      <c r="B651" s="108"/>
      <c r="C651" s="109" t="s">
        <v>5382</v>
      </c>
      <c r="D651" s="14" t="s">
        <v>10076</v>
      </c>
      <c r="E651" s="113" t="s">
        <v>10076</v>
      </c>
      <c r="F651" s="114" t="s">
        <v>10077</v>
      </c>
      <c r="G651" s="113" t="s">
        <v>10078</v>
      </c>
      <c r="H651" s="109" t="s">
        <v>10079</v>
      </c>
      <c r="I651" s="109" t="s">
        <v>5471</v>
      </c>
      <c r="J651" s="113" t="s">
        <v>5153</v>
      </c>
      <c r="K651" s="113" t="s">
        <v>272</v>
      </c>
      <c r="L651" s="113" t="s">
        <v>1859</v>
      </c>
      <c r="M651" s="113" t="s">
        <v>8205</v>
      </c>
      <c r="N651" s="13" t="s">
        <v>5382</v>
      </c>
      <c r="O651" s="15" t="s">
        <v>285</v>
      </c>
      <c r="P651" s="13" t="s">
        <v>10080</v>
      </c>
      <c r="Q651" s="15" t="s">
        <v>10081</v>
      </c>
      <c r="R651" s="109" t="s">
        <v>10082</v>
      </c>
      <c r="S651" s="109" t="s">
        <v>10083</v>
      </c>
      <c r="T651" s="112"/>
      <c r="U651" s="114" t="s">
        <v>10084</v>
      </c>
      <c r="V651" s="112" t="s">
        <v>9588</v>
      </c>
      <c r="W651" s="112" t="s">
        <v>10085</v>
      </c>
    </row>
    <row r="652" spans="1:23" s="2" customFormat="1" ht="12">
      <c r="A652" s="11"/>
      <c r="B652" s="108"/>
      <c r="C652" s="109"/>
      <c r="D652" s="14" t="str">
        <f>D651</f>
        <v>蚂蚁消金</v>
      </c>
      <c r="E652" s="109"/>
      <c r="F652" s="112"/>
      <c r="G652" s="109"/>
      <c r="H652" s="109"/>
      <c r="I652" s="109"/>
      <c r="J652" s="109"/>
      <c r="K652" s="109"/>
      <c r="L652" s="109"/>
      <c r="M652" s="109"/>
      <c r="N652" s="13" t="s">
        <v>10086</v>
      </c>
      <c r="O652" s="15" t="s">
        <v>285</v>
      </c>
      <c r="P652" s="13" t="s">
        <v>10087</v>
      </c>
      <c r="Q652" s="15" t="s">
        <v>10088</v>
      </c>
      <c r="R652" s="109"/>
      <c r="S652" s="109"/>
      <c r="T652" s="112"/>
      <c r="U652" s="112"/>
      <c r="V652" s="112"/>
      <c r="W652" s="112"/>
    </row>
    <row r="653" spans="1:23" s="2" customFormat="1" ht="12">
      <c r="A653" s="11"/>
      <c r="B653" s="108"/>
      <c r="C653" s="109" t="s">
        <v>10089</v>
      </c>
      <c r="D653" s="14" t="s">
        <v>10090</v>
      </c>
      <c r="E653" s="113" t="s">
        <v>10090</v>
      </c>
      <c r="F653" s="114" t="s">
        <v>10091</v>
      </c>
      <c r="G653" s="113" t="s">
        <v>10092</v>
      </c>
      <c r="H653" s="109" t="s">
        <v>10093</v>
      </c>
      <c r="I653" s="109" t="s">
        <v>5029</v>
      </c>
      <c r="J653" s="113" t="s">
        <v>10094</v>
      </c>
      <c r="K653" s="113" t="s">
        <v>272</v>
      </c>
      <c r="L653" s="113" t="s">
        <v>4061</v>
      </c>
      <c r="M653" s="113" t="s">
        <v>9594</v>
      </c>
      <c r="N653" s="13" t="s">
        <v>10089</v>
      </c>
      <c r="O653" s="15" t="s">
        <v>285</v>
      </c>
      <c r="P653" s="15" t="s">
        <v>341</v>
      </c>
      <c r="Q653" s="15" t="s">
        <v>2229</v>
      </c>
      <c r="R653" s="109" t="s">
        <v>10095</v>
      </c>
      <c r="S653" s="109" t="s">
        <v>3743</v>
      </c>
      <c r="T653" s="114" t="s">
        <v>10096</v>
      </c>
      <c r="U653" s="114" t="s">
        <v>10097</v>
      </c>
      <c r="V653" s="112" t="s">
        <v>10098</v>
      </c>
      <c r="W653" s="112" t="s">
        <v>10099</v>
      </c>
    </row>
    <row r="654" spans="1:23" s="2" customFormat="1" ht="12">
      <c r="A654" s="11"/>
      <c r="B654" s="108"/>
      <c r="C654" s="109"/>
      <c r="D654" s="14" t="str">
        <f>D653</f>
        <v>易碳数科</v>
      </c>
      <c r="E654" s="109"/>
      <c r="F654" s="112"/>
      <c r="G654" s="109"/>
      <c r="H654" s="109"/>
      <c r="I654" s="109"/>
      <c r="J654" s="109"/>
      <c r="K654" s="109"/>
      <c r="L654" s="109"/>
      <c r="M654" s="109"/>
      <c r="N654" s="13" t="s">
        <v>10100</v>
      </c>
      <c r="O654" s="15" t="s">
        <v>326</v>
      </c>
      <c r="P654" s="15" t="s">
        <v>327</v>
      </c>
      <c r="Q654" s="15" t="s">
        <v>10101</v>
      </c>
      <c r="R654" s="109"/>
      <c r="S654" s="109"/>
      <c r="T654" s="112"/>
      <c r="U654" s="112"/>
      <c r="V654" s="112"/>
      <c r="W654" s="112"/>
    </row>
    <row r="655" spans="1:23" s="2" customFormat="1" ht="12">
      <c r="A655" s="11"/>
      <c r="B655" s="108"/>
      <c r="C655" s="109" t="s">
        <v>5509</v>
      </c>
      <c r="D655" s="14" t="s">
        <v>5510</v>
      </c>
      <c r="E655" s="113" t="s">
        <v>5510</v>
      </c>
      <c r="F655" s="114" t="s">
        <v>5512</v>
      </c>
      <c r="G655" s="113" t="s">
        <v>5513</v>
      </c>
      <c r="H655" s="109" t="s">
        <v>5514</v>
      </c>
      <c r="I655" s="109" t="s">
        <v>246</v>
      </c>
      <c r="J655" s="113" t="s">
        <v>1192</v>
      </c>
      <c r="K655" s="113" t="s">
        <v>272</v>
      </c>
      <c r="L655" s="113" t="s">
        <v>944</v>
      </c>
      <c r="M655" s="113" t="s">
        <v>10043</v>
      </c>
      <c r="N655" s="13" t="s">
        <v>5509</v>
      </c>
      <c r="O655" s="13" t="s">
        <v>257</v>
      </c>
      <c r="P655" s="15" t="s">
        <v>409</v>
      </c>
      <c r="Q655" s="15" t="s">
        <v>5515</v>
      </c>
      <c r="R655" s="109" t="s">
        <v>7963</v>
      </c>
      <c r="S655" s="109" t="s">
        <v>10102</v>
      </c>
      <c r="T655" s="114" t="s">
        <v>5516</v>
      </c>
      <c r="U655" s="114" t="s">
        <v>5517</v>
      </c>
      <c r="V655" s="112" t="s">
        <v>5518</v>
      </c>
      <c r="W655" s="112" t="s">
        <v>5519</v>
      </c>
    </row>
    <row r="656" spans="1:23" s="2" customFormat="1" ht="12">
      <c r="A656" s="11"/>
      <c r="B656" s="108"/>
      <c r="C656" s="109"/>
      <c r="D656" s="14" t="str">
        <f>D655</f>
        <v>杰成新能源</v>
      </c>
      <c r="E656" s="109"/>
      <c r="F656" s="112"/>
      <c r="G656" s="109"/>
      <c r="H656" s="109"/>
      <c r="I656" s="109"/>
      <c r="J656" s="109"/>
      <c r="K656" s="109"/>
      <c r="L656" s="109"/>
      <c r="M656" s="109"/>
      <c r="N656" s="13" t="s">
        <v>10103</v>
      </c>
      <c r="O656" s="13" t="s">
        <v>262</v>
      </c>
      <c r="P656" s="15" t="s">
        <v>409</v>
      </c>
      <c r="Q656" s="15" t="s">
        <v>5520</v>
      </c>
      <c r="R656" s="109"/>
      <c r="S656" s="109"/>
      <c r="T656" s="112"/>
      <c r="U656" s="112"/>
      <c r="V656" s="112"/>
      <c r="W656" s="112"/>
    </row>
    <row r="657" spans="1:23" s="2" customFormat="1" ht="12">
      <c r="A657" s="11"/>
      <c r="B657" s="108"/>
      <c r="C657" s="109" t="s">
        <v>10104</v>
      </c>
      <c r="D657" s="14" t="s">
        <v>10105</v>
      </c>
      <c r="E657" s="109" t="s">
        <v>10105</v>
      </c>
      <c r="F657" s="112" t="s">
        <v>10106</v>
      </c>
      <c r="G657" s="109"/>
      <c r="H657" s="109" t="s">
        <v>10107</v>
      </c>
      <c r="I657" s="109" t="s">
        <v>10108</v>
      </c>
      <c r="J657" s="113" t="s">
        <v>1564</v>
      </c>
      <c r="K657" s="113" t="s">
        <v>272</v>
      </c>
      <c r="L657" s="113" t="s">
        <v>407</v>
      </c>
      <c r="M657" s="113" t="s">
        <v>10109</v>
      </c>
      <c r="N657" s="13" t="s">
        <v>10104</v>
      </c>
      <c r="O657" s="13" t="s">
        <v>251</v>
      </c>
      <c r="P657" s="13" t="s">
        <v>320</v>
      </c>
      <c r="Q657" s="15" t="s">
        <v>10110</v>
      </c>
      <c r="R657" s="109" t="s">
        <v>10111</v>
      </c>
      <c r="S657" s="109" t="s">
        <v>449</v>
      </c>
      <c r="T657" s="112" t="s">
        <v>10112</v>
      </c>
      <c r="U657" s="112"/>
      <c r="V657" s="112"/>
      <c r="W657" s="112"/>
    </row>
    <row r="658" spans="1:23" s="2" customFormat="1" ht="12">
      <c r="A658" s="11"/>
      <c r="B658" s="108"/>
      <c r="C658" s="109"/>
      <c r="D658" s="14" t="str">
        <f>D657</f>
        <v>Anyscale</v>
      </c>
      <c r="E658" s="109"/>
      <c r="F658" s="112"/>
      <c r="G658" s="109"/>
      <c r="H658" s="109"/>
      <c r="I658" s="109"/>
      <c r="J658" s="109"/>
      <c r="K658" s="109"/>
      <c r="L658" s="109"/>
      <c r="M658" s="109"/>
      <c r="N658" s="13" t="s">
        <v>9408</v>
      </c>
      <c r="O658" s="13" t="s">
        <v>257</v>
      </c>
      <c r="P658" s="13" t="s">
        <v>676</v>
      </c>
      <c r="Q658" s="15" t="s">
        <v>10113</v>
      </c>
      <c r="R658" s="109"/>
      <c r="S658" s="109"/>
      <c r="T658" s="112"/>
      <c r="U658" s="112"/>
      <c r="V658" s="112"/>
      <c r="W658" s="112"/>
    </row>
    <row r="659" spans="1:23" s="2" customFormat="1" ht="12">
      <c r="A659" s="11"/>
      <c r="B659" s="108"/>
      <c r="C659" s="109"/>
      <c r="D659" s="14" t="str">
        <f>D658</f>
        <v>Anyscale</v>
      </c>
      <c r="E659" s="109"/>
      <c r="F659" s="112"/>
      <c r="G659" s="109"/>
      <c r="H659" s="109"/>
      <c r="I659" s="109"/>
      <c r="J659" s="109"/>
      <c r="K659" s="109"/>
      <c r="L659" s="109"/>
      <c r="M659" s="109"/>
      <c r="N659" s="13" t="s">
        <v>9944</v>
      </c>
      <c r="O659" s="13" t="s">
        <v>262</v>
      </c>
      <c r="P659" s="13" t="s">
        <v>10114</v>
      </c>
      <c r="Q659" s="15" t="s">
        <v>10115</v>
      </c>
      <c r="R659" s="109"/>
      <c r="S659" s="109"/>
      <c r="T659" s="112"/>
      <c r="U659" s="112"/>
      <c r="V659" s="112"/>
      <c r="W659" s="112"/>
    </row>
    <row r="660" spans="1:23" s="2" customFormat="1" ht="84">
      <c r="A660" s="11"/>
      <c r="B660" s="108"/>
      <c r="C660" s="13" t="s">
        <v>5416</v>
      </c>
      <c r="D660" s="19" t="s">
        <v>10116</v>
      </c>
      <c r="E660" s="15" t="s">
        <v>10116</v>
      </c>
      <c r="F660" s="16" t="s">
        <v>10117</v>
      </c>
      <c r="G660" s="15" t="s">
        <v>10118</v>
      </c>
      <c r="H660" s="13"/>
      <c r="I660" s="13" t="s">
        <v>10119</v>
      </c>
      <c r="J660" s="15" t="s">
        <v>372</v>
      </c>
      <c r="K660" s="15" t="s">
        <v>272</v>
      </c>
      <c r="L660" s="15" t="s">
        <v>1859</v>
      </c>
      <c r="M660" s="15" t="s">
        <v>4173</v>
      </c>
      <c r="N660" s="13" t="s">
        <v>5416</v>
      </c>
      <c r="O660" s="15" t="s">
        <v>326</v>
      </c>
      <c r="P660" s="13" t="s">
        <v>1115</v>
      </c>
      <c r="Q660" s="13" t="s">
        <v>10120</v>
      </c>
      <c r="R660" s="13" t="s">
        <v>1484</v>
      </c>
      <c r="S660" s="13" t="s">
        <v>412</v>
      </c>
      <c r="T660" s="16" t="s">
        <v>10121</v>
      </c>
      <c r="U660" s="16" t="s">
        <v>10122</v>
      </c>
      <c r="V660" s="18" t="s">
        <v>10123</v>
      </c>
      <c r="W660" s="18" t="s">
        <v>10124</v>
      </c>
    </row>
    <row r="661" spans="1:23" s="2" customFormat="1" ht="168">
      <c r="A661" s="11"/>
      <c r="B661" s="108"/>
      <c r="C661" s="13" t="s">
        <v>3192</v>
      </c>
      <c r="D661" s="19" t="s">
        <v>10125</v>
      </c>
      <c r="E661" s="15" t="s">
        <v>10125</v>
      </c>
      <c r="F661" s="16" t="s">
        <v>10126</v>
      </c>
      <c r="G661" s="15" t="s">
        <v>10127</v>
      </c>
      <c r="H661" s="13"/>
      <c r="I661" s="13" t="s">
        <v>10128</v>
      </c>
      <c r="J661" s="15" t="s">
        <v>271</v>
      </c>
      <c r="K661" s="15" t="s">
        <v>272</v>
      </c>
      <c r="L661" s="15" t="s">
        <v>407</v>
      </c>
      <c r="M661" s="15" t="s">
        <v>762</v>
      </c>
      <c r="N661" s="13" t="s">
        <v>3192</v>
      </c>
      <c r="O661" s="15" t="s">
        <v>326</v>
      </c>
      <c r="P661" s="15" t="s">
        <v>252</v>
      </c>
      <c r="Q661" s="15" t="s">
        <v>10129</v>
      </c>
      <c r="R661" s="13" t="s">
        <v>4335</v>
      </c>
      <c r="S661" s="13" t="s">
        <v>1969</v>
      </c>
      <c r="T661" s="16" t="s">
        <v>10130</v>
      </c>
      <c r="U661" s="16" t="s">
        <v>10131</v>
      </c>
      <c r="V661" s="18"/>
      <c r="W661" s="18"/>
    </row>
    <row r="662" spans="1:23" s="2" customFormat="1" ht="12">
      <c r="A662" s="11"/>
      <c r="B662" s="107" t="s">
        <v>1498</v>
      </c>
      <c r="C662" s="109" t="s">
        <v>10132</v>
      </c>
      <c r="D662" s="14" t="s">
        <v>10133</v>
      </c>
      <c r="E662" s="113" t="s">
        <v>10133</v>
      </c>
      <c r="F662" s="114" t="s">
        <v>10134</v>
      </c>
      <c r="G662" s="113" t="s">
        <v>10135</v>
      </c>
      <c r="H662" s="109" t="s">
        <v>10136</v>
      </c>
      <c r="I662" s="109" t="s">
        <v>9630</v>
      </c>
      <c r="J662" s="113" t="s">
        <v>9216</v>
      </c>
      <c r="K662" s="113" t="s">
        <v>272</v>
      </c>
      <c r="L662" s="113" t="s">
        <v>1101</v>
      </c>
      <c r="M662" s="113" t="s">
        <v>5105</v>
      </c>
      <c r="N662" s="13" t="s">
        <v>10132</v>
      </c>
      <c r="O662" s="15" t="s">
        <v>359</v>
      </c>
      <c r="P662" s="13" t="s">
        <v>10137</v>
      </c>
      <c r="Q662" s="15" t="s">
        <v>9543</v>
      </c>
      <c r="R662" s="109" t="s">
        <v>10138</v>
      </c>
      <c r="S662" s="109" t="s">
        <v>10139</v>
      </c>
      <c r="T662" s="112"/>
      <c r="U662" s="112"/>
      <c r="V662" s="112"/>
      <c r="W662" s="112"/>
    </row>
    <row r="663" spans="1:23" s="2" customFormat="1" ht="12">
      <c r="A663" s="11"/>
      <c r="B663" s="108"/>
      <c r="C663" s="109"/>
      <c r="D663" s="14" t="str">
        <f t="shared" ref="D663:D671" si="20">D662</f>
        <v>无锡曼荼罗软件</v>
      </c>
      <c r="E663" s="109"/>
      <c r="F663" s="112"/>
      <c r="G663" s="109"/>
      <c r="H663" s="109"/>
      <c r="I663" s="109"/>
      <c r="J663" s="109"/>
      <c r="K663" s="109"/>
      <c r="L663" s="109"/>
      <c r="M663" s="109"/>
      <c r="N663" s="13" t="s">
        <v>10140</v>
      </c>
      <c r="O663" s="15" t="s">
        <v>362</v>
      </c>
      <c r="P663" s="15" t="s">
        <v>252</v>
      </c>
      <c r="Q663" s="13" t="s">
        <v>253</v>
      </c>
      <c r="R663" s="109"/>
      <c r="S663" s="109"/>
      <c r="T663" s="112"/>
      <c r="U663" s="112"/>
      <c r="V663" s="112"/>
      <c r="W663" s="112"/>
    </row>
    <row r="664" spans="1:23" s="2" customFormat="1" ht="12">
      <c r="A664" s="11"/>
      <c r="B664" s="108"/>
      <c r="C664" s="109"/>
      <c r="D664" s="14" t="str">
        <f t="shared" si="20"/>
        <v>无锡曼荼罗软件</v>
      </c>
      <c r="E664" s="109"/>
      <c r="F664" s="112"/>
      <c r="G664" s="109"/>
      <c r="H664" s="109"/>
      <c r="I664" s="109"/>
      <c r="J664" s="109"/>
      <c r="K664" s="109"/>
      <c r="L664" s="109"/>
      <c r="M664" s="109"/>
      <c r="N664" s="13" t="s">
        <v>8538</v>
      </c>
      <c r="O664" s="13" t="s">
        <v>303</v>
      </c>
      <c r="P664" s="15" t="s">
        <v>252</v>
      </c>
      <c r="Q664" s="15" t="s">
        <v>10141</v>
      </c>
      <c r="R664" s="109"/>
      <c r="S664" s="109"/>
      <c r="T664" s="112"/>
      <c r="U664" s="112"/>
      <c r="V664" s="112"/>
      <c r="W664" s="112"/>
    </row>
    <row r="665" spans="1:23" s="2" customFormat="1" ht="12">
      <c r="A665" s="11"/>
      <c r="B665" s="108"/>
      <c r="C665" s="109"/>
      <c r="D665" s="14" t="str">
        <f t="shared" si="20"/>
        <v>无锡曼荼罗软件</v>
      </c>
      <c r="E665" s="109"/>
      <c r="F665" s="112"/>
      <c r="G665" s="109"/>
      <c r="H665" s="109"/>
      <c r="I665" s="109"/>
      <c r="J665" s="109"/>
      <c r="K665" s="109"/>
      <c r="L665" s="109"/>
      <c r="M665" s="109"/>
      <c r="N665" s="13" t="s">
        <v>10142</v>
      </c>
      <c r="O665" s="13" t="s">
        <v>303</v>
      </c>
      <c r="P665" s="13" t="s">
        <v>2969</v>
      </c>
      <c r="Q665" s="15" t="s">
        <v>10143</v>
      </c>
      <c r="R665" s="109"/>
      <c r="S665" s="109"/>
      <c r="T665" s="112"/>
      <c r="U665" s="112"/>
      <c r="V665" s="112"/>
      <c r="W665" s="112"/>
    </row>
    <row r="666" spans="1:23" s="2" customFormat="1" ht="12">
      <c r="A666" s="11"/>
      <c r="B666" s="108"/>
      <c r="C666" s="109"/>
      <c r="D666" s="14" t="str">
        <f t="shared" si="20"/>
        <v>无锡曼荼罗软件</v>
      </c>
      <c r="E666" s="109"/>
      <c r="F666" s="112"/>
      <c r="G666" s="109"/>
      <c r="H666" s="109"/>
      <c r="I666" s="109"/>
      <c r="J666" s="109"/>
      <c r="K666" s="109"/>
      <c r="L666" s="109"/>
      <c r="M666" s="109"/>
      <c r="N666" s="13" t="s">
        <v>10144</v>
      </c>
      <c r="O666" s="15" t="s">
        <v>285</v>
      </c>
      <c r="P666" s="15" t="s">
        <v>252</v>
      </c>
      <c r="Q666" s="15" t="s">
        <v>10145</v>
      </c>
      <c r="R666" s="109"/>
      <c r="S666" s="109"/>
      <c r="T666" s="112"/>
      <c r="U666" s="112"/>
      <c r="V666" s="112"/>
      <c r="W666" s="112"/>
    </row>
    <row r="667" spans="1:23" s="2" customFormat="1" ht="12">
      <c r="A667" s="11"/>
      <c r="B667" s="108"/>
      <c r="C667" s="109"/>
      <c r="D667" s="14" t="str">
        <f t="shared" si="20"/>
        <v>无锡曼荼罗软件</v>
      </c>
      <c r="E667" s="109"/>
      <c r="F667" s="112"/>
      <c r="G667" s="109"/>
      <c r="H667" s="109"/>
      <c r="I667" s="109"/>
      <c r="J667" s="109"/>
      <c r="K667" s="109"/>
      <c r="L667" s="109"/>
      <c r="M667" s="109"/>
      <c r="N667" s="13" t="s">
        <v>10146</v>
      </c>
      <c r="O667" s="13" t="s">
        <v>310</v>
      </c>
      <c r="P667" s="13" t="s">
        <v>3465</v>
      </c>
      <c r="Q667" s="13" t="s">
        <v>10147</v>
      </c>
      <c r="R667" s="109"/>
      <c r="S667" s="109"/>
      <c r="T667" s="112"/>
      <c r="U667" s="112"/>
      <c r="V667" s="112"/>
      <c r="W667" s="112"/>
    </row>
    <row r="668" spans="1:23" s="2" customFormat="1" ht="12">
      <c r="A668" s="11"/>
      <c r="B668" s="108"/>
      <c r="C668" s="109"/>
      <c r="D668" s="14" t="str">
        <f t="shared" si="20"/>
        <v>无锡曼荼罗软件</v>
      </c>
      <c r="E668" s="109"/>
      <c r="F668" s="112"/>
      <c r="G668" s="109"/>
      <c r="H668" s="109"/>
      <c r="I668" s="109"/>
      <c r="J668" s="109"/>
      <c r="K668" s="109"/>
      <c r="L668" s="109"/>
      <c r="M668" s="109"/>
      <c r="N668" s="13" t="s">
        <v>10148</v>
      </c>
      <c r="O668" s="13" t="s">
        <v>317</v>
      </c>
      <c r="P668" s="13" t="s">
        <v>2374</v>
      </c>
      <c r="Q668" s="13" t="s">
        <v>10149</v>
      </c>
      <c r="R668" s="109"/>
      <c r="S668" s="109"/>
      <c r="T668" s="112"/>
      <c r="U668" s="112"/>
      <c r="V668" s="112"/>
      <c r="W668" s="112"/>
    </row>
    <row r="669" spans="1:23" s="2" customFormat="1" ht="12">
      <c r="A669" s="11"/>
      <c r="B669" s="108"/>
      <c r="C669" s="109"/>
      <c r="D669" s="14" t="str">
        <f t="shared" si="20"/>
        <v>无锡曼荼罗软件</v>
      </c>
      <c r="E669" s="109"/>
      <c r="F669" s="112"/>
      <c r="G669" s="109"/>
      <c r="H669" s="109"/>
      <c r="I669" s="109"/>
      <c r="J669" s="109"/>
      <c r="K669" s="109"/>
      <c r="L669" s="109"/>
      <c r="M669" s="109"/>
      <c r="N669" s="13" t="s">
        <v>8068</v>
      </c>
      <c r="O669" s="13" t="s">
        <v>251</v>
      </c>
      <c r="P669" s="13" t="s">
        <v>2470</v>
      </c>
      <c r="Q669" s="15" t="s">
        <v>10150</v>
      </c>
      <c r="R669" s="109"/>
      <c r="S669" s="109"/>
      <c r="T669" s="112"/>
      <c r="U669" s="112"/>
      <c r="V669" s="112"/>
      <c r="W669" s="112"/>
    </row>
    <row r="670" spans="1:23" s="2" customFormat="1" ht="12">
      <c r="A670" s="11"/>
      <c r="B670" s="108"/>
      <c r="C670" s="109"/>
      <c r="D670" s="14" t="str">
        <f t="shared" si="20"/>
        <v>无锡曼荼罗软件</v>
      </c>
      <c r="E670" s="109"/>
      <c r="F670" s="112"/>
      <c r="G670" s="109"/>
      <c r="H670" s="109"/>
      <c r="I670" s="109"/>
      <c r="J670" s="109"/>
      <c r="K670" s="109"/>
      <c r="L670" s="109"/>
      <c r="M670" s="109"/>
      <c r="N670" s="13" t="s">
        <v>10151</v>
      </c>
      <c r="O670" s="13" t="s">
        <v>257</v>
      </c>
      <c r="P670" s="13" t="s">
        <v>2470</v>
      </c>
      <c r="Q670" s="15" t="s">
        <v>10152</v>
      </c>
      <c r="R670" s="109"/>
      <c r="S670" s="109"/>
      <c r="T670" s="112"/>
      <c r="U670" s="112"/>
      <c r="V670" s="112"/>
      <c r="W670" s="112"/>
    </row>
    <row r="671" spans="1:23" s="2" customFormat="1" ht="12">
      <c r="A671" s="11"/>
      <c r="B671" s="108"/>
      <c r="C671" s="109"/>
      <c r="D671" s="14" t="str">
        <f t="shared" si="20"/>
        <v>无锡曼荼罗软件</v>
      </c>
      <c r="E671" s="109"/>
      <c r="F671" s="112"/>
      <c r="G671" s="109"/>
      <c r="H671" s="109"/>
      <c r="I671" s="109"/>
      <c r="J671" s="109"/>
      <c r="K671" s="109"/>
      <c r="L671" s="109"/>
      <c r="M671" s="109"/>
      <c r="N671" s="13" t="s">
        <v>10153</v>
      </c>
      <c r="O671" s="13" t="s">
        <v>262</v>
      </c>
      <c r="P671" s="13" t="s">
        <v>2470</v>
      </c>
      <c r="Q671" s="15" t="s">
        <v>10150</v>
      </c>
      <c r="R671" s="109"/>
      <c r="S671" s="109"/>
      <c r="T671" s="112"/>
      <c r="U671" s="112"/>
      <c r="V671" s="112"/>
      <c r="W671" s="112"/>
    </row>
    <row r="672" spans="1:23" s="2" customFormat="1" ht="12">
      <c r="A672" s="11"/>
      <c r="B672" s="108"/>
      <c r="C672" s="109" t="s">
        <v>3206</v>
      </c>
      <c r="D672" s="14" t="s">
        <v>10154</v>
      </c>
      <c r="E672" s="113" t="s">
        <v>10154</v>
      </c>
      <c r="F672" s="114" t="s">
        <v>10155</v>
      </c>
      <c r="G672" s="113" t="s">
        <v>10156</v>
      </c>
      <c r="H672" s="109" t="s">
        <v>10157</v>
      </c>
      <c r="I672" s="109" t="s">
        <v>3121</v>
      </c>
      <c r="J672" s="113" t="s">
        <v>271</v>
      </c>
      <c r="K672" s="113" t="s">
        <v>272</v>
      </c>
      <c r="L672" s="113" t="s">
        <v>1101</v>
      </c>
      <c r="M672" s="113" t="s">
        <v>10158</v>
      </c>
      <c r="N672" s="13" t="s">
        <v>3206</v>
      </c>
      <c r="O672" s="15" t="s">
        <v>471</v>
      </c>
      <c r="P672" s="15" t="s">
        <v>252</v>
      </c>
      <c r="Q672" s="15" t="s">
        <v>9543</v>
      </c>
      <c r="R672" s="109" t="s">
        <v>10159</v>
      </c>
      <c r="S672" s="113" t="s">
        <v>255</v>
      </c>
      <c r="T672" s="114" t="s">
        <v>10160</v>
      </c>
      <c r="U672" s="114" t="s">
        <v>10161</v>
      </c>
      <c r="V672" s="112" t="s">
        <v>10162</v>
      </c>
      <c r="W672" s="112" t="s">
        <v>10163</v>
      </c>
    </row>
    <row r="673" spans="1:23" s="2" customFormat="1" ht="12">
      <c r="A673" s="11"/>
      <c r="B673" s="108"/>
      <c r="C673" s="109"/>
      <c r="D673" s="14" t="str">
        <f>D672</f>
        <v>小鹿中医</v>
      </c>
      <c r="E673" s="109"/>
      <c r="F673" s="112"/>
      <c r="G673" s="109"/>
      <c r="H673" s="109"/>
      <c r="I673" s="109"/>
      <c r="J673" s="109"/>
      <c r="K673" s="109"/>
      <c r="L673" s="109"/>
      <c r="M673" s="109"/>
      <c r="N673" s="13" t="s">
        <v>10164</v>
      </c>
      <c r="O673" s="13" t="s">
        <v>251</v>
      </c>
      <c r="P673" s="13" t="s">
        <v>458</v>
      </c>
      <c r="Q673" s="15" t="s">
        <v>1623</v>
      </c>
      <c r="R673" s="109"/>
      <c r="S673" s="109"/>
      <c r="T673" s="112"/>
      <c r="U673" s="112"/>
      <c r="V673" s="112"/>
      <c r="W673" s="112"/>
    </row>
    <row r="674" spans="1:23" s="2" customFormat="1" ht="12">
      <c r="A674" s="11"/>
      <c r="B674" s="108"/>
      <c r="C674" s="109"/>
      <c r="D674" s="14" t="str">
        <f>D673</f>
        <v>小鹿中医</v>
      </c>
      <c r="E674" s="109"/>
      <c r="F674" s="112"/>
      <c r="G674" s="109"/>
      <c r="H674" s="109"/>
      <c r="I674" s="109"/>
      <c r="J674" s="109"/>
      <c r="K674" s="109"/>
      <c r="L674" s="109"/>
      <c r="M674" s="109"/>
      <c r="N674" s="13" t="s">
        <v>9962</v>
      </c>
      <c r="O674" s="13" t="s">
        <v>565</v>
      </c>
      <c r="P674" s="13" t="s">
        <v>578</v>
      </c>
      <c r="Q674" s="15" t="s">
        <v>10165</v>
      </c>
      <c r="R674" s="109"/>
      <c r="S674" s="109"/>
      <c r="T674" s="112"/>
      <c r="U674" s="112"/>
      <c r="V674" s="112"/>
      <c r="W674" s="112"/>
    </row>
    <row r="675" spans="1:23" s="2" customFormat="1" ht="12">
      <c r="A675" s="11"/>
      <c r="B675" s="108"/>
      <c r="C675" s="109"/>
      <c r="D675" s="14" t="str">
        <f>D674</f>
        <v>小鹿中医</v>
      </c>
      <c r="E675" s="109"/>
      <c r="F675" s="112"/>
      <c r="G675" s="109"/>
      <c r="H675" s="109"/>
      <c r="I675" s="109"/>
      <c r="J675" s="109"/>
      <c r="K675" s="109"/>
      <c r="L675" s="109"/>
      <c r="M675" s="109"/>
      <c r="N675" s="13" t="s">
        <v>10166</v>
      </c>
      <c r="O675" s="13" t="s">
        <v>257</v>
      </c>
      <c r="P675" s="15" t="s">
        <v>252</v>
      </c>
      <c r="Q675" s="13" t="s">
        <v>10167</v>
      </c>
      <c r="R675" s="109"/>
      <c r="S675" s="109"/>
      <c r="T675" s="112"/>
      <c r="U675" s="112"/>
      <c r="V675" s="112"/>
      <c r="W675" s="112"/>
    </row>
    <row r="676" spans="1:23" s="2" customFormat="1" ht="12">
      <c r="A676" s="11"/>
      <c r="B676" s="108"/>
      <c r="C676" s="109"/>
      <c r="D676" s="14" t="str">
        <f>D675</f>
        <v>小鹿中医</v>
      </c>
      <c r="E676" s="109"/>
      <c r="F676" s="112"/>
      <c r="G676" s="109"/>
      <c r="H676" s="109"/>
      <c r="I676" s="109"/>
      <c r="J676" s="109"/>
      <c r="K676" s="109"/>
      <c r="L676" s="109"/>
      <c r="M676" s="109"/>
      <c r="N676" s="13" t="s">
        <v>10168</v>
      </c>
      <c r="O676" s="13" t="s">
        <v>262</v>
      </c>
      <c r="P676" s="15" t="s">
        <v>341</v>
      </c>
      <c r="Q676" s="13" t="s">
        <v>10169</v>
      </c>
      <c r="R676" s="109"/>
      <c r="S676" s="109"/>
      <c r="T676" s="112"/>
      <c r="U676" s="112"/>
      <c r="V676" s="112"/>
      <c r="W676" s="112"/>
    </row>
    <row r="677" spans="1:23" s="2" customFormat="1" ht="12">
      <c r="A677" s="11"/>
      <c r="B677" s="108"/>
      <c r="C677" s="109"/>
      <c r="D677" s="14" t="str">
        <f>D676</f>
        <v>小鹿中医</v>
      </c>
      <c r="E677" s="109"/>
      <c r="F677" s="112"/>
      <c r="G677" s="109"/>
      <c r="H677" s="109"/>
      <c r="I677" s="109"/>
      <c r="J677" s="109"/>
      <c r="K677" s="109"/>
      <c r="L677" s="109"/>
      <c r="M677" s="109"/>
      <c r="N677" s="13" t="s">
        <v>8044</v>
      </c>
      <c r="O677" s="15" t="s">
        <v>326</v>
      </c>
      <c r="P677" s="15" t="s">
        <v>327</v>
      </c>
      <c r="Q677" s="15" t="s">
        <v>10170</v>
      </c>
      <c r="R677" s="109"/>
      <c r="S677" s="109"/>
      <c r="T677" s="112"/>
      <c r="U677" s="112"/>
      <c r="V677" s="112"/>
      <c r="W677" s="112"/>
    </row>
    <row r="678" spans="1:23" s="2" customFormat="1" ht="12">
      <c r="A678" s="11"/>
      <c r="B678" s="108"/>
      <c r="C678" s="109" t="s">
        <v>10171</v>
      </c>
      <c r="D678" s="14" t="s">
        <v>10172</v>
      </c>
      <c r="E678" s="113" t="s">
        <v>10173</v>
      </c>
      <c r="F678" s="114" t="s">
        <v>10174</v>
      </c>
      <c r="G678" s="113" t="s">
        <v>10175</v>
      </c>
      <c r="H678" s="109" t="s">
        <v>10176</v>
      </c>
      <c r="I678" s="109" t="s">
        <v>2478</v>
      </c>
      <c r="J678" s="113" t="s">
        <v>271</v>
      </c>
      <c r="K678" s="113" t="s">
        <v>272</v>
      </c>
      <c r="L678" s="113" t="s">
        <v>1101</v>
      </c>
      <c r="M678" s="113" t="s">
        <v>5105</v>
      </c>
      <c r="N678" s="13" t="s">
        <v>10171</v>
      </c>
      <c r="O678" s="15" t="s">
        <v>285</v>
      </c>
      <c r="P678" s="15" t="s">
        <v>252</v>
      </c>
      <c r="Q678" s="15" t="s">
        <v>9543</v>
      </c>
      <c r="R678" s="109" t="s">
        <v>10177</v>
      </c>
      <c r="S678" s="109" t="s">
        <v>2384</v>
      </c>
      <c r="T678" s="114" t="s">
        <v>10178</v>
      </c>
      <c r="U678" s="114" t="s">
        <v>10179</v>
      </c>
      <c r="V678" s="112" t="s">
        <v>10180</v>
      </c>
      <c r="W678" s="112" t="s">
        <v>10181</v>
      </c>
    </row>
    <row r="679" spans="1:23" s="2" customFormat="1" ht="12">
      <c r="A679" s="11"/>
      <c r="B679" s="108"/>
      <c r="C679" s="109"/>
      <c r="D679" s="14" t="str">
        <f>D678</f>
        <v>零氪科技LinkDoc</v>
      </c>
      <c r="E679" s="109"/>
      <c r="F679" s="112"/>
      <c r="G679" s="109"/>
      <c r="H679" s="109"/>
      <c r="I679" s="109"/>
      <c r="J679" s="109"/>
      <c r="K679" s="109"/>
      <c r="L679" s="109"/>
      <c r="M679" s="109"/>
      <c r="N679" s="13" t="s">
        <v>5187</v>
      </c>
      <c r="O679" s="13" t="s">
        <v>315</v>
      </c>
      <c r="P679" s="13" t="s">
        <v>2089</v>
      </c>
      <c r="Q679" s="15" t="s">
        <v>10182</v>
      </c>
      <c r="R679" s="109"/>
      <c r="S679" s="109"/>
      <c r="T679" s="112"/>
      <c r="U679" s="112"/>
      <c r="V679" s="112"/>
      <c r="W679" s="112"/>
    </row>
    <row r="680" spans="1:23" s="2" customFormat="1" ht="12">
      <c r="A680" s="11"/>
      <c r="B680" s="108"/>
      <c r="C680" s="109"/>
      <c r="D680" s="14" t="str">
        <f>D679</f>
        <v>零氪科技LinkDoc</v>
      </c>
      <c r="E680" s="109"/>
      <c r="F680" s="112"/>
      <c r="G680" s="109"/>
      <c r="H680" s="109"/>
      <c r="I680" s="109"/>
      <c r="J680" s="109"/>
      <c r="K680" s="109"/>
      <c r="L680" s="109"/>
      <c r="M680" s="109"/>
      <c r="N680" s="13" t="s">
        <v>9247</v>
      </c>
      <c r="O680" s="13" t="s">
        <v>317</v>
      </c>
      <c r="P680" s="13" t="s">
        <v>1194</v>
      </c>
      <c r="Q680" s="15" t="s">
        <v>1453</v>
      </c>
      <c r="R680" s="109"/>
      <c r="S680" s="109"/>
      <c r="T680" s="112"/>
      <c r="U680" s="112"/>
      <c r="V680" s="112"/>
      <c r="W680" s="112"/>
    </row>
    <row r="681" spans="1:23" s="2" customFormat="1" ht="12">
      <c r="A681" s="11"/>
      <c r="B681" s="108"/>
      <c r="C681" s="109"/>
      <c r="D681" s="14" t="str">
        <f>D680</f>
        <v>零氪科技LinkDoc</v>
      </c>
      <c r="E681" s="109"/>
      <c r="F681" s="112"/>
      <c r="G681" s="109"/>
      <c r="H681" s="109"/>
      <c r="I681" s="109"/>
      <c r="J681" s="109"/>
      <c r="K681" s="109"/>
      <c r="L681" s="109"/>
      <c r="M681" s="109"/>
      <c r="N681" s="13" t="s">
        <v>10183</v>
      </c>
      <c r="O681" s="13" t="s">
        <v>251</v>
      </c>
      <c r="P681" s="15" t="s">
        <v>258</v>
      </c>
      <c r="Q681" s="15" t="s">
        <v>10184</v>
      </c>
      <c r="R681" s="109"/>
      <c r="S681" s="109"/>
      <c r="T681" s="112"/>
      <c r="U681" s="112"/>
      <c r="V681" s="112"/>
      <c r="W681" s="112"/>
    </row>
    <row r="682" spans="1:23" s="2" customFormat="1" ht="12">
      <c r="A682" s="11"/>
      <c r="B682" s="108"/>
      <c r="C682" s="109"/>
      <c r="D682" s="14" t="str">
        <f>D681</f>
        <v>零氪科技LinkDoc</v>
      </c>
      <c r="E682" s="109"/>
      <c r="F682" s="112"/>
      <c r="G682" s="109"/>
      <c r="H682" s="109"/>
      <c r="I682" s="109"/>
      <c r="J682" s="109"/>
      <c r="K682" s="109"/>
      <c r="L682" s="109"/>
      <c r="M682" s="109"/>
      <c r="N682" s="13" t="s">
        <v>8299</v>
      </c>
      <c r="O682" s="13" t="s">
        <v>257</v>
      </c>
      <c r="P682" s="15" t="s">
        <v>258</v>
      </c>
      <c r="Q682" s="15" t="s">
        <v>10185</v>
      </c>
      <c r="R682" s="109"/>
      <c r="S682" s="109"/>
      <c r="T682" s="112"/>
      <c r="U682" s="112"/>
      <c r="V682" s="112"/>
      <c r="W682" s="112"/>
    </row>
    <row r="683" spans="1:23" s="2" customFormat="1" ht="12">
      <c r="A683" s="11"/>
      <c r="B683" s="108"/>
      <c r="C683" s="109"/>
      <c r="D683" s="14" t="str">
        <f>D682</f>
        <v>零氪科技LinkDoc</v>
      </c>
      <c r="E683" s="109"/>
      <c r="F683" s="112"/>
      <c r="G683" s="109"/>
      <c r="H683" s="109"/>
      <c r="I683" s="109"/>
      <c r="J683" s="109"/>
      <c r="K683" s="109"/>
      <c r="L683" s="109"/>
      <c r="M683" s="109"/>
      <c r="N683" s="13" t="s">
        <v>10186</v>
      </c>
      <c r="O683" s="13" t="s">
        <v>262</v>
      </c>
      <c r="P683" s="15" t="s">
        <v>258</v>
      </c>
      <c r="Q683" s="13" t="s">
        <v>10187</v>
      </c>
      <c r="R683" s="109"/>
      <c r="S683" s="109"/>
      <c r="T683" s="112"/>
      <c r="U683" s="112"/>
      <c r="V683" s="112"/>
      <c r="W683" s="112"/>
    </row>
    <row r="684" spans="1:23" s="2" customFormat="1" ht="12">
      <c r="A684" s="11"/>
      <c r="B684" s="108"/>
      <c r="C684" s="109" t="s">
        <v>10188</v>
      </c>
      <c r="D684" s="14" t="s">
        <v>10189</v>
      </c>
      <c r="E684" s="113" t="s">
        <v>10189</v>
      </c>
      <c r="F684" s="114" t="s">
        <v>10190</v>
      </c>
      <c r="G684" s="113" t="s">
        <v>10191</v>
      </c>
      <c r="H684" s="109" t="s">
        <v>10192</v>
      </c>
      <c r="I684" s="109" t="s">
        <v>942</v>
      </c>
      <c r="J684" s="113" t="s">
        <v>385</v>
      </c>
      <c r="K684" s="113" t="s">
        <v>272</v>
      </c>
      <c r="L684" s="113" t="s">
        <v>1101</v>
      </c>
      <c r="M684" s="113" t="s">
        <v>5105</v>
      </c>
      <c r="N684" s="13" t="s">
        <v>10188</v>
      </c>
      <c r="O684" s="15" t="s">
        <v>285</v>
      </c>
      <c r="P684" s="13" t="s">
        <v>637</v>
      </c>
      <c r="Q684" s="15" t="s">
        <v>10193</v>
      </c>
      <c r="R684" s="109" t="s">
        <v>2262</v>
      </c>
      <c r="S684" s="109" t="s">
        <v>10194</v>
      </c>
      <c r="T684" s="112"/>
      <c r="U684" s="114" t="s">
        <v>10195</v>
      </c>
      <c r="V684" s="112">
        <v>4008326222</v>
      </c>
      <c r="W684" s="112" t="s">
        <v>10196</v>
      </c>
    </row>
    <row r="685" spans="1:23" s="2" customFormat="1" ht="12">
      <c r="A685" s="11"/>
      <c r="B685" s="108"/>
      <c r="C685" s="109"/>
      <c r="D685" s="14" t="str">
        <f>D684</f>
        <v>万里云</v>
      </c>
      <c r="E685" s="109"/>
      <c r="F685" s="112"/>
      <c r="G685" s="109"/>
      <c r="H685" s="109"/>
      <c r="I685" s="109"/>
      <c r="J685" s="109"/>
      <c r="K685" s="109"/>
      <c r="L685" s="109"/>
      <c r="M685" s="109"/>
      <c r="N685" s="13" t="s">
        <v>10197</v>
      </c>
      <c r="O685" s="13" t="s">
        <v>262</v>
      </c>
      <c r="P685" s="13" t="s">
        <v>10198</v>
      </c>
      <c r="Q685" s="15" t="s">
        <v>9543</v>
      </c>
      <c r="R685" s="109"/>
      <c r="S685" s="109"/>
      <c r="T685" s="112"/>
      <c r="U685" s="112"/>
      <c r="V685" s="112"/>
      <c r="W685" s="112"/>
    </row>
    <row r="686" spans="1:23" s="2" customFormat="1" ht="12">
      <c r="A686" s="11"/>
      <c r="B686" s="108"/>
      <c r="C686" s="109" t="s">
        <v>10199</v>
      </c>
      <c r="D686" s="14" t="s">
        <v>10200</v>
      </c>
      <c r="E686" s="113" t="s">
        <v>10200</v>
      </c>
      <c r="F686" s="114" t="s">
        <v>10201</v>
      </c>
      <c r="G686" s="113" t="s">
        <v>10202</v>
      </c>
      <c r="H686" s="109" t="s">
        <v>10203</v>
      </c>
      <c r="I686" s="109" t="s">
        <v>10204</v>
      </c>
      <c r="J686" s="113" t="s">
        <v>2011</v>
      </c>
      <c r="K686" s="113" t="s">
        <v>272</v>
      </c>
      <c r="L686" s="113" t="s">
        <v>1101</v>
      </c>
      <c r="M686" s="113" t="s">
        <v>10205</v>
      </c>
      <c r="N686" s="13" t="s">
        <v>10199</v>
      </c>
      <c r="O686" s="15" t="s">
        <v>285</v>
      </c>
      <c r="P686" s="13" t="s">
        <v>10206</v>
      </c>
      <c r="Q686" s="15" t="s">
        <v>9543</v>
      </c>
      <c r="R686" s="109" t="s">
        <v>10207</v>
      </c>
      <c r="S686" s="109" t="s">
        <v>10208</v>
      </c>
      <c r="T686" s="114" t="s">
        <v>10209</v>
      </c>
      <c r="U686" s="114" t="s">
        <v>10210</v>
      </c>
      <c r="V686" s="112" t="s">
        <v>10211</v>
      </c>
      <c r="W686" s="112" t="s">
        <v>10212</v>
      </c>
    </row>
    <row r="687" spans="1:23" s="2" customFormat="1" ht="12">
      <c r="A687" s="11"/>
      <c r="B687" s="108"/>
      <c r="C687" s="109"/>
      <c r="D687" s="14" t="str">
        <f>D686</f>
        <v>一树药业</v>
      </c>
      <c r="E687" s="109"/>
      <c r="F687" s="112"/>
      <c r="G687" s="109"/>
      <c r="H687" s="109"/>
      <c r="I687" s="109"/>
      <c r="J687" s="109"/>
      <c r="K687" s="109"/>
      <c r="L687" s="109"/>
      <c r="M687" s="109"/>
      <c r="N687" s="13" t="s">
        <v>10213</v>
      </c>
      <c r="O687" s="15" t="s">
        <v>326</v>
      </c>
      <c r="P687" s="15" t="s">
        <v>252</v>
      </c>
      <c r="Q687" s="15" t="s">
        <v>10214</v>
      </c>
      <c r="R687" s="109"/>
      <c r="S687" s="109"/>
      <c r="T687" s="112"/>
      <c r="U687" s="112"/>
      <c r="V687" s="112"/>
      <c r="W687" s="112"/>
    </row>
    <row r="688" spans="1:23" s="2" customFormat="1" ht="132">
      <c r="A688" s="11"/>
      <c r="B688" s="108"/>
      <c r="C688" s="13" t="s">
        <v>8216</v>
      </c>
      <c r="D688" s="19" t="s">
        <v>10215</v>
      </c>
      <c r="E688" s="15" t="s">
        <v>10215</v>
      </c>
      <c r="F688" s="16" t="s">
        <v>10216</v>
      </c>
      <c r="G688" s="15" t="s">
        <v>10217</v>
      </c>
      <c r="H688" s="13"/>
      <c r="I688" s="13" t="s">
        <v>2446</v>
      </c>
      <c r="J688" s="15" t="s">
        <v>547</v>
      </c>
      <c r="K688" s="15" t="s">
        <v>272</v>
      </c>
      <c r="L688" s="15" t="s">
        <v>1101</v>
      </c>
      <c r="M688" s="15" t="s">
        <v>10205</v>
      </c>
      <c r="N688" s="13" t="s">
        <v>8216</v>
      </c>
      <c r="O688" s="15" t="s">
        <v>471</v>
      </c>
      <c r="P688" s="13" t="s">
        <v>10218</v>
      </c>
      <c r="Q688" s="15" t="s">
        <v>9543</v>
      </c>
      <c r="R688" s="13" t="s">
        <v>10219</v>
      </c>
      <c r="S688" s="13" t="s">
        <v>10220</v>
      </c>
      <c r="T688" s="18"/>
      <c r="U688" s="16" t="s">
        <v>10221</v>
      </c>
      <c r="V688" s="18" t="s">
        <v>10222</v>
      </c>
      <c r="W688" s="18" t="s">
        <v>10223</v>
      </c>
    </row>
    <row r="689" spans="1:23" s="2" customFormat="1" ht="12">
      <c r="A689" s="11"/>
      <c r="B689" s="108"/>
      <c r="C689" s="109" t="s">
        <v>10224</v>
      </c>
      <c r="D689" s="14" t="s">
        <v>10225</v>
      </c>
      <c r="E689" s="113" t="s">
        <v>10225</v>
      </c>
      <c r="F689" s="114" t="s">
        <v>10226</v>
      </c>
      <c r="G689" s="113" t="s">
        <v>10227</v>
      </c>
      <c r="H689" s="109" t="s">
        <v>10228</v>
      </c>
      <c r="I689" s="109" t="s">
        <v>2773</v>
      </c>
      <c r="J689" s="113" t="s">
        <v>3512</v>
      </c>
      <c r="K689" s="113" t="s">
        <v>272</v>
      </c>
      <c r="L689" s="113" t="s">
        <v>1101</v>
      </c>
      <c r="M689" s="113" t="s">
        <v>10229</v>
      </c>
      <c r="N689" s="13" t="s">
        <v>10224</v>
      </c>
      <c r="O689" s="13" t="s">
        <v>251</v>
      </c>
      <c r="P689" s="13" t="s">
        <v>2389</v>
      </c>
      <c r="Q689" s="13" t="s">
        <v>10230</v>
      </c>
      <c r="R689" s="109" t="s">
        <v>10231</v>
      </c>
      <c r="S689" s="109" t="s">
        <v>1718</v>
      </c>
      <c r="T689" s="114" t="s">
        <v>10232</v>
      </c>
      <c r="U689" s="114" t="s">
        <v>10233</v>
      </c>
      <c r="V689" s="112" t="s">
        <v>10234</v>
      </c>
      <c r="W689" s="112"/>
    </row>
    <row r="690" spans="1:23" s="2" customFormat="1" ht="12">
      <c r="A690" s="11"/>
      <c r="B690" s="108"/>
      <c r="C690" s="109"/>
      <c r="D690" s="14" t="str">
        <f>D689</f>
        <v>吉因加</v>
      </c>
      <c r="E690" s="109"/>
      <c r="F690" s="112"/>
      <c r="G690" s="109"/>
      <c r="H690" s="109"/>
      <c r="I690" s="109"/>
      <c r="J690" s="109"/>
      <c r="K690" s="109"/>
      <c r="L690" s="109"/>
      <c r="M690" s="109"/>
      <c r="N690" s="13" t="s">
        <v>10235</v>
      </c>
      <c r="O690" s="13" t="s">
        <v>565</v>
      </c>
      <c r="P690" s="13" t="s">
        <v>1063</v>
      </c>
      <c r="Q690" s="15" t="s">
        <v>10236</v>
      </c>
      <c r="R690" s="109"/>
      <c r="S690" s="109"/>
      <c r="T690" s="112"/>
      <c r="U690" s="112"/>
      <c r="V690" s="112"/>
      <c r="W690" s="112"/>
    </row>
    <row r="691" spans="1:23" s="2" customFormat="1" ht="12">
      <c r="A691" s="11"/>
      <c r="B691" s="108"/>
      <c r="C691" s="109"/>
      <c r="D691" s="14" t="str">
        <f>D690</f>
        <v>吉因加</v>
      </c>
      <c r="E691" s="109"/>
      <c r="F691" s="112"/>
      <c r="G691" s="109"/>
      <c r="H691" s="109"/>
      <c r="I691" s="109"/>
      <c r="J691" s="109"/>
      <c r="K691" s="109"/>
      <c r="L691" s="109"/>
      <c r="M691" s="109"/>
      <c r="N691" s="13" t="s">
        <v>10237</v>
      </c>
      <c r="O691" s="13" t="s">
        <v>257</v>
      </c>
      <c r="P691" s="13" t="s">
        <v>578</v>
      </c>
      <c r="Q691" s="15" t="s">
        <v>10238</v>
      </c>
      <c r="R691" s="109"/>
      <c r="S691" s="109"/>
      <c r="T691" s="112"/>
      <c r="U691" s="112"/>
      <c r="V691" s="112"/>
      <c r="W691" s="112"/>
    </row>
    <row r="692" spans="1:23" s="2" customFormat="1" ht="12">
      <c r="A692" s="11"/>
      <c r="B692" s="108"/>
      <c r="C692" s="109"/>
      <c r="D692" s="14" t="str">
        <f>D691</f>
        <v>吉因加</v>
      </c>
      <c r="E692" s="109"/>
      <c r="F692" s="112"/>
      <c r="G692" s="109"/>
      <c r="H692" s="109"/>
      <c r="I692" s="109"/>
      <c r="J692" s="109"/>
      <c r="K692" s="109"/>
      <c r="L692" s="109"/>
      <c r="M692" s="109"/>
      <c r="N692" s="13" t="s">
        <v>10239</v>
      </c>
      <c r="O692" s="15" t="s">
        <v>285</v>
      </c>
      <c r="P692" s="13" t="s">
        <v>1164</v>
      </c>
      <c r="Q692" s="15" t="s">
        <v>10240</v>
      </c>
      <c r="R692" s="109"/>
      <c r="S692" s="109"/>
      <c r="T692" s="112"/>
      <c r="U692" s="112"/>
      <c r="V692" s="112"/>
      <c r="W692" s="112"/>
    </row>
    <row r="693" spans="1:23" s="2" customFormat="1" ht="12">
      <c r="A693" s="11"/>
      <c r="B693" s="108"/>
      <c r="C693" s="109"/>
      <c r="D693" s="14" t="str">
        <f>D692</f>
        <v>吉因加</v>
      </c>
      <c r="E693" s="109"/>
      <c r="F693" s="112"/>
      <c r="G693" s="109"/>
      <c r="H693" s="109"/>
      <c r="I693" s="109"/>
      <c r="J693" s="109"/>
      <c r="K693" s="109"/>
      <c r="L693" s="109"/>
      <c r="M693" s="109"/>
      <c r="N693" s="13" t="s">
        <v>8499</v>
      </c>
      <c r="O693" s="13" t="s">
        <v>262</v>
      </c>
      <c r="P693" s="13" t="s">
        <v>578</v>
      </c>
      <c r="Q693" s="15" t="s">
        <v>10241</v>
      </c>
      <c r="R693" s="109"/>
      <c r="S693" s="109"/>
      <c r="T693" s="112"/>
      <c r="U693" s="112"/>
      <c r="V693" s="112"/>
      <c r="W693" s="112"/>
    </row>
    <row r="694" spans="1:23" s="2" customFormat="1" ht="12">
      <c r="A694" s="11"/>
      <c r="B694" s="108"/>
      <c r="C694" s="109" t="s">
        <v>5312</v>
      </c>
      <c r="D694" s="14" t="s">
        <v>10242</v>
      </c>
      <c r="E694" s="113" t="s">
        <v>10242</v>
      </c>
      <c r="F694" s="114" t="s">
        <v>10243</v>
      </c>
      <c r="G694" s="113" t="s">
        <v>10244</v>
      </c>
      <c r="H694" s="109" t="s">
        <v>10245</v>
      </c>
      <c r="I694" s="109" t="s">
        <v>2847</v>
      </c>
      <c r="J694" s="113" t="s">
        <v>271</v>
      </c>
      <c r="K694" s="113" t="s">
        <v>272</v>
      </c>
      <c r="L694" s="113" t="s">
        <v>1101</v>
      </c>
      <c r="M694" s="113" t="s">
        <v>5105</v>
      </c>
      <c r="N694" s="13" t="s">
        <v>5312</v>
      </c>
      <c r="O694" s="13" t="s">
        <v>283</v>
      </c>
      <c r="P694" s="13" t="s">
        <v>8177</v>
      </c>
      <c r="Q694" s="13" t="s">
        <v>253</v>
      </c>
      <c r="R694" s="109" t="s">
        <v>10246</v>
      </c>
      <c r="S694" s="109" t="s">
        <v>10247</v>
      </c>
      <c r="T694" s="114" t="s">
        <v>10248</v>
      </c>
      <c r="U694" s="114" t="s">
        <v>10249</v>
      </c>
      <c r="V694" s="112" t="s">
        <v>10250</v>
      </c>
      <c r="W694" s="112" t="s">
        <v>10251</v>
      </c>
    </row>
    <row r="695" spans="1:23" s="2" customFormat="1" ht="12">
      <c r="A695" s="11"/>
      <c r="B695" s="108"/>
      <c r="C695" s="109"/>
      <c r="D695" s="14" t="str">
        <f>D694</f>
        <v>嘉和美康</v>
      </c>
      <c r="E695" s="109"/>
      <c r="F695" s="112"/>
      <c r="G695" s="109"/>
      <c r="H695" s="109"/>
      <c r="I695" s="109"/>
      <c r="J695" s="109"/>
      <c r="K695" s="109"/>
      <c r="L695" s="109"/>
      <c r="M695" s="109"/>
      <c r="N695" s="13" t="s">
        <v>10252</v>
      </c>
      <c r="O695" s="15" t="s">
        <v>285</v>
      </c>
      <c r="P695" s="15" t="s">
        <v>252</v>
      </c>
      <c r="Q695" s="15" t="s">
        <v>10253</v>
      </c>
      <c r="R695" s="109"/>
      <c r="S695" s="109"/>
      <c r="T695" s="112"/>
      <c r="U695" s="112"/>
      <c r="V695" s="112"/>
      <c r="W695" s="112"/>
    </row>
    <row r="696" spans="1:23" s="2" customFormat="1" ht="12">
      <c r="A696" s="11"/>
      <c r="B696" s="108"/>
      <c r="C696" s="109"/>
      <c r="D696" s="14" t="str">
        <f>D695</f>
        <v>嘉和美康</v>
      </c>
      <c r="E696" s="109"/>
      <c r="F696" s="112"/>
      <c r="G696" s="109"/>
      <c r="H696" s="109"/>
      <c r="I696" s="109"/>
      <c r="J696" s="109"/>
      <c r="K696" s="109"/>
      <c r="L696" s="109"/>
      <c r="M696" s="109"/>
      <c r="N696" s="13" t="s">
        <v>10254</v>
      </c>
      <c r="O696" s="15" t="s">
        <v>285</v>
      </c>
      <c r="P696" s="15" t="s">
        <v>252</v>
      </c>
      <c r="Q696" s="15" t="s">
        <v>10255</v>
      </c>
      <c r="R696" s="109"/>
      <c r="S696" s="109"/>
      <c r="T696" s="112"/>
      <c r="U696" s="112"/>
      <c r="V696" s="112"/>
      <c r="W696" s="112"/>
    </row>
    <row r="697" spans="1:23" s="2" customFormat="1" ht="12">
      <c r="A697" s="11"/>
      <c r="B697" s="108"/>
      <c r="C697" s="109"/>
      <c r="D697" s="14" t="str">
        <f>D696</f>
        <v>嘉和美康</v>
      </c>
      <c r="E697" s="109"/>
      <c r="F697" s="112"/>
      <c r="G697" s="109"/>
      <c r="H697" s="109"/>
      <c r="I697" s="109"/>
      <c r="J697" s="109"/>
      <c r="K697" s="109"/>
      <c r="L697" s="109"/>
      <c r="M697" s="109"/>
      <c r="N697" s="13" t="s">
        <v>10256</v>
      </c>
      <c r="O697" s="13" t="s">
        <v>251</v>
      </c>
      <c r="P697" s="13" t="s">
        <v>2336</v>
      </c>
      <c r="Q697" s="15" t="s">
        <v>9543</v>
      </c>
      <c r="R697" s="109"/>
      <c r="S697" s="109"/>
      <c r="T697" s="112"/>
      <c r="U697" s="112"/>
      <c r="V697" s="112"/>
      <c r="W697" s="112"/>
    </row>
    <row r="698" spans="1:23" s="2" customFormat="1" ht="12">
      <c r="A698" s="11"/>
      <c r="B698" s="108"/>
      <c r="C698" s="109"/>
      <c r="D698" s="14" t="str">
        <f>D697</f>
        <v>嘉和美康</v>
      </c>
      <c r="E698" s="109"/>
      <c r="F698" s="112"/>
      <c r="G698" s="109"/>
      <c r="H698" s="109"/>
      <c r="I698" s="109"/>
      <c r="J698" s="109"/>
      <c r="K698" s="109"/>
      <c r="L698" s="109"/>
      <c r="M698" s="109"/>
      <c r="N698" s="13" t="s">
        <v>10257</v>
      </c>
      <c r="O698" s="13" t="s">
        <v>257</v>
      </c>
      <c r="P698" s="13" t="s">
        <v>637</v>
      </c>
      <c r="Q698" s="15" t="s">
        <v>10258</v>
      </c>
      <c r="R698" s="109"/>
      <c r="S698" s="109"/>
      <c r="T698" s="112"/>
      <c r="U698" s="112"/>
      <c r="V698" s="112"/>
      <c r="W698" s="112"/>
    </row>
    <row r="699" spans="1:23" s="2" customFormat="1" ht="12">
      <c r="A699" s="11"/>
      <c r="B699" s="108"/>
      <c r="C699" s="109"/>
      <c r="D699" s="14" t="str">
        <f>D698</f>
        <v>嘉和美康</v>
      </c>
      <c r="E699" s="109"/>
      <c r="F699" s="112"/>
      <c r="G699" s="109"/>
      <c r="H699" s="109"/>
      <c r="I699" s="109"/>
      <c r="J699" s="109"/>
      <c r="K699" s="109"/>
      <c r="L699" s="109"/>
      <c r="M699" s="109"/>
      <c r="N699" s="13" t="s">
        <v>10259</v>
      </c>
      <c r="O699" s="13" t="s">
        <v>262</v>
      </c>
      <c r="P699" s="15" t="s">
        <v>341</v>
      </c>
      <c r="Q699" s="15" t="s">
        <v>10260</v>
      </c>
      <c r="R699" s="109"/>
      <c r="S699" s="109"/>
      <c r="T699" s="112"/>
      <c r="U699" s="112"/>
      <c r="V699" s="112"/>
      <c r="W699" s="112"/>
    </row>
    <row r="700" spans="1:23" s="2" customFormat="1" ht="12">
      <c r="A700" s="11"/>
      <c r="B700" s="108"/>
      <c r="C700" s="109" t="s">
        <v>8571</v>
      </c>
      <c r="D700" s="14" t="s">
        <v>10261</v>
      </c>
      <c r="E700" s="113" t="s">
        <v>10261</v>
      </c>
      <c r="F700" s="114" t="s">
        <v>10262</v>
      </c>
      <c r="G700" s="113" t="s">
        <v>10263</v>
      </c>
      <c r="H700" s="109" t="s">
        <v>10264</v>
      </c>
      <c r="I700" s="109" t="s">
        <v>1139</v>
      </c>
      <c r="J700" s="113" t="s">
        <v>1192</v>
      </c>
      <c r="K700" s="113" t="s">
        <v>272</v>
      </c>
      <c r="L700" s="113" t="s">
        <v>1101</v>
      </c>
      <c r="M700" s="113" t="s">
        <v>1503</v>
      </c>
      <c r="N700" s="13" t="s">
        <v>8571</v>
      </c>
      <c r="O700" s="13" t="s">
        <v>565</v>
      </c>
      <c r="P700" s="13" t="s">
        <v>10265</v>
      </c>
      <c r="Q700" s="15" t="s">
        <v>10266</v>
      </c>
      <c r="R700" s="109" t="s">
        <v>10267</v>
      </c>
      <c r="S700" s="109" t="s">
        <v>2562</v>
      </c>
      <c r="T700" s="114" t="s">
        <v>10268</v>
      </c>
      <c r="U700" s="114" t="s">
        <v>10269</v>
      </c>
      <c r="V700" s="112" t="s">
        <v>10270</v>
      </c>
      <c r="W700" s="112" t="s">
        <v>10271</v>
      </c>
    </row>
    <row r="701" spans="1:23" s="2" customFormat="1" ht="12">
      <c r="A701" s="11"/>
      <c r="B701" s="108"/>
      <c r="C701" s="109"/>
      <c r="D701" s="14" t="str">
        <f>D700</f>
        <v>巨鼎医疗</v>
      </c>
      <c r="E701" s="109"/>
      <c r="F701" s="112"/>
      <c r="G701" s="109"/>
      <c r="H701" s="109"/>
      <c r="I701" s="109"/>
      <c r="J701" s="109"/>
      <c r="K701" s="109"/>
      <c r="L701" s="109"/>
      <c r="M701" s="109"/>
      <c r="N701" s="13" t="s">
        <v>10272</v>
      </c>
      <c r="O701" s="13" t="s">
        <v>257</v>
      </c>
      <c r="P701" s="13" t="s">
        <v>10273</v>
      </c>
      <c r="Q701" s="15" t="s">
        <v>10274</v>
      </c>
      <c r="R701" s="109"/>
      <c r="S701" s="109"/>
      <c r="T701" s="112"/>
      <c r="U701" s="112"/>
      <c r="V701" s="112"/>
      <c r="W701" s="112"/>
    </row>
    <row r="702" spans="1:23" s="2" customFormat="1" ht="12">
      <c r="A702" s="11"/>
      <c r="B702" s="108"/>
      <c r="C702" s="109"/>
      <c r="D702" s="14" t="str">
        <f>D701</f>
        <v>巨鼎医疗</v>
      </c>
      <c r="E702" s="109"/>
      <c r="F702" s="112"/>
      <c r="G702" s="109"/>
      <c r="H702" s="109"/>
      <c r="I702" s="109"/>
      <c r="J702" s="109"/>
      <c r="K702" s="109"/>
      <c r="L702" s="109"/>
      <c r="M702" s="109"/>
      <c r="N702" s="13" t="s">
        <v>1134</v>
      </c>
      <c r="O702" s="13" t="s">
        <v>262</v>
      </c>
      <c r="P702" s="13" t="s">
        <v>1164</v>
      </c>
      <c r="Q702" s="15" t="s">
        <v>2971</v>
      </c>
      <c r="R702" s="109"/>
      <c r="S702" s="109"/>
      <c r="T702" s="112"/>
      <c r="U702" s="112"/>
      <c r="V702" s="112"/>
      <c r="W702" s="112"/>
    </row>
    <row r="703" spans="1:23" s="2" customFormat="1" ht="12">
      <c r="A703" s="11"/>
      <c r="B703" s="108"/>
      <c r="C703" s="109" t="s">
        <v>10275</v>
      </c>
      <c r="D703" s="14" t="s">
        <v>10276</v>
      </c>
      <c r="E703" s="113" t="s">
        <v>10276</v>
      </c>
      <c r="F703" s="114" t="s">
        <v>10277</v>
      </c>
      <c r="G703" s="113" t="s">
        <v>10278</v>
      </c>
      <c r="H703" s="109" t="s">
        <v>10279</v>
      </c>
      <c r="I703" s="109" t="s">
        <v>2887</v>
      </c>
      <c r="J703" s="113" t="s">
        <v>271</v>
      </c>
      <c r="K703" s="113" t="s">
        <v>248</v>
      </c>
      <c r="L703" s="113" t="s">
        <v>1101</v>
      </c>
      <c r="M703" s="113" t="s">
        <v>5105</v>
      </c>
      <c r="N703" s="13" t="s">
        <v>10275</v>
      </c>
      <c r="O703" s="15" t="s">
        <v>285</v>
      </c>
      <c r="P703" s="15" t="s">
        <v>341</v>
      </c>
      <c r="Q703" s="15" t="s">
        <v>9543</v>
      </c>
      <c r="R703" s="109" t="s">
        <v>2954</v>
      </c>
      <c r="S703" s="109" t="s">
        <v>432</v>
      </c>
      <c r="T703" s="114" t="s">
        <v>10280</v>
      </c>
      <c r="U703" s="114" t="s">
        <v>10281</v>
      </c>
      <c r="V703" s="112" t="s">
        <v>10282</v>
      </c>
      <c r="W703" s="112" t="s">
        <v>10283</v>
      </c>
    </row>
    <row r="704" spans="1:23" s="2" customFormat="1" ht="12">
      <c r="A704" s="11"/>
      <c r="B704" s="108"/>
      <c r="C704" s="109"/>
      <c r="D704" s="14" t="str">
        <f>D703</f>
        <v>嘉美在线</v>
      </c>
      <c r="E704" s="109"/>
      <c r="F704" s="112"/>
      <c r="G704" s="109"/>
      <c r="H704" s="109"/>
      <c r="I704" s="109"/>
      <c r="J704" s="109"/>
      <c r="K704" s="109"/>
      <c r="L704" s="109"/>
      <c r="M704" s="109"/>
      <c r="N704" s="13" t="s">
        <v>7989</v>
      </c>
      <c r="O704" s="13" t="s">
        <v>262</v>
      </c>
      <c r="P704" s="15" t="s">
        <v>341</v>
      </c>
      <c r="Q704" s="13" t="s">
        <v>10284</v>
      </c>
      <c r="R704" s="109"/>
      <c r="S704" s="109"/>
      <c r="T704" s="112"/>
      <c r="U704" s="112"/>
      <c r="V704" s="112"/>
      <c r="W704" s="112"/>
    </row>
    <row r="705" spans="1:23" s="2" customFormat="1" ht="12">
      <c r="A705" s="11"/>
      <c r="B705" s="108"/>
      <c r="C705" s="109" t="s">
        <v>10285</v>
      </c>
      <c r="D705" s="14" t="s">
        <v>10286</v>
      </c>
      <c r="E705" s="113" t="s">
        <v>10286</v>
      </c>
      <c r="F705" s="114" t="s">
        <v>10287</v>
      </c>
      <c r="G705" s="113" t="s">
        <v>10288</v>
      </c>
      <c r="H705" s="109" t="s">
        <v>10289</v>
      </c>
      <c r="I705" s="109" t="s">
        <v>629</v>
      </c>
      <c r="J705" s="113" t="s">
        <v>372</v>
      </c>
      <c r="K705" s="113" t="s">
        <v>272</v>
      </c>
      <c r="L705" s="113" t="s">
        <v>1101</v>
      </c>
      <c r="M705" s="113" t="s">
        <v>10290</v>
      </c>
      <c r="N705" s="13" t="s">
        <v>10285</v>
      </c>
      <c r="O705" s="13" t="s">
        <v>317</v>
      </c>
      <c r="P705" s="13" t="s">
        <v>9514</v>
      </c>
      <c r="Q705" s="15" t="s">
        <v>10291</v>
      </c>
      <c r="R705" s="109" t="s">
        <v>10292</v>
      </c>
      <c r="S705" s="109" t="s">
        <v>2562</v>
      </c>
      <c r="T705" s="114" t="s">
        <v>10293</v>
      </c>
      <c r="U705" s="114" t="s">
        <v>10294</v>
      </c>
      <c r="V705" s="112" t="s">
        <v>10295</v>
      </c>
      <c r="W705" s="112" t="s">
        <v>10296</v>
      </c>
    </row>
    <row r="706" spans="1:23" s="2" customFormat="1" ht="12">
      <c r="A706" s="11"/>
      <c r="B706" s="108"/>
      <c r="C706" s="109"/>
      <c r="D706" s="14" t="str">
        <f>D705</f>
        <v>兰丁股份</v>
      </c>
      <c r="E706" s="109"/>
      <c r="F706" s="112"/>
      <c r="G706" s="109"/>
      <c r="H706" s="109"/>
      <c r="I706" s="109"/>
      <c r="J706" s="109"/>
      <c r="K706" s="109"/>
      <c r="L706" s="109"/>
      <c r="M706" s="109"/>
      <c r="N706" s="13" t="s">
        <v>10297</v>
      </c>
      <c r="O706" s="13" t="s">
        <v>251</v>
      </c>
      <c r="P706" s="15" t="s">
        <v>341</v>
      </c>
      <c r="Q706" s="15" t="s">
        <v>10298</v>
      </c>
      <c r="R706" s="109"/>
      <c r="S706" s="109"/>
      <c r="T706" s="112"/>
      <c r="U706" s="112"/>
      <c r="V706" s="112"/>
      <c r="W706" s="112"/>
    </row>
    <row r="707" spans="1:23" s="2" customFormat="1" ht="12">
      <c r="A707" s="11"/>
      <c r="B707" s="108"/>
      <c r="C707" s="109"/>
      <c r="D707" s="14" t="str">
        <f>D706</f>
        <v>兰丁股份</v>
      </c>
      <c r="E707" s="109"/>
      <c r="F707" s="112"/>
      <c r="G707" s="109"/>
      <c r="H707" s="109"/>
      <c r="I707" s="109"/>
      <c r="J707" s="109"/>
      <c r="K707" s="109"/>
      <c r="L707" s="109"/>
      <c r="M707" s="109"/>
      <c r="N707" s="13" t="s">
        <v>3852</v>
      </c>
      <c r="O707" s="13" t="s">
        <v>257</v>
      </c>
      <c r="P707" s="15" t="s">
        <v>341</v>
      </c>
      <c r="Q707" s="15" t="s">
        <v>10299</v>
      </c>
      <c r="R707" s="109"/>
      <c r="S707" s="109"/>
      <c r="T707" s="112"/>
      <c r="U707" s="112"/>
      <c r="V707" s="112"/>
      <c r="W707" s="112"/>
    </row>
    <row r="708" spans="1:23" s="2" customFormat="1" ht="12">
      <c r="A708" s="11"/>
      <c r="B708" s="108"/>
      <c r="C708" s="109"/>
      <c r="D708" s="14" t="str">
        <f>D707</f>
        <v>兰丁股份</v>
      </c>
      <c r="E708" s="109"/>
      <c r="F708" s="112"/>
      <c r="G708" s="109"/>
      <c r="H708" s="109"/>
      <c r="I708" s="109"/>
      <c r="J708" s="109"/>
      <c r="K708" s="109"/>
      <c r="L708" s="109"/>
      <c r="M708" s="109"/>
      <c r="N708" s="13" t="s">
        <v>10300</v>
      </c>
      <c r="O708" s="13" t="s">
        <v>262</v>
      </c>
      <c r="P708" s="15" t="s">
        <v>341</v>
      </c>
      <c r="Q708" s="15" t="s">
        <v>10301</v>
      </c>
      <c r="R708" s="109"/>
      <c r="S708" s="109"/>
      <c r="T708" s="112"/>
      <c r="U708" s="112"/>
      <c r="V708" s="112"/>
      <c r="W708" s="112"/>
    </row>
    <row r="709" spans="1:23" s="2" customFormat="1" ht="12">
      <c r="A709" s="11"/>
      <c r="B709" s="108"/>
      <c r="C709" s="109"/>
      <c r="D709" s="14" t="str">
        <f>D708</f>
        <v>兰丁股份</v>
      </c>
      <c r="E709" s="109"/>
      <c r="F709" s="112"/>
      <c r="G709" s="109"/>
      <c r="H709" s="109"/>
      <c r="I709" s="109"/>
      <c r="J709" s="109"/>
      <c r="K709" s="109"/>
      <c r="L709" s="109"/>
      <c r="M709" s="109"/>
      <c r="N709" s="13" t="s">
        <v>10302</v>
      </c>
      <c r="O709" s="13" t="s">
        <v>721</v>
      </c>
      <c r="P709" s="13" t="s">
        <v>360</v>
      </c>
      <c r="Q709" s="13" t="s">
        <v>253</v>
      </c>
      <c r="R709" s="109"/>
      <c r="S709" s="109"/>
      <c r="T709" s="112"/>
      <c r="U709" s="112"/>
      <c r="V709" s="112"/>
      <c r="W709" s="112"/>
    </row>
    <row r="710" spans="1:23" s="2" customFormat="1" ht="12">
      <c r="A710" s="11"/>
      <c r="B710" s="108"/>
      <c r="C710" s="109" t="s">
        <v>10303</v>
      </c>
      <c r="D710" s="14" t="s">
        <v>10304</v>
      </c>
      <c r="E710" s="113" t="s">
        <v>10304</v>
      </c>
      <c r="F710" s="114" t="s">
        <v>10305</v>
      </c>
      <c r="G710" s="113" t="s">
        <v>10306</v>
      </c>
      <c r="H710" s="109" t="s">
        <v>10307</v>
      </c>
      <c r="I710" s="109" t="s">
        <v>10308</v>
      </c>
      <c r="J710" s="113" t="s">
        <v>9866</v>
      </c>
      <c r="K710" s="113" t="s">
        <v>272</v>
      </c>
      <c r="L710" s="113" t="s">
        <v>1101</v>
      </c>
      <c r="M710" s="113" t="s">
        <v>10205</v>
      </c>
      <c r="N710" s="13" t="s">
        <v>10303</v>
      </c>
      <c r="O710" s="13" t="s">
        <v>283</v>
      </c>
      <c r="P710" s="13" t="s">
        <v>10309</v>
      </c>
      <c r="Q710" s="13" t="s">
        <v>253</v>
      </c>
      <c r="R710" s="109" t="s">
        <v>10310</v>
      </c>
      <c r="S710" s="109" t="s">
        <v>10311</v>
      </c>
      <c r="T710" s="114" t="s">
        <v>10312</v>
      </c>
      <c r="U710" s="114" t="s">
        <v>10313</v>
      </c>
      <c r="V710" s="112" t="s">
        <v>10314</v>
      </c>
      <c r="W710" s="112"/>
    </row>
    <row r="711" spans="1:23" s="2" customFormat="1" ht="12">
      <c r="A711" s="11"/>
      <c r="B711" s="108"/>
      <c r="C711" s="109"/>
      <c r="D711" s="14" t="str">
        <f>D710</f>
        <v>漱玉平民</v>
      </c>
      <c r="E711" s="109"/>
      <c r="F711" s="112"/>
      <c r="G711" s="109"/>
      <c r="H711" s="109"/>
      <c r="I711" s="109"/>
      <c r="J711" s="109"/>
      <c r="K711" s="109"/>
      <c r="L711" s="109"/>
      <c r="M711" s="109"/>
      <c r="N711" s="13" t="s">
        <v>4578</v>
      </c>
      <c r="O711" s="15" t="s">
        <v>285</v>
      </c>
      <c r="P711" s="13" t="s">
        <v>10315</v>
      </c>
      <c r="Q711" s="15" t="s">
        <v>9543</v>
      </c>
      <c r="R711" s="109"/>
      <c r="S711" s="109"/>
      <c r="T711" s="112"/>
      <c r="U711" s="112"/>
      <c r="V711" s="112"/>
      <c r="W711" s="112"/>
    </row>
    <row r="712" spans="1:23" s="2" customFormat="1" ht="59.5">
      <c r="A712" s="11"/>
      <c r="B712" s="108"/>
      <c r="C712" s="13" t="s">
        <v>10316</v>
      </c>
      <c r="D712" s="19" t="s">
        <v>10317</v>
      </c>
      <c r="E712" s="13" t="s">
        <v>10317</v>
      </c>
      <c r="F712" s="18" t="s">
        <v>10318</v>
      </c>
      <c r="G712" s="13"/>
      <c r="H712" s="13"/>
      <c r="I712" s="13" t="s">
        <v>4747</v>
      </c>
      <c r="J712" s="15" t="s">
        <v>1502</v>
      </c>
      <c r="K712" s="15" t="s">
        <v>272</v>
      </c>
      <c r="L712" s="15" t="s">
        <v>1101</v>
      </c>
      <c r="M712" s="15" t="s">
        <v>3396</v>
      </c>
      <c r="N712" s="13" t="s">
        <v>10316</v>
      </c>
      <c r="O712" s="15" t="s">
        <v>471</v>
      </c>
      <c r="P712" s="13" t="s">
        <v>10319</v>
      </c>
      <c r="Q712" s="15" t="s">
        <v>9543</v>
      </c>
      <c r="R712" s="13" t="s">
        <v>10320</v>
      </c>
      <c r="S712" s="13" t="s">
        <v>10321</v>
      </c>
      <c r="T712" s="18"/>
      <c r="U712" s="18"/>
      <c r="V712" s="18"/>
      <c r="W712" s="18"/>
    </row>
    <row r="713" spans="1:23" s="2" customFormat="1" ht="12">
      <c r="A713" s="11"/>
      <c r="B713" s="108"/>
      <c r="C713" s="109" t="s">
        <v>4530</v>
      </c>
      <c r="D713" s="14" t="s">
        <v>9536</v>
      </c>
      <c r="E713" s="113" t="s">
        <v>9536</v>
      </c>
      <c r="F713" s="114" t="s">
        <v>9537</v>
      </c>
      <c r="G713" s="113" t="s">
        <v>9538</v>
      </c>
      <c r="H713" s="109"/>
      <c r="I713" s="109" t="s">
        <v>9513</v>
      </c>
      <c r="J713" s="113" t="s">
        <v>406</v>
      </c>
      <c r="K713" s="113" t="s">
        <v>272</v>
      </c>
      <c r="L713" s="113" t="s">
        <v>1101</v>
      </c>
      <c r="M713" s="113" t="s">
        <v>5105</v>
      </c>
      <c r="N713" s="13" t="s">
        <v>4530</v>
      </c>
      <c r="O713" s="15" t="s">
        <v>285</v>
      </c>
      <c r="P713" s="15" t="s">
        <v>341</v>
      </c>
      <c r="Q713" s="15" t="s">
        <v>2229</v>
      </c>
      <c r="R713" s="109" t="s">
        <v>9539</v>
      </c>
      <c r="S713" s="109" t="s">
        <v>3743</v>
      </c>
      <c r="T713" s="114" t="s">
        <v>9540</v>
      </c>
      <c r="U713" s="114" t="s">
        <v>9541</v>
      </c>
      <c r="V713" s="112"/>
      <c r="W713" s="112"/>
    </row>
    <row r="714" spans="1:23" s="2" customFormat="1" ht="12">
      <c r="A714" s="11"/>
      <c r="B714" s="108"/>
      <c r="C714" s="109"/>
      <c r="D714" s="14" t="str">
        <f>D713</f>
        <v>浙江扁鹊</v>
      </c>
      <c r="E714" s="109"/>
      <c r="F714" s="112"/>
      <c r="G714" s="109"/>
      <c r="H714" s="109"/>
      <c r="I714" s="109"/>
      <c r="J714" s="109"/>
      <c r="K714" s="109"/>
      <c r="L714" s="109"/>
      <c r="M714" s="109"/>
      <c r="N714" s="13" t="s">
        <v>9542</v>
      </c>
      <c r="O714" s="15" t="s">
        <v>285</v>
      </c>
      <c r="P714" s="13" t="s">
        <v>8607</v>
      </c>
      <c r="Q714" s="15" t="s">
        <v>9543</v>
      </c>
      <c r="R714" s="109"/>
      <c r="S714" s="109"/>
      <c r="T714" s="112"/>
      <c r="U714" s="112"/>
      <c r="V714" s="112"/>
      <c r="W714" s="112"/>
    </row>
    <row r="715" spans="1:23" s="2" customFormat="1" ht="12">
      <c r="A715" s="11"/>
      <c r="B715" s="108"/>
      <c r="C715" s="109" t="s">
        <v>10322</v>
      </c>
      <c r="D715" s="14" t="s">
        <v>10323</v>
      </c>
      <c r="E715" s="113" t="s">
        <v>10323</v>
      </c>
      <c r="F715" s="114" t="s">
        <v>10324</v>
      </c>
      <c r="G715" s="113" t="s">
        <v>10325</v>
      </c>
      <c r="H715" s="109" t="s">
        <v>10326</v>
      </c>
      <c r="I715" s="109" t="s">
        <v>1845</v>
      </c>
      <c r="J715" s="113" t="s">
        <v>5030</v>
      </c>
      <c r="K715" s="113" t="s">
        <v>272</v>
      </c>
      <c r="L715" s="113" t="s">
        <v>1101</v>
      </c>
      <c r="M715" s="113" t="s">
        <v>1503</v>
      </c>
      <c r="N715" s="13" t="s">
        <v>10322</v>
      </c>
      <c r="O715" s="13" t="s">
        <v>283</v>
      </c>
      <c r="P715" s="15" t="s">
        <v>252</v>
      </c>
      <c r="Q715" s="13" t="s">
        <v>253</v>
      </c>
      <c r="R715" s="109" t="s">
        <v>2553</v>
      </c>
      <c r="S715" s="109" t="s">
        <v>449</v>
      </c>
      <c r="T715" s="114" t="s">
        <v>10327</v>
      </c>
      <c r="U715" s="114" t="s">
        <v>10328</v>
      </c>
      <c r="V715" s="112" t="s">
        <v>10329</v>
      </c>
      <c r="W715" s="112" t="s">
        <v>10330</v>
      </c>
    </row>
    <row r="716" spans="1:23" s="2" customFormat="1" ht="12">
      <c r="A716" s="11"/>
      <c r="B716" s="108"/>
      <c r="C716" s="109"/>
      <c r="D716" s="14" t="str">
        <f>D715</f>
        <v>华人健康</v>
      </c>
      <c r="E716" s="109"/>
      <c r="F716" s="112"/>
      <c r="G716" s="109"/>
      <c r="H716" s="109"/>
      <c r="I716" s="109"/>
      <c r="J716" s="109"/>
      <c r="K716" s="109"/>
      <c r="L716" s="109"/>
      <c r="M716" s="109"/>
      <c r="N716" s="13" t="s">
        <v>10331</v>
      </c>
      <c r="O716" s="13" t="s">
        <v>257</v>
      </c>
      <c r="P716" s="15" t="s">
        <v>252</v>
      </c>
      <c r="Q716" s="15" t="s">
        <v>9543</v>
      </c>
      <c r="R716" s="109"/>
      <c r="S716" s="109"/>
      <c r="T716" s="112"/>
      <c r="U716" s="112"/>
      <c r="V716" s="112"/>
      <c r="W716" s="112"/>
    </row>
    <row r="717" spans="1:23" s="2" customFormat="1" ht="12">
      <c r="A717" s="11"/>
      <c r="B717" s="108"/>
      <c r="C717" s="109"/>
      <c r="D717" s="14" t="str">
        <f>D716</f>
        <v>华人健康</v>
      </c>
      <c r="E717" s="109"/>
      <c r="F717" s="112"/>
      <c r="G717" s="109"/>
      <c r="H717" s="109"/>
      <c r="I717" s="109"/>
      <c r="J717" s="109"/>
      <c r="K717" s="109"/>
      <c r="L717" s="109"/>
      <c r="M717" s="109"/>
      <c r="N717" s="13" t="s">
        <v>10332</v>
      </c>
      <c r="O717" s="13" t="s">
        <v>262</v>
      </c>
      <c r="P717" s="15" t="s">
        <v>252</v>
      </c>
      <c r="Q717" s="15" t="s">
        <v>10333</v>
      </c>
      <c r="R717" s="109"/>
      <c r="S717" s="109"/>
      <c r="T717" s="112"/>
      <c r="U717" s="112"/>
      <c r="V717" s="112"/>
      <c r="W717" s="112"/>
    </row>
    <row r="718" spans="1:23" s="2" customFormat="1" ht="96">
      <c r="A718" s="11"/>
      <c r="B718" s="108"/>
      <c r="C718" s="13" t="s">
        <v>10334</v>
      </c>
      <c r="D718" s="19" t="s">
        <v>10335</v>
      </c>
      <c r="E718" s="15" t="s">
        <v>10335</v>
      </c>
      <c r="F718" s="16" t="s">
        <v>10336</v>
      </c>
      <c r="G718" s="15" t="s">
        <v>10337</v>
      </c>
      <c r="H718" s="13"/>
      <c r="I718" s="13" t="s">
        <v>2478</v>
      </c>
      <c r="J718" s="15" t="s">
        <v>406</v>
      </c>
      <c r="K718" s="15" t="s">
        <v>272</v>
      </c>
      <c r="L718" s="15" t="s">
        <v>1101</v>
      </c>
      <c r="M718" s="15" t="s">
        <v>10205</v>
      </c>
      <c r="N718" s="13" t="s">
        <v>10334</v>
      </c>
      <c r="O718" s="15" t="s">
        <v>471</v>
      </c>
      <c r="P718" s="13" t="s">
        <v>1684</v>
      </c>
      <c r="Q718" s="15" t="s">
        <v>9543</v>
      </c>
      <c r="R718" s="13" t="s">
        <v>1683</v>
      </c>
      <c r="S718" s="13" t="s">
        <v>3743</v>
      </c>
      <c r="T718" s="16" t="s">
        <v>10338</v>
      </c>
      <c r="U718" s="16" t="s">
        <v>10339</v>
      </c>
      <c r="V718" s="18"/>
      <c r="W718" s="18"/>
    </row>
    <row r="719" spans="1:23" s="2" customFormat="1" ht="12">
      <c r="A719" s="11"/>
      <c r="B719" s="108"/>
      <c r="C719" s="109" t="s">
        <v>10340</v>
      </c>
      <c r="D719" s="14" t="s">
        <v>10341</v>
      </c>
      <c r="E719" s="113" t="s">
        <v>10341</v>
      </c>
      <c r="F719" s="114" t="s">
        <v>10342</v>
      </c>
      <c r="G719" s="113" t="s">
        <v>10343</v>
      </c>
      <c r="H719" s="109" t="s">
        <v>10344</v>
      </c>
      <c r="I719" s="109" t="s">
        <v>1588</v>
      </c>
      <c r="J719" s="113" t="s">
        <v>385</v>
      </c>
      <c r="K719" s="113" t="s">
        <v>272</v>
      </c>
      <c r="L719" s="113" t="s">
        <v>1101</v>
      </c>
      <c r="M719" s="113" t="s">
        <v>10205</v>
      </c>
      <c r="N719" s="13" t="s">
        <v>10340</v>
      </c>
      <c r="O719" s="15" t="s">
        <v>285</v>
      </c>
      <c r="P719" s="13" t="s">
        <v>10345</v>
      </c>
      <c r="Q719" s="15" t="s">
        <v>9543</v>
      </c>
      <c r="R719" s="109" t="s">
        <v>619</v>
      </c>
      <c r="S719" s="109" t="s">
        <v>10346</v>
      </c>
      <c r="T719" s="114" t="s">
        <v>10347</v>
      </c>
      <c r="U719" s="114" t="s">
        <v>10348</v>
      </c>
      <c r="V719" s="112" t="s">
        <v>10349</v>
      </c>
      <c r="W719" s="112" t="s">
        <v>10350</v>
      </c>
    </row>
    <row r="720" spans="1:23" s="2" customFormat="1" ht="12">
      <c r="A720" s="11"/>
      <c r="B720" s="108"/>
      <c r="C720" s="109"/>
      <c r="D720" s="14" t="str">
        <f>D719</f>
        <v>德生堂</v>
      </c>
      <c r="E720" s="109"/>
      <c r="F720" s="112"/>
      <c r="G720" s="109"/>
      <c r="H720" s="109"/>
      <c r="I720" s="109"/>
      <c r="J720" s="109"/>
      <c r="K720" s="109"/>
      <c r="L720" s="109"/>
      <c r="M720" s="109"/>
      <c r="N720" s="13" t="s">
        <v>10351</v>
      </c>
      <c r="O720" s="15" t="s">
        <v>285</v>
      </c>
      <c r="P720" s="15" t="s">
        <v>341</v>
      </c>
      <c r="Q720" s="15" t="s">
        <v>10352</v>
      </c>
      <c r="R720" s="109"/>
      <c r="S720" s="109"/>
      <c r="T720" s="112"/>
      <c r="U720" s="112"/>
      <c r="V720" s="112"/>
      <c r="W720" s="112"/>
    </row>
    <row r="721" spans="1:23" s="2" customFormat="1" ht="84">
      <c r="A721" s="11"/>
      <c r="B721" s="108"/>
      <c r="C721" s="13" t="s">
        <v>10353</v>
      </c>
      <c r="D721" s="19" t="s">
        <v>10354</v>
      </c>
      <c r="E721" s="15" t="s">
        <v>10354</v>
      </c>
      <c r="F721" s="16" t="s">
        <v>10355</v>
      </c>
      <c r="G721" s="15" t="s">
        <v>10356</v>
      </c>
      <c r="H721" s="13" t="s">
        <v>10357</v>
      </c>
      <c r="I721" s="13" t="s">
        <v>10358</v>
      </c>
      <c r="J721" s="15" t="s">
        <v>10359</v>
      </c>
      <c r="K721" s="15" t="s">
        <v>248</v>
      </c>
      <c r="L721" s="15" t="s">
        <v>1101</v>
      </c>
      <c r="M721" s="15" t="s">
        <v>5105</v>
      </c>
      <c r="N721" s="13" t="s">
        <v>10353</v>
      </c>
      <c r="O721" s="15" t="s">
        <v>285</v>
      </c>
      <c r="P721" s="13" t="s">
        <v>639</v>
      </c>
      <c r="Q721" s="15" t="s">
        <v>10360</v>
      </c>
      <c r="R721" s="13" t="s">
        <v>931</v>
      </c>
      <c r="S721" s="13" t="s">
        <v>432</v>
      </c>
      <c r="T721" s="18"/>
      <c r="U721" s="16" t="s">
        <v>10361</v>
      </c>
      <c r="V721" s="18" t="s">
        <v>10362</v>
      </c>
      <c r="W721" s="18" t="s">
        <v>10363</v>
      </c>
    </row>
    <row r="722" spans="1:23" s="2" customFormat="1" ht="60">
      <c r="A722" s="11"/>
      <c r="B722" s="108"/>
      <c r="C722" s="13" t="s">
        <v>10364</v>
      </c>
      <c r="D722" s="19" t="s">
        <v>10365</v>
      </c>
      <c r="E722" s="15" t="s">
        <v>10365</v>
      </c>
      <c r="F722" s="16" t="s">
        <v>10366</v>
      </c>
      <c r="G722" s="15" t="s">
        <v>10367</v>
      </c>
      <c r="H722" s="13" t="s">
        <v>10368</v>
      </c>
      <c r="I722" s="13" t="s">
        <v>9562</v>
      </c>
      <c r="J722" s="15" t="s">
        <v>406</v>
      </c>
      <c r="K722" s="15" t="s">
        <v>272</v>
      </c>
      <c r="L722" s="15" t="s">
        <v>1101</v>
      </c>
      <c r="M722" s="15" t="s">
        <v>5105</v>
      </c>
      <c r="N722" s="13" t="s">
        <v>10364</v>
      </c>
      <c r="O722" s="15" t="s">
        <v>285</v>
      </c>
      <c r="P722" s="15" t="s">
        <v>341</v>
      </c>
      <c r="Q722" s="15" t="s">
        <v>9543</v>
      </c>
      <c r="R722" s="13" t="s">
        <v>931</v>
      </c>
      <c r="S722" s="13" t="s">
        <v>3743</v>
      </c>
      <c r="T722" s="18"/>
      <c r="U722" s="16" t="s">
        <v>10369</v>
      </c>
      <c r="V722" s="18" t="s">
        <v>10370</v>
      </c>
      <c r="W722" s="18" t="s">
        <v>10371</v>
      </c>
    </row>
    <row r="723" spans="1:23" s="2" customFormat="1" ht="156">
      <c r="A723" s="11"/>
      <c r="B723" s="108"/>
      <c r="C723" s="13" t="s">
        <v>10372</v>
      </c>
      <c r="D723" s="19" t="s">
        <v>10373</v>
      </c>
      <c r="E723" s="15" t="s">
        <v>10373</v>
      </c>
      <c r="F723" s="16" t="s">
        <v>10374</v>
      </c>
      <c r="G723" s="13"/>
      <c r="H723" s="13" t="s">
        <v>10375</v>
      </c>
      <c r="I723" s="13" t="s">
        <v>5063</v>
      </c>
      <c r="J723" s="15" t="s">
        <v>1502</v>
      </c>
      <c r="K723" s="15" t="s">
        <v>272</v>
      </c>
      <c r="L723" s="15" t="s">
        <v>1101</v>
      </c>
      <c r="M723" s="15" t="s">
        <v>10205</v>
      </c>
      <c r="N723" s="13" t="s">
        <v>10372</v>
      </c>
      <c r="O723" s="15" t="s">
        <v>471</v>
      </c>
      <c r="P723" s="13" t="s">
        <v>10376</v>
      </c>
      <c r="Q723" s="15" t="s">
        <v>9543</v>
      </c>
      <c r="R723" s="13" t="s">
        <v>10377</v>
      </c>
      <c r="S723" s="13" t="s">
        <v>10378</v>
      </c>
      <c r="T723" s="18"/>
      <c r="U723" s="18"/>
      <c r="V723" s="18"/>
      <c r="W723" s="18"/>
    </row>
    <row r="724" spans="1:23" s="2" customFormat="1" ht="12">
      <c r="A724" s="11"/>
      <c r="B724" s="108"/>
      <c r="C724" s="109" t="s">
        <v>10379</v>
      </c>
      <c r="D724" s="14" t="s">
        <v>10380</v>
      </c>
      <c r="E724" s="113" t="s">
        <v>10380</v>
      </c>
      <c r="F724" s="114" t="s">
        <v>10381</v>
      </c>
      <c r="G724" s="113" t="s">
        <v>10382</v>
      </c>
      <c r="H724" s="109" t="s">
        <v>10383</v>
      </c>
      <c r="I724" s="109" t="s">
        <v>10108</v>
      </c>
      <c r="J724" s="113" t="s">
        <v>406</v>
      </c>
      <c r="K724" s="113" t="s">
        <v>272</v>
      </c>
      <c r="L724" s="113" t="s">
        <v>407</v>
      </c>
      <c r="M724" s="113" t="s">
        <v>470</v>
      </c>
      <c r="N724" s="13" t="s">
        <v>10379</v>
      </c>
      <c r="O724" s="13" t="s">
        <v>262</v>
      </c>
      <c r="P724" s="13" t="s">
        <v>578</v>
      </c>
      <c r="Q724" s="15" t="s">
        <v>10384</v>
      </c>
      <c r="R724" s="109" t="s">
        <v>10385</v>
      </c>
      <c r="S724" s="109" t="s">
        <v>581</v>
      </c>
      <c r="T724" s="114" t="s">
        <v>10386</v>
      </c>
      <c r="U724" s="114" t="s">
        <v>10387</v>
      </c>
      <c r="V724" s="112" t="s">
        <v>10388</v>
      </c>
      <c r="W724" s="112" t="s">
        <v>10389</v>
      </c>
    </row>
    <row r="725" spans="1:23" s="2" customFormat="1" ht="12">
      <c r="A725" s="11"/>
      <c r="B725" s="108"/>
      <c r="C725" s="109"/>
      <c r="D725" s="14" t="str">
        <f>D724</f>
        <v>来未来</v>
      </c>
      <c r="E725" s="109"/>
      <c r="F725" s="112"/>
      <c r="G725" s="109"/>
      <c r="H725" s="109"/>
      <c r="I725" s="109"/>
      <c r="J725" s="109"/>
      <c r="K725" s="109"/>
      <c r="L725" s="109"/>
      <c r="M725" s="109"/>
      <c r="N725" s="13" t="s">
        <v>10390</v>
      </c>
      <c r="O725" s="15" t="s">
        <v>285</v>
      </c>
      <c r="P725" s="13" t="s">
        <v>10391</v>
      </c>
      <c r="Q725" s="15" t="s">
        <v>9543</v>
      </c>
      <c r="R725" s="109"/>
      <c r="S725" s="109"/>
      <c r="T725" s="112"/>
      <c r="U725" s="112"/>
      <c r="V725" s="112"/>
      <c r="W725" s="112"/>
    </row>
    <row r="726" spans="1:23" s="2" customFormat="1" ht="12">
      <c r="A726" s="11"/>
      <c r="B726" s="108"/>
      <c r="C726" s="109"/>
      <c r="D726" s="14" t="str">
        <f>D725</f>
        <v>来未来</v>
      </c>
      <c r="E726" s="109"/>
      <c r="F726" s="112"/>
      <c r="G726" s="109"/>
      <c r="H726" s="109"/>
      <c r="I726" s="109"/>
      <c r="J726" s="109"/>
      <c r="K726" s="109"/>
      <c r="L726" s="109"/>
      <c r="M726" s="109"/>
      <c r="N726" s="13" t="s">
        <v>506</v>
      </c>
      <c r="O726" s="15" t="s">
        <v>326</v>
      </c>
      <c r="P726" s="15" t="s">
        <v>252</v>
      </c>
      <c r="Q726" s="15" t="s">
        <v>10392</v>
      </c>
      <c r="R726" s="109"/>
      <c r="S726" s="109"/>
      <c r="T726" s="112"/>
      <c r="U726" s="112"/>
      <c r="V726" s="112"/>
      <c r="W726" s="112"/>
    </row>
    <row r="727" spans="1:23" s="2" customFormat="1" ht="12">
      <c r="A727" s="11"/>
      <c r="B727" s="108"/>
      <c r="C727" s="109" t="s">
        <v>10393</v>
      </c>
      <c r="D727" s="14" t="s">
        <v>10394</v>
      </c>
      <c r="E727" s="113" t="s">
        <v>10394</v>
      </c>
      <c r="F727" s="114" t="s">
        <v>10395</v>
      </c>
      <c r="G727" s="113" t="s">
        <v>10396</v>
      </c>
      <c r="H727" s="109" t="s">
        <v>10397</v>
      </c>
      <c r="I727" s="109" t="s">
        <v>5335</v>
      </c>
      <c r="J727" s="113" t="s">
        <v>497</v>
      </c>
      <c r="K727" s="113" t="s">
        <v>272</v>
      </c>
      <c r="L727" s="113" t="s">
        <v>1101</v>
      </c>
      <c r="M727" s="113" t="s">
        <v>5105</v>
      </c>
      <c r="N727" s="13" t="s">
        <v>10393</v>
      </c>
      <c r="O727" s="13" t="s">
        <v>251</v>
      </c>
      <c r="P727" s="15" t="s">
        <v>258</v>
      </c>
      <c r="Q727" s="15" t="s">
        <v>10398</v>
      </c>
      <c r="R727" s="109" t="s">
        <v>10399</v>
      </c>
      <c r="S727" s="109" t="s">
        <v>551</v>
      </c>
      <c r="T727" s="114" t="s">
        <v>10400</v>
      </c>
      <c r="U727" s="114" t="s">
        <v>10401</v>
      </c>
      <c r="V727" s="112" t="s">
        <v>10402</v>
      </c>
      <c r="W727" s="112" t="s">
        <v>10403</v>
      </c>
    </row>
    <row r="728" spans="1:23" s="2" customFormat="1" ht="12">
      <c r="A728" s="11"/>
      <c r="B728" s="108"/>
      <c r="C728" s="109"/>
      <c r="D728" s="14" t="str">
        <f>D727</f>
        <v>清赟科技</v>
      </c>
      <c r="E728" s="109"/>
      <c r="F728" s="112"/>
      <c r="G728" s="109"/>
      <c r="H728" s="109"/>
      <c r="I728" s="109"/>
      <c r="J728" s="109"/>
      <c r="K728" s="109"/>
      <c r="L728" s="109"/>
      <c r="M728" s="109"/>
      <c r="N728" s="13" t="s">
        <v>8735</v>
      </c>
      <c r="O728" s="13" t="s">
        <v>565</v>
      </c>
      <c r="P728" s="15" t="s">
        <v>276</v>
      </c>
      <c r="Q728" s="13" t="s">
        <v>831</v>
      </c>
      <c r="R728" s="109"/>
      <c r="S728" s="109"/>
      <c r="T728" s="112"/>
      <c r="U728" s="112"/>
      <c r="V728" s="112"/>
      <c r="W728" s="112"/>
    </row>
    <row r="729" spans="1:23" s="2" customFormat="1" ht="12">
      <c r="A729" s="11"/>
      <c r="B729" s="108"/>
      <c r="C729" s="109"/>
      <c r="D729" s="14" t="str">
        <f>D728</f>
        <v>清赟科技</v>
      </c>
      <c r="E729" s="109"/>
      <c r="F729" s="112"/>
      <c r="G729" s="109"/>
      <c r="H729" s="109"/>
      <c r="I729" s="109"/>
      <c r="J729" s="109"/>
      <c r="K729" s="109"/>
      <c r="L729" s="109"/>
      <c r="M729" s="109"/>
      <c r="N729" s="13" t="s">
        <v>10404</v>
      </c>
      <c r="O729" s="13" t="s">
        <v>257</v>
      </c>
      <c r="P729" s="15" t="s">
        <v>258</v>
      </c>
      <c r="Q729" s="15" t="s">
        <v>10405</v>
      </c>
      <c r="R729" s="109"/>
      <c r="S729" s="109"/>
      <c r="T729" s="112"/>
      <c r="U729" s="112"/>
      <c r="V729" s="112"/>
      <c r="W729" s="112"/>
    </row>
    <row r="730" spans="1:23" s="2" customFormat="1" ht="12">
      <c r="A730" s="11"/>
      <c r="B730" s="108"/>
      <c r="C730" s="109"/>
      <c r="D730" s="14" t="str">
        <f>D729</f>
        <v>清赟科技</v>
      </c>
      <c r="E730" s="109"/>
      <c r="F730" s="112"/>
      <c r="G730" s="109"/>
      <c r="H730" s="109"/>
      <c r="I730" s="109"/>
      <c r="J730" s="109"/>
      <c r="K730" s="109"/>
      <c r="L730" s="109"/>
      <c r="M730" s="109"/>
      <c r="N730" s="13" t="s">
        <v>10406</v>
      </c>
      <c r="O730" s="13" t="s">
        <v>262</v>
      </c>
      <c r="P730" s="15" t="s">
        <v>261</v>
      </c>
      <c r="Q730" s="15" t="s">
        <v>10184</v>
      </c>
      <c r="R730" s="109"/>
      <c r="S730" s="109"/>
      <c r="T730" s="112"/>
      <c r="U730" s="112"/>
      <c r="V730" s="112"/>
      <c r="W730" s="112"/>
    </row>
    <row r="731" spans="1:23" s="2" customFormat="1" ht="12">
      <c r="A731" s="11"/>
      <c r="B731" s="108"/>
      <c r="C731" s="109"/>
      <c r="D731" s="14" t="str">
        <f>D730</f>
        <v>清赟科技</v>
      </c>
      <c r="E731" s="109"/>
      <c r="F731" s="112"/>
      <c r="G731" s="109"/>
      <c r="H731" s="109"/>
      <c r="I731" s="109"/>
      <c r="J731" s="109"/>
      <c r="K731" s="109"/>
      <c r="L731" s="109"/>
      <c r="M731" s="109"/>
      <c r="N731" s="13" t="s">
        <v>10316</v>
      </c>
      <c r="O731" s="15" t="s">
        <v>326</v>
      </c>
      <c r="P731" s="13" t="s">
        <v>360</v>
      </c>
      <c r="Q731" s="15" t="s">
        <v>10407</v>
      </c>
      <c r="R731" s="109"/>
      <c r="S731" s="109"/>
      <c r="T731" s="112"/>
      <c r="U731" s="112"/>
      <c r="V731" s="112"/>
      <c r="W731" s="112"/>
    </row>
    <row r="732" spans="1:23" s="2" customFormat="1" ht="12">
      <c r="A732" s="11"/>
      <c r="B732" s="107" t="s">
        <v>10408</v>
      </c>
      <c r="C732" s="109" t="s">
        <v>3259</v>
      </c>
      <c r="D732" s="14" t="s">
        <v>10409</v>
      </c>
      <c r="E732" s="113" t="s">
        <v>10409</v>
      </c>
      <c r="F732" s="114" t="s">
        <v>10410</v>
      </c>
      <c r="G732" s="113" t="s">
        <v>10411</v>
      </c>
      <c r="H732" s="109" t="s">
        <v>10412</v>
      </c>
      <c r="I732" s="109" t="s">
        <v>2503</v>
      </c>
      <c r="J732" s="113" t="s">
        <v>271</v>
      </c>
      <c r="K732" s="113" t="s">
        <v>272</v>
      </c>
      <c r="L732" s="113" t="s">
        <v>1798</v>
      </c>
      <c r="M732" s="113" t="s">
        <v>9876</v>
      </c>
      <c r="N732" s="13" t="s">
        <v>3259</v>
      </c>
      <c r="O732" s="15" t="s">
        <v>471</v>
      </c>
      <c r="P732" s="15" t="s">
        <v>252</v>
      </c>
      <c r="Q732" s="15" t="s">
        <v>10413</v>
      </c>
      <c r="R732" s="109" t="s">
        <v>10414</v>
      </c>
      <c r="S732" s="113" t="s">
        <v>255</v>
      </c>
      <c r="T732" s="114" t="s">
        <v>10415</v>
      </c>
      <c r="U732" s="114" t="s">
        <v>10416</v>
      </c>
      <c r="V732" s="112" t="s">
        <v>10417</v>
      </c>
      <c r="W732" s="112" t="s">
        <v>10418</v>
      </c>
    </row>
    <row r="733" spans="1:23" s="2" customFormat="1" ht="12">
      <c r="A733" s="11"/>
      <c r="B733" s="108"/>
      <c r="C733" s="109"/>
      <c r="D733" s="14" t="str">
        <f>D732</f>
        <v>乐动力</v>
      </c>
      <c r="E733" s="109"/>
      <c r="F733" s="112"/>
      <c r="G733" s="109"/>
      <c r="H733" s="109"/>
      <c r="I733" s="109"/>
      <c r="J733" s="109"/>
      <c r="K733" s="109"/>
      <c r="L733" s="109"/>
      <c r="M733" s="109"/>
      <c r="N733" s="13" t="s">
        <v>1672</v>
      </c>
      <c r="O733" s="13" t="s">
        <v>262</v>
      </c>
      <c r="P733" s="15" t="s">
        <v>261</v>
      </c>
      <c r="Q733" s="15" t="s">
        <v>10419</v>
      </c>
      <c r="R733" s="109"/>
      <c r="S733" s="109"/>
      <c r="T733" s="112"/>
      <c r="U733" s="112"/>
      <c r="V733" s="112"/>
      <c r="W733" s="112"/>
    </row>
    <row r="734" spans="1:23" s="2" customFormat="1" ht="12">
      <c r="A734" s="11"/>
      <c r="B734" s="108"/>
      <c r="C734" s="109"/>
      <c r="D734" s="14" t="str">
        <f>D733</f>
        <v>乐动力</v>
      </c>
      <c r="E734" s="109"/>
      <c r="F734" s="112"/>
      <c r="G734" s="109"/>
      <c r="H734" s="109"/>
      <c r="I734" s="109"/>
      <c r="J734" s="109"/>
      <c r="K734" s="109"/>
      <c r="L734" s="109"/>
      <c r="M734" s="109"/>
      <c r="N734" s="13" t="s">
        <v>10420</v>
      </c>
      <c r="O734" s="15" t="s">
        <v>326</v>
      </c>
      <c r="P734" s="15" t="s">
        <v>10421</v>
      </c>
      <c r="Q734" s="15" t="s">
        <v>1281</v>
      </c>
      <c r="R734" s="109"/>
      <c r="S734" s="109"/>
      <c r="T734" s="112"/>
      <c r="U734" s="112"/>
      <c r="V734" s="112"/>
      <c r="W734" s="112"/>
    </row>
    <row r="735" spans="1:23" s="2" customFormat="1" ht="12">
      <c r="A735" s="11"/>
      <c r="B735" s="108"/>
      <c r="C735" s="109" t="s">
        <v>3047</v>
      </c>
      <c r="D735" s="14" t="s">
        <v>3048</v>
      </c>
      <c r="E735" s="113" t="s">
        <v>3048</v>
      </c>
      <c r="F735" s="114" t="s">
        <v>3049</v>
      </c>
      <c r="G735" s="113" t="s">
        <v>3050</v>
      </c>
      <c r="H735" s="109" t="s">
        <v>3051</v>
      </c>
      <c r="I735" s="109" t="s">
        <v>1857</v>
      </c>
      <c r="J735" s="113" t="s">
        <v>349</v>
      </c>
      <c r="K735" s="113" t="s">
        <v>272</v>
      </c>
      <c r="L735" s="113" t="s">
        <v>996</v>
      </c>
      <c r="M735" s="113" t="s">
        <v>3052</v>
      </c>
      <c r="N735" s="13" t="s">
        <v>3047</v>
      </c>
      <c r="O735" s="13" t="s">
        <v>687</v>
      </c>
      <c r="P735" s="13" t="s">
        <v>637</v>
      </c>
      <c r="Q735" s="15" t="s">
        <v>3053</v>
      </c>
      <c r="R735" s="109" t="s">
        <v>3054</v>
      </c>
      <c r="S735" s="109" t="s">
        <v>1078</v>
      </c>
      <c r="T735" s="114" t="s">
        <v>3055</v>
      </c>
      <c r="U735" s="114" t="s">
        <v>3056</v>
      </c>
      <c r="V735" s="112" t="s">
        <v>3057</v>
      </c>
      <c r="W735" s="112" t="s">
        <v>3058</v>
      </c>
    </row>
    <row r="736" spans="1:23" s="2" customFormat="1" ht="12">
      <c r="A736" s="11"/>
      <c r="B736" s="108"/>
      <c r="C736" s="109"/>
      <c r="D736" s="14" t="str">
        <f>D735</f>
        <v>巨人网络</v>
      </c>
      <c r="E736" s="109"/>
      <c r="F736" s="112"/>
      <c r="G736" s="109"/>
      <c r="H736" s="109"/>
      <c r="I736" s="109"/>
      <c r="J736" s="109"/>
      <c r="K736" s="109"/>
      <c r="L736" s="109"/>
      <c r="M736" s="109"/>
      <c r="N736" s="13" t="s">
        <v>10422</v>
      </c>
      <c r="O736" s="13" t="s">
        <v>687</v>
      </c>
      <c r="P736" s="13" t="s">
        <v>320</v>
      </c>
      <c r="Q736" s="13" t="s">
        <v>253</v>
      </c>
      <c r="R736" s="109"/>
      <c r="S736" s="109"/>
      <c r="T736" s="112"/>
      <c r="U736" s="112"/>
      <c r="V736" s="112"/>
      <c r="W736" s="112"/>
    </row>
    <row r="737" spans="1:23" s="2" customFormat="1" ht="12">
      <c r="A737" s="11"/>
      <c r="B737" s="108"/>
      <c r="C737" s="109"/>
      <c r="D737" s="14" t="str">
        <f>D736</f>
        <v>巨人网络</v>
      </c>
      <c r="E737" s="109"/>
      <c r="F737" s="112"/>
      <c r="G737" s="109"/>
      <c r="H737" s="109"/>
      <c r="I737" s="109"/>
      <c r="J737" s="109"/>
      <c r="K737" s="109"/>
      <c r="L737" s="109"/>
      <c r="M737" s="109"/>
      <c r="N737" s="13" t="s">
        <v>10423</v>
      </c>
      <c r="O737" s="13" t="s">
        <v>283</v>
      </c>
      <c r="P737" s="15" t="s">
        <v>299</v>
      </c>
      <c r="Q737" s="13" t="s">
        <v>253</v>
      </c>
      <c r="R737" s="109"/>
      <c r="S737" s="109"/>
      <c r="T737" s="112"/>
      <c r="U737" s="112"/>
      <c r="V737" s="112"/>
      <c r="W737" s="112"/>
    </row>
    <row r="738" spans="1:23" s="2" customFormat="1" ht="12">
      <c r="A738" s="11"/>
      <c r="B738" s="107" t="s">
        <v>10424</v>
      </c>
      <c r="C738" s="109" t="s">
        <v>10425</v>
      </c>
      <c r="D738" s="14" t="s">
        <v>10426</v>
      </c>
      <c r="E738" s="109" t="s">
        <v>10426</v>
      </c>
      <c r="F738" s="112" t="s">
        <v>10427</v>
      </c>
      <c r="G738" s="113" t="s">
        <v>10428</v>
      </c>
      <c r="H738" s="109" t="s">
        <v>10429</v>
      </c>
      <c r="I738" s="109" t="s">
        <v>1989</v>
      </c>
      <c r="J738" s="113" t="s">
        <v>3604</v>
      </c>
      <c r="K738" s="113" t="s">
        <v>272</v>
      </c>
      <c r="L738" s="113" t="s">
        <v>350</v>
      </c>
      <c r="M738" s="113" t="s">
        <v>1238</v>
      </c>
      <c r="N738" s="13" t="s">
        <v>10425</v>
      </c>
      <c r="O738" s="13" t="s">
        <v>262</v>
      </c>
      <c r="P738" s="13" t="s">
        <v>10430</v>
      </c>
      <c r="Q738" s="15" t="s">
        <v>10431</v>
      </c>
      <c r="R738" s="109" t="s">
        <v>10432</v>
      </c>
      <c r="S738" s="109" t="s">
        <v>10433</v>
      </c>
      <c r="T738" s="114" t="s">
        <v>10434</v>
      </c>
      <c r="U738" s="112"/>
      <c r="V738" s="112"/>
      <c r="W738" s="112"/>
    </row>
    <row r="739" spans="1:23" s="2" customFormat="1" ht="12">
      <c r="A739" s="11"/>
      <c r="B739" s="108"/>
      <c r="C739" s="109"/>
      <c r="D739" s="14" t="str">
        <f>D738</f>
        <v>Citiesocial</v>
      </c>
      <c r="E739" s="109"/>
      <c r="F739" s="112"/>
      <c r="G739" s="109"/>
      <c r="H739" s="109"/>
      <c r="I739" s="109"/>
      <c r="J739" s="109"/>
      <c r="K739" s="109"/>
      <c r="L739" s="109"/>
      <c r="M739" s="109"/>
      <c r="N739" s="13" t="s">
        <v>10435</v>
      </c>
      <c r="O739" s="15" t="s">
        <v>326</v>
      </c>
      <c r="P739" s="15" t="s">
        <v>252</v>
      </c>
      <c r="Q739" s="15" t="s">
        <v>10436</v>
      </c>
      <c r="R739" s="109"/>
      <c r="S739" s="109"/>
      <c r="T739" s="112"/>
      <c r="U739" s="112"/>
      <c r="V739" s="112"/>
      <c r="W739" s="112"/>
    </row>
    <row r="740" spans="1:23" s="2" customFormat="1" ht="12">
      <c r="A740" s="11"/>
      <c r="B740" s="108"/>
      <c r="C740" s="109"/>
      <c r="D740" s="14" t="str">
        <f>D739</f>
        <v>Citiesocial</v>
      </c>
      <c r="E740" s="109"/>
      <c r="F740" s="112"/>
      <c r="G740" s="109"/>
      <c r="H740" s="109"/>
      <c r="I740" s="109"/>
      <c r="J740" s="109"/>
      <c r="K740" s="109"/>
      <c r="L740" s="109"/>
      <c r="M740" s="109"/>
      <c r="N740" s="13" t="s">
        <v>10420</v>
      </c>
      <c r="O740" s="15" t="s">
        <v>437</v>
      </c>
      <c r="P740" s="15" t="s">
        <v>10421</v>
      </c>
      <c r="Q740" s="13" t="s">
        <v>10437</v>
      </c>
      <c r="R740" s="109"/>
      <c r="S740" s="109"/>
      <c r="T740" s="112"/>
      <c r="U740" s="112"/>
      <c r="V740" s="112"/>
      <c r="W740" s="112"/>
    </row>
    <row r="741" spans="1:23" s="2" customFormat="1" ht="12">
      <c r="A741" s="11"/>
      <c r="B741" s="108"/>
      <c r="C741" s="109" t="s">
        <v>10438</v>
      </c>
      <c r="D741" s="14" t="s">
        <v>10439</v>
      </c>
      <c r="E741" s="109" t="s">
        <v>10439</v>
      </c>
      <c r="F741" s="112" t="s">
        <v>10440</v>
      </c>
      <c r="G741" s="109" t="s">
        <v>10441</v>
      </c>
      <c r="H741" s="109" t="s">
        <v>10442</v>
      </c>
      <c r="I741" s="109" t="s">
        <v>10443</v>
      </c>
      <c r="J741" s="113" t="s">
        <v>10444</v>
      </c>
      <c r="K741" s="113" t="s">
        <v>272</v>
      </c>
      <c r="L741" s="113" t="s">
        <v>1859</v>
      </c>
      <c r="M741" s="113" t="s">
        <v>4173</v>
      </c>
      <c r="N741" s="13" t="s">
        <v>10438</v>
      </c>
      <c r="O741" s="13" t="s">
        <v>257</v>
      </c>
      <c r="P741" s="13" t="s">
        <v>1032</v>
      </c>
      <c r="Q741" s="13" t="s">
        <v>10445</v>
      </c>
      <c r="R741" s="109" t="s">
        <v>10446</v>
      </c>
      <c r="S741" s="109" t="s">
        <v>2073</v>
      </c>
      <c r="T741" s="112"/>
      <c r="U741" s="112"/>
      <c r="V741" s="112"/>
      <c r="W741" s="112"/>
    </row>
    <row r="742" spans="1:23" s="2" customFormat="1" ht="12">
      <c r="A742" s="11"/>
      <c r="B742" s="108"/>
      <c r="C742" s="109"/>
      <c r="D742" s="14" t="str">
        <f>D741</f>
        <v>CompareAsia Group</v>
      </c>
      <c r="E742" s="109"/>
      <c r="F742" s="112"/>
      <c r="G742" s="109"/>
      <c r="H742" s="109"/>
      <c r="I742" s="109"/>
      <c r="J742" s="109"/>
      <c r="K742" s="109"/>
      <c r="L742" s="109"/>
      <c r="M742" s="109"/>
      <c r="N742" s="13" t="s">
        <v>10447</v>
      </c>
      <c r="O742" s="13" t="s">
        <v>262</v>
      </c>
      <c r="P742" s="13" t="s">
        <v>676</v>
      </c>
      <c r="Q742" s="15" t="s">
        <v>10448</v>
      </c>
      <c r="R742" s="109"/>
      <c r="S742" s="109"/>
      <c r="T742" s="112"/>
      <c r="U742" s="112"/>
      <c r="V742" s="112"/>
      <c r="W742" s="112"/>
    </row>
    <row r="743" spans="1:23" s="2" customFormat="1" ht="12">
      <c r="A743" s="11"/>
      <c r="B743" s="108"/>
      <c r="C743" s="109" t="s">
        <v>10449</v>
      </c>
      <c r="D743" s="14" t="s">
        <v>10450</v>
      </c>
      <c r="E743" s="113" t="s">
        <v>10450</v>
      </c>
      <c r="F743" s="114" t="s">
        <v>10451</v>
      </c>
      <c r="G743" s="113" t="s">
        <v>10452</v>
      </c>
      <c r="H743" s="109" t="s">
        <v>10453</v>
      </c>
      <c r="I743" s="109" t="s">
        <v>4730</v>
      </c>
      <c r="J743" s="113" t="s">
        <v>1502</v>
      </c>
      <c r="K743" s="113" t="s">
        <v>248</v>
      </c>
      <c r="L743" s="113" t="s">
        <v>1859</v>
      </c>
      <c r="M743" s="113" t="s">
        <v>1860</v>
      </c>
      <c r="N743" s="13" t="s">
        <v>10449</v>
      </c>
      <c r="O743" s="13" t="s">
        <v>262</v>
      </c>
      <c r="P743" s="13" t="s">
        <v>324</v>
      </c>
      <c r="Q743" s="15" t="s">
        <v>10454</v>
      </c>
      <c r="R743" s="109" t="s">
        <v>10455</v>
      </c>
      <c r="S743" s="109" t="s">
        <v>376</v>
      </c>
      <c r="T743" s="114" t="s">
        <v>10456</v>
      </c>
      <c r="U743" s="114" t="s">
        <v>10457</v>
      </c>
      <c r="V743" s="112"/>
      <c r="W743" s="112"/>
    </row>
    <row r="744" spans="1:23" s="2" customFormat="1" ht="12">
      <c r="A744" s="11"/>
      <c r="B744" s="108"/>
      <c r="C744" s="109"/>
      <c r="D744" s="14" t="str">
        <f>D743</f>
        <v>秒投</v>
      </c>
      <c r="E744" s="109"/>
      <c r="F744" s="112"/>
      <c r="G744" s="109"/>
      <c r="H744" s="109"/>
      <c r="I744" s="109"/>
      <c r="J744" s="109"/>
      <c r="K744" s="109"/>
      <c r="L744" s="109"/>
      <c r="M744" s="109"/>
      <c r="N744" s="13" t="s">
        <v>8050</v>
      </c>
      <c r="O744" s="13" t="s">
        <v>721</v>
      </c>
      <c r="P744" s="15" t="s">
        <v>276</v>
      </c>
      <c r="Q744" s="15" t="s">
        <v>10458</v>
      </c>
      <c r="R744" s="109"/>
      <c r="S744" s="109"/>
      <c r="T744" s="112"/>
      <c r="U744" s="112"/>
      <c r="V744" s="112"/>
      <c r="W744" s="112"/>
    </row>
    <row r="745" spans="1:23" s="2" customFormat="1" ht="12">
      <c r="A745" s="11"/>
      <c r="B745" s="108"/>
      <c r="C745" s="109"/>
      <c r="D745" s="14" t="str">
        <f>D744</f>
        <v>秒投</v>
      </c>
      <c r="E745" s="109"/>
      <c r="F745" s="112"/>
      <c r="G745" s="109"/>
      <c r="H745" s="109"/>
      <c r="I745" s="109"/>
      <c r="J745" s="109"/>
      <c r="K745" s="109"/>
      <c r="L745" s="109"/>
      <c r="M745" s="109"/>
      <c r="N745" s="13" t="s">
        <v>8423</v>
      </c>
      <c r="O745" s="15" t="s">
        <v>326</v>
      </c>
      <c r="P745" s="15" t="s">
        <v>327</v>
      </c>
      <c r="Q745" s="13" t="s">
        <v>253</v>
      </c>
      <c r="R745" s="109"/>
      <c r="S745" s="109"/>
      <c r="T745" s="112"/>
      <c r="U745" s="112"/>
      <c r="V745" s="112"/>
      <c r="W745" s="112"/>
    </row>
    <row r="746" spans="1:23" s="2" customFormat="1" ht="12">
      <c r="A746" s="11"/>
      <c r="B746" s="108"/>
      <c r="C746" s="109" t="s">
        <v>2678</v>
      </c>
      <c r="D746" s="14" t="s">
        <v>2679</v>
      </c>
      <c r="E746" s="113" t="s">
        <v>2679</v>
      </c>
      <c r="F746" s="114" t="s">
        <v>2680</v>
      </c>
      <c r="G746" s="113" t="s">
        <v>2681</v>
      </c>
      <c r="H746" s="109" t="s">
        <v>2682</v>
      </c>
      <c r="I746" s="109" t="s">
        <v>1462</v>
      </c>
      <c r="J746" s="113" t="s">
        <v>428</v>
      </c>
      <c r="K746" s="113" t="s">
        <v>272</v>
      </c>
      <c r="L746" s="113" t="s">
        <v>512</v>
      </c>
      <c r="M746" s="113" t="s">
        <v>2683</v>
      </c>
      <c r="N746" s="13" t="s">
        <v>2678</v>
      </c>
      <c r="O746" s="15" t="s">
        <v>285</v>
      </c>
      <c r="P746" s="13" t="s">
        <v>655</v>
      </c>
      <c r="Q746" s="13" t="s">
        <v>2684</v>
      </c>
      <c r="R746" s="109" t="s">
        <v>2685</v>
      </c>
      <c r="S746" s="109" t="s">
        <v>2449</v>
      </c>
      <c r="T746" s="114" t="s">
        <v>2686</v>
      </c>
      <c r="U746" s="112"/>
      <c r="V746" s="112" t="s">
        <v>2687</v>
      </c>
      <c r="W746" s="112" t="s">
        <v>2688</v>
      </c>
    </row>
    <row r="747" spans="1:23" s="2" customFormat="1" ht="12">
      <c r="A747" s="11"/>
      <c r="B747" s="108"/>
      <c r="C747" s="109"/>
      <c r="D747" s="14" t="str">
        <f>D746</f>
        <v>快狗速运</v>
      </c>
      <c r="E747" s="109"/>
      <c r="F747" s="112"/>
      <c r="G747" s="109"/>
      <c r="H747" s="109"/>
      <c r="I747" s="109"/>
      <c r="J747" s="109"/>
      <c r="K747" s="109"/>
      <c r="L747" s="109"/>
      <c r="M747" s="109"/>
      <c r="N747" s="13" t="s">
        <v>10459</v>
      </c>
      <c r="O747" s="15" t="s">
        <v>313</v>
      </c>
      <c r="P747" s="15" t="s">
        <v>252</v>
      </c>
      <c r="Q747" s="15" t="s">
        <v>2689</v>
      </c>
      <c r="R747" s="109"/>
      <c r="S747" s="109"/>
      <c r="T747" s="112"/>
      <c r="U747" s="112"/>
      <c r="V747" s="112"/>
      <c r="W747" s="112"/>
    </row>
    <row r="748" spans="1:23" s="2" customFormat="1" ht="12">
      <c r="A748" s="11"/>
      <c r="B748" s="108"/>
      <c r="C748" s="109"/>
      <c r="D748" s="14" t="str">
        <f>D747</f>
        <v>快狗速运</v>
      </c>
      <c r="E748" s="109"/>
      <c r="F748" s="112"/>
      <c r="G748" s="109"/>
      <c r="H748" s="109"/>
      <c r="I748" s="109"/>
      <c r="J748" s="109"/>
      <c r="K748" s="109"/>
      <c r="L748" s="109"/>
      <c r="M748" s="109"/>
      <c r="N748" s="13" t="s">
        <v>3286</v>
      </c>
      <c r="O748" s="13" t="s">
        <v>251</v>
      </c>
      <c r="P748" s="15" t="s">
        <v>258</v>
      </c>
      <c r="Q748" s="15" t="s">
        <v>2690</v>
      </c>
      <c r="R748" s="109"/>
      <c r="S748" s="109"/>
      <c r="T748" s="112"/>
      <c r="U748" s="112"/>
      <c r="V748" s="112"/>
      <c r="W748" s="112"/>
    </row>
    <row r="749" spans="1:23" s="2" customFormat="1" ht="12">
      <c r="A749" s="11"/>
      <c r="B749" s="108"/>
      <c r="C749" s="109"/>
      <c r="D749" s="14" t="str">
        <f>D748</f>
        <v>快狗速运</v>
      </c>
      <c r="E749" s="109"/>
      <c r="F749" s="112"/>
      <c r="G749" s="109"/>
      <c r="H749" s="109"/>
      <c r="I749" s="109"/>
      <c r="J749" s="109"/>
      <c r="K749" s="109"/>
      <c r="L749" s="109"/>
      <c r="M749" s="109"/>
      <c r="N749" s="13" t="s">
        <v>1166</v>
      </c>
      <c r="O749" s="13" t="s">
        <v>565</v>
      </c>
      <c r="P749" s="15" t="s">
        <v>258</v>
      </c>
      <c r="Q749" s="15" t="s">
        <v>2691</v>
      </c>
      <c r="R749" s="109"/>
      <c r="S749" s="109"/>
      <c r="T749" s="112"/>
      <c r="U749" s="112"/>
      <c r="V749" s="112"/>
      <c r="W749" s="112"/>
    </row>
    <row r="750" spans="1:23" s="2" customFormat="1" ht="12">
      <c r="A750" s="11"/>
      <c r="B750" s="108"/>
      <c r="C750" s="109"/>
      <c r="D750" s="14" t="str">
        <f>D749</f>
        <v>快狗速运</v>
      </c>
      <c r="E750" s="109"/>
      <c r="F750" s="112"/>
      <c r="G750" s="109"/>
      <c r="H750" s="109"/>
      <c r="I750" s="109"/>
      <c r="J750" s="109"/>
      <c r="K750" s="109"/>
      <c r="L750" s="109"/>
      <c r="M750" s="109"/>
      <c r="N750" s="13" t="s">
        <v>10460</v>
      </c>
      <c r="O750" s="13" t="s">
        <v>257</v>
      </c>
      <c r="P750" s="13" t="s">
        <v>337</v>
      </c>
      <c r="Q750" s="15" t="s">
        <v>2692</v>
      </c>
      <c r="R750" s="109"/>
      <c r="S750" s="109"/>
      <c r="T750" s="112"/>
      <c r="U750" s="112"/>
      <c r="V750" s="112"/>
      <c r="W750" s="112"/>
    </row>
    <row r="751" spans="1:23" s="2" customFormat="1" ht="12">
      <c r="A751" s="11"/>
      <c r="B751" s="108"/>
      <c r="C751" s="109"/>
      <c r="D751" s="14" t="str">
        <f>D750</f>
        <v>快狗速运</v>
      </c>
      <c r="E751" s="109"/>
      <c r="F751" s="112"/>
      <c r="G751" s="109"/>
      <c r="H751" s="109"/>
      <c r="I751" s="109"/>
      <c r="J751" s="109"/>
      <c r="K751" s="109"/>
      <c r="L751" s="109"/>
      <c r="M751" s="109"/>
      <c r="N751" s="13" t="s">
        <v>1071</v>
      </c>
      <c r="O751" s="13" t="s">
        <v>262</v>
      </c>
      <c r="P751" s="13" t="s">
        <v>2693</v>
      </c>
      <c r="Q751" s="13" t="s">
        <v>2694</v>
      </c>
      <c r="R751" s="109"/>
      <c r="S751" s="109"/>
      <c r="T751" s="112"/>
      <c r="U751" s="112"/>
      <c r="V751" s="112"/>
      <c r="W751" s="112"/>
    </row>
    <row r="752" spans="1:23" s="2" customFormat="1" ht="59.5">
      <c r="A752" s="11"/>
      <c r="B752" s="108"/>
      <c r="C752" s="13" t="s">
        <v>10461</v>
      </c>
      <c r="D752" s="19" t="s">
        <v>10462</v>
      </c>
      <c r="E752" s="13" t="s">
        <v>10462</v>
      </c>
      <c r="F752" s="18" t="s">
        <v>10463</v>
      </c>
      <c r="G752" s="13"/>
      <c r="H752" s="13" t="s">
        <v>10464</v>
      </c>
      <c r="I752" s="13" t="s">
        <v>2887</v>
      </c>
      <c r="J752" s="15" t="s">
        <v>1564</v>
      </c>
      <c r="K752" s="15" t="s">
        <v>272</v>
      </c>
      <c r="L752" s="15" t="s">
        <v>944</v>
      </c>
      <c r="M752" s="15" t="s">
        <v>2121</v>
      </c>
      <c r="N752" s="13" t="s">
        <v>10461</v>
      </c>
      <c r="O752" s="13" t="s">
        <v>262</v>
      </c>
      <c r="P752" s="15" t="s">
        <v>261</v>
      </c>
      <c r="Q752" s="15" t="s">
        <v>10424</v>
      </c>
      <c r="R752" s="13" t="s">
        <v>3291</v>
      </c>
      <c r="S752" s="13" t="s">
        <v>5540</v>
      </c>
      <c r="T752" s="18"/>
      <c r="U752" s="18"/>
      <c r="V752" s="18"/>
      <c r="W752" s="18"/>
    </row>
    <row r="753" spans="1:23" s="2" customFormat="1" ht="12">
      <c r="A753" s="11"/>
      <c r="B753" s="108"/>
      <c r="C753" s="109" t="s">
        <v>3206</v>
      </c>
      <c r="D753" s="14" t="s">
        <v>3207</v>
      </c>
      <c r="E753" s="113" t="s">
        <v>3207</v>
      </c>
      <c r="F753" s="114" t="s">
        <v>3208</v>
      </c>
      <c r="G753" s="113" t="s">
        <v>3209</v>
      </c>
      <c r="H753" s="109" t="s">
        <v>3210</v>
      </c>
      <c r="I753" s="109" t="s">
        <v>2887</v>
      </c>
      <c r="J753" s="113" t="s">
        <v>349</v>
      </c>
      <c r="K753" s="113" t="s">
        <v>272</v>
      </c>
      <c r="L753" s="113" t="s">
        <v>350</v>
      </c>
      <c r="M753" s="113" t="s">
        <v>351</v>
      </c>
      <c r="N753" s="13" t="s">
        <v>3206</v>
      </c>
      <c r="O753" s="13" t="s">
        <v>523</v>
      </c>
      <c r="P753" s="15" t="s">
        <v>276</v>
      </c>
      <c r="Q753" s="15" t="s">
        <v>3211</v>
      </c>
      <c r="R753" s="109" t="s">
        <v>3212</v>
      </c>
      <c r="S753" s="109" t="s">
        <v>1874</v>
      </c>
      <c r="T753" s="114" t="s">
        <v>3213</v>
      </c>
      <c r="U753" s="114" t="s">
        <v>3214</v>
      </c>
      <c r="V753" s="112" t="s">
        <v>3215</v>
      </c>
      <c r="W753" s="112" t="s">
        <v>3216</v>
      </c>
    </row>
    <row r="754" spans="1:23" s="2" customFormat="1" ht="12">
      <c r="A754" s="11"/>
      <c r="B754" s="108"/>
      <c r="C754" s="109"/>
      <c r="D754" s="14" t="str">
        <f t="shared" ref="D754:D760" si="21">D753</f>
        <v>日日煮</v>
      </c>
      <c r="E754" s="109"/>
      <c r="F754" s="112"/>
      <c r="G754" s="109"/>
      <c r="H754" s="109"/>
      <c r="I754" s="109"/>
      <c r="J754" s="109"/>
      <c r="K754" s="109"/>
      <c r="L754" s="109"/>
      <c r="M754" s="109"/>
      <c r="N754" s="13" t="s">
        <v>10465</v>
      </c>
      <c r="O754" s="13" t="s">
        <v>251</v>
      </c>
      <c r="P754" s="13" t="s">
        <v>987</v>
      </c>
      <c r="Q754" s="15" t="s">
        <v>3217</v>
      </c>
      <c r="R754" s="109"/>
      <c r="S754" s="109"/>
      <c r="T754" s="112"/>
      <c r="U754" s="112"/>
      <c r="V754" s="112"/>
      <c r="W754" s="112"/>
    </row>
    <row r="755" spans="1:23" s="2" customFormat="1" ht="12">
      <c r="A755" s="11"/>
      <c r="B755" s="108"/>
      <c r="C755" s="109"/>
      <c r="D755" s="14" t="str">
        <f t="shared" si="21"/>
        <v>日日煮</v>
      </c>
      <c r="E755" s="109"/>
      <c r="F755" s="112"/>
      <c r="G755" s="109"/>
      <c r="H755" s="109"/>
      <c r="I755" s="109"/>
      <c r="J755" s="109"/>
      <c r="K755" s="109"/>
      <c r="L755" s="109"/>
      <c r="M755" s="109"/>
      <c r="N755" s="13" t="s">
        <v>10466</v>
      </c>
      <c r="O755" s="13" t="s">
        <v>565</v>
      </c>
      <c r="P755" s="13" t="s">
        <v>458</v>
      </c>
      <c r="Q755" s="13" t="s">
        <v>3218</v>
      </c>
      <c r="R755" s="109"/>
      <c r="S755" s="109"/>
      <c r="T755" s="112"/>
      <c r="U755" s="112"/>
      <c r="V755" s="112"/>
      <c r="W755" s="112"/>
    </row>
    <row r="756" spans="1:23" s="2" customFormat="1" ht="12">
      <c r="A756" s="11"/>
      <c r="B756" s="108"/>
      <c r="C756" s="109"/>
      <c r="D756" s="14" t="str">
        <f t="shared" si="21"/>
        <v>日日煮</v>
      </c>
      <c r="E756" s="109"/>
      <c r="F756" s="112"/>
      <c r="G756" s="109"/>
      <c r="H756" s="109"/>
      <c r="I756" s="109"/>
      <c r="J756" s="109"/>
      <c r="K756" s="109"/>
      <c r="L756" s="109"/>
      <c r="M756" s="109"/>
      <c r="N756" s="13" t="s">
        <v>10467</v>
      </c>
      <c r="O756" s="13" t="s">
        <v>257</v>
      </c>
      <c r="P756" s="13" t="s">
        <v>637</v>
      </c>
      <c r="Q756" s="15" t="s">
        <v>3219</v>
      </c>
      <c r="R756" s="109"/>
      <c r="S756" s="109"/>
      <c r="T756" s="112"/>
      <c r="U756" s="112"/>
      <c r="V756" s="112"/>
      <c r="W756" s="112"/>
    </row>
    <row r="757" spans="1:23" s="2" customFormat="1" ht="12">
      <c r="A757" s="11"/>
      <c r="B757" s="108"/>
      <c r="C757" s="109"/>
      <c r="D757" s="14" t="str">
        <f t="shared" si="21"/>
        <v>日日煮</v>
      </c>
      <c r="E757" s="109"/>
      <c r="F757" s="112"/>
      <c r="G757" s="109"/>
      <c r="H757" s="109"/>
      <c r="I757" s="109"/>
      <c r="J757" s="109"/>
      <c r="K757" s="109"/>
      <c r="L757" s="109"/>
      <c r="M757" s="109"/>
      <c r="N757" s="13" t="s">
        <v>10468</v>
      </c>
      <c r="O757" s="13" t="s">
        <v>260</v>
      </c>
      <c r="P757" s="13" t="s">
        <v>1836</v>
      </c>
      <c r="Q757" s="15" t="s">
        <v>240</v>
      </c>
      <c r="R757" s="109"/>
      <c r="S757" s="109"/>
      <c r="T757" s="112"/>
      <c r="U757" s="112"/>
      <c r="V757" s="112"/>
      <c r="W757" s="112"/>
    </row>
    <row r="758" spans="1:23" s="2" customFormat="1" ht="12">
      <c r="A758" s="11"/>
      <c r="B758" s="108"/>
      <c r="C758" s="109"/>
      <c r="D758" s="14" t="str">
        <f t="shared" si="21"/>
        <v>日日煮</v>
      </c>
      <c r="E758" s="109"/>
      <c r="F758" s="112"/>
      <c r="G758" s="109"/>
      <c r="H758" s="109"/>
      <c r="I758" s="109"/>
      <c r="J758" s="109"/>
      <c r="K758" s="109"/>
      <c r="L758" s="109"/>
      <c r="M758" s="109"/>
      <c r="N758" s="13" t="s">
        <v>8666</v>
      </c>
      <c r="O758" s="13" t="s">
        <v>262</v>
      </c>
      <c r="P758" s="13" t="s">
        <v>1836</v>
      </c>
      <c r="Q758" s="13" t="s">
        <v>3220</v>
      </c>
      <c r="R758" s="109"/>
      <c r="S758" s="109"/>
      <c r="T758" s="112"/>
      <c r="U758" s="112"/>
      <c r="V758" s="112"/>
      <c r="W758" s="112"/>
    </row>
    <row r="759" spans="1:23" s="2" customFormat="1" ht="12">
      <c r="A759" s="11"/>
      <c r="B759" s="108"/>
      <c r="C759" s="109"/>
      <c r="D759" s="14" t="str">
        <f t="shared" si="21"/>
        <v>日日煮</v>
      </c>
      <c r="E759" s="109"/>
      <c r="F759" s="112"/>
      <c r="G759" s="109"/>
      <c r="H759" s="109"/>
      <c r="I759" s="109"/>
      <c r="J759" s="109"/>
      <c r="K759" s="109"/>
      <c r="L759" s="109"/>
      <c r="M759" s="109"/>
      <c r="N759" s="13" t="s">
        <v>10469</v>
      </c>
      <c r="O759" s="13" t="s">
        <v>721</v>
      </c>
      <c r="P759" s="15" t="s">
        <v>252</v>
      </c>
      <c r="Q759" s="15" t="s">
        <v>528</v>
      </c>
      <c r="R759" s="109"/>
      <c r="S759" s="109"/>
      <c r="T759" s="112"/>
      <c r="U759" s="112"/>
      <c r="V759" s="112"/>
      <c r="W759" s="112"/>
    </row>
    <row r="760" spans="1:23" s="2" customFormat="1" ht="12">
      <c r="A760" s="11"/>
      <c r="B760" s="108"/>
      <c r="C760" s="109"/>
      <c r="D760" s="14" t="str">
        <f t="shared" si="21"/>
        <v>日日煮</v>
      </c>
      <c r="E760" s="109"/>
      <c r="F760" s="112"/>
      <c r="G760" s="109"/>
      <c r="H760" s="109"/>
      <c r="I760" s="109"/>
      <c r="J760" s="109"/>
      <c r="K760" s="109"/>
      <c r="L760" s="109"/>
      <c r="M760" s="109"/>
      <c r="N760" s="13" t="s">
        <v>8320</v>
      </c>
      <c r="O760" s="15" t="s">
        <v>326</v>
      </c>
      <c r="P760" s="15" t="s">
        <v>252</v>
      </c>
      <c r="Q760" s="15" t="s">
        <v>3221</v>
      </c>
      <c r="R760" s="109"/>
      <c r="S760" s="109"/>
      <c r="T760" s="112"/>
      <c r="U760" s="112"/>
      <c r="V760" s="112"/>
      <c r="W760" s="112"/>
    </row>
    <row r="761" spans="1:23" s="2" customFormat="1" ht="12">
      <c r="A761" s="11"/>
      <c r="B761" s="108"/>
      <c r="C761" s="109" t="s">
        <v>10470</v>
      </c>
      <c r="D761" s="14" t="s">
        <v>10471</v>
      </c>
      <c r="E761" s="109" t="s">
        <v>10471</v>
      </c>
      <c r="F761" s="112" t="s">
        <v>10472</v>
      </c>
      <c r="G761" s="109" t="s">
        <v>10471</v>
      </c>
      <c r="H761" s="109" t="s">
        <v>10473</v>
      </c>
      <c r="I761" s="109" t="s">
        <v>2176</v>
      </c>
      <c r="J761" s="113" t="s">
        <v>3604</v>
      </c>
      <c r="K761" s="113" t="s">
        <v>272</v>
      </c>
      <c r="L761" s="113" t="s">
        <v>249</v>
      </c>
      <c r="M761" s="113" t="s">
        <v>1357</v>
      </c>
      <c r="N761" s="13" t="s">
        <v>10470</v>
      </c>
      <c r="O761" s="13" t="s">
        <v>523</v>
      </c>
      <c r="P761" s="13" t="s">
        <v>458</v>
      </c>
      <c r="Q761" s="13" t="s">
        <v>10474</v>
      </c>
      <c r="R761" s="109" t="s">
        <v>10475</v>
      </c>
      <c r="S761" s="109" t="s">
        <v>1969</v>
      </c>
      <c r="T761" s="114" t="s">
        <v>10476</v>
      </c>
      <c r="U761" s="112"/>
      <c r="V761" s="112"/>
      <c r="W761" s="112"/>
    </row>
    <row r="762" spans="1:23" s="2" customFormat="1" ht="12">
      <c r="A762" s="11"/>
      <c r="B762" s="108"/>
      <c r="C762" s="109"/>
      <c r="D762" s="14" t="str">
        <f t="shared" ref="D762:D767" si="22">D761</f>
        <v>KKday</v>
      </c>
      <c r="E762" s="109"/>
      <c r="F762" s="112"/>
      <c r="G762" s="109"/>
      <c r="H762" s="109"/>
      <c r="I762" s="109"/>
      <c r="J762" s="109"/>
      <c r="K762" s="109"/>
      <c r="L762" s="109"/>
      <c r="M762" s="109"/>
      <c r="N762" s="13" t="s">
        <v>9987</v>
      </c>
      <c r="O762" s="13" t="s">
        <v>251</v>
      </c>
      <c r="P762" s="13" t="s">
        <v>2831</v>
      </c>
      <c r="Q762" s="13" t="s">
        <v>10477</v>
      </c>
      <c r="R762" s="109"/>
      <c r="S762" s="109"/>
      <c r="T762" s="112"/>
      <c r="U762" s="112"/>
      <c r="V762" s="112"/>
      <c r="W762" s="112"/>
    </row>
    <row r="763" spans="1:23" s="2" customFormat="1" ht="12">
      <c r="A763" s="11"/>
      <c r="B763" s="108"/>
      <c r="C763" s="109"/>
      <c r="D763" s="14" t="str">
        <f t="shared" si="22"/>
        <v>KKday</v>
      </c>
      <c r="E763" s="109"/>
      <c r="F763" s="112"/>
      <c r="G763" s="109"/>
      <c r="H763" s="109"/>
      <c r="I763" s="109"/>
      <c r="J763" s="109"/>
      <c r="K763" s="109"/>
      <c r="L763" s="109"/>
      <c r="M763" s="109"/>
      <c r="N763" s="13" t="s">
        <v>10478</v>
      </c>
      <c r="O763" s="15" t="s">
        <v>285</v>
      </c>
      <c r="P763" s="13" t="s">
        <v>337</v>
      </c>
      <c r="Q763" s="13" t="s">
        <v>10479</v>
      </c>
      <c r="R763" s="109"/>
      <c r="S763" s="109"/>
      <c r="T763" s="112"/>
      <c r="U763" s="112"/>
      <c r="V763" s="112"/>
      <c r="W763" s="112"/>
    </row>
    <row r="764" spans="1:23" s="2" customFormat="1" ht="12">
      <c r="A764" s="11"/>
      <c r="B764" s="108"/>
      <c r="C764" s="109"/>
      <c r="D764" s="14" t="str">
        <f t="shared" si="22"/>
        <v>KKday</v>
      </c>
      <c r="E764" s="109"/>
      <c r="F764" s="112"/>
      <c r="G764" s="109"/>
      <c r="H764" s="109"/>
      <c r="I764" s="109"/>
      <c r="J764" s="109"/>
      <c r="K764" s="109"/>
      <c r="L764" s="109"/>
      <c r="M764" s="109"/>
      <c r="N764" s="13" t="s">
        <v>4641</v>
      </c>
      <c r="O764" s="13" t="s">
        <v>565</v>
      </c>
      <c r="P764" s="15" t="s">
        <v>276</v>
      </c>
      <c r="Q764" s="13" t="s">
        <v>10480</v>
      </c>
      <c r="R764" s="109"/>
      <c r="S764" s="109"/>
      <c r="T764" s="112"/>
      <c r="U764" s="112"/>
      <c r="V764" s="112"/>
      <c r="W764" s="112"/>
    </row>
    <row r="765" spans="1:23" s="2" customFormat="1" ht="12">
      <c r="A765" s="11"/>
      <c r="B765" s="108"/>
      <c r="C765" s="109"/>
      <c r="D765" s="14" t="str">
        <f t="shared" si="22"/>
        <v>KKday</v>
      </c>
      <c r="E765" s="109"/>
      <c r="F765" s="112"/>
      <c r="G765" s="109"/>
      <c r="H765" s="109"/>
      <c r="I765" s="109"/>
      <c r="J765" s="109"/>
      <c r="K765" s="109"/>
      <c r="L765" s="109"/>
      <c r="M765" s="109"/>
      <c r="N765" s="13" t="s">
        <v>10481</v>
      </c>
      <c r="O765" s="13" t="s">
        <v>257</v>
      </c>
      <c r="P765" s="13" t="s">
        <v>2618</v>
      </c>
      <c r="Q765" s="13" t="s">
        <v>10482</v>
      </c>
      <c r="R765" s="109"/>
      <c r="S765" s="109"/>
      <c r="T765" s="112"/>
      <c r="U765" s="112"/>
      <c r="V765" s="112"/>
      <c r="W765" s="112"/>
    </row>
    <row r="766" spans="1:23" s="2" customFormat="1" ht="12">
      <c r="A766" s="11"/>
      <c r="B766" s="108"/>
      <c r="C766" s="109"/>
      <c r="D766" s="14" t="str">
        <f t="shared" si="22"/>
        <v>KKday</v>
      </c>
      <c r="E766" s="109"/>
      <c r="F766" s="112"/>
      <c r="G766" s="109"/>
      <c r="H766" s="109"/>
      <c r="I766" s="109"/>
      <c r="J766" s="109"/>
      <c r="K766" s="109"/>
      <c r="L766" s="109"/>
      <c r="M766" s="109"/>
      <c r="N766" s="13" t="s">
        <v>10483</v>
      </c>
      <c r="O766" s="13" t="s">
        <v>260</v>
      </c>
      <c r="P766" s="13" t="s">
        <v>3699</v>
      </c>
      <c r="Q766" s="13" t="s">
        <v>10484</v>
      </c>
      <c r="R766" s="109"/>
      <c r="S766" s="109"/>
      <c r="T766" s="112"/>
      <c r="U766" s="112"/>
      <c r="V766" s="112"/>
      <c r="W766" s="112"/>
    </row>
    <row r="767" spans="1:23" s="2" customFormat="1" ht="12">
      <c r="A767" s="11"/>
      <c r="B767" s="108"/>
      <c r="C767" s="109"/>
      <c r="D767" s="14" t="str">
        <f t="shared" si="22"/>
        <v>KKday</v>
      </c>
      <c r="E767" s="109"/>
      <c r="F767" s="112"/>
      <c r="G767" s="109"/>
      <c r="H767" s="109"/>
      <c r="I767" s="109"/>
      <c r="J767" s="109"/>
      <c r="K767" s="109"/>
      <c r="L767" s="109"/>
      <c r="M767" s="109"/>
      <c r="N767" s="13" t="s">
        <v>10485</v>
      </c>
      <c r="O767" s="13" t="s">
        <v>262</v>
      </c>
      <c r="P767" s="13" t="s">
        <v>922</v>
      </c>
      <c r="Q767" s="13" t="s">
        <v>10486</v>
      </c>
      <c r="R767" s="109"/>
      <c r="S767" s="109"/>
      <c r="T767" s="112"/>
      <c r="U767" s="112"/>
      <c r="V767" s="112"/>
      <c r="W767" s="112"/>
    </row>
    <row r="768" spans="1:23" s="2" customFormat="1" ht="12">
      <c r="A768" s="11"/>
      <c r="B768" s="108"/>
      <c r="C768" s="109" t="s">
        <v>10487</v>
      </c>
      <c r="D768" s="14" t="s">
        <v>10488</v>
      </c>
      <c r="E768" s="109" t="s">
        <v>10488</v>
      </c>
      <c r="F768" s="112" t="s">
        <v>10489</v>
      </c>
      <c r="G768" s="109" t="s">
        <v>10488</v>
      </c>
      <c r="H768" s="109" t="s">
        <v>10490</v>
      </c>
      <c r="I768" s="109" t="s">
        <v>511</v>
      </c>
      <c r="J768" s="113" t="s">
        <v>1502</v>
      </c>
      <c r="K768" s="113" t="s">
        <v>272</v>
      </c>
      <c r="L768" s="113" t="s">
        <v>1101</v>
      </c>
      <c r="M768" s="113" t="s">
        <v>1447</v>
      </c>
      <c r="N768" s="13" t="s">
        <v>10487</v>
      </c>
      <c r="O768" s="13" t="s">
        <v>283</v>
      </c>
      <c r="P768" s="13" t="s">
        <v>737</v>
      </c>
      <c r="Q768" s="13" t="s">
        <v>253</v>
      </c>
      <c r="R768" s="109" t="s">
        <v>10491</v>
      </c>
      <c r="S768" s="109" t="s">
        <v>3452</v>
      </c>
      <c r="T768" s="112" t="s">
        <v>10492</v>
      </c>
      <c r="U768" s="112" t="s">
        <v>10493</v>
      </c>
      <c r="V768" s="112" t="s">
        <v>10494</v>
      </c>
      <c r="W768" s="112" t="s">
        <v>10495</v>
      </c>
    </row>
    <row r="769" spans="1:23" s="2" customFormat="1" ht="12">
      <c r="A769" s="11"/>
      <c r="B769" s="108"/>
      <c r="C769" s="109"/>
      <c r="D769" s="14" t="str">
        <f>D768</f>
        <v>Prenetics</v>
      </c>
      <c r="E769" s="109"/>
      <c r="F769" s="112"/>
      <c r="G769" s="109"/>
      <c r="H769" s="109"/>
      <c r="I769" s="109"/>
      <c r="J769" s="109"/>
      <c r="K769" s="109"/>
      <c r="L769" s="109"/>
      <c r="M769" s="109"/>
      <c r="N769" s="13" t="s">
        <v>8200</v>
      </c>
      <c r="O769" s="13" t="s">
        <v>257</v>
      </c>
      <c r="P769" s="13" t="s">
        <v>676</v>
      </c>
      <c r="Q769" s="15" t="s">
        <v>10496</v>
      </c>
      <c r="R769" s="109"/>
      <c r="S769" s="109"/>
      <c r="T769" s="112"/>
      <c r="U769" s="112"/>
      <c r="V769" s="112"/>
      <c r="W769" s="112"/>
    </row>
    <row r="770" spans="1:23" s="2" customFormat="1" ht="12">
      <c r="A770" s="11"/>
      <c r="B770" s="108"/>
      <c r="C770" s="109"/>
      <c r="D770" s="14" t="str">
        <f>D769</f>
        <v>Prenetics</v>
      </c>
      <c r="E770" s="109"/>
      <c r="F770" s="112"/>
      <c r="G770" s="109"/>
      <c r="H770" s="109"/>
      <c r="I770" s="109"/>
      <c r="J770" s="109"/>
      <c r="K770" s="109"/>
      <c r="L770" s="109"/>
      <c r="M770" s="109"/>
      <c r="N770" s="13" t="s">
        <v>10497</v>
      </c>
      <c r="O770" s="13" t="s">
        <v>262</v>
      </c>
      <c r="P770" s="13" t="s">
        <v>337</v>
      </c>
      <c r="Q770" s="15" t="s">
        <v>10498</v>
      </c>
      <c r="R770" s="109"/>
      <c r="S770" s="109"/>
      <c r="T770" s="112"/>
      <c r="U770" s="112"/>
      <c r="V770" s="112"/>
      <c r="W770" s="112"/>
    </row>
    <row r="771" spans="1:23" s="2" customFormat="1" ht="72">
      <c r="A771" s="11"/>
      <c r="B771" s="108"/>
      <c r="C771" s="13" t="s">
        <v>10499</v>
      </c>
      <c r="D771" s="19" t="s">
        <v>10500</v>
      </c>
      <c r="E771" s="13" t="s">
        <v>10500</v>
      </c>
      <c r="F771" s="18" t="s">
        <v>10501</v>
      </c>
      <c r="G771" s="13"/>
      <c r="H771" s="13" t="s">
        <v>10502</v>
      </c>
      <c r="I771" s="13" t="s">
        <v>3823</v>
      </c>
      <c r="J771" s="15" t="s">
        <v>1502</v>
      </c>
      <c r="K771" s="15" t="s">
        <v>272</v>
      </c>
      <c r="L771" s="15" t="s">
        <v>944</v>
      </c>
      <c r="M771" s="13" t="s">
        <v>2774</v>
      </c>
      <c r="N771" s="13" t="s">
        <v>10499</v>
      </c>
      <c r="O771" s="15" t="s">
        <v>326</v>
      </c>
      <c r="P771" s="13" t="s">
        <v>324</v>
      </c>
      <c r="Q771" s="13" t="s">
        <v>10503</v>
      </c>
      <c r="R771" s="13" t="s">
        <v>3291</v>
      </c>
      <c r="S771" s="13" t="s">
        <v>3292</v>
      </c>
      <c r="T771" s="18"/>
      <c r="U771" s="18"/>
      <c r="V771" s="18"/>
      <c r="W771" s="18"/>
    </row>
    <row r="772" spans="1:23" s="2" customFormat="1" ht="12">
      <c r="A772" s="11"/>
      <c r="B772" s="108"/>
      <c r="C772" s="109" t="s">
        <v>10504</v>
      </c>
      <c r="D772" s="14" t="s">
        <v>10505</v>
      </c>
      <c r="E772" s="113" t="s">
        <v>10506</v>
      </c>
      <c r="F772" s="114" t="s">
        <v>10507</v>
      </c>
      <c r="G772" s="113" t="s">
        <v>10508</v>
      </c>
      <c r="H772" s="109" t="s">
        <v>10509</v>
      </c>
      <c r="I772" s="109" t="s">
        <v>2887</v>
      </c>
      <c r="J772" s="113" t="s">
        <v>10510</v>
      </c>
      <c r="K772" s="113" t="s">
        <v>272</v>
      </c>
      <c r="L772" s="113" t="s">
        <v>1859</v>
      </c>
      <c r="M772" s="113" t="s">
        <v>8374</v>
      </c>
      <c r="N772" s="13" t="s">
        <v>10504</v>
      </c>
      <c r="O772" s="13" t="s">
        <v>4142</v>
      </c>
      <c r="P772" s="15" t="s">
        <v>341</v>
      </c>
      <c r="Q772" s="15" t="s">
        <v>10511</v>
      </c>
      <c r="R772" s="109" t="s">
        <v>10512</v>
      </c>
      <c r="S772" s="109" t="s">
        <v>3935</v>
      </c>
      <c r="T772" s="114" t="s">
        <v>10513</v>
      </c>
      <c r="U772" s="114" t="s">
        <v>10514</v>
      </c>
      <c r="V772" s="112" t="s">
        <v>10515</v>
      </c>
      <c r="W772" s="112" t="s">
        <v>10516</v>
      </c>
    </row>
    <row r="773" spans="1:23" s="2" customFormat="1" ht="12">
      <c r="A773" s="11"/>
      <c r="B773" s="108"/>
      <c r="C773" s="109"/>
      <c r="D773" s="14" t="str">
        <f>D772</f>
        <v>弘量研究AQUMON</v>
      </c>
      <c r="E773" s="109"/>
      <c r="F773" s="112"/>
      <c r="G773" s="109"/>
      <c r="H773" s="109"/>
      <c r="I773" s="109"/>
      <c r="J773" s="109"/>
      <c r="K773" s="109"/>
      <c r="L773" s="109"/>
      <c r="M773" s="109"/>
      <c r="N773" s="13" t="s">
        <v>2555</v>
      </c>
      <c r="O773" s="13" t="s">
        <v>260</v>
      </c>
      <c r="P773" s="15" t="s">
        <v>341</v>
      </c>
      <c r="Q773" s="15" t="s">
        <v>10517</v>
      </c>
      <c r="R773" s="109"/>
      <c r="S773" s="109"/>
      <c r="T773" s="112"/>
      <c r="U773" s="112"/>
      <c r="V773" s="112"/>
      <c r="W773" s="112"/>
    </row>
    <row r="774" spans="1:23" s="2" customFormat="1" ht="12">
      <c r="A774" s="11"/>
      <c r="B774" s="108"/>
      <c r="C774" s="109"/>
      <c r="D774" s="14" t="str">
        <f>D773</f>
        <v>弘量研究AQUMON</v>
      </c>
      <c r="E774" s="109"/>
      <c r="F774" s="112"/>
      <c r="G774" s="109"/>
      <c r="H774" s="109"/>
      <c r="I774" s="109"/>
      <c r="J774" s="109"/>
      <c r="K774" s="109"/>
      <c r="L774" s="109"/>
      <c r="M774" s="109"/>
      <c r="N774" s="13" t="s">
        <v>10518</v>
      </c>
      <c r="O774" s="13" t="s">
        <v>262</v>
      </c>
      <c r="P774" s="15" t="s">
        <v>261</v>
      </c>
      <c r="Q774" s="15" t="s">
        <v>10424</v>
      </c>
      <c r="R774" s="109"/>
      <c r="S774" s="109"/>
      <c r="T774" s="112"/>
      <c r="U774" s="112"/>
      <c r="V774" s="112"/>
      <c r="W774" s="112"/>
    </row>
    <row r="775" spans="1:23" s="2" customFormat="1" ht="48">
      <c r="A775" s="11"/>
      <c r="B775" s="108"/>
      <c r="C775" s="13" t="s">
        <v>3286</v>
      </c>
      <c r="D775" s="19" t="s">
        <v>3287</v>
      </c>
      <c r="E775" s="13" t="s">
        <v>3287</v>
      </c>
      <c r="F775" s="18" t="s">
        <v>3288</v>
      </c>
      <c r="G775" s="13" t="s">
        <v>3287</v>
      </c>
      <c r="H775" s="13" t="s">
        <v>3289</v>
      </c>
      <c r="I775" s="13" t="s">
        <v>2887</v>
      </c>
      <c r="J775" s="15" t="s">
        <v>1502</v>
      </c>
      <c r="K775" s="15" t="s">
        <v>272</v>
      </c>
      <c r="L775" s="15" t="s">
        <v>350</v>
      </c>
      <c r="M775" s="15" t="s">
        <v>1379</v>
      </c>
      <c r="N775" s="13" t="s">
        <v>3286</v>
      </c>
      <c r="O775" s="15" t="s">
        <v>326</v>
      </c>
      <c r="P775" s="15" t="s">
        <v>261</v>
      </c>
      <c r="Q775" s="15" t="s">
        <v>3290</v>
      </c>
      <c r="R775" s="13" t="s">
        <v>3291</v>
      </c>
      <c r="S775" s="13" t="s">
        <v>3292</v>
      </c>
      <c r="T775" s="18"/>
      <c r="U775" s="16" t="s">
        <v>3293</v>
      </c>
      <c r="V775" s="18" t="s">
        <v>3294</v>
      </c>
      <c r="W775" s="18" t="s">
        <v>3295</v>
      </c>
    </row>
    <row r="776" spans="1:23" s="2" customFormat="1" ht="12">
      <c r="A776" s="11"/>
      <c r="B776" s="108"/>
      <c r="C776" s="109" t="s">
        <v>3296</v>
      </c>
      <c r="D776" s="14" t="s">
        <v>3297</v>
      </c>
      <c r="E776" s="109" t="s">
        <v>3297</v>
      </c>
      <c r="F776" s="112" t="s">
        <v>3298</v>
      </c>
      <c r="G776" s="113" t="s">
        <v>3299</v>
      </c>
      <c r="H776" s="109" t="s">
        <v>3300</v>
      </c>
      <c r="I776" s="109" t="s">
        <v>1944</v>
      </c>
      <c r="J776" s="113" t="s">
        <v>1502</v>
      </c>
      <c r="K776" s="113" t="s">
        <v>272</v>
      </c>
      <c r="L776" s="113" t="s">
        <v>350</v>
      </c>
      <c r="M776" s="113" t="s">
        <v>1090</v>
      </c>
      <c r="N776" s="13" t="s">
        <v>3296</v>
      </c>
      <c r="O776" s="13" t="s">
        <v>262</v>
      </c>
      <c r="P776" s="13" t="s">
        <v>458</v>
      </c>
      <c r="Q776" s="13" t="s">
        <v>3301</v>
      </c>
      <c r="R776" s="109" t="s">
        <v>2553</v>
      </c>
      <c r="S776" s="109" t="s">
        <v>1969</v>
      </c>
      <c r="T776" s="114" t="s">
        <v>3302</v>
      </c>
      <c r="U776" s="112"/>
      <c r="V776" s="112"/>
      <c r="W776" s="112" t="s">
        <v>3303</v>
      </c>
    </row>
    <row r="777" spans="1:23" s="2" customFormat="1" ht="12">
      <c r="A777" s="11"/>
      <c r="B777" s="108"/>
      <c r="C777" s="109"/>
      <c r="D777" s="14" t="str">
        <f>D776</f>
        <v>Shopline</v>
      </c>
      <c r="E777" s="109"/>
      <c r="F777" s="112"/>
      <c r="G777" s="109"/>
      <c r="H777" s="109"/>
      <c r="I777" s="109"/>
      <c r="J777" s="109"/>
      <c r="K777" s="109"/>
      <c r="L777" s="109"/>
      <c r="M777" s="109"/>
      <c r="N777" s="13" t="s">
        <v>3286</v>
      </c>
      <c r="O777" s="15" t="s">
        <v>326</v>
      </c>
      <c r="P777" s="15" t="s">
        <v>261</v>
      </c>
      <c r="Q777" s="15" t="s">
        <v>3290</v>
      </c>
      <c r="R777" s="109"/>
      <c r="S777" s="109"/>
      <c r="T777" s="112"/>
      <c r="U777" s="112"/>
      <c r="V777" s="112"/>
      <c r="W777" s="112"/>
    </row>
    <row r="778" spans="1:23" s="2" customFormat="1" ht="12">
      <c r="A778" s="11"/>
      <c r="B778" s="108"/>
      <c r="C778" s="109" t="s">
        <v>10519</v>
      </c>
      <c r="D778" s="14" t="s">
        <v>10520</v>
      </c>
      <c r="E778" s="109" t="s">
        <v>10521</v>
      </c>
      <c r="F778" s="112" t="s">
        <v>10522</v>
      </c>
      <c r="G778" s="113" t="s">
        <v>10523</v>
      </c>
      <c r="H778" s="109" t="s">
        <v>10524</v>
      </c>
      <c r="I778" s="109" t="s">
        <v>1922</v>
      </c>
      <c r="J778" s="113" t="s">
        <v>1192</v>
      </c>
      <c r="K778" s="113" t="s">
        <v>272</v>
      </c>
      <c r="L778" s="113" t="s">
        <v>1859</v>
      </c>
      <c r="M778" s="113" t="s">
        <v>2900</v>
      </c>
      <c r="N778" s="13" t="s">
        <v>10519</v>
      </c>
      <c r="O778" s="13" t="s">
        <v>2239</v>
      </c>
      <c r="P778" s="13" t="s">
        <v>320</v>
      </c>
      <c r="Q778" s="15" t="s">
        <v>10525</v>
      </c>
      <c r="R778" s="109" t="s">
        <v>10526</v>
      </c>
      <c r="S778" s="109" t="s">
        <v>10527</v>
      </c>
      <c r="T778" s="112" t="s">
        <v>10528</v>
      </c>
      <c r="U778" s="114" t="s">
        <v>10529</v>
      </c>
      <c r="V778" s="112" t="s">
        <v>10530</v>
      </c>
      <c r="W778" s="112" t="s">
        <v>10531</v>
      </c>
    </row>
    <row r="779" spans="1:23" s="2" customFormat="1" ht="12">
      <c r="A779" s="11"/>
      <c r="B779" s="108"/>
      <c r="C779" s="109"/>
      <c r="D779" s="14" t="str">
        <f t="shared" ref="D779:D789" si="23">D778</f>
        <v>Airwallex空中云汇</v>
      </c>
      <c r="E779" s="109"/>
      <c r="F779" s="112"/>
      <c r="G779" s="109"/>
      <c r="H779" s="109"/>
      <c r="I779" s="109"/>
      <c r="J779" s="109"/>
      <c r="K779" s="109"/>
      <c r="L779" s="109"/>
      <c r="M779" s="109"/>
      <c r="N779" s="13" t="s">
        <v>10532</v>
      </c>
      <c r="O779" s="13" t="s">
        <v>2239</v>
      </c>
      <c r="P779" s="13" t="s">
        <v>320</v>
      </c>
      <c r="Q779" s="15" t="s">
        <v>10533</v>
      </c>
      <c r="R779" s="109"/>
      <c r="S779" s="109"/>
      <c r="T779" s="112"/>
      <c r="U779" s="112"/>
      <c r="V779" s="112"/>
      <c r="W779" s="112"/>
    </row>
    <row r="780" spans="1:23" s="2" customFormat="1" ht="12">
      <c r="A780" s="11"/>
      <c r="B780" s="108"/>
      <c r="C780" s="109"/>
      <c r="D780" s="14" t="str">
        <f t="shared" si="23"/>
        <v>Airwallex空中云汇</v>
      </c>
      <c r="E780" s="109"/>
      <c r="F780" s="112"/>
      <c r="G780" s="109"/>
      <c r="H780" s="109"/>
      <c r="I780" s="109"/>
      <c r="J780" s="109"/>
      <c r="K780" s="109"/>
      <c r="L780" s="109"/>
      <c r="M780" s="109"/>
      <c r="N780" s="13" t="s">
        <v>10534</v>
      </c>
      <c r="O780" s="13" t="s">
        <v>310</v>
      </c>
      <c r="P780" s="13" t="s">
        <v>792</v>
      </c>
      <c r="Q780" s="15" t="s">
        <v>10535</v>
      </c>
      <c r="R780" s="109"/>
      <c r="S780" s="109"/>
      <c r="T780" s="112"/>
      <c r="U780" s="112"/>
      <c r="V780" s="112"/>
      <c r="W780" s="112"/>
    </row>
    <row r="781" spans="1:23" s="2" customFormat="1" ht="12">
      <c r="A781" s="11"/>
      <c r="B781" s="108"/>
      <c r="C781" s="109"/>
      <c r="D781" s="14" t="str">
        <f t="shared" si="23"/>
        <v>Airwallex空中云汇</v>
      </c>
      <c r="E781" s="109"/>
      <c r="F781" s="112"/>
      <c r="G781" s="109"/>
      <c r="H781" s="109"/>
      <c r="I781" s="109"/>
      <c r="J781" s="109"/>
      <c r="K781" s="109"/>
      <c r="L781" s="109"/>
      <c r="M781" s="109"/>
      <c r="N781" s="13" t="s">
        <v>10536</v>
      </c>
      <c r="O781" s="13" t="s">
        <v>315</v>
      </c>
      <c r="P781" s="13" t="s">
        <v>320</v>
      </c>
      <c r="Q781" s="13" t="s">
        <v>10537</v>
      </c>
      <c r="R781" s="109"/>
      <c r="S781" s="109"/>
      <c r="T781" s="112"/>
      <c r="U781" s="112"/>
      <c r="V781" s="112"/>
      <c r="W781" s="112"/>
    </row>
    <row r="782" spans="1:23" s="2" customFormat="1" ht="12">
      <c r="A782" s="11"/>
      <c r="B782" s="108"/>
      <c r="C782" s="109"/>
      <c r="D782" s="14" t="str">
        <f t="shared" si="23"/>
        <v>Airwallex空中云汇</v>
      </c>
      <c r="E782" s="109"/>
      <c r="F782" s="112"/>
      <c r="G782" s="109"/>
      <c r="H782" s="109"/>
      <c r="I782" s="109"/>
      <c r="J782" s="109"/>
      <c r="K782" s="109"/>
      <c r="L782" s="109"/>
      <c r="M782" s="109"/>
      <c r="N782" s="13" t="s">
        <v>1401</v>
      </c>
      <c r="O782" s="13" t="s">
        <v>315</v>
      </c>
      <c r="P782" s="13" t="s">
        <v>676</v>
      </c>
      <c r="Q782" s="13" t="s">
        <v>253</v>
      </c>
      <c r="R782" s="109"/>
      <c r="S782" s="109"/>
      <c r="T782" s="112"/>
      <c r="U782" s="112"/>
      <c r="V782" s="112"/>
      <c r="W782" s="112"/>
    </row>
    <row r="783" spans="1:23" s="2" customFormat="1" ht="12">
      <c r="A783" s="11"/>
      <c r="B783" s="108"/>
      <c r="C783" s="109"/>
      <c r="D783" s="14" t="str">
        <f t="shared" si="23"/>
        <v>Airwallex空中云汇</v>
      </c>
      <c r="E783" s="109"/>
      <c r="F783" s="112"/>
      <c r="G783" s="109"/>
      <c r="H783" s="109"/>
      <c r="I783" s="109"/>
      <c r="J783" s="109"/>
      <c r="K783" s="109"/>
      <c r="L783" s="109"/>
      <c r="M783" s="109"/>
      <c r="N783" s="13" t="s">
        <v>10538</v>
      </c>
      <c r="O783" s="13" t="s">
        <v>315</v>
      </c>
      <c r="P783" s="15" t="s">
        <v>276</v>
      </c>
      <c r="Q783" s="15" t="s">
        <v>10424</v>
      </c>
      <c r="R783" s="109"/>
      <c r="S783" s="109"/>
      <c r="T783" s="112"/>
      <c r="U783" s="112"/>
      <c r="V783" s="112"/>
      <c r="W783" s="112"/>
    </row>
    <row r="784" spans="1:23" s="2" customFormat="1" ht="12">
      <c r="A784" s="11"/>
      <c r="B784" s="108"/>
      <c r="C784" s="109"/>
      <c r="D784" s="14" t="str">
        <f t="shared" si="23"/>
        <v>Airwallex空中云汇</v>
      </c>
      <c r="E784" s="109"/>
      <c r="F784" s="112"/>
      <c r="G784" s="109"/>
      <c r="H784" s="109"/>
      <c r="I784" s="109"/>
      <c r="J784" s="109"/>
      <c r="K784" s="109"/>
      <c r="L784" s="109"/>
      <c r="M784" s="109"/>
      <c r="N784" s="13" t="s">
        <v>10539</v>
      </c>
      <c r="O784" s="13" t="s">
        <v>317</v>
      </c>
      <c r="P784" s="13" t="s">
        <v>3693</v>
      </c>
      <c r="Q784" s="15" t="s">
        <v>10540</v>
      </c>
      <c r="R784" s="109"/>
      <c r="S784" s="109"/>
      <c r="T784" s="112"/>
      <c r="U784" s="112"/>
      <c r="V784" s="112"/>
      <c r="W784" s="112"/>
    </row>
    <row r="785" spans="1:23" s="2" customFormat="1" ht="12">
      <c r="A785" s="11"/>
      <c r="B785" s="108"/>
      <c r="C785" s="109"/>
      <c r="D785" s="14" t="str">
        <f t="shared" si="23"/>
        <v>Airwallex空中云汇</v>
      </c>
      <c r="E785" s="109"/>
      <c r="F785" s="112"/>
      <c r="G785" s="109"/>
      <c r="H785" s="109"/>
      <c r="I785" s="109"/>
      <c r="J785" s="109"/>
      <c r="K785" s="109"/>
      <c r="L785" s="109"/>
      <c r="M785" s="109"/>
      <c r="N785" s="13" t="s">
        <v>8684</v>
      </c>
      <c r="O785" s="13" t="s">
        <v>251</v>
      </c>
      <c r="P785" s="13" t="s">
        <v>320</v>
      </c>
      <c r="Q785" s="15" t="s">
        <v>10541</v>
      </c>
      <c r="R785" s="109"/>
      <c r="S785" s="109"/>
      <c r="T785" s="112"/>
      <c r="U785" s="112"/>
      <c r="V785" s="112"/>
      <c r="W785" s="112"/>
    </row>
    <row r="786" spans="1:23" s="2" customFormat="1" ht="12">
      <c r="A786" s="11"/>
      <c r="B786" s="108"/>
      <c r="C786" s="109"/>
      <c r="D786" s="14" t="str">
        <f t="shared" si="23"/>
        <v>Airwallex空中云汇</v>
      </c>
      <c r="E786" s="109"/>
      <c r="F786" s="112"/>
      <c r="G786" s="109"/>
      <c r="H786" s="109"/>
      <c r="I786" s="109"/>
      <c r="J786" s="109"/>
      <c r="K786" s="109"/>
      <c r="L786" s="109"/>
      <c r="M786" s="109"/>
      <c r="N786" s="13" t="s">
        <v>1927</v>
      </c>
      <c r="O786" s="13" t="s">
        <v>257</v>
      </c>
      <c r="P786" s="13" t="s">
        <v>897</v>
      </c>
      <c r="Q786" s="15" t="s">
        <v>10542</v>
      </c>
      <c r="R786" s="109"/>
      <c r="S786" s="109"/>
      <c r="T786" s="112"/>
      <c r="U786" s="112"/>
      <c r="V786" s="112"/>
      <c r="W786" s="112"/>
    </row>
    <row r="787" spans="1:23" s="2" customFormat="1" ht="12">
      <c r="A787" s="11"/>
      <c r="B787" s="108"/>
      <c r="C787" s="109"/>
      <c r="D787" s="14" t="str">
        <f t="shared" si="23"/>
        <v>Airwallex空中云汇</v>
      </c>
      <c r="E787" s="109"/>
      <c r="F787" s="112"/>
      <c r="G787" s="109"/>
      <c r="H787" s="109"/>
      <c r="I787" s="109"/>
      <c r="J787" s="109"/>
      <c r="K787" s="109"/>
      <c r="L787" s="109"/>
      <c r="M787" s="109"/>
      <c r="N787" s="13" t="s">
        <v>10332</v>
      </c>
      <c r="O787" s="13" t="s">
        <v>260</v>
      </c>
      <c r="P787" s="13" t="s">
        <v>1580</v>
      </c>
      <c r="Q787" s="13" t="s">
        <v>10543</v>
      </c>
      <c r="R787" s="109"/>
      <c r="S787" s="109"/>
      <c r="T787" s="112"/>
      <c r="U787" s="112"/>
      <c r="V787" s="112"/>
      <c r="W787" s="112"/>
    </row>
    <row r="788" spans="1:23" s="2" customFormat="1" ht="12">
      <c r="A788" s="11"/>
      <c r="B788" s="108"/>
      <c r="C788" s="109"/>
      <c r="D788" s="14" t="str">
        <f t="shared" si="23"/>
        <v>Airwallex空中云汇</v>
      </c>
      <c r="E788" s="109"/>
      <c r="F788" s="112"/>
      <c r="G788" s="109"/>
      <c r="H788" s="109"/>
      <c r="I788" s="109"/>
      <c r="J788" s="109"/>
      <c r="K788" s="109"/>
      <c r="L788" s="109"/>
      <c r="M788" s="109"/>
      <c r="N788" s="13" t="s">
        <v>8318</v>
      </c>
      <c r="O788" s="13" t="s">
        <v>262</v>
      </c>
      <c r="P788" s="13" t="s">
        <v>2063</v>
      </c>
      <c r="Q788" s="15" t="s">
        <v>10544</v>
      </c>
      <c r="R788" s="109"/>
      <c r="S788" s="109"/>
      <c r="T788" s="112"/>
      <c r="U788" s="112"/>
      <c r="V788" s="112"/>
      <c r="W788" s="112"/>
    </row>
    <row r="789" spans="1:23" s="2" customFormat="1" ht="12">
      <c r="A789" s="11"/>
      <c r="B789" s="108"/>
      <c r="C789" s="109"/>
      <c r="D789" s="14" t="str">
        <f t="shared" si="23"/>
        <v>Airwallex空中云汇</v>
      </c>
      <c r="E789" s="109"/>
      <c r="F789" s="112"/>
      <c r="G789" s="109"/>
      <c r="H789" s="109"/>
      <c r="I789" s="109"/>
      <c r="J789" s="109"/>
      <c r="K789" s="109"/>
      <c r="L789" s="109"/>
      <c r="M789" s="109"/>
      <c r="N789" s="13" t="s">
        <v>863</v>
      </c>
      <c r="O789" s="13" t="s">
        <v>721</v>
      </c>
      <c r="P789" s="13" t="s">
        <v>324</v>
      </c>
      <c r="Q789" s="15" t="s">
        <v>10545</v>
      </c>
      <c r="R789" s="109"/>
      <c r="S789" s="109"/>
      <c r="T789" s="112"/>
      <c r="U789" s="112"/>
      <c r="V789" s="112"/>
      <c r="W789" s="112"/>
    </row>
    <row r="790" spans="1:23" s="2" customFormat="1" ht="12">
      <c r="A790" s="11"/>
      <c r="B790" s="108"/>
      <c r="C790" s="109" t="s">
        <v>10546</v>
      </c>
      <c r="D790" s="14" t="s">
        <v>10547</v>
      </c>
      <c r="E790" s="109" t="s">
        <v>10548</v>
      </c>
      <c r="F790" s="112" t="s">
        <v>10549</v>
      </c>
      <c r="G790" s="113" t="s">
        <v>10550</v>
      </c>
      <c r="H790" s="109" t="s">
        <v>10551</v>
      </c>
      <c r="I790" s="109" t="s">
        <v>3145</v>
      </c>
      <c r="J790" s="113" t="s">
        <v>3604</v>
      </c>
      <c r="K790" s="113" t="s">
        <v>272</v>
      </c>
      <c r="L790" s="113" t="s">
        <v>672</v>
      </c>
      <c r="M790" s="113" t="s">
        <v>909</v>
      </c>
      <c r="N790" s="13" t="s">
        <v>10546</v>
      </c>
      <c r="O790" s="13" t="s">
        <v>721</v>
      </c>
      <c r="P790" s="13" t="s">
        <v>539</v>
      </c>
      <c r="Q790" s="15" t="s">
        <v>10552</v>
      </c>
      <c r="R790" s="109" t="s">
        <v>8588</v>
      </c>
      <c r="S790" s="109" t="s">
        <v>5540</v>
      </c>
      <c r="T790" s="114" t="s">
        <v>10553</v>
      </c>
      <c r="U790" s="114" t="s">
        <v>10554</v>
      </c>
      <c r="V790" s="112"/>
      <c r="W790" s="112" t="s">
        <v>10555</v>
      </c>
    </row>
    <row r="791" spans="1:23" s="2" customFormat="1" ht="12">
      <c r="A791" s="11"/>
      <c r="B791" s="108"/>
      <c r="C791" s="109"/>
      <c r="D791" s="14" t="str">
        <f>D790</f>
        <v>HowLiving美味生活</v>
      </c>
      <c r="E791" s="109"/>
      <c r="F791" s="112"/>
      <c r="G791" s="109"/>
      <c r="H791" s="109"/>
      <c r="I791" s="109"/>
      <c r="J791" s="109"/>
      <c r="K791" s="109"/>
      <c r="L791" s="109"/>
      <c r="M791" s="109"/>
      <c r="N791" s="13" t="s">
        <v>10556</v>
      </c>
      <c r="O791" s="15" t="s">
        <v>326</v>
      </c>
      <c r="P791" s="15" t="s">
        <v>10557</v>
      </c>
      <c r="Q791" s="15" t="s">
        <v>10436</v>
      </c>
      <c r="R791" s="109"/>
      <c r="S791" s="109"/>
      <c r="T791" s="112"/>
      <c r="U791" s="112"/>
      <c r="V791" s="112"/>
      <c r="W791" s="112"/>
    </row>
    <row r="792" spans="1:23" s="2" customFormat="1" ht="12">
      <c r="A792" s="11"/>
      <c r="B792" s="108"/>
      <c r="C792" s="109" t="s">
        <v>9372</v>
      </c>
      <c r="D792" s="14" t="s">
        <v>10558</v>
      </c>
      <c r="E792" s="109" t="s">
        <v>10558</v>
      </c>
      <c r="F792" s="112" t="s">
        <v>10559</v>
      </c>
      <c r="G792" s="109" t="s">
        <v>10560</v>
      </c>
      <c r="H792" s="109" t="s">
        <v>10561</v>
      </c>
      <c r="I792" s="109" t="s">
        <v>4160</v>
      </c>
      <c r="J792" s="113" t="s">
        <v>10562</v>
      </c>
      <c r="K792" s="113" t="s">
        <v>248</v>
      </c>
      <c r="L792" s="113" t="s">
        <v>273</v>
      </c>
      <c r="M792" s="113" t="s">
        <v>274</v>
      </c>
      <c r="N792" s="13" t="s">
        <v>9372</v>
      </c>
      <c r="O792" s="13" t="s">
        <v>262</v>
      </c>
      <c r="P792" s="13" t="s">
        <v>678</v>
      </c>
      <c r="Q792" s="13" t="s">
        <v>10563</v>
      </c>
      <c r="R792" s="109" t="s">
        <v>8306</v>
      </c>
      <c r="S792" s="109" t="s">
        <v>9022</v>
      </c>
      <c r="T792" s="112"/>
      <c r="U792" s="112"/>
      <c r="V792" s="112"/>
      <c r="W792" s="112"/>
    </row>
    <row r="793" spans="1:23" s="2" customFormat="1" ht="12">
      <c r="A793" s="11"/>
      <c r="B793" s="108"/>
      <c r="C793" s="109"/>
      <c r="D793" s="14" t="str">
        <f>D792</f>
        <v>Gobee Bike</v>
      </c>
      <c r="E793" s="109"/>
      <c r="F793" s="112"/>
      <c r="G793" s="109"/>
      <c r="H793" s="109"/>
      <c r="I793" s="109"/>
      <c r="J793" s="109"/>
      <c r="K793" s="109"/>
      <c r="L793" s="109"/>
      <c r="M793" s="109"/>
      <c r="N793" s="13" t="s">
        <v>10564</v>
      </c>
      <c r="O793" s="15" t="s">
        <v>326</v>
      </c>
      <c r="P793" s="15" t="s">
        <v>261</v>
      </c>
      <c r="Q793" s="13" t="s">
        <v>10565</v>
      </c>
      <c r="R793" s="109"/>
      <c r="S793" s="109"/>
      <c r="T793" s="112"/>
      <c r="U793" s="112"/>
      <c r="V793" s="112"/>
      <c r="W793" s="112"/>
    </row>
    <row r="794" spans="1:23" s="2" customFormat="1" ht="12">
      <c r="A794" s="11"/>
      <c r="B794" s="108"/>
      <c r="C794" s="109" t="s">
        <v>3579</v>
      </c>
      <c r="D794" s="14" t="s">
        <v>3805</v>
      </c>
      <c r="E794" s="113" t="s">
        <v>3806</v>
      </c>
      <c r="F794" s="114" t="s">
        <v>3807</v>
      </c>
      <c r="G794" s="109"/>
      <c r="H794" s="109" t="s">
        <v>3808</v>
      </c>
      <c r="I794" s="109" t="s">
        <v>3584</v>
      </c>
      <c r="J794" s="113" t="s">
        <v>1502</v>
      </c>
      <c r="K794" s="113" t="s">
        <v>272</v>
      </c>
      <c r="L794" s="113" t="s">
        <v>1859</v>
      </c>
      <c r="M794" s="113" t="s">
        <v>8193</v>
      </c>
      <c r="N794" s="13" t="s">
        <v>3579</v>
      </c>
      <c r="O794" s="13" t="s">
        <v>257</v>
      </c>
      <c r="P794" s="13" t="s">
        <v>522</v>
      </c>
      <c r="Q794" s="15" t="s">
        <v>3812</v>
      </c>
      <c r="R794" s="109" t="s">
        <v>10566</v>
      </c>
      <c r="S794" s="109" t="s">
        <v>3334</v>
      </c>
      <c r="T794" s="114" t="s">
        <v>3815</v>
      </c>
      <c r="U794" s="112"/>
      <c r="V794" s="112"/>
      <c r="W794" s="112"/>
    </row>
    <row r="795" spans="1:23" s="2" customFormat="1" ht="12">
      <c r="A795" s="11"/>
      <c r="B795" s="108"/>
      <c r="C795" s="109"/>
      <c r="D795" s="14" t="str">
        <f>D794</f>
        <v>桥彼道Qupital</v>
      </c>
      <c r="E795" s="109"/>
      <c r="F795" s="112"/>
      <c r="G795" s="109"/>
      <c r="H795" s="109"/>
      <c r="I795" s="109"/>
      <c r="J795" s="109"/>
      <c r="K795" s="109"/>
      <c r="L795" s="109"/>
      <c r="M795" s="109"/>
      <c r="N795" s="13" t="s">
        <v>10567</v>
      </c>
      <c r="O795" s="13" t="s">
        <v>262</v>
      </c>
      <c r="P795" s="13" t="s">
        <v>322</v>
      </c>
      <c r="Q795" s="15" t="s">
        <v>3816</v>
      </c>
      <c r="R795" s="109"/>
      <c r="S795" s="109"/>
      <c r="T795" s="112"/>
      <c r="U795" s="112"/>
      <c r="V795" s="112"/>
      <c r="W795" s="112"/>
    </row>
    <row r="796" spans="1:23" s="2" customFormat="1" ht="12">
      <c r="A796" s="11"/>
      <c r="B796" s="108"/>
      <c r="C796" s="109"/>
      <c r="D796" s="14" t="str">
        <f>D795</f>
        <v>桥彼道Qupital</v>
      </c>
      <c r="E796" s="109"/>
      <c r="F796" s="112"/>
      <c r="G796" s="109"/>
      <c r="H796" s="109"/>
      <c r="I796" s="109"/>
      <c r="J796" s="109"/>
      <c r="K796" s="109"/>
      <c r="L796" s="109"/>
      <c r="M796" s="109"/>
      <c r="N796" s="13" t="s">
        <v>9077</v>
      </c>
      <c r="O796" s="15" t="s">
        <v>437</v>
      </c>
      <c r="P796" s="13" t="s">
        <v>527</v>
      </c>
      <c r="Q796" s="13" t="s">
        <v>3817</v>
      </c>
      <c r="R796" s="109"/>
      <c r="S796" s="109"/>
      <c r="T796" s="112"/>
      <c r="U796" s="112"/>
      <c r="V796" s="112"/>
      <c r="W796" s="112"/>
    </row>
    <row r="797" spans="1:23" s="2" customFormat="1" ht="12">
      <c r="A797" s="11"/>
      <c r="B797" s="108"/>
      <c r="C797" s="109" t="s">
        <v>10393</v>
      </c>
      <c r="D797" s="14" t="s">
        <v>10568</v>
      </c>
      <c r="E797" s="113" t="s">
        <v>10569</v>
      </c>
      <c r="F797" s="114" t="s">
        <v>10570</v>
      </c>
      <c r="G797" s="113" t="s">
        <v>10571</v>
      </c>
      <c r="H797" s="109" t="s">
        <v>10572</v>
      </c>
      <c r="I797" s="109" t="s">
        <v>3584</v>
      </c>
      <c r="J797" s="113" t="s">
        <v>1192</v>
      </c>
      <c r="K797" s="113" t="s">
        <v>272</v>
      </c>
      <c r="L797" s="113" t="s">
        <v>944</v>
      </c>
      <c r="M797" s="113" t="s">
        <v>1423</v>
      </c>
      <c r="N797" s="13" t="s">
        <v>10393</v>
      </c>
      <c r="O797" s="13" t="s">
        <v>565</v>
      </c>
      <c r="P797" s="13" t="s">
        <v>10573</v>
      </c>
      <c r="Q797" s="13" t="s">
        <v>10574</v>
      </c>
      <c r="R797" s="109" t="s">
        <v>10575</v>
      </c>
      <c r="S797" s="109" t="s">
        <v>10576</v>
      </c>
      <c r="T797" s="114" t="s">
        <v>10577</v>
      </c>
      <c r="U797" s="114" t="s">
        <v>10578</v>
      </c>
      <c r="V797" s="112"/>
      <c r="W797" s="112" t="s">
        <v>10579</v>
      </c>
    </row>
    <row r="798" spans="1:23" s="2" customFormat="1" ht="12">
      <c r="A798" s="11"/>
      <c r="B798" s="108"/>
      <c r="C798" s="109"/>
      <c r="D798" s="14" t="str">
        <f t="shared" ref="D798:D805" si="24">D797</f>
        <v>耐能Kneron</v>
      </c>
      <c r="E798" s="109"/>
      <c r="F798" s="112"/>
      <c r="G798" s="109"/>
      <c r="H798" s="109"/>
      <c r="I798" s="109"/>
      <c r="J798" s="109"/>
      <c r="K798" s="109"/>
      <c r="L798" s="109"/>
      <c r="M798" s="109"/>
      <c r="N798" s="13" t="s">
        <v>10580</v>
      </c>
      <c r="O798" s="13" t="s">
        <v>257</v>
      </c>
      <c r="P798" s="13" t="s">
        <v>987</v>
      </c>
      <c r="Q798" s="13" t="s">
        <v>10581</v>
      </c>
      <c r="R798" s="109"/>
      <c r="S798" s="109"/>
      <c r="T798" s="112"/>
      <c r="U798" s="112"/>
      <c r="V798" s="112"/>
      <c r="W798" s="112"/>
    </row>
    <row r="799" spans="1:23" s="2" customFormat="1" ht="12">
      <c r="A799" s="11"/>
      <c r="B799" s="108"/>
      <c r="C799" s="109"/>
      <c r="D799" s="14" t="str">
        <f t="shared" si="24"/>
        <v>耐能Kneron</v>
      </c>
      <c r="E799" s="109"/>
      <c r="F799" s="112"/>
      <c r="G799" s="109"/>
      <c r="H799" s="109"/>
      <c r="I799" s="109"/>
      <c r="J799" s="109"/>
      <c r="K799" s="109"/>
      <c r="L799" s="109"/>
      <c r="M799" s="109"/>
      <c r="N799" s="13" t="s">
        <v>10582</v>
      </c>
      <c r="O799" s="15" t="s">
        <v>285</v>
      </c>
      <c r="P799" s="13" t="s">
        <v>3699</v>
      </c>
      <c r="Q799" s="15" t="s">
        <v>10583</v>
      </c>
      <c r="R799" s="109"/>
      <c r="S799" s="109"/>
      <c r="T799" s="112"/>
      <c r="U799" s="112"/>
      <c r="V799" s="112"/>
      <c r="W799" s="112"/>
    </row>
    <row r="800" spans="1:23" s="2" customFormat="1" ht="12">
      <c r="A800" s="11"/>
      <c r="B800" s="108"/>
      <c r="C800" s="109"/>
      <c r="D800" s="14" t="str">
        <f t="shared" si="24"/>
        <v>耐能Kneron</v>
      </c>
      <c r="E800" s="109"/>
      <c r="F800" s="112"/>
      <c r="G800" s="109"/>
      <c r="H800" s="109"/>
      <c r="I800" s="109"/>
      <c r="J800" s="109"/>
      <c r="K800" s="109"/>
      <c r="L800" s="109"/>
      <c r="M800" s="109"/>
      <c r="N800" s="13" t="s">
        <v>10584</v>
      </c>
      <c r="O800" s="15" t="s">
        <v>285</v>
      </c>
      <c r="P800" s="15" t="s">
        <v>276</v>
      </c>
      <c r="Q800" s="15" t="s">
        <v>10585</v>
      </c>
      <c r="R800" s="109"/>
      <c r="S800" s="109"/>
      <c r="T800" s="112"/>
      <c r="U800" s="112"/>
      <c r="V800" s="112"/>
      <c r="W800" s="112"/>
    </row>
    <row r="801" spans="1:23" s="2" customFormat="1" ht="12">
      <c r="A801" s="11"/>
      <c r="B801" s="108"/>
      <c r="C801" s="109"/>
      <c r="D801" s="14" t="str">
        <f t="shared" si="24"/>
        <v>耐能Kneron</v>
      </c>
      <c r="E801" s="109"/>
      <c r="F801" s="112"/>
      <c r="G801" s="109"/>
      <c r="H801" s="109"/>
      <c r="I801" s="109"/>
      <c r="J801" s="109"/>
      <c r="K801" s="109"/>
      <c r="L801" s="109"/>
      <c r="M801" s="109"/>
      <c r="N801" s="13" t="s">
        <v>10586</v>
      </c>
      <c r="O801" s="13" t="s">
        <v>260</v>
      </c>
      <c r="P801" s="13" t="s">
        <v>676</v>
      </c>
      <c r="Q801" s="13" t="s">
        <v>10587</v>
      </c>
      <c r="R801" s="109"/>
      <c r="S801" s="109"/>
      <c r="T801" s="112"/>
      <c r="U801" s="112"/>
      <c r="V801" s="112"/>
      <c r="W801" s="112"/>
    </row>
    <row r="802" spans="1:23" s="2" customFormat="1" ht="12">
      <c r="A802" s="11"/>
      <c r="B802" s="108"/>
      <c r="C802" s="109"/>
      <c r="D802" s="14" t="str">
        <f t="shared" si="24"/>
        <v>耐能Kneron</v>
      </c>
      <c r="E802" s="109"/>
      <c r="F802" s="112"/>
      <c r="G802" s="109"/>
      <c r="H802" s="109"/>
      <c r="I802" s="109"/>
      <c r="J802" s="109"/>
      <c r="K802" s="109"/>
      <c r="L802" s="109"/>
      <c r="M802" s="109"/>
      <c r="N802" s="13" t="s">
        <v>10588</v>
      </c>
      <c r="O802" s="13" t="s">
        <v>260</v>
      </c>
      <c r="P802" s="13" t="s">
        <v>1669</v>
      </c>
      <c r="Q802" s="13" t="s">
        <v>10587</v>
      </c>
      <c r="R802" s="109"/>
      <c r="S802" s="109"/>
      <c r="T802" s="112"/>
      <c r="U802" s="112"/>
      <c r="V802" s="112"/>
      <c r="W802" s="112"/>
    </row>
    <row r="803" spans="1:23" s="2" customFormat="1" ht="12">
      <c r="A803" s="11"/>
      <c r="B803" s="108"/>
      <c r="C803" s="109"/>
      <c r="D803" s="14" t="str">
        <f t="shared" si="24"/>
        <v>耐能Kneron</v>
      </c>
      <c r="E803" s="109"/>
      <c r="F803" s="112"/>
      <c r="G803" s="109"/>
      <c r="H803" s="109"/>
      <c r="I803" s="109"/>
      <c r="J803" s="109"/>
      <c r="K803" s="109"/>
      <c r="L803" s="109"/>
      <c r="M803" s="109"/>
      <c r="N803" s="13" t="s">
        <v>10546</v>
      </c>
      <c r="O803" s="13" t="s">
        <v>262</v>
      </c>
      <c r="P803" s="15" t="s">
        <v>258</v>
      </c>
      <c r="Q803" s="15" t="s">
        <v>10589</v>
      </c>
      <c r="R803" s="109"/>
      <c r="S803" s="109"/>
      <c r="T803" s="112"/>
      <c r="U803" s="112"/>
      <c r="V803" s="112"/>
      <c r="W803" s="112"/>
    </row>
    <row r="804" spans="1:23" s="2" customFormat="1" ht="12">
      <c r="A804" s="11"/>
      <c r="B804" s="108"/>
      <c r="C804" s="109"/>
      <c r="D804" s="14" t="str">
        <f t="shared" si="24"/>
        <v>耐能Kneron</v>
      </c>
      <c r="E804" s="109"/>
      <c r="F804" s="112"/>
      <c r="G804" s="109"/>
      <c r="H804" s="109"/>
      <c r="I804" s="109"/>
      <c r="J804" s="109"/>
      <c r="K804" s="109"/>
      <c r="L804" s="109"/>
      <c r="M804" s="109"/>
      <c r="N804" s="13" t="s">
        <v>4409</v>
      </c>
      <c r="O804" s="13" t="s">
        <v>721</v>
      </c>
      <c r="P804" s="13" t="s">
        <v>10590</v>
      </c>
      <c r="Q804" s="15" t="s">
        <v>10591</v>
      </c>
      <c r="R804" s="109"/>
      <c r="S804" s="109"/>
      <c r="T804" s="112"/>
      <c r="U804" s="112"/>
      <c r="V804" s="112"/>
      <c r="W804" s="112"/>
    </row>
    <row r="805" spans="1:23" s="2" customFormat="1" ht="12">
      <c r="A805" s="11"/>
      <c r="B805" s="108"/>
      <c r="C805" s="109"/>
      <c r="D805" s="14" t="str">
        <f t="shared" si="24"/>
        <v>耐能Kneron</v>
      </c>
      <c r="E805" s="109"/>
      <c r="F805" s="112"/>
      <c r="G805" s="109"/>
      <c r="H805" s="109"/>
      <c r="I805" s="109"/>
      <c r="J805" s="109"/>
      <c r="K805" s="109"/>
      <c r="L805" s="109"/>
      <c r="M805" s="109"/>
      <c r="N805" s="13" t="s">
        <v>10592</v>
      </c>
      <c r="O805" s="15" t="s">
        <v>326</v>
      </c>
      <c r="P805" s="15" t="s">
        <v>252</v>
      </c>
      <c r="Q805" s="13" t="s">
        <v>253</v>
      </c>
      <c r="R805" s="109"/>
      <c r="S805" s="109"/>
      <c r="T805" s="112"/>
      <c r="U805" s="112"/>
      <c r="V805" s="112"/>
      <c r="W805" s="112"/>
    </row>
    <row r="806" spans="1:23" s="2" customFormat="1" ht="12">
      <c r="A806" s="11"/>
      <c r="B806" s="108"/>
      <c r="C806" s="109" t="s">
        <v>10593</v>
      </c>
      <c r="D806" s="14" t="s">
        <v>10594</v>
      </c>
      <c r="E806" s="109" t="s">
        <v>10594</v>
      </c>
      <c r="F806" s="112" t="s">
        <v>10595</v>
      </c>
      <c r="G806" s="113" t="s">
        <v>10596</v>
      </c>
      <c r="H806" s="109" t="s">
        <v>10597</v>
      </c>
      <c r="I806" s="109" t="s">
        <v>2518</v>
      </c>
      <c r="J806" s="113" t="s">
        <v>385</v>
      </c>
      <c r="K806" s="113" t="s">
        <v>272</v>
      </c>
      <c r="L806" s="113" t="s">
        <v>1798</v>
      </c>
      <c r="M806" s="113" t="s">
        <v>9876</v>
      </c>
      <c r="N806" s="13" t="s">
        <v>10593</v>
      </c>
      <c r="O806" s="13" t="s">
        <v>257</v>
      </c>
      <c r="P806" s="13" t="s">
        <v>637</v>
      </c>
      <c r="Q806" s="15" t="s">
        <v>10424</v>
      </c>
      <c r="R806" s="109" t="s">
        <v>9856</v>
      </c>
      <c r="S806" s="109" t="s">
        <v>1078</v>
      </c>
      <c r="T806" s="112" t="s">
        <v>10598</v>
      </c>
      <c r="U806" s="114" t="s">
        <v>10599</v>
      </c>
      <c r="V806" s="112" t="s">
        <v>10600</v>
      </c>
      <c r="W806" s="112" t="s">
        <v>10601</v>
      </c>
    </row>
    <row r="807" spans="1:23" s="2" customFormat="1" ht="12">
      <c r="A807" s="11"/>
      <c r="B807" s="108"/>
      <c r="C807" s="109"/>
      <c r="D807" s="14" t="str">
        <f>D806</f>
        <v>SpaceCycle</v>
      </c>
      <c r="E807" s="109"/>
      <c r="F807" s="112"/>
      <c r="G807" s="109"/>
      <c r="H807" s="109"/>
      <c r="I807" s="109"/>
      <c r="J807" s="109"/>
      <c r="K807" s="109"/>
      <c r="L807" s="109"/>
      <c r="M807" s="109"/>
      <c r="N807" s="13" t="s">
        <v>3350</v>
      </c>
      <c r="O807" s="15" t="s">
        <v>326</v>
      </c>
      <c r="P807" s="15" t="s">
        <v>252</v>
      </c>
      <c r="Q807" s="13" t="s">
        <v>253</v>
      </c>
      <c r="R807" s="109"/>
      <c r="S807" s="109"/>
      <c r="T807" s="112"/>
      <c r="U807" s="112"/>
      <c r="V807" s="112"/>
      <c r="W807" s="112"/>
    </row>
    <row r="808" spans="1:23" s="2" customFormat="1" ht="12">
      <c r="A808" s="11"/>
      <c r="B808" s="108"/>
      <c r="C808" s="109" t="s">
        <v>10487</v>
      </c>
      <c r="D808" s="14" t="s">
        <v>10602</v>
      </c>
      <c r="E808" s="109" t="s">
        <v>10602</v>
      </c>
      <c r="F808" s="112" t="s">
        <v>10603</v>
      </c>
      <c r="G808" s="109"/>
      <c r="H808" s="109" t="s">
        <v>10604</v>
      </c>
      <c r="I808" s="109" t="s">
        <v>1944</v>
      </c>
      <c r="J808" s="113" t="s">
        <v>1931</v>
      </c>
      <c r="K808" s="113" t="s">
        <v>272</v>
      </c>
      <c r="L808" s="113" t="s">
        <v>273</v>
      </c>
      <c r="M808" s="113" t="s">
        <v>274</v>
      </c>
      <c r="N808" s="13" t="s">
        <v>10487</v>
      </c>
      <c r="O808" s="13" t="s">
        <v>317</v>
      </c>
      <c r="P808" s="13" t="s">
        <v>320</v>
      </c>
      <c r="Q808" s="15" t="s">
        <v>10605</v>
      </c>
      <c r="R808" s="109" t="s">
        <v>448</v>
      </c>
      <c r="S808" s="109" t="s">
        <v>3452</v>
      </c>
      <c r="T808" s="112" t="s">
        <v>10606</v>
      </c>
      <c r="U808" s="112"/>
      <c r="V808" s="112"/>
      <c r="W808" s="112"/>
    </row>
    <row r="809" spans="1:23" s="2" customFormat="1" ht="12">
      <c r="A809" s="11"/>
      <c r="B809" s="108"/>
      <c r="C809" s="109"/>
      <c r="D809" s="14" t="str">
        <f>D808</f>
        <v>Optibus</v>
      </c>
      <c r="E809" s="109"/>
      <c r="F809" s="112"/>
      <c r="G809" s="109"/>
      <c r="H809" s="109"/>
      <c r="I809" s="109"/>
      <c r="J809" s="109"/>
      <c r="K809" s="109"/>
      <c r="L809" s="109"/>
      <c r="M809" s="109"/>
      <c r="N809" s="13" t="s">
        <v>10607</v>
      </c>
      <c r="O809" s="13" t="s">
        <v>251</v>
      </c>
      <c r="P809" s="13" t="s">
        <v>10608</v>
      </c>
      <c r="Q809" s="13" t="s">
        <v>10609</v>
      </c>
      <c r="R809" s="109"/>
      <c r="S809" s="109"/>
      <c r="T809" s="112"/>
      <c r="U809" s="112"/>
      <c r="V809" s="112"/>
      <c r="W809" s="112"/>
    </row>
    <row r="810" spans="1:23" s="2" customFormat="1" ht="12">
      <c r="A810" s="11"/>
      <c r="B810" s="108"/>
      <c r="C810" s="109"/>
      <c r="D810" s="14" t="str">
        <f>D809</f>
        <v>Optibus</v>
      </c>
      <c r="E810" s="109"/>
      <c r="F810" s="112"/>
      <c r="G810" s="109"/>
      <c r="H810" s="109"/>
      <c r="I810" s="109"/>
      <c r="J810" s="109"/>
      <c r="K810" s="109"/>
      <c r="L810" s="109"/>
      <c r="M810" s="109"/>
      <c r="N810" s="13" t="s">
        <v>10610</v>
      </c>
      <c r="O810" s="13" t="s">
        <v>257</v>
      </c>
      <c r="P810" s="13" t="s">
        <v>676</v>
      </c>
      <c r="Q810" s="13" t="s">
        <v>10611</v>
      </c>
      <c r="R810" s="109"/>
      <c r="S810" s="109"/>
      <c r="T810" s="112"/>
      <c r="U810" s="112"/>
      <c r="V810" s="112"/>
      <c r="W810" s="112"/>
    </row>
    <row r="811" spans="1:23" s="2" customFormat="1" ht="12">
      <c r="A811" s="11"/>
      <c r="B811" s="108"/>
      <c r="C811" s="109"/>
      <c r="D811" s="14" t="str">
        <f>D810</f>
        <v>Optibus</v>
      </c>
      <c r="E811" s="109"/>
      <c r="F811" s="112"/>
      <c r="G811" s="109"/>
      <c r="H811" s="109"/>
      <c r="I811" s="109"/>
      <c r="J811" s="109"/>
      <c r="K811" s="109"/>
      <c r="L811" s="109"/>
      <c r="M811" s="109"/>
      <c r="N811" s="13" t="s">
        <v>10612</v>
      </c>
      <c r="O811" s="13" t="s">
        <v>262</v>
      </c>
      <c r="P811" s="13" t="s">
        <v>567</v>
      </c>
      <c r="Q811" s="13" t="s">
        <v>10613</v>
      </c>
      <c r="R811" s="109"/>
      <c r="S811" s="109"/>
      <c r="T811" s="112"/>
      <c r="U811" s="112"/>
      <c r="V811" s="112"/>
      <c r="W811" s="112"/>
    </row>
    <row r="812" spans="1:23" s="2" customFormat="1" ht="12">
      <c r="A812" s="11"/>
      <c r="B812" s="108"/>
      <c r="C812" s="109" t="s">
        <v>10614</v>
      </c>
      <c r="D812" s="14" t="s">
        <v>10615</v>
      </c>
      <c r="E812" s="109" t="s">
        <v>10615</v>
      </c>
      <c r="F812" s="112" t="s">
        <v>10616</v>
      </c>
      <c r="G812" s="109" t="s">
        <v>10617</v>
      </c>
      <c r="H812" s="109" t="s">
        <v>10618</v>
      </c>
      <c r="I812" s="109" t="s">
        <v>2359</v>
      </c>
      <c r="J812" s="113" t="s">
        <v>1502</v>
      </c>
      <c r="K812" s="113" t="s">
        <v>272</v>
      </c>
      <c r="L812" s="113" t="s">
        <v>350</v>
      </c>
      <c r="M812" s="113" t="s">
        <v>2314</v>
      </c>
      <c r="N812" s="13" t="s">
        <v>10614</v>
      </c>
      <c r="O812" s="13" t="s">
        <v>262</v>
      </c>
      <c r="P812" s="13" t="s">
        <v>337</v>
      </c>
      <c r="Q812" s="13" t="s">
        <v>10619</v>
      </c>
      <c r="R812" s="109" t="s">
        <v>10620</v>
      </c>
      <c r="S812" s="109" t="s">
        <v>339</v>
      </c>
      <c r="T812" s="112"/>
      <c r="U812" s="112"/>
      <c r="V812" s="112"/>
      <c r="W812" s="112"/>
    </row>
    <row r="813" spans="1:23" s="2" customFormat="1" ht="12">
      <c r="A813" s="11"/>
      <c r="B813" s="108"/>
      <c r="C813" s="109"/>
      <c r="D813" s="14" t="str">
        <f>D812</f>
        <v>Grana</v>
      </c>
      <c r="E813" s="109"/>
      <c r="F813" s="112"/>
      <c r="G813" s="109"/>
      <c r="H813" s="109"/>
      <c r="I813" s="109"/>
      <c r="J813" s="109"/>
      <c r="K813" s="109"/>
      <c r="L813" s="109"/>
      <c r="M813" s="109"/>
      <c r="N813" s="13" t="s">
        <v>10621</v>
      </c>
      <c r="O813" s="13" t="s">
        <v>721</v>
      </c>
      <c r="P813" s="13" t="s">
        <v>1938</v>
      </c>
      <c r="Q813" s="13" t="s">
        <v>10622</v>
      </c>
      <c r="R813" s="109"/>
      <c r="S813" s="109"/>
      <c r="T813" s="112"/>
      <c r="U813" s="112"/>
      <c r="V813" s="112"/>
      <c r="W813" s="112"/>
    </row>
    <row r="814" spans="1:23" s="2" customFormat="1" ht="12">
      <c r="A814" s="11"/>
      <c r="B814" s="108"/>
      <c r="C814" s="109"/>
      <c r="D814" s="14" t="str">
        <f>D813</f>
        <v>Grana</v>
      </c>
      <c r="E814" s="109"/>
      <c r="F814" s="112"/>
      <c r="G814" s="109"/>
      <c r="H814" s="109"/>
      <c r="I814" s="109"/>
      <c r="J814" s="109"/>
      <c r="K814" s="109"/>
      <c r="L814" s="109"/>
      <c r="M814" s="109"/>
      <c r="N814" s="13" t="s">
        <v>1145</v>
      </c>
      <c r="O814" s="15" t="s">
        <v>326</v>
      </c>
      <c r="P814" s="13" t="s">
        <v>1580</v>
      </c>
      <c r="Q814" s="13" t="s">
        <v>10623</v>
      </c>
      <c r="R814" s="109"/>
      <c r="S814" s="109"/>
      <c r="T814" s="112"/>
      <c r="U814" s="112"/>
      <c r="V814" s="112"/>
      <c r="W814" s="112"/>
    </row>
    <row r="815" spans="1:23" s="2" customFormat="1" ht="48">
      <c r="A815" s="11"/>
      <c r="B815" s="108"/>
      <c r="C815" s="13" t="s">
        <v>10468</v>
      </c>
      <c r="D815" s="19" t="s">
        <v>10624</v>
      </c>
      <c r="E815" s="13" t="s">
        <v>10625</v>
      </c>
      <c r="F815" s="18" t="s">
        <v>10626</v>
      </c>
      <c r="G815" s="13"/>
      <c r="H815" s="13" t="s">
        <v>10627</v>
      </c>
      <c r="I815" s="13" t="s">
        <v>1944</v>
      </c>
      <c r="J815" s="15" t="s">
        <v>10562</v>
      </c>
      <c r="K815" s="15" t="s">
        <v>272</v>
      </c>
      <c r="L815" s="15" t="s">
        <v>672</v>
      </c>
      <c r="M815" s="15" t="s">
        <v>909</v>
      </c>
      <c r="N815" s="13" t="s">
        <v>10468</v>
      </c>
      <c r="O815" s="13" t="s">
        <v>262</v>
      </c>
      <c r="P815" s="15" t="s">
        <v>261</v>
      </c>
      <c r="Q815" s="15" t="s">
        <v>10424</v>
      </c>
      <c r="R815" s="13" t="s">
        <v>3291</v>
      </c>
      <c r="S815" s="13" t="s">
        <v>3371</v>
      </c>
      <c r="T815" s="18"/>
      <c r="U815" s="18"/>
      <c r="V815" s="18" t="s">
        <v>10628</v>
      </c>
      <c r="W815" s="18" t="s">
        <v>10629</v>
      </c>
    </row>
    <row r="816" spans="1:23" s="2" customFormat="1" ht="12">
      <c r="A816" s="11"/>
      <c r="B816" s="108"/>
      <c r="C816" s="109" t="s">
        <v>9497</v>
      </c>
      <c r="D816" s="14" t="s">
        <v>10630</v>
      </c>
      <c r="E816" s="109" t="s">
        <v>10630</v>
      </c>
      <c r="F816" s="112" t="s">
        <v>10631</v>
      </c>
      <c r="G816" s="109"/>
      <c r="H816" s="109" t="s">
        <v>10632</v>
      </c>
      <c r="I816" s="109" t="s">
        <v>2887</v>
      </c>
      <c r="J816" s="113" t="s">
        <v>8877</v>
      </c>
      <c r="K816" s="113" t="s">
        <v>272</v>
      </c>
      <c r="L816" s="113" t="s">
        <v>407</v>
      </c>
      <c r="M816" s="113" t="s">
        <v>7980</v>
      </c>
      <c r="N816" s="13" t="s">
        <v>9497</v>
      </c>
      <c r="O816" s="15" t="s">
        <v>285</v>
      </c>
      <c r="P816" s="15" t="s">
        <v>261</v>
      </c>
      <c r="Q816" s="15" t="s">
        <v>10633</v>
      </c>
      <c r="R816" s="109" t="s">
        <v>10634</v>
      </c>
      <c r="S816" s="109" t="s">
        <v>339</v>
      </c>
      <c r="T816" s="112" t="s">
        <v>10635</v>
      </c>
      <c r="U816" s="112"/>
      <c r="V816" s="112"/>
      <c r="W816" s="112"/>
    </row>
    <row r="817" spans="1:23" s="2" customFormat="1" ht="12">
      <c r="A817" s="11"/>
      <c r="B817" s="108"/>
      <c r="C817" s="109"/>
      <c r="D817" s="14" t="str">
        <f>D816</f>
        <v>GetLinks</v>
      </c>
      <c r="E817" s="109"/>
      <c r="F817" s="112"/>
      <c r="G817" s="109"/>
      <c r="H817" s="109"/>
      <c r="I817" s="109"/>
      <c r="J817" s="109"/>
      <c r="K817" s="109"/>
      <c r="L817" s="109"/>
      <c r="M817" s="109"/>
      <c r="N817" s="13" t="s">
        <v>9964</v>
      </c>
      <c r="O817" s="13" t="s">
        <v>262</v>
      </c>
      <c r="P817" s="15" t="s">
        <v>2879</v>
      </c>
      <c r="Q817" s="13" t="s">
        <v>10636</v>
      </c>
      <c r="R817" s="109"/>
      <c r="S817" s="109"/>
      <c r="T817" s="112"/>
      <c r="U817" s="112"/>
      <c r="V817" s="112"/>
      <c r="W817" s="112"/>
    </row>
    <row r="818" spans="1:23" s="2" customFormat="1" ht="12">
      <c r="A818" s="11"/>
      <c r="B818" s="108"/>
      <c r="C818" s="109"/>
      <c r="D818" s="14" t="str">
        <f>D817</f>
        <v>GetLinks</v>
      </c>
      <c r="E818" s="109"/>
      <c r="F818" s="112"/>
      <c r="G818" s="109"/>
      <c r="H818" s="109"/>
      <c r="I818" s="109"/>
      <c r="J818" s="109"/>
      <c r="K818" s="109"/>
      <c r="L818" s="109"/>
      <c r="M818" s="109"/>
      <c r="N818" s="13" t="s">
        <v>3235</v>
      </c>
      <c r="O818" s="15" t="s">
        <v>326</v>
      </c>
      <c r="P818" s="13" t="s">
        <v>10637</v>
      </c>
      <c r="Q818" s="13" t="s">
        <v>10638</v>
      </c>
      <c r="R818" s="109"/>
      <c r="S818" s="109"/>
      <c r="T818" s="112"/>
      <c r="U818" s="112"/>
      <c r="V818" s="112"/>
      <c r="W818" s="112"/>
    </row>
    <row r="819" spans="1:23" s="2" customFormat="1" ht="12">
      <c r="A819" s="11"/>
      <c r="B819" s="108"/>
      <c r="C819" s="109"/>
      <c r="D819" s="14" t="str">
        <f>D818</f>
        <v>GetLinks</v>
      </c>
      <c r="E819" s="109"/>
      <c r="F819" s="112"/>
      <c r="G819" s="109"/>
      <c r="H819" s="109"/>
      <c r="I819" s="109"/>
      <c r="J819" s="109"/>
      <c r="K819" s="109"/>
      <c r="L819" s="109"/>
      <c r="M819" s="109"/>
      <c r="N819" s="13" t="s">
        <v>7991</v>
      </c>
      <c r="O819" s="15" t="s">
        <v>437</v>
      </c>
      <c r="P819" s="13" t="s">
        <v>10639</v>
      </c>
      <c r="Q819" s="13" t="s">
        <v>10640</v>
      </c>
      <c r="R819" s="109"/>
      <c r="S819" s="109"/>
      <c r="T819" s="112"/>
      <c r="U819" s="112"/>
      <c r="V819" s="112"/>
      <c r="W819" s="112"/>
    </row>
    <row r="820" spans="1:23" s="2" customFormat="1" ht="12">
      <c r="A820" s="11"/>
      <c r="B820" s="108"/>
      <c r="C820" s="109" t="s">
        <v>10641</v>
      </c>
      <c r="D820" s="14" t="s">
        <v>10642</v>
      </c>
      <c r="E820" s="109" t="s">
        <v>10642</v>
      </c>
      <c r="F820" s="112" t="s">
        <v>10643</v>
      </c>
      <c r="G820" s="109"/>
      <c r="H820" s="109" t="s">
        <v>10644</v>
      </c>
      <c r="I820" s="109" t="s">
        <v>10645</v>
      </c>
      <c r="J820" s="113" t="s">
        <v>1564</v>
      </c>
      <c r="K820" s="113" t="s">
        <v>272</v>
      </c>
      <c r="L820" s="113" t="s">
        <v>273</v>
      </c>
      <c r="M820" s="113" t="s">
        <v>3788</v>
      </c>
      <c r="N820" s="13" t="s">
        <v>10641</v>
      </c>
      <c r="O820" s="13" t="s">
        <v>4142</v>
      </c>
      <c r="P820" s="15" t="s">
        <v>258</v>
      </c>
      <c r="Q820" s="15" t="s">
        <v>10646</v>
      </c>
      <c r="R820" s="109" t="s">
        <v>7982</v>
      </c>
      <c r="S820" s="109" t="s">
        <v>551</v>
      </c>
      <c r="T820" s="114" t="s">
        <v>10647</v>
      </c>
      <c r="U820" s="112"/>
      <c r="V820" s="112"/>
      <c r="W820" s="112"/>
    </row>
    <row r="821" spans="1:23" s="2" customFormat="1" ht="12">
      <c r="A821" s="11"/>
      <c r="B821" s="108"/>
      <c r="C821" s="109"/>
      <c r="D821" s="14" t="str">
        <f>D820</f>
        <v>AutoX</v>
      </c>
      <c r="E821" s="109"/>
      <c r="F821" s="112"/>
      <c r="G821" s="109"/>
      <c r="H821" s="109"/>
      <c r="I821" s="109"/>
      <c r="J821" s="109"/>
      <c r="K821" s="109"/>
      <c r="L821" s="109"/>
      <c r="M821" s="109"/>
      <c r="N821" s="13" t="s">
        <v>10648</v>
      </c>
      <c r="O821" s="13" t="s">
        <v>260</v>
      </c>
      <c r="P821" s="13" t="s">
        <v>320</v>
      </c>
      <c r="Q821" s="15" t="s">
        <v>10649</v>
      </c>
      <c r="R821" s="109"/>
      <c r="S821" s="109"/>
      <c r="T821" s="112"/>
      <c r="U821" s="112"/>
      <c r="V821" s="112"/>
      <c r="W821" s="112"/>
    </row>
    <row r="822" spans="1:23" s="2" customFormat="1" ht="12">
      <c r="A822" s="11"/>
      <c r="B822" s="108"/>
      <c r="C822" s="109"/>
      <c r="D822" s="14" t="str">
        <f>D821</f>
        <v>AutoX</v>
      </c>
      <c r="E822" s="109"/>
      <c r="F822" s="112"/>
      <c r="G822" s="109"/>
      <c r="H822" s="109"/>
      <c r="I822" s="109"/>
      <c r="J822" s="109"/>
      <c r="K822" s="109"/>
      <c r="L822" s="109"/>
      <c r="M822" s="109"/>
      <c r="N822" s="13" t="s">
        <v>10650</v>
      </c>
      <c r="O822" s="13" t="s">
        <v>260</v>
      </c>
      <c r="P822" s="15" t="s">
        <v>258</v>
      </c>
      <c r="Q822" s="15" t="s">
        <v>10651</v>
      </c>
      <c r="R822" s="109"/>
      <c r="S822" s="109"/>
      <c r="T822" s="112"/>
      <c r="U822" s="112"/>
      <c r="V822" s="112"/>
      <c r="W822" s="112"/>
    </row>
    <row r="823" spans="1:23" s="2" customFormat="1" ht="12">
      <c r="A823" s="11"/>
      <c r="B823" s="108"/>
      <c r="C823" s="109"/>
      <c r="D823" s="14" t="str">
        <f>D822</f>
        <v>AutoX</v>
      </c>
      <c r="E823" s="109"/>
      <c r="F823" s="112"/>
      <c r="G823" s="109"/>
      <c r="H823" s="109"/>
      <c r="I823" s="109"/>
      <c r="J823" s="109"/>
      <c r="K823" s="109"/>
      <c r="L823" s="109"/>
      <c r="M823" s="109"/>
      <c r="N823" s="13" t="s">
        <v>2997</v>
      </c>
      <c r="O823" s="13" t="s">
        <v>262</v>
      </c>
      <c r="P823" s="15" t="s">
        <v>276</v>
      </c>
      <c r="Q823" s="15" t="s">
        <v>10652</v>
      </c>
      <c r="R823" s="109"/>
      <c r="S823" s="109"/>
      <c r="T823" s="112"/>
      <c r="U823" s="112"/>
      <c r="V823" s="112"/>
      <c r="W823" s="112"/>
    </row>
    <row r="824" spans="1:23" s="2" customFormat="1" ht="12">
      <c r="A824" s="11"/>
      <c r="B824" s="108"/>
      <c r="C824" s="109"/>
      <c r="D824" s="14" t="str">
        <f>D823</f>
        <v>AutoX</v>
      </c>
      <c r="E824" s="109"/>
      <c r="F824" s="112"/>
      <c r="G824" s="109"/>
      <c r="H824" s="109"/>
      <c r="I824" s="109"/>
      <c r="J824" s="109"/>
      <c r="K824" s="109"/>
      <c r="L824" s="109"/>
      <c r="M824" s="109"/>
      <c r="N824" s="13" t="s">
        <v>7987</v>
      </c>
      <c r="O824" s="15" t="s">
        <v>437</v>
      </c>
      <c r="P824" s="15" t="s">
        <v>276</v>
      </c>
      <c r="Q824" s="15" t="s">
        <v>10653</v>
      </c>
      <c r="R824" s="109"/>
      <c r="S824" s="109"/>
      <c r="T824" s="112"/>
      <c r="U824" s="112"/>
      <c r="V824" s="112"/>
      <c r="W824" s="112"/>
    </row>
    <row r="825" spans="1:23" s="2" customFormat="1" ht="95.5">
      <c r="A825" s="11"/>
      <c r="B825" s="108"/>
      <c r="C825" s="13" t="s">
        <v>4658</v>
      </c>
      <c r="D825" s="19" t="s">
        <v>4659</v>
      </c>
      <c r="E825" s="13" t="s">
        <v>4659</v>
      </c>
      <c r="F825" s="18" t="s">
        <v>4660</v>
      </c>
      <c r="G825" s="13"/>
      <c r="H825" s="13"/>
      <c r="I825" s="13" t="s">
        <v>2809</v>
      </c>
      <c r="J825" s="15" t="s">
        <v>1502</v>
      </c>
      <c r="K825" s="15" t="s">
        <v>272</v>
      </c>
      <c r="L825" s="15" t="s">
        <v>407</v>
      </c>
      <c r="M825" s="15" t="s">
        <v>4661</v>
      </c>
      <c r="N825" s="13" t="s">
        <v>4658</v>
      </c>
      <c r="O825" s="13" t="s">
        <v>721</v>
      </c>
      <c r="P825" s="15" t="s">
        <v>261</v>
      </c>
      <c r="Q825" s="15" t="s">
        <v>4662</v>
      </c>
      <c r="R825" s="13" t="s">
        <v>3291</v>
      </c>
      <c r="S825" s="13" t="s">
        <v>3292</v>
      </c>
      <c r="T825" s="18"/>
      <c r="U825" s="18"/>
      <c r="V825" s="18"/>
      <c r="W825" s="18"/>
    </row>
    <row r="826" spans="1:23" s="2" customFormat="1" ht="12">
      <c r="A826" s="11"/>
      <c r="B826" s="108"/>
      <c r="C826" s="109" t="s">
        <v>10285</v>
      </c>
      <c r="D826" s="14" t="s">
        <v>10654</v>
      </c>
      <c r="E826" s="109" t="s">
        <v>10654</v>
      </c>
      <c r="F826" s="112" t="s">
        <v>10655</v>
      </c>
      <c r="G826" s="109"/>
      <c r="H826" s="109" t="s">
        <v>10656</v>
      </c>
      <c r="I826" s="109" t="s">
        <v>3121</v>
      </c>
      <c r="J826" s="113" t="s">
        <v>3604</v>
      </c>
      <c r="K826" s="113" t="s">
        <v>272</v>
      </c>
      <c r="L826" s="113" t="s">
        <v>672</v>
      </c>
      <c r="M826" s="113" t="s">
        <v>4189</v>
      </c>
      <c r="N826" s="13" t="s">
        <v>10285</v>
      </c>
      <c r="O826" s="13" t="s">
        <v>257</v>
      </c>
      <c r="P826" s="13" t="s">
        <v>322</v>
      </c>
      <c r="Q826" s="15" t="s">
        <v>10657</v>
      </c>
      <c r="R826" s="109" t="s">
        <v>2553</v>
      </c>
      <c r="S826" s="109" t="s">
        <v>1526</v>
      </c>
      <c r="T826" s="112"/>
      <c r="U826" s="112"/>
      <c r="V826" s="112"/>
      <c r="W826" s="112"/>
    </row>
    <row r="827" spans="1:23" s="2" customFormat="1" ht="12">
      <c r="A827" s="11"/>
      <c r="B827" s="108"/>
      <c r="C827" s="109"/>
      <c r="D827" s="14" t="str">
        <f>D826</f>
        <v>FunNow</v>
      </c>
      <c r="E827" s="109"/>
      <c r="F827" s="112"/>
      <c r="G827" s="109"/>
      <c r="H827" s="109"/>
      <c r="I827" s="109"/>
      <c r="J827" s="109"/>
      <c r="K827" s="109"/>
      <c r="L827" s="109"/>
      <c r="M827" s="109"/>
      <c r="N827" s="13" t="s">
        <v>10658</v>
      </c>
      <c r="O827" s="13" t="s">
        <v>262</v>
      </c>
      <c r="P827" s="13" t="s">
        <v>460</v>
      </c>
      <c r="Q827" s="15" t="s">
        <v>10659</v>
      </c>
      <c r="R827" s="109"/>
      <c r="S827" s="109"/>
      <c r="T827" s="112"/>
      <c r="U827" s="112"/>
      <c r="V827" s="112"/>
      <c r="W827" s="112"/>
    </row>
    <row r="828" spans="1:23" s="2" customFormat="1" ht="12">
      <c r="A828" s="11"/>
      <c r="B828" s="108"/>
      <c r="C828" s="109"/>
      <c r="D828" s="14" t="str">
        <f>D827</f>
        <v>FunNow</v>
      </c>
      <c r="E828" s="109"/>
      <c r="F828" s="112"/>
      <c r="G828" s="109"/>
      <c r="H828" s="109"/>
      <c r="I828" s="109"/>
      <c r="J828" s="109"/>
      <c r="K828" s="109"/>
      <c r="L828" s="109"/>
      <c r="M828" s="109"/>
      <c r="N828" s="13" t="s">
        <v>10660</v>
      </c>
      <c r="O828" s="13" t="s">
        <v>721</v>
      </c>
      <c r="P828" s="13" t="s">
        <v>2271</v>
      </c>
      <c r="Q828" s="15" t="s">
        <v>10661</v>
      </c>
      <c r="R828" s="109"/>
      <c r="S828" s="109"/>
      <c r="T828" s="112"/>
      <c r="U828" s="112"/>
      <c r="V828" s="112"/>
      <c r="W828" s="112"/>
    </row>
    <row r="829" spans="1:23" s="2" customFormat="1" ht="12">
      <c r="A829" s="11"/>
      <c r="B829" s="108"/>
      <c r="C829" s="109"/>
      <c r="D829" s="14" t="str">
        <f>D828</f>
        <v>FunNow</v>
      </c>
      <c r="E829" s="109"/>
      <c r="F829" s="112"/>
      <c r="G829" s="109"/>
      <c r="H829" s="109"/>
      <c r="I829" s="109"/>
      <c r="J829" s="109"/>
      <c r="K829" s="109"/>
      <c r="L829" s="109"/>
      <c r="M829" s="109"/>
      <c r="N829" s="13" t="s">
        <v>10662</v>
      </c>
      <c r="O829" s="15" t="s">
        <v>326</v>
      </c>
      <c r="P829" s="13" t="s">
        <v>2271</v>
      </c>
      <c r="Q829" s="13" t="s">
        <v>253</v>
      </c>
      <c r="R829" s="109"/>
      <c r="S829" s="109"/>
      <c r="T829" s="112"/>
      <c r="U829" s="112"/>
      <c r="V829" s="112"/>
      <c r="W829" s="112"/>
    </row>
    <row r="830" spans="1:23" s="2" customFormat="1" ht="71.5">
      <c r="A830" s="11"/>
      <c r="B830" s="108"/>
      <c r="C830" s="13" t="s">
        <v>10663</v>
      </c>
      <c r="D830" s="19" t="s">
        <v>10664</v>
      </c>
      <c r="E830" s="13" t="s">
        <v>10664</v>
      </c>
      <c r="F830" s="18" t="s">
        <v>10665</v>
      </c>
      <c r="G830" s="15" t="s">
        <v>10666</v>
      </c>
      <c r="H830" s="13" t="s">
        <v>10667</v>
      </c>
      <c r="I830" s="13" t="s">
        <v>9562</v>
      </c>
      <c r="J830" s="15" t="s">
        <v>1192</v>
      </c>
      <c r="K830" s="15" t="s">
        <v>272</v>
      </c>
      <c r="L830" s="15" t="s">
        <v>996</v>
      </c>
      <c r="M830" s="15" t="s">
        <v>3052</v>
      </c>
      <c r="N830" s="13" t="s">
        <v>10663</v>
      </c>
      <c r="O830" s="13" t="s">
        <v>262</v>
      </c>
      <c r="P830" s="15" t="s">
        <v>261</v>
      </c>
      <c r="Q830" s="15" t="s">
        <v>10424</v>
      </c>
      <c r="R830" s="13" t="s">
        <v>3291</v>
      </c>
      <c r="S830" s="13" t="s">
        <v>5540</v>
      </c>
      <c r="T830" s="18"/>
      <c r="U830" s="16" t="s">
        <v>10668</v>
      </c>
      <c r="V830" s="18"/>
      <c r="W830" s="18" t="s">
        <v>10669</v>
      </c>
    </row>
    <row r="831" spans="1:23" s="2" customFormat="1" ht="12">
      <c r="A831" s="11"/>
      <c r="B831" s="108"/>
      <c r="C831" s="109" t="s">
        <v>10670</v>
      </c>
      <c r="D831" s="14" t="s">
        <v>10671</v>
      </c>
      <c r="E831" s="109" t="s">
        <v>10671</v>
      </c>
      <c r="F831" s="112" t="s">
        <v>10672</v>
      </c>
      <c r="G831" s="109"/>
      <c r="H831" s="109" t="s">
        <v>10673</v>
      </c>
      <c r="I831" s="109" t="s">
        <v>10443</v>
      </c>
      <c r="J831" s="113" t="s">
        <v>3604</v>
      </c>
      <c r="K831" s="113" t="s">
        <v>272</v>
      </c>
      <c r="L831" s="113" t="s">
        <v>249</v>
      </c>
      <c r="M831" s="113" t="s">
        <v>1677</v>
      </c>
      <c r="N831" s="13" t="s">
        <v>10670</v>
      </c>
      <c r="O831" s="13" t="s">
        <v>251</v>
      </c>
      <c r="P831" s="13" t="s">
        <v>2293</v>
      </c>
      <c r="Q831" s="15" t="s">
        <v>10674</v>
      </c>
      <c r="R831" s="109" t="s">
        <v>2553</v>
      </c>
      <c r="S831" s="109" t="s">
        <v>10675</v>
      </c>
      <c r="T831" s="114" t="s">
        <v>10676</v>
      </c>
      <c r="U831" s="112"/>
      <c r="V831" s="112"/>
      <c r="W831" s="112"/>
    </row>
    <row r="832" spans="1:23" s="2" customFormat="1" ht="12">
      <c r="A832" s="11"/>
      <c r="B832" s="108"/>
      <c r="C832" s="109"/>
      <c r="D832" s="14" t="str">
        <f>D831</f>
        <v>AsiaYo</v>
      </c>
      <c r="E832" s="109"/>
      <c r="F832" s="112"/>
      <c r="G832" s="109"/>
      <c r="H832" s="109"/>
      <c r="I832" s="109"/>
      <c r="J832" s="109"/>
      <c r="K832" s="109"/>
      <c r="L832" s="109"/>
      <c r="M832" s="109"/>
      <c r="N832" s="13" t="s">
        <v>10677</v>
      </c>
      <c r="O832" s="13" t="s">
        <v>257</v>
      </c>
      <c r="P832" s="13" t="s">
        <v>3699</v>
      </c>
      <c r="Q832" s="15" t="s">
        <v>10678</v>
      </c>
      <c r="R832" s="109"/>
      <c r="S832" s="109"/>
      <c r="T832" s="112"/>
      <c r="U832" s="112"/>
      <c r="V832" s="112"/>
      <c r="W832" s="112"/>
    </row>
    <row r="833" spans="1:23" s="2" customFormat="1" ht="12">
      <c r="A833" s="11"/>
      <c r="B833" s="108"/>
      <c r="C833" s="109"/>
      <c r="D833" s="14" t="str">
        <f>D832</f>
        <v>AsiaYo</v>
      </c>
      <c r="E833" s="109"/>
      <c r="F833" s="112"/>
      <c r="G833" s="109"/>
      <c r="H833" s="109"/>
      <c r="I833" s="109"/>
      <c r="J833" s="109"/>
      <c r="K833" s="109"/>
      <c r="L833" s="109"/>
      <c r="M833" s="109"/>
      <c r="N833" s="13" t="s">
        <v>10679</v>
      </c>
      <c r="O833" s="13" t="s">
        <v>262</v>
      </c>
      <c r="P833" s="13" t="s">
        <v>1938</v>
      </c>
      <c r="Q833" s="13" t="s">
        <v>253</v>
      </c>
      <c r="R833" s="109"/>
      <c r="S833" s="109"/>
      <c r="T833" s="112"/>
      <c r="U833" s="112"/>
      <c r="V833" s="112"/>
      <c r="W833" s="112"/>
    </row>
    <row r="834" spans="1:23" s="2" customFormat="1" ht="12">
      <c r="A834" s="11"/>
      <c r="B834" s="108"/>
      <c r="C834" s="109" t="s">
        <v>10680</v>
      </c>
      <c r="D834" s="14" t="s">
        <v>10681</v>
      </c>
      <c r="E834" s="113" t="s">
        <v>10682</v>
      </c>
      <c r="F834" s="114" t="s">
        <v>10683</v>
      </c>
      <c r="G834" s="109"/>
      <c r="H834" s="109" t="s">
        <v>10684</v>
      </c>
      <c r="I834" s="109" t="s">
        <v>5256</v>
      </c>
      <c r="J834" s="113" t="s">
        <v>1502</v>
      </c>
      <c r="K834" s="113" t="s">
        <v>272</v>
      </c>
      <c r="L834" s="113" t="s">
        <v>1966</v>
      </c>
      <c r="M834" s="113" t="s">
        <v>10685</v>
      </c>
      <c r="N834" s="13" t="s">
        <v>10680</v>
      </c>
      <c r="O834" s="15" t="s">
        <v>326</v>
      </c>
      <c r="P834" s="13" t="s">
        <v>527</v>
      </c>
      <c r="Q834" s="13" t="s">
        <v>10686</v>
      </c>
      <c r="R834" s="109" t="s">
        <v>10687</v>
      </c>
      <c r="S834" s="109" t="s">
        <v>3292</v>
      </c>
      <c r="T834" s="114" t="s">
        <v>10688</v>
      </c>
      <c r="U834" s="112"/>
      <c r="V834" s="112" t="s">
        <v>10689</v>
      </c>
      <c r="W834" s="112" t="s">
        <v>10690</v>
      </c>
    </row>
    <row r="835" spans="1:23" s="2" customFormat="1" ht="12">
      <c r="A835" s="11"/>
      <c r="B835" s="108"/>
      <c r="C835" s="109"/>
      <c r="D835" s="14" t="str">
        <f>D834</f>
        <v>视动智能 viAct.ai</v>
      </c>
      <c r="E835" s="109"/>
      <c r="F835" s="112"/>
      <c r="G835" s="109"/>
      <c r="H835" s="109"/>
      <c r="I835" s="109"/>
      <c r="J835" s="109"/>
      <c r="K835" s="109"/>
      <c r="L835" s="109"/>
      <c r="M835" s="109"/>
      <c r="N835" s="13" t="s">
        <v>10691</v>
      </c>
      <c r="O835" s="15" t="s">
        <v>326</v>
      </c>
      <c r="P835" s="15" t="s">
        <v>252</v>
      </c>
      <c r="Q835" s="15" t="s">
        <v>10692</v>
      </c>
      <c r="R835" s="109"/>
      <c r="S835" s="109"/>
      <c r="T835" s="112"/>
      <c r="U835" s="112"/>
      <c r="V835" s="112"/>
      <c r="W835" s="112"/>
    </row>
    <row r="836" spans="1:23" s="2" customFormat="1" ht="12">
      <c r="A836" s="11"/>
      <c r="B836" s="108"/>
      <c r="C836" s="109"/>
      <c r="D836" s="14" t="str">
        <f>D835</f>
        <v>视动智能 viAct.ai</v>
      </c>
      <c r="E836" s="109"/>
      <c r="F836" s="112"/>
      <c r="G836" s="109"/>
      <c r="H836" s="109"/>
      <c r="I836" s="109"/>
      <c r="J836" s="109"/>
      <c r="K836" s="109"/>
      <c r="L836" s="109"/>
      <c r="M836" s="109"/>
      <c r="N836" s="13" t="s">
        <v>10693</v>
      </c>
      <c r="O836" s="15" t="s">
        <v>437</v>
      </c>
      <c r="P836" s="13" t="s">
        <v>10694</v>
      </c>
      <c r="Q836" s="15" t="s">
        <v>10695</v>
      </c>
      <c r="R836" s="109"/>
      <c r="S836" s="109"/>
      <c r="T836" s="112"/>
      <c r="U836" s="112"/>
      <c r="V836" s="112"/>
      <c r="W836" s="112"/>
    </row>
    <row r="837" spans="1:23" s="2" customFormat="1" ht="12">
      <c r="A837" s="11"/>
      <c r="B837" s="108"/>
      <c r="C837" s="109" t="s">
        <v>10696</v>
      </c>
      <c r="D837" s="14" t="s">
        <v>10697</v>
      </c>
      <c r="E837" s="109" t="s">
        <v>10697</v>
      </c>
      <c r="F837" s="112" t="s">
        <v>10698</v>
      </c>
      <c r="G837" s="109"/>
      <c r="H837" s="109" t="s">
        <v>10699</v>
      </c>
      <c r="I837" s="109" t="s">
        <v>2887</v>
      </c>
      <c r="J837" s="113" t="s">
        <v>1502</v>
      </c>
      <c r="K837" s="113" t="s">
        <v>272</v>
      </c>
      <c r="L837" s="113" t="s">
        <v>407</v>
      </c>
      <c r="M837" s="113" t="s">
        <v>762</v>
      </c>
      <c r="N837" s="13" t="s">
        <v>10696</v>
      </c>
      <c r="O837" s="13" t="s">
        <v>257</v>
      </c>
      <c r="P837" s="15" t="s">
        <v>252</v>
      </c>
      <c r="Q837" s="15" t="s">
        <v>10700</v>
      </c>
      <c r="R837" s="109" t="s">
        <v>10701</v>
      </c>
      <c r="S837" s="113" t="s">
        <v>255</v>
      </c>
      <c r="T837" s="112"/>
      <c r="U837" s="112"/>
      <c r="V837" s="112" t="s">
        <v>10702</v>
      </c>
      <c r="W837" s="112" t="s">
        <v>10703</v>
      </c>
    </row>
    <row r="838" spans="1:23" s="2" customFormat="1" ht="12">
      <c r="A838" s="11"/>
      <c r="B838" s="108"/>
      <c r="C838" s="109"/>
      <c r="D838" s="14" t="str">
        <f>D837</f>
        <v>Lynk</v>
      </c>
      <c r="E838" s="109"/>
      <c r="F838" s="112"/>
      <c r="G838" s="109"/>
      <c r="H838" s="109"/>
      <c r="I838" s="109"/>
      <c r="J838" s="109"/>
      <c r="K838" s="109"/>
      <c r="L838" s="109"/>
      <c r="M838" s="109"/>
      <c r="N838" s="13" t="s">
        <v>10704</v>
      </c>
      <c r="O838" s="15" t="s">
        <v>285</v>
      </c>
      <c r="P838" s="15" t="s">
        <v>252</v>
      </c>
      <c r="Q838" s="13" t="s">
        <v>10705</v>
      </c>
      <c r="R838" s="109"/>
      <c r="S838" s="109"/>
      <c r="T838" s="112"/>
      <c r="U838" s="112"/>
      <c r="V838" s="112"/>
      <c r="W838" s="112"/>
    </row>
    <row r="839" spans="1:23" s="2" customFormat="1" ht="12">
      <c r="A839" s="11"/>
      <c r="B839" s="108"/>
      <c r="C839" s="109"/>
      <c r="D839" s="14" t="str">
        <f>D838</f>
        <v>Lynk</v>
      </c>
      <c r="E839" s="109"/>
      <c r="F839" s="112"/>
      <c r="G839" s="109"/>
      <c r="H839" s="109"/>
      <c r="I839" s="109"/>
      <c r="J839" s="109"/>
      <c r="K839" s="109"/>
      <c r="L839" s="109"/>
      <c r="M839" s="109"/>
      <c r="N839" s="13" t="s">
        <v>10706</v>
      </c>
      <c r="O839" s="13" t="s">
        <v>262</v>
      </c>
      <c r="P839" s="13" t="s">
        <v>539</v>
      </c>
      <c r="Q839" s="13" t="s">
        <v>10707</v>
      </c>
      <c r="R839" s="109"/>
      <c r="S839" s="109"/>
      <c r="T839" s="112"/>
      <c r="U839" s="112"/>
      <c r="V839" s="112"/>
      <c r="W839" s="112"/>
    </row>
    <row r="840" spans="1:23" s="2" customFormat="1" ht="12">
      <c r="A840" s="11"/>
      <c r="B840" s="108"/>
      <c r="C840" s="109"/>
      <c r="D840" s="14" t="str">
        <f>D839</f>
        <v>Lynk</v>
      </c>
      <c r="E840" s="109"/>
      <c r="F840" s="112"/>
      <c r="G840" s="109"/>
      <c r="H840" s="109"/>
      <c r="I840" s="109"/>
      <c r="J840" s="109"/>
      <c r="K840" s="109"/>
      <c r="L840" s="109"/>
      <c r="M840" s="109"/>
      <c r="N840" s="13" t="s">
        <v>10708</v>
      </c>
      <c r="O840" s="13" t="s">
        <v>721</v>
      </c>
      <c r="P840" s="15" t="s">
        <v>252</v>
      </c>
      <c r="Q840" s="13" t="s">
        <v>10709</v>
      </c>
      <c r="R840" s="109"/>
      <c r="S840" s="109"/>
      <c r="T840" s="112"/>
      <c r="U840" s="112"/>
      <c r="V840" s="112"/>
      <c r="W840" s="112"/>
    </row>
    <row r="841" spans="1:23" s="2" customFormat="1" ht="12">
      <c r="A841" s="11"/>
      <c r="B841" s="108"/>
      <c r="C841" s="109"/>
      <c r="D841" s="14" t="str">
        <f>D840</f>
        <v>Lynk</v>
      </c>
      <c r="E841" s="109"/>
      <c r="F841" s="112"/>
      <c r="G841" s="109"/>
      <c r="H841" s="109"/>
      <c r="I841" s="109"/>
      <c r="J841" s="109"/>
      <c r="K841" s="109"/>
      <c r="L841" s="109"/>
      <c r="M841" s="109"/>
      <c r="N841" s="13" t="s">
        <v>10710</v>
      </c>
      <c r="O841" s="15" t="s">
        <v>326</v>
      </c>
      <c r="P841" s="15" t="s">
        <v>252</v>
      </c>
      <c r="Q841" s="13" t="s">
        <v>10711</v>
      </c>
      <c r="R841" s="109"/>
      <c r="S841" s="109"/>
      <c r="T841" s="112"/>
      <c r="U841" s="112"/>
      <c r="V841" s="112"/>
      <c r="W841" s="112"/>
    </row>
    <row r="842" spans="1:23" s="2" customFormat="1" ht="60">
      <c r="A842" s="11"/>
      <c r="B842" s="108"/>
      <c r="C842" s="13" t="s">
        <v>8231</v>
      </c>
      <c r="D842" s="19" t="s">
        <v>10712</v>
      </c>
      <c r="E842" s="13" t="s">
        <v>10712</v>
      </c>
      <c r="F842" s="18" t="s">
        <v>10713</v>
      </c>
      <c r="G842" s="13"/>
      <c r="H842" s="13" t="s">
        <v>10714</v>
      </c>
      <c r="I842" s="13" t="s">
        <v>2887</v>
      </c>
      <c r="J842" s="15" t="s">
        <v>1502</v>
      </c>
      <c r="K842" s="15" t="s">
        <v>272</v>
      </c>
      <c r="L842" s="15" t="s">
        <v>407</v>
      </c>
      <c r="M842" s="15" t="s">
        <v>408</v>
      </c>
      <c r="N842" s="13" t="s">
        <v>8231</v>
      </c>
      <c r="O842" s="13" t="s">
        <v>721</v>
      </c>
      <c r="P842" s="13" t="s">
        <v>10715</v>
      </c>
      <c r="Q842" s="15" t="s">
        <v>10716</v>
      </c>
      <c r="R842" s="13" t="s">
        <v>10717</v>
      </c>
      <c r="S842" s="13" t="s">
        <v>10718</v>
      </c>
      <c r="T842" s="18"/>
      <c r="U842" s="18"/>
      <c r="V842" s="18"/>
      <c r="W842" s="18"/>
    </row>
    <row r="843" spans="1:23" s="2" customFormat="1" ht="12">
      <c r="A843" s="11"/>
      <c r="B843" s="108"/>
      <c r="C843" s="109" t="s">
        <v>10719</v>
      </c>
      <c r="D843" s="14" t="s">
        <v>10720</v>
      </c>
      <c r="E843" s="113" t="s">
        <v>10720</v>
      </c>
      <c r="F843" s="114" t="s">
        <v>10721</v>
      </c>
      <c r="G843" s="113" t="s">
        <v>10722</v>
      </c>
      <c r="H843" s="109" t="s">
        <v>10723</v>
      </c>
      <c r="I843" s="109" t="s">
        <v>10358</v>
      </c>
      <c r="J843" s="113" t="s">
        <v>1192</v>
      </c>
      <c r="K843" s="113" t="s">
        <v>272</v>
      </c>
      <c r="L843" s="113" t="s">
        <v>1859</v>
      </c>
      <c r="M843" s="113" t="s">
        <v>1860</v>
      </c>
      <c r="N843" s="13" t="s">
        <v>10719</v>
      </c>
      <c r="O843" s="13" t="s">
        <v>4142</v>
      </c>
      <c r="P843" s="13" t="s">
        <v>805</v>
      </c>
      <c r="Q843" s="15" t="s">
        <v>10724</v>
      </c>
      <c r="R843" s="109" t="s">
        <v>10725</v>
      </c>
      <c r="S843" s="109" t="s">
        <v>551</v>
      </c>
      <c r="T843" s="114" t="s">
        <v>10726</v>
      </c>
      <c r="U843" s="114" t="s">
        <v>10457</v>
      </c>
      <c r="V843" s="112" t="s">
        <v>10727</v>
      </c>
      <c r="W843" s="112" t="s">
        <v>10728</v>
      </c>
    </row>
    <row r="844" spans="1:23" s="2" customFormat="1" ht="12">
      <c r="A844" s="11"/>
      <c r="B844" s="108"/>
      <c r="C844" s="109"/>
      <c r="D844" s="14" t="str">
        <f>D843</f>
        <v>弘量科技</v>
      </c>
      <c r="E844" s="109"/>
      <c r="F844" s="112"/>
      <c r="G844" s="109"/>
      <c r="H844" s="109"/>
      <c r="I844" s="109"/>
      <c r="J844" s="109"/>
      <c r="K844" s="109"/>
      <c r="L844" s="109"/>
      <c r="M844" s="109"/>
      <c r="N844" s="13" t="s">
        <v>10504</v>
      </c>
      <c r="O844" s="13" t="s">
        <v>4142</v>
      </c>
      <c r="P844" s="15" t="s">
        <v>252</v>
      </c>
      <c r="Q844" s="15" t="s">
        <v>10729</v>
      </c>
      <c r="R844" s="109"/>
      <c r="S844" s="109"/>
      <c r="T844" s="112"/>
      <c r="U844" s="112"/>
      <c r="V844" s="112"/>
      <c r="W844" s="112"/>
    </row>
    <row r="845" spans="1:23" s="2" customFormat="1" ht="12">
      <c r="A845" s="11"/>
      <c r="B845" s="108"/>
      <c r="C845" s="109"/>
      <c r="D845" s="14" t="str">
        <f>D844</f>
        <v>弘量科技</v>
      </c>
      <c r="E845" s="109"/>
      <c r="F845" s="112"/>
      <c r="G845" s="109"/>
      <c r="H845" s="109"/>
      <c r="I845" s="109"/>
      <c r="J845" s="109"/>
      <c r="K845" s="109"/>
      <c r="L845" s="109"/>
      <c r="M845" s="109"/>
      <c r="N845" s="13" t="s">
        <v>2555</v>
      </c>
      <c r="O845" s="13" t="s">
        <v>260</v>
      </c>
      <c r="P845" s="15" t="s">
        <v>252</v>
      </c>
      <c r="Q845" s="15" t="s">
        <v>10730</v>
      </c>
      <c r="R845" s="109"/>
      <c r="S845" s="109"/>
      <c r="T845" s="112"/>
      <c r="U845" s="112"/>
      <c r="V845" s="112"/>
      <c r="W845" s="112"/>
    </row>
    <row r="846" spans="1:23" s="2" customFormat="1" ht="12">
      <c r="A846" s="11"/>
      <c r="B846" s="108"/>
      <c r="C846" s="109"/>
      <c r="D846" s="14" t="str">
        <f>D845</f>
        <v>弘量科技</v>
      </c>
      <c r="E846" s="109"/>
      <c r="F846" s="112"/>
      <c r="G846" s="109"/>
      <c r="H846" s="109"/>
      <c r="I846" s="109"/>
      <c r="J846" s="109"/>
      <c r="K846" s="109"/>
      <c r="L846" s="109"/>
      <c r="M846" s="109"/>
      <c r="N846" s="13" t="s">
        <v>8399</v>
      </c>
      <c r="O846" s="13" t="s">
        <v>262</v>
      </c>
      <c r="P846" s="15" t="s">
        <v>261</v>
      </c>
      <c r="Q846" s="15" t="s">
        <v>10424</v>
      </c>
      <c r="R846" s="109"/>
      <c r="S846" s="109"/>
      <c r="T846" s="112"/>
      <c r="U846" s="112"/>
      <c r="V846" s="112"/>
      <c r="W846" s="112"/>
    </row>
    <row r="847" spans="1:23" s="2" customFormat="1" ht="108">
      <c r="A847" s="11"/>
      <c r="B847" s="108"/>
      <c r="C847" s="13" t="s">
        <v>10731</v>
      </c>
      <c r="D847" s="19" t="s">
        <v>10732</v>
      </c>
      <c r="E847" s="15" t="s">
        <v>10732</v>
      </c>
      <c r="F847" s="16" t="s">
        <v>10733</v>
      </c>
      <c r="G847" s="15" t="s">
        <v>10734</v>
      </c>
      <c r="H847" s="13" t="s">
        <v>10735</v>
      </c>
      <c r="I847" s="13" t="s">
        <v>4730</v>
      </c>
      <c r="J847" s="15" t="s">
        <v>3382</v>
      </c>
      <c r="K847" s="15" t="s">
        <v>272</v>
      </c>
      <c r="L847" s="15" t="s">
        <v>672</v>
      </c>
      <c r="M847" s="15" t="s">
        <v>853</v>
      </c>
      <c r="N847" s="13" t="s">
        <v>10731</v>
      </c>
      <c r="O847" s="15" t="s">
        <v>326</v>
      </c>
      <c r="P847" s="15" t="s">
        <v>327</v>
      </c>
      <c r="Q847" s="15" t="s">
        <v>10736</v>
      </c>
      <c r="R847" s="13" t="s">
        <v>1608</v>
      </c>
      <c r="S847" s="13" t="s">
        <v>1609</v>
      </c>
      <c r="T847" s="16" t="s">
        <v>10737</v>
      </c>
      <c r="U847" s="16" t="s">
        <v>10738</v>
      </c>
      <c r="V847" s="18" t="s">
        <v>10739</v>
      </c>
      <c r="W847" s="18" t="s">
        <v>10740</v>
      </c>
    </row>
    <row r="848" spans="1:23" s="2" customFormat="1" ht="12">
      <c r="A848" s="11"/>
      <c r="B848" s="108"/>
      <c r="C848" s="109" t="s">
        <v>5122</v>
      </c>
      <c r="D848" s="14" t="s">
        <v>96</v>
      </c>
      <c r="E848" s="109" t="s">
        <v>96</v>
      </c>
      <c r="F848" s="112" t="s">
        <v>5123</v>
      </c>
      <c r="G848" s="109"/>
      <c r="H848" s="109" t="s">
        <v>5124</v>
      </c>
      <c r="I848" s="109" t="s">
        <v>2070</v>
      </c>
      <c r="J848" s="113" t="s">
        <v>1931</v>
      </c>
      <c r="K848" s="113" t="s">
        <v>272</v>
      </c>
      <c r="L848" s="113" t="s">
        <v>249</v>
      </c>
      <c r="M848" s="113" t="s">
        <v>1677</v>
      </c>
      <c r="N848" s="13" t="s">
        <v>5122</v>
      </c>
      <c r="O848" s="13" t="s">
        <v>565</v>
      </c>
      <c r="P848" s="13" t="s">
        <v>567</v>
      </c>
      <c r="Q848" s="13" t="s">
        <v>5125</v>
      </c>
      <c r="R848" s="109" t="s">
        <v>5126</v>
      </c>
      <c r="S848" s="109" t="s">
        <v>5127</v>
      </c>
      <c r="T848" s="112" t="s">
        <v>5128</v>
      </c>
      <c r="U848" s="112"/>
      <c r="V848" s="112"/>
      <c r="W848" s="112"/>
    </row>
    <row r="849" spans="1:23" s="2" customFormat="1" ht="12">
      <c r="A849" s="11"/>
      <c r="B849" s="108"/>
      <c r="C849" s="109"/>
      <c r="D849" s="14" t="str">
        <f>D848</f>
        <v>Hotelmize</v>
      </c>
      <c r="E849" s="109"/>
      <c r="F849" s="112"/>
      <c r="G849" s="109"/>
      <c r="H849" s="109"/>
      <c r="I849" s="109"/>
      <c r="J849" s="109"/>
      <c r="K849" s="109"/>
      <c r="L849" s="109"/>
      <c r="M849" s="109"/>
      <c r="N849" s="13" t="s">
        <v>10741</v>
      </c>
      <c r="O849" s="13" t="s">
        <v>257</v>
      </c>
      <c r="P849" s="15" t="s">
        <v>258</v>
      </c>
      <c r="Q849" s="15" t="s">
        <v>5130</v>
      </c>
      <c r="R849" s="109"/>
      <c r="S849" s="109"/>
      <c r="T849" s="112"/>
      <c r="U849" s="112"/>
      <c r="V849" s="112"/>
      <c r="W849" s="112"/>
    </row>
    <row r="850" spans="1:23" s="2" customFormat="1" ht="12">
      <c r="A850" s="11"/>
      <c r="B850" s="108"/>
      <c r="C850" s="109"/>
      <c r="D850" s="14" t="str">
        <f>D849</f>
        <v>Hotelmize</v>
      </c>
      <c r="E850" s="109"/>
      <c r="F850" s="112"/>
      <c r="G850" s="109"/>
      <c r="H850" s="109"/>
      <c r="I850" s="109"/>
      <c r="J850" s="109"/>
      <c r="K850" s="109"/>
      <c r="L850" s="109"/>
      <c r="M850" s="109"/>
      <c r="N850" s="13" t="s">
        <v>10742</v>
      </c>
      <c r="O850" s="13" t="s">
        <v>262</v>
      </c>
      <c r="P850" s="13" t="s">
        <v>2401</v>
      </c>
      <c r="Q850" s="13" t="s">
        <v>5131</v>
      </c>
      <c r="R850" s="109"/>
      <c r="S850" s="109"/>
      <c r="T850" s="112"/>
      <c r="U850" s="112"/>
      <c r="V850" s="112"/>
      <c r="W850" s="112"/>
    </row>
    <row r="851" spans="1:23" s="2" customFormat="1" ht="72">
      <c r="A851" s="11"/>
      <c r="B851" s="108"/>
      <c r="C851" s="13" t="s">
        <v>10743</v>
      </c>
      <c r="D851" s="19" t="s">
        <v>10744</v>
      </c>
      <c r="E851" s="15" t="s">
        <v>10744</v>
      </c>
      <c r="F851" s="16" t="s">
        <v>10745</v>
      </c>
      <c r="G851" s="13"/>
      <c r="H851" s="13"/>
      <c r="I851" s="13" t="s">
        <v>483</v>
      </c>
      <c r="J851" s="15" t="s">
        <v>1502</v>
      </c>
      <c r="K851" s="15" t="s">
        <v>272</v>
      </c>
      <c r="L851" s="15" t="s">
        <v>944</v>
      </c>
      <c r="M851" s="15" t="s">
        <v>10746</v>
      </c>
      <c r="N851" s="13" t="s">
        <v>10743</v>
      </c>
      <c r="O851" s="13" t="s">
        <v>262</v>
      </c>
      <c r="P851" s="13" t="s">
        <v>10747</v>
      </c>
      <c r="Q851" s="15" t="s">
        <v>10424</v>
      </c>
      <c r="R851" s="13" t="s">
        <v>3093</v>
      </c>
      <c r="S851" s="13" t="s">
        <v>3935</v>
      </c>
      <c r="T851" s="18"/>
      <c r="U851" s="18"/>
      <c r="V851" s="18"/>
      <c r="W851" s="18"/>
    </row>
    <row r="852" spans="1:23" s="2" customFormat="1" ht="12">
      <c r="A852" s="11"/>
      <c r="B852" s="108"/>
      <c r="C852" s="109" t="s">
        <v>5306</v>
      </c>
      <c r="D852" s="14" t="s">
        <v>10748</v>
      </c>
      <c r="E852" s="109" t="s">
        <v>10749</v>
      </c>
      <c r="F852" s="112" t="s">
        <v>10750</v>
      </c>
      <c r="G852" s="113" t="s">
        <v>10751</v>
      </c>
      <c r="H852" s="109" t="s">
        <v>10752</v>
      </c>
      <c r="I852" s="109" t="s">
        <v>427</v>
      </c>
      <c r="J852" s="113" t="s">
        <v>1502</v>
      </c>
      <c r="K852" s="113" t="s">
        <v>272</v>
      </c>
      <c r="L852" s="113" t="s">
        <v>1859</v>
      </c>
      <c r="M852" s="113" t="s">
        <v>4173</v>
      </c>
      <c r="N852" s="13" t="s">
        <v>5306</v>
      </c>
      <c r="O852" s="13" t="s">
        <v>251</v>
      </c>
      <c r="P852" s="13" t="s">
        <v>2831</v>
      </c>
      <c r="Q852" s="13" t="s">
        <v>10753</v>
      </c>
      <c r="R852" s="109" t="s">
        <v>10754</v>
      </c>
      <c r="S852" s="109" t="s">
        <v>2409</v>
      </c>
      <c r="T852" s="114" t="s">
        <v>10755</v>
      </c>
      <c r="U852" s="114" t="s">
        <v>10756</v>
      </c>
      <c r="V852" s="112" t="s">
        <v>10757</v>
      </c>
      <c r="W852" s="112"/>
    </row>
    <row r="853" spans="1:23" s="2" customFormat="1" ht="12">
      <c r="A853" s="11"/>
      <c r="B853" s="108"/>
      <c r="C853" s="109"/>
      <c r="D853" s="14" t="str">
        <f>D852</f>
        <v>WeLab汇立集团</v>
      </c>
      <c r="E853" s="109"/>
      <c r="F853" s="112"/>
      <c r="G853" s="109"/>
      <c r="H853" s="109"/>
      <c r="I853" s="109"/>
      <c r="J853" s="109"/>
      <c r="K853" s="109"/>
      <c r="L853" s="109"/>
      <c r="M853" s="109"/>
      <c r="N853" s="13" t="s">
        <v>10758</v>
      </c>
      <c r="O853" s="13" t="s">
        <v>251</v>
      </c>
      <c r="P853" s="13" t="s">
        <v>10759</v>
      </c>
      <c r="Q853" s="15" t="s">
        <v>10760</v>
      </c>
      <c r="R853" s="109"/>
      <c r="S853" s="109"/>
      <c r="T853" s="112"/>
      <c r="U853" s="112"/>
      <c r="V853" s="112"/>
      <c r="W853" s="112"/>
    </row>
    <row r="854" spans="1:23" s="2" customFormat="1" ht="12">
      <c r="A854" s="11"/>
      <c r="B854" s="108"/>
      <c r="C854" s="109"/>
      <c r="D854" s="14" t="str">
        <f>D853</f>
        <v>WeLab汇立集团</v>
      </c>
      <c r="E854" s="109"/>
      <c r="F854" s="112"/>
      <c r="G854" s="109"/>
      <c r="H854" s="109"/>
      <c r="I854" s="109"/>
      <c r="J854" s="109"/>
      <c r="K854" s="109"/>
      <c r="L854" s="109"/>
      <c r="M854" s="109"/>
      <c r="N854" s="13" t="s">
        <v>8528</v>
      </c>
      <c r="O854" s="15" t="s">
        <v>285</v>
      </c>
      <c r="P854" s="13" t="s">
        <v>2190</v>
      </c>
      <c r="Q854" s="13" t="s">
        <v>10761</v>
      </c>
      <c r="R854" s="109"/>
      <c r="S854" s="109"/>
      <c r="T854" s="112"/>
      <c r="U854" s="112"/>
      <c r="V854" s="112"/>
      <c r="W854" s="112"/>
    </row>
    <row r="855" spans="1:23" s="2" customFormat="1" ht="12">
      <c r="A855" s="11"/>
      <c r="B855" s="108"/>
      <c r="C855" s="109"/>
      <c r="D855" s="14" t="str">
        <f>D854</f>
        <v>WeLab汇立集团</v>
      </c>
      <c r="E855" s="109"/>
      <c r="F855" s="112"/>
      <c r="G855" s="109"/>
      <c r="H855" s="109"/>
      <c r="I855" s="109"/>
      <c r="J855" s="109"/>
      <c r="K855" s="109"/>
      <c r="L855" s="109"/>
      <c r="M855" s="109"/>
      <c r="N855" s="13" t="s">
        <v>10762</v>
      </c>
      <c r="O855" s="13" t="s">
        <v>257</v>
      </c>
      <c r="P855" s="13" t="s">
        <v>1194</v>
      </c>
      <c r="Q855" s="15" t="s">
        <v>10763</v>
      </c>
      <c r="R855" s="109"/>
      <c r="S855" s="109"/>
      <c r="T855" s="112"/>
      <c r="U855" s="112"/>
      <c r="V855" s="112"/>
      <c r="W855" s="112"/>
    </row>
    <row r="856" spans="1:23" s="2" customFormat="1" ht="12">
      <c r="A856" s="11"/>
      <c r="B856" s="108"/>
      <c r="C856" s="109"/>
      <c r="D856" s="14" t="str">
        <f>D855</f>
        <v>WeLab汇立集团</v>
      </c>
      <c r="E856" s="109"/>
      <c r="F856" s="112"/>
      <c r="G856" s="109"/>
      <c r="H856" s="109"/>
      <c r="I856" s="109"/>
      <c r="J856" s="109"/>
      <c r="K856" s="109"/>
      <c r="L856" s="109"/>
      <c r="M856" s="109"/>
      <c r="N856" s="13" t="s">
        <v>2804</v>
      </c>
      <c r="O856" s="13" t="s">
        <v>262</v>
      </c>
      <c r="P856" s="13" t="s">
        <v>458</v>
      </c>
      <c r="Q856" s="15" t="s">
        <v>10764</v>
      </c>
      <c r="R856" s="109"/>
      <c r="S856" s="109"/>
      <c r="T856" s="112"/>
      <c r="U856" s="112"/>
      <c r="V856" s="112"/>
      <c r="W856" s="112"/>
    </row>
    <row r="857" spans="1:23" s="2" customFormat="1" ht="12">
      <c r="A857" s="11"/>
      <c r="B857" s="108"/>
      <c r="C857" s="109" t="s">
        <v>10765</v>
      </c>
      <c r="D857" s="14" t="s">
        <v>10766</v>
      </c>
      <c r="E857" s="113" t="s">
        <v>10766</v>
      </c>
      <c r="F857" s="114" t="s">
        <v>10767</v>
      </c>
      <c r="G857" s="113" t="s">
        <v>10768</v>
      </c>
      <c r="H857" s="109" t="s">
        <v>10769</v>
      </c>
      <c r="I857" s="109" t="s">
        <v>10770</v>
      </c>
      <c r="J857" s="113" t="s">
        <v>10771</v>
      </c>
      <c r="K857" s="113" t="s">
        <v>272</v>
      </c>
      <c r="L857" s="113" t="s">
        <v>1101</v>
      </c>
      <c r="M857" s="113" t="s">
        <v>10772</v>
      </c>
      <c r="N857" s="13" t="s">
        <v>10765</v>
      </c>
      <c r="O857" s="13" t="s">
        <v>4142</v>
      </c>
      <c r="P857" s="13" t="s">
        <v>637</v>
      </c>
      <c r="Q857" s="15" t="s">
        <v>10773</v>
      </c>
      <c r="R857" s="109" t="s">
        <v>9334</v>
      </c>
      <c r="S857" s="109" t="s">
        <v>1078</v>
      </c>
      <c r="T857" s="114" t="s">
        <v>10774</v>
      </c>
      <c r="U857" s="114" t="s">
        <v>10775</v>
      </c>
      <c r="V857" s="112" t="s">
        <v>10776</v>
      </c>
      <c r="W857" s="112" t="s">
        <v>10777</v>
      </c>
    </row>
    <row r="858" spans="1:23" s="2" customFormat="1" ht="12">
      <c r="A858" s="11"/>
      <c r="B858" s="108"/>
      <c r="C858" s="109"/>
      <c r="D858" s="14" t="str">
        <f>D857</f>
        <v>大湾生物</v>
      </c>
      <c r="E858" s="109"/>
      <c r="F858" s="112"/>
      <c r="G858" s="109"/>
      <c r="H858" s="109"/>
      <c r="I858" s="109"/>
      <c r="J858" s="109"/>
      <c r="K858" s="109"/>
      <c r="L858" s="109"/>
      <c r="M858" s="109"/>
      <c r="N858" s="13" t="s">
        <v>10778</v>
      </c>
      <c r="O858" s="13" t="s">
        <v>262</v>
      </c>
      <c r="P858" s="15" t="s">
        <v>276</v>
      </c>
      <c r="Q858" s="15" t="s">
        <v>10779</v>
      </c>
      <c r="R858" s="109"/>
      <c r="S858" s="109"/>
      <c r="T858" s="112"/>
      <c r="U858" s="112"/>
      <c r="V858" s="112"/>
      <c r="W858" s="112"/>
    </row>
    <row r="859" spans="1:23" s="2" customFormat="1" ht="12">
      <c r="A859" s="11"/>
      <c r="B859" s="108"/>
      <c r="C859" s="109"/>
      <c r="D859" s="14" t="str">
        <f>D858</f>
        <v>大湾生物</v>
      </c>
      <c r="E859" s="109"/>
      <c r="F859" s="112"/>
      <c r="G859" s="109"/>
      <c r="H859" s="109"/>
      <c r="I859" s="109"/>
      <c r="J859" s="109"/>
      <c r="K859" s="109"/>
      <c r="L859" s="109"/>
      <c r="M859" s="109"/>
      <c r="N859" s="13" t="s">
        <v>10465</v>
      </c>
      <c r="O859" s="15" t="s">
        <v>285</v>
      </c>
      <c r="P859" s="13" t="s">
        <v>2401</v>
      </c>
      <c r="Q859" s="15" t="s">
        <v>10780</v>
      </c>
      <c r="R859" s="109"/>
      <c r="S859" s="109"/>
      <c r="T859" s="112"/>
      <c r="U859" s="112"/>
      <c r="V859" s="112"/>
      <c r="W859" s="112"/>
    </row>
    <row r="860" spans="1:23" s="2" customFormat="1" ht="71.5">
      <c r="A860" s="11"/>
      <c r="B860" s="108"/>
      <c r="C860" s="13" t="s">
        <v>10781</v>
      </c>
      <c r="D860" s="19" t="s">
        <v>10782</v>
      </c>
      <c r="E860" s="13" t="s">
        <v>10782</v>
      </c>
      <c r="F860" s="18" t="s">
        <v>10783</v>
      </c>
      <c r="G860" s="15" t="s">
        <v>10784</v>
      </c>
      <c r="H860" s="13" t="s">
        <v>10785</v>
      </c>
      <c r="I860" s="13" t="s">
        <v>10786</v>
      </c>
      <c r="J860" s="15" t="s">
        <v>1564</v>
      </c>
      <c r="K860" s="15" t="s">
        <v>272</v>
      </c>
      <c r="L860" s="15" t="s">
        <v>350</v>
      </c>
      <c r="M860" s="15" t="s">
        <v>1379</v>
      </c>
      <c r="N860" s="13" t="s">
        <v>10781</v>
      </c>
      <c r="O860" s="13" t="s">
        <v>262</v>
      </c>
      <c r="P860" s="13" t="s">
        <v>1580</v>
      </c>
      <c r="Q860" s="15" t="s">
        <v>10787</v>
      </c>
      <c r="R860" s="13" t="s">
        <v>487</v>
      </c>
      <c r="S860" s="13" t="s">
        <v>3371</v>
      </c>
      <c r="T860" s="18" t="s">
        <v>10788</v>
      </c>
      <c r="U860" s="16" t="s">
        <v>10457</v>
      </c>
      <c r="V860" s="18"/>
      <c r="W860" s="18" t="s">
        <v>10789</v>
      </c>
    </row>
    <row r="861" spans="1:23" s="2" customFormat="1" ht="60">
      <c r="A861" s="11"/>
      <c r="B861" s="108"/>
      <c r="C861" s="13" t="s">
        <v>10790</v>
      </c>
      <c r="D861" s="19" t="s">
        <v>10791</v>
      </c>
      <c r="E861" s="15" t="s">
        <v>10791</v>
      </c>
      <c r="F861" s="16" t="s">
        <v>10792</v>
      </c>
      <c r="G861" s="15" t="s">
        <v>10793</v>
      </c>
      <c r="H861" s="13" t="s">
        <v>10794</v>
      </c>
      <c r="I861" s="13" t="s">
        <v>10795</v>
      </c>
      <c r="J861" s="15" t="s">
        <v>1192</v>
      </c>
      <c r="K861" s="15" t="s">
        <v>272</v>
      </c>
      <c r="L861" s="15" t="s">
        <v>944</v>
      </c>
      <c r="M861" s="15" t="s">
        <v>1423</v>
      </c>
      <c r="N861" s="13" t="s">
        <v>10790</v>
      </c>
      <c r="O861" s="13" t="s">
        <v>721</v>
      </c>
      <c r="P861" s="13" t="s">
        <v>637</v>
      </c>
      <c r="Q861" s="15" t="s">
        <v>10796</v>
      </c>
      <c r="R861" s="13" t="s">
        <v>4335</v>
      </c>
      <c r="S861" s="13" t="s">
        <v>1078</v>
      </c>
      <c r="T861" s="16" t="s">
        <v>10797</v>
      </c>
      <c r="U861" s="16" t="s">
        <v>10798</v>
      </c>
      <c r="V861" s="18" t="s">
        <v>10799</v>
      </c>
      <c r="W861" s="18" t="s">
        <v>10800</v>
      </c>
    </row>
    <row r="862" spans="1:23" s="2" customFormat="1" ht="12">
      <c r="A862" s="11"/>
      <c r="B862" s="108"/>
      <c r="C862" s="109" t="s">
        <v>10801</v>
      </c>
      <c r="D862" s="14" t="s">
        <v>10802</v>
      </c>
      <c r="E862" s="109" t="s">
        <v>10802</v>
      </c>
      <c r="F862" s="112" t="s">
        <v>10803</v>
      </c>
      <c r="G862" s="109" t="s">
        <v>10804</v>
      </c>
      <c r="H862" s="109"/>
      <c r="I862" s="109" t="s">
        <v>10805</v>
      </c>
      <c r="J862" s="113" t="s">
        <v>1502</v>
      </c>
      <c r="K862" s="113" t="s">
        <v>272</v>
      </c>
      <c r="L862" s="113" t="s">
        <v>407</v>
      </c>
      <c r="M862" s="113" t="s">
        <v>1932</v>
      </c>
      <c r="N862" s="13" t="s">
        <v>10801</v>
      </c>
      <c r="O862" s="13" t="s">
        <v>262</v>
      </c>
      <c r="P862" s="13" t="s">
        <v>2000</v>
      </c>
      <c r="Q862" s="13" t="s">
        <v>10806</v>
      </c>
      <c r="R862" s="109" t="s">
        <v>10807</v>
      </c>
      <c r="S862" s="109" t="s">
        <v>10808</v>
      </c>
      <c r="T862" s="112"/>
      <c r="U862" s="112"/>
      <c r="V862" s="112"/>
      <c r="W862" s="112"/>
    </row>
    <row r="863" spans="1:23" s="2" customFormat="1" ht="12">
      <c r="A863" s="11"/>
      <c r="B863" s="108"/>
      <c r="C863" s="109"/>
      <c r="D863" s="14" t="str">
        <f>D862</f>
        <v>SleekFlow</v>
      </c>
      <c r="E863" s="109"/>
      <c r="F863" s="112"/>
      <c r="G863" s="109"/>
      <c r="H863" s="109"/>
      <c r="I863" s="109"/>
      <c r="J863" s="109"/>
      <c r="K863" s="109"/>
      <c r="L863" s="109"/>
      <c r="M863" s="109"/>
      <c r="N863" s="13" t="s">
        <v>10809</v>
      </c>
      <c r="O863" s="13" t="s">
        <v>721</v>
      </c>
      <c r="P863" s="15" t="s">
        <v>276</v>
      </c>
      <c r="Q863" s="15" t="s">
        <v>10424</v>
      </c>
      <c r="R863" s="109"/>
      <c r="S863" s="109"/>
      <c r="T863" s="112"/>
      <c r="U863" s="112"/>
      <c r="V863" s="112"/>
      <c r="W863" s="112"/>
    </row>
    <row r="864" spans="1:23" s="2" customFormat="1" ht="72">
      <c r="A864" s="11"/>
      <c r="B864" s="108"/>
      <c r="C864" s="13" t="s">
        <v>10810</v>
      </c>
      <c r="D864" s="19" t="s">
        <v>10811</v>
      </c>
      <c r="E864" s="13" t="s">
        <v>10811</v>
      </c>
      <c r="F864" s="18" t="s">
        <v>10812</v>
      </c>
      <c r="G864" s="13"/>
      <c r="H864" s="13" t="s">
        <v>10813</v>
      </c>
      <c r="I864" s="13" t="s">
        <v>10805</v>
      </c>
      <c r="J864" s="15" t="s">
        <v>1502</v>
      </c>
      <c r="K864" s="15" t="s">
        <v>272</v>
      </c>
      <c r="L864" s="15" t="s">
        <v>944</v>
      </c>
      <c r="M864" s="15" t="s">
        <v>945</v>
      </c>
      <c r="N864" s="13" t="s">
        <v>10810</v>
      </c>
      <c r="O864" s="15" t="s">
        <v>437</v>
      </c>
      <c r="P864" s="15" t="s">
        <v>9963</v>
      </c>
      <c r="Q864" s="15" t="s">
        <v>10814</v>
      </c>
      <c r="R864" s="13" t="s">
        <v>10815</v>
      </c>
      <c r="S864" s="15" t="s">
        <v>255</v>
      </c>
      <c r="T864" s="18"/>
      <c r="U864" s="18"/>
      <c r="V864" s="18"/>
      <c r="W864" s="18"/>
    </row>
    <row r="865" spans="1:23" s="2" customFormat="1" ht="84">
      <c r="A865" s="11"/>
      <c r="B865" s="108"/>
      <c r="C865" s="13" t="s">
        <v>10816</v>
      </c>
      <c r="D865" s="19" t="s">
        <v>10817</v>
      </c>
      <c r="E865" s="13" t="s">
        <v>10817</v>
      </c>
      <c r="F865" s="18" t="s">
        <v>10818</v>
      </c>
      <c r="G865" s="15" t="s">
        <v>10819</v>
      </c>
      <c r="H865" s="13" t="s">
        <v>10820</v>
      </c>
      <c r="I865" s="13" t="s">
        <v>9984</v>
      </c>
      <c r="J865" s="15" t="s">
        <v>1502</v>
      </c>
      <c r="K865" s="15" t="s">
        <v>272</v>
      </c>
      <c r="L865" s="15" t="s">
        <v>1101</v>
      </c>
      <c r="M865" s="15" t="s">
        <v>1447</v>
      </c>
      <c r="N865" s="13" t="s">
        <v>10816</v>
      </c>
      <c r="O865" s="15" t="s">
        <v>437</v>
      </c>
      <c r="P865" s="15" t="s">
        <v>261</v>
      </c>
      <c r="Q865" s="15" t="s">
        <v>10821</v>
      </c>
      <c r="R865" s="13" t="s">
        <v>3291</v>
      </c>
      <c r="S865" s="13" t="s">
        <v>3292</v>
      </c>
      <c r="T865" s="18"/>
      <c r="U865" s="18"/>
      <c r="V865" s="18"/>
      <c r="W865" s="18"/>
    </row>
    <row r="866" spans="1:23" s="2" customFormat="1" ht="12">
      <c r="A866" s="11"/>
      <c r="B866" s="108"/>
      <c r="C866" s="109" t="s">
        <v>10822</v>
      </c>
      <c r="D866" s="14" t="s">
        <v>10823</v>
      </c>
      <c r="E866" s="113" t="s">
        <v>10823</v>
      </c>
      <c r="F866" s="114" t="s">
        <v>10824</v>
      </c>
      <c r="G866" s="113" t="s">
        <v>10825</v>
      </c>
      <c r="H866" s="109" t="s">
        <v>10826</v>
      </c>
      <c r="I866" s="109" t="s">
        <v>10805</v>
      </c>
      <c r="J866" s="113" t="s">
        <v>1502</v>
      </c>
      <c r="K866" s="113" t="s">
        <v>272</v>
      </c>
      <c r="L866" s="113" t="s">
        <v>407</v>
      </c>
      <c r="M866" s="113" t="s">
        <v>762</v>
      </c>
      <c r="N866" s="13" t="s">
        <v>10822</v>
      </c>
      <c r="O866" s="15" t="s">
        <v>437</v>
      </c>
      <c r="P866" s="15" t="s">
        <v>9963</v>
      </c>
      <c r="Q866" s="15" t="s">
        <v>10827</v>
      </c>
      <c r="R866" s="109" t="s">
        <v>10828</v>
      </c>
      <c r="S866" s="113" t="s">
        <v>255</v>
      </c>
      <c r="T866" s="112"/>
      <c r="U866" s="112"/>
      <c r="V866" s="112"/>
      <c r="W866" s="112"/>
    </row>
    <row r="867" spans="1:23" s="2" customFormat="1" ht="12">
      <c r="A867" s="11"/>
      <c r="B867" s="108"/>
      <c r="C867" s="109"/>
      <c r="D867" s="14" t="str">
        <f>D866</f>
        <v>万想科技</v>
      </c>
      <c r="E867" s="109"/>
      <c r="F867" s="112"/>
      <c r="G867" s="109"/>
      <c r="H867" s="109"/>
      <c r="I867" s="109"/>
      <c r="J867" s="109"/>
      <c r="K867" s="109"/>
      <c r="L867" s="109"/>
      <c r="M867" s="109"/>
      <c r="N867" s="13" t="s">
        <v>10829</v>
      </c>
      <c r="O867" s="15" t="s">
        <v>437</v>
      </c>
      <c r="P867" s="15" t="s">
        <v>9963</v>
      </c>
      <c r="Q867" s="15" t="s">
        <v>10424</v>
      </c>
      <c r="R867" s="109"/>
      <c r="S867" s="109"/>
      <c r="T867" s="112"/>
      <c r="U867" s="112"/>
      <c r="V867" s="112"/>
      <c r="W867" s="112"/>
    </row>
    <row r="868" spans="1:23" s="2" customFormat="1" ht="131.5">
      <c r="A868" s="11"/>
      <c r="B868" s="108"/>
      <c r="C868" s="13" t="s">
        <v>5277</v>
      </c>
      <c r="D868" s="19" t="s">
        <v>10830</v>
      </c>
      <c r="E868" s="13" t="s">
        <v>10830</v>
      </c>
      <c r="F868" s="18" t="s">
        <v>10831</v>
      </c>
      <c r="G868" s="13" t="s">
        <v>10832</v>
      </c>
      <c r="H868" s="13" t="s">
        <v>10833</v>
      </c>
      <c r="I868" s="13" t="s">
        <v>5063</v>
      </c>
      <c r="J868" s="15" t="s">
        <v>10834</v>
      </c>
      <c r="K868" s="15" t="s">
        <v>272</v>
      </c>
      <c r="L868" s="15" t="s">
        <v>944</v>
      </c>
      <c r="M868" s="15" t="s">
        <v>945</v>
      </c>
      <c r="N868" s="13" t="s">
        <v>5277</v>
      </c>
      <c r="O868" s="13" t="s">
        <v>262</v>
      </c>
      <c r="P868" s="13" t="s">
        <v>3699</v>
      </c>
      <c r="Q868" s="15" t="s">
        <v>10835</v>
      </c>
      <c r="R868" s="13" t="s">
        <v>5539</v>
      </c>
      <c r="S868" s="13" t="s">
        <v>10836</v>
      </c>
      <c r="T868" s="18"/>
      <c r="U868" s="16" t="s">
        <v>10837</v>
      </c>
      <c r="V868" s="18"/>
      <c r="W868" s="18"/>
    </row>
    <row r="869" spans="1:23" s="2" customFormat="1" ht="12">
      <c r="A869" s="11"/>
      <c r="B869" s="107" t="s">
        <v>1804</v>
      </c>
      <c r="C869" s="109" t="s">
        <v>2195</v>
      </c>
      <c r="D869" s="14" t="s">
        <v>2196</v>
      </c>
      <c r="E869" s="113" t="s">
        <v>2196</v>
      </c>
      <c r="F869" s="114" t="s">
        <v>2197</v>
      </c>
      <c r="G869" s="113" t="s">
        <v>2198</v>
      </c>
      <c r="H869" s="109" t="s">
        <v>2199</v>
      </c>
      <c r="I869" s="109" t="s">
        <v>1857</v>
      </c>
      <c r="J869" s="113" t="s">
        <v>2200</v>
      </c>
      <c r="K869" s="113" t="s">
        <v>272</v>
      </c>
      <c r="L869" s="113" t="s">
        <v>386</v>
      </c>
      <c r="M869" s="113" t="s">
        <v>387</v>
      </c>
      <c r="N869" s="13" t="s">
        <v>2195</v>
      </c>
      <c r="O869" s="13" t="s">
        <v>687</v>
      </c>
      <c r="P869" s="13" t="s">
        <v>2201</v>
      </c>
      <c r="Q869" s="15" t="s">
        <v>2202</v>
      </c>
      <c r="R869" s="109" t="s">
        <v>2203</v>
      </c>
      <c r="S869" s="109" t="s">
        <v>2204</v>
      </c>
      <c r="T869" s="112"/>
      <c r="U869" s="114" t="s">
        <v>2205</v>
      </c>
      <c r="V869" s="112" t="s">
        <v>2206</v>
      </c>
      <c r="W869" s="112" t="s">
        <v>2207</v>
      </c>
    </row>
    <row r="870" spans="1:23" s="2" customFormat="1" ht="12">
      <c r="A870" s="11"/>
      <c r="B870" s="108"/>
      <c r="C870" s="109"/>
      <c r="D870" s="14" t="str">
        <f>D869</f>
        <v>华谊兄弟</v>
      </c>
      <c r="E870" s="109"/>
      <c r="F870" s="112"/>
      <c r="G870" s="109"/>
      <c r="H870" s="109"/>
      <c r="I870" s="109"/>
      <c r="J870" s="109"/>
      <c r="K870" s="109"/>
      <c r="L870" s="109"/>
      <c r="M870" s="109"/>
      <c r="N870" s="13" t="s">
        <v>1172</v>
      </c>
      <c r="O870" s="13" t="s">
        <v>687</v>
      </c>
      <c r="P870" s="13" t="s">
        <v>2201</v>
      </c>
      <c r="Q870" s="15" t="s">
        <v>2208</v>
      </c>
      <c r="R870" s="109"/>
      <c r="S870" s="109"/>
      <c r="T870" s="112"/>
      <c r="U870" s="112"/>
      <c r="V870" s="112"/>
      <c r="W870" s="112"/>
    </row>
    <row r="871" spans="1:23" s="2" customFormat="1" ht="12">
      <c r="A871" s="11"/>
      <c r="B871" s="108"/>
      <c r="C871" s="109"/>
      <c r="D871" s="14" t="str">
        <f>D870</f>
        <v>华谊兄弟</v>
      </c>
      <c r="E871" s="109"/>
      <c r="F871" s="112"/>
      <c r="G871" s="109"/>
      <c r="H871" s="109"/>
      <c r="I871" s="109"/>
      <c r="J871" s="109"/>
      <c r="K871" s="109"/>
      <c r="L871" s="109"/>
      <c r="M871" s="109"/>
      <c r="N871" s="13" t="s">
        <v>10838</v>
      </c>
      <c r="O871" s="13" t="s">
        <v>687</v>
      </c>
      <c r="P871" s="13" t="s">
        <v>2209</v>
      </c>
      <c r="Q871" s="15" t="s">
        <v>2210</v>
      </c>
      <c r="R871" s="109"/>
      <c r="S871" s="109"/>
      <c r="T871" s="112"/>
      <c r="U871" s="112"/>
      <c r="V871" s="112"/>
      <c r="W871" s="112"/>
    </row>
    <row r="872" spans="1:23" s="2" customFormat="1" ht="12">
      <c r="A872" s="11"/>
      <c r="B872" s="108"/>
      <c r="C872" s="109"/>
      <c r="D872" s="14" t="str">
        <f>D871</f>
        <v>华谊兄弟</v>
      </c>
      <c r="E872" s="109"/>
      <c r="F872" s="112"/>
      <c r="G872" s="109"/>
      <c r="H872" s="109"/>
      <c r="I872" s="109"/>
      <c r="J872" s="109"/>
      <c r="K872" s="109"/>
      <c r="L872" s="109"/>
      <c r="M872" s="109"/>
      <c r="N872" s="13" t="s">
        <v>10839</v>
      </c>
      <c r="O872" s="13" t="s">
        <v>283</v>
      </c>
      <c r="P872" s="13" t="s">
        <v>1716</v>
      </c>
      <c r="Q872" s="13" t="s">
        <v>253</v>
      </c>
      <c r="R872" s="109"/>
      <c r="S872" s="109"/>
      <c r="T872" s="112"/>
      <c r="U872" s="112"/>
      <c r="V872" s="112"/>
      <c r="W872" s="112"/>
    </row>
    <row r="873" spans="1:23" s="2" customFormat="1" ht="12">
      <c r="A873" s="11"/>
      <c r="B873" s="108"/>
      <c r="C873" s="109"/>
      <c r="D873" s="14" t="str">
        <f>D872</f>
        <v>华谊兄弟</v>
      </c>
      <c r="E873" s="109"/>
      <c r="F873" s="112"/>
      <c r="G873" s="109"/>
      <c r="H873" s="109"/>
      <c r="I873" s="109"/>
      <c r="J873" s="109"/>
      <c r="K873" s="109"/>
      <c r="L873" s="109"/>
      <c r="M873" s="109"/>
      <c r="N873" s="13" t="s">
        <v>10840</v>
      </c>
      <c r="O873" s="15" t="s">
        <v>326</v>
      </c>
      <c r="P873" s="15" t="s">
        <v>252</v>
      </c>
      <c r="Q873" s="15" t="s">
        <v>2211</v>
      </c>
      <c r="R873" s="109"/>
      <c r="S873" s="109"/>
      <c r="T873" s="112"/>
      <c r="U873" s="112"/>
      <c r="V873" s="112"/>
      <c r="W873" s="112"/>
    </row>
    <row r="874" spans="1:23" s="2" customFormat="1" ht="12">
      <c r="A874" s="11"/>
      <c r="B874" s="108"/>
      <c r="C874" s="109" t="s">
        <v>8479</v>
      </c>
      <c r="D874" s="14" t="s">
        <v>10841</v>
      </c>
      <c r="E874" s="113" t="s">
        <v>10841</v>
      </c>
      <c r="F874" s="114" t="s">
        <v>10842</v>
      </c>
      <c r="G874" s="113" t="s">
        <v>10843</v>
      </c>
      <c r="H874" s="109" t="s">
        <v>10844</v>
      </c>
      <c r="I874" s="109" t="s">
        <v>1543</v>
      </c>
      <c r="J874" s="113" t="s">
        <v>1192</v>
      </c>
      <c r="K874" s="113" t="s">
        <v>272</v>
      </c>
      <c r="L874" s="113" t="s">
        <v>386</v>
      </c>
      <c r="M874" s="113" t="s">
        <v>387</v>
      </c>
      <c r="N874" s="13" t="s">
        <v>8479</v>
      </c>
      <c r="O874" s="15" t="s">
        <v>285</v>
      </c>
      <c r="P874" s="13" t="s">
        <v>10845</v>
      </c>
      <c r="Q874" s="15" t="s">
        <v>2196</v>
      </c>
      <c r="R874" s="109" t="s">
        <v>10846</v>
      </c>
      <c r="S874" s="109" t="s">
        <v>2482</v>
      </c>
      <c r="T874" s="112"/>
      <c r="U874" s="112"/>
      <c r="V874" s="112" t="s">
        <v>10847</v>
      </c>
      <c r="W874" s="112"/>
    </row>
    <row r="875" spans="1:23" s="2" customFormat="1" ht="12">
      <c r="A875" s="11"/>
      <c r="B875" s="108"/>
      <c r="C875" s="109"/>
      <c r="D875" s="14" t="str">
        <f>D874</f>
        <v>大地影院</v>
      </c>
      <c r="E875" s="109"/>
      <c r="F875" s="112"/>
      <c r="G875" s="109"/>
      <c r="H875" s="109"/>
      <c r="I875" s="109"/>
      <c r="J875" s="109"/>
      <c r="K875" s="109"/>
      <c r="L875" s="109"/>
      <c r="M875" s="109"/>
      <c r="N875" s="13" t="s">
        <v>7989</v>
      </c>
      <c r="O875" s="15" t="s">
        <v>285</v>
      </c>
      <c r="P875" s="13" t="s">
        <v>1194</v>
      </c>
      <c r="Q875" s="15" t="s">
        <v>8330</v>
      </c>
      <c r="R875" s="109"/>
      <c r="S875" s="109"/>
      <c r="T875" s="112"/>
      <c r="U875" s="112"/>
      <c r="V875" s="112"/>
      <c r="W875" s="112"/>
    </row>
    <row r="876" spans="1:23" s="2" customFormat="1" ht="12">
      <c r="A876" s="11"/>
      <c r="B876" s="108"/>
      <c r="C876" s="109" t="s">
        <v>8325</v>
      </c>
      <c r="D876" s="14" t="s">
        <v>8326</v>
      </c>
      <c r="E876" s="113" t="s">
        <v>8326</v>
      </c>
      <c r="F876" s="114" t="s">
        <v>8327</v>
      </c>
      <c r="G876" s="113" t="s">
        <v>8328</v>
      </c>
      <c r="H876" s="109" t="s">
        <v>8329</v>
      </c>
      <c r="I876" s="109" t="s">
        <v>3629</v>
      </c>
      <c r="J876" s="113" t="s">
        <v>406</v>
      </c>
      <c r="K876" s="113" t="s">
        <v>272</v>
      </c>
      <c r="L876" s="113" t="s">
        <v>386</v>
      </c>
      <c r="M876" s="113" t="s">
        <v>387</v>
      </c>
      <c r="N876" s="13" t="s">
        <v>8325</v>
      </c>
      <c r="O876" s="15" t="s">
        <v>285</v>
      </c>
      <c r="P876" s="13" t="s">
        <v>1544</v>
      </c>
      <c r="Q876" s="15" t="s">
        <v>8330</v>
      </c>
      <c r="R876" s="109" t="s">
        <v>8331</v>
      </c>
      <c r="S876" s="109" t="s">
        <v>8332</v>
      </c>
      <c r="T876" s="114" t="s">
        <v>8333</v>
      </c>
      <c r="U876" s="114" t="s">
        <v>8334</v>
      </c>
      <c r="V876" s="112" t="s">
        <v>8335</v>
      </c>
      <c r="W876" s="112"/>
    </row>
    <row r="877" spans="1:23" s="2" customFormat="1" ht="12">
      <c r="A877" s="11"/>
      <c r="B877" s="108"/>
      <c r="C877" s="109"/>
      <c r="D877" s="14" t="str">
        <f>D876</f>
        <v>淘票票</v>
      </c>
      <c r="E877" s="109"/>
      <c r="F877" s="112"/>
      <c r="G877" s="109"/>
      <c r="H877" s="109"/>
      <c r="I877" s="109"/>
      <c r="J877" s="109"/>
      <c r="K877" s="109"/>
      <c r="L877" s="109"/>
      <c r="M877" s="109"/>
      <c r="N877" s="13" t="s">
        <v>8336</v>
      </c>
      <c r="O877" s="13" t="s">
        <v>262</v>
      </c>
      <c r="P877" s="13" t="s">
        <v>8337</v>
      </c>
      <c r="Q877" s="15" t="s">
        <v>8338</v>
      </c>
      <c r="R877" s="109"/>
      <c r="S877" s="109"/>
      <c r="T877" s="112"/>
      <c r="U877" s="112"/>
      <c r="V877" s="112"/>
      <c r="W877" s="112"/>
    </row>
    <row r="878" spans="1:23" s="2" customFormat="1" ht="84">
      <c r="A878" s="11"/>
      <c r="B878" s="108"/>
      <c r="C878" s="13" t="s">
        <v>10848</v>
      </c>
      <c r="D878" s="19" t="s">
        <v>10849</v>
      </c>
      <c r="E878" s="15" t="s">
        <v>10849</v>
      </c>
      <c r="F878" s="16" t="s">
        <v>10850</v>
      </c>
      <c r="G878" s="15" t="s">
        <v>10851</v>
      </c>
      <c r="H878" s="13" t="s">
        <v>10852</v>
      </c>
      <c r="I878" s="13" t="s">
        <v>10853</v>
      </c>
      <c r="J878" s="15" t="s">
        <v>547</v>
      </c>
      <c r="K878" s="15" t="s">
        <v>272</v>
      </c>
      <c r="L878" s="15" t="s">
        <v>335</v>
      </c>
      <c r="M878" s="15" t="s">
        <v>10854</v>
      </c>
      <c r="N878" s="13" t="s">
        <v>10848</v>
      </c>
      <c r="O878" s="15" t="s">
        <v>471</v>
      </c>
      <c r="P878" s="13" t="s">
        <v>10855</v>
      </c>
      <c r="Q878" s="15" t="s">
        <v>8330</v>
      </c>
      <c r="R878" s="13" t="s">
        <v>9218</v>
      </c>
      <c r="S878" s="13" t="s">
        <v>10856</v>
      </c>
      <c r="T878" s="18"/>
      <c r="U878" s="18"/>
      <c r="V878" s="18"/>
      <c r="W878" s="18"/>
    </row>
    <row r="879" spans="1:23" s="2" customFormat="1" ht="12">
      <c r="A879" s="11"/>
      <c r="B879" s="108"/>
      <c r="C879" s="109" t="s">
        <v>10857</v>
      </c>
      <c r="D879" s="14" t="s">
        <v>10858</v>
      </c>
      <c r="E879" s="113" t="s">
        <v>10858</v>
      </c>
      <c r="F879" s="114" t="s">
        <v>10859</v>
      </c>
      <c r="G879" s="113" t="s">
        <v>10860</v>
      </c>
      <c r="H879" s="109"/>
      <c r="I879" s="109" t="s">
        <v>3629</v>
      </c>
      <c r="J879" s="113" t="s">
        <v>497</v>
      </c>
      <c r="K879" s="113" t="s">
        <v>272</v>
      </c>
      <c r="L879" s="113" t="s">
        <v>386</v>
      </c>
      <c r="M879" s="113" t="s">
        <v>387</v>
      </c>
      <c r="N879" s="13" t="s">
        <v>10857</v>
      </c>
      <c r="O879" s="13" t="s">
        <v>251</v>
      </c>
      <c r="P879" s="15" t="s">
        <v>409</v>
      </c>
      <c r="Q879" s="15" t="s">
        <v>8435</v>
      </c>
      <c r="R879" s="109" t="s">
        <v>10861</v>
      </c>
      <c r="S879" s="109" t="s">
        <v>10862</v>
      </c>
      <c r="T879" s="114" t="s">
        <v>10863</v>
      </c>
      <c r="U879" s="114" t="s">
        <v>10864</v>
      </c>
      <c r="V879" s="112" t="s">
        <v>10865</v>
      </c>
      <c r="W879" s="112" t="s">
        <v>10866</v>
      </c>
    </row>
    <row r="880" spans="1:23" s="2" customFormat="1" ht="12">
      <c r="A880" s="11"/>
      <c r="B880" s="108"/>
      <c r="C880" s="109"/>
      <c r="D880" s="14" t="str">
        <f>D879</f>
        <v>亭东影业</v>
      </c>
      <c r="E880" s="109"/>
      <c r="F880" s="112"/>
      <c r="G880" s="109"/>
      <c r="H880" s="109"/>
      <c r="I880" s="109"/>
      <c r="J880" s="109"/>
      <c r="K880" s="109"/>
      <c r="L880" s="109"/>
      <c r="M880" s="109"/>
      <c r="N880" s="13" t="s">
        <v>10867</v>
      </c>
      <c r="O880" s="15" t="s">
        <v>285</v>
      </c>
      <c r="P880" s="15" t="s">
        <v>409</v>
      </c>
      <c r="Q880" s="15" t="s">
        <v>8330</v>
      </c>
      <c r="R880" s="109"/>
      <c r="S880" s="109"/>
      <c r="T880" s="112"/>
      <c r="U880" s="112"/>
      <c r="V880" s="112"/>
      <c r="W880" s="112"/>
    </row>
    <row r="881" spans="1:23" s="2" customFormat="1" ht="12">
      <c r="A881" s="11"/>
      <c r="B881" s="108"/>
      <c r="C881" s="109"/>
      <c r="D881" s="14" t="str">
        <f>D880</f>
        <v>亭东影业</v>
      </c>
      <c r="E881" s="109"/>
      <c r="F881" s="112"/>
      <c r="G881" s="109"/>
      <c r="H881" s="109"/>
      <c r="I881" s="109"/>
      <c r="J881" s="109"/>
      <c r="K881" s="109"/>
      <c r="L881" s="109"/>
      <c r="M881" s="109"/>
      <c r="N881" s="13" t="s">
        <v>10868</v>
      </c>
      <c r="O881" s="13" t="s">
        <v>257</v>
      </c>
      <c r="P881" s="13" t="s">
        <v>10869</v>
      </c>
      <c r="Q881" s="15" t="s">
        <v>10870</v>
      </c>
      <c r="R881" s="109"/>
      <c r="S881" s="109"/>
      <c r="T881" s="112"/>
      <c r="U881" s="112"/>
      <c r="V881" s="112"/>
      <c r="W881" s="112"/>
    </row>
    <row r="882" spans="1:23" s="2" customFormat="1" ht="12">
      <c r="A882" s="11"/>
      <c r="B882" s="108"/>
      <c r="C882" s="109"/>
      <c r="D882" s="14" t="str">
        <f>D881</f>
        <v>亭东影业</v>
      </c>
      <c r="E882" s="109"/>
      <c r="F882" s="112"/>
      <c r="G882" s="109"/>
      <c r="H882" s="109"/>
      <c r="I882" s="109"/>
      <c r="J882" s="109"/>
      <c r="K882" s="109"/>
      <c r="L882" s="109"/>
      <c r="M882" s="109"/>
      <c r="N882" s="13" t="s">
        <v>8666</v>
      </c>
      <c r="O882" s="13" t="s">
        <v>262</v>
      </c>
      <c r="P882" s="15" t="s">
        <v>341</v>
      </c>
      <c r="Q882" s="15" t="s">
        <v>10871</v>
      </c>
      <c r="R882" s="109"/>
      <c r="S882" s="109"/>
      <c r="T882" s="112"/>
      <c r="U882" s="112"/>
      <c r="V882" s="112"/>
      <c r="W882" s="112"/>
    </row>
    <row r="883" spans="1:23" s="2" customFormat="1" ht="12">
      <c r="A883" s="11"/>
      <c r="B883" s="108"/>
      <c r="C883" s="109" t="s">
        <v>10872</v>
      </c>
      <c r="D883" s="14" t="s">
        <v>10873</v>
      </c>
      <c r="E883" s="113" t="s">
        <v>10873</v>
      </c>
      <c r="F883" s="114" t="s">
        <v>10874</v>
      </c>
      <c r="G883" s="113" t="s">
        <v>10875</v>
      </c>
      <c r="H883" s="109" t="s">
        <v>10876</v>
      </c>
      <c r="I883" s="109" t="s">
        <v>10877</v>
      </c>
      <c r="J883" s="113" t="s">
        <v>385</v>
      </c>
      <c r="K883" s="113" t="s">
        <v>272</v>
      </c>
      <c r="L883" s="113" t="s">
        <v>386</v>
      </c>
      <c r="M883" s="113" t="s">
        <v>387</v>
      </c>
      <c r="N883" s="13" t="s">
        <v>10872</v>
      </c>
      <c r="O883" s="13" t="s">
        <v>283</v>
      </c>
      <c r="P883" s="13" t="s">
        <v>10878</v>
      </c>
      <c r="Q883" s="13" t="s">
        <v>253</v>
      </c>
      <c r="R883" s="109" t="s">
        <v>10879</v>
      </c>
      <c r="S883" s="109" t="s">
        <v>10880</v>
      </c>
      <c r="T883" s="114" t="s">
        <v>10881</v>
      </c>
      <c r="U883" s="114" t="s">
        <v>10882</v>
      </c>
      <c r="V883" s="112" t="s">
        <v>10883</v>
      </c>
      <c r="W883" s="112" t="s">
        <v>10884</v>
      </c>
    </row>
    <row r="884" spans="1:23" s="2" customFormat="1" ht="12">
      <c r="A884" s="11"/>
      <c r="B884" s="108"/>
      <c r="C884" s="109"/>
      <c r="D884" s="14" t="str">
        <f t="shared" ref="D884:D893" si="25">D883</f>
        <v>博纳影业</v>
      </c>
      <c r="E884" s="109"/>
      <c r="F884" s="112"/>
      <c r="G884" s="109"/>
      <c r="H884" s="109"/>
      <c r="I884" s="109"/>
      <c r="J884" s="109"/>
      <c r="K884" s="109"/>
      <c r="L884" s="109"/>
      <c r="M884" s="109"/>
      <c r="N884" s="13" t="s">
        <v>10885</v>
      </c>
      <c r="O884" s="15" t="s">
        <v>285</v>
      </c>
      <c r="P884" s="13" t="s">
        <v>1115</v>
      </c>
      <c r="Q884" s="15" t="s">
        <v>4278</v>
      </c>
      <c r="R884" s="109"/>
      <c r="S884" s="109"/>
      <c r="T884" s="112"/>
      <c r="U884" s="112"/>
      <c r="V884" s="112"/>
      <c r="W884" s="112"/>
    </row>
    <row r="885" spans="1:23" s="2" customFormat="1" ht="12">
      <c r="A885" s="11"/>
      <c r="B885" s="108"/>
      <c r="C885" s="109"/>
      <c r="D885" s="14" t="str">
        <f t="shared" si="25"/>
        <v>博纳影业</v>
      </c>
      <c r="E885" s="109"/>
      <c r="F885" s="112"/>
      <c r="G885" s="109"/>
      <c r="H885" s="109"/>
      <c r="I885" s="109"/>
      <c r="J885" s="109"/>
      <c r="K885" s="109"/>
      <c r="L885" s="109"/>
      <c r="M885" s="109"/>
      <c r="N885" s="13" t="s">
        <v>9457</v>
      </c>
      <c r="O885" s="15" t="s">
        <v>285</v>
      </c>
      <c r="P885" s="13" t="s">
        <v>10886</v>
      </c>
      <c r="Q885" s="15" t="s">
        <v>10887</v>
      </c>
      <c r="R885" s="109"/>
      <c r="S885" s="109"/>
      <c r="T885" s="112"/>
      <c r="U885" s="112"/>
      <c r="V885" s="112"/>
      <c r="W885" s="112"/>
    </row>
    <row r="886" spans="1:23" s="2" customFormat="1" ht="12">
      <c r="A886" s="11"/>
      <c r="B886" s="108"/>
      <c r="C886" s="109"/>
      <c r="D886" s="14" t="str">
        <f t="shared" si="25"/>
        <v>博纳影业</v>
      </c>
      <c r="E886" s="109"/>
      <c r="F886" s="112"/>
      <c r="G886" s="109"/>
      <c r="H886" s="109"/>
      <c r="I886" s="109"/>
      <c r="J886" s="109"/>
      <c r="K886" s="109"/>
      <c r="L886" s="109"/>
      <c r="M886" s="109"/>
      <c r="N886" s="13" t="s">
        <v>10888</v>
      </c>
      <c r="O886" s="15" t="s">
        <v>285</v>
      </c>
      <c r="P886" s="13" t="s">
        <v>1684</v>
      </c>
      <c r="Q886" s="15" t="s">
        <v>10889</v>
      </c>
      <c r="R886" s="109"/>
      <c r="S886" s="109"/>
      <c r="T886" s="112"/>
      <c r="U886" s="112"/>
      <c r="V886" s="112"/>
      <c r="W886" s="112"/>
    </row>
    <row r="887" spans="1:23" s="2" customFormat="1" ht="12">
      <c r="A887" s="11"/>
      <c r="B887" s="108"/>
      <c r="C887" s="109"/>
      <c r="D887" s="14" t="str">
        <f t="shared" si="25"/>
        <v>博纳影业</v>
      </c>
      <c r="E887" s="109"/>
      <c r="F887" s="112"/>
      <c r="G887" s="109"/>
      <c r="H887" s="109"/>
      <c r="I887" s="109"/>
      <c r="J887" s="109"/>
      <c r="K887" s="109"/>
      <c r="L887" s="109"/>
      <c r="M887" s="109"/>
      <c r="N887" s="13" t="s">
        <v>7916</v>
      </c>
      <c r="O887" s="15" t="s">
        <v>285</v>
      </c>
      <c r="P887" s="13" t="s">
        <v>10890</v>
      </c>
      <c r="Q887" s="15" t="s">
        <v>10891</v>
      </c>
      <c r="R887" s="109"/>
      <c r="S887" s="109"/>
      <c r="T887" s="112"/>
      <c r="U887" s="112"/>
      <c r="V887" s="112"/>
      <c r="W887" s="112"/>
    </row>
    <row r="888" spans="1:23" s="2" customFormat="1" ht="12">
      <c r="A888" s="11"/>
      <c r="B888" s="108"/>
      <c r="C888" s="109"/>
      <c r="D888" s="14" t="str">
        <f t="shared" si="25"/>
        <v>博纳影业</v>
      </c>
      <c r="E888" s="109"/>
      <c r="F888" s="112"/>
      <c r="G888" s="109"/>
      <c r="H888" s="109"/>
      <c r="I888" s="109"/>
      <c r="J888" s="109"/>
      <c r="K888" s="109"/>
      <c r="L888" s="109"/>
      <c r="M888" s="109"/>
      <c r="N888" s="13" t="s">
        <v>1295</v>
      </c>
      <c r="O888" s="15" t="s">
        <v>285</v>
      </c>
      <c r="P888" s="13" t="s">
        <v>10892</v>
      </c>
      <c r="Q888" s="15" t="s">
        <v>2971</v>
      </c>
      <c r="R888" s="109"/>
      <c r="S888" s="109"/>
      <c r="T888" s="112"/>
      <c r="U888" s="112"/>
      <c r="V888" s="112"/>
      <c r="W888" s="112"/>
    </row>
    <row r="889" spans="1:23" s="2" customFormat="1" ht="12">
      <c r="A889" s="11"/>
      <c r="B889" s="108"/>
      <c r="C889" s="109"/>
      <c r="D889" s="14" t="str">
        <f t="shared" si="25"/>
        <v>博纳影业</v>
      </c>
      <c r="E889" s="109"/>
      <c r="F889" s="112"/>
      <c r="G889" s="109"/>
      <c r="H889" s="109"/>
      <c r="I889" s="109"/>
      <c r="J889" s="109"/>
      <c r="K889" s="109"/>
      <c r="L889" s="109"/>
      <c r="M889" s="109"/>
      <c r="N889" s="13" t="s">
        <v>10893</v>
      </c>
      <c r="O889" s="15" t="s">
        <v>275</v>
      </c>
      <c r="P889" s="15" t="s">
        <v>299</v>
      </c>
      <c r="Q889" s="13" t="s">
        <v>253</v>
      </c>
      <c r="R889" s="109"/>
      <c r="S889" s="109"/>
      <c r="T889" s="112"/>
      <c r="U889" s="112"/>
      <c r="V889" s="112"/>
      <c r="W889" s="112"/>
    </row>
    <row r="890" spans="1:23" s="2" customFormat="1" ht="12">
      <c r="A890" s="11"/>
      <c r="B890" s="108"/>
      <c r="C890" s="109"/>
      <c r="D890" s="14" t="str">
        <f t="shared" si="25"/>
        <v>博纳影业</v>
      </c>
      <c r="E890" s="109"/>
      <c r="F890" s="112"/>
      <c r="G890" s="109"/>
      <c r="H890" s="109"/>
      <c r="I890" s="109"/>
      <c r="J890" s="109"/>
      <c r="K890" s="109"/>
      <c r="L890" s="109"/>
      <c r="M890" s="109"/>
      <c r="N890" s="13" t="s">
        <v>10894</v>
      </c>
      <c r="O890" s="13" t="s">
        <v>283</v>
      </c>
      <c r="P890" s="15" t="s">
        <v>258</v>
      </c>
      <c r="Q890" s="13" t="s">
        <v>253</v>
      </c>
      <c r="R890" s="109"/>
      <c r="S890" s="109"/>
      <c r="T890" s="112"/>
      <c r="U890" s="112"/>
      <c r="V890" s="112"/>
      <c r="W890" s="112"/>
    </row>
    <row r="891" spans="1:23" s="2" customFormat="1" ht="12">
      <c r="A891" s="11"/>
      <c r="B891" s="108"/>
      <c r="C891" s="109"/>
      <c r="D891" s="14" t="str">
        <f t="shared" si="25"/>
        <v>博纳影业</v>
      </c>
      <c r="E891" s="109"/>
      <c r="F891" s="112"/>
      <c r="G891" s="109"/>
      <c r="H891" s="109"/>
      <c r="I891" s="109"/>
      <c r="J891" s="109"/>
      <c r="K891" s="109"/>
      <c r="L891" s="109"/>
      <c r="M891" s="109"/>
      <c r="N891" s="13" t="s">
        <v>10895</v>
      </c>
      <c r="O891" s="13" t="s">
        <v>251</v>
      </c>
      <c r="P891" s="15" t="s">
        <v>409</v>
      </c>
      <c r="Q891" s="13" t="s">
        <v>253</v>
      </c>
      <c r="R891" s="109"/>
      <c r="S891" s="109"/>
      <c r="T891" s="112"/>
      <c r="U891" s="112"/>
      <c r="V891" s="112"/>
      <c r="W891" s="112"/>
    </row>
    <row r="892" spans="1:23" s="2" customFormat="1" ht="12">
      <c r="A892" s="11"/>
      <c r="B892" s="108"/>
      <c r="C892" s="109"/>
      <c r="D892" s="14" t="str">
        <f t="shared" si="25"/>
        <v>博纳影业</v>
      </c>
      <c r="E892" s="109"/>
      <c r="F892" s="112"/>
      <c r="G892" s="109"/>
      <c r="H892" s="109"/>
      <c r="I892" s="109"/>
      <c r="J892" s="109"/>
      <c r="K892" s="109"/>
      <c r="L892" s="109"/>
      <c r="M892" s="109"/>
      <c r="N892" s="13" t="s">
        <v>10896</v>
      </c>
      <c r="O892" s="13" t="s">
        <v>257</v>
      </c>
      <c r="P892" s="13" t="s">
        <v>637</v>
      </c>
      <c r="Q892" s="15" t="s">
        <v>10897</v>
      </c>
      <c r="R892" s="109"/>
      <c r="S892" s="109"/>
      <c r="T892" s="112"/>
      <c r="U892" s="112"/>
      <c r="V892" s="112"/>
      <c r="W892" s="112"/>
    </row>
    <row r="893" spans="1:23" s="2" customFormat="1" ht="12">
      <c r="A893" s="11"/>
      <c r="B893" s="108"/>
      <c r="C893" s="109"/>
      <c r="D893" s="14" t="str">
        <f t="shared" si="25"/>
        <v>博纳影业</v>
      </c>
      <c r="E893" s="109"/>
      <c r="F893" s="112"/>
      <c r="G893" s="109"/>
      <c r="H893" s="109"/>
      <c r="I893" s="109"/>
      <c r="J893" s="109"/>
      <c r="K893" s="109"/>
      <c r="L893" s="109"/>
      <c r="M893" s="109"/>
      <c r="N893" s="13" t="s">
        <v>10898</v>
      </c>
      <c r="O893" s="13" t="s">
        <v>262</v>
      </c>
      <c r="P893" s="15" t="s">
        <v>258</v>
      </c>
      <c r="Q893" s="15" t="s">
        <v>10899</v>
      </c>
      <c r="R893" s="109"/>
      <c r="S893" s="109"/>
      <c r="T893" s="112"/>
      <c r="U893" s="112"/>
      <c r="V893" s="112"/>
      <c r="W893" s="112"/>
    </row>
    <row r="894" spans="1:23" s="2" customFormat="1" ht="12">
      <c r="A894" s="11"/>
      <c r="B894" s="108"/>
      <c r="C894" s="109" t="s">
        <v>5239</v>
      </c>
      <c r="D894" s="14" t="s">
        <v>10900</v>
      </c>
      <c r="E894" s="113" t="s">
        <v>10900</v>
      </c>
      <c r="F894" s="114" t="s">
        <v>10901</v>
      </c>
      <c r="G894" s="113" t="s">
        <v>10902</v>
      </c>
      <c r="H894" s="109" t="s">
        <v>10903</v>
      </c>
      <c r="I894" s="109" t="s">
        <v>1462</v>
      </c>
      <c r="J894" s="113" t="s">
        <v>1126</v>
      </c>
      <c r="K894" s="113" t="s">
        <v>272</v>
      </c>
      <c r="L894" s="113" t="s">
        <v>386</v>
      </c>
      <c r="M894" s="113" t="s">
        <v>387</v>
      </c>
      <c r="N894" s="13" t="s">
        <v>5239</v>
      </c>
      <c r="O894" s="13" t="s">
        <v>283</v>
      </c>
      <c r="P894" s="13" t="s">
        <v>10904</v>
      </c>
      <c r="Q894" s="13" t="s">
        <v>253</v>
      </c>
      <c r="R894" s="109" t="s">
        <v>10905</v>
      </c>
      <c r="S894" s="109" t="s">
        <v>10906</v>
      </c>
      <c r="T894" s="114" t="s">
        <v>10907</v>
      </c>
      <c r="U894" s="114" t="s">
        <v>10908</v>
      </c>
      <c r="V894" s="112" t="s">
        <v>10909</v>
      </c>
      <c r="W894" s="112" t="s">
        <v>10910</v>
      </c>
    </row>
    <row r="895" spans="1:23" s="2" customFormat="1" ht="12">
      <c r="A895" s="11"/>
      <c r="B895" s="108"/>
      <c r="C895" s="109"/>
      <c r="D895" s="14" t="str">
        <f>D894</f>
        <v>稻草熊影业</v>
      </c>
      <c r="E895" s="109"/>
      <c r="F895" s="112"/>
      <c r="G895" s="109"/>
      <c r="H895" s="109"/>
      <c r="I895" s="109"/>
      <c r="J895" s="109"/>
      <c r="K895" s="109"/>
      <c r="L895" s="109"/>
      <c r="M895" s="109"/>
      <c r="N895" s="13" t="s">
        <v>10911</v>
      </c>
      <c r="O895" s="15" t="s">
        <v>654</v>
      </c>
      <c r="P895" s="13" t="s">
        <v>1032</v>
      </c>
      <c r="Q895" s="13" t="s">
        <v>10912</v>
      </c>
      <c r="R895" s="109"/>
      <c r="S895" s="109"/>
      <c r="T895" s="112"/>
      <c r="U895" s="112"/>
      <c r="V895" s="112"/>
      <c r="W895" s="112"/>
    </row>
    <row r="896" spans="1:23" s="2" customFormat="1" ht="12">
      <c r="A896" s="11"/>
      <c r="B896" s="108"/>
      <c r="C896" s="109"/>
      <c r="D896" s="14" t="str">
        <f>D895</f>
        <v>稻草熊影业</v>
      </c>
      <c r="E896" s="109"/>
      <c r="F896" s="112"/>
      <c r="G896" s="109"/>
      <c r="H896" s="109"/>
      <c r="I896" s="109"/>
      <c r="J896" s="109"/>
      <c r="K896" s="109"/>
      <c r="L896" s="109"/>
      <c r="M896" s="109"/>
      <c r="N896" s="13" t="s">
        <v>10913</v>
      </c>
      <c r="O896" s="15" t="s">
        <v>285</v>
      </c>
      <c r="P896" s="15" t="s">
        <v>341</v>
      </c>
      <c r="Q896" s="15" t="s">
        <v>10914</v>
      </c>
      <c r="R896" s="109"/>
      <c r="S896" s="109"/>
      <c r="T896" s="112"/>
      <c r="U896" s="112"/>
      <c r="V896" s="112"/>
      <c r="W896" s="112"/>
    </row>
    <row r="897" spans="1:23" s="2" customFormat="1" ht="12">
      <c r="A897" s="11"/>
      <c r="B897" s="108"/>
      <c r="C897" s="109"/>
      <c r="D897" s="14" t="str">
        <f>D896</f>
        <v>稻草熊影业</v>
      </c>
      <c r="E897" s="109"/>
      <c r="F897" s="112"/>
      <c r="G897" s="109"/>
      <c r="H897" s="109"/>
      <c r="I897" s="109"/>
      <c r="J897" s="109"/>
      <c r="K897" s="109"/>
      <c r="L897" s="109"/>
      <c r="M897" s="109"/>
      <c r="N897" s="13" t="s">
        <v>10915</v>
      </c>
      <c r="O897" s="15" t="s">
        <v>285</v>
      </c>
      <c r="P897" s="15" t="s">
        <v>341</v>
      </c>
      <c r="Q897" s="15" t="s">
        <v>8330</v>
      </c>
      <c r="R897" s="109"/>
      <c r="S897" s="109"/>
      <c r="T897" s="112"/>
      <c r="U897" s="112"/>
      <c r="V897" s="112"/>
      <c r="W897" s="112"/>
    </row>
    <row r="898" spans="1:23" s="2" customFormat="1" ht="12">
      <c r="A898" s="11"/>
      <c r="B898" s="108"/>
      <c r="C898" s="109"/>
      <c r="D898" s="14" t="str">
        <f>D897</f>
        <v>稻草熊影业</v>
      </c>
      <c r="E898" s="109"/>
      <c r="F898" s="112"/>
      <c r="G898" s="109"/>
      <c r="H898" s="109"/>
      <c r="I898" s="109"/>
      <c r="J898" s="109"/>
      <c r="K898" s="109"/>
      <c r="L898" s="109"/>
      <c r="M898" s="109"/>
      <c r="N898" s="13" t="s">
        <v>10916</v>
      </c>
      <c r="O898" s="15" t="s">
        <v>471</v>
      </c>
      <c r="P898" s="13" t="s">
        <v>10917</v>
      </c>
      <c r="Q898" s="15" t="s">
        <v>10918</v>
      </c>
      <c r="R898" s="109"/>
      <c r="S898" s="109"/>
      <c r="T898" s="112"/>
      <c r="U898" s="112"/>
      <c r="V898" s="112"/>
      <c r="W898" s="112"/>
    </row>
    <row r="899" spans="1:23" s="2" customFormat="1" ht="12">
      <c r="A899" s="11"/>
      <c r="B899" s="108"/>
      <c r="C899" s="109" t="s">
        <v>8255</v>
      </c>
      <c r="D899" s="14" t="s">
        <v>10919</v>
      </c>
      <c r="E899" s="113" t="s">
        <v>10919</v>
      </c>
      <c r="F899" s="114" t="s">
        <v>10920</v>
      </c>
      <c r="G899" s="113" t="s">
        <v>10921</v>
      </c>
      <c r="H899" s="109" t="s">
        <v>10922</v>
      </c>
      <c r="I899" s="109" t="s">
        <v>334</v>
      </c>
      <c r="J899" s="113" t="s">
        <v>372</v>
      </c>
      <c r="K899" s="113" t="s">
        <v>272</v>
      </c>
      <c r="L899" s="113" t="s">
        <v>386</v>
      </c>
      <c r="M899" s="113" t="s">
        <v>817</v>
      </c>
      <c r="N899" s="13" t="s">
        <v>8255</v>
      </c>
      <c r="O899" s="13" t="s">
        <v>565</v>
      </c>
      <c r="P899" s="15" t="s">
        <v>252</v>
      </c>
      <c r="Q899" s="15" t="s">
        <v>10923</v>
      </c>
      <c r="R899" s="109" t="s">
        <v>9334</v>
      </c>
      <c r="S899" s="113" t="s">
        <v>255</v>
      </c>
      <c r="T899" s="114" t="s">
        <v>10924</v>
      </c>
      <c r="U899" s="114" t="s">
        <v>10925</v>
      </c>
      <c r="V899" s="112" t="s">
        <v>10926</v>
      </c>
      <c r="W899" s="112" t="s">
        <v>10927</v>
      </c>
    </row>
    <row r="900" spans="1:23" s="2" customFormat="1" ht="12">
      <c r="A900" s="11"/>
      <c r="B900" s="108"/>
      <c r="C900" s="109"/>
      <c r="D900" s="14" t="str">
        <f>D899</f>
        <v>两点十分动漫</v>
      </c>
      <c r="E900" s="109"/>
      <c r="F900" s="112"/>
      <c r="G900" s="109"/>
      <c r="H900" s="109"/>
      <c r="I900" s="109"/>
      <c r="J900" s="109"/>
      <c r="K900" s="109"/>
      <c r="L900" s="109"/>
      <c r="M900" s="109"/>
      <c r="N900" s="13" t="s">
        <v>10928</v>
      </c>
      <c r="O900" s="15" t="s">
        <v>285</v>
      </c>
      <c r="P900" s="15" t="s">
        <v>252</v>
      </c>
      <c r="Q900" s="15" t="s">
        <v>10929</v>
      </c>
      <c r="R900" s="109"/>
      <c r="S900" s="109"/>
      <c r="T900" s="112"/>
      <c r="U900" s="112"/>
      <c r="V900" s="112"/>
      <c r="W900" s="112"/>
    </row>
    <row r="901" spans="1:23" s="2" customFormat="1" ht="12">
      <c r="A901" s="11"/>
      <c r="B901" s="108"/>
      <c r="C901" s="109"/>
      <c r="D901" s="14" t="str">
        <f>D900</f>
        <v>两点十分动漫</v>
      </c>
      <c r="E901" s="109"/>
      <c r="F901" s="112"/>
      <c r="G901" s="109"/>
      <c r="H901" s="109"/>
      <c r="I901" s="109"/>
      <c r="J901" s="109"/>
      <c r="K901" s="109"/>
      <c r="L901" s="109"/>
      <c r="M901" s="109"/>
      <c r="N901" s="13" t="s">
        <v>9356</v>
      </c>
      <c r="O901" s="13" t="s">
        <v>257</v>
      </c>
      <c r="P901" s="15" t="s">
        <v>341</v>
      </c>
      <c r="Q901" s="15" t="s">
        <v>10930</v>
      </c>
      <c r="R901" s="109"/>
      <c r="S901" s="109"/>
      <c r="T901" s="112"/>
      <c r="U901" s="112"/>
      <c r="V901" s="112"/>
      <c r="W901" s="112"/>
    </row>
    <row r="902" spans="1:23" s="2" customFormat="1" ht="12">
      <c r="A902" s="11"/>
      <c r="B902" s="108"/>
      <c r="C902" s="109"/>
      <c r="D902" s="14" t="str">
        <f>D901</f>
        <v>两点十分动漫</v>
      </c>
      <c r="E902" s="109"/>
      <c r="F902" s="112"/>
      <c r="G902" s="109"/>
      <c r="H902" s="109"/>
      <c r="I902" s="109"/>
      <c r="J902" s="109"/>
      <c r="K902" s="109"/>
      <c r="L902" s="109"/>
      <c r="M902" s="109"/>
      <c r="N902" s="13" t="s">
        <v>10931</v>
      </c>
      <c r="O902" s="13" t="s">
        <v>262</v>
      </c>
      <c r="P902" s="15" t="s">
        <v>341</v>
      </c>
      <c r="Q902" s="15" t="s">
        <v>10932</v>
      </c>
      <c r="R902" s="109"/>
      <c r="S902" s="109"/>
      <c r="T902" s="112"/>
      <c r="U902" s="112"/>
      <c r="V902" s="112"/>
      <c r="W902" s="112"/>
    </row>
    <row r="903" spans="1:23" s="2" customFormat="1" ht="12">
      <c r="A903" s="11"/>
      <c r="B903" s="108"/>
      <c r="C903" s="109" t="s">
        <v>3366</v>
      </c>
      <c r="D903" s="14" t="s">
        <v>10933</v>
      </c>
      <c r="E903" s="113" t="s">
        <v>10933</v>
      </c>
      <c r="F903" s="114" t="s">
        <v>10934</v>
      </c>
      <c r="G903" s="113" t="s">
        <v>10935</v>
      </c>
      <c r="H903" s="109"/>
      <c r="I903" s="109" t="s">
        <v>784</v>
      </c>
      <c r="J903" s="113" t="s">
        <v>385</v>
      </c>
      <c r="K903" s="113" t="s">
        <v>272</v>
      </c>
      <c r="L903" s="113" t="s">
        <v>386</v>
      </c>
      <c r="M903" s="113" t="s">
        <v>387</v>
      </c>
      <c r="N903" s="13" t="s">
        <v>3366</v>
      </c>
      <c r="O903" s="15" t="s">
        <v>285</v>
      </c>
      <c r="P903" s="15" t="s">
        <v>327</v>
      </c>
      <c r="Q903" s="15" t="s">
        <v>8330</v>
      </c>
      <c r="R903" s="109" t="s">
        <v>9877</v>
      </c>
      <c r="S903" s="109" t="s">
        <v>1609</v>
      </c>
      <c r="T903" s="114" t="s">
        <v>10936</v>
      </c>
      <c r="U903" s="114" t="s">
        <v>10937</v>
      </c>
      <c r="V903" s="112" t="s">
        <v>10938</v>
      </c>
      <c r="W903" s="112" t="s">
        <v>10939</v>
      </c>
    </row>
    <row r="904" spans="1:23" s="2" customFormat="1" ht="12">
      <c r="A904" s="11"/>
      <c r="B904" s="108"/>
      <c r="C904" s="109"/>
      <c r="D904" s="14" t="str">
        <f>D903</f>
        <v>麦特文化</v>
      </c>
      <c r="E904" s="109"/>
      <c r="F904" s="112"/>
      <c r="G904" s="109"/>
      <c r="H904" s="109"/>
      <c r="I904" s="109"/>
      <c r="J904" s="109"/>
      <c r="K904" s="109"/>
      <c r="L904" s="109"/>
      <c r="M904" s="109"/>
      <c r="N904" s="13" t="s">
        <v>10940</v>
      </c>
      <c r="O904" s="13" t="s">
        <v>262</v>
      </c>
      <c r="P904" s="15" t="s">
        <v>252</v>
      </c>
      <c r="Q904" s="15" t="s">
        <v>9180</v>
      </c>
      <c r="R904" s="109"/>
      <c r="S904" s="109"/>
      <c r="T904" s="112"/>
      <c r="U904" s="112"/>
      <c r="V904" s="112"/>
      <c r="W904" s="112"/>
    </row>
    <row r="905" spans="1:23" s="2" customFormat="1" ht="72">
      <c r="A905" s="11"/>
      <c r="B905" s="108"/>
      <c r="C905" s="13" t="s">
        <v>8093</v>
      </c>
      <c r="D905" s="19" t="s">
        <v>10941</v>
      </c>
      <c r="E905" s="15" t="s">
        <v>10941</v>
      </c>
      <c r="F905" s="16" t="s">
        <v>10942</v>
      </c>
      <c r="G905" s="15" t="s">
        <v>10943</v>
      </c>
      <c r="H905" s="13"/>
      <c r="I905" s="13" t="s">
        <v>2809</v>
      </c>
      <c r="J905" s="15" t="s">
        <v>406</v>
      </c>
      <c r="K905" s="15" t="s">
        <v>272</v>
      </c>
      <c r="L905" s="15" t="s">
        <v>386</v>
      </c>
      <c r="M905" s="15" t="s">
        <v>387</v>
      </c>
      <c r="N905" s="13" t="s">
        <v>8093</v>
      </c>
      <c r="O905" s="15" t="s">
        <v>471</v>
      </c>
      <c r="P905" s="13" t="s">
        <v>637</v>
      </c>
      <c r="Q905" s="15" t="s">
        <v>8330</v>
      </c>
      <c r="R905" s="13" t="s">
        <v>4335</v>
      </c>
      <c r="S905" s="13" t="s">
        <v>1078</v>
      </c>
      <c r="T905" s="16" t="s">
        <v>10944</v>
      </c>
      <c r="U905" s="16" t="s">
        <v>10945</v>
      </c>
      <c r="V905" s="18"/>
      <c r="W905" s="18"/>
    </row>
    <row r="906" spans="1:23" s="2" customFormat="1" ht="60">
      <c r="A906" s="11"/>
      <c r="B906" s="108"/>
      <c r="C906" s="13" t="s">
        <v>10946</v>
      </c>
      <c r="D906" s="19" t="s">
        <v>10947</v>
      </c>
      <c r="E906" s="15" t="s">
        <v>10947</v>
      </c>
      <c r="F906" s="16" t="s">
        <v>10948</v>
      </c>
      <c r="G906" s="15" t="s">
        <v>10949</v>
      </c>
      <c r="H906" s="13"/>
      <c r="I906" s="13" t="s">
        <v>2022</v>
      </c>
      <c r="J906" s="15" t="s">
        <v>2539</v>
      </c>
      <c r="K906" s="15" t="s">
        <v>272</v>
      </c>
      <c r="L906" s="15" t="s">
        <v>386</v>
      </c>
      <c r="M906" s="15" t="s">
        <v>387</v>
      </c>
      <c r="N906" s="13" t="s">
        <v>10946</v>
      </c>
      <c r="O906" s="15" t="s">
        <v>285</v>
      </c>
      <c r="P906" s="15" t="s">
        <v>252</v>
      </c>
      <c r="Q906" s="15" t="s">
        <v>8330</v>
      </c>
      <c r="R906" s="13" t="s">
        <v>4335</v>
      </c>
      <c r="S906" s="15" t="s">
        <v>255</v>
      </c>
      <c r="T906" s="16" t="s">
        <v>10950</v>
      </c>
      <c r="U906" s="16" t="s">
        <v>10951</v>
      </c>
      <c r="V906" s="18"/>
      <c r="W906" s="18" t="s">
        <v>10952</v>
      </c>
    </row>
    <row r="907" spans="1:23" s="2" customFormat="1" ht="12">
      <c r="A907" s="11"/>
      <c r="B907" s="108"/>
      <c r="C907" s="109" t="s">
        <v>10364</v>
      </c>
      <c r="D907" s="14" t="s">
        <v>10953</v>
      </c>
      <c r="E907" s="109" t="s">
        <v>10953</v>
      </c>
      <c r="F907" s="112" t="s">
        <v>10954</v>
      </c>
      <c r="G907" s="109"/>
      <c r="H907" s="109" t="s">
        <v>10955</v>
      </c>
      <c r="I907" s="109" t="s">
        <v>1563</v>
      </c>
      <c r="J907" s="113" t="s">
        <v>1725</v>
      </c>
      <c r="K907" s="113" t="s">
        <v>272</v>
      </c>
      <c r="L907" s="113" t="s">
        <v>335</v>
      </c>
      <c r="M907" s="113" t="s">
        <v>1300</v>
      </c>
      <c r="N907" s="13" t="s">
        <v>10364</v>
      </c>
      <c r="O907" s="15" t="s">
        <v>471</v>
      </c>
      <c r="P907" s="13" t="s">
        <v>676</v>
      </c>
      <c r="Q907" s="13" t="s">
        <v>1998</v>
      </c>
      <c r="R907" s="109" t="s">
        <v>10956</v>
      </c>
      <c r="S907" s="109" t="s">
        <v>10957</v>
      </c>
      <c r="T907" s="112" t="s">
        <v>10958</v>
      </c>
      <c r="U907" s="112"/>
      <c r="V907" s="112"/>
      <c r="W907" s="112" t="s">
        <v>10959</v>
      </c>
    </row>
    <row r="908" spans="1:23" s="2" customFormat="1" ht="12">
      <c r="A908" s="11"/>
      <c r="B908" s="108"/>
      <c r="C908" s="109"/>
      <c r="D908" s="14" t="str">
        <f>D907</f>
        <v>TicketNew</v>
      </c>
      <c r="E908" s="109"/>
      <c r="F908" s="112"/>
      <c r="G908" s="109"/>
      <c r="H908" s="109"/>
      <c r="I908" s="109"/>
      <c r="J908" s="109"/>
      <c r="K908" s="109"/>
      <c r="L908" s="109"/>
      <c r="M908" s="109"/>
      <c r="N908" s="13" t="s">
        <v>8496</v>
      </c>
      <c r="O908" s="15" t="s">
        <v>471</v>
      </c>
      <c r="P908" s="15" t="s">
        <v>276</v>
      </c>
      <c r="Q908" s="15" t="s">
        <v>8330</v>
      </c>
      <c r="R908" s="109"/>
      <c r="S908" s="109"/>
      <c r="T908" s="112"/>
      <c r="U908" s="112"/>
      <c r="V908" s="112"/>
      <c r="W908" s="112"/>
    </row>
    <row r="909" spans="1:23" s="2" customFormat="1" ht="12">
      <c r="A909" s="11"/>
      <c r="B909" s="108"/>
      <c r="C909" s="109" t="s">
        <v>10960</v>
      </c>
      <c r="D909" s="14" t="s">
        <v>10961</v>
      </c>
      <c r="E909" s="113" t="s">
        <v>10961</v>
      </c>
      <c r="F909" s="114" t="s">
        <v>10962</v>
      </c>
      <c r="G909" s="113" t="s">
        <v>10963</v>
      </c>
      <c r="H909" s="109" t="s">
        <v>10964</v>
      </c>
      <c r="I909" s="109" t="s">
        <v>3265</v>
      </c>
      <c r="J909" s="113" t="s">
        <v>1041</v>
      </c>
      <c r="K909" s="113" t="s">
        <v>272</v>
      </c>
      <c r="L909" s="113" t="s">
        <v>386</v>
      </c>
      <c r="M909" s="113" t="s">
        <v>1767</v>
      </c>
      <c r="N909" s="13" t="s">
        <v>10960</v>
      </c>
      <c r="O909" s="13" t="s">
        <v>565</v>
      </c>
      <c r="P909" s="15" t="s">
        <v>409</v>
      </c>
      <c r="Q909" s="15" t="s">
        <v>10965</v>
      </c>
      <c r="R909" s="109" t="s">
        <v>10966</v>
      </c>
      <c r="S909" s="109" t="s">
        <v>2601</v>
      </c>
      <c r="T909" s="114" t="s">
        <v>10967</v>
      </c>
      <c r="U909" s="114" t="s">
        <v>10968</v>
      </c>
      <c r="V909" s="112" t="s">
        <v>10969</v>
      </c>
      <c r="W909" s="112" t="s">
        <v>10970</v>
      </c>
    </row>
    <row r="910" spans="1:23" s="2" customFormat="1" ht="12">
      <c r="A910" s="11"/>
      <c r="B910" s="108"/>
      <c r="C910" s="109"/>
      <c r="D910" s="14" t="str">
        <f>D909</f>
        <v>兴格传媒</v>
      </c>
      <c r="E910" s="109"/>
      <c r="F910" s="112"/>
      <c r="G910" s="109"/>
      <c r="H910" s="109"/>
      <c r="I910" s="109"/>
      <c r="J910" s="109"/>
      <c r="K910" s="109"/>
      <c r="L910" s="109"/>
      <c r="M910" s="109"/>
      <c r="N910" s="13" t="s">
        <v>9303</v>
      </c>
      <c r="O910" s="13" t="s">
        <v>257</v>
      </c>
      <c r="P910" s="13" t="s">
        <v>773</v>
      </c>
      <c r="Q910" s="15" t="s">
        <v>10971</v>
      </c>
      <c r="R910" s="109"/>
      <c r="S910" s="109"/>
      <c r="T910" s="112"/>
      <c r="U910" s="112"/>
      <c r="V910" s="112"/>
      <c r="W910" s="112"/>
    </row>
    <row r="911" spans="1:23" s="2" customFormat="1" ht="12">
      <c r="A911" s="11"/>
      <c r="B911" s="108"/>
      <c r="C911" s="109"/>
      <c r="D911" s="14" t="str">
        <f>D910</f>
        <v>兴格传媒</v>
      </c>
      <c r="E911" s="109"/>
      <c r="F911" s="112"/>
      <c r="G911" s="109"/>
      <c r="H911" s="109"/>
      <c r="I911" s="109"/>
      <c r="J911" s="109"/>
      <c r="K911" s="109"/>
      <c r="L911" s="109"/>
      <c r="M911" s="109"/>
      <c r="N911" s="13" t="s">
        <v>10435</v>
      </c>
      <c r="O911" s="13" t="s">
        <v>262</v>
      </c>
      <c r="P911" s="13" t="s">
        <v>2336</v>
      </c>
      <c r="Q911" s="15" t="s">
        <v>10972</v>
      </c>
      <c r="R911" s="109"/>
      <c r="S911" s="109"/>
      <c r="T911" s="112"/>
      <c r="U911" s="112"/>
      <c r="V911" s="112"/>
      <c r="W911" s="112"/>
    </row>
    <row r="912" spans="1:23" s="2" customFormat="1" ht="12">
      <c r="A912" s="11"/>
      <c r="B912" s="108"/>
      <c r="C912" s="109" t="s">
        <v>10973</v>
      </c>
      <c r="D912" s="14" t="s">
        <v>10974</v>
      </c>
      <c r="E912" s="113" t="s">
        <v>10974</v>
      </c>
      <c r="F912" s="114" t="s">
        <v>10975</v>
      </c>
      <c r="G912" s="113" t="s">
        <v>10976</v>
      </c>
      <c r="H912" s="109" t="s">
        <v>10977</v>
      </c>
      <c r="I912" s="109" t="s">
        <v>2518</v>
      </c>
      <c r="J912" s="113" t="s">
        <v>247</v>
      </c>
      <c r="K912" s="113" t="s">
        <v>272</v>
      </c>
      <c r="L912" s="113" t="s">
        <v>386</v>
      </c>
      <c r="M912" s="113" t="s">
        <v>387</v>
      </c>
      <c r="N912" s="13" t="s">
        <v>10973</v>
      </c>
      <c r="O912" s="15" t="s">
        <v>285</v>
      </c>
      <c r="P912" s="15" t="s">
        <v>409</v>
      </c>
      <c r="Q912" s="15" t="s">
        <v>10914</v>
      </c>
      <c r="R912" s="109" t="s">
        <v>5550</v>
      </c>
      <c r="S912" s="109" t="s">
        <v>412</v>
      </c>
      <c r="T912" s="114" t="s">
        <v>10978</v>
      </c>
      <c r="U912" s="114" t="s">
        <v>10979</v>
      </c>
      <c r="V912" s="112">
        <v>18001155616</v>
      </c>
      <c r="W912" s="112"/>
    </row>
    <row r="913" spans="1:23" s="2" customFormat="1" ht="12">
      <c r="A913" s="11"/>
      <c r="B913" s="108"/>
      <c r="C913" s="109"/>
      <c r="D913" s="14" t="str">
        <f>D912</f>
        <v>灵河传媒</v>
      </c>
      <c r="E913" s="109"/>
      <c r="F913" s="112"/>
      <c r="G913" s="109"/>
      <c r="H913" s="109"/>
      <c r="I913" s="109"/>
      <c r="J913" s="109"/>
      <c r="K913" s="109"/>
      <c r="L913" s="109"/>
      <c r="M913" s="109"/>
      <c r="N913" s="13" t="s">
        <v>10980</v>
      </c>
      <c r="O913" s="13" t="s">
        <v>262</v>
      </c>
      <c r="P913" s="15" t="s">
        <v>341</v>
      </c>
      <c r="Q913" s="15" t="s">
        <v>10972</v>
      </c>
      <c r="R913" s="109"/>
      <c r="S913" s="109"/>
      <c r="T913" s="112"/>
      <c r="U913" s="112"/>
      <c r="V913" s="112"/>
      <c r="W913" s="112"/>
    </row>
    <row r="914" spans="1:23" s="2" customFormat="1" ht="12">
      <c r="A914" s="11"/>
      <c r="B914" s="108"/>
      <c r="C914" s="109"/>
      <c r="D914" s="14" t="str">
        <f>D913</f>
        <v>灵河传媒</v>
      </c>
      <c r="E914" s="109"/>
      <c r="F914" s="112"/>
      <c r="G914" s="109"/>
      <c r="H914" s="109"/>
      <c r="I914" s="109"/>
      <c r="J914" s="109"/>
      <c r="K914" s="109"/>
      <c r="L914" s="109"/>
      <c r="M914" s="109"/>
      <c r="N914" s="13" t="s">
        <v>10981</v>
      </c>
      <c r="O914" s="15" t="s">
        <v>326</v>
      </c>
      <c r="P914" s="15" t="s">
        <v>341</v>
      </c>
      <c r="Q914" s="15" t="s">
        <v>10982</v>
      </c>
      <c r="R914" s="109"/>
      <c r="S914" s="109"/>
      <c r="T914" s="112"/>
      <c r="U914" s="112"/>
      <c r="V914" s="112"/>
      <c r="W914" s="112"/>
    </row>
    <row r="915" spans="1:23" s="2" customFormat="1" ht="12">
      <c r="A915" s="11"/>
      <c r="B915" s="108"/>
      <c r="C915" s="109" t="s">
        <v>10983</v>
      </c>
      <c r="D915" s="14" t="s">
        <v>10984</v>
      </c>
      <c r="E915" s="113" t="s">
        <v>10984</v>
      </c>
      <c r="F915" s="114" t="s">
        <v>10985</v>
      </c>
      <c r="G915" s="113" t="s">
        <v>10986</v>
      </c>
      <c r="H915" s="109"/>
      <c r="I915" s="109" t="s">
        <v>3145</v>
      </c>
      <c r="J915" s="113" t="s">
        <v>5179</v>
      </c>
      <c r="K915" s="113" t="s">
        <v>272</v>
      </c>
      <c r="L915" s="113" t="s">
        <v>386</v>
      </c>
      <c r="M915" s="113" t="s">
        <v>631</v>
      </c>
      <c r="N915" s="13" t="s">
        <v>10983</v>
      </c>
      <c r="O915" s="15" t="s">
        <v>471</v>
      </c>
      <c r="P915" s="13" t="s">
        <v>856</v>
      </c>
      <c r="Q915" s="15" t="s">
        <v>8330</v>
      </c>
      <c r="R915" s="109" t="s">
        <v>10987</v>
      </c>
      <c r="S915" s="109" t="s">
        <v>10102</v>
      </c>
      <c r="T915" s="114" t="s">
        <v>10988</v>
      </c>
      <c r="U915" s="114" t="s">
        <v>10989</v>
      </c>
      <c r="V915" s="112" t="s">
        <v>10990</v>
      </c>
      <c r="W915" s="112" t="s">
        <v>10991</v>
      </c>
    </row>
    <row r="916" spans="1:23" s="2" customFormat="1" ht="12">
      <c r="A916" s="11"/>
      <c r="B916" s="108"/>
      <c r="C916" s="109"/>
      <c r="D916" s="14" t="str">
        <f>D915</f>
        <v>银河酷娱</v>
      </c>
      <c r="E916" s="109"/>
      <c r="F916" s="112"/>
      <c r="G916" s="109"/>
      <c r="H916" s="109"/>
      <c r="I916" s="109"/>
      <c r="J916" s="109"/>
      <c r="K916" s="109"/>
      <c r="L916" s="109"/>
      <c r="M916" s="109"/>
      <c r="N916" s="13" t="s">
        <v>10992</v>
      </c>
      <c r="O916" s="13" t="s">
        <v>257</v>
      </c>
      <c r="P916" s="13" t="s">
        <v>578</v>
      </c>
      <c r="Q916" s="15" t="s">
        <v>10993</v>
      </c>
      <c r="R916" s="109"/>
      <c r="S916" s="109"/>
      <c r="T916" s="112"/>
      <c r="U916" s="112"/>
      <c r="V916" s="112"/>
      <c r="W916" s="112"/>
    </row>
    <row r="917" spans="1:23" s="2" customFormat="1" ht="12">
      <c r="A917" s="11"/>
      <c r="B917" s="108"/>
      <c r="C917" s="109"/>
      <c r="D917" s="14" t="str">
        <f>D916</f>
        <v>银河酷娱</v>
      </c>
      <c r="E917" s="109"/>
      <c r="F917" s="112"/>
      <c r="G917" s="109"/>
      <c r="H917" s="109"/>
      <c r="I917" s="109"/>
      <c r="J917" s="109"/>
      <c r="K917" s="109"/>
      <c r="L917" s="109"/>
      <c r="M917" s="109"/>
      <c r="N917" s="13" t="s">
        <v>8854</v>
      </c>
      <c r="O917" s="13" t="s">
        <v>262</v>
      </c>
      <c r="P917" s="15" t="s">
        <v>341</v>
      </c>
      <c r="Q917" s="15" t="s">
        <v>10994</v>
      </c>
      <c r="R917" s="109"/>
      <c r="S917" s="109"/>
      <c r="T917" s="112"/>
      <c r="U917" s="112"/>
      <c r="V917" s="112"/>
      <c r="W917" s="112"/>
    </row>
    <row r="918" spans="1:23" s="2" customFormat="1" ht="48">
      <c r="A918" s="11"/>
      <c r="B918" s="108"/>
      <c r="C918" s="13" t="s">
        <v>10995</v>
      </c>
      <c r="D918" s="19" t="s">
        <v>10996</v>
      </c>
      <c r="E918" s="15" t="s">
        <v>10996</v>
      </c>
      <c r="F918" s="16" t="s">
        <v>10997</v>
      </c>
      <c r="G918" s="15" t="s">
        <v>10998</v>
      </c>
      <c r="H918" s="13"/>
      <c r="I918" s="13" t="s">
        <v>2991</v>
      </c>
      <c r="J918" s="15" t="s">
        <v>428</v>
      </c>
      <c r="K918" s="15" t="s">
        <v>272</v>
      </c>
      <c r="L918" s="15" t="s">
        <v>386</v>
      </c>
      <c r="M918" s="15" t="s">
        <v>387</v>
      </c>
      <c r="N918" s="13" t="s">
        <v>10995</v>
      </c>
      <c r="O918" s="15" t="s">
        <v>285</v>
      </c>
      <c r="P918" s="15" t="s">
        <v>341</v>
      </c>
      <c r="Q918" s="15" t="s">
        <v>8330</v>
      </c>
      <c r="R918" s="13" t="s">
        <v>931</v>
      </c>
      <c r="S918" s="13" t="s">
        <v>432</v>
      </c>
      <c r="T918" s="16" t="s">
        <v>10999</v>
      </c>
      <c r="U918" s="16" t="s">
        <v>11000</v>
      </c>
      <c r="V918" s="18" t="s">
        <v>11001</v>
      </c>
      <c r="W918" s="18" t="s">
        <v>11002</v>
      </c>
    </row>
    <row r="919" spans="1:23" s="2" customFormat="1" ht="36">
      <c r="A919" s="11"/>
      <c r="B919" s="108"/>
      <c r="C919" s="13" t="s">
        <v>3966</v>
      </c>
      <c r="D919" s="19" t="s">
        <v>11003</v>
      </c>
      <c r="E919" s="15" t="s">
        <v>11003</v>
      </c>
      <c r="F919" s="16" t="s">
        <v>11004</v>
      </c>
      <c r="G919" s="15" t="s">
        <v>11005</v>
      </c>
      <c r="H919" s="13"/>
      <c r="I919" s="13" t="s">
        <v>10645</v>
      </c>
      <c r="J919" s="15" t="s">
        <v>1126</v>
      </c>
      <c r="K919" s="15" t="s">
        <v>272</v>
      </c>
      <c r="L919" s="15" t="s">
        <v>386</v>
      </c>
      <c r="M919" s="15" t="s">
        <v>387</v>
      </c>
      <c r="N919" s="13" t="s">
        <v>3966</v>
      </c>
      <c r="O919" s="15" t="s">
        <v>285</v>
      </c>
      <c r="P919" s="15" t="s">
        <v>341</v>
      </c>
      <c r="Q919" s="15" t="s">
        <v>8330</v>
      </c>
      <c r="R919" s="13" t="s">
        <v>931</v>
      </c>
      <c r="S919" s="13" t="s">
        <v>432</v>
      </c>
      <c r="T919" s="16" t="s">
        <v>11006</v>
      </c>
      <c r="U919" s="16" t="s">
        <v>11007</v>
      </c>
      <c r="V919" s="18" t="s">
        <v>11008</v>
      </c>
      <c r="W919" s="18" t="s">
        <v>11009</v>
      </c>
    </row>
    <row r="920" spans="1:23" s="2" customFormat="1" ht="12">
      <c r="A920" s="11"/>
      <c r="B920" s="108"/>
      <c r="C920" s="109" t="s">
        <v>8997</v>
      </c>
      <c r="D920" s="14" t="s">
        <v>11010</v>
      </c>
      <c r="E920" s="113" t="s">
        <v>11010</v>
      </c>
      <c r="F920" s="114" t="s">
        <v>11011</v>
      </c>
      <c r="G920" s="113" t="s">
        <v>11012</v>
      </c>
      <c r="H920" s="109"/>
      <c r="I920" s="109" t="s">
        <v>3629</v>
      </c>
      <c r="J920" s="113" t="s">
        <v>385</v>
      </c>
      <c r="K920" s="113" t="s">
        <v>272</v>
      </c>
      <c r="L920" s="113" t="s">
        <v>386</v>
      </c>
      <c r="M920" s="113" t="s">
        <v>387</v>
      </c>
      <c r="N920" s="13" t="s">
        <v>8997</v>
      </c>
      <c r="O920" s="15" t="s">
        <v>471</v>
      </c>
      <c r="P920" s="13" t="s">
        <v>11013</v>
      </c>
      <c r="Q920" s="15" t="s">
        <v>11014</v>
      </c>
      <c r="R920" s="109" t="s">
        <v>11015</v>
      </c>
      <c r="S920" s="109" t="s">
        <v>11016</v>
      </c>
      <c r="T920" s="114" t="s">
        <v>11017</v>
      </c>
      <c r="U920" s="114" t="s">
        <v>11018</v>
      </c>
      <c r="V920" s="112" t="s">
        <v>11019</v>
      </c>
      <c r="W920" s="112" t="s">
        <v>11020</v>
      </c>
    </row>
    <row r="921" spans="1:23" s="2" customFormat="1" ht="12">
      <c r="A921" s="11"/>
      <c r="B921" s="108"/>
      <c r="C921" s="109"/>
      <c r="D921" s="14" t="str">
        <f>D920</f>
        <v>悦凯影视</v>
      </c>
      <c r="E921" s="109"/>
      <c r="F921" s="112"/>
      <c r="G921" s="109"/>
      <c r="H921" s="109"/>
      <c r="I921" s="109"/>
      <c r="J921" s="109"/>
      <c r="K921" s="109"/>
      <c r="L921" s="109"/>
      <c r="M921" s="109"/>
      <c r="N921" s="13" t="s">
        <v>9039</v>
      </c>
      <c r="O921" s="15" t="s">
        <v>285</v>
      </c>
      <c r="P921" s="13" t="s">
        <v>3761</v>
      </c>
      <c r="Q921" s="15" t="s">
        <v>11021</v>
      </c>
      <c r="R921" s="109"/>
      <c r="S921" s="109"/>
      <c r="T921" s="112"/>
      <c r="U921" s="112"/>
      <c r="V921" s="112"/>
      <c r="W921" s="112"/>
    </row>
    <row r="922" spans="1:23" s="2" customFormat="1" ht="12">
      <c r="A922" s="11"/>
      <c r="B922" s="108"/>
      <c r="C922" s="109"/>
      <c r="D922" s="14" t="str">
        <f>D921</f>
        <v>悦凯影视</v>
      </c>
      <c r="E922" s="109"/>
      <c r="F922" s="112"/>
      <c r="G922" s="109"/>
      <c r="H922" s="109"/>
      <c r="I922" s="109"/>
      <c r="J922" s="109"/>
      <c r="K922" s="109"/>
      <c r="L922" s="109"/>
      <c r="M922" s="109"/>
      <c r="N922" s="13" t="s">
        <v>11022</v>
      </c>
      <c r="O922" s="15" t="s">
        <v>285</v>
      </c>
      <c r="P922" s="15" t="s">
        <v>341</v>
      </c>
      <c r="Q922" s="15" t="s">
        <v>8330</v>
      </c>
      <c r="R922" s="109"/>
      <c r="S922" s="109"/>
      <c r="T922" s="112"/>
      <c r="U922" s="112"/>
      <c r="V922" s="112"/>
      <c r="W922" s="112"/>
    </row>
    <row r="923" spans="1:23" s="2" customFormat="1" ht="12">
      <c r="A923" s="11"/>
      <c r="B923" s="108"/>
      <c r="C923" s="109" t="s">
        <v>9471</v>
      </c>
      <c r="D923" s="14" t="s">
        <v>11023</v>
      </c>
      <c r="E923" s="113" t="s">
        <v>11023</v>
      </c>
      <c r="F923" s="114" t="s">
        <v>11024</v>
      </c>
      <c r="G923" s="113" t="s">
        <v>11025</v>
      </c>
      <c r="H923" s="109" t="s">
        <v>11026</v>
      </c>
      <c r="I923" s="109" t="s">
        <v>496</v>
      </c>
      <c r="J923" s="113" t="s">
        <v>1215</v>
      </c>
      <c r="K923" s="113" t="s">
        <v>272</v>
      </c>
      <c r="L923" s="113" t="s">
        <v>386</v>
      </c>
      <c r="M923" s="113" t="s">
        <v>387</v>
      </c>
      <c r="N923" s="13" t="s">
        <v>9471</v>
      </c>
      <c r="O923" s="13" t="s">
        <v>251</v>
      </c>
      <c r="P923" s="15" t="s">
        <v>252</v>
      </c>
      <c r="Q923" s="15" t="s">
        <v>11027</v>
      </c>
      <c r="R923" s="109" t="s">
        <v>9607</v>
      </c>
      <c r="S923" s="113" t="s">
        <v>255</v>
      </c>
      <c r="T923" s="114" t="s">
        <v>11028</v>
      </c>
      <c r="U923" s="114" t="s">
        <v>11029</v>
      </c>
      <c r="V923" s="112" t="s">
        <v>11030</v>
      </c>
      <c r="W923" s="112" t="s">
        <v>11031</v>
      </c>
    </row>
    <row r="924" spans="1:23" s="2" customFormat="1" ht="12">
      <c r="A924" s="11"/>
      <c r="B924" s="108"/>
      <c r="C924" s="109"/>
      <c r="D924" s="14" t="str">
        <f>D923</f>
        <v>上海影视传媒</v>
      </c>
      <c r="E924" s="109"/>
      <c r="F924" s="112"/>
      <c r="G924" s="109"/>
      <c r="H924" s="109"/>
      <c r="I924" s="109"/>
      <c r="J924" s="109"/>
      <c r="K924" s="109"/>
      <c r="L924" s="109"/>
      <c r="M924" s="109"/>
      <c r="N924" s="13" t="s">
        <v>11032</v>
      </c>
      <c r="O924" s="13" t="s">
        <v>257</v>
      </c>
      <c r="P924" s="15" t="s">
        <v>252</v>
      </c>
      <c r="Q924" s="15" t="s">
        <v>10914</v>
      </c>
      <c r="R924" s="109"/>
      <c r="S924" s="109"/>
      <c r="T924" s="112"/>
      <c r="U924" s="112"/>
      <c r="V924" s="112"/>
      <c r="W924" s="112"/>
    </row>
    <row r="925" spans="1:23" s="2" customFormat="1" ht="12">
      <c r="A925" s="11"/>
      <c r="B925" s="108"/>
      <c r="C925" s="109"/>
      <c r="D925" s="14" t="str">
        <f>D924</f>
        <v>上海影视传媒</v>
      </c>
      <c r="E925" s="109"/>
      <c r="F925" s="112"/>
      <c r="G925" s="109"/>
      <c r="H925" s="109"/>
      <c r="I925" s="109"/>
      <c r="J925" s="109"/>
      <c r="K925" s="109"/>
      <c r="L925" s="109"/>
      <c r="M925" s="109"/>
      <c r="N925" s="13" t="s">
        <v>11033</v>
      </c>
      <c r="O925" s="15" t="s">
        <v>285</v>
      </c>
      <c r="P925" s="13" t="s">
        <v>360</v>
      </c>
      <c r="Q925" s="15" t="s">
        <v>8330</v>
      </c>
      <c r="R925" s="109"/>
      <c r="S925" s="109"/>
      <c r="T925" s="112"/>
      <c r="U925" s="112"/>
      <c r="V925" s="112"/>
      <c r="W925" s="112"/>
    </row>
    <row r="926" spans="1:23" s="2" customFormat="1" ht="12">
      <c r="A926" s="11"/>
      <c r="B926" s="108"/>
      <c r="C926" s="109"/>
      <c r="D926" s="14" t="str">
        <f>D925</f>
        <v>上海影视传媒</v>
      </c>
      <c r="E926" s="109"/>
      <c r="F926" s="112"/>
      <c r="G926" s="109"/>
      <c r="H926" s="109"/>
      <c r="I926" s="109"/>
      <c r="J926" s="109"/>
      <c r="K926" s="109"/>
      <c r="L926" s="109"/>
      <c r="M926" s="109"/>
      <c r="N926" s="13" t="s">
        <v>8044</v>
      </c>
      <c r="O926" s="13" t="s">
        <v>262</v>
      </c>
      <c r="P926" s="15" t="s">
        <v>252</v>
      </c>
      <c r="Q926" s="15" t="s">
        <v>10873</v>
      </c>
      <c r="R926" s="109"/>
      <c r="S926" s="109"/>
      <c r="T926" s="112"/>
      <c r="U926" s="112"/>
      <c r="V926" s="112"/>
      <c r="W926" s="112"/>
    </row>
    <row r="927" spans="1:23" s="2" customFormat="1" ht="60">
      <c r="A927" s="11"/>
      <c r="B927" s="108"/>
      <c r="C927" s="13" t="s">
        <v>11034</v>
      </c>
      <c r="D927" s="19" t="s">
        <v>11035</v>
      </c>
      <c r="E927" s="15" t="s">
        <v>11035</v>
      </c>
      <c r="F927" s="16" t="s">
        <v>11036</v>
      </c>
      <c r="G927" s="15" t="s">
        <v>11037</v>
      </c>
      <c r="H927" s="13"/>
      <c r="I927" s="13" t="s">
        <v>9095</v>
      </c>
      <c r="J927" s="15" t="s">
        <v>247</v>
      </c>
      <c r="K927" s="15" t="s">
        <v>272</v>
      </c>
      <c r="L927" s="15" t="s">
        <v>386</v>
      </c>
      <c r="M927" s="15" t="s">
        <v>387</v>
      </c>
      <c r="N927" s="13" t="s">
        <v>11034</v>
      </c>
      <c r="O927" s="15" t="s">
        <v>285</v>
      </c>
      <c r="P927" s="15" t="s">
        <v>341</v>
      </c>
      <c r="Q927" s="15" t="s">
        <v>11038</v>
      </c>
      <c r="R927" s="13" t="s">
        <v>931</v>
      </c>
      <c r="S927" s="13" t="s">
        <v>432</v>
      </c>
      <c r="T927" s="16" t="s">
        <v>11039</v>
      </c>
      <c r="U927" s="16" t="s">
        <v>11040</v>
      </c>
      <c r="V927" s="18"/>
      <c r="W927" s="18"/>
    </row>
    <row r="928" spans="1:23" s="2" customFormat="1" ht="12">
      <c r="A928" s="11"/>
      <c r="B928" s="108"/>
      <c r="C928" s="109" t="s">
        <v>11041</v>
      </c>
      <c r="D928" s="14" t="s">
        <v>11042</v>
      </c>
      <c r="E928" s="113" t="s">
        <v>11042</v>
      </c>
      <c r="F928" s="114" t="s">
        <v>11043</v>
      </c>
      <c r="G928" s="113" t="s">
        <v>11044</v>
      </c>
      <c r="H928" s="109" t="s">
        <v>11045</v>
      </c>
      <c r="I928" s="109" t="s">
        <v>3970</v>
      </c>
      <c r="J928" s="113" t="s">
        <v>385</v>
      </c>
      <c r="K928" s="113" t="s">
        <v>272</v>
      </c>
      <c r="L928" s="113" t="s">
        <v>386</v>
      </c>
      <c r="M928" s="113" t="s">
        <v>645</v>
      </c>
      <c r="N928" s="13" t="s">
        <v>11041</v>
      </c>
      <c r="O928" s="13" t="s">
        <v>262</v>
      </c>
      <c r="P928" s="15" t="s">
        <v>252</v>
      </c>
      <c r="Q928" s="15" t="s">
        <v>8330</v>
      </c>
      <c r="R928" s="109" t="s">
        <v>9877</v>
      </c>
      <c r="S928" s="113" t="s">
        <v>255</v>
      </c>
      <c r="T928" s="114" t="s">
        <v>11046</v>
      </c>
      <c r="U928" s="114" t="s">
        <v>11047</v>
      </c>
      <c r="V928" s="112" t="s">
        <v>11048</v>
      </c>
      <c r="W928" s="112" t="s">
        <v>11049</v>
      </c>
    </row>
    <row r="929" spans="1:23" s="2" customFormat="1" ht="12">
      <c r="A929" s="11"/>
      <c r="B929" s="108"/>
      <c r="C929" s="109"/>
      <c r="D929" s="14" t="str">
        <f>D928</f>
        <v>海马轻帆</v>
      </c>
      <c r="E929" s="109"/>
      <c r="F929" s="112"/>
      <c r="G929" s="109"/>
      <c r="H929" s="109"/>
      <c r="I929" s="109"/>
      <c r="J929" s="109"/>
      <c r="K929" s="109"/>
      <c r="L929" s="109"/>
      <c r="M929" s="109"/>
      <c r="N929" s="13" t="s">
        <v>8530</v>
      </c>
      <c r="O929" s="15" t="s">
        <v>326</v>
      </c>
      <c r="P929" s="15" t="s">
        <v>327</v>
      </c>
      <c r="Q929" s="15" t="s">
        <v>11050</v>
      </c>
      <c r="R929" s="109"/>
      <c r="S929" s="109"/>
      <c r="T929" s="112"/>
      <c r="U929" s="112"/>
      <c r="V929" s="112"/>
      <c r="W929" s="112"/>
    </row>
    <row r="930" spans="1:23" s="2" customFormat="1" ht="72">
      <c r="A930" s="11"/>
      <c r="B930" s="108"/>
      <c r="C930" s="13" t="s">
        <v>11051</v>
      </c>
      <c r="D930" s="19" t="s">
        <v>11052</v>
      </c>
      <c r="E930" s="15" t="s">
        <v>11052</v>
      </c>
      <c r="F930" s="16" t="s">
        <v>11053</v>
      </c>
      <c r="G930" s="15" t="s">
        <v>11054</v>
      </c>
      <c r="H930" s="13"/>
      <c r="I930" s="13" t="s">
        <v>10645</v>
      </c>
      <c r="J930" s="15" t="s">
        <v>406</v>
      </c>
      <c r="K930" s="15" t="s">
        <v>272</v>
      </c>
      <c r="L930" s="15" t="s">
        <v>386</v>
      </c>
      <c r="M930" s="15" t="s">
        <v>387</v>
      </c>
      <c r="N930" s="13" t="s">
        <v>11051</v>
      </c>
      <c r="O930" s="13" t="s">
        <v>262</v>
      </c>
      <c r="P930" s="15" t="s">
        <v>341</v>
      </c>
      <c r="Q930" s="15" t="s">
        <v>11055</v>
      </c>
      <c r="R930" s="13" t="s">
        <v>931</v>
      </c>
      <c r="S930" s="13" t="s">
        <v>432</v>
      </c>
      <c r="T930" s="16" t="s">
        <v>11056</v>
      </c>
      <c r="U930" s="16" t="s">
        <v>11057</v>
      </c>
      <c r="V930" s="18" t="s">
        <v>11058</v>
      </c>
      <c r="W930" s="18"/>
    </row>
    <row r="931" spans="1:23" s="2" customFormat="1" ht="95.5">
      <c r="A931" s="11"/>
      <c r="B931" s="108"/>
      <c r="C931" s="13" t="s">
        <v>11059</v>
      </c>
      <c r="D931" s="19" t="s">
        <v>11060</v>
      </c>
      <c r="E931" s="15" t="s">
        <v>11060</v>
      </c>
      <c r="F931" s="16" t="s">
        <v>11061</v>
      </c>
      <c r="G931" s="15" t="s">
        <v>11062</v>
      </c>
      <c r="H931" s="13" t="s">
        <v>11063</v>
      </c>
      <c r="I931" s="13" t="s">
        <v>4730</v>
      </c>
      <c r="J931" s="15" t="s">
        <v>271</v>
      </c>
      <c r="K931" s="15" t="s">
        <v>272</v>
      </c>
      <c r="L931" s="15" t="s">
        <v>386</v>
      </c>
      <c r="M931" s="15" t="s">
        <v>929</v>
      </c>
      <c r="N931" s="13" t="s">
        <v>11059</v>
      </c>
      <c r="O931" s="13" t="s">
        <v>262</v>
      </c>
      <c r="P931" s="15" t="s">
        <v>252</v>
      </c>
      <c r="Q931" s="15" t="s">
        <v>11064</v>
      </c>
      <c r="R931" s="13" t="s">
        <v>1683</v>
      </c>
      <c r="S931" s="15" t="s">
        <v>255</v>
      </c>
      <c r="T931" s="16" t="s">
        <v>11065</v>
      </c>
      <c r="U931" s="16" t="s">
        <v>11066</v>
      </c>
      <c r="V931" s="18"/>
      <c r="W931" s="18"/>
    </row>
    <row r="932" spans="1:23" s="2" customFormat="1" ht="12">
      <c r="A932" s="11"/>
      <c r="B932" s="108"/>
      <c r="C932" s="109" t="s">
        <v>8692</v>
      </c>
      <c r="D932" s="14" t="s">
        <v>11067</v>
      </c>
      <c r="E932" s="113" t="s">
        <v>11067</v>
      </c>
      <c r="F932" s="114" t="s">
        <v>11068</v>
      </c>
      <c r="G932" s="113" t="s">
        <v>11069</v>
      </c>
      <c r="H932" s="109"/>
      <c r="I932" s="109" t="s">
        <v>9285</v>
      </c>
      <c r="J932" s="113" t="s">
        <v>385</v>
      </c>
      <c r="K932" s="113" t="s">
        <v>272</v>
      </c>
      <c r="L932" s="113" t="s">
        <v>386</v>
      </c>
      <c r="M932" s="113" t="s">
        <v>387</v>
      </c>
      <c r="N932" s="13" t="s">
        <v>8692</v>
      </c>
      <c r="O932" s="15" t="s">
        <v>285</v>
      </c>
      <c r="P932" s="15" t="s">
        <v>252</v>
      </c>
      <c r="Q932" s="15" t="s">
        <v>10914</v>
      </c>
      <c r="R932" s="109" t="s">
        <v>998</v>
      </c>
      <c r="S932" s="113" t="s">
        <v>255</v>
      </c>
      <c r="T932" s="114" t="s">
        <v>11070</v>
      </c>
      <c r="U932" s="114" t="s">
        <v>11071</v>
      </c>
      <c r="V932" s="112" t="s">
        <v>11072</v>
      </c>
      <c r="W932" s="112" t="s">
        <v>11073</v>
      </c>
    </row>
    <row r="933" spans="1:23" s="2" customFormat="1" ht="12">
      <c r="A933" s="11"/>
      <c r="B933" s="108"/>
      <c r="C933" s="109"/>
      <c r="D933" s="14" t="str">
        <f>D932</f>
        <v>新力量影视</v>
      </c>
      <c r="E933" s="109"/>
      <c r="F933" s="112"/>
      <c r="G933" s="109"/>
      <c r="H933" s="109"/>
      <c r="I933" s="109"/>
      <c r="J933" s="109"/>
      <c r="K933" s="109"/>
      <c r="L933" s="109"/>
      <c r="M933" s="109"/>
      <c r="N933" s="13" t="s">
        <v>11074</v>
      </c>
      <c r="O933" s="13" t="s">
        <v>262</v>
      </c>
      <c r="P933" s="15" t="s">
        <v>341</v>
      </c>
      <c r="Q933" s="15" t="s">
        <v>8330</v>
      </c>
      <c r="R933" s="109"/>
      <c r="S933" s="109"/>
      <c r="T933" s="112"/>
      <c r="U933" s="112"/>
      <c r="V933" s="112"/>
      <c r="W933" s="112"/>
    </row>
    <row r="934" spans="1:23" s="2" customFormat="1" ht="12">
      <c r="A934" s="11"/>
      <c r="B934" s="108"/>
      <c r="C934" s="109" t="s">
        <v>11075</v>
      </c>
      <c r="D934" s="14" t="s">
        <v>11076</v>
      </c>
      <c r="E934" s="113" t="s">
        <v>11076</v>
      </c>
      <c r="F934" s="114" t="s">
        <v>11077</v>
      </c>
      <c r="G934" s="113" t="s">
        <v>11078</v>
      </c>
      <c r="H934" s="109"/>
      <c r="I934" s="109" t="s">
        <v>9927</v>
      </c>
      <c r="J934" s="113" t="s">
        <v>385</v>
      </c>
      <c r="K934" s="113" t="s">
        <v>272</v>
      </c>
      <c r="L934" s="113" t="s">
        <v>386</v>
      </c>
      <c r="M934" s="113" t="s">
        <v>387</v>
      </c>
      <c r="N934" s="13" t="s">
        <v>11075</v>
      </c>
      <c r="O934" s="15" t="s">
        <v>285</v>
      </c>
      <c r="P934" s="15" t="s">
        <v>252</v>
      </c>
      <c r="Q934" s="15" t="s">
        <v>8330</v>
      </c>
      <c r="R934" s="109" t="s">
        <v>9607</v>
      </c>
      <c r="S934" s="109" t="s">
        <v>1078</v>
      </c>
      <c r="T934" s="114" t="s">
        <v>11079</v>
      </c>
      <c r="U934" s="114" t="s">
        <v>11080</v>
      </c>
      <c r="V934" s="112" t="s">
        <v>11081</v>
      </c>
      <c r="W934" s="112" t="s">
        <v>11082</v>
      </c>
    </row>
    <row r="935" spans="1:23" s="2" customFormat="1" ht="12">
      <c r="A935" s="11"/>
      <c r="B935" s="108"/>
      <c r="C935" s="109"/>
      <c r="D935" s="14" t="str">
        <f>D934</f>
        <v>耐看娱乐</v>
      </c>
      <c r="E935" s="109"/>
      <c r="F935" s="112"/>
      <c r="G935" s="109"/>
      <c r="H935" s="109"/>
      <c r="I935" s="109"/>
      <c r="J935" s="109"/>
      <c r="K935" s="109"/>
      <c r="L935" s="109"/>
      <c r="M935" s="109"/>
      <c r="N935" s="13" t="s">
        <v>4549</v>
      </c>
      <c r="O935" s="15" t="s">
        <v>326</v>
      </c>
      <c r="P935" s="15" t="s">
        <v>252</v>
      </c>
      <c r="Q935" s="15" t="s">
        <v>11083</v>
      </c>
      <c r="R935" s="109"/>
      <c r="S935" s="109"/>
      <c r="T935" s="112"/>
      <c r="U935" s="112"/>
      <c r="V935" s="112"/>
      <c r="W935" s="112"/>
    </row>
    <row r="936" spans="1:23" s="2" customFormat="1" ht="12">
      <c r="A936" s="11"/>
      <c r="B936" s="107" t="s">
        <v>3246</v>
      </c>
      <c r="C936" s="109" t="s">
        <v>506</v>
      </c>
      <c r="D936" s="14" t="s">
        <v>507</v>
      </c>
      <c r="E936" s="113" t="s">
        <v>507</v>
      </c>
      <c r="F936" s="114" t="s">
        <v>508</v>
      </c>
      <c r="G936" s="113" t="s">
        <v>509</v>
      </c>
      <c r="H936" s="109" t="s">
        <v>510</v>
      </c>
      <c r="I936" s="109" t="s">
        <v>511</v>
      </c>
      <c r="J936" s="113" t="s">
        <v>406</v>
      </c>
      <c r="K936" s="113" t="s">
        <v>272</v>
      </c>
      <c r="L936" s="113" t="s">
        <v>512</v>
      </c>
      <c r="M936" s="113" t="s">
        <v>513</v>
      </c>
      <c r="N936" s="13" t="s">
        <v>506</v>
      </c>
      <c r="O936" s="15" t="s">
        <v>471</v>
      </c>
      <c r="P936" s="15" t="s">
        <v>276</v>
      </c>
      <c r="Q936" s="15" t="s">
        <v>514</v>
      </c>
      <c r="R936" s="109" t="s">
        <v>515</v>
      </c>
      <c r="S936" s="113" t="s">
        <v>255</v>
      </c>
      <c r="T936" s="114" t="s">
        <v>516</v>
      </c>
      <c r="U936" s="114" t="s">
        <v>517</v>
      </c>
      <c r="V936" s="112" t="s">
        <v>518</v>
      </c>
      <c r="W936" s="112" t="s">
        <v>519</v>
      </c>
    </row>
    <row r="937" spans="1:23" s="2" customFormat="1" ht="12">
      <c r="A937" s="11"/>
      <c r="B937" s="108"/>
      <c r="C937" s="109"/>
      <c r="D937" s="14" t="str">
        <f t="shared" ref="D937:D943" si="26">D936</f>
        <v>点我达</v>
      </c>
      <c r="E937" s="109"/>
      <c r="F937" s="112"/>
      <c r="G937" s="109"/>
      <c r="H937" s="109"/>
      <c r="I937" s="109"/>
      <c r="J937" s="109"/>
      <c r="K937" s="109"/>
      <c r="L937" s="109"/>
      <c r="M937" s="109"/>
      <c r="N937" s="13" t="s">
        <v>11084</v>
      </c>
      <c r="O937" s="15" t="s">
        <v>285</v>
      </c>
      <c r="P937" s="13" t="s">
        <v>520</v>
      </c>
      <c r="Q937" s="15" t="s">
        <v>514</v>
      </c>
      <c r="R937" s="109"/>
      <c r="S937" s="109"/>
      <c r="T937" s="112"/>
      <c r="U937" s="112"/>
      <c r="V937" s="112"/>
      <c r="W937" s="112"/>
    </row>
    <row r="938" spans="1:23" s="2" customFormat="1" ht="12">
      <c r="A938" s="11"/>
      <c r="B938" s="108"/>
      <c r="C938" s="109"/>
      <c r="D938" s="14" t="str">
        <f t="shared" si="26"/>
        <v>点我达</v>
      </c>
      <c r="E938" s="109"/>
      <c r="F938" s="112"/>
      <c r="G938" s="109"/>
      <c r="H938" s="109"/>
      <c r="I938" s="109"/>
      <c r="J938" s="109"/>
      <c r="K938" s="109"/>
      <c r="L938" s="109"/>
      <c r="M938" s="109"/>
      <c r="N938" s="13" t="s">
        <v>11085</v>
      </c>
      <c r="O938" s="15" t="s">
        <v>285</v>
      </c>
      <c r="P938" s="15" t="s">
        <v>258</v>
      </c>
      <c r="Q938" s="15" t="s">
        <v>521</v>
      </c>
      <c r="R938" s="109"/>
      <c r="S938" s="109"/>
      <c r="T938" s="112"/>
      <c r="U938" s="112"/>
      <c r="V938" s="112"/>
      <c r="W938" s="112"/>
    </row>
    <row r="939" spans="1:23" s="2" customFormat="1" ht="12">
      <c r="A939" s="11"/>
      <c r="B939" s="108"/>
      <c r="C939" s="109"/>
      <c r="D939" s="14" t="str">
        <f t="shared" si="26"/>
        <v>点我达</v>
      </c>
      <c r="E939" s="109"/>
      <c r="F939" s="112"/>
      <c r="G939" s="109"/>
      <c r="H939" s="109"/>
      <c r="I939" s="109"/>
      <c r="J939" s="109"/>
      <c r="K939" s="109"/>
      <c r="L939" s="109"/>
      <c r="M939" s="109"/>
      <c r="N939" s="13" t="s">
        <v>11086</v>
      </c>
      <c r="O939" s="13" t="s">
        <v>317</v>
      </c>
      <c r="P939" s="13" t="s">
        <v>522</v>
      </c>
      <c r="Q939" s="15" t="s">
        <v>240</v>
      </c>
      <c r="R939" s="109"/>
      <c r="S939" s="109"/>
      <c r="T939" s="112"/>
      <c r="U939" s="112"/>
      <c r="V939" s="112"/>
      <c r="W939" s="112"/>
    </row>
    <row r="940" spans="1:23" s="2" customFormat="1" ht="12">
      <c r="A940" s="11"/>
      <c r="B940" s="108"/>
      <c r="C940" s="109"/>
      <c r="D940" s="14" t="str">
        <f t="shared" si="26"/>
        <v>点我达</v>
      </c>
      <c r="E940" s="109"/>
      <c r="F940" s="112"/>
      <c r="G940" s="109"/>
      <c r="H940" s="109"/>
      <c r="I940" s="109"/>
      <c r="J940" s="109"/>
      <c r="K940" s="109"/>
      <c r="L940" s="109"/>
      <c r="M940" s="109"/>
      <c r="N940" s="13" t="s">
        <v>11087</v>
      </c>
      <c r="O940" s="13" t="s">
        <v>523</v>
      </c>
      <c r="P940" s="15" t="s">
        <v>341</v>
      </c>
      <c r="Q940" s="15" t="s">
        <v>524</v>
      </c>
      <c r="R940" s="109"/>
      <c r="S940" s="109"/>
      <c r="T940" s="112"/>
      <c r="U940" s="112"/>
      <c r="V940" s="112"/>
      <c r="W940" s="112"/>
    </row>
    <row r="941" spans="1:23" s="2" customFormat="1" ht="12">
      <c r="A941" s="11"/>
      <c r="B941" s="108"/>
      <c r="C941" s="109"/>
      <c r="D941" s="14" t="str">
        <f t="shared" si="26"/>
        <v>点我达</v>
      </c>
      <c r="E941" s="109"/>
      <c r="F941" s="112"/>
      <c r="G941" s="109"/>
      <c r="H941" s="109"/>
      <c r="I941" s="109"/>
      <c r="J941" s="109"/>
      <c r="K941" s="109"/>
      <c r="L941" s="109"/>
      <c r="M941" s="109"/>
      <c r="N941" s="13" t="s">
        <v>11088</v>
      </c>
      <c r="O941" s="13" t="s">
        <v>251</v>
      </c>
      <c r="P941" s="15" t="s">
        <v>409</v>
      </c>
      <c r="Q941" s="15" t="s">
        <v>525</v>
      </c>
      <c r="R941" s="109"/>
      <c r="S941" s="109"/>
      <c r="T941" s="112"/>
      <c r="U941" s="112"/>
      <c r="V941" s="112"/>
      <c r="W941" s="112"/>
    </row>
    <row r="942" spans="1:23" s="2" customFormat="1" ht="12">
      <c r="A942" s="11"/>
      <c r="B942" s="108"/>
      <c r="C942" s="109"/>
      <c r="D942" s="14" t="str">
        <f t="shared" si="26"/>
        <v>点我达</v>
      </c>
      <c r="E942" s="109"/>
      <c r="F942" s="112"/>
      <c r="G942" s="109"/>
      <c r="H942" s="109"/>
      <c r="I942" s="109"/>
      <c r="J942" s="109"/>
      <c r="K942" s="109"/>
      <c r="L942" s="109"/>
      <c r="M942" s="109"/>
      <c r="N942" s="13" t="s">
        <v>8223</v>
      </c>
      <c r="O942" s="13" t="s">
        <v>257</v>
      </c>
      <c r="P942" s="13" t="s">
        <v>322</v>
      </c>
      <c r="Q942" s="15" t="s">
        <v>526</v>
      </c>
      <c r="R942" s="109"/>
      <c r="S942" s="109"/>
      <c r="T942" s="112"/>
      <c r="U942" s="112"/>
      <c r="V942" s="112"/>
      <c r="W942" s="112"/>
    </row>
    <row r="943" spans="1:23" s="2" customFormat="1" ht="12">
      <c r="A943" s="11"/>
      <c r="B943" s="108"/>
      <c r="C943" s="109"/>
      <c r="D943" s="14" t="str">
        <f t="shared" si="26"/>
        <v>点我达</v>
      </c>
      <c r="E943" s="109"/>
      <c r="F943" s="112"/>
      <c r="G943" s="109"/>
      <c r="H943" s="109"/>
      <c r="I943" s="109"/>
      <c r="J943" s="109"/>
      <c r="K943" s="109"/>
      <c r="L943" s="109"/>
      <c r="M943" s="109"/>
      <c r="N943" s="13" t="s">
        <v>11089</v>
      </c>
      <c r="O943" s="13" t="s">
        <v>262</v>
      </c>
      <c r="P943" s="13" t="s">
        <v>527</v>
      </c>
      <c r="Q943" s="15" t="s">
        <v>528</v>
      </c>
      <c r="R943" s="109"/>
      <c r="S943" s="109"/>
      <c r="T943" s="112"/>
      <c r="U943" s="112"/>
      <c r="V943" s="112"/>
      <c r="W943" s="112"/>
    </row>
    <row r="944" spans="1:23" s="2" customFormat="1" ht="12">
      <c r="A944" s="11"/>
      <c r="B944" s="108"/>
      <c r="C944" s="109" t="s">
        <v>11090</v>
      </c>
      <c r="D944" s="14" t="s">
        <v>11091</v>
      </c>
      <c r="E944" s="113" t="s">
        <v>11092</v>
      </c>
      <c r="F944" s="114" t="s">
        <v>11093</v>
      </c>
      <c r="G944" s="113" t="s">
        <v>11094</v>
      </c>
      <c r="H944" s="109" t="s">
        <v>11095</v>
      </c>
      <c r="I944" s="109" t="s">
        <v>9630</v>
      </c>
      <c r="J944" s="113" t="s">
        <v>1192</v>
      </c>
      <c r="K944" s="113" t="s">
        <v>272</v>
      </c>
      <c r="L944" s="113" t="s">
        <v>350</v>
      </c>
      <c r="M944" s="113" t="s">
        <v>1090</v>
      </c>
      <c r="N944" s="13" t="s">
        <v>11090</v>
      </c>
      <c r="O944" s="15" t="s">
        <v>285</v>
      </c>
      <c r="P944" s="15" t="s">
        <v>409</v>
      </c>
      <c r="Q944" s="15" t="s">
        <v>514</v>
      </c>
      <c r="R944" s="109" t="s">
        <v>11096</v>
      </c>
      <c r="S944" s="109" t="s">
        <v>412</v>
      </c>
      <c r="T944" s="114" t="s">
        <v>11097</v>
      </c>
      <c r="U944" s="112"/>
      <c r="V944" s="112"/>
      <c r="W944" s="112" t="s">
        <v>11098</v>
      </c>
    </row>
    <row r="945" spans="1:23" s="2" customFormat="1" ht="12">
      <c r="A945" s="11"/>
      <c r="B945" s="108"/>
      <c r="C945" s="109"/>
      <c r="D945" s="14" t="str">
        <f>D944</f>
        <v>递四方速递4PX</v>
      </c>
      <c r="E945" s="109"/>
      <c r="F945" s="112"/>
      <c r="G945" s="109"/>
      <c r="H945" s="109"/>
      <c r="I945" s="109"/>
      <c r="J945" s="109"/>
      <c r="K945" s="109"/>
      <c r="L945" s="109"/>
      <c r="M945" s="109"/>
      <c r="N945" s="13" t="s">
        <v>7920</v>
      </c>
      <c r="O945" s="13" t="s">
        <v>317</v>
      </c>
      <c r="P945" s="13" t="s">
        <v>1032</v>
      </c>
      <c r="Q945" s="13" t="s">
        <v>831</v>
      </c>
      <c r="R945" s="109"/>
      <c r="S945" s="109"/>
      <c r="T945" s="112"/>
      <c r="U945" s="112"/>
      <c r="V945" s="112"/>
      <c r="W945" s="112"/>
    </row>
    <row r="946" spans="1:23" s="2" customFormat="1" ht="12">
      <c r="A946" s="11"/>
      <c r="B946" s="108"/>
      <c r="C946" s="109"/>
      <c r="D946" s="14" t="str">
        <f>D945</f>
        <v>递四方速递4PX</v>
      </c>
      <c r="E946" s="109"/>
      <c r="F946" s="112"/>
      <c r="G946" s="109"/>
      <c r="H946" s="109"/>
      <c r="I946" s="109"/>
      <c r="J946" s="109"/>
      <c r="K946" s="109"/>
      <c r="L946" s="109"/>
      <c r="M946" s="109"/>
      <c r="N946" s="13" t="s">
        <v>7906</v>
      </c>
      <c r="O946" s="13" t="s">
        <v>251</v>
      </c>
      <c r="P946" s="15" t="s">
        <v>341</v>
      </c>
      <c r="Q946" s="15" t="s">
        <v>1351</v>
      </c>
      <c r="R946" s="109"/>
      <c r="S946" s="109"/>
      <c r="T946" s="112"/>
      <c r="U946" s="112"/>
      <c r="V946" s="112"/>
      <c r="W946" s="112"/>
    </row>
    <row r="947" spans="1:23" s="2" customFormat="1" ht="12">
      <c r="A947" s="11"/>
      <c r="B947" s="108"/>
      <c r="C947" s="109"/>
      <c r="D947" s="14" t="str">
        <f>D946</f>
        <v>递四方速递4PX</v>
      </c>
      <c r="E947" s="109"/>
      <c r="F947" s="112"/>
      <c r="G947" s="109"/>
      <c r="H947" s="109"/>
      <c r="I947" s="109"/>
      <c r="J947" s="109"/>
      <c r="K947" s="109"/>
      <c r="L947" s="109"/>
      <c r="M947" s="109"/>
      <c r="N947" s="13" t="s">
        <v>11099</v>
      </c>
      <c r="O947" s="13" t="s">
        <v>257</v>
      </c>
      <c r="P947" s="13" t="s">
        <v>1206</v>
      </c>
      <c r="Q947" s="13" t="s">
        <v>253</v>
      </c>
      <c r="R947" s="109"/>
      <c r="S947" s="109"/>
      <c r="T947" s="112"/>
      <c r="U947" s="112"/>
      <c r="V947" s="112"/>
      <c r="W947" s="112"/>
    </row>
    <row r="948" spans="1:23" s="2" customFormat="1" ht="12">
      <c r="A948" s="11"/>
      <c r="B948" s="108"/>
      <c r="C948" s="109"/>
      <c r="D948" s="14" t="str">
        <f>D947</f>
        <v>递四方速递4PX</v>
      </c>
      <c r="E948" s="109"/>
      <c r="F948" s="112"/>
      <c r="G948" s="109"/>
      <c r="H948" s="109"/>
      <c r="I948" s="109"/>
      <c r="J948" s="109"/>
      <c r="K948" s="109"/>
      <c r="L948" s="109"/>
      <c r="M948" s="109"/>
      <c r="N948" s="13" t="s">
        <v>11100</v>
      </c>
      <c r="O948" s="13" t="s">
        <v>262</v>
      </c>
      <c r="P948" s="15" t="s">
        <v>341</v>
      </c>
      <c r="Q948" s="15" t="s">
        <v>1351</v>
      </c>
      <c r="R948" s="109"/>
      <c r="S948" s="109"/>
      <c r="T948" s="112"/>
      <c r="U948" s="112"/>
      <c r="V948" s="112"/>
      <c r="W948" s="112"/>
    </row>
    <row r="949" spans="1:23" s="2" customFormat="1" ht="12">
      <c r="A949" s="11"/>
      <c r="B949" s="108"/>
      <c r="C949" s="109" t="s">
        <v>8908</v>
      </c>
      <c r="D949" s="14" t="s">
        <v>11101</v>
      </c>
      <c r="E949" s="113" t="s">
        <v>11101</v>
      </c>
      <c r="F949" s="114" t="s">
        <v>11102</v>
      </c>
      <c r="G949" s="113" t="s">
        <v>11103</v>
      </c>
      <c r="H949" s="109" t="s">
        <v>11104</v>
      </c>
      <c r="I949" s="109" t="s">
        <v>1922</v>
      </c>
      <c r="J949" s="113" t="s">
        <v>3617</v>
      </c>
      <c r="K949" s="113" t="s">
        <v>272</v>
      </c>
      <c r="L949" s="113" t="s">
        <v>512</v>
      </c>
      <c r="M949" s="113" t="s">
        <v>7961</v>
      </c>
      <c r="N949" s="13" t="s">
        <v>8908</v>
      </c>
      <c r="O949" s="15" t="s">
        <v>313</v>
      </c>
      <c r="P949" s="15" t="s">
        <v>252</v>
      </c>
      <c r="Q949" s="15" t="s">
        <v>11105</v>
      </c>
      <c r="R949" s="109" t="s">
        <v>11106</v>
      </c>
      <c r="S949" s="113" t="s">
        <v>255</v>
      </c>
      <c r="T949" s="114" t="s">
        <v>11107</v>
      </c>
      <c r="U949" s="114" t="s">
        <v>11108</v>
      </c>
      <c r="V949" s="112" t="s">
        <v>11109</v>
      </c>
      <c r="W949" s="112" t="s">
        <v>11110</v>
      </c>
    </row>
    <row r="950" spans="1:23" s="2" customFormat="1" ht="12">
      <c r="A950" s="11"/>
      <c r="B950" s="108"/>
      <c r="C950" s="109"/>
      <c r="D950" s="14" t="str">
        <f>D949</f>
        <v>大掌柜</v>
      </c>
      <c r="E950" s="109"/>
      <c r="F950" s="112"/>
      <c r="G950" s="109"/>
      <c r="H950" s="109"/>
      <c r="I950" s="109"/>
      <c r="J950" s="109"/>
      <c r="K950" s="109"/>
      <c r="L950" s="109"/>
      <c r="M950" s="109"/>
      <c r="N950" s="13" t="s">
        <v>11111</v>
      </c>
      <c r="O950" s="15" t="s">
        <v>285</v>
      </c>
      <c r="P950" s="15" t="s">
        <v>252</v>
      </c>
      <c r="Q950" s="15" t="s">
        <v>514</v>
      </c>
      <c r="R950" s="109"/>
      <c r="S950" s="109"/>
      <c r="T950" s="112"/>
      <c r="U950" s="112"/>
      <c r="V950" s="112"/>
      <c r="W950" s="112"/>
    </row>
    <row r="951" spans="1:23" s="2" customFormat="1" ht="12">
      <c r="A951" s="11"/>
      <c r="B951" s="108"/>
      <c r="C951" s="109"/>
      <c r="D951" s="14" t="str">
        <f>D950</f>
        <v>大掌柜</v>
      </c>
      <c r="E951" s="109"/>
      <c r="F951" s="112"/>
      <c r="G951" s="109"/>
      <c r="H951" s="109"/>
      <c r="I951" s="109"/>
      <c r="J951" s="109"/>
      <c r="K951" s="109"/>
      <c r="L951" s="109"/>
      <c r="M951" s="109"/>
      <c r="N951" s="13" t="s">
        <v>9883</v>
      </c>
      <c r="O951" s="13" t="s">
        <v>257</v>
      </c>
      <c r="P951" s="13" t="s">
        <v>637</v>
      </c>
      <c r="Q951" s="15" t="s">
        <v>11112</v>
      </c>
      <c r="R951" s="109"/>
      <c r="S951" s="109"/>
      <c r="T951" s="112"/>
      <c r="U951" s="112"/>
      <c r="V951" s="112"/>
      <c r="W951" s="112"/>
    </row>
    <row r="952" spans="1:23" s="2" customFormat="1" ht="12">
      <c r="A952" s="11"/>
      <c r="B952" s="108"/>
      <c r="C952" s="109"/>
      <c r="D952" s="14" t="str">
        <f>D951</f>
        <v>大掌柜</v>
      </c>
      <c r="E952" s="109"/>
      <c r="F952" s="112"/>
      <c r="G952" s="109"/>
      <c r="H952" s="109"/>
      <c r="I952" s="109"/>
      <c r="J952" s="109"/>
      <c r="K952" s="109"/>
      <c r="L952" s="109"/>
      <c r="M952" s="109"/>
      <c r="N952" s="13" t="s">
        <v>11113</v>
      </c>
      <c r="O952" s="13" t="s">
        <v>262</v>
      </c>
      <c r="P952" s="15" t="s">
        <v>341</v>
      </c>
      <c r="Q952" s="15" t="s">
        <v>11114</v>
      </c>
      <c r="R952" s="109"/>
      <c r="S952" s="109"/>
      <c r="T952" s="112"/>
      <c r="U952" s="112"/>
      <c r="V952" s="112"/>
      <c r="W952" s="112"/>
    </row>
    <row r="953" spans="1:23" s="2" customFormat="1" ht="12">
      <c r="A953" s="11"/>
      <c r="B953" s="108"/>
      <c r="C953" s="109"/>
      <c r="D953" s="14" t="str">
        <f>D952</f>
        <v>大掌柜</v>
      </c>
      <c r="E953" s="109"/>
      <c r="F953" s="112"/>
      <c r="G953" s="109"/>
      <c r="H953" s="109"/>
      <c r="I953" s="109"/>
      <c r="J953" s="109"/>
      <c r="K953" s="109"/>
      <c r="L953" s="109"/>
      <c r="M953" s="109"/>
      <c r="N953" s="13" t="s">
        <v>11115</v>
      </c>
      <c r="O953" s="13" t="s">
        <v>721</v>
      </c>
      <c r="P953" s="15" t="s">
        <v>341</v>
      </c>
      <c r="Q953" s="13" t="s">
        <v>11116</v>
      </c>
      <c r="R953" s="109"/>
      <c r="S953" s="109"/>
      <c r="T953" s="112"/>
      <c r="U953" s="112"/>
      <c r="V953" s="112"/>
      <c r="W953" s="112"/>
    </row>
    <row r="954" spans="1:23" s="2" customFormat="1" ht="12">
      <c r="A954" s="11"/>
      <c r="B954" s="108"/>
      <c r="C954" s="109"/>
      <c r="D954" s="14" t="str">
        <f>D953</f>
        <v>大掌柜</v>
      </c>
      <c r="E954" s="109"/>
      <c r="F954" s="112"/>
      <c r="G954" s="109"/>
      <c r="H954" s="109"/>
      <c r="I954" s="109"/>
      <c r="J954" s="109"/>
      <c r="K954" s="109"/>
      <c r="L954" s="109"/>
      <c r="M954" s="109"/>
      <c r="N954" s="13" t="s">
        <v>4316</v>
      </c>
      <c r="O954" s="15" t="s">
        <v>326</v>
      </c>
      <c r="P954" s="15" t="s">
        <v>252</v>
      </c>
      <c r="Q954" s="15" t="s">
        <v>11117</v>
      </c>
      <c r="R954" s="109"/>
      <c r="S954" s="109"/>
      <c r="T954" s="112"/>
      <c r="U954" s="112"/>
      <c r="V954" s="112"/>
      <c r="W954" s="112"/>
    </row>
    <row r="955" spans="1:23" s="2" customFormat="1" ht="12">
      <c r="A955" s="11"/>
      <c r="B955" s="108"/>
      <c r="C955" s="109" t="s">
        <v>4515</v>
      </c>
      <c r="D955" s="14" t="s">
        <v>11118</v>
      </c>
      <c r="E955" s="113" t="s">
        <v>11118</v>
      </c>
      <c r="F955" s="114" t="s">
        <v>11119</v>
      </c>
      <c r="G955" s="113" t="s">
        <v>11120</v>
      </c>
      <c r="H955" s="109" t="s">
        <v>11121</v>
      </c>
      <c r="I955" s="109" t="s">
        <v>1471</v>
      </c>
      <c r="J955" s="113" t="s">
        <v>497</v>
      </c>
      <c r="K955" s="113" t="s">
        <v>272</v>
      </c>
      <c r="L955" s="113" t="s">
        <v>512</v>
      </c>
      <c r="M955" s="113" t="s">
        <v>7961</v>
      </c>
      <c r="N955" s="13" t="s">
        <v>4515</v>
      </c>
      <c r="O955" s="15" t="s">
        <v>285</v>
      </c>
      <c r="P955" s="15" t="s">
        <v>252</v>
      </c>
      <c r="Q955" s="15" t="s">
        <v>11122</v>
      </c>
      <c r="R955" s="109" t="s">
        <v>3147</v>
      </c>
      <c r="S955" s="109" t="s">
        <v>3974</v>
      </c>
      <c r="T955" s="114" t="s">
        <v>11123</v>
      </c>
      <c r="U955" s="114" t="s">
        <v>11124</v>
      </c>
      <c r="V955" s="112" t="s">
        <v>11125</v>
      </c>
      <c r="W955" s="112" t="s">
        <v>11126</v>
      </c>
    </row>
    <row r="956" spans="1:23" s="2" customFormat="1" ht="12">
      <c r="A956" s="11"/>
      <c r="B956" s="108"/>
      <c r="C956" s="109"/>
      <c r="D956" s="14" t="str">
        <f>D955</f>
        <v>卡行天下</v>
      </c>
      <c r="E956" s="109"/>
      <c r="F956" s="112"/>
      <c r="G956" s="109"/>
      <c r="H956" s="109"/>
      <c r="I956" s="109"/>
      <c r="J956" s="109"/>
      <c r="K956" s="109"/>
      <c r="L956" s="109"/>
      <c r="M956" s="109"/>
      <c r="N956" s="13" t="s">
        <v>8679</v>
      </c>
      <c r="O956" s="13" t="s">
        <v>317</v>
      </c>
      <c r="P956" s="15" t="s">
        <v>409</v>
      </c>
      <c r="Q956" s="15" t="s">
        <v>11127</v>
      </c>
      <c r="R956" s="109"/>
      <c r="S956" s="109"/>
      <c r="T956" s="112"/>
      <c r="U956" s="112"/>
      <c r="V956" s="112"/>
      <c r="W956" s="112"/>
    </row>
    <row r="957" spans="1:23" s="2" customFormat="1" ht="12">
      <c r="A957" s="11"/>
      <c r="B957" s="108"/>
      <c r="C957" s="109"/>
      <c r="D957" s="14" t="str">
        <f>D956</f>
        <v>卡行天下</v>
      </c>
      <c r="E957" s="109"/>
      <c r="F957" s="112"/>
      <c r="G957" s="109"/>
      <c r="H957" s="109"/>
      <c r="I957" s="109"/>
      <c r="J957" s="109"/>
      <c r="K957" s="109"/>
      <c r="L957" s="109"/>
      <c r="M957" s="109"/>
      <c r="N957" s="13" t="s">
        <v>2947</v>
      </c>
      <c r="O957" s="13" t="s">
        <v>251</v>
      </c>
      <c r="P957" s="15" t="s">
        <v>409</v>
      </c>
      <c r="Q957" s="15" t="s">
        <v>11128</v>
      </c>
      <c r="R957" s="109"/>
      <c r="S957" s="109"/>
      <c r="T957" s="112"/>
      <c r="U957" s="112"/>
      <c r="V957" s="112"/>
      <c r="W957" s="112"/>
    </row>
    <row r="958" spans="1:23" s="2" customFormat="1" ht="12">
      <c r="A958" s="11"/>
      <c r="B958" s="108"/>
      <c r="C958" s="109"/>
      <c r="D958" s="14" t="str">
        <f>D957</f>
        <v>卡行天下</v>
      </c>
      <c r="E958" s="109"/>
      <c r="F958" s="112"/>
      <c r="G958" s="109"/>
      <c r="H958" s="109"/>
      <c r="I958" s="109"/>
      <c r="J958" s="109"/>
      <c r="K958" s="109"/>
      <c r="L958" s="109"/>
      <c r="M958" s="109"/>
      <c r="N958" s="13" t="s">
        <v>11129</v>
      </c>
      <c r="O958" s="13" t="s">
        <v>257</v>
      </c>
      <c r="P958" s="15" t="s">
        <v>409</v>
      </c>
      <c r="Q958" s="15" t="s">
        <v>514</v>
      </c>
      <c r="R958" s="109"/>
      <c r="S958" s="109"/>
      <c r="T958" s="112"/>
      <c r="U958" s="112"/>
      <c r="V958" s="112"/>
      <c r="W958" s="112"/>
    </row>
    <row r="959" spans="1:23" s="2" customFormat="1" ht="12">
      <c r="A959" s="11"/>
      <c r="B959" s="108"/>
      <c r="C959" s="109"/>
      <c r="D959" s="14" t="str">
        <f>D958</f>
        <v>卡行天下</v>
      </c>
      <c r="E959" s="109"/>
      <c r="F959" s="112"/>
      <c r="G959" s="109"/>
      <c r="H959" s="109"/>
      <c r="I959" s="109"/>
      <c r="J959" s="109"/>
      <c r="K959" s="109"/>
      <c r="L959" s="109"/>
      <c r="M959" s="109"/>
      <c r="N959" s="13" t="s">
        <v>7908</v>
      </c>
      <c r="O959" s="13" t="s">
        <v>262</v>
      </c>
      <c r="P959" s="15" t="s">
        <v>341</v>
      </c>
      <c r="Q959" s="15" t="s">
        <v>11130</v>
      </c>
      <c r="R959" s="109"/>
      <c r="S959" s="109"/>
      <c r="T959" s="112"/>
      <c r="U959" s="112"/>
      <c r="V959" s="112"/>
      <c r="W959" s="112"/>
    </row>
    <row r="960" spans="1:23" s="2" customFormat="1" ht="12">
      <c r="A960" s="11"/>
      <c r="B960" s="108"/>
      <c r="C960" s="109" t="s">
        <v>2678</v>
      </c>
      <c r="D960" s="14" t="s">
        <v>2679</v>
      </c>
      <c r="E960" s="113" t="s">
        <v>2679</v>
      </c>
      <c r="F960" s="114" t="s">
        <v>2680</v>
      </c>
      <c r="G960" s="113" t="s">
        <v>2681</v>
      </c>
      <c r="H960" s="109" t="s">
        <v>2682</v>
      </c>
      <c r="I960" s="109" t="s">
        <v>1462</v>
      </c>
      <c r="J960" s="113" t="s">
        <v>428</v>
      </c>
      <c r="K960" s="113" t="s">
        <v>272</v>
      </c>
      <c r="L960" s="113" t="s">
        <v>512</v>
      </c>
      <c r="M960" s="113" t="s">
        <v>2683</v>
      </c>
      <c r="N960" s="13" t="s">
        <v>2678</v>
      </c>
      <c r="O960" s="15" t="s">
        <v>285</v>
      </c>
      <c r="P960" s="13" t="s">
        <v>655</v>
      </c>
      <c r="Q960" s="13" t="s">
        <v>2684</v>
      </c>
      <c r="R960" s="109" t="s">
        <v>2685</v>
      </c>
      <c r="S960" s="109" t="s">
        <v>2449</v>
      </c>
      <c r="T960" s="114" t="s">
        <v>2686</v>
      </c>
      <c r="U960" s="112"/>
      <c r="V960" s="112" t="s">
        <v>2687</v>
      </c>
      <c r="W960" s="112" t="s">
        <v>2688</v>
      </c>
    </row>
    <row r="961" spans="1:23" s="2" customFormat="1" ht="12">
      <c r="A961" s="11"/>
      <c r="B961" s="108"/>
      <c r="C961" s="109"/>
      <c r="D961" s="14" t="str">
        <f>D960</f>
        <v>快狗速运</v>
      </c>
      <c r="E961" s="109"/>
      <c r="F961" s="112"/>
      <c r="G961" s="109"/>
      <c r="H961" s="109"/>
      <c r="I961" s="109"/>
      <c r="J961" s="109"/>
      <c r="K961" s="109"/>
      <c r="L961" s="109"/>
      <c r="M961" s="109"/>
      <c r="N961" s="13" t="s">
        <v>10459</v>
      </c>
      <c r="O961" s="15" t="s">
        <v>313</v>
      </c>
      <c r="P961" s="15" t="s">
        <v>252</v>
      </c>
      <c r="Q961" s="15" t="s">
        <v>2689</v>
      </c>
      <c r="R961" s="109"/>
      <c r="S961" s="109"/>
      <c r="T961" s="112"/>
      <c r="U961" s="112"/>
      <c r="V961" s="112"/>
      <c r="W961" s="112"/>
    </row>
    <row r="962" spans="1:23" s="2" customFormat="1" ht="12">
      <c r="A962" s="11"/>
      <c r="B962" s="108"/>
      <c r="C962" s="109"/>
      <c r="D962" s="14" t="str">
        <f>D961</f>
        <v>快狗速运</v>
      </c>
      <c r="E962" s="109"/>
      <c r="F962" s="112"/>
      <c r="G962" s="109"/>
      <c r="H962" s="109"/>
      <c r="I962" s="109"/>
      <c r="J962" s="109"/>
      <c r="K962" s="109"/>
      <c r="L962" s="109"/>
      <c r="M962" s="109"/>
      <c r="N962" s="13" t="s">
        <v>3286</v>
      </c>
      <c r="O962" s="13" t="s">
        <v>251</v>
      </c>
      <c r="P962" s="15" t="s">
        <v>258</v>
      </c>
      <c r="Q962" s="15" t="s">
        <v>2690</v>
      </c>
      <c r="R962" s="109"/>
      <c r="S962" s="109"/>
      <c r="T962" s="112"/>
      <c r="U962" s="112"/>
      <c r="V962" s="112"/>
      <c r="W962" s="112"/>
    </row>
    <row r="963" spans="1:23" s="2" customFormat="1" ht="12">
      <c r="A963" s="11"/>
      <c r="B963" s="108"/>
      <c r="C963" s="109"/>
      <c r="D963" s="14" t="str">
        <f>D962</f>
        <v>快狗速运</v>
      </c>
      <c r="E963" s="109"/>
      <c r="F963" s="112"/>
      <c r="G963" s="109"/>
      <c r="H963" s="109"/>
      <c r="I963" s="109"/>
      <c r="J963" s="109"/>
      <c r="K963" s="109"/>
      <c r="L963" s="109"/>
      <c r="M963" s="109"/>
      <c r="N963" s="13" t="s">
        <v>1166</v>
      </c>
      <c r="O963" s="13" t="s">
        <v>565</v>
      </c>
      <c r="P963" s="15" t="s">
        <v>258</v>
      </c>
      <c r="Q963" s="15" t="s">
        <v>2691</v>
      </c>
      <c r="R963" s="109"/>
      <c r="S963" s="109"/>
      <c r="T963" s="112"/>
      <c r="U963" s="112"/>
      <c r="V963" s="112"/>
      <c r="W963" s="112"/>
    </row>
    <row r="964" spans="1:23" s="2" customFormat="1" ht="12">
      <c r="A964" s="11"/>
      <c r="B964" s="108"/>
      <c r="C964" s="109"/>
      <c r="D964" s="14" t="str">
        <f>D963</f>
        <v>快狗速运</v>
      </c>
      <c r="E964" s="109"/>
      <c r="F964" s="112"/>
      <c r="G964" s="109"/>
      <c r="H964" s="109"/>
      <c r="I964" s="109"/>
      <c r="J964" s="109"/>
      <c r="K964" s="109"/>
      <c r="L964" s="109"/>
      <c r="M964" s="109"/>
      <c r="N964" s="13" t="s">
        <v>10460</v>
      </c>
      <c r="O964" s="13" t="s">
        <v>257</v>
      </c>
      <c r="P964" s="13" t="s">
        <v>337</v>
      </c>
      <c r="Q964" s="15" t="s">
        <v>2692</v>
      </c>
      <c r="R964" s="109"/>
      <c r="S964" s="109"/>
      <c r="T964" s="112"/>
      <c r="U964" s="112"/>
      <c r="V964" s="112"/>
      <c r="W964" s="112"/>
    </row>
    <row r="965" spans="1:23" s="2" customFormat="1" ht="12">
      <c r="A965" s="11"/>
      <c r="B965" s="108"/>
      <c r="C965" s="109"/>
      <c r="D965" s="14" t="str">
        <f>D964</f>
        <v>快狗速运</v>
      </c>
      <c r="E965" s="109"/>
      <c r="F965" s="112"/>
      <c r="G965" s="109"/>
      <c r="H965" s="109"/>
      <c r="I965" s="109"/>
      <c r="J965" s="109"/>
      <c r="K965" s="109"/>
      <c r="L965" s="109"/>
      <c r="M965" s="109"/>
      <c r="N965" s="13" t="s">
        <v>1071</v>
      </c>
      <c r="O965" s="13" t="s">
        <v>262</v>
      </c>
      <c r="P965" s="13" t="s">
        <v>2693</v>
      </c>
      <c r="Q965" s="13" t="s">
        <v>2694</v>
      </c>
      <c r="R965" s="109"/>
      <c r="S965" s="109"/>
      <c r="T965" s="112"/>
      <c r="U965" s="112"/>
      <c r="V965" s="112"/>
      <c r="W965" s="112"/>
    </row>
    <row r="966" spans="1:23" s="2" customFormat="1" ht="12">
      <c r="A966" s="11"/>
      <c r="B966" s="108"/>
      <c r="C966" s="109" t="s">
        <v>2997</v>
      </c>
      <c r="D966" s="14" t="s">
        <v>2998</v>
      </c>
      <c r="E966" s="113" t="s">
        <v>2998</v>
      </c>
      <c r="F966" s="114" t="s">
        <v>2999</v>
      </c>
      <c r="G966" s="113" t="s">
        <v>3000</v>
      </c>
      <c r="H966" s="109" t="s">
        <v>3001</v>
      </c>
      <c r="I966" s="109" t="s">
        <v>784</v>
      </c>
      <c r="J966" s="113" t="s">
        <v>247</v>
      </c>
      <c r="K966" s="113" t="s">
        <v>272</v>
      </c>
      <c r="L966" s="113" t="s">
        <v>512</v>
      </c>
      <c r="M966" s="113" t="s">
        <v>3002</v>
      </c>
      <c r="N966" s="13" t="s">
        <v>2997</v>
      </c>
      <c r="O966" s="15" t="s">
        <v>471</v>
      </c>
      <c r="P966" s="15" t="s">
        <v>252</v>
      </c>
      <c r="Q966" s="15" t="s">
        <v>514</v>
      </c>
      <c r="R966" s="109" t="s">
        <v>2954</v>
      </c>
      <c r="S966" s="113" t="s">
        <v>255</v>
      </c>
      <c r="T966" s="114" t="s">
        <v>3003</v>
      </c>
      <c r="U966" s="114" t="s">
        <v>3004</v>
      </c>
      <c r="V966" s="112" t="s">
        <v>3005</v>
      </c>
      <c r="W966" s="112" t="s">
        <v>3006</v>
      </c>
    </row>
    <row r="967" spans="1:23" s="2" customFormat="1" ht="12">
      <c r="A967" s="11"/>
      <c r="B967" s="108"/>
      <c r="C967" s="109"/>
      <c r="D967" s="14" t="str">
        <f>D966</f>
        <v>万象物流</v>
      </c>
      <c r="E967" s="109"/>
      <c r="F967" s="112"/>
      <c r="G967" s="109"/>
      <c r="H967" s="109"/>
      <c r="I967" s="109"/>
      <c r="J967" s="109"/>
      <c r="K967" s="109"/>
      <c r="L967" s="109"/>
      <c r="M967" s="109"/>
      <c r="N967" s="13" t="s">
        <v>9242</v>
      </c>
      <c r="O967" s="13" t="s">
        <v>257</v>
      </c>
      <c r="P967" s="15" t="s">
        <v>252</v>
      </c>
      <c r="Q967" s="15" t="s">
        <v>3007</v>
      </c>
      <c r="R967" s="109"/>
      <c r="S967" s="109"/>
      <c r="T967" s="112"/>
      <c r="U967" s="112"/>
      <c r="V967" s="112"/>
      <c r="W967" s="112"/>
    </row>
    <row r="968" spans="1:23" s="2" customFormat="1" ht="12">
      <c r="A968" s="11"/>
      <c r="B968" s="108"/>
      <c r="C968" s="109"/>
      <c r="D968" s="14" t="str">
        <f>D967</f>
        <v>万象物流</v>
      </c>
      <c r="E968" s="109"/>
      <c r="F968" s="112"/>
      <c r="G968" s="109"/>
      <c r="H968" s="109"/>
      <c r="I968" s="109"/>
      <c r="J968" s="109"/>
      <c r="K968" s="109"/>
      <c r="L968" s="109"/>
      <c r="M968" s="109"/>
      <c r="N968" s="13" t="s">
        <v>11131</v>
      </c>
      <c r="O968" s="13" t="s">
        <v>262</v>
      </c>
      <c r="P968" s="15" t="s">
        <v>341</v>
      </c>
      <c r="Q968" s="15" t="s">
        <v>240</v>
      </c>
      <c r="R968" s="109"/>
      <c r="S968" s="109"/>
      <c r="T968" s="112"/>
      <c r="U968" s="112"/>
      <c r="V968" s="112"/>
      <c r="W968" s="112"/>
    </row>
    <row r="969" spans="1:23" s="2" customFormat="1" ht="12">
      <c r="A969" s="11"/>
      <c r="B969" s="108"/>
      <c r="C969" s="109" t="s">
        <v>3069</v>
      </c>
      <c r="D969" s="14" t="s">
        <v>3070</v>
      </c>
      <c r="E969" s="113" t="s">
        <v>3070</v>
      </c>
      <c r="F969" s="114" t="s">
        <v>3071</v>
      </c>
      <c r="G969" s="113" t="s">
        <v>3072</v>
      </c>
      <c r="H969" s="109" t="s">
        <v>3073</v>
      </c>
      <c r="I969" s="109" t="s">
        <v>1422</v>
      </c>
      <c r="J969" s="113" t="s">
        <v>406</v>
      </c>
      <c r="K969" s="113" t="s">
        <v>272</v>
      </c>
      <c r="L969" s="113" t="s">
        <v>512</v>
      </c>
      <c r="M969" s="113" t="s">
        <v>1781</v>
      </c>
      <c r="N969" s="13" t="s">
        <v>3069</v>
      </c>
      <c r="O969" s="15" t="s">
        <v>471</v>
      </c>
      <c r="P969" s="15" t="s">
        <v>252</v>
      </c>
      <c r="Q969" s="15" t="s">
        <v>240</v>
      </c>
      <c r="R969" s="109" t="s">
        <v>3074</v>
      </c>
      <c r="S969" s="113" t="s">
        <v>255</v>
      </c>
      <c r="T969" s="114" t="s">
        <v>3075</v>
      </c>
      <c r="U969" s="114" t="s">
        <v>3076</v>
      </c>
      <c r="V969" s="112" t="s">
        <v>3077</v>
      </c>
      <c r="W969" s="112"/>
    </row>
    <row r="970" spans="1:23" s="2" customFormat="1" ht="12">
      <c r="A970" s="11"/>
      <c r="B970" s="108"/>
      <c r="C970" s="109"/>
      <c r="D970" s="14" t="str">
        <f>D969</f>
        <v>心怡科技</v>
      </c>
      <c r="E970" s="109"/>
      <c r="F970" s="112"/>
      <c r="G970" s="109"/>
      <c r="H970" s="109"/>
      <c r="I970" s="109"/>
      <c r="J970" s="109"/>
      <c r="K970" s="109"/>
      <c r="L970" s="109"/>
      <c r="M970" s="109"/>
      <c r="N970" s="13" t="s">
        <v>11132</v>
      </c>
      <c r="O970" s="13" t="s">
        <v>251</v>
      </c>
      <c r="P970" s="15" t="s">
        <v>409</v>
      </c>
      <c r="Q970" s="15" t="s">
        <v>3078</v>
      </c>
      <c r="R970" s="109"/>
      <c r="S970" s="109"/>
      <c r="T970" s="112"/>
      <c r="U970" s="112"/>
      <c r="V970" s="112"/>
      <c r="W970" s="112"/>
    </row>
    <row r="971" spans="1:23" s="2" customFormat="1" ht="12">
      <c r="A971" s="11"/>
      <c r="B971" s="108"/>
      <c r="C971" s="109"/>
      <c r="D971" s="14" t="str">
        <f>D970</f>
        <v>心怡科技</v>
      </c>
      <c r="E971" s="109"/>
      <c r="F971" s="112"/>
      <c r="G971" s="109"/>
      <c r="H971" s="109"/>
      <c r="I971" s="109"/>
      <c r="J971" s="109"/>
      <c r="K971" s="109"/>
      <c r="L971" s="109"/>
      <c r="M971" s="109"/>
      <c r="N971" s="13" t="s">
        <v>11133</v>
      </c>
      <c r="O971" s="13" t="s">
        <v>257</v>
      </c>
      <c r="P971" s="15" t="s">
        <v>341</v>
      </c>
      <c r="Q971" s="15" t="s">
        <v>3079</v>
      </c>
      <c r="R971" s="109"/>
      <c r="S971" s="109"/>
      <c r="T971" s="112"/>
      <c r="U971" s="112"/>
      <c r="V971" s="112"/>
      <c r="W971" s="112"/>
    </row>
    <row r="972" spans="1:23" s="2" customFormat="1" ht="12">
      <c r="A972" s="11"/>
      <c r="B972" s="108"/>
      <c r="C972" s="109"/>
      <c r="D972" s="14" t="str">
        <f>D971</f>
        <v>心怡科技</v>
      </c>
      <c r="E972" s="109"/>
      <c r="F972" s="112"/>
      <c r="G972" s="109"/>
      <c r="H972" s="109"/>
      <c r="I972" s="109"/>
      <c r="J972" s="109"/>
      <c r="K972" s="109"/>
      <c r="L972" s="109"/>
      <c r="M972" s="109"/>
      <c r="N972" s="13" t="s">
        <v>11134</v>
      </c>
      <c r="O972" s="13" t="s">
        <v>262</v>
      </c>
      <c r="P972" s="15" t="s">
        <v>341</v>
      </c>
      <c r="Q972" s="15" t="s">
        <v>240</v>
      </c>
      <c r="R972" s="109"/>
      <c r="S972" s="109"/>
      <c r="T972" s="112"/>
      <c r="U972" s="112"/>
      <c r="V972" s="112"/>
      <c r="W972" s="112"/>
    </row>
    <row r="973" spans="1:23" s="2" customFormat="1" ht="12">
      <c r="A973" s="11"/>
      <c r="B973" s="108"/>
      <c r="C973" s="109"/>
      <c r="D973" s="14" t="str">
        <f>D972</f>
        <v>心怡科技</v>
      </c>
      <c r="E973" s="109"/>
      <c r="F973" s="112"/>
      <c r="G973" s="109"/>
      <c r="H973" s="109"/>
      <c r="I973" s="109"/>
      <c r="J973" s="109"/>
      <c r="K973" s="109"/>
      <c r="L973" s="109"/>
      <c r="M973" s="109"/>
      <c r="N973" s="13" t="s">
        <v>11135</v>
      </c>
      <c r="O973" s="15" t="s">
        <v>326</v>
      </c>
      <c r="P973" s="15" t="s">
        <v>341</v>
      </c>
      <c r="Q973" s="15" t="s">
        <v>2211</v>
      </c>
      <c r="R973" s="109"/>
      <c r="S973" s="109"/>
      <c r="T973" s="112"/>
      <c r="U973" s="112"/>
      <c r="V973" s="112"/>
      <c r="W973" s="112"/>
    </row>
    <row r="974" spans="1:23" s="2" customFormat="1" ht="12">
      <c r="A974" s="11"/>
      <c r="B974" s="108"/>
      <c r="C974" s="109" t="s">
        <v>3099</v>
      </c>
      <c r="D974" s="14" t="s">
        <v>3100</v>
      </c>
      <c r="E974" s="113" t="s">
        <v>3100</v>
      </c>
      <c r="F974" s="114" t="s">
        <v>3101</v>
      </c>
      <c r="G974" s="113" t="s">
        <v>3102</v>
      </c>
      <c r="H974" s="109" t="s">
        <v>3103</v>
      </c>
      <c r="I974" s="109" t="s">
        <v>3104</v>
      </c>
      <c r="J974" s="113" t="s">
        <v>2431</v>
      </c>
      <c r="K974" s="113" t="s">
        <v>272</v>
      </c>
      <c r="L974" s="113" t="s">
        <v>512</v>
      </c>
      <c r="M974" s="113" t="s">
        <v>1483</v>
      </c>
      <c r="N974" s="13" t="s">
        <v>3099</v>
      </c>
      <c r="O974" s="13" t="s">
        <v>687</v>
      </c>
      <c r="P974" s="13" t="s">
        <v>3105</v>
      </c>
      <c r="Q974" s="15" t="s">
        <v>514</v>
      </c>
      <c r="R974" s="109" t="s">
        <v>3106</v>
      </c>
      <c r="S974" s="109" t="s">
        <v>3107</v>
      </c>
      <c r="T974" s="114" t="s">
        <v>3108</v>
      </c>
      <c r="U974" s="114" t="s">
        <v>3109</v>
      </c>
      <c r="V974" s="112">
        <v>95543</v>
      </c>
      <c r="W974" s="112"/>
    </row>
    <row r="975" spans="1:23" s="2" customFormat="1" ht="12">
      <c r="A975" s="11"/>
      <c r="B975" s="108"/>
      <c r="C975" s="109"/>
      <c r="D975" s="14" t="str">
        <f>D974</f>
        <v>申通快递</v>
      </c>
      <c r="E975" s="109"/>
      <c r="F975" s="112"/>
      <c r="G975" s="109"/>
      <c r="H975" s="109"/>
      <c r="I975" s="109"/>
      <c r="J975" s="109"/>
      <c r="K975" s="109"/>
      <c r="L975" s="109"/>
      <c r="M975" s="109"/>
      <c r="N975" s="13" t="s">
        <v>11136</v>
      </c>
      <c r="O975" s="13" t="s">
        <v>687</v>
      </c>
      <c r="P975" s="13" t="s">
        <v>3110</v>
      </c>
      <c r="Q975" s="15" t="s">
        <v>3111</v>
      </c>
      <c r="R975" s="109"/>
      <c r="S975" s="109"/>
      <c r="T975" s="112"/>
      <c r="U975" s="112"/>
      <c r="V975" s="112"/>
      <c r="W975" s="112"/>
    </row>
    <row r="976" spans="1:23" s="2" customFormat="1" ht="12">
      <c r="A976" s="11"/>
      <c r="B976" s="108"/>
      <c r="C976" s="109"/>
      <c r="D976" s="14" t="str">
        <f>D975</f>
        <v>申通快递</v>
      </c>
      <c r="E976" s="109"/>
      <c r="F976" s="112"/>
      <c r="G976" s="109"/>
      <c r="H976" s="109"/>
      <c r="I976" s="109"/>
      <c r="J976" s="109"/>
      <c r="K976" s="109"/>
      <c r="L976" s="109"/>
      <c r="M976" s="109"/>
      <c r="N976" s="13" t="s">
        <v>4505</v>
      </c>
      <c r="O976" s="13" t="s">
        <v>687</v>
      </c>
      <c r="P976" s="13" t="s">
        <v>3112</v>
      </c>
      <c r="Q976" s="15" t="s">
        <v>240</v>
      </c>
      <c r="R976" s="109"/>
      <c r="S976" s="109"/>
      <c r="T976" s="112"/>
      <c r="U976" s="112"/>
      <c r="V976" s="112"/>
      <c r="W976" s="112"/>
    </row>
    <row r="977" spans="1:23" s="2" customFormat="1" ht="12">
      <c r="A977" s="11"/>
      <c r="B977" s="108"/>
      <c r="C977" s="109"/>
      <c r="D977" s="14" t="str">
        <f>D976</f>
        <v>申通快递</v>
      </c>
      <c r="E977" s="109"/>
      <c r="F977" s="112"/>
      <c r="G977" s="109"/>
      <c r="H977" s="109"/>
      <c r="I977" s="109"/>
      <c r="J977" s="109"/>
      <c r="K977" s="109"/>
      <c r="L977" s="109"/>
      <c r="M977" s="109"/>
      <c r="N977" s="13" t="s">
        <v>1441</v>
      </c>
      <c r="O977" s="13" t="s">
        <v>687</v>
      </c>
      <c r="P977" s="13" t="s">
        <v>3113</v>
      </c>
      <c r="Q977" s="15" t="s">
        <v>240</v>
      </c>
      <c r="R977" s="109"/>
      <c r="S977" s="109"/>
      <c r="T977" s="112"/>
      <c r="U977" s="112"/>
      <c r="V977" s="112"/>
      <c r="W977" s="112"/>
    </row>
    <row r="978" spans="1:23" s="2" customFormat="1" ht="12">
      <c r="A978" s="11"/>
      <c r="B978" s="108"/>
      <c r="C978" s="109"/>
      <c r="D978" s="14" t="str">
        <f>D977</f>
        <v>申通快递</v>
      </c>
      <c r="E978" s="109"/>
      <c r="F978" s="112"/>
      <c r="G978" s="109"/>
      <c r="H978" s="109"/>
      <c r="I978" s="109"/>
      <c r="J978" s="109"/>
      <c r="K978" s="109"/>
      <c r="L978" s="109"/>
      <c r="M978" s="109"/>
      <c r="N978" s="13" t="s">
        <v>8044</v>
      </c>
      <c r="O978" s="15" t="s">
        <v>471</v>
      </c>
      <c r="P978" s="13" t="s">
        <v>3114</v>
      </c>
      <c r="Q978" s="15" t="s">
        <v>3115</v>
      </c>
      <c r="R978" s="109"/>
      <c r="S978" s="109"/>
      <c r="T978" s="112"/>
      <c r="U978" s="112"/>
      <c r="V978" s="112"/>
      <c r="W978" s="112"/>
    </row>
    <row r="979" spans="1:23" s="2" customFormat="1" ht="12">
      <c r="A979" s="11"/>
      <c r="B979" s="108"/>
      <c r="C979" s="109"/>
      <c r="D979" s="14" t="str">
        <f>D978</f>
        <v>申通快递</v>
      </c>
      <c r="E979" s="109"/>
      <c r="F979" s="112"/>
      <c r="G979" s="109"/>
      <c r="H979" s="109"/>
      <c r="I979" s="109"/>
      <c r="J979" s="109"/>
      <c r="K979" s="109"/>
      <c r="L979" s="109"/>
      <c r="M979" s="109"/>
      <c r="N979" s="13" t="s">
        <v>11137</v>
      </c>
      <c r="O979" s="13" t="s">
        <v>283</v>
      </c>
      <c r="P979" s="13" t="s">
        <v>773</v>
      </c>
      <c r="Q979" s="13" t="s">
        <v>253</v>
      </c>
      <c r="R979" s="109"/>
      <c r="S979" s="109"/>
      <c r="T979" s="112"/>
      <c r="U979" s="112"/>
      <c r="V979" s="112"/>
      <c r="W979" s="112"/>
    </row>
    <row r="980" spans="1:23" s="2" customFormat="1" ht="12">
      <c r="A980" s="11"/>
      <c r="B980" s="108"/>
      <c r="C980" s="109" t="s">
        <v>3162</v>
      </c>
      <c r="D980" s="14" t="s">
        <v>3163</v>
      </c>
      <c r="E980" s="113" t="s">
        <v>3163</v>
      </c>
      <c r="F980" s="114" t="s">
        <v>3164</v>
      </c>
      <c r="G980" s="113" t="s">
        <v>3165</v>
      </c>
      <c r="H980" s="109" t="s">
        <v>3166</v>
      </c>
      <c r="I980" s="109" t="s">
        <v>2762</v>
      </c>
      <c r="J980" s="113" t="s">
        <v>406</v>
      </c>
      <c r="K980" s="113" t="s">
        <v>272</v>
      </c>
      <c r="L980" s="113" t="s">
        <v>512</v>
      </c>
      <c r="M980" s="113" t="s">
        <v>1483</v>
      </c>
      <c r="N980" s="13" t="s">
        <v>3162</v>
      </c>
      <c r="O980" s="15" t="s">
        <v>471</v>
      </c>
      <c r="P980" s="13" t="s">
        <v>3167</v>
      </c>
      <c r="Q980" s="15" t="s">
        <v>3168</v>
      </c>
      <c r="R980" s="109" t="s">
        <v>3169</v>
      </c>
      <c r="S980" s="109" t="s">
        <v>3170</v>
      </c>
      <c r="T980" s="114" t="s">
        <v>3171</v>
      </c>
      <c r="U980" s="114" t="s">
        <v>3172</v>
      </c>
      <c r="V980" s="112" t="s">
        <v>3173</v>
      </c>
      <c r="W980" s="112" t="s">
        <v>3174</v>
      </c>
    </row>
    <row r="981" spans="1:23" s="2" customFormat="1" ht="12">
      <c r="A981" s="11"/>
      <c r="B981" s="108"/>
      <c r="C981" s="109"/>
      <c r="D981" s="14" t="str">
        <f t="shared" ref="D981:D990" si="27">D980</f>
        <v>百世物流</v>
      </c>
      <c r="E981" s="109"/>
      <c r="F981" s="112"/>
      <c r="G981" s="109"/>
      <c r="H981" s="109"/>
      <c r="I981" s="109"/>
      <c r="J981" s="109"/>
      <c r="K981" s="109"/>
      <c r="L981" s="109"/>
      <c r="M981" s="109"/>
      <c r="N981" s="13" t="s">
        <v>11138</v>
      </c>
      <c r="O981" s="13" t="s">
        <v>283</v>
      </c>
      <c r="P981" s="13" t="s">
        <v>2122</v>
      </c>
      <c r="Q981" s="13" t="s">
        <v>253</v>
      </c>
      <c r="R981" s="109"/>
      <c r="S981" s="109"/>
      <c r="T981" s="112"/>
      <c r="U981" s="112"/>
      <c r="V981" s="112"/>
      <c r="W981" s="112"/>
    </row>
    <row r="982" spans="1:23" s="2" customFormat="1" ht="12">
      <c r="A982" s="11"/>
      <c r="B982" s="108"/>
      <c r="C982" s="109"/>
      <c r="D982" s="14" t="str">
        <f t="shared" si="27"/>
        <v>百世物流</v>
      </c>
      <c r="E982" s="109"/>
      <c r="F982" s="112"/>
      <c r="G982" s="109"/>
      <c r="H982" s="109"/>
      <c r="I982" s="109"/>
      <c r="J982" s="109"/>
      <c r="K982" s="109"/>
      <c r="L982" s="109"/>
      <c r="M982" s="109"/>
      <c r="N982" s="13" t="s">
        <v>11139</v>
      </c>
      <c r="O982" s="15" t="s">
        <v>285</v>
      </c>
      <c r="P982" s="13" t="s">
        <v>3175</v>
      </c>
      <c r="Q982" s="15" t="s">
        <v>3176</v>
      </c>
      <c r="R982" s="109"/>
      <c r="S982" s="109"/>
      <c r="T982" s="112"/>
      <c r="U982" s="112"/>
      <c r="V982" s="112"/>
      <c r="W982" s="112"/>
    </row>
    <row r="983" spans="1:23" s="2" customFormat="1" ht="12">
      <c r="A983" s="11"/>
      <c r="B983" s="108"/>
      <c r="C983" s="109"/>
      <c r="D983" s="14" t="str">
        <f t="shared" si="27"/>
        <v>百世物流</v>
      </c>
      <c r="E983" s="109"/>
      <c r="F983" s="112"/>
      <c r="G983" s="109"/>
      <c r="H983" s="109"/>
      <c r="I983" s="109"/>
      <c r="J983" s="109"/>
      <c r="K983" s="109"/>
      <c r="L983" s="109"/>
      <c r="M983" s="109"/>
      <c r="N983" s="13" t="s">
        <v>11140</v>
      </c>
      <c r="O983" s="15" t="s">
        <v>285</v>
      </c>
      <c r="P983" s="13" t="s">
        <v>805</v>
      </c>
      <c r="Q983" s="15" t="s">
        <v>3177</v>
      </c>
      <c r="R983" s="109"/>
      <c r="S983" s="109"/>
      <c r="T983" s="112"/>
      <c r="U983" s="112"/>
      <c r="V983" s="112"/>
      <c r="W983" s="112"/>
    </row>
    <row r="984" spans="1:23" s="2" customFormat="1" ht="12">
      <c r="A984" s="11"/>
      <c r="B984" s="108"/>
      <c r="C984" s="109"/>
      <c r="D984" s="14" t="str">
        <f t="shared" si="27"/>
        <v>百世物流</v>
      </c>
      <c r="E984" s="109"/>
      <c r="F984" s="112"/>
      <c r="G984" s="109"/>
      <c r="H984" s="109"/>
      <c r="I984" s="109"/>
      <c r="J984" s="109"/>
      <c r="K984" s="109"/>
      <c r="L984" s="109"/>
      <c r="M984" s="109"/>
      <c r="N984" s="13" t="s">
        <v>8022</v>
      </c>
      <c r="O984" s="13" t="s">
        <v>303</v>
      </c>
      <c r="P984" s="13" t="s">
        <v>3178</v>
      </c>
      <c r="Q984" s="15" t="s">
        <v>240</v>
      </c>
      <c r="R984" s="109"/>
      <c r="S984" s="109"/>
      <c r="T984" s="112"/>
      <c r="U984" s="112"/>
      <c r="V984" s="112"/>
      <c r="W984" s="112"/>
    </row>
    <row r="985" spans="1:23" s="2" customFormat="1" ht="12">
      <c r="A985" s="11"/>
      <c r="B985" s="108"/>
      <c r="C985" s="109"/>
      <c r="D985" s="14" t="str">
        <f t="shared" si="27"/>
        <v>百世物流</v>
      </c>
      <c r="E985" s="109"/>
      <c r="F985" s="112"/>
      <c r="G985" s="109"/>
      <c r="H985" s="109"/>
      <c r="I985" s="109"/>
      <c r="J985" s="109"/>
      <c r="K985" s="109"/>
      <c r="L985" s="109"/>
      <c r="M985" s="109"/>
      <c r="N985" s="13" t="s">
        <v>11141</v>
      </c>
      <c r="O985" s="13" t="s">
        <v>310</v>
      </c>
      <c r="P985" s="15" t="s">
        <v>299</v>
      </c>
      <c r="Q985" s="15" t="s">
        <v>873</v>
      </c>
      <c r="R985" s="109"/>
      <c r="S985" s="109"/>
      <c r="T985" s="112"/>
      <c r="U985" s="112"/>
      <c r="V985" s="112"/>
      <c r="W985" s="112"/>
    </row>
    <row r="986" spans="1:23" s="2" customFormat="1" ht="12">
      <c r="A986" s="11"/>
      <c r="B986" s="108"/>
      <c r="C986" s="109"/>
      <c r="D986" s="14" t="str">
        <f t="shared" si="27"/>
        <v>百世物流</v>
      </c>
      <c r="E986" s="109"/>
      <c r="F986" s="112"/>
      <c r="G986" s="109"/>
      <c r="H986" s="109"/>
      <c r="I986" s="109"/>
      <c r="J986" s="109"/>
      <c r="K986" s="109"/>
      <c r="L986" s="109"/>
      <c r="M986" s="109"/>
      <c r="N986" s="13" t="s">
        <v>11142</v>
      </c>
      <c r="O986" s="13" t="s">
        <v>317</v>
      </c>
      <c r="P986" s="15" t="s">
        <v>258</v>
      </c>
      <c r="Q986" s="15" t="s">
        <v>3179</v>
      </c>
      <c r="R986" s="109"/>
      <c r="S986" s="109"/>
      <c r="T986" s="112"/>
      <c r="U986" s="112"/>
      <c r="V986" s="112"/>
      <c r="W986" s="112"/>
    </row>
    <row r="987" spans="1:23" s="2" customFormat="1" ht="12">
      <c r="A987" s="11"/>
      <c r="B987" s="108"/>
      <c r="C987" s="109"/>
      <c r="D987" s="14" t="str">
        <f t="shared" si="27"/>
        <v>百世物流</v>
      </c>
      <c r="E987" s="109"/>
      <c r="F987" s="112"/>
      <c r="G987" s="109"/>
      <c r="H987" s="109"/>
      <c r="I987" s="109"/>
      <c r="J987" s="109"/>
      <c r="K987" s="109"/>
      <c r="L987" s="109"/>
      <c r="M987" s="109"/>
      <c r="N987" s="13" t="s">
        <v>11143</v>
      </c>
      <c r="O987" s="13" t="s">
        <v>251</v>
      </c>
      <c r="P987" s="15" t="s">
        <v>258</v>
      </c>
      <c r="Q987" s="15" t="s">
        <v>3180</v>
      </c>
      <c r="R987" s="109"/>
      <c r="S987" s="109"/>
      <c r="T987" s="112"/>
      <c r="U987" s="112"/>
      <c r="V987" s="112"/>
      <c r="W987" s="112"/>
    </row>
    <row r="988" spans="1:23" s="2" customFormat="1" ht="12">
      <c r="A988" s="11"/>
      <c r="B988" s="108"/>
      <c r="C988" s="109"/>
      <c r="D988" s="14" t="str">
        <f t="shared" si="27"/>
        <v>百世物流</v>
      </c>
      <c r="E988" s="109"/>
      <c r="F988" s="112"/>
      <c r="G988" s="109"/>
      <c r="H988" s="109"/>
      <c r="I988" s="109"/>
      <c r="J988" s="109"/>
      <c r="K988" s="109"/>
      <c r="L988" s="109"/>
      <c r="M988" s="109"/>
      <c r="N988" s="13" t="s">
        <v>11144</v>
      </c>
      <c r="O988" s="13" t="s">
        <v>257</v>
      </c>
      <c r="P988" s="15" t="s">
        <v>258</v>
      </c>
      <c r="Q988" s="13" t="s">
        <v>831</v>
      </c>
      <c r="R988" s="109"/>
      <c r="S988" s="109"/>
      <c r="T988" s="112"/>
      <c r="U988" s="112"/>
      <c r="V988" s="112"/>
      <c r="W988" s="112"/>
    </row>
    <row r="989" spans="1:23" s="2" customFormat="1" ht="12">
      <c r="A989" s="11"/>
      <c r="B989" s="108"/>
      <c r="C989" s="109"/>
      <c r="D989" s="14" t="str">
        <f t="shared" si="27"/>
        <v>百世物流</v>
      </c>
      <c r="E989" s="109"/>
      <c r="F989" s="112"/>
      <c r="G989" s="109"/>
      <c r="H989" s="109"/>
      <c r="I989" s="109"/>
      <c r="J989" s="109"/>
      <c r="K989" s="109"/>
      <c r="L989" s="109"/>
      <c r="M989" s="109"/>
      <c r="N989" s="13" t="s">
        <v>11145</v>
      </c>
      <c r="O989" s="13" t="s">
        <v>262</v>
      </c>
      <c r="P989" s="13" t="s">
        <v>322</v>
      </c>
      <c r="Q989" s="15" t="s">
        <v>2700</v>
      </c>
      <c r="R989" s="109"/>
      <c r="S989" s="109"/>
      <c r="T989" s="112"/>
      <c r="U989" s="112"/>
      <c r="V989" s="112"/>
      <c r="W989" s="112"/>
    </row>
    <row r="990" spans="1:23" s="2" customFormat="1" ht="12">
      <c r="A990" s="11"/>
      <c r="B990" s="108"/>
      <c r="C990" s="109"/>
      <c r="D990" s="14" t="str">
        <f t="shared" si="27"/>
        <v>百世物流</v>
      </c>
      <c r="E990" s="109"/>
      <c r="F990" s="112"/>
      <c r="G990" s="109"/>
      <c r="H990" s="109"/>
      <c r="I990" s="109"/>
      <c r="J990" s="109"/>
      <c r="K990" s="109"/>
      <c r="L990" s="109"/>
      <c r="M990" s="109"/>
      <c r="N990" s="13" t="s">
        <v>11146</v>
      </c>
      <c r="O990" s="15" t="s">
        <v>326</v>
      </c>
      <c r="P990" s="13" t="s">
        <v>2494</v>
      </c>
      <c r="Q990" s="15" t="s">
        <v>3181</v>
      </c>
      <c r="R990" s="109"/>
      <c r="S990" s="109"/>
      <c r="T990" s="112"/>
      <c r="U990" s="112"/>
      <c r="V990" s="112"/>
      <c r="W990" s="112"/>
    </row>
    <row r="991" spans="1:23" s="2" customFormat="1" ht="12">
      <c r="A991" s="11"/>
      <c r="B991" s="108"/>
      <c r="C991" s="109" t="s">
        <v>11147</v>
      </c>
      <c r="D991" s="14" t="s">
        <v>11148</v>
      </c>
      <c r="E991" s="113" t="s">
        <v>11148</v>
      </c>
      <c r="F991" s="114" t="s">
        <v>11149</v>
      </c>
      <c r="G991" s="113" t="s">
        <v>11150</v>
      </c>
      <c r="H991" s="109" t="s">
        <v>11151</v>
      </c>
      <c r="I991" s="109" t="s">
        <v>2176</v>
      </c>
      <c r="J991" s="113" t="s">
        <v>1192</v>
      </c>
      <c r="K991" s="113" t="s">
        <v>272</v>
      </c>
      <c r="L991" s="113" t="s">
        <v>273</v>
      </c>
      <c r="M991" s="113" t="s">
        <v>3788</v>
      </c>
      <c r="N991" s="13" t="s">
        <v>11147</v>
      </c>
      <c r="O991" s="13" t="s">
        <v>2237</v>
      </c>
      <c r="P991" s="13" t="s">
        <v>11152</v>
      </c>
      <c r="Q991" s="15" t="s">
        <v>11153</v>
      </c>
      <c r="R991" s="109" t="s">
        <v>11154</v>
      </c>
      <c r="S991" s="109" t="s">
        <v>11155</v>
      </c>
      <c r="T991" s="114" t="s">
        <v>11156</v>
      </c>
      <c r="U991" s="114" t="s">
        <v>11157</v>
      </c>
      <c r="V991" s="112" t="s">
        <v>11158</v>
      </c>
      <c r="W991" s="112" t="s">
        <v>11159</v>
      </c>
    </row>
    <row r="992" spans="1:23" s="2" customFormat="1" ht="12">
      <c r="A992" s="11"/>
      <c r="B992" s="108"/>
      <c r="C992" s="109"/>
      <c r="D992" s="14" t="str">
        <f t="shared" ref="D992:D1000" si="28">D991</f>
        <v>速腾聚创</v>
      </c>
      <c r="E992" s="109"/>
      <c r="F992" s="112"/>
      <c r="G992" s="109"/>
      <c r="H992" s="109"/>
      <c r="I992" s="109"/>
      <c r="J992" s="109"/>
      <c r="K992" s="109"/>
      <c r="L992" s="109"/>
      <c r="M992" s="109"/>
      <c r="N992" s="13" t="s">
        <v>11160</v>
      </c>
      <c r="O992" s="15" t="s">
        <v>285</v>
      </c>
      <c r="P992" s="15" t="s">
        <v>252</v>
      </c>
      <c r="Q992" s="15" t="s">
        <v>11161</v>
      </c>
      <c r="R992" s="109"/>
      <c r="S992" s="109"/>
      <c r="T992" s="112"/>
      <c r="U992" s="112"/>
      <c r="V992" s="112"/>
      <c r="W992" s="112"/>
    </row>
    <row r="993" spans="1:23" s="2" customFormat="1" ht="12">
      <c r="A993" s="11"/>
      <c r="B993" s="108"/>
      <c r="C993" s="109"/>
      <c r="D993" s="14" t="str">
        <f t="shared" si="28"/>
        <v>速腾聚创</v>
      </c>
      <c r="E993" s="109"/>
      <c r="F993" s="112"/>
      <c r="G993" s="109"/>
      <c r="H993" s="109"/>
      <c r="I993" s="109"/>
      <c r="J993" s="109"/>
      <c r="K993" s="109"/>
      <c r="L993" s="109"/>
      <c r="M993" s="109"/>
      <c r="N993" s="13" t="s">
        <v>11162</v>
      </c>
      <c r="O993" s="15" t="s">
        <v>285</v>
      </c>
      <c r="P993" s="15" t="s">
        <v>252</v>
      </c>
      <c r="Q993" s="15" t="s">
        <v>11163</v>
      </c>
      <c r="R993" s="109"/>
      <c r="S993" s="109"/>
      <c r="T993" s="112"/>
      <c r="U993" s="112"/>
      <c r="V993" s="112"/>
      <c r="W993" s="112"/>
    </row>
    <row r="994" spans="1:23" s="2" customFormat="1" ht="12">
      <c r="A994" s="11"/>
      <c r="B994" s="108"/>
      <c r="C994" s="109"/>
      <c r="D994" s="14" t="str">
        <f t="shared" si="28"/>
        <v>速腾聚创</v>
      </c>
      <c r="E994" s="109"/>
      <c r="F994" s="112"/>
      <c r="G994" s="109"/>
      <c r="H994" s="109"/>
      <c r="I994" s="109"/>
      <c r="J994" s="109"/>
      <c r="K994" s="109"/>
      <c r="L994" s="109"/>
      <c r="M994" s="109"/>
      <c r="N994" s="13" t="s">
        <v>11164</v>
      </c>
      <c r="O994" s="15" t="s">
        <v>285</v>
      </c>
      <c r="P994" s="13" t="s">
        <v>2420</v>
      </c>
      <c r="Q994" s="15" t="s">
        <v>11165</v>
      </c>
      <c r="R994" s="109"/>
      <c r="S994" s="109"/>
      <c r="T994" s="112"/>
      <c r="U994" s="112"/>
      <c r="V994" s="112"/>
      <c r="W994" s="112"/>
    </row>
    <row r="995" spans="1:23" s="2" customFormat="1" ht="12">
      <c r="A995" s="11"/>
      <c r="B995" s="108"/>
      <c r="C995" s="109"/>
      <c r="D995" s="14" t="str">
        <f t="shared" si="28"/>
        <v>速腾聚创</v>
      </c>
      <c r="E995" s="109"/>
      <c r="F995" s="112"/>
      <c r="G995" s="109"/>
      <c r="H995" s="109"/>
      <c r="I995" s="109"/>
      <c r="J995" s="109"/>
      <c r="K995" s="109"/>
      <c r="L995" s="109"/>
      <c r="M995" s="109"/>
      <c r="N995" s="13" t="s">
        <v>11166</v>
      </c>
      <c r="O995" s="15" t="s">
        <v>285</v>
      </c>
      <c r="P995" s="13" t="s">
        <v>1115</v>
      </c>
      <c r="Q995" s="15" t="s">
        <v>11167</v>
      </c>
      <c r="R995" s="109"/>
      <c r="S995" s="109"/>
      <c r="T995" s="112"/>
      <c r="U995" s="112"/>
      <c r="V995" s="112"/>
      <c r="W995" s="112"/>
    </row>
    <row r="996" spans="1:23" s="2" customFormat="1" ht="12">
      <c r="A996" s="11"/>
      <c r="B996" s="108"/>
      <c r="C996" s="109"/>
      <c r="D996" s="14" t="str">
        <f t="shared" si="28"/>
        <v>速腾聚创</v>
      </c>
      <c r="E996" s="109"/>
      <c r="F996" s="112"/>
      <c r="G996" s="109"/>
      <c r="H996" s="109"/>
      <c r="I996" s="109"/>
      <c r="J996" s="109"/>
      <c r="K996" s="109"/>
      <c r="L996" s="109"/>
      <c r="M996" s="109"/>
      <c r="N996" s="13" t="s">
        <v>8485</v>
      </c>
      <c r="O996" s="13" t="s">
        <v>251</v>
      </c>
      <c r="P996" s="15" t="s">
        <v>252</v>
      </c>
      <c r="Q996" s="15" t="s">
        <v>11168</v>
      </c>
      <c r="R996" s="109"/>
      <c r="S996" s="109"/>
      <c r="T996" s="112"/>
      <c r="U996" s="112"/>
      <c r="V996" s="112"/>
      <c r="W996" s="112"/>
    </row>
    <row r="997" spans="1:23" s="2" customFormat="1" ht="12">
      <c r="A997" s="11"/>
      <c r="B997" s="108"/>
      <c r="C997" s="109"/>
      <c r="D997" s="14" t="str">
        <f t="shared" si="28"/>
        <v>速腾聚创</v>
      </c>
      <c r="E997" s="109"/>
      <c r="F997" s="112"/>
      <c r="G997" s="109"/>
      <c r="H997" s="109"/>
      <c r="I997" s="109"/>
      <c r="J997" s="109"/>
      <c r="K997" s="109"/>
      <c r="L997" s="109"/>
      <c r="M997" s="109"/>
      <c r="N997" s="13" t="s">
        <v>10546</v>
      </c>
      <c r="O997" s="13" t="s">
        <v>257</v>
      </c>
      <c r="P997" s="15" t="s">
        <v>252</v>
      </c>
      <c r="Q997" s="15" t="s">
        <v>11169</v>
      </c>
      <c r="R997" s="109"/>
      <c r="S997" s="109"/>
      <c r="T997" s="112"/>
      <c r="U997" s="112"/>
      <c r="V997" s="112"/>
      <c r="W997" s="112"/>
    </row>
    <row r="998" spans="1:23" s="2" customFormat="1" ht="12">
      <c r="A998" s="11"/>
      <c r="B998" s="108"/>
      <c r="C998" s="109"/>
      <c r="D998" s="14" t="str">
        <f t="shared" si="28"/>
        <v>速腾聚创</v>
      </c>
      <c r="E998" s="109"/>
      <c r="F998" s="112"/>
      <c r="G998" s="109"/>
      <c r="H998" s="109"/>
      <c r="I998" s="109"/>
      <c r="J998" s="109"/>
      <c r="K998" s="109"/>
      <c r="L998" s="109"/>
      <c r="M998" s="109"/>
      <c r="N998" s="13" t="s">
        <v>11170</v>
      </c>
      <c r="O998" s="13" t="s">
        <v>260</v>
      </c>
      <c r="P998" s="15" t="s">
        <v>341</v>
      </c>
      <c r="Q998" s="15" t="s">
        <v>11171</v>
      </c>
      <c r="R998" s="109"/>
      <c r="S998" s="109"/>
      <c r="T998" s="112"/>
      <c r="U998" s="112"/>
      <c r="V998" s="112"/>
      <c r="W998" s="112"/>
    </row>
    <row r="999" spans="1:23" s="2" customFormat="1" ht="12">
      <c r="A999" s="11"/>
      <c r="B999" s="108"/>
      <c r="C999" s="109"/>
      <c r="D999" s="14" t="str">
        <f t="shared" si="28"/>
        <v>速腾聚创</v>
      </c>
      <c r="E999" s="109"/>
      <c r="F999" s="112"/>
      <c r="G999" s="109"/>
      <c r="H999" s="109"/>
      <c r="I999" s="109"/>
      <c r="J999" s="109"/>
      <c r="K999" s="109"/>
      <c r="L999" s="109"/>
      <c r="M999" s="109"/>
      <c r="N999" s="13" t="s">
        <v>8681</v>
      </c>
      <c r="O999" s="13" t="s">
        <v>262</v>
      </c>
      <c r="P999" s="13" t="s">
        <v>360</v>
      </c>
      <c r="Q999" s="15" t="s">
        <v>8529</v>
      </c>
      <c r="R999" s="109"/>
      <c r="S999" s="109"/>
      <c r="T999" s="112"/>
      <c r="U999" s="112"/>
      <c r="V999" s="112"/>
      <c r="W999" s="112"/>
    </row>
    <row r="1000" spans="1:23" s="2" customFormat="1" ht="12">
      <c r="A1000" s="11"/>
      <c r="B1000" s="108"/>
      <c r="C1000" s="109"/>
      <c r="D1000" s="14" t="str">
        <f t="shared" si="28"/>
        <v>速腾聚创</v>
      </c>
      <c r="E1000" s="109"/>
      <c r="F1000" s="112"/>
      <c r="G1000" s="109"/>
      <c r="H1000" s="109"/>
      <c r="I1000" s="109"/>
      <c r="J1000" s="109"/>
      <c r="K1000" s="109"/>
      <c r="L1000" s="109"/>
      <c r="M1000" s="109"/>
      <c r="N1000" s="13" t="s">
        <v>8237</v>
      </c>
      <c r="O1000" s="15" t="s">
        <v>326</v>
      </c>
      <c r="P1000" s="15" t="s">
        <v>327</v>
      </c>
      <c r="Q1000" s="15" t="s">
        <v>8529</v>
      </c>
      <c r="R1000" s="109"/>
      <c r="S1000" s="109"/>
      <c r="T1000" s="112"/>
      <c r="U1000" s="112"/>
      <c r="V1000" s="112"/>
      <c r="W1000" s="112"/>
    </row>
    <row r="1001" spans="1:23" s="2" customFormat="1" ht="12">
      <c r="A1001" s="11"/>
      <c r="B1001" s="108"/>
      <c r="C1001" s="109" t="s">
        <v>10801</v>
      </c>
      <c r="D1001" s="14" t="s">
        <v>2689</v>
      </c>
      <c r="E1001" s="113" t="s">
        <v>2689</v>
      </c>
      <c r="F1001" s="114" t="s">
        <v>11172</v>
      </c>
      <c r="G1001" s="113" t="s">
        <v>11173</v>
      </c>
      <c r="H1001" s="109" t="s">
        <v>11174</v>
      </c>
      <c r="I1001" s="109" t="s">
        <v>4333</v>
      </c>
      <c r="J1001" s="113" t="s">
        <v>385</v>
      </c>
      <c r="K1001" s="113" t="s">
        <v>272</v>
      </c>
      <c r="L1001" s="113" t="s">
        <v>512</v>
      </c>
      <c r="M1001" s="113" t="s">
        <v>2683</v>
      </c>
      <c r="N1001" s="13" t="s">
        <v>10801</v>
      </c>
      <c r="O1001" s="13" t="s">
        <v>283</v>
      </c>
      <c r="P1001" s="13" t="s">
        <v>11175</v>
      </c>
      <c r="Q1001" s="13" t="s">
        <v>253</v>
      </c>
      <c r="R1001" s="109" t="s">
        <v>11176</v>
      </c>
      <c r="S1001" s="109" t="s">
        <v>11177</v>
      </c>
      <c r="T1001" s="114" t="s">
        <v>11178</v>
      </c>
      <c r="U1001" s="114" t="s">
        <v>11179</v>
      </c>
      <c r="V1001" s="112" t="s">
        <v>11180</v>
      </c>
      <c r="W1001" s="112"/>
    </row>
    <row r="1002" spans="1:23" s="2" customFormat="1" ht="12">
      <c r="A1002" s="11"/>
      <c r="B1002" s="108"/>
      <c r="C1002" s="109"/>
      <c r="D1002" s="14" t="str">
        <f t="shared" ref="D1002:D1008" si="29">D1001</f>
        <v>快狗打车</v>
      </c>
      <c r="E1002" s="109"/>
      <c r="F1002" s="112"/>
      <c r="G1002" s="109"/>
      <c r="H1002" s="109"/>
      <c r="I1002" s="109"/>
      <c r="J1002" s="109"/>
      <c r="K1002" s="109"/>
      <c r="L1002" s="109"/>
      <c r="M1002" s="109"/>
      <c r="N1002" s="13" t="s">
        <v>11162</v>
      </c>
      <c r="O1002" s="15" t="s">
        <v>654</v>
      </c>
      <c r="P1002" s="13" t="s">
        <v>11181</v>
      </c>
      <c r="Q1002" s="15" t="s">
        <v>11182</v>
      </c>
      <c r="R1002" s="109"/>
      <c r="S1002" s="109"/>
      <c r="T1002" s="112"/>
      <c r="U1002" s="112"/>
      <c r="V1002" s="112"/>
      <c r="W1002" s="112"/>
    </row>
    <row r="1003" spans="1:23" s="2" customFormat="1" ht="12">
      <c r="A1003" s="11"/>
      <c r="B1003" s="108"/>
      <c r="C1003" s="109"/>
      <c r="D1003" s="14" t="str">
        <f t="shared" si="29"/>
        <v>快狗打车</v>
      </c>
      <c r="E1003" s="109"/>
      <c r="F1003" s="112"/>
      <c r="G1003" s="109"/>
      <c r="H1003" s="109"/>
      <c r="I1003" s="109"/>
      <c r="J1003" s="109"/>
      <c r="K1003" s="109"/>
      <c r="L1003" s="109"/>
      <c r="M1003" s="109"/>
      <c r="N1003" s="13" t="s">
        <v>11183</v>
      </c>
      <c r="O1003" s="13" t="s">
        <v>251</v>
      </c>
      <c r="P1003" s="15" t="s">
        <v>276</v>
      </c>
      <c r="Q1003" s="15" t="s">
        <v>11184</v>
      </c>
      <c r="R1003" s="109"/>
      <c r="S1003" s="109"/>
      <c r="T1003" s="112"/>
      <c r="U1003" s="112"/>
      <c r="V1003" s="112"/>
      <c r="W1003" s="112"/>
    </row>
    <row r="1004" spans="1:23" s="2" customFormat="1" ht="12">
      <c r="A1004" s="11"/>
      <c r="B1004" s="108"/>
      <c r="C1004" s="109"/>
      <c r="D1004" s="14" t="str">
        <f t="shared" si="29"/>
        <v>快狗打车</v>
      </c>
      <c r="E1004" s="109"/>
      <c r="F1004" s="112"/>
      <c r="G1004" s="109"/>
      <c r="H1004" s="109"/>
      <c r="I1004" s="109"/>
      <c r="J1004" s="109"/>
      <c r="K1004" s="109"/>
      <c r="L1004" s="109"/>
      <c r="M1004" s="109"/>
      <c r="N1004" s="13" t="s">
        <v>9292</v>
      </c>
      <c r="O1004" s="13" t="s">
        <v>257</v>
      </c>
      <c r="P1004" s="15" t="s">
        <v>276</v>
      </c>
      <c r="Q1004" s="15" t="s">
        <v>421</v>
      </c>
      <c r="R1004" s="109"/>
      <c r="S1004" s="109"/>
      <c r="T1004" s="112"/>
      <c r="U1004" s="112"/>
      <c r="V1004" s="112"/>
      <c r="W1004" s="112"/>
    </row>
    <row r="1005" spans="1:23" s="2" customFormat="1" ht="12">
      <c r="A1005" s="11"/>
      <c r="B1005" s="108"/>
      <c r="C1005" s="109"/>
      <c r="D1005" s="14" t="str">
        <f t="shared" si="29"/>
        <v>快狗打车</v>
      </c>
      <c r="E1005" s="109"/>
      <c r="F1005" s="112"/>
      <c r="G1005" s="109"/>
      <c r="H1005" s="109"/>
      <c r="I1005" s="109"/>
      <c r="J1005" s="109"/>
      <c r="K1005" s="109"/>
      <c r="L1005" s="109"/>
      <c r="M1005" s="109"/>
      <c r="N1005" s="13" t="s">
        <v>11185</v>
      </c>
      <c r="O1005" s="13" t="s">
        <v>262</v>
      </c>
      <c r="P1005" s="13" t="s">
        <v>655</v>
      </c>
      <c r="Q1005" s="13" t="s">
        <v>2684</v>
      </c>
      <c r="R1005" s="109"/>
      <c r="S1005" s="109"/>
      <c r="T1005" s="112"/>
      <c r="U1005" s="112"/>
      <c r="V1005" s="112"/>
      <c r="W1005" s="112"/>
    </row>
    <row r="1006" spans="1:23" s="2" customFormat="1" ht="12">
      <c r="A1006" s="11"/>
      <c r="B1006" s="108"/>
      <c r="C1006" s="109"/>
      <c r="D1006" s="14" t="str">
        <f t="shared" si="29"/>
        <v>快狗打车</v>
      </c>
      <c r="E1006" s="109"/>
      <c r="F1006" s="112"/>
      <c r="G1006" s="109"/>
      <c r="H1006" s="109"/>
      <c r="I1006" s="109"/>
      <c r="J1006" s="109"/>
      <c r="K1006" s="109"/>
      <c r="L1006" s="109"/>
      <c r="M1006" s="109"/>
      <c r="N1006" s="13" t="s">
        <v>10459</v>
      </c>
      <c r="O1006" s="15" t="s">
        <v>313</v>
      </c>
      <c r="P1006" s="15" t="s">
        <v>252</v>
      </c>
      <c r="Q1006" s="15" t="s">
        <v>2679</v>
      </c>
      <c r="R1006" s="109"/>
      <c r="S1006" s="109"/>
      <c r="T1006" s="112"/>
      <c r="U1006" s="112"/>
      <c r="V1006" s="112"/>
      <c r="W1006" s="112"/>
    </row>
    <row r="1007" spans="1:23" s="2" customFormat="1" ht="12">
      <c r="A1007" s="11"/>
      <c r="B1007" s="108"/>
      <c r="C1007" s="109"/>
      <c r="D1007" s="14" t="str">
        <f t="shared" si="29"/>
        <v>快狗打车</v>
      </c>
      <c r="E1007" s="109"/>
      <c r="F1007" s="112"/>
      <c r="G1007" s="109"/>
      <c r="H1007" s="109"/>
      <c r="I1007" s="109"/>
      <c r="J1007" s="109"/>
      <c r="K1007" s="109"/>
      <c r="L1007" s="109"/>
      <c r="M1007" s="109"/>
      <c r="N1007" s="13" t="s">
        <v>11186</v>
      </c>
      <c r="O1007" s="13" t="s">
        <v>721</v>
      </c>
      <c r="P1007" s="15" t="s">
        <v>258</v>
      </c>
      <c r="Q1007" s="15" t="s">
        <v>566</v>
      </c>
      <c r="R1007" s="109"/>
      <c r="S1007" s="109"/>
      <c r="T1007" s="112"/>
      <c r="U1007" s="112"/>
      <c r="V1007" s="112"/>
      <c r="W1007" s="112"/>
    </row>
    <row r="1008" spans="1:23" s="2" customFormat="1" ht="12">
      <c r="A1008" s="11"/>
      <c r="B1008" s="108"/>
      <c r="C1008" s="109"/>
      <c r="D1008" s="14" t="str">
        <f t="shared" si="29"/>
        <v>快狗打车</v>
      </c>
      <c r="E1008" s="109"/>
      <c r="F1008" s="112"/>
      <c r="G1008" s="109"/>
      <c r="H1008" s="109"/>
      <c r="I1008" s="109"/>
      <c r="J1008" s="109"/>
      <c r="K1008" s="109"/>
      <c r="L1008" s="109"/>
      <c r="M1008" s="109"/>
      <c r="N1008" s="13" t="s">
        <v>11187</v>
      </c>
      <c r="O1008" s="15" t="s">
        <v>326</v>
      </c>
      <c r="P1008" s="15" t="s">
        <v>341</v>
      </c>
      <c r="Q1008" s="13" t="s">
        <v>11188</v>
      </c>
      <c r="R1008" s="109"/>
      <c r="S1008" s="109"/>
      <c r="T1008" s="112"/>
      <c r="U1008" s="112"/>
      <c r="V1008" s="112"/>
      <c r="W1008" s="112"/>
    </row>
    <row r="1009" spans="1:23" s="2" customFormat="1" ht="12">
      <c r="A1009" s="11"/>
      <c r="B1009" s="108"/>
      <c r="C1009" s="109" t="s">
        <v>11189</v>
      </c>
      <c r="D1009" s="14" t="s">
        <v>11190</v>
      </c>
      <c r="E1009" s="113" t="s">
        <v>11190</v>
      </c>
      <c r="F1009" s="114" t="s">
        <v>11191</v>
      </c>
      <c r="G1009" s="113" t="s">
        <v>11192</v>
      </c>
      <c r="H1009" s="109" t="s">
        <v>11193</v>
      </c>
      <c r="I1009" s="109" t="s">
        <v>11194</v>
      </c>
      <c r="J1009" s="113" t="s">
        <v>1192</v>
      </c>
      <c r="K1009" s="113" t="s">
        <v>272</v>
      </c>
      <c r="L1009" s="113" t="s">
        <v>512</v>
      </c>
      <c r="M1009" s="113" t="s">
        <v>7961</v>
      </c>
      <c r="N1009" s="13" t="s">
        <v>11189</v>
      </c>
      <c r="O1009" s="15" t="s">
        <v>313</v>
      </c>
      <c r="P1009" s="15" t="s">
        <v>252</v>
      </c>
      <c r="Q1009" s="13" t="s">
        <v>11195</v>
      </c>
      <c r="R1009" s="109" t="s">
        <v>9116</v>
      </c>
      <c r="S1009" s="113" t="s">
        <v>255</v>
      </c>
      <c r="T1009" s="114" t="s">
        <v>11196</v>
      </c>
      <c r="U1009" s="114" t="s">
        <v>11197</v>
      </c>
      <c r="V1009" s="112" t="s">
        <v>11198</v>
      </c>
      <c r="W1009" s="112" t="s">
        <v>11199</v>
      </c>
    </row>
    <row r="1010" spans="1:23" s="2" customFormat="1" ht="12">
      <c r="A1010" s="11"/>
      <c r="B1010" s="108"/>
      <c r="C1010" s="109"/>
      <c r="D1010" s="14" t="str">
        <f>D1009</f>
        <v>易流科技</v>
      </c>
      <c r="E1010" s="109"/>
      <c r="F1010" s="112"/>
      <c r="G1010" s="109"/>
      <c r="H1010" s="109"/>
      <c r="I1010" s="109"/>
      <c r="J1010" s="109"/>
      <c r="K1010" s="109"/>
      <c r="L1010" s="109"/>
      <c r="M1010" s="109"/>
      <c r="N1010" s="13" t="s">
        <v>11200</v>
      </c>
      <c r="O1010" s="15" t="s">
        <v>359</v>
      </c>
      <c r="P1010" s="15" t="s">
        <v>252</v>
      </c>
      <c r="Q1010" s="15" t="s">
        <v>514</v>
      </c>
      <c r="R1010" s="109"/>
      <c r="S1010" s="109"/>
      <c r="T1010" s="112"/>
      <c r="U1010" s="112"/>
      <c r="V1010" s="112"/>
      <c r="W1010" s="112"/>
    </row>
    <row r="1011" spans="1:23" s="2" customFormat="1" ht="12">
      <c r="A1011" s="11"/>
      <c r="B1011" s="108"/>
      <c r="C1011" s="109"/>
      <c r="D1011" s="14" t="str">
        <f>D1010</f>
        <v>易流科技</v>
      </c>
      <c r="E1011" s="109"/>
      <c r="F1011" s="112"/>
      <c r="G1011" s="109"/>
      <c r="H1011" s="109"/>
      <c r="I1011" s="109"/>
      <c r="J1011" s="109"/>
      <c r="K1011" s="109"/>
      <c r="L1011" s="109"/>
      <c r="M1011" s="109"/>
      <c r="N1011" s="13" t="s">
        <v>11201</v>
      </c>
      <c r="O1011" s="15" t="s">
        <v>362</v>
      </c>
      <c r="P1011" s="15" t="s">
        <v>252</v>
      </c>
      <c r="Q1011" s="13" t="s">
        <v>253</v>
      </c>
      <c r="R1011" s="109"/>
      <c r="S1011" s="109"/>
      <c r="T1011" s="112"/>
      <c r="U1011" s="112"/>
      <c r="V1011" s="112"/>
      <c r="W1011" s="112"/>
    </row>
    <row r="1012" spans="1:23" s="2" customFormat="1" ht="12">
      <c r="A1012" s="11"/>
      <c r="B1012" s="108"/>
      <c r="C1012" s="109"/>
      <c r="D1012" s="14" t="str">
        <f>D1011</f>
        <v>易流科技</v>
      </c>
      <c r="E1012" s="109"/>
      <c r="F1012" s="112"/>
      <c r="G1012" s="109"/>
      <c r="H1012" s="109"/>
      <c r="I1012" s="109"/>
      <c r="J1012" s="109"/>
      <c r="K1012" s="109"/>
      <c r="L1012" s="109"/>
      <c r="M1012" s="109"/>
      <c r="N1012" s="13" t="s">
        <v>10679</v>
      </c>
      <c r="O1012" s="13" t="s">
        <v>257</v>
      </c>
      <c r="P1012" s="15" t="s">
        <v>398</v>
      </c>
      <c r="Q1012" s="15" t="s">
        <v>11202</v>
      </c>
      <c r="R1012" s="109"/>
      <c r="S1012" s="109"/>
      <c r="T1012" s="112"/>
      <c r="U1012" s="112"/>
      <c r="V1012" s="112"/>
      <c r="W1012" s="112"/>
    </row>
    <row r="1013" spans="1:23" s="2" customFormat="1" ht="12">
      <c r="A1013" s="11"/>
      <c r="B1013" s="108"/>
      <c r="C1013" s="109"/>
      <c r="D1013" s="14" t="str">
        <f>D1012</f>
        <v>易流科技</v>
      </c>
      <c r="E1013" s="109"/>
      <c r="F1013" s="112"/>
      <c r="G1013" s="109"/>
      <c r="H1013" s="109"/>
      <c r="I1013" s="109"/>
      <c r="J1013" s="109"/>
      <c r="K1013" s="109"/>
      <c r="L1013" s="109"/>
      <c r="M1013" s="109"/>
      <c r="N1013" s="13" t="s">
        <v>4021</v>
      </c>
      <c r="O1013" s="13" t="s">
        <v>262</v>
      </c>
      <c r="P1013" s="13" t="s">
        <v>1684</v>
      </c>
      <c r="Q1013" s="15" t="s">
        <v>1186</v>
      </c>
      <c r="R1013" s="109"/>
      <c r="S1013" s="109"/>
      <c r="T1013" s="112"/>
      <c r="U1013" s="112"/>
      <c r="V1013" s="112"/>
      <c r="W1013" s="112"/>
    </row>
    <row r="1014" spans="1:23" s="2" customFormat="1" ht="12">
      <c r="A1014" s="11"/>
      <c r="B1014" s="108"/>
      <c r="C1014" s="109" t="s">
        <v>1401</v>
      </c>
      <c r="D1014" s="14" t="s">
        <v>3564</v>
      </c>
      <c r="E1014" s="113" t="s">
        <v>3564</v>
      </c>
      <c r="F1014" s="114" t="s">
        <v>3565</v>
      </c>
      <c r="G1014" s="113" t="s">
        <v>3566</v>
      </c>
      <c r="H1014" s="109" t="s">
        <v>3567</v>
      </c>
      <c r="I1014" s="109" t="s">
        <v>3568</v>
      </c>
      <c r="J1014" s="113" t="s">
        <v>2431</v>
      </c>
      <c r="K1014" s="113" t="s">
        <v>272</v>
      </c>
      <c r="L1014" s="113" t="s">
        <v>512</v>
      </c>
      <c r="M1014" s="113" t="s">
        <v>1483</v>
      </c>
      <c r="N1014" s="13" t="s">
        <v>1401</v>
      </c>
      <c r="O1014" s="13" t="s">
        <v>283</v>
      </c>
      <c r="P1014" s="13" t="s">
        <v>3569</v>
      </c>
      <c r="Q1014" s="13" t="s">
        <v>253</v>
      </c>
      <c r="R1014" s="109" t="s">
        <v>3570</v>
      </c>
      <c r="S1014" s="109" t="s">
        <v>3571</v>
      </c>
      <c r="T1014" s="114" t="s">
        <v>3572</v>
      </c>
      <c r="U1014" s="114" t="s">
        <v>3573</v>
      </c>
      <c r="V1014" s="112">
        <v>95311</v>
      </c>
      <c r="W1014" s="112" t="s">
        <v>3574</v>
      </c>
    </row>
    <row r="1015" spans="1:23" s="2" customFormat="1" ht="12">
      <c r="A1015" s="11"/>
      <c r="B1015" s="108"/>
      <c r="C1015" s="109"/>
      <c r="D1015" s="14" t="str">
        <f>D1014</f>
        <v>中通快递</v>
      </c>
      <c r="E1015" s="109"/>
      <c r="F1015" s="112"/>
      <c r="G1015" s="109"/>
      <c r="H1015" s="109"/>
      <c r="I1015" s="109"/>
      <c r="J1015" s="109"/>
      <c r="K1015" s="109"/>
      <c r="L1015" s="109"/>
      <c r="M1015" s="109"/>
      <c r="N1015" s="13" t="s">
        <v>9509</v>
      </c>
      <c r="O1015" s="13" t="s">
        <v>687</v>
      </c>
      <c r="P1015" s="13" t="s">
        <v>3575</v>
      </c>
      <c r="Q1015" s="15" t="s">
        <v>3576</v>
      </c>
      <c r="R1015" s="109"/>
      <c r="S1015" s="109"/>
      <c r="T1015" s="112"/>
      <c r="U1015" s="112"/>
      <c r="V1015" s="112"/>
      <c r="W1015" s="112"/>
    </row>
    <row r="1016" spans="1:23" s="2" customFormat="1" ht="12">
      <c r="A1016" s="11"/>
      <c r="B1016" s="108"/>
      <c r="C1016" s="109"/>
      <c r="D1016" s="14" t="str">
        <f>D1015</f>
        <v>中通快递</v>
      </c>
      <c r="E1016" s="109"/>
      <c r="F1016" s="112"/>
      <c r="G1016" s="109"/>
      <c r="H1016" s="109"/>
      <c r="I1016" s="109"/>
      <c r="J1016" s="109"/>
      <c r="K1016" s="109"/>
      <c r="L1016" s="109"/>
      <c r="M1016" s="109"/>
      <c r="N1016" s="13" t="s">
        <v>11203</v>
      </c>
      <c r="O1016" s="13" t="s">
        <v>283</v>
      </c>
      <c r="P1016" s="13" t="s">
        <v>2913</v>
      </c>
      <c r="Q1016" s="13" t="s">
        <v>253</v>
      </c>
      <c r="R1016" s="109"/>
      <c r="S1016" s="109"/>
      <c r="T1016" s="112"/>
      <c r="U1016" s="112"/>
      <c r="V1016" s="112"/>
      <c r="W1016" s="112"/>
    </row>
    <row r="1017" spans="1:23" s="2" customFormat="1" ht="12">
      <c r="A1017" s="11"/>
      <c r="B1017" s="108"/>
      <c r="C1017" s="109"/>
      <c r="D1017" s="14" t="str">
        <f>D1016</f>
        <v>中通快递</v>
      </c>
      <c r="E1017" s="109"/>
      <c r="F1017" s="112"/>
      <c r="G1017" s="109"/>
      <c r="H1017" s="109"/>
      <c r="I1017" s="109"/>
      <c r="J1017" s="109"/>
      <c r="K1017" s="109"/>
      <c r="L1017" s="109"/>
      <c r="M1017" s="109"/>
      <c r="N1017" s="13" t="s">
        <v>11186</v>
      </c>
      <c r="O1017" s="13" t="s">
        <v>257</v>
      </c>
      <c r="P1017" s="13" t="s">
        <v>1194</v>
      </c>
      <c r="Q1017" s="15" t="s">
        <v>3577</v>
      </c>
      <c r="R1017" s="109"/>
      <c r="S1017" s="109"/>
      <c r="T1017" s="112"/>
      <c r="U1017" s="112"/>
      <c r="V1017" s="112"/>
      <c r="W1017" s="112"/>
    </row>
    <row r="1018" spans="1:23" s="2" customFormat="1" ht="12">
      <c r="A1018" s="11"/>
      <c r="B1018" s="108"/>
      <c r="C1018" s="109"/>
      <c r="D1018" s="14" t="str">
        <f>D1017</f>
        <v>中通快递</v>
      </c>
      <c r="E1018" s="109"/>
      <c r="F1018" s="112"/>
      <c r="G1018" s="109"/>
      <c r="H1018" s="109"/>
      <c r="I1018" s="109"/>
      <c r="J1018" s="109"/>
      <c r="K1018" s="109"/>
      <c r="L1018" s="109"/>
      <c r="M1018" s="109"/>
      <c r="N1018" s="13" t="s">
        <v>11204</v>
      </c>
      <c r="O1018" s="13" t="s">
        <v>262</v>
      </c>
      <c r="P1018" s="15" t="s">
        <v>341</v>
      </c>
      <c r="Q1018" s="15" t="s">
        <v>3578</v>
      </c>
      <c r="R1018" s="109"/>
      <c r="S1018" s="109"/>
      <c r="T1018" s="112"/>
      <c r="U1018" s="112"/>
      <c r="V1018" s="112"/>
      <c r="W1018" s="112"/>
    </row>
    <row r="1019" spans="1:23" s="2" customFormat="1" ht="12">
      <c r="A1019" s="11"/>
      <c r="B1019" s="108"/>
      <c r="C1019" s="109" t="s">
        <v>11205</v>
      </c>
      <c r="D1019" s="14" t="s">
        <v>11206</v>
      </c>
      <c r="E1019" s="113" t="s">
        <v>11206</v>
      </c>
      <c r="F1019" s="114" t="s">
        <v>11207</v>
      </c>
      <c r="G1019" s="113" t="s">
        <v>11208</v>
      </c>
      <c r="H1019" s="109" t="s">
        <v>11209</v>
      </c>
      <c r="I1019" s="109" t="s">
        <v>1606</v>
      </c>
      <c r="J1019" s="113" t="s">
        <v>349</v>
      </c>
      <c r="K1019" s="113" t="s">
        <v>272</v>
      </c>
      <c r="L1019" s="113" t="s">
        <v>512</v>
      </c>
      <c r="M1019" s="113" t="s">
        <v>3002</v>
      </c>
      <c r="N1019" s="13" t="s">
        <v>11205</v>
      </c>
      <c r="O1019" s="13" t="s">
        <v>523</v>
      </c>
      <c r="P1019" s="13" t="s">
        <v>1194</v>
      </c>
      <c r="Q1019" s="15" t="s">
        <v>11210</v>
      </c>
      <c r="R1019" s="109" t="s">
        <v>11211</v>
      </c>
      <c r="S1019" s="109" t="s">
        <v>3974</v>
      </c>
      <c r="T1019" s="114" t="s">
        <v>11212</v>
      </c>
      <c r="U1019" s="114" t="s">
        <v>11213</v>
      </c>
      <c r="V1019" s="112" t="s">
        <v>11214</v>
      </c>
      <c r="W1019" s="112" t="s">
        <v>11215</v>
      </c>
    </row>
    <row r="1020" spans="1:23" s="2" customFormat="1" ht="12">
      <c r="A1020" s="11"/>
      <c r="B1020" s="108"/>
      <c r="C1020" s="109"/>
      <c r="D1020" s="14" t="str">
        <f>D1019</f>
        <v>快仓</v>
      </c>
      <c r="E1020" s="109"/>
      <c r="F1020" s="112"/>
      <c r="G1020" s="109"/>
      <c r="H1020" s="109"/>
      <c r="I1020" s="109"/>
      <c r="J1020" s="109"/>
      <c r="K1020" s="109"/>
      <c r="L1020" s="109"/>
      <c r="M1020" s="109"/>
      <c r="N1020" s="13" t="s">
        <v>11216</v>
      </c>
      <c r="O1020" s="13" t="s">
        <v>251</v>
      </c>
      <c r="P1020" s="15" t="s">
        <v>252</v>
      </c>
      <c r="Q1020" s="15" t="s">
        <v>11217</v>
      </c>
      <c r="R1020" s="109"/>
      <c r="S1020" s="109"/>
      <c r="T1020" s="112"/>
      <c r="U1020" s="112"/>
      <c r="V1020" s="112"/>
      <c r="W1020" s="112"/>
    </row>
    <row r="1021" spans="1:23" s="2" customFormat="1" ht="12">
      <c r="A1021" s="11"/>
      <c r="B1021" s="108"/>
      <c r="C1021" s="109"/>
      <c r="D1021" s="14" t="str">
        <f>D1020</f>
        <v>快仓</v>
      </c>
      <c r="E1021" s="109"/>
      <c r="F1021" s="112"/>
      <c r="G1021" s="109"/>
      <c r="H1021" s="109"/>
      <c r="I1021" s="109"/>
      <c r="J1021" s="109"/>
      <c r="K1021" s="109"/>
      <c r="L1021" s="109"/>
      <c r="M1021" s="109"/>
      <c r="N1021" s="13" t="s">
        <v>11218</v>
      </c>
      <c r="O1021" s="13" t="s">
        <v>257</v>
      </c>
      <c r="P1021" s="13" t="s">
        <v>578</v>
      </c>
      <c r="Q1021" s="15" t="s">
        <v>11219</v>
      </c>
      <c r="R1021" s="109"/>
      <c r="S1021" s="109"/>
      <c r="T1021" s="112"/>
      <c r="U1021" s="112"/>
      <c r="V1021" s="112"/>
      <c r="W1021" s="112"/>
    </row>
    <row r="1022" spans="1:23" s="2" customFormat="1" ht="12">
      <c r="A1022" s="11"/>
      <c r="B1022" s="108"/>
      <c r="C1022" s="109"/>
      <c r="D1022" s="14" t="str">
        <f>D1021</f>
        <v>快仓</v>
      </c>
      <c r="E1022" s="109"/>
      <c r="F1022" s="112"/>
      <c r="G1022" s="109"/>
      <c r="H1022" s="109"/>
      <c r="I1022" s="109"/>
      <c r="J1022" s="109"/>
      <c r="K1022" s="109"/>
      <c r="L1022" s="109"/>
      <c r="M1022" s="109"/>
      <c r="N1022" s="13" t="s">
        <v>11220</v>
      </c>
      <c r="O1022" s="13" t="s">
        <v>262</v>
      </c>
      <c r="P1022" s="13" t="s">
        <v>639</v>
      </c>
      <c r="Q1022" s="15" t="s">
        <v>11221</v>
      </c>
      <c r="R1022" s="109"/>
      <c r="S1022" s="109"/>
      <c r="T1022" s="112"/>
      <c r="U1022" s="112"/>
      <c r="V1022" s="112"/>
      <c r="W1022" s="112"/>
    </row>
    <row r="1023" spans="1:23" s="2" customFormat="1" ht="12">
      <c r="A1023" s="11"/>
      <c r="B1023" s="108"/>
      <c r="C1023" s="109"/>
      <c r="D1023" s="14" t="str">
        <f>D1022</f>
        <v>快仓</v>
      </c>
      <c r="E1023" s="109"/>
      <c r="F1023" s="112"/>
      <c r="G1023" s="109"/>
      <c r="H1023" s="109"/>
      <c r="I1023" s="109"/>
      <c r="J1023" s="109"/>
      <c r="K1023" s="109"/>
      <c r="L1023" s="109"/>
      <c r="M1023" s="109"/>
      <c r="N1023" s="13" t="s">
        <v>11222</v>
      </c>
      <c r="O1023" s="15" t="s">
        <v>326</v>
      </c>
      <c r="P1023" s="13" t="s">
        <v>360</v>
      </c>
      <c r="Q1023" s="13" t="s">
        <v>253</v>
      </c>
      <c r="R1023" s="109"/>
      <c r="S1023" s="109"/>
      <c r="T1023" s="112"/>
      <c r="U1023" s="112"/>
      <c r="V1023" s="112"/>
      <c r="W1023" s="112"/>
    </row>
    <row r="1024" spans="1:23" s="2" customFormat="1" ht="59.5">
      <c r="A1024" s="11"/>
      <c r="B1024" s="108"/>
      <c r="C1024" s="13" t="s">
        <v>4021</v>
      </c>
      <c r="D1024" s="19" t="s">
        <v>4022</v>
      </c>
      <c r="E1024" s="15" t="s">
        <v>4022</v>
      </c>
      <c r="F1024" s="16" t="s">
        <v>4023</v>
      </c>
      <c r="G1024" s="15" t="s">
        <v>4024</v>
      </c>
      <c r="H1024" s="13" t="s">
        <v>4025</v>
      </c>
      <c r="I1024" s="13" t="s">
        <v>2787</v>
      </c>
      <c r="J1024" s="15" t="s">
        <v>547</v>
      </c>
      <c r="K1024" s="15" t="s">
        <v>272</v>
      </c>
      <c r="L1024" s="15" t="s">
        <v>512</v>
      </c>
      <c r="M1024" s="15" t="s">
        <v>3002</v>
      </c>
      <c r="N1024" s="13" t="s">
        <v>4021</v>
      </c>
      <c r="O1024" s="15" t="s">
        <v>326</v>
      </c>
      <c r="P1024" s="13" t="s">
        <v>4026</v>
      </c>
      <c r="Q1024" s="15" t="s">
        <v>4027</v>
      </c>
      <c r="R1024" s="13" t="s">
        <v>4028</v>
      </c>
      <c r="S1024" s="13" t="s">
        <v>4029</v>
      </c>
      <c r="T1024" s="16" t="s">
        <v>4030</v>
      </c>
      <c r="U1024" s="16" t="s">
        <v>4031</v>
      </c>
      <c r="V1024" s="18" t="s">
        <v>4032</v>
      </c>
      <c r="W1024" s="18" t="s">
        <v>4033</v>
      </c>
    </row>
    <row r="1025" spans="1:23" s="2" customFormat="1" ht="84">
      <c r="A1025" s="11"/>
      <c r="B1025" s="108"/>
      <c r="C1025" s="13" t="s">
        <v>2279</v>
      </c>
      <c r="D1025" s="19" t="s">
        <v>11223</v>
      </c>
      <c r="E1025" s="15" t="s">
        <v>11223</v>
      </c>
      <c r="F1025" s="16" t="s">
        <v>11224</v>
      </c>
      <c r="G1025" s="15" t="s">
        <v>11225</v>
      </c>
      <c r="H1025" s="13" t="s">
        <v>11226</v>
      </c>
      <c r="I1025" s="13" t="s">
        <v>2865</v>
      </c>
      <c r="J1025" s="15" t="s">
        <v>1237</v>
      </c>
      <c r="K1025" s="15" t="s">
        <v>272</v>
      </c>
      <c r="L1025" s="15" t="s">
        <v>512</v>
      </c>
      <c r="M1025" s="15" t="s">
        <v>2683</v>
      </c>
      <c r="N1025" s="13" t="s">
        <v>2279</v>
      </c>
      <c r="O1025" s="15" t="s">
        <v>471</v>
      </c>
      <c r="P1025" s="15" t="s">
        <v>252</v>
      </c>
      <c r="Q1025" s="15" t="s">
        <v>514</v>
      </c>
      <c r="R1025" s="13" t="s">
        <v>253</v>
      </c>
      <c r="S1025" s="15" t="s">
        <v>255</v>
      </c>
      <c r="T1025" s="18"/>
      <c r="U1025" s="16" t="s">
        <v>11227</v>
      </c>
      <c r="V1025" s="18" t="s">
        <v>1486</v>
      </c>
      <c r="W1025" s="18" t="s">
        <v>11228</v>
      </c>
    </row>
    <row r="1026" spans="1:23" s="2" customFormat="1" ht="12">
      <c r="A1026" s="11"/>
      <c r="B1026" s="108"/>
      <c r="C1026" s="109" t="s">
        <v>2997</v>
      </c>
      <c r="D1026" s="14" t="s">
        <v>11229</v>
      </c>
      <c r="E1026" s="113" t="s">
        <v>11229</v>
      </c>
      <c r="F1026" s="114" t="s">
        <v>11230</v>
      </c>
      <c r="G1026" s="113" t="s">
        <v>11231</v>
      </c>
      <c r="H1026" s="109"/>
      <c r="I1026" s="109" t="s">
        <v>942</v>
      </c>
      <c r="J1026" s="113" t="s">
        <v>406</v>
      </c>
      <c r="K1026" s="113" t="s">
        <v>272</v>
      </c>
      <c r="L1026" s="113" t="s">
        <v>512</v>
      </c>
      <c r="M1026" s="113" t="s">
        <v>2683</v>
      </c>
      <c r="N1026" s="13" t="s">
        <v>2997</v>
      </c>
      <c r="O1026" s="15" t="s">
        <v>471</v>
      </c>
      <c r="P1026" s="15" t="s">
        <v>252</v>
      </c>
      <c r="Q1026" s="15" t="s">
        <v>514</v>
      </c>
      <c r="R1026" s="109" t="s">
        <v>1129</v>
      </c>
      <c r="S1026" s="113" t="s">
        <v>255</v>
      </c>
      <c r="T1026" s="114" t="s">
        <v>11232</v>
      </c>
      <c r="U1026" s="114" t="s">
        <v>11233</v>
      </c>
      <c r="V1026" s="112" t="s">
        <v>11234</v>
      </c>
      <c r="W1026" s="112" t="s">
        <v>11235</v>
      </c>
    </row>
    <row r="1027" spans="1:23" s="2" customFormat="1" ht="12">
      <c r="A1027" s="11"/>
      <c r="B1027" s="108"/>
      <c r="C1027" s="109"/>
      <c r="D1027" s="14" t="str">
        <f>D1026</f>
        <v>芝麻开门配送</v>
      </c>
      <c r="E1027" s="109"/>
      <c r="F1027" s="112"/>
      <c r="G1027" s="109"/>
      <c r="H1027" s="109"/>
      <c r="I1027" s="109"/>
      <c r="J1027" s="109"/>
      <c r="K1027" s="109"/>
      <c r="L1027" s="109"/>
      <c r="M1027" s="109"/>
      <c r="N1027" s="13" t="s">
        <v>11236</v>
      </c>
      <c r="O1027" s="13" t="s">
        <v>262</v>
      </c>
      <c r="P1027" s="13" t="s">
        <v>1164</v>
      </c>
      <c r="Q1027" s="15" t="s">
        <v>2160</v>
      </c>
      <c r="R1027" s="109"/>
      <c r="S1027" s="109"/>
      <c r="T1027" s="112"/>
      <c r="U1027" s="112"/>
      <c r="V1027" s="112"/>
      <c r="W1027" s="112"/>
    </row>
    <row r="1028" spans="1:23" s="2" customFormat="1" ht="96">
      <c r="A1028" s="11"/>
      <c r="B1028" s="108"/>
      <c r="C1028" s="13" t="s">
        <v>2997</v>
      </c>
      <c r="D1028" s="19" t="s">
        <v>11237</v>
      </c>
      <c r="E1028" s="15" t="s">
        <v>11237</v>
      </c>
      <c r="F1028" s="16" t="s">
        <v>11238</v>
      </c>
      <c r="G1028" s="15" t="s">
        <v>11239</v>
      </c>
      <c r="H1028" s="13" t="s">
        <v>11240</v>
      </c>
      <c r="I1028" s="13" t="s">
        <v>868</v>
      </c>
      <c r="J1028" s="15" t="s">
        <v>5336</v>
      </c>
      <c r="K1028" s="15" t="s">
        <v>272</v>
      </c>
      <c r="L1028" s="15" t="s">
        <v>512</v>
      </c>
      <c r="M1028" s="15" t="s">
        <v>513</v>
      </c>
      <c r="N1028" s="13" t="s">
        <v>2997</v>
      </c>
      <c r="O1028" s="15" t="s">
        <v>471</v>
      </c>
      <c r="P1028" s="15" t="s">
        <v>252</v>
      </c>
      <c r="Q1028" s="15" t="s">
        <v>514</v>
      </c>
      <c r="R1028" s="13" t="s">
        <v>253</v>
      </c>
      <c r="S1028" s="15" t="s">
        <v>255</v>
      </c>
      <c r="T1028" s="18"/>
      <c r="U1028" s="16" t="s">
        <v>11241</v>
      </c>
      <c r="V1028" s="18" t="s">
        <v>11242</v>
      </c>
      <c r="W1028" s="18" t="s">
        <v>11243</v>
      </c>
    </row>
    <row r="1029" spans="1:23" s="2" customFormat="1" ht="84">
      <c r="A1029" s="11"/>
      <c r="B1029" s="108"/>
      <c r="C1029" s="13" t="s">
        <v>10086</v>
      </c>
      <c r="D1029" s="19" t="s">
        <v>11244</v>
      </c>
      <c r="E1029" s="15" t="s">
        <v>11244</v>
      </c>
      <c r="F1029" s="16" t="s">
        <v>11245</v>
      </c>
      <c r="G1029" s="15" t="s">
        <v>11246</v>
      </c>
      <c r="H1029" s="13" t="s">
        <v>11247</v>
      </c>
      <c r="I1029" s="13" t="s">
        <v>4424</v>
      </c>
      <c r="J1029" s="15" t="s">
        <v>761</v>
      </c>
      <c r="K1029" s="15" t="s">
        <v>248</v>
      </c>
      <c r="L1029" s="15" t="s">
        <v>512</v>
      </c>
      <c r="M1029" s="15" t="s">
        <v>3002</v>
      </c>
      <c r="N1029" s="13" t="s">
        <v>10086</v>
      </c>
      <c r="O1029" s="15" t="s">
        <v>285</v>
      </c>
      <c r="P1029" s="15" t="s">
        <v>252</v>
      </c>
      <c r="Q1029" s="15" t="s">
        <v>514</v>
      </c>
      <c r="R1029" s="13" t="s">
        <v>4335</v>
      </c>
      <c r="S1029" s="15" t="s">
        <v>255</v>
      </c>
      <c r="T1029" s="18"/>
      <c r="U1029" s="16" t="s">
        <v>11248</v>
      </c>
      <c r="V1029" s="18" t="s">
        <v>11249</v>
      </c>
      <c r="W1029" s="18" t="s">
        <v>11250</v>
      </c>
    </row>
    <row r="1030" spans="1:23" s="2" customFormat="1" ht="12">
      <c r="A1030" s="11"/>
      <c r="B1030" s="108"/>
      <c r="C1030" s="109" t="s">
        <v>11251</v>
      </c>
      <c r="D1030" s="14" t="s">
        <v>11105</v>
      </c>
      <c r="E1030" s="113" t="s">
        <v>11105</v>
      </c>
      <c r="F1030" s="114" t="s">
        <v>11252</v>
      </c>
      <c r="G1030" s="113" t="s">
        <v>11253</v>
      </c>
      <c r="H1030" s="109" t="s">
        <v>11254</v>
      </c>
      <c r="I1030" s="109" t="s">
        <v>483</v>
      </c>
      <c r="J1030" s="113" t="s">
        <v>2627</v>
      </c>
      <c r="K1030" s="113" t="s">
        <v>272</v>
      </c>
      <c r="L1030" s="113" t="s">
        <v>512</v>
      </c>
      <c r="M1030" s="113" t="s">
        <v>11255</v>
      </c>
      <c r="N1030" s="13" t="s">
        <v>11251</v>
      </c>
      <c r="O1030" s="15" t="s">
        <v>285</v>
      </c>
      <c r="P1030" s="13" t="s">
        <v>8337</v>
      </c>
      <c r="Q1030" s="15" t="s">
        <v>11256</v>
      </c>
      <c r="R1030" s="109" t="s">
        <v>11257</v>
      </c>
      <c r="S1030" s="109" t="s">
        <v>11258</v>
      </c>
      <c r="T1030" s="114" t="s">
        <v>11259</v>
      </c>
      <c r="U1030" s="114" t="s">
        <v>11260</v>
      </c>
      <c r="V1030" s="112" t="s">
        <v>11261</v>
      </c>
      <c r="W1030" s="112"/>
    </row>
    <row r="1031" spans="1:23" s="2" customFormat="1" ht="12">
      <c r="A1031" s="11"/>
      <c r="B1031" s="108"/>
      <c r="C1031" s="109"/>
      <c r="D1031" s="14" t="str">
        <f>D1030</f>
        <v>环世物流</v>
      </c>
      <c r="E1031" s="109"/>
      <c r="F1031" s="112"/>
      <c r="G1031" s="109"/>
      <c r="H1031" s="109"/>
      <c r="I1031" s="109"/>
      <c r="J1031" s="109"/>
      <c r="K1031" s="109"/>
      <c r="L1031" s="109"/>
      <c r="M1031" s="109"/>
      <c r="N1031" s="13" t="s">
        <v>8908</v>
      </c>
      <c r="O1031" s="15" t="s">
        <v>285</v>
      </c>
      <c r="P1031" s="15" t="s">
        <v>258</v>
      </c>
      <c r="Q1031" s="15" t="s">
        <v>11262</v>
      </c>
      <c r="R1031" s="109"/>
      <c r="S1031" s="109"/>
      <c r="T1031" s="112"/>
      <c r="U1031" s="112"/>
      <c r="V1031" s="112"/>
      <c r="W1031" s="112"/>
    </row>
    <row r="1032" spans="1:23" s="2" customFormat="1" ht="12">
      <c r="A1032" s="11"/>
      <c r="B1032" s="108"/>
      <c r="C1032" s="109"/>
      <c r="D1032" s="14" t="str">
        <f>D1031</f>
        <v>环世物流</v>
      </c>
      <c r="E1032" s="109"/>
      <c r="F1032" s="112"/>
      <c r="G1032" s="109"/>
      <c r="H1032" s="109"/>
      <c r="I1032" s="109"/>
      <c r="J1032" s="109"/>
      <c r="K1032" s="109"/>
      <c r="L1032" s="109"/>
      <c r="M1032" s="109"/>
      <c r="N1032" s="13" t="s">
        <v>8908</v>
      </c>
      <c r="O1032" s="15" t="s">
        <v>313</v>
      </c>
      <c r="P1032" s="15" t="s">
        <v>252</v>
      </c>
      <c r="Q1032" s="15" t="s">
        <v>11101</v>
      </c>
      <c r="R1032" s="109"/>
      <c r="S1032" s="109"/>
      <c r="T1032" s="112"/>
      <c r="U1032" s="112"/>
      <c r="V1032" s="112"/>
      <c r="W1032" s="112"/>
    </row>
    <row r="1033" spans="1:23" s="2" customFormat="1" ht="96">
      <c r="A1033" s="11"/>
      <c r="B1033" s="108"/>
      <c r="C1033" s="13" t="s">
        <v>11263</v>
      </c>
      <c r="D1033" s="19" t="s">
        <v>11264</v>
      </c>
      <c r="E1033" s="15" t="s">
        <v>11264</v>
      </c>
      <c r="F1033" s="16" t="s">
        <v>11265</v>
      </c>
      <c r="G1033" s="15" t="s">
        <v>11266</v>
      </c>
      <c r="H1033" s="13" t="s">
        <v>11267</v>
      </c>
      <c r="I1033" s="13" t="s">
        <v>1406</v>
      </c>
      <c r="J1033" s="15" t="s">
        <v>3157</v>
      </c>
      <c r="K1033" s="15" t="s">
        <v>272</v>
      </c>
      <c r="L1033" s="15" t="s">
        <v>512</v>
      </c>
      <c r="M1033" s="15" t="s">
        <v>7961</v>
      </c>
      <c r="N1033" s="13" t="s">
        <v>11263</v>
      </c>
      <c r="O1033" s="15" t="s">
        <v>285</v>
      </c>
      <c r="P1033" s="13" t="s">
        <v>11268</v>
      </c>
      <c r="Q1033" s="15" t="s">
        <v>11269</v>
      </c>
      <c r="R1033" s="13" t="s">
        <v>11270</v>
      </c>
      <c r="S1033" s="13" t="s">
        <v>11271</v>
      </c>
      <c r="T1033" s="18"/>
      <c r="U1033" s="16" t="s">
        <v>11272</v>
      </c>
      <c r="V1033" s="18" t="s">
        <v>11273</v>
      </c>
      <c r="W1033" s="18" t="s">
        <v>11274</v>
      </c>
    </row>
    <row r="1034" spans="1:23" s="2" customFormat="1" ht="12">
      <c r="A1034" s="11"/>
      <c r="B1034" s="108"/>
      <c r="C1034" s="109" t="s">
        <v>3579</v>
      </c>
      <c r="D1034" s="14" t="s">
        <v>11275</v>
      </c>
      <c r="E1034" s="113" t="s">
        <v>11275</v>
      </c>
      <c r="F1034" s="114" t="s">
        <v>11276</v>
      </c>
      <c r="G1034" s="113" t="s">
        <v>11277</v>
      </c>
      <c r="H1034" s="109"/>
      <c r="I1034" s="109" t="s">
        <v>11278</v>
      </c>
      <c r="J1034" s="113" t="s">
        <v>5030</v>
      </c>
      <c r="K1034" s="113" t="s">
        <v>272</v>
      </c>
      <c r="L1034" s="113" t="s">
        <v>512</v>
      </c>
      <c r="M1034" s="113" t="s">
        <v>1483</v>
      </c>
      <c r="N1034" s="13" t="s">
        <v>3579</v>
      </c>
      <c r="O1034" s="13" t="s">
        <v>721</v>
      </c>
      <c r="P1034" s="15" t="s">
        <v>252</v>
      </c>
      <c r="Q1034" s="15" t="s">
        <v>514</v>
      </c>
      <c r="R1034" s="109" t="s">
        <v>931</v>
      </c>
      <c r="S1034" s="113" t="s">
        <v>255</v>
      </c>
      <c r="T1034" s="112"/>
      <c r="U1034" s="114" t="s">
        <v>11279</v>
      </c>
      <c r="V1034" s="112"/>
      <c r="W1034" s="112"/>
    </row>
    <row r="1035" spans="1:23" s="2" customFormat="1" ht="12">
      <c r="A1035" s="11"/>
      <c r="B1035" s="108"/>
      <c r="C1035" s="109"/>
      <c r="D1035" s="14" t="str">
        <f>D1034</f>
        <v>云盼智能柜</v>
      </c>
      <c r="E1035" s="109"/>
      <c r="F1035" s="112"/>
      <c r="G1035" s="109"/>
      <c r="H1035" s="109"/>
      <c r="I1035" s="109"/>
      <c r="J1035" s="109"/>
      <c r="K1035" s="109"/>
      <c r="L1035" s="109"/>
      <c r="M1035" s="109"/>
      <c r="N1035" s="13" t="s">
        <v>11280</v>
      </c>
      <c r="O1035" s="15" t="s">
        <v>326</v>
      </c>
      <c r="P1035" s="13" t="s">
        <v>360</v>
      </c>
      <c r="Q1035" s="13" t="s">
        <v>253</v>
      </c>
      <c r="R1035" s="109"/>
      <c r="S1035" s="109"/>
      <c r="T1035" s="112"/>
      <c r="U1035" s="112"/>
      <c r="V1035" s="112"/>
      <c r="W1035" s="112"/>
    </row>
    <row r="1036" spans="1:23" s="2" customFormat="1" ht="60">
      <c r="A1036" s="11"/>
      <c r="B1036" s="108"/>
      <c r="C1036" s="13" t="s">
        <v>11281</v>
      </c>
      <c r="D1036" s="19" t="s">
        <v>11282</v>
      </c>
      <c r="E1036" s="15" t="s">
        <v>11282</v>
      </c>
      <c r="F1036" s="16" t="s">
        <v>11283</v>
      </c>
      <c r="G1036" s="15" t="s">
        <v>11284</v>
      </c>
      <c r="H1036" s="13"/>
      <c r="I1036" s="13" t="s">
        <v>10645</v>
      </c>
      <c r="J1036" s="15" t="s">
        <v>11285</v>
      </c>
      <c r="K1036" s="15" t="s">
        <v>272</v>
      </c>
      <c r="L1036" s="15" t="s">
        <v>512</v>
      </c>
      <c r="M1036" s="15" t="s">
        <v>1781</v>
      </c>
      <c r="N1036" s="13" t="s">
        <v>11281</v>
      </c>
      <c r="O1036" s="15" t="s">
        <v>285</v>
      </c>
      <c r="P1036" s="15" t="s">
        <v>252</v>
      </c>
      <c r="Q1036" s="15" t="s">
        <v>514</v>
      </c>
      <c r="R1036" s="13" t="s">
        <v>4335</v>
      </c>
      <c r="S1036" s="15" t="s">
        <v>255</v>
      </c>
      <c r="T1036" s="18"/>
      <c r="U1036" s="16" t="s">
        <v>11286</v>
      </c>
      <c r="V1036" s="18" t="s">
        <v>11287</v>
      </c>
      <c r="W1036" s="18" t="s">
        <v>11288</v>
      </c>
    </row>
    <row r="1037" spans="1:23" s="2" customFormat="1" ht="36">
      <c r="A1037" s="11"/>
      <c r="B1037" s="108"/>
      <c r="C1037" s="13" t="s">
        <v>10224</v>
      </c>
      <c r="D1037" s="19" t="s">
        <v>11289</v>
      </c>
      <c r="E1037" s="15" t="s">
        <v>11289</v>
      </c>
      <c r="F1037" s="16" t="s">
        <v>11290</v>
      </c>
      <c r="G1037" s="15" t="s">
        <v>11291</v>
      </c>
      <c r="H1037" s="13"/>
      <c r="I1037" s="13" t="s">
        <v>10805</v>
      </c>
      <c r="J1037" s="15" t="s">
        <v>1215</v>
      </c>
      <c r="K1037" s="15" t="s">
        <v>272</v>
      </c>
      <c r="L1037" s="15" t="s">
        <v>512</v>
      </c>
      <c r="M1037" s="15" t="s">
        <v>3002</v>
      </c>
      <c r="N1037" s="13" t="s">
        <v>10224</v>
      </c>
      <c r="O1037" s="15" t="s">
        <v>285</v>
      </c>
      <c r="P1037" s="15" t="s">
        <v>409</v>
      </c>
      <c r="Q1037" s="15" t="s">
        <v>514</v>
      </c>
      <c r="R1037" s="13" t="s">
        <v>1484</v>
      </c>
      <c r="S1037" s="13" t="s">
        <v>412</v>
      </c>
      <c r="T1037" s="18"/>
      <c r="U1037" s="16" t="s">
        <v>11292</v>
      </c>
      <c r="V1037" s="18"/>
      <c r="W1037" s="18"/>
    </row>
    <row r="1038" spans="1:23" s="2" customFormat="1" ht="60">
      <c r="A1038" s="11"/>
      <c r="B1038" s="108"/>
      <c r="C1038" s="13" t="s">
        <v>11293</v>
      </c>
      <c r="D1038" s="19" t="s">
        <v>11294</v>
      </c>
      <c r="E1038" s="15" t="s">
        <v>11295</v>
      </c>
      <c r="F1038" s="16" t="s">
        <v>11296</v>
      </c>
      <c r="G1038" s="15" t="s">
        <v>11297</v>
      </c>
      <c r="H1038" s="13" t="s">
        <v>11298</v>
      </c>
      <c r="I1038" s="13" t="s">
        <v>3527</v>
      </c>
      <c r="J1038" s="15" t="s">
        <v>428</v>
      </c>
      <c r="K1038" s="15" t="s">
        <v>272</v>
      </c>
      <c r="L1038" s="15" t="s">
        <v>512</v>
      </c>
      <c r="M1038" s="15" t="s">
        <v>11255</v>
      </c>
      <c r="N1038" s="13" t="s">
        <v>11293</v>
      </c>
      <c r="O1038" s="15" t="s">
        <v>285</v>
      </c>
      <c r="P1038" s="13" t="s">
        <v>11299</v>
      </c>
      <c r="Q1038" s="15" t="s">
        <v>514</v>
      </c>
      <c r="R1038" s="13" t="s">
        <v>11300</v>
      </c>
      <c r="S1038" s="13" t="s">
        <v>11301</v>
      </c>
      <c r="T1038" s="16" t="s">
        <v>11302</v>
      </c>
      <c r="U1038" s="16" t="s">
        <v>11303</v>
      </c>
      <c r="V1038" s="18" t="s">
        <v>11304</v>
      </c>
      <c r="W1038" s="18" t="s">
        <v>11305</v>
      </c>
    </row>
    <row r="1039" spans="1:23" s="2" customFormat="1" ht="12">
      <c r="A1039" s="11"/>
      <c r="B1039" s="107" t="s">
        <v>930</v>
      </c>
      <c r="C1039" s="109" t="s">
        <v>924</v>
      </c>
      <c r="D1039" s="14" t="s">
        <v>925</v>
      </c>
      <c r="E1039" s="113" t="s">
        <v>925</v>
      </c>
      <c r="F1039" s="114" t="s">
        <v>926</v>
      </c>
      <c r="G1039" s="113" t="s">
        <v>927</v>
      </c>
      <c r="H1039" s="109" t="s">
        <v>928</v>
      </c>
      <c r="I1039" s="109" t="s">
        <v>427</v>
      </c>
      <c r="J1039" s="113" t="s">
        <v>406</v>
      </c>
      <c r="K1039" s="113" t="s">
        <v>272</v>
      </c>
      <c r="L1039" s="113" t="s">
        <v>386</v>
      </c>
      <c r="M1039" s="113" t="s">
        <v>929</v>
      </c>
      <c r="N1039" s="13" t="s">
        <v>924</v>
      </c>
      <c r="O1039" s="15" t="s">
        <v>471</v>
      </c>
      <c r="P1039" s="15" t="s">
        <v>252</v>
      </c>
      <c r="Q1039" s="15" t="s">
        <v>930</v>
      </c>
      <c r="R1039" s="109" t="s">
        <v>931</v>
      </c>
      <c r="S1039" s="113" t="s">
        <v>255</v>
      </c>
      <c r="T1039" s="114" t="s">
        <v>932</v>
      </c>
      <c r="U1039" s="114" t="s">
        <v>933</v>
      </c>
      <c r="V1039" s="112" t="s">
        <v>934</v>
      </c>
      <c r="W1039" s="112" t="s">
        <v>935</v>
      </c>
    </row>
    <row r="1040" spans="1:23" s="2" customFormat="1" ht="12">
      <c r="A1040" s="11"/>
      <c r="B1040" s="108"/>
      <c r="C1040" s="109"/>
      <c r="D1040" s="14" t="str">
        <f>D1039</f>
        <v>趣拍云</v>
      </c>
      <c r="E1040" s="109"/>
      <c r="F1040" s="112"/>
      <c r="G1040" s="109"/>
      <c r="H1040" s="109"/>
      <c r="I1040" s="109"/>
      <c r="J1040" s="109"/>
      <c r="K1040" s="109"/>
      <c r="L1040" s="109"/>
      <c r="M1040" s="109"/>
      <c r="N1040" s="13" t="s">
        <v>8025</v>
      </c>
      <c r="O1040" s="13" t="s">
        <v>262</v>
      </c>
      <c r="P1040" s="15" t="s">
        <v>341</v>
      </c>
      <c r="Q1040" s="15" t="s">
        <v>586</v>
      </c>
      <c r="R1040" s="109"/>
      <c r="S1040" s="109"/>
      <c r="T1040" s="112"/>
      <c r="U1040" s="112"/>
      <c r="V1040" s="112"/>
      <c r="W1040" s="112"/>
    </row>
    <row r="1041" spans="1:23" s="2" customFormat="1" ht="12">
      <c r="A1041" s="11"/>
      <c r="B1041" s="108"/>
      <c r="C1041" s="109" t="s">
        <v>11306</v>
      </c>
      <c r="D1041" s="14" t="s">
        <v>11307</v>
      </c>
      <c r="E1041" s="113" t="s">
        <v>11307</v>
      </c>
      <c r="F1041" s="114" t="s">
        <v>11308</v>
      </c>
      <c r="G1041" s="113" t="s">
        <v>11309</v>
      </c>
      <c r="H1041" s="109" t="s">
        <v>11310</v>
      </c>
      <c r="I1041" s="109" t="s">
        <v>1462</v>
      </c>
      <c r="J1041" s="113" t="s">
        <v>428</v>
      </c>
      <c r="K1041" s="113" t="s">
        <v>272</v>
      </c>
      <c r="L1041" s="113" t="s">
        <v>1101</v>
      </c>
      <c r="M1041" s="113" t="s">
        <v>10229</v>
      </c>
      <c r="N1041" s="13" t="s">
        <v>11306</v>
      </c>
      <c r="O1041" s="13" t="s">
        <v>260</v>
      </c>
      <c r="P1041" s="15" t="s">
        <v>341</v>
      </c>
      <c r="Q1041" s="15" t="s">
        <v>11311</v>
      </c>
      <c r="R1041" s="109" t="s">
        <v>11312</v>
      </c>
      <c r="S1041" s="109" t="s">
        <v>432</v>
      </c>
      <c r="T1041" s="114" t="s">
        <v>11313</v>
      </c>
      <c r="U1041" s="112"/>
      <c r="V1041" s="112"/>
      <c r="W1041" s="112"/>
    </row>
    <row r="1042" spans="1:23" s="2" customFormat="1" ht="12">
      <c r="A1042" s="11"/>
      <c r="B1042" s="108"/>
      <c r="C1042" s="109"/>
      <c r="D1042" s="14" t="str">
        <f>D1041</f>
        <v>糖趣</v>
      </c>
      <c r="E1042" s="109"/>
      <c r="F1042" s="112"/>
      <c r="G1042" s="109"/>
      <c r="H1042" s="109"/>
      <c r="I1042" s="109"/>
      <c r="J1042" s="109"/>
      <c r="K1042" s="109"/>
      <c r="L1042" s="109"/>
      <c r="M1042" s="109"/>
      <c r="N1042" s="13" t="s">
        <v>3132</v>
      </c>
      <c r="O1042" s="13" t="s">
        <v>262</v>
      </c>
      <c r="P1042" s="15" t="s">
        <v>341</v>
      </c>
      <c r="Q1042" s="13" t="s">
        <v>11314</v>
      </c>
      <c r="R1042" s="109"/>
      <c r="S1042" s="109"/>
      <c r="T1042" s="112"/>
      <c r="U1042" s="112"/>
      <c r="V1042" s="112"/>
      <c r="W1042" s="112"/>
    </row>
    <row r="1043" spans="1:23" s="2" customFormat="1" ht="12">
      <c r="A1043" s="11"/>
      <c r="B1043" s="108"/>
      <c r="C1043" s="109"/>
      <c r="D1043" s="14" t="str">
        <f>D1042</f>
        <v>糖趣</v>
      </c>
      <c r="E1043" s="109"/>
      <c r="F1043" s="112"/>
      <c r="G1043" s="109"/>
      <c r="H1043" s="109"/>
      <c r="I1043" s="109"/>
      <c r="J1043" s="109"/>
      <c r="K1043" s="109"/>
      <c r="L1043" s="109"/>
      <c r="M1043" s="109"/>
      <c r="N1043" s="13" t="s">
        <v>11315</v>
      </c>
      <c r="O1043" s="15" t="s">
        <v>326</v>
      </c>
      <c r="P1043" s="13" t="s">
        <v>11316</v>
      </c>
      <c r="Q1043" s="15" t="s">
        <v>930</v>
      </c>
      <c r="R1043" s="109"/>
      <c r="S1043" s="109"/>
      <c r="T1043" s="112"/>
      <c r="U1043" s="112"/>
      <c r="V1043" s="112"/>
      <c r="W1043" s="112"/>
    </row>
    <row r="1044" spans="1:23" s="2" customFormat="1" ht="12">
      <c r="A1044" s="11"/>
      <c r="B1044" s="108"/>
      <c r="C1044" s="109" t="s">
        <v>1282</v>
      </c>
      <c r="D1044" s="14" t="s">
        <v>11317</v>
      </c>
      <c r="E1044" s="113" t="s">
        <v>11317</v>
      </c>
      <c r="F1044" s="114" t="s">
        <v>11318</v>
      </c>
      <c r="G1044" s="113" t="s">
        <v>11319</v>
      </c>
      <c r="H1044" s="109" t="s">
        <v>11320</v>
      </c>
      <c r="I1044" s="109" t="s">
        <v>2010</v>
      </c>
      <c r="J1044" s="113" t="s">
        <v>271</v>
      </c>
      <c r="K1044" s="113" t="s">
        <v>272</v>
      </c>
      <c r="L1044" s="113" t="s">
        <v>407</v>
      </c>
      <c r="M1044" s="113" t="s">
        <v>1170</v>
      </c>
      <c r="N1044" s="13" t="s">
        <v>1282</v>
      </c>
      <c r="O1044" s="15" t="s">
        <v>471</v>
      </c>
      <c r="P1044" s="15" t="s">
        <v>252</v>
      </c>
      <c r="Q1044" s="15" t="s">
        <v>930</v>
      </c>
      <c r="R1044" s="109" t="s">
        <v>11321</v>
      </c>
      <c r="S1044" s="113" t="s">
        <v>255</v>
      </c>
      <c r="T1044" s="114" t="s">
        <v>11322</v>
      </c>
      <c r="U1044" s="114" t="s">
        <v>11323</v>
      </c>
      <c r="V1044" s="112" t="s">
        <v>11324</v>
      </c>
      <c r="W1044" s="112" t="s">
        <v>11325</v>
      </c>
    </row>
    <row r="1045" spans="1:23" s="2" customFormat="1" ht="12">
      <c r="A1045" s="11"/>
      <c r="B1045" s="108"/>
      <c r="C1045" s="109"/>
      <c r="D1045" s="14" t="str">
        <f>D1044</f>
        <v>长亭科技</v>
      </c>
      <c r="E1045" s="109"/>
      <c r="F1045" s="112"/>
      <c r="G1045" s="109"/>
      <c r="H1045" s="109"/>
      <c r="I1045" s="109"/>
      <c r="J1045" s="109"/>
      <c r="K1045" s="109"/>
      <c r="L1045" s="109"/>
      <c r="M1045" s="109"/>
      <c r="N1045" s="13" t="s">
        <v>11326</v>
      </c>
      <c r="O1045" s="15" t="s">
        <v>285</v>
      </c>
      <c r="P1045" s="15" t="s">
        <v>252</v>
      </c>
      <c r="Q1045" s="15" t="s">
        <v>462</v>
      </c>
      <c r="R1045" s="109"/>
      <c r="S1045" s="109"/>
      <c r="T1045" s="112"/>
      <c r="U1045" s="112"/>
      <c r="V1045" s="112"/>
      <c r="W1045" s="112"/>
    </row>
    <row r="1046" spans="1:23" s="2" customFormat="1" ht="12">
      <c r="A1046" s="11"/>
      <c r="B1046" s="108"/>
      <c r="C1046" s="109"/>
      <c r="D1046" s="14" t="str">
        <f>D1045</f>
        <v>长亭科技</v>
      </c>
      <c r="E1046" s="109"/>
      <c r="F1046" s="112"/>
      <c r="G1046" s="109"/>
      <c r="H1046" s="109"/>
      <c r="I1046" s="109"/>
      <c r="J1046" s="109"/>
      <c r="K1046" s="109"/>
      <c r="L1046" s="109"/>
      <c r="M1046" s="109"/>
      <c r="N1046" s="13" t="s">
        <v>11327</v>
      </c>
      <c r="O1046" s="13" t="s">
        <v>262</v>
      </c>
      <c r="P1046" s="15" t="s">
        <v>341</v>
      </c>
      <c r="Q1046" s="15" t="s">
        <v>11328</v>
      </c>
      <c r="R1046" s="109"/>
      <c r="S1046" s="109"/>
      <c r="T1046" s="112"/>
      <c r="U1046" s="112"/>
      <c r="V1046" s="112"/>
      <c r="W1046" s="112"/>
    </row>
    <row r="1047" spans="1:23" s="2" customFormat="1" ht="12">
      <c r="A1047" s="11"/>
      <c r="B1047" s="108"/>
      <c r="C1047" s="109"/>
      <c r="D1047" s="14" t="str">
        <f>D1046</f>
        <v>长亭科技</v>
      </c>
      <c r="E1047" s="109"/>
      <c r="F1047" s="112"/>
      <c r="G1047" s="109"/>
      <c r="H1047" s="109"/>
      <c r="I1047" s="109"/>
      <c r="J1047" s="109"/>
      <c r="K1047" s="109"/>
      <c r="L1047" s="109"/>
      <c r="M1047" s="109"/>
      <c r="N1047" s="13" t="s">
        <v>11329</v>
      </c>
      <c r="O1047" s="13" t="s">
        <v>721</v>
      </c>
      <c r="P1047" s="13" t="s">
        <v>11330</v>
      </c>
      <c r="Q1047" s="15" t="s">
        <v>665</v>
      </c>
      <c r="R1047" s="109"/>
      <c r="S1047" s="109"/>
      <c r="T1047" s="112"/>
      <c r="U1047" s="112"/>
      <c r="V1047" s="112"/>
      <c r="W1047" s="112"/>
    </row>
    <row r="1048" spans="1:23" s="2" customFormat="1" ht="12">
      <c r="A1048" s="11"/>
      <c r="B1048" s="108"/>
      <c r="C1048" s="109"/>
      <c r="D1048" s="14" t="str">
        <f>D1047</f>
        <v>长亭科技</v>
      </c>
      <c r="E1048" s="109"/>
      <c r="F1048" s="112"/>
      <c r="G1048" s="109"/>
      <c r="H1048" s="109"/>
      <c r="I1048" s="109"/>
      <c r="J1048" s="109"/>
      <c r="K1048" s="109"/>
      <c r="L1048" s="109"/>
      <c r="M1048" s="109"/>
      <c r="N1048" s="13" t="s">
        <v>11331</v>
      </c>
      <c r="O1048" s="15" t="s">
        <v>326</v>
      </c>
      <c r="P1048" s="13" t="s">
        <v>8533</v>
      </c>
      <c r="Q1048" s="15" t="s">
        <v>11332</v>
      </c>
      <c r="R1048" s="109"/>
      <c r="S1048" s="109"/>
      <c r="T1048" s="112"/>
      <c r="U1048" s="112"/>
      <c r="V1048" s="112"/>
      <c r="W1048" s="112"/>
    </row>
    <row r="1049" spans="1:23" s="2" customFormat="1" ht="12">
      <c r="A1049" s="11"/>
      <c r="B1049" s="108"/>
      <c r="C1049" s="109" t="s">
        <v>11333</v>
      </c>
      <c r="D1049" s="14" t="s">
        <v>11334</v>
      </c>
      <c r="E1049" s="113" t="s">
        <v>11334</v>
      </c>
      <c r="F1049" s="114" t="s">
        <v>11335</v>
      </c>
      <c r="G1049" s="113" t="s">
        <v>11336</v>
      </c>
      <c r="H1049" s="109" t="s">
        <v>11337</v>
      </c>
      <c r="I1049" s="109" t="s">
        <v>371</v>
      </c>
      <c r="J1049" s="113" t="s">
        <v>406</v>
      </c>
      <c r="K1049" s="113" t="s">
        <v>272</v>
      </c>
      <c r="L1049" s="113" t="s">
        <v>407</v>
      </c>
      <c r="M1049" s="113" t="s">
        <v>470</v>
      </c>
      <c r="N1049" s="13" t="s">
        <v>11333</v>
      </c>
      <c r="O1049" s="13" t="s">
        <v>565</v>
      </c>
      <c r="P1049" s="15" t="s">
        <v>252</v>
      </c>
      <c r="Q1049" s="15" t="s">
        <v>11338</v>
      </c>
      <c r="R1049" s="109" t="s">
        <v>11339</v>
      </c>
      <c r="S1049" s="109" t="s">
        <v>11340</v>
      </c>
      <c r="T1049" s="114" t="s">
        <v>11341</v>
      </c>
      <c r="U1049" s="114" t="s">
        <v>11342</v>
      </c>
      <c r="V1049" s="112" t="s">
        <v>11343</v>
      </c>
      <c r="W1049" s="112" t="s">
        <v>11344</v>
      </c>
    </row>
    <row r="1050" spans="1:23" s="2" customFormat="1" ht="12">
      <c r="A1050" s="11"/>
      <c r="B1050" s="108"/>
      <c r="C1050" s="109"/>
      <c r="D1050" s="14" t="str">
        <f>D1049</f>
        <v>端点科技</v>
      </c>
      <c r="E1050" s="109"/>
      <c r="F1050" s="112"/>
      <c r="G1050" s="109"/>
      <c r="H1050" s="109"/>
      <c r="I1050" s="109"/>
      <c r="J1050" s="109"/>
      <c r="K1050" s="109"/>
      <c r="L1050" s="109"/>
      <c r="M1050" s="109"/>
      <c r="N1050" s="13" t="s">
        <v>8255</v>
      </c>
      <c r="O1050" s="13" t="s">
        <v>257</v>
      </c>
      <c r="P1050" s="13" t="s">
        <v>1202</v>
      </c>
      <c r="Q1050" s="15" t="s">
        <v>11345</v>
      </c>
      <c r="R1050" s="109"/>
      <c r="S1050" s="109"/>
      <c r="T1050" s="112"/>
      <c r="U1050" s="112"/>
      <c r="V1050" s="112"/>
      <c r="W1050" s="112"/>
    </row>
    <row r="1051" spans="1:23" s="2" customFormat="1" ht="12">
      <c r="A1051" s="11"/>
      <c r="B1051" s="108"/>
      <c r="C1051" s="109"/>
      <c r="D1051" s="14" t="str">
        <f>D1050</f>
        <v>端点科技</v>
      </c>
      <c r="E1051" s="109"/>
      <c r="F1051" s="112"/>
      <c r="G1051" s="109"/>
      <c r="H1051" s="109"/>
      <c r="I1051" s="109"/>
      <c r="J1051" s="109"/>
      <c r="K1051" s="109"/>
      <c r="L1051" s="109"/>
      <c r="M1051" s="109"/>
      <c r="N1051" s="13" t="s">
        <v>11346</v>
      </c>
      <c r="O1051" s="13" t="s">
        <v>262</v>
      </c>
      <c r="P1051" s="13" t="s">
        <v>856</v>
      </c>
      <c r="Q1051" s="15" t="s">
        <v>11347</v>
      </c>
      <c r="R1051" s="109"/>
      <c r="S1051" s="109"/>
      <c r="T1051" s="112"/>
      <c r="U1051" s="112"/>
      <c r="V1051" s="112"/>
      <c r="W1051" s="112"/>
    </row>
    <row r="1052" spans="1:23" s="2" customFormat="1" ht="12">
      <c r="A1052" s="11"/>
      <c r="B1052" s="108"/>
      <c r="C1052" s="109"/>
      <c r="D1052" s="14" t="str">
        <f>D1051</f>
        <v>端点科技</v>
      </c>
      <c r="E1052" s="109"/>
      <c r="F1052" s="112"/>
      <c r="G1052" s="109"/>
      <c r="H1052" s="109"/>
      <c r="I1052" s="109"/>
      <c r="J1052" s="109"/>
      <c r="K1052" s="109"/>
      <c r="L1052" s="109"/>
      <c r="M1052" s="109"/>
      <c r="N1052" s="13" t="s">
        <v>11348</v>
      </c>
      <c r="O1052" s="15" t="s">
        <v>285</v>
      </c>
      <c r="P1052" s="15" t="s">
        <v>341</v>
      </c>
      <c r="Q1052" s="15" t="s">
        <v>930</v>
      </c>
      <c r="R1052" s="109"/>
      <c r="S1052" s="109"/>
      <c r="T1052" s="112"/>
      <c r="U1052" s="112"/>
      <c r="V1052" s="112"/>
      <c r="W1052" s="112"/>
    </row>
    <row r="1053" spans="1:23" s="2" customFormat="1" ht="12">
      <c r="A1053" s="11"/>
      <c r="B1053" s="108"/>
      <c r="C1053" s="109"/>
      <c r="D1053" s="14" t="str">
        <f>D1052</f>
        <v>端点科技</v>
      </c>
      <c r="E1053" s="109"/>
      <c r="F1053" s="112"/>
      <c r="G1053" s="109"/>
      <c r="H1053" s="109"/>
      <c r="I1053" s="109"/>
      <c r="J1053" s="109"/>
      <c r="K1053" s="109"/>
      <c r="L1053" s="109"/>
      <c r="M1053" s="109"/>
      <c r="N1053" s="13" t="s">
        <v>11349</v>
      </c>
      <c r="O1053" s="15" t="s">
        <v>326</v>
      </c>
      <c r="P1053" s="13" t="s">
        <v>3761</v>
      </c>
      <c r="Q1053" s="15" t="s">
        <v>11350</v>
      </c>
      <c r="R1053" s="109"/>
      <c r="S1053" s="109"/>
      <c r="T1053" s="112"/>
      <c r="U1053" s="112"/>
      <c r="V1053" s="112"/>
      <c r="W1053" s="112"/>
    </row>
    <row r="1054" spans="1:23" s="2" customFormat="1" ht="12">
      <c r="A1054" s="11"/>
      <c r="B1054" s="108"/>
      <c r="C1054" s="109" t="s">
        <v>11351</v>
      </c>
      <c r="D1054" s="14" t="s">
        <v>11352</v>
      </c>
      <c r="E1054" s="109" t="s">
        <v>11352</v>
      </c>
      <c r="F1054" s="114" t="s">
        <v>11353</v>
      </c>
      <c r="G1054" s="113" t="s">
        <v>11354</v>
      </c>
      <c r="H1054" s="109" t="s">
        <v>11355</v>
      </c>
      <c r="I1054" s="109" t="s">
        <v>3265</v>
      </c>
      <c r="J1054" s="113" t="s">
        <v>247</v>
      </c>
      <c r="K1054" s="113" t="s">
        <v>272</v>
      </c>
      <c r="L1054" s="113" t="s">
        <v>407</v>
      </c>
      <c r="M1054" s="113" t="s">
        <v>445</v>
      </c>
      <c r="N1054" s="13" t="s">
        <v>11351</v>
      </c>
      <c r="O1054" s="13" t="s">
        <v>251</v>
      </c>
      <c r="P1054" s="15" t="s">
        <v>409</v>
      </c>
      <c r="Q1054" s="15" t="s">
        <v>11356</v>
      </c>
      <c r="R1054" s="109" t="s">
        <v>11357</v>
      </c>
      <c r="S1054" s="109" t="s">
        <v>11358</v>
      </c>
      <c r="T1054" s="114" t="s">
        <v>11359</v>
      </c>
      <c r="U1054" s="114" t="s">
        <v>11360</v>
      </c>
      <c r="V1054" s="112" t="s">
        <v>11361</v>
      </c>
      <c r="W1054" s="112" t="s">
        <v>11362</v>
      </c>
    </row>
    <row r="1055" spans="1:23" s="2" customFormat="1" ht="12">
      <c r="A1055" s="11"/>
      <c r="B1055" s="108"/>
      <c r="C1055" s="109"/>
      <c r="D1055" s="14" t="str">
        <f>D1054</f>
        <v>ZStack</v>
      </c>
      <c r="E1055" s="109"/>
      <c r="F1055" s="112"/>
      <c r="G1055" s="109"/>
      <c r="H1055" s="109"/>
      <c r="I1055" s="109"/>
      <c r="J1055" s="109"/>
      <c r="K1055" s="109"/>
      <c r="L1055" s="109"/>
      <c r="M1055" s="109"/>
      <c r="N1055" s="13" t="s">
        <v>5306</v>
      </c>
      <c r="O1055" s="15" t="s">
        <v>285</v>
      </c>
      <c r="P1055" s="15" t="s">
        <v>252</v>
      </c>
      <c r="Q1055" s="15" t="s">
        <v>11363</v>
      </c>
      <c r="R1055" s="109"/>
      <c r="S1055" s="109"/>
      <c r="T1055" s="112"/>
      <c r="U1055" s="112"/>
      <c r="V1055" s="112"/>
      <c r="W1055" s="112"/>
    </row>
    <row r="1056" spans="1:23" s="2" customFormat="1" ht="12">
      <c r="A1056" s="11"/>
      <c r="B1056" s="108"/>
      <c r="C1056" s="109"/>
      <c r="D1056" s="14" t="str">
        <f>D1055</f>
        <v>ZStack</v>
      </c>
      <c r="E1056" s="109"/>
      <c r="F1056" s="112"/>
      <c r="G1056" s="109"/>
      <c r="H1056" s="109"/>
      <c r="I1056" s="109"/>
      <c r="J1056" s="109"/>
      <c r="K1056" s="109"/>
      <c r="L1056" s="109"/>
      <c r="M1056" s="109"/>
      <c r="N1056" s="13" t="s">
        <v>11364</v>
      </c>
      <c r="O1056" s="13" t="s">
        <v>565</v>
      </c>
      <c r="P1056" s="13" t="s">
        <v>11365</v>
      </c>
      <c r="Q1056" s="15" t="s">
        <v>11366</v>
      </c>
      <c r="R1056" s="109"/>
      <c r="S1056" s="109"/>
      <c r="T1056" s="112"/>
      <c r="U1056" s="112"/>
      <c r="V1056" s="112"/>
      <c r="W1056" s="112"/>
    </row>
    <row r="1057" spans="1:23" s="2" customFormat="1" ht="12">
      <c r="A1057" s="11"/>
      <c r="B1057" s="108"/>
      <c r="C1057" s="109"/>
      <c r="D1057" s="14" t="str">
        <f>D1056</f>
        <v>ZStack</v>
      </c>
      <c r="E1057" s="109"/>
      <c r="F1057" s="112"/>
      <c r="G1057" s="109"/>
      <c r="H1057" s="109"/>
      <c r="I1057" s="109"/>
      <c r="J1057" s="109"/>
      <c r="K1057" s="109"/>
      <c r="L1057" s="109"/>
      <c r="M1057" s="109"/>
      <c r="N1057" s="13" t="s">
        <v>9445</v>
      </c>
      <c r="O1057" s="13" t="s">
        <v>257</v>
      </c>
      <c r="P1057" s="13" t="s">
        <v>637</v>
      </c>
      <c r="Q1057" s="15" t="s">
        <v>11367</v>
      </c>
      <c r="R1057" s="109"/>
      <c r="S1057" s="109"/>
      <c r="T1057" s="112"/>
      <c r="U1057" s="112"/>
      <c r="V1057" s="112"/>
      <c r="W1057" s="112"/>
    </row>
    <row r="1058" spans="1:23" s="2" customFormat="1" ht="12">
      <c r="A1058" s="11"/>
      <c r="B1058" s="108"/>
      <c r="C1058" s="109"/>
      <c r="D1058" s="14" t="str">
        <f>D1057</f>
        <v>ZStack</v>
      </c>
      <c r="E1058" s="109"/>
      <c r="F1058" s="112"/>
      <c r="G1058" s="109"/>
      <c r="H1058" s="109"/>
      <c r="I1058" s="109"/>
      <c r="J1058" s="109"/>
      <c r="K1058" s="109"/>
      <c r="L1058" s="109"/>
      <c r="M1058" s="109"/>
      <c r="N1058" s="13" t="s">
        <v>11368</v>
      </c>
      <c r="O1058" s="13" t="s">
        <v>262</v>
      </c>
      <c r="P1058" s="15" t="s">
        <v>341</v>
      </c>
      <c r="Q1058" s="15" t="s">
        <v>11369</v>
      </c>
      <c r="R1058" s="109"/>
      <c r="S1058" s="109"/>
      <c r="T1058" s="112"/>
      <c r="U1058" s="112"/>
      <c r="V1058" s="112"/>
      <c r="W1058" s="112"/>
    </row>
    <row r="1059" spans="1:23" s="2" customFormat="1" ht="12">
      <c r="A1059" s="11"/>
      <c r="B1059" s="108"/>
      <c r="C1059" s="109"/>
      <c r="D1059" s="14" t="str">
        <f>D1058</f>
        <v>ZStack</v>
      </c>
      <c r="E1059" s="109"/>
      <c r="F1059" s="112"/>
      <c r="G1059" s="109"/>
      <c r="H1059" s="109"/>
      <c r="I1059" s="109"/>
      <c r="J1059" s="109"/>
      <c r="K1059" s="109"/>
      <c r="L1059" s="109"/>
      <c r="M1059" s="109"/>
      <c r="N1059" s="13" t="s">
        <v>11370</v>
      </c>
      <c r="O1059" s="15" t="s">
        <v>326</v>
      </c>
      <c r="P1059" s="15" t="s">
        <v>327</v>
      </c>
      <c r="Q1059" s="15" t="s">
        <v>11371</v>
      </c>
      <c r="R1059" s="109"/>
      <c r="S1059" s="109"/>
      <c r="T1059" s="112"/>
      <c r="U1059" s="112"/>
      <c r="V1059" s="112"/>
      <c r="W1059" s="112"/>
    </row>
    <row r="1060" spans="1:23" s="2" customFormat="1" ht="12">
      <c r="A1060" s="11"/>
      <c r="B1060" s="108"/>
      <c r="C1060" s="109" t="s">
        <v>11372</v>
      </c>
      <c r="D1060" s="14" t="s">
        <v>11373</v>
      </c>
      <c r="E1060" s="113" t="s">
        <v>11373</v>
      </c>
      <c r="F1060" s="114" t="s">
        <v>11374</v>
      </c>
      <c r="G1060" s="113" t="s">
        <v>11375</v>
      </c>
      <c r="H1060" s="109" t="s">
        <v>11376</v>
      </c>
      <c r="I1060" s="109" t="s">
        <v>2359</v>
      </c>
      <c r="J1060" s="113" t="s">
        <v>271</v>
      </c>
      <c r="K1060" s="113" t="s">
        <v>272</v>
      </c>
      <c r="L1060" s="113" t="s">
        <v>407</v>
      </c>
      <c r="M1060" s="113" t="s">
        <v>9712</v>
      </c>
      <c r="N1060" s="13" t="s">
        <v>11372</v>
      </c>
      <c r="O1060" s="15" t="s">
        <v>471</v>
      </c>
      <c r="P1060" s="15" t="s">
        <v>252</v>
      </c>
      <c r="Q1060" s="15" t="s">
        <v>930</v>
      </c>
      <c r="R1060" s="109" t="s">
        <v>11312</v>
      </c>
      <c r="S1060" s="113" t="s">
        <v>255</v>
      </c>
      <c r="T1060" s="114" t="s">
        <v>11377</v>
      </c>
      <c r="U1060" s="114" t="s">
        <v>11378</v>
      </c>
      <c r="V1060" s="112" t="s">
        <v>11379</v>
      </c>
      <c r="W1060" s="112" t="s">
        <v>11380</v>
      </c>
    </row>
    <row r="1061" spans="1:23" s="2" customFormat="1" ht="12">
      <c r="A1061" s="11"/>
      <c r="B1061" s="108"/>
      <c r="C1061" s="109"/>
      <c r="D1061" s="14" t="str">
        <f>D1060</f>
        <v>九州云腾</v>
      </c>
      <c r="E1061" s="109"/>
      <c r="F1061" s="112"/>
      <c r="G1061" s="109"/>
      <c r="H1061" s="109"/>
      <c r="I1061" s="109"/>
      <c r="J1061" s="109"/>
      <c r="K1061" s="109"/>
      <c r="L1061" s="109"/>
      <c r="M1061" s="109"/>
      <c r="N1061" s="13" t="s">
        <v>9345</v>
      </c>
      <c r="O1061" s="13" t="s">
        <v>262</v>
      </c>
      <c r="P1061" s="13" t="s">
        <v>1206</v>
      </c>
      <c r="Q1061" s="15" t="s">
        <v>11381</v>
      </c>
      <c r="R1061" s="109"/>
      <c r="S1061" s="109"/>
      <c r="T1061" s="112"/>
      <c r="U1061" s="112"/>
      <c r="V1061" s="112"/>
      <c r="W1061" s="112"/>
    </row>
    <row r="1062" spans="1:23" s="2" customFormat="1" ht="12">
      <c r="A1062" s="11"/>
      <c r="B1062" s="108"/>
      <c r="C1062" s="109"/>
      <c r="D1062" s="14" t="str">
        <f>D1061</f>
        <v>九州云腾</v>
      </c>
      <c r="E1062" s="109"/>
      <c r="F1062" s="112"/>
      <c r="G1062" s="109"/>
      <c r="H1062" s="109"/>
      <c r="I1062" s="109"/>
      <c r="J1062" s="109"/>
      <c r="K1062" s="109"/>
      <c r="L1062" s="109"/>
      <c r="M1062" s="109"/>
      <c r="N1062" s="13" t="s">
        <v>11382</v>
      </c>
      <c r="O1062" s="13" t="s">
        <v>721</v>
      </c>
      <c r="P1062" s="15" t="s">
        <v>341</v>
      </c>
      <c r="Q1062" s="15" t="s">
        <v>11383</v>
      </c>
      <c r="R1062" s="109"/>
      <c r="S1062" s="109"/>
      <c r="T1062" s="112"/>
      <c r="U1062" s="112"/>
      <c r="V1062" s="112"/>
      <c r="W1062" s="112"/>
    </row>
    <row r="1063" spans="1:23" s="2" customFormat="1" ht="12">
      <c r="A1063" s="11"/>
      <c r="B1063" s="108"/>
      <c r="C1063" s="109"/>
      <c r="D1063" s="14" t="str">
        <f>D1062</f>
        <v>九州云腾</v>
      </c>
      <c r="E1063" s="109"/>
      <c r="F1063" s="112"/>
      <c r="G1063" s="109"/>
      <c r="H1063" s="109"/>
      <c r="I1063" s="109"/>
      <c r="J1063" s="109"/>
      <c r="K1063" s="109"/>
      <c r="L1063" s="109"/>
      <c r="M1063" s="109"/>
      <c r="N1063" s="13" t="s">
        <v>11384</v>
      </c>
      <c r="O1063" s="15" t="s">
        <v>326</v>
      </c>
      <c r="P1063" s="15" t="s">
        <v>327</v>
      </c>
      <c r="Q1063" s="13" t="s">
        <v>253</v>
      </c>
      <c r="R1063" s="109"/>
      <c r="S1063" s="109"/>
      <c r="T1063" s="112"/>
      <c r="U1063" s="112"/>
      <c r="V1063" s="112"/>
      <c r="W1063" s="112"/>
    </row>
    <row r="1064" spans="1:23" s="2" customFormat="1" ht="12">
      <c r="A1064" s="11"/>
      <c r="B1064" s="108"/>
      <c r="C1064" s="109" t="s">
        <v>506</v>
      </c>
      <c r="D1064" s="14" t="s">
        <v>11385</v>
      </c>
      <c r="E1064" s="113" t="s">
        <v>11385</v>
      </c>
      <c r="F1064" s="114" t="s">
        <v>11386</v>
      </c>
      <c r="G1064" s="113" t="s">
        <v>11387</v>
      </c>
      <c r="H1064" s="109" t="s">
        <v>11388</v>
      </c>
      <c r="I1064" s="109" t="s">
        <v>3145</v>
      </c>
      <c r="J1064" s="113" t="s">
        <v>385</v>
      </c>
      <c r="K1064" s="113" t="s">
        <v>272</v>
      </c>
      <c r="L1064" s="113" t="s">
        <v>996</v>
      </c>
      <c r="M1064" s="113" t="s">
        <v>3052</v>
      </c>
      <c r="N1064" s="13" t="s">
        <v>506</v>
      </c>
      <c r="O1064" s="15" t="s">
        <v>285</v>
      </c>
      <c r="P1064" s="15" t="s">
        <v>252</v>
      </c>
      <c r="Q1064" s="15" t="s">
        <v>930</v>
      </c>
      <c r="R1064" s="109" t="s">
        <v>10455</v>
      </c>
      <c r="S1064" s="113" t="s">
        <v>255</v>
      </c>
      <c r="T1064" s="114" t="s">
        <v>11389</v>
      </c>
      <c r="U1064" s="114" t="s">
        <v>11390</v>
      </c>
      <c r="V1064" s="112" t="s">
        <v>11391</v>
      </c>
      <c r="W1064" s="112" t="s">
        <v>11392</v>
      </c>
    </row>
    <row r="1065" spans="1:23" s="2" customFormat="1" ht="12">
      <c r="A1065" s="11"/>
      <c r="B1065" s="108"/>
      <c r="C1065" s="109"/>
      <c r="D1065" s="14" t="str">
        <f>D1064</f>
        <v>同桌游戏</v>
      </c>
      <c r="E1065" s="109"/>
      <c r="F1065" s="112"/>
      <c r="G1065" s="109"/>
      <c r="H1065" s="109"/>
      <c r="I1065" s="109"/>
      <c r="J1065" s="109"/>
      <c r="K1065" s="109"/>
      <c r="L1065" s="109"/>
      <c r="M1065" s="109"/>
      <c r="N1065" s="13" t="s">
        <v>4355</v>
      </c>
      <c r="O1065" s="13" t="s">
        <v>257</v>
      </c>
      <c r="P1065" s="15" t="s">
        <v>252</v>
      </c>
      <c r="Q1065" s="15" t="s">
        <v>664</v>
      </c>
      <c r="R1065" s="109"/>
      <c r="S1065" s="109"/>
      <c r="T1065" s="112"/>
      <c r="U1065" s="112"/>
      <c r="V1065" s="112"/>
      <c r="W1065" s="112"/>
    </row>
    <row r="1066" spans="1:23" s="2" customFormat="1" ht="12">
      <c r="A1066" s="11"/>
      <c r="B1066" s="108"/>
      <c r="C1066" s="109"/>
      <c r="D1066" s="14" t="str">
        <f>D1065</f>
        <v>同桌游戏</v>
      </c>
      <c r="E1066" s="109"/>
      <c r="F1066" s="112"/>
      <c r="G1066" s="109"/>
      <c r="H1066" s="109"/>
      <c r="I1066" s="109"/>
      <c r="J1066" s="109"/>
      <c r="K1066" s="109"/>
      <c r="L1066" s="109"/>
      <c r="M1066" s="109"/>
      <c r="N1066" s="13" t="s">
        <v>11393</v>
      </c>
      <c r="O1066" s="13" t="s">
        <v>262</v>
      </c>
      <c r="P1066" s="15" t="s">
        <v>252</v>
      </c>
      <c r="Q1066" s="15" t="s">
        <v>11394</v>
      </c>
      <c r="R1066" s="109"/>
      <c r="S1066" s="109"/>
      <c r="T1066" s="112"/>
      <c r="U1066" s="112"/>
      <c r="V1066" s="112"/>
      <c r="W1066" s="112"/>
    </row>
    <row r="1067" spans="1:23" s="2" customFormat="1" ht="12">
      <c r="A1067" s="11"/>
      <c r="B1067" s="108"/>
      <c r="C1067" s="109"/>
      <c r="D1067" s="14" t="str">
        <f>D1066</f>
        <v>同桌游戏</v>
      </c>
      <c r="E1067" s="109"/>
      <c r="F1067" s="112"/>
      <c r="G1067" s="109"/>
      <c r="H1067" s="109"/>
      <c r="I1067" s="109"/>
      <c r="J1067" s="109"/>
      <c r="K1067" s="109"/>
      <c r="L1067" s="109"/>
      <c r="M1067" s="109"/>
      <c r="N1067" s="13" t="s">
        <v>11395</v>
      </c>
      <c r="O1067" s="15" t="s">
        <v>326</v>
      </c>
      <c r="P1067" s="15" t="s">
        <v>327</v>
      </c>
      <c r="Q1067" s="15" t="s">
        <v>11396</v>
      </c>
      <c r="R1067" s="109"/>
      <c r="S1067" s="109"/>
      <c r="T1067" s="112"/>
      <c r="U1067" s="112"/>
      <c r="V1067" s="112"/>
      <c r="W1067" s="112"/>
    </row>
    <row r="1068" spans="1:23" s="2" customFormat="1" ht="12">
      <c r="A1068" s="11"/>
      <c r="B1068" s="108"/>
      <c r="C1068" s="109" t="s">
        <v>11397</v>
      </c>
      <c r="D1068" s="14" t="s">
        <v>11398</v>
      </c>
      <c r="E1068" s="113" t="s">
        <v>11398</v>
      </c>
      <c r="F1068" s="114" t="s">
        <v>11399</v>
      </c>
      <c r="G1068" s="113" t="s">
        <v>11400</v>
      </c>
      <c r="H1068" s="109" t="s">
        <v>11401</v>
      </c>
      <c r="I1068" s="109" t="s">
        <v>5335</v>
      </c>
      <c r="J1068" s="113" t="s">
        <v>1126</v>
      </c>
      <c r="K1068" s="113" t="s">
        <v>272</v>
      </c>
      <c r="L1068" s="113" t="s">
        <v>407</v>
      </c>
      <c r="M1068" s="113" t="s">
        <v>762</v>
      </c>
      <c r="N1068" s="13" t="s">
        <v>11397</v>
      </c>
      <c r="O1068" s="15" t="s">
        <v>285</v>
      </c>
      <c r="P1068" s="15" t="s">
        <v>252</v>
      </c>
      <c r="Q1068" s="15" t="s">
        <v>11402</v>
      </c>
      <c r="R1068" s="109" t="s">
        <v>998</v>
      </c>
      <c r="S1068" s="113" t="s">
        <v>255</v>
      </c>
      <c r="T1068" s="114" t="s">
        <v>11403</v>
      </c>
      <c r="U1068" s="114" t="s">
        <v>11404</v>
      </c>
      <c r="V1068" s="112" t="s">
        <v>11405</v>
      </c>
      <c r="W1068" s="112" t="s">
        <v>11406</v>
      </c>
    </row>
    <row r="1069" spans="1:23" s="2" customFormat="1" ht="12">
      <c r="A1069" s="11"/>
      <c r="B1069" s="108"/>
      <c r="C1069" s="109"/>
      <c r="D1069" s="14" t="str">
        <f>D1068</f>
        <v>粒聚科技</v>
      </c>
      <c r="E1069" s="109"/>
      <c r="F1069" s="112"/>
      <c r="G1069" s="109"/>
      <c r="H1069" s="109"/>
      <c r="I1069" s="109"/>
      <c r="J1069" s="109"/>
      <c r="K1069" s="109"/>
      <c r="L1069" s="109"/>
      <c r="M1069" s="109"/>
      <c r="N1069" s="13" t="s">
        <v>11407</v>
      </c>
      <c r="O1069" s="13" t="s">
        <v>262</v>
      </c>
      <c r="P1069" s="15" t="s">
        <v>252</v>
      </c>
      <c r="Q1069" s="15" t="s">
        <v>11408</v>
      </c>
      <c r="R1069" s="109"/>
      <c r="S1069" s="109"/>
      <c r="T1069" s="112"/>
      <c r="U1069" s="112"/>
      <c r="V1069" s="112"/>
      <c r="W1069" s="112"/>
    </row>
    <row r="1070" spans="1:23" s="2" customFormat="1" ht="12">
      <c r="A1070" s="11"/>
      <c r="B1070" s="108"/>
      <c r="C1070" s="109"/>
      <c r="D1070" s="14" t="str">
        <f>D1069</f>
        <v>粒聚科技</v>
      </c>
      <c r="E1070" s="109"/>
      <c r="F1070" s="112"/>
      <c r="G1070" s="109"/>
      <c r="H1070" s="109"/>
      <c r="I1070" s="109"/>
      <c r="J1070" s="109"/>
      <c r="K1070" s="109"/>
      <c r="L1070" s="109"/>
      <c r="M1070" s="109"/>
      <c r="N1070" s="13" t="s">
        <v>8399</v>
      </c>
      <c r="O1070" s="13" t="s">
        <v>721</v>
      </c>
      <c r="P1070" s="13" t="s">
        <v>360</v>
      </c>
      <c r="Q1070" s="15" t="s">
        <v>11409</v>
      </c>
      <c r="R1070" s="109"/>
      <c r="S1070" s="109"/>
      <c r="T1070" s="112"/>
      <c r="U1070" s="112"/>
      <c r="V1070" s="112"/>
      <c r="W1070" s="112"/>
    </row>
    <row r="1071" spans="1:23" s="2" customFormat="1" ht="96">
      <c r="A1071" s="11"/>
      <c r="B1071" s="108"/>
      <c r="C1071" s="13" t="s">
        <v>11410</v>
      </c>
      <c r="D1071" s="19" t="s">
        <v>11411</v>
      </c>
      <c r="E1071" s="15" t="s">
        <v>11411</v>
      </c>
      <c r="F1071" s="16" t="s">
        <v>11412</v>
      </c>
      <c r="G1071" s="15" t="s">
        <v>11413</v>
      </c>
      <c r="H1071" s="13"/>
      <c r="I1071" s="13" t="s">
        <v>2518</v>
      </c>
      <c r="J1071" s="15" t="s">
        <v>1858</v>
      </c>
      <c r="K1071" s="15" t="s">
        <v>272</v>
      </c>
      <c r="L1071" s="15" t="s">
        <v>1798</v>
      </c>
      <c r="M1071" s="15" t="s">
        <v>8637</v>
      </c>
      <c r="N1071" s="13" t="s">
        <v>11410</v>
      </c>
      <c r="O1071" s="15" t="s">
        <v>471</v>
      </c>
      <c r="P1071" s="15" t="s">
        <v>252</v>
      </c>
      <c r="Q1071" s="15" t="s">
        <v>930</v>
      </c>
      <c r="R1071" s="13" t="s">
        <v>253</v>
      </c>
      <c r="S1071" s="15" t="s">
        <v>255</v>
      </c>
      <c r="T1071" s="18"/>
      <c r="U1071" s="16" t="s">
        <v>11414</v>
      </c>
      <c r="V1071" s="18" t="s">
        <v>11415</v>
      </c>
      <c r="W1071" s="18" t="s">
        <v>11416</v>
      </c>
    </row>
    <row r="1072" spans="1:23" s="2" customFormat="1" ht="12">
      <c r="A1072" s="11"/>
      <c r="B1072" s="107" t="s">
        <v>974</v>
      </c>
      <c r="C1072" s="109" t="s">
        <v>848</v>
      </c>
      <c r="D1072" s="14" t="s">
        <v>849</v>
      </c>
      <c r="E1072" s="113" t="s">
        <v>849</v>
      </c>
      <c r="F1072" s="114" t="s">
        <v>850</v>
      </c>
      <c r="G1072" s="113" t="s">
        <v>851</v>
      </c>
      <c r="H1072" s="109" t="s">
        <v>852</v>
      </c>
      <c r="I1072" s="109" t="s">
        <v>427</v>
      </c>
      <c r="J1072" s="113" t="s">
        <v>428</v>
      </c>
      <c r="K1072" s="113" t="s">
        <v>272</v>
      </c>
      <c r="L1072" s="113" t="s">
        <v>672</v>
      </c>
      <c r="M1072" s="113" t="s">
        <v>853</v>
      </c>
      <c r="N1072" s="13" t="s">
        <v>848</v>
      </c>
      <c r="O1072" s="15" t="s">
        <v>471</v>
      </c>
      <c r="P1072" s="15" t="s">
        <v>252</v>
      </c>
      <c r="Q1072" s="15" t="s">
        <v>240</v>
      </c>
      <c r="R1072" s="109" t="s">
        <v>854</v>
      </c>
      <c r="S1072" s="113" t="s">
        <v>255</v>
      </c>
      <c r="T1072" s="114" t="s">
        <v>855</v>
      </c>
      <c r="U1072" s="112"/>
      <c r="V1072" s="112"/>
      <c r="W1072" s="112"/>
    </row>
    <row r="1073" spans="1:23" s="2" customFormat="1" ht="12">
      <c r="A1073" s="11"/>
      <c r="B1073" s="108"/>
      <c r="C1073" s="109"/>
      <c r="D1073" s="14" t="str">
        <f t="shared" ref="D1073:D1078" si="30">D1072</f>
        <v>美味不用等</v>
      </c>
      <c r="E1073" s="109"/>
      <c r="F1073" s="112"/>
      <c r="G1073" s="109"/>
      <c r="H1073" s="109"/>
      <c r="I1073" s="109"/>
      <c r="J1073" s="109"/>
      <c r="K1073" s="109"/>
      <c r="L1073" s="109"/>
      <c r="M1073" s="109"/>
      <c r="N1073" s="13" t="s">
        <v>8019</v>
      </c>
      <c r="O1073" s="13" t="s">
        <v>317</v>
      </c>
      <c r="P1073" s="13" t="s">
        <v>856</v>
      </c>
      <c r="Q1073" s="15" t="s">
        <v>857</v>
      </c>
      <c r="R1073" s="109"/>
      <c r="S1073" s="109"/>
      <c r="T1073" s="112"/>
      <c r="U1073" s="112"/>
      <c r="V1073" s="112"/>
      <c r="W1073" s="112"/>
    </row>
    <row r="1074" spans="1:23" s="2" customFormat="1" ht="12">
      <c r="A1074" s="11"/>
      <c r="B1074" s="108"/>
      <c r="C1074" s="109"/>
      <c r="D1074" s="14" t="str">
        <f t="shared" si="30"/>
        <v>美味不用等</v>
      </c>
      <c r="E1074" s="109"/>
      <c r="F1074" s="112"/>
      <c r="G1074" s="109"/>
      <c r="H1074" s="109"/>
      <c r="I1074" s="109"/>
      <c r="J1074" s="109"/>
      <c r="K1074" s="109"/>
      <c r="L1074" s="109"/>
      <c r="M1074" s="109"/>
      <c r="N1074" s="13" t="s">
        <v>8020</v>
      </c>
      <c r="O1074" s="13" t="s">
        <v>523</v>
      </c>
      <c r="P1074" s="15" t="s">
        <v>409</v>
      </c>
      <c r="Q1074" s="15" t="s">
        <v>858</v>
      </c>
      <c r="R1074" s="109"/>
      <c r="S1074" s="109"/>
      <c r="T1074" s="112"/>
      <c r="U1074" s="112"/>
      <c r="V1074" s="112"/>
      <c r="W1074" s="112"/>
    </row>
    <row r="1075" spans="1:23" s="2" customFormat="1" ht="12">
      <c r="A1075" s="11"/>
      <c r="B1075" s="108"/>
      <c r="C1075" s="109"/>
      <c r="D1075" s="14" t="str">
        <f t="shared" si="30"/>
        <v>美味不用等</v>
      </c>
      <c r="E1075" s="109"/>
      <c r="F1075" s="112"/>
      <c r="G1075" s="109"/>
      <c r="H1075" s="109"/>
      <c r="I1075" s="109"/>
      <c r="J1075" s="109"/>
      <c r="K1075" s="109"/>
      <c r="L1075" s="109"/>
      <c r="M1075" s="109"/>
      <c r="N1075" s="13" t="s">
        <v>8021</v>
      </c>
      <c r="O1075" s="13" t="s">
        <v>251</v>
      </c>
      <c r="P1075" s="13" t="s">
        <v>773</v>
      </c>
      <c r="Q1075" s="15" t="s">
        <v>859</v>
      </c>
      <c r="R1075" s="109"/>
      <c r="S1075" s="109"/>
      <c r="T1075" s="112"/>
      <c r="U1075" s="112"/>
      <c r="V1075" s="112"/>
      <c r="W1075" s="112"/>
    </row>
    <row r="1076" spans="1:23" s="2" customFormat="1" ht="12">
      <c r="A1076" s="11"/>
      <c r="B1076" s="108"/>
      <c r="C1076" s="109"/>
      <c r="D1076" s="14" t="str">
        <f t="shared" si="30"/>
        <v>美味不用等</v>
      </c>
      <c r="E1076" s="109"/>
      <c r="F1076" s="112"/>
      <c r="G1076" s="109"/>
      <c r="H1076" s="109"/>
      <c r="I1076" s="109"/>
      <c r="J1076" s="109"/>
      <c r="K1076" s="109"/>
      <c r="L1076" s="109"/>
      <c r="M1076" s="109"/>
      <c r="N1076" s="13" t="s">
        <v>8022</v>
      </c>
      <c r="O1076" s="13" t="s">
        <v>257</v>
      </c>
      <c r="P1076" s="13" t="s">
        <v>458</v>
      </c>
      <c r="Q1076" s="15" t="s">
        <v>860</v>
      </c>
      <c r="R1076" s="109"/>
      <c r="S1076" s="109"/>
      <c r="T1076" s="112"/>
      <c r="U1076" s="112"/>
      <c r="V1076" s="112"/>
      <c r="W1076" s="112"/>
    </row>
    <row r="1077" spans="1:23" s="2" customFormat="1" ht="12">
      <c r="A1077" s="11"/>
      <c r="B1077" s="108"/>
      <c r="C1077" s="109"/>
      <c r="D1077" s="14" t="str">
        <f t="shared" si="30"/>
        <v>美味不用等</v>
      </c>
      <c r="E1077" s="109"/>
      <c r="F1077" s="112"/>
      <c r="G1077" s="109"/>
      <c r="H1077" s="109"/>
      <c r="I1077" s="109"/>
      <c r="J1077" s="109"/>
      <c r="K1077" s="109"/>
      <c r="L1077" s="109"/>
      <c r="M1077" s="109"/>
      <c r="N1077" s="13" t="s">
        <v>8023</v>
      </c>
      <c r="O1077" s="13" t="s">
        <v>262</v>
      </c>
      <c r="P1077" s="15" t="s">
        <v>261</v>
      </c>
      <c r="Q1077" s="15" t="s">
        <v>861</v>
      </c>
      <c r="R1077" s="109"/>
      <c r="S1077" s="109"/>
      <c r="T1077" s="112"/>
      <c r="U1077" s="112"/>
      <c r="V1077" s="112"/>
      <c r="W1077" s="112"/>
    </row>
    <row r="1078" spans="1:23" s="2" customFormat="1" ht="12">
      <c r="A1078" s="11"/>
      <c r="B1078" s="108"/>
      <c r="C1078" s="109"/>
      <c r="D1078" s="14" t="str">
        <f t="shared" si="30"/>
        <v>美味不用等</v>
      </c>
      <c r="E1078" s="109"/>
      <c r="F1078" s="112"/>
      <c r="G1078" s="109"/>
      <c r="H1078" s="109"/>
      <c r="I1078" s="109"/>
      <c r="J1078" s="109"/>
      <c r="K1078" s="109"/>
      <c r="L1078" s="109"/>
      <c r="M1078" s="109"/>
      <c r="N1078" s="13" t="s">
        <v>8024</v>
      </c>
      <c r="O1078" s="15" t="s">
        <v>326</v>
      </c>
      <c r="P1078" s="15" t="s">
        <v>327</v>
      </c>
      <c r="Q1078" s="15" t="s">
        <v>862</v>
      </c>
      <c r="R1078" s="109"/>
      <c r="S1078" s="109"/>
      <c r="T1078" s="112"/>
      <c r="U1078" s="112"/>
      <c r="V1078" s="112"/>
      <c r="W1078" s="112"/>
    </row>
    <row r="1079" spans="1:23" s="2" customFormat="1" ht="12">
      <c r="A1079" s="11"/>
      <c r="B1079" s="108"/>
      <c r="C1079" s="109" t="s">
        <v>1058</v>
      </c>
      <c r="D1079" s="14" t="s">
        <v>1059</v>
      </c>
      <c r="E1079" s="113" t="s">
        <v>1059</v>
      </c>
      <c r="F1079" s="114" t="s">
        <v>1060</v>
      </c>
      <c r="G1079" s="113" t="s">
        <v>1061</v>
      </c>
      <c r="H1079" s="109" t="s">
        <v>1062</v>
      </c>
      <c r="I1079" s="109" t="s">
        <v>334</v>
      </c>
      <c r="J1079" s="113" t="s">
        <v>271</v>
      </c>
      <c r="K1079" s="113" t="s">
        <v>272</v>
      </c>
      <c r="L1079" s="113" t="s">
        <v>672</v>
      </c>
      <c r="M1079" s="113" t="s">
        <v>853</v>
      </c>
      <c r="N1079" s="13" t="s">
        <v>1058</v>
      </c>
      <c r="O1079" s="13" t="s">
        <v>565</v>
      </c>
      <c r="P1079" s="13" t="s">
        <v>1063</v>
      </c>
      <c r="Q1079" s="15" t="s">
        <v>1064</v>
      </c>
      <c r="R1079" s="109" t="s">
        <v>353</v>
      </c>
      <c r="S1079" s="109" t="s">
        <v>1065</v>
      </c>
      <c r="T1079" s="112"/>
      <c r="U1079" s="112"/>
      <c r="V1079" s="112" t="s">
        <v>1066</v>
      </c>
      <c r="W1079" s="112" t="s">
        <v>1067</v>
      </c>
    </row>
    <row r="1080" spans="1:23" s="2" customFormat="1" ht="12">
      <c r="A1080" s="11"/>
      <c r="B1080" s="108"/>
      <c r="C1080" s="109"/>
      <c r="D1080" s="14" t="str">
        <f>D1079</f>
        <v>云纵</v>
      </c>
      <c r="E1080" s="109"/>
      <c r="F1080" s="112"/>
      <c r="G1080" s="109"/>
      <c r="H1080" s="109"/>
      <c r="I1080" s="109"/>
      <c r="J1080" s="109"/>
      <c r="K1080" s="109"/>
      <c r="L1080" s="109"/>
      <c r="M1080" s="109"/>
      <c r="N1080" s="13" t="s">
        <v>11417</v>
      </c>
      <c r="O1080" s="15" t="s">
        <v>285</v>
      </c>
      <c r="P1080" s="15" t="s">
        <v>252</v>
      </c>
      <c r="Q1080" s="15" t="s">
        <v>1068</v>
      </c>
      <c r="R1080" s="109"/>
      <c r="S1080" s="109"/>
      <c r="T1080" s="112"/>
      <c r="U1080" s="112"/>
      <c r="V1080" s="112"/>
      <c r="W1080" s="112"/>
    </row>
    <row r="1081" spans="1:23" s="2" customFormat="1" ht="12">
      <c r="A1081" s="11"/>
      <c r="B1081" s="108"/>
      <c r="C1081" s="109"/>
      <c r="D1081" s="14" t="str">
        <f>D1080</f>
        <v>云纵</v>
      </c>
      <c r="E1081" s="109"/>
      <c r="F1081" s="112"/>
      <c r="G1081" s="109"/>
      <c r="H1081" s="109"/>
      <c r="I1081" s="109"/>
      <c r="J1081" s="109"/>
      <c r="K1081" s="109"/>
      <c r="L1081" s="109"/>
      <c r="M1081" s="109"/>
      <c r="N1081" s="13" t="s">
        <v>11418</v>
      </c>
      <c r="O1081" s="13" t="s">
        <v>257</v>
      </c>
      <c r="P1081" s="15" t="s">
        <v>341</v>
      </c>
      <c r="Q1081" s="15" t="s">
        <v>1069</v>
      </c>
      <c r="R1081" s="109"/>
      <c r="S1081" s="109"/>
      <c r="T1081" s="112"/>
      <c r="U1081" s="112"/>
      <c r="V1081" s="112"/>
      <c r="W1081" s="112"/>
    </row>
    <row r="1082" spans="1:23" s="2" customFormat="1" ht="12">
      <c r="A1082" s="11"/>
      <c r="B1082" s="108"/>
      <c r="C1082" s="109"/>
      <c r="D1082" s="14" t="str">
        <f>D1081</f>
        <v>云纵</v>
      </c>
      <c r="E1082" s="109"/>
      <c r="F1082" s="112"/>
      <c r="G1082" s="109"/>
      <c r="H1082" s="109"/>
      <c r="I1082" s="109"/>
      <c r="J1082" s="109"/>
      <c r="K1082" s="109"/>
      <c r="L1082" s="109"/>
      <c r="M1082" s="109"/>
      <c r="N1082" s="13" t="s">
        <v>3958</v>
      </c>
      <c r="O1082" s="13" t="s">
        <v>262</v>
      </c>
      <c r="P1082" s="15" t="s">
        <v>327</v>
      </c>
      <c r="Q1082" s="15" t="s">
        <v>1070</v>
      </c>
      <c r="R1082" s="109"/>
      <c r="S1082" s="109"/>
      <c r="T1082" s="112"/>
      <c r="U1082" s="112"/>
      <c r="V1082" s="112"/>
      <c r="W1082" s="112"/>
    </row>
    <row r="1083" spans="1:23" s="2" customFormat="1" ht="12">
      <c r="A1083" s="11"/>
      <c r="B1083" s="108"/>
      <c r="C1083" s="109" t="s">
        <v>11419</v>
      </c>
      <c r="D1083" s="14" t="s">
        <v>11420</v>
      </c>
      <c r="E1083" s="113" t="s">
        <v>11420</v>
      </c>
      <c r="F1083" s="114" t="s">
        <v>11421</v>
      </c>
      <c r="G1083" s="113" t="s">
        <v>11422</v>
      </c>
      <c r="H1083" s="109" t="s">
        <v>11423</v>
      </c>
      <c r="I1083" s="109" t="s">
        <v>9630</v>
      </c>
      <c r="J1083" s="113" t="s">
        <v>247</v>
      </c>
      <c r="K1083" s="113" t="s">
        <v>272</v>
      </c>
      <c r="L1083" s="113" t="s">
        <v>672</v>
      </c>
      <c r="M1083" s="113" t="s">
        <v>11424</v>
      </c>
      <c r="N1083" s="13" t="s">
        <v>11419</v>
      </c>
      <c r="O1083" s="13" t="s">
        <v>257</v>
      </c>
      <c r="P1083" s="13" t="s">
        <v>637</v>
      </c>
      <c r="Q1083" s="15" t="s">
        <v>974</v>
      </c>
      <c r="R1083" s="109" t="s">
        <v>998</v>
      </c>
      <c r="S1083" s="109" t="s">
        <v>1078</v>
      </c>
      <c r="T1083" s="114" t="s">
        <v>11425</v>
      </c>
      <c r="U1083" s="114" t="s">
        <v>11426</v>
      </c>
      <c r="V1083" s="112" t="s">
        <v>11427</v>
      </c>
      <c r="W1083" s="112"/>
    </row>
    <row r="1084" spans="1:23" s="2" customFormat="1" ht="12">
      <c r="A1084" s="11"/>
      <c r="B1084" s="108"/>
      <c r="C1084" s="109"/>
      <c r="D1084" s="14" t="str">
        <f>D1083</f>
        <v>博卡软件</v>
      </c>
      <c r="E1084" s="109"/>
      <c r="F1084" s="112"/>
      <c r="G1084" s="109"/>
      <c r="H1084" s="109"/>
      <c r="I1084" s="109"/>
      <c r="J1084" s="109"/>
      <c r="K1084" s="109"/>
      <c r="L1084" s="109"/>
      <c r="M1084" s="109"/>
      <c r="N1084" s="13" t="s">
        <v>9257</v>
      </c>
      <c r="O1084" s="13" t="s">
        <v>262</v>
      </c>
      <c r="P1084" s="13" t="s">
        <v>639</v>
      </c>
      <c r="Q1084" s="15" t="s">
        <v>11428</v>
      </c>
      <c r="R1084" s="109"/>
      <c r="S1084" s="109"/>
      <c r="T1084" s="112"/>
      <c r="U1084" s="112"/>
      <c r="V1084" s="112"/>
      <c r="W1084" s="112"/>
    </row>
    <row r="1085" spans="1:23" s="2" customFormat="1" ht="12">
      <c r="A1085" s="11"/>
      <c r="B1085" s="108"/>
      <c r="C1085" s="109" t="s">
        <v>8685</v>
      </c>
      <c r="D1085" s="14" t="s">
        <v>11429</v>
      </c>
      <c r="E1085" s="113" t="s">
        <v>11429</v>
      </c>
      <c r="F1085" s="114" t="s">
        <v>11430</v>
      </c>
      <c r="G1085" s="113" t="s">
        <v>11431</v>
      </c>
      <c r="H1085" s="109" t="s">
        <v>11432</v>
      </c>
      <c r="I1085" s="109" t="s">
        <v>11433</v>
      </c>
      <c r="J1085" s="113" t="s">
        <v>1215</v>
      </c>
      <c r="K1085" s="113" t="s">
        <v>272</v>
      </c>
      <c r="L1085" s="113" t="s">
        <v>672</v>
      </c>
      <c r="M1085" s="113" t="s">
        <v>11434</v>
      </c>
      <c r="N1085" s="13" t="s">
        <v>8685</v>
      </c>
      <c r="O1085" s="13" t="s">
        <v>257</v>
      </c>
      <c r="P1085" s="15" t="s">
        <v>409</v>
      </c>
      <c r="Q1085" s="15" t="s">
        <v>974</v>
      </c>
      <c r="R1085" s="109" t="s">
        <v>11435</v>
      </c>
      <c r="S1085" s="109" t="s">
        <v>412</v>
      </c>
      <c r="T1085" s="112"/>
      <c r="U1085" s="114" t="s">
        <v>11436</v>
      </c>
      <c r="V1085" s="112" t="s">
        <v>11437</v>
      </c>
      <c r="W1085" s="112"/>
    </row>
    <row r="1086" spans="1:23" s="2" customFormat="1" ht="12">
      <c r="A1086" s="11"/>
      <c r="B1086" s="108"/>
      <c r="C1086" s="109"/>
      <c r="D1086" s="14" t="str">
        <f>D1085</f>
        <v>幻熊科技</v>
      </c>
      <c r="E1086" s="109"/>
      <c r="F1086" s="112"/>
      <c r="G1086" s="109"/>
      <c r="H1086" s="109"/>
      <c r="I1086" s="109"/>
      <c r="J1086" s="109"/>
      <c r="K1086" s="109"/>
      <c r="L1086" s="109"/>
      <c r="M1086" s="109"/>
      <c r="N1086" s="13" t="s">
        <v>10435</v>
      </c>
      <c r="O1086" s="13" t="s">
        <v>262</v>
      </c>
      <c r="P1086" s="15" t="s">
        <v>252</v>
      </c>
      <c r="Q1086" s="15" t="s">
        <v>11438</v>
      </c>
      <c r="R1086" s="109"/>
      <c r="S1086" s="109"/>
      <c r="T1086" s="112"/>
      <c r="U1086" s="112"/>
      <c r="V1086" s="112"/>
      <c r="W1086" s="112"/>
    </row>
    <row r="1087" spans="1:23" s="2" customFormat="1" ht="12">
      <c r="A1087" s="11"/>
      <c r="B1087" s="108"/>
      <c r="C1087" s="109"/>
      <c r="D1087" s="14" t="str">
        <f>D1086</f>
        <v>幻熊科技</v>
      </c>
      <c r="E1087" s="109"/>
      <c r="F1087" s="112"/>
      <c r="G1087" s="109"/>
      <c r="H1087" s="109"/>
      <c r="I1087" s="109"/>
      <c r="J1087" s="109"/>
      <c r="K1087" s="109"/>
      <c r="L1087" s="109"/>
      <c r="M1087" s="109"/>
      <c r="N1087" s="13" t="s">
        <v>11439</v>
      </c>
      <c r="O1087" s="15" t="s">
        <v>326</v>
      </c>
      <c r="P1087" s="15" t="s">
        <v>327</v>
      </c>
      <c r="Q1087" s="15" t="s">
        <v>11440</v>
      </c>
      <c r="R1087" s="109"/>
      <c r="S1087" s="109"/>
      <c r="T1087" s="112"/>
      <c r="U1087" s="112"/>
      <c r="V1087" s="112"/>
      <c r="W1087" s="112"/>
    </row>
    <row r="1088" spans="1:23" s="2" customFormat="1" ht="12">
      <c r="A1088" s="11"/>
      <c r="B1088" s="108"/>
      <c r="C1088" s="109" t="s">
        <v>11441</v>
      </c>
      <c r="D1088" s="14" t="s">
        <v>11442</v>
      </c>
      <c r="E1088" s="113" t="s">
        <v>11442</v>
      </c>
      <c r="F1088" s="114" t="s">
        <v>11443</v>
      </c>
      <c r="G1088" s="113" t="s">
        <v>11444</v>
      </c>
      <c r="H1088" s="109" t="s">
        <v>11445</v>
      </c>
      <c r="I1088" s="109" t="s">
        <v>2176</v>
      </c>
      <c r="J1088" s="113" t="s">
        <v>406</v>
      </c>
      <c r="K1088" s="113" t="s">
        <v>272</v>
      </c>
      <c r="L1088" s="113" t="s">
        <v>1859</v>
      </c>
      <c r="M1088" s="113" t="s">
        <v>2900</v>
      </c>
      <c r="N1088" s="13" t="s">
        <v>11441</v>
      </c>
      <c r="O1088" s="13" t="s">
        <v>251</v>
      </c>
      <c r="P1088" s="15" t="s">
        <v>341</v>
      </c>
      <c r="Q1088" s="15" t="s">
        <v>974</v>
      </c>
      <c r="R1088" s="109" t="s">
        <v>11446</v>
      </c>
      <c r="S1088" s="109" t="s">
        <v>3935</v>
      </c>
      <c r="T1088" s="114" t="s">
        <v>11447</v>
      </c>
      <c r="U1088" s="114" t="s">
        <v>11448</v>
      </c>
      <c r="V1088" s="112" t="s">
        <v>11449</v>
      </c>
      <c r="W1088" s="112"/>
    </row>
    <row r="1089" spans="1:23" s="2" customFormat="1" ht="12">
      <c r="A1089" s="11"/>
      <c r="B1089" s="108"/>
      <c r="C1089" s="109"/>
      <c r="D1089" s="14" t="str">
        <f>D1088</f>
        <v>银盒宝成</v>
      </c>
      <c r="E1089" s="109"/>
      <c r="F1089" s="112"/>
      <c r="G1089" s="109"/>
      <c r="H1089" s="109"/>
      <c r="I1089" s="109"/>
      <c r="J1089" s="109"/>
      <c r="K1089" s="109"/>
      <c r="L1089" s="109"/>
      <c r="M1089" s="109"/>
      <c r="N1089" s="13" t="s">
        <v>11450</v>
      </c>
      <c r="O1089" s="15" t="s">
        <v>285</v>
      </c>
      <c r="P1089" s="15" t="s">
        <v>252</v>
      </c>
      <c r="Q1089" s="15" t="s">
        <v>11451</v>
      </c>
      <c r="R1089" s="109"/>
      <c r="S1089" s="109"/>
      <c r="T1089" s="112"/>
      <c r="U1089" s="112"/>
      <c r="V1089" s="112"/>
      <c r="W1089" s="112"/>
    </row>
    <row r="1090" spans="1:23" s="2" customFormat="1" ht="12">
      <c r="A1090" s="11"/>
      <c r="B1090" s="108"/>
      <c r="C1090" s="109"/>
      <c r="D1090" s="14" t="str">
        <f>D1089</f>
        <v>银盒宝成</v>
      </c>
      <c r="E1090" s="109"/>
      <c r="F1090" s="112"/>
      <c r="G1090" s="109"/>
      <c r="H1090" s="109"/>
      <c r="I1090" s="109"/>
      <c r="J1090" s="109"/>
      <c r="K1090" s="109"/>
      <c r="L1090" s="109"/>
      <c r="M1090" s="109"/>
      <c r="N1090" s="13" t="s">
        <v>8705</v>
      </c>
      <c r="O1090" s="13" t="s">
        <v>565</v>
      </c>
      <c r="P1090" s="15" t="s">
        <v>327</v>
      </c>
      <c r="Q1090" s="15" t="s">
        <v>11452</v>
      </c>
      <c r="R1090" s="109"/>
      <c r="S1090" s="109"/>
      <c r="T1090" s="112"/>
      <c r="U1090" s="112"/>
      <c r="V1090" s="112"/>
      <c r="W1090" s="112"/>
    </row>
    <row r="1091" spans="1:23" s="2" customFormat="1" ht="12">
      <c r="A1091" s="11"/>
      <c r="B1091" s="108"/>
      <c r="C1091" s="109"/>
      <c r="D1091" s="14" t="str">
        <f>D1090</f>
        <v>银盒宝成</v>
      </c>
      <c r="E1091" s="109"/>
      <c r="F1091" s="112"/>
      <c r="G1091" s="109"/>
      <c r="H1091" s="109"/>
      <c r="I1091" s="109"/>
      <c r="J1091" s="109"/>
      <c r="K1091" s="109"/>
      <c r="L1091" s="109"/>
      <c r="M1091" s="109"/>
      <c r="N1091" s="13" t="s">
        <v>9305</v>
      </c>
      <c r="O1091" s="13" t="s">
        <v>257</v>
      </c>
      <c r="P1091" s="15" t="s">
        <v>341</v>
      </c>
      <c r="Q1091" s="15" t="s">
        <v>11453</v>
      </c>
      <c r="R1091" s="109"/>
      <c r="S1091" s="109"/>
      <c r="T1091" s="112"/>
      <c r="U1091" s="112"/>
      <c r="V1091" s="112"/>
      <c r="W1091" s="112"/>
    </row>
    <row r="1092" spans="1:23" s="2" customFormat="1" ht="12">
      <c r="A1092" s="11"/>
      <c r="B1092" s="108"/>
      <c r="C1092" s="109"/>
      <c r="D1092" s="14" t="str">
        <f>D1091</f>
        <v>银盒宝成</v>
      </c>
      <c r="E1092" s="109"/>
      <c r="F1092" s="112"/>
      <c r="G1092" s="109"/>
      <c r="H1092" s="109"/>
      <c r="I1092" s="109"/>
      <c r="J1092" s="109"/>
      <c r="K1092" s="109"/>
      <c r="L1092" s="109"/>
      <c r="M1092" s="109"/>
      <c r="N1092" s="13" t="s">
        <v>7951</v>
      </c>
      <c r="O1092" s="13" t="s">
        <v>262</v>
      </c>
      <c r="P1092" s="15" t="s">
        <v>341</v>
      </c>
      <c r="Q1092" s="15" t="s">
        <v>2956</v>
      </c>
      <c r="R1092" s="109"/>
      <c r="S1092" s="109"/>
      <c r="T1092" s="112"/>
      <c r="U1092" s="112"/>
      <c r="V1092" s="112"/>
      <c r="W1092" s="112"/>
    </row>
    <row r="1093" spans="1:23" s="2" customFormat="1" ht="12">
      <c r="A1093" s="11"/>
      <c r="B1093" s="108"/>
      <c r="C1093" s="109" t="s">
        <v>11454</v>
      </c>
      <c r="D1093" s="14" t="s">
        <v>11455</v>
      </c>
      <c r="E1093" s="113" t="s">
        <v>11455</v>
      </c>
      <c r="F1093" s="114" t="s">
        <v>11456</v>
      </c>
      <c r="G1093" s="113" t="s">
        <v>11457</v>
      </c>
      <c r="H1093" s="109" t="s">
        <v>11458</v>
      </c>
      <c r="I1093" s="109" t="s">
        <v>3464</v>
      </c>
      <c r="J1093" s="113" t="s">
        <v>4188</v>
      </c>
      <c r="K1093" s="113" t="s">
        <v>272</v>
      </c>
      <c r="L1093" s="113" t="s">
        <v>672</v>
      </c>
      <c r="M1093" s="113" t="s">
        <v>909</v>
      </c>
      <c r="N1093" s="13" t="s">
        <v>11454</v>
      </c>
      <c r="O1093" s="13" t="s">
        <v>262</v>
      </c>
      <c r="P1093" s="15" t="s">
        <v>341</v>
      </c>
      <c r="Q1093" s="15" t="s">
        <v>974</v>
      </c>
      <c r="R1093" s="109" t="s">
        <v>2954</v>
      </c>
      <c r="S1093" s="109" t="s">
        <v>3743</v>
      </c>
      <c r="T1093" s="112"/>
      <c r="U1093" s="114" t="s">
        <v>11459</v>
      </c>
      <c r="V1093" s="112"/>
      <c r="W1093" s="112"/>
    </row>
    <row r="1094" spans="1:23" s="2" customFormat="1" ht="12">
      <c r="A1094" s="11"/>
      <c r="B1094" s="108"/>
      <c r="C1094" s="109"/>
      <c r="D1094" s="14" t="str">
        <f>D1093</f>
        <v>米客互联</v>
      </c>
      <c r="E1094" s="109"/>
      <c r="F1094" s="112"/>
      <c r="G1094" s="109"/>
      <c r="H1094" s="109"/>
      <c r="I1094" s="109"/>
      <c r="J1094" s="109"/>
      <c r="K1094" s="109"/>
      <c r="L1094" s="109"/>
      <c r="M1094" s="109"/>
      <c r="N1094" s="13" t="s">
        <v>11460</v>
      </c>
      <c r="O1094" s="15" t="s">
        <v>326</v>
      </c>
      <c r="P1094" s="15" t="s">
        <v>341</v>
      </c>
      <c r="Q1094" s="15" t="s">
        <v>8048</v>
      </c>
      <c r="R1094" s="109"/>
      <c r="S1094" s="109"/>
      <c r="T1094" s="112"/>
      <c r="U1094" s="112"/>
      <c r="V1094" s="112"/>
      <c r="W1094" s="112"/>
    </row>
    <row r="1095" spans="1:23" s="2" customFormat="1" ht="72">
      <c r="A1095" s="11"/>
      <c r="B1095" s="108"/>
      <c r="C1095" s="13" t="s">
        <v>11461</v>
      </c>
      <c r="D1095" s="19" t="s">
        <v>11462</v>
      </c>
      <c r="E1095" s="15" t="s">
        <v>11462</v>
      </c>
      <c r="F1095" s="16" t="s">
        <v>11463</v>
      </c>
      <c r="G1095" s="15" t="s">
        <v>11464</v>
      </c>
      <c r="H1095" s="13" t="s">
        <v>11465</v>
      </c>
      <c r="I1095" s="13" t="s">
        <v>1493</v>
      </c>
      <c r="J1095" s="15" t="s">
        <v>385</v>
      </c>
      <c r="K1095" s="15" t="s">
        <v>272</v>
      </c>
      <c r="L1095" s="15" t="s">
        <v>672</v>
      </c>
      <c r="M1095" s="15" t="s">
        <v>909</v>
      </c>
      <c r="N1095" s="13" t="s">
        <v>11461</v>
      </c>
      <c r="O1095" s="15" t="s">
        <v>285</v>
      </c>
      <c r="P1095" s="15" t="s">
        <v>252</v>
      </c>
      <c r="Q1095" s="15" t="s">
        <v>974</v>
      </c>
      <c r="R1095" s="13" t="s">
        <v>4335</v>
      </c>
      <c r="S1095" s="15" t="s">
        <v>255</v>
      </c>
      <c r="T1095" s="16" t="s">
        <v>11466</v>
      </c>
      <c r="U1095" s="16" t="s">
        <v>11467</v>
      </c>
      <c r="V1095" s="18" t="s">
        <v>11468</v>
      </c>
      <c r="W1095" s="18" t="s">
        <v>11469</v>
      </c>
    </row>
    <row r="1096" spans="1:23" s="2" customFormat="1" ht="12">
      <c r="A1096" s="11"/>
      <c r="B1096" s="108"/>
      <c r="C1096" s="109" t="s">
        <v>9039</v>
      </c>
      <c r="D1096" s="14" t="s">
        <v>11470</v>
      </c>
      <c r="E1096" s="113" t="s">
        <v>11470</v>
      </c>
      <c r="F1096" s="114" t="s">
        <v>11471</v>
      </c>
      <c r="G1096" s="113" t="s">
        <v>11472</v>
      </c>
      <c r="H1096" s="109" t="s">
        <v>11473</v>
      </c>
      <c r="I1096" s="109" t="s">
        <v>2991</v>
      </c>
      <c r="J1096" s="113" t="s">
        <v>406</v>
      </c>
      <c r="K1096" s="113" t="s">
        <v>272</v>
      </c>
      <c r="L1096" s="113" t="s">
        <v>407</v>
      </c>
      <c r="M1096" s="113" t="s">
        <v>408</v>
      </c>
      <c r="N1096" s="13" t="s">
        <v>9039</v>
      </c>
      <c r="O1096" s="13" t="s">
        <v>257</v>
      </c>
      <c r="P1096" s="15" t="s">
        <v>341</v>
      </c>
      <c r="Q1096" s="15" t="s">
        <v>974</v>
      </c>
      <c r="R1096" s="109" t="s">
        <v>2954</v>
      </c>
      <c r="S1096" s="109" t="s">
        <v>3743</v>
      </c>
      <c r="T1096" s="114" t="s">
        <v>11474</v>
      </c>
      <c r="U1096" s="114" t="s">
        <v>11475</v>
      </c>
      <c r="V1096" s="112" t="s">
        <v>11476</v>
      </c>
      <c r="W1096" s="112" t="s">
        <v>11477</v>
      </c>
    </row>
    <row r="1097" spans="1:23" s="2" customFormat="1" ht="12">
      <c r="A1097" s="11"/>
      <c r="B1097" s="108"/>
      <c r="C1097" s="109"/>
      <c r="D1097" s="14" t="str">
        <f>D1096</f>
        <v>米雅科技</v>
      </c>
      <c r="E1097" s="109"/>
      <c r="F1097" s="112"/>
      <c r="G1097" s="109"/>
      <c r="H1097" s="109"/>
      <c r="I1097" s="109"/>
      <c r="J1097" s="109"/>
      <c r="K1097" s="109"/>
      <c r="L1097" s="109"/>
      <c r="M1097" s="109"/>
      <c r="N1097" s="13" t="s">
        <v>11478</v>
      </c>
      <c r="O1097" s="13" t="s">
        <v>262</v>
      </c>
      <c r="P1097" s="15" t="s">
        <v>341</v>
      </c>
      <c r="Q1097" s="15" t="s">
        <v>3388</v>
      </c>
      <c r="R1097" s="109"/>
      <c r="S1097" s="109"/>
      <c r="T1097" s="112"/>
      <c r="U1097" s="112"/>
      <c r="V1097" s="112"/>
      <c r="W1097" s="112"/>
    </row>
    <row r="1098" spans="1:23" s="2" customFormat="1" ht="60">
      <c r="A1098" s="11"/>
      <c r="B1098" s="108"/>
      <c r="C1098" s="13" t="s">
        <v>2874</v>
      </c>
      <c r="D1098" s="19" t="s">
        <v>9502</v>
      </c>
      <c r="E1098" s="15" t="s">
        <v>9502</v>
      </c>
      <c r="F1098" s="16" t="s">
        <v>9503</v>
      </c>
      <c r="G1098" s="15" t="s">
        <v>9504</v>
      </c>
      <c r="H1098" s="13"/>
      <c r="I1098" s="13" t="s">
        <v>4333</v>
      </c>
      <c r="J1098" s="15" t="s">
        <v>271</v>
      </c>
      <c r="K1098" s="15" t="s">
        <v>272</v>
      </c>
      <c r="L1098" s="15" t="s">
        <v>672</v>
      </c>
      <c r="M1098" s="15" t="s">
        <v>909</v>
      </c>
      <c r="N1098" s="13" t="s">
        <v>2874</v>
      </c>
      <c r="O1098" s="13" t="s">
        <v>262</v>
      </c>
      <c r="P1098" s="13" t="s">
        <v>792</v>
      </c>
      <c r="Q1098" s="15" t="s">
        <v>9505</v>
      </c>
      <c r="R1098" s="13" t="s">
        <v>9506</v>
      </c>
      <c r="S1098" s="13" t="s">
        <v>449</v>
      </c>
      <c r="T1098" s="16" t="s">
        <v>9507</v>
      </c>
      <c r="U1098" s="16" t="s">
        <v>9508</v>
      </c>
      <c r="V1098" s="18"/>
      <c r="W1098" s="18"/>
    </row>
    <row r="1099" spans="1:23" s="2" customFormat="1" ht="60">
      <c r="A1099" s="11"/>
      <c r="B1099" s="108"/>
      <c r="C1099" s="13" t="s">
        <v>3222</v>
      </c>
      <c r="D1099" s="19" t="s">
        <v>11479</v>
      </c>
      <c r="E1099" s="15" t="s">
        <v>11479</v>
      </c>
      <c r="F1099" s="16" t="s">
        <v>11480</v>
      </c>
      <c r="G1099" s="15" t="s">
        <v>11481</v>
      </c>
      <c r="H1099" s="13" t="s">
        <v>11482</v>
      </c>
      <c r="I1099" s="13" t="s">
        <v>5014</v>
      </c>
      <c r="J1099" s="15" t="s">
        <v>428</v>
      </c>
      <c r="K1099" s="15" t="s">
        <v>272</v>
      </c>
      <c r="L1099" s="15" t="s">
        <v>672</v>
      </c>
      <c r="M1099" s="15" t="s">
        <v>909</v>
      </c>
      <c r="N1099" s="13" t="s">
        <v>3222</v>
      </c>
      <c r="O1099" s="15" t="s">
        <v>285</v>
      </c>
      <c r="P1099" s="15" t="s">
        <v>252</v>
      </c>
      <c r="Q1099" s="15" t="s">
        <v>11483</v>
      </c>
      <c r="R1099" s="13" t="s">
        <v>4335</v>
      </c>
      <c r="S1099" s="15" t="s">
        <v>255</v>
      </c>
      <c r="T1099" s="16" t="s">
        <v>11484</v>
      </c>
      <c r="U1099" s="16" t="s">
        <v>11485</v>
      </c>
      <c r="V1099" s="18" t="s">
        <v>11486</v>
      </c>
      <c r="W1099" s="18" t="s">
        <v>11487</v>
      </c>
    </row>
    <row r="1100" spans="1:23" s="2" customFormat="1" ht="12">
      <c r="A1100" s="11"/>
      <c r="B1100" s="108" t="s">
        <v>11488</v>
      </c>
      <c r="C1100" s="109" t="s">
        <v>11489</v>
      </c>
      <c r="D1100" s="14" t="s">
        <v>11490</v>
      </c>
      <c r="E1100" s="113" t="s">
        <v>11490</v>
      </c>
      <c r="F1100" s="114" t="s">
        <v>11491</v>
      </c>
      <c r="G1100" s="113" t="s">
        <v>11492</v>
      </c>
      <c r="H1100" s="109" t="s">
        <v>11493</v>
      </c>
      <c r="I1100" s="109" t="s">
        <v>1462</v>
      </c>
      <c r="J1100" s="113" t="s">
        <v>385</v>
      </c>
      <c r="K1100" s="113" t="s">
        <v>272</v>
      </c>
      <c r="L1100" s="113" t="s">
        <v>407</v>
      </c>
      <c r="M1100" s="113" t="s">
        <v>470</v>
      </c>
      <c r="N1100" s="13" t="s">
        <v>11489</v>
      </c>
      <c r="O1100" s="13" t="s">
        <v>317</v>
      </c>
      <c r="P1100" s="15" t="s">
        <v>409</v>
      </c>
      <c r="Q1100" s="15" t="s">
        <v>11494</v>
      </c>
      <c r="R1100" s="109" t="s">
        <v>11495</v>
      </c>
      <c r="S1100" s="109" t="s">
        <v>10102</v>
      </c>
      <c r="T1100" s="114" t="s">
        <v>11496</v>
      </c>
      <c r="U1100" s="114" t="s">
        <v>11497</v>
      </c>
      <c r="V1100" s="112" t="s">
        <v>11498</v>
      </c>
      <c r="W1100" s="112" t="s">
        <v>11499</v>
      </c>
    </row>
    <row r="1101" spans="1:23" s="2" customFormat="1" ht="12">
      <c r="A1101" s="11"/>
      <c r="B1101" s="108"/>
      <c r="C1101" s="109"/>
      <c r="D1101" s="14" t="str">
        <f>D1100</f>
        <v>融云</v>
      </c>
      <c r="E1101" s="109"/>
      <c r="F1101" s="112"/>
      <c r="G1101" s="109"/>
      <c r="H1101" s="109"/>
      <c r="I1101" s="109"/>
      <c r="J1101" s="109"/>
      <c r="K1101" s="109"/>
      <c r="L1101" s="109"/>
      <c r="M1101" s="109"/>
      <c r="N1101" s="13" t="s">
        <v>10960</v>
      </c>
      <c r="O1101" s="13" t="s">
        <v>251</v>
      </c>
      <c r="P1101" s="15" t="s">
        <v>409</v>
      </c>
      <c r="Q1101" s="15" t="s">
        <v>11500</v>
      </c>
      <c r="R1101" s="109"/>
      <c r="S1101" s="109"/>
      <c r="T1101" s="112"/>
      <c r="U1101" s="112"/>
      <c r="V1101" s="112"/>
      <c r="W1101" s="112"/>
    </row>
    <row r="1102" spans="1:23" s="2" customFormat="1" ht="12">
      <c r="A1102" s="11"/>
      <c r="B1102" s="108"/>
      <c r="C1102" s="109"/>
      <c r="D1102" s="14" t="str">
        <f>D1101</f>
        <v>融云</v>
      </c>
      <c r="E1102" s="109"/>
      <c r="F1102" s="112"/>
      <c r="G1102" s="109"/>
      <c r="H1102" s="109"/>
      <c r="I1102" s="109"/>
      <c r="J1102" s="109"/>
      <c r="K1102" s="109"/>
      <c r="L1102" s="109"/>
      <c r="M1102" s="109"/>
      <c r="N1102" s="13" t="s">
        <v>8902</v>
      </c>
      <c r="O1102" s="13" t="s">
        <v>257</v>
      </c>
      <c r="P1102" s="13" t="s">
        <v>637</v>
      </c>
      <c r="Q1102" s="15" t="s">
        <v>11501</v>
      </c>
      <c r="R1102" s="109"/>
      <c r="S1102" s="109"/>
      <c r="T1102" s="112"/>
      <c r="U1102" s="112"/>
      <c r="V1102" s="112"/>
      <c r="W1102" s="112"/>
    </row>
    <row r="1103" spans="1:23" s="2" customFormat="1" ht="12">
      <c r="A1103" s="11"/>
      <c r="B1103" s="108"/>
      <c r="C1103" s="109"/>
      <c r="D1103" s="14" t="str">
        <f>D1102</f>
        <v>融云</v>
      </c>
      <c r="E1103" s="109"/>
      <c r="F1103" s="112"/>
      <c r="G1103" s="109"/>
      <c r="H1103" s="109"/>
      <c r="I1103" s="109"/>
      <c r="J1103" s="109"/>
      <c r="K1103" s="109"/>
      <c r="L1103" s="109"/>
      <c r="M1103" s="109"/>
      <c r="N1103" s="13" t="s">
        <v>10621</v>
      </c>
      <c r="O1103" s="13" t="s">
        <v>262</v>
      </c>
      <c r="P1103" s="13" t="s">
        <v>1164</v>
      </c>
      <c r="Q1103" s="15" t="s">
        <v>11502</v>
      </c>
      <c r="R1103" s="109"/>
      <c r="S1103" s="109"/>
      <c r="T1103" s="112"/>
      <c r="U1103" s="112"/>
      <c r="V1103" s="112"/>
      <c r="W1103" s="112"/>
    </row>
    <row r="1104" spans="1:23" s="2" customFormat="1" ht="12">
      <c r="A1104" s="11"/>
      <c r="B1104" s="108"/>
      <c r="C1104" s="109"/>
      <c r="D1104" s="14" t="str">
        <f>D1103</f>
        <v>融云</v>
      </c>
      <c r="E1104" s="109"/>
      <c r="F1104" s="112"/>
      <c r="G1104" s="109"/>
      <c r="H1104" s="109"/>
      <c r="I1104" s="109"/>
      <c r="J1104" s="109"/>
      <c r="K1104" s="109"/>
      <c r="L1104" s="109"/>
      <c r="M1104" s="109"/>
      <c r="N1104" s="13" t="s">
        <v>7918</v>
      </c>
      <c r="O1104" s="15" t="s">
        <v>326</v>
      </c>
      <c r="P1104" s="15" t="s">
        <v>252</v>
      </c>
      <c r="Q1104" s="15" t="s">
        <v>11503</v>
      </c>
      <c r="R1104" s="109"/>
      <c r="S1104" s="109"/>
      <c r="T1104" s="112"/>
      <c r="U1104" s="112"/>
      <c r="V1104" s="112"/>
      <c r="W1104" s="112"/>
    </row>
    <row r="1105" spans="1:23" s="2" customFormat="1" ht="12">
      <c r="A1105" s="11"/>
      <c r="B1105" s="108"/>
      <c r="C1105" s="109" t="s">
        <v>11504</v>
      </c>
      <c r="D1105" s="14" t="s">
        <v>11505</v>
      </c>
      <c r="E1105" s="113" t="s">
        <v>11505</v>
      </c>
      <c r="F1105" s="114" t="s">
        <v>11506</v>
      </c>
      <c r="G1105" s="113" t="s">
        <v>11507</v>
      </c>
      <c r="H1105" s="109" t="s">
        <v>11508</v>
      </c>
      <c r="I1105" s="109" t="s">
        <v>3464</v>
      </c>
      <c r="J1105" s="113" t="s">
        <v>761</v>
      </c>
      <c r="K1105" s="113" t="s">
        <v>272</v>
      </c>
      <c r="L1105" s="113" t="s">
        <v>512</v>
      </c>
      <c r="M1105" s="113" t="s">
        <v>11255</v>
      </c>
      <c r="N1105" s="13" t="s">
        <v>11504</v>
      </c>
      <c r="O1105" s="13" t="s">
        <v>257</v>
      </c>
      <c r="P1105" s="13" t="s">
        <v>637</v>
      </c>
      <c r="Q1105" s="15" t="s">
        <v>11509</v>
      </c>
      <c r="R1105" s="109" t="s">
        <v>1077</v>
      </c>
      <c r="S1105" s="109" t="s">
        <v>1078</v>
      </c>
      <c r="T1105" s="114" t="s">
        <v>11510</v>
      </c>
      <c r="U1105" s="114" t="s">
        <v>11511</v>
      </c>
      <c r="V1105" s="112" t="s">
        <v>11512</v>
      </c>
      <c r="W1105" s="112" t="s">
        <v>11513</v>
      </c>
    </row>
    <row r="1106" spans="1:23" s="2" customFormat="1" ht="12">
      <c r="A1106" s="11"/>
      <c r="B1106" s="108"/>
      <c r="C1106" s="109"/>
      <c r="D1106" s="14" t="str">
        <f>D1105</f>
        <v>海管家</v>
      </c>
      <c r="E1106" s="109"/>
      <c r="F1106" s="112"/>
      <c r="G1106" s="109"/>
      <c r="H1106" s="109"/>
      <c r="I1106" s="109"/>
      <c r="J1106" s="109"/>
      <c r="K1106" s="109"/>
      <c r="L1106" s="109"/>
      <c r="M1106" s="109"/>
      <c r="N1106" s="13" t="s">
        <v>11514</v>
      </c>
      <c r="O1106" s="13" t="s">
        <v>262</v>
      </c>
      <c r="P1106" s="15" t="s">
        <v>341</v>
      </c>
      <c r="Q1106" s="15" t="s">
        <v>11515</v>
      </c>
      <c r="R1106" s="109"/>
      <c r="S1106" s="109"/>
      <c r="T1106" s="112"/>
      <c r="U1106" s="112"/>
      <c r="V1106" s="112"/>
      <c r="W1106" s="112"/>
    </row>
    <row r="1107" spans="1:23" s="2" customFormat="1" ht="12">
      <c r="A1107" s="11"/>
      <c r="B1107" s="108"/>
      <c r="C1107" s="109"/>
      <c r="D1107" s="14" t="str">
        <f>D1106</f>
        <v>海管家</v>
      </c>
      <c r="E1107" s="109"/>
      <c r="F1107" s="112"/>
      <c r="G1107" s="109"/>
      <c r="H1107" s="109"/>
      <c r="I1107" s="109"/>
      <c r="J1107" s="109"/>
      <c r="K1107" s="109"/>
      <c r="L1107" s="109"/>
      <c r="M1107" s="109"/>
      <c r="N1107" s="13" t="s">
        <v>11516</v>
      </c>
      <c r="O1107" s="15" t="s">
        <v>326</v>
      </c>
      <c r="P1107" s="13" t="s">
        <v>360</v>
      </c>
      <c r="Q1107" s="15" t="s">
        <v>1308</v>
      </c>
      <c r="R1107" s="109"/>
      <c r="S1107" s="109"/>
      <c r="T1107" s="112"/>
      <c r="U1107" s="112"/>
      <c r="V1107" s="112"/>
      <c r="W1107" s="112"/>
    </row>
    <row r="1108" spans="1:23" s="2" customFormat="1" ht="12">
      <c r="A1108" s="11"/>
      <c r="B1108" s="108"/>
      <c r="C1108" s="109" t="s">
        <v>4814</v>
      </c>
      <c r="D1108" s="14" t="s">
        <v>11517</v>
      </c>
      <c r="E1108" s="109" t="s">
        <v>11518</v>
      </c>
      <c r="F1108" s="112" t="s">
        <v>11519</v>
      </c>
      <c r="G1108" s="113" t="s">
        <v>11520</v>
      </c>
      <c r="H1108" s="109" t="s">
        <v>11521</v>
      </c>
      <c r="I1108" s="109" t="s">
        <v>2773</v>
      </c>
      <c r="J1108" s="113" t="s">
        <v>10771</v>
      </c>
      <c r="K1108" s="113" t="s">
        <v>272</v>
      </c>
      <c r="L1108" s="113" t="s">
        <v>350</v>
      </c>
      <c r="M1108" s="113" t="s">
        <v>1238</v>
      </c>
      <c r="N1108" s="13" t="s">
        <v>4814</v>
      </c>
      <c r="O1108" s="13" t="s">
        <v>303</v>
      </c>
      <c r="P1108" s="13" t="s">
        <v>699</v>
      </c>
      <c r="Q1108" s="15" t="s">
        <v>11522</v>
      </c>
      <c r="R1108" s="109" t="s">
        <v>11523</v>
      </c>
      <c r="S1108" s="109" t="s">
        <v>2482</v>
      </c>
      <c r="T1108" s="114" t="s">
        <v>11524</v>
      </c>
      <c r="U1108" s="114" t="s">
        <v>11525</v>
      </c>
      <c r="V1108" s="112" t="s">
        <v>11526</v>
      </c>
      <c r="W1108" s="112" t="s">
        <v>11527</v>
      </c>
    </row>
    <row r="1109" spans="1:23" s="2" customFormat="1" ht="12">
      <c r="A1109" s="11"/>
      <c r="B1109" s="108"/>
      <c r="C1109" s="109"/>
      <c r="D1109" s="14" t="str">
        <f t="shared" ref="D1109:D1114" si="31">D1108</f>
        <v>KK集团</v>
      </c>
      <c r="E1109" s="109"/>
      <c r="F1109" s="112"/>
      <c r="G1109" s="109"/>
      <c r="H1109" s="109"/>
      <c r="I1109" s="109"/>
      <c r="J1109" s="109"/>
      <c r="K1109" s="109"/>
      <c r="L1109" s="109"/>
      <c r="M1109" s="109"/>
      <c r="N1109" s="13" t="s">
        <v>11528</v>
      </c>
      <c r="O1109" s="13" t="s">
        <v>310</v>
      </c>
      <c r="P1109" s="13" t="s">
        <v>1194</v>
      </c>
      <c r="Q1109" s="15" t="s">
        <v>11529</v>
      </c>
      <c r="R1109" s="109"/>
      <c r="S1109" s="109"/>
      <c r="T1109" s="112"/>
      <c r="U1109" s="112"/>
      <c r="V1109" s="112"/>
      <c r="W1109" s="112"/>
    </row>
    <row r="1110" spans="1:23" s="2" customFormat="1" ht="12">
      <c r="A1110" s="11"/>
      <c r="B1110" s="108"/>
      <c r="C1110" s="109"/>
      <c r="D1110" s="14" t="str">
        <f t="shared" si="31"/>
        <v>KK集团</v>
      </c>
      <c r="E1110" s="109"/>
      <c r="F1110" s="112"/>
      <c r="G1110" s="109"/>
      <c r="H1110" s="109"/>
      <c r="I1110" s="109"/>
      <c r="J1110" s="109"/>
      <c r="K1110" s="109"/>
      <c r="L1110" s="109"/>
      <c r="M1110" s="109"/>
      <c r="N1110" s="13" t="s">
        <v>11530</v>
      </c>
      <c r="O1110" s="13" t="s">
        <v>317</v>
      </c>
      <c r="P1110" s="13" t="s">
        <v>320</v>
      </c>
      <c r="Q1110" s="15" t="s">
        <v>11531</v>
      </c>
      <c r="R1110" s="109"/>
      <c r="S1110" s="109"/>
      <c r="T1110" s="112"/>
      <c r="U1110" s="112"/>
      <c r="V1110" s="112"/>
      <c r="W1110" s="112"/>
    </row>
    <row r="1111" spans="1:23" s="2" customFormat="1" ht="12">
      <c r="A1111" s="11"/>
      <c r="B1111" s="108"/>
      <c r="C1111" s="109"/>
      <c r="D1111" s="14" t="str">
        <f t="shared" si="31"/>
        <v>KK集团</v>
      </c>
      <c r="E1111" s="109"/>
      <c r="F1111" s="112"/>
      <c r="G1111" s="109"/>
      <c r="H1111" s="109"/>
      <c r="I1111" s="109"/>
      <c r="J1111" s="109"/>
      <c r="K1111" s="109"/>
      <c r="L1111" s="109"/>
      <c r="M1111" s="109"/>
      <c r="N1111" s="13" t="s">
        <v>7892</v>
      </c>
      <c r="O1111" s="13" t="s">
        <v>251</v>
      </c>
      <c r="P1111" s="13" t="s">
        <v>856</v>
      </c>
      <c r="Q1111" s="15" t="s">
        <v>11532</v>
      </c>
      <c r="R1111" s="109"/>
      <c r="S1111" s="109"/>
      <c r="T1111" s="112"/>
      <c r="U1111" s="112"/>
      <c r="V1111" s="112"/>
      <c r="W1111" s="112"/>
    </row>
    <row r="1112" spans="1:23" s="2" customFormat="1" ht="12">
      <c r="A1112" s="11"/>
      <c r="B1112" s="108"/>
      <c r="C1112" s="109"/>
      <c r="D1112" s="14" t="str">
        <f t="shared" si="31"/>
        <v>KK集团</v>
      </c>
      <c r="E1112" s="109"/>
      <c r="F1112" s="112"/>
      <c r="G1112" s="109"/>
      <c r="H1112" s="109"/>
      <c r="I1112" s="109"/>
      <c r="J1112" s="109"/>
      <c r="K1112" s="109"/>
      <c r="L1112" s="109"/>
      <c r="M1112" s="109"/>
      <c r="N1112" s="13" t="s">
        <v>11533</v>
      </c>
      <c r="O1112" s="13" t="s">
        <v>257</v>
      </c>
      <c r="P1112" s="13" t="s">
        <v>395</v>
      </c>
      <c r="Q1112" s="15" t="s">
        <v>11534</v>
      </c>
      <c r="R1112" s="109"/>
      <c r="S1112" s="109"/>
      <c r="T1112" s="112"/>
      <c r="U1112" s="112"/>
      <c r="V1112" s="112"/>
      <c r="W1112" s="112"/>
    </row>
    <row r="1113" spans="1:23" s="2" customFormat="1" ht="12">
      <c r="A1113" s="11"/>
      <c r="B1113" s="108"/>
      <c r="C1113" s="109"/>
      <c r="D1113" s="14" t="str">
        <f t="shared" si="31"/>
        <v>KK集团</v>
      </c>
      <c r="E1113" s="109"/>
      <c r="F1113" s="112"/>
      <c r="G1113" s="109"/>
      <c r="H1113" s="109"/>
      <c r="I1113" s="109"/>
      <c r="J1113" s="109"/>
      <c r="K1113" s="109"/>
      <c r="L1113" s="109"/>
      <c r="M1113" s="109"/>
      <c r="N1113" s="13" t="s">
        <v>11535</v>
      </c>
      <c r="O1113" s="13" t="s">
        <v>262</v>
      </c>
      <c r="P1113" s="13" t="s">
        <v>637</v>
      </c>
      <c r="Q1113" s="15" t="s">
        <v>11536</v>
      </c>
      <c r="R1113" s="109"/>
      <c r="S1113" s="109"/>
      <c r="T1113" s="112"/>
      <c r="U1113" s="112"/>
      <c r="V1113" s="112"/>
      <c r="W1113" s="112"/>
    </row>
    <row r="1114" spans="1:23" s="2" customFormat="1" ht="12">
      <c r="A1114" s="11"/>
      <c r="B1114" s="108"/>
      <c r="C1114" s="109"/>
      <c r="D1114" s="14" t="str">
        <f t="shared" si="31"/>
        <v>KK集团</v>
      </c>
      <c r="E1114" s="109"/>
      <c r="F1114" s="112"/>
      <c r="G1114" s="109"/>
      <c r="H1114" s="109"/>
      <c r="I1114" s="109"/>
      <c r="J1114" s="109"/>
      <c r="K1114" s="109"/>
      <c r="L1114" s="109"/>
      <c r="M1114" s="109"/>
      <c r="N1114" s="13" t="s">
        <v>11537</v>
      </c>
      <c r="O1114" s="13" t="s">
        <v>721</v>
      </c>
      <c r="P1114" s="13" t="s">
        <v>2494</v>
      </c>
      <c r="Q1114" s="15" t="s">
        <v>1351</v>
      </c>
      <c r="R1114" s="109"/>
      <c r="S1114" s="109"/>
      <c r="T1114" s="112"/>
      <c r="U1114" s="112"/>
      <c r="V1114" s="112"/>
      <c r="W1114" s="112"/>
    </row>
    <row r="1115" spans="1:23" s="2" customFormat="1" ht="12">
      <c r="A1115" s="11"/>
      <c r="B1115" s="108"/>
      <c r="C1115" s="109" t="s">
        <v>11538</v>
      </c>
      <c r="D1115" s="14" t="s">
        <v>11539</v>
      </c>
      <c r="E1115" s="109" t="s">
        <v>11539</v>
      </c>
      <c r="F1115" s="112" t="s">
        <v>11540</v>
      </c>
      <c r="G1115" s="109"/>
      <c r="H1115" s="109" t="s">
        <v>11541</v>
      </c>
      <c r="I1115" s="109" t="s">
        <v>483</v>
      </c>
      <c r="J1115" s="113" t="s">
        <v>1725</v>
      </c>
      <c r="K1115" s="113" t="s">
        <v>272</v>
      </c>
      <c r="L1115" s="113" t="s">
        <v>350</v>
      </c>
      <c r="M1115" s="113" t="s">
        <v>351</v>
      </c>
      <c r="N1115" s="13" t="s">
        <v>11538</v>
      </c>
      <c r="O1115" s="13" t="s">
        <v>251</v>
      </c>
      <c r="P1115" s="13" t="s">
        <v>322</v>
      </c>
      <c r="Q1115" s="13" t="s">
        <v>11542</v>
      </c>
      <c r="R1115" s="109" t="s">
        <v>11543</v>
      </c>
      <c r="S1115" s="109" t="s">
        <v>1526</v>
      </c>
      <c r="T1115" s="112"/>
      <c r="U1115" s="112"/>
      <c r="V1115" s="112"/>
      <c r="W1115" s="112" t="s">
        <v>11544</v>
      </c>
    </row>
    <row r="1116" spans="1:23" s="2" customFormat="1" ht="12">
      <c r="A1116" s="11"/>
      <c r="B1116" s="108"/>
      <c r="C1116" s="109"/>
      <c r="D1116" s="14" t="str">
        <f>D1115</f>
        <v>Box8</v>
      </c>
      <c r="E1116" s="109"/>
      <c r="F1116" s="112"/>
      <c r="G1116" s="109"/>
      <c r="H1116" s="109"/>
      <c r="I1116" s="109"/>
      <c r="J1116" s="109"/>
      <c r="K1116" s="109"/>
      <c r="L1116" s="109"/>
      <c r="M1116" s="109"/>
      <c r="N1116" s="13" t="s">
        <v>11545</v>
      </c>
      <c r="O1116" s="13" t="s">
        <v>257</v>
      </c>
      <c r="P1116" s="13" t="s">
        <v>11546</v>
      </c>
      <c r="Q1116" s="13" t="s">
        <v>11547</v>
      </c>
      <c r="R1116" s="109"/>
      <c r="S1116" s="109"/>
      <c r="T1116" s="112"/>
      <c r="U1116" s="112"/>
      <c r="V1116" s="112"/>
      <c r="W1116" s="112"/>
    </row>
    <row r="1117" spans="1:23" s="2" customFormat="1" ht="12">
      <c r="A1117" s="11"/>
      <c r="B1117" s="108"/>
      <c r="C1117" s="109"/>
      <c r="D1117" s="14" t="str">
        <f>D1116</f>
        <v>Box8</v>
      </c>
      <c r="E1117" s="109"/>
      <c r="F1117" s="112"/>
      <c r="G1117" s="109"/>
      <c r="H1117" s="109"/>
      <c r="I1117" s="109"/>
      <c r="J1117" s="109"/>
      <c r="K1117" s="109"/>
      <c r="L1117" s="109"/>
      <c r="M1117" s="109"/>
      <c r="N1117" s="13" t="s">
        <v>11548</v>
      </c>
      <c r="O1117" s="13" t="s">
        <v>262</v>
      </c>
      <c r="P1117" s="13" t="s">
        <v>1938</v>
      </c>
      <c r="Q1117" s="13" t="s">
        <v>253</v>
      </c>
      <c r="R1117" s="109"/>
      <c r="S1117" s="109"/>
      <c r="T1117" s="112"/>
      <c r="U1117" s="112"/>
      <c r="V1117" s="112"/>
      <c r="W1117" s="112"/>
    </row>
    <row r="1118" spans="1:23" s="2" customFormat="1" ht="12">
      <c r="A1118" s="11"/>
      <c r="B1118" s="108"/>
      <c r="C1118" s="109" t="s">
        <v>11549</v>
      </c>
      <c r="D1118" s="14" t="s">
        <v>11550</v>
      </c>
      <c r="E1118" s="113" t="s">
        <v>11550</v>
      </c>
      <c r="F1118" s="114" t="s">
        <v>11551</v>
      </c>
      <c r="G1118" s="113" t="s">
        <v>11552</v>
      </c>
      <c r="H1118" s="109" t="s">
        <v>11553</v>
      </c>
      <c r="I1118" s="109" t="s">
        <v>11554</v>
      </c>
      <c r="J1118" s="113" t="s">
        <v>547</v>
      </c>
      <c r="K1118" s="113" t="s">
        <v>272</v>
      </c>
      <c r="L1118" s="113" t="s">
        <v>407</v>
      </c>
      <c r="M1118" s="113" t="s">
        <v>577</v>
      </c>
      <c r="N1118" s="13" t="s">
        <v>11549</v>
      </c>
      <c r="O1118" s="13" t="s">
        <v>565</v>
      </c>
      <c r="P1118" s="15" t="s">
        <v>409</v>
      </c>
      <c r="Q1118" s="15" t="s">
        <v>11130</v>
      </c>
      <c r="R1118" s="109" t="s">
        <v>11555</v>
      </c>
      <c r="S1118" s="109" t="s">
        <v>412</v>
      </c>
      <c r="T1118" s="114" t="s">
        <v>11556</v>
      </c>
      <c r="U1118" s="114" t="s">
        <v>11557</v>
      </c>
      <c r="V1118" s="112" t="s">
        <v>11558</v>
      </c>
      <c r="W1118" s="112" t="s">
        <v>11559</v>
      </c>
    </row>
    <row r="1119" spans="1:23" s="2" customFormat="1" ht="12">
      <c r="A1119" s="11"/>
      <c r="B1119" s="108"/>
      <c r="C1119" s="109"/>
      <c r="D1119" s="14" t="str">
        <f>D1118</f>
        <v>钛动科技</v>
      </c>
      <c r="E1119" s="109"/>
      <c r="F1119" s="112"/>
      <c r="G1119" s="109"/>
      <c r="H1119" s="109"/>
      <c r="I1119" s="109"/>
      <c r="J1119" s="109"/>
      <c r="K1119" s="109"/>
      <c r="L1119" s="109"/>
      <c r="M1119" s="109"/>
      <c r="N1119" s="13" t="s">
        <v>11560</v>
      </c>
      <c r="O1119" s="13" t="s">
        <v>257</v>
      </c>
      <c r="P1119" s="15" t="s">
        <v>258</v>
      </c>
      <c r="Q1119" s="15" t="s">
        <v>11561</v>
      </c>
      <c r="R1119" s="109"/>
      <c r="S1119" s="109"/>
      <c r="T1119" s="112"/>
      <c r="U1119" s="112"/>
      <c r="V1119" s="112"/>
      <c r="W1119" s="112"/>
    </row>
    <row r="1120" spans="1:23" s="2" customFormat="1" ht="12">
      <c r="A1120" s="11"/>
      <c r="B1120" s="108"/>
      <c r="C1120" s="109"/>
      <c r="D1120" s="14" t="str">
        <f>D1119</f>
        <v>钛动科技</v>
      </c>
      <c r="E1120" s="109"/>
      <c r="F1120" s="112"/>
      <c r="G1120" s="109"/>
      <c r="H1120" s="109"/>
      <c r="I1120" s="109"/>
      <c r="J1120" s="109"/>
      <c r="K1120" s="109"/>
      <c r="L1120" s="109"/>
      <c r="M1120" s="109"/>
      <c r="N1120" s="13" t="s">
        <v>2212</v>
      </c>
      <c r="O1120" s="15" t="s">
        <v>285</v>
      </c>
      <c r="P1120" s="15" t="s">
        <v>276</v>
      </c>
      <c r="Q1120" s="15" t="s">
        <v>11562</v>
      </c>
      <c r="R1120" s="109"/>
      <c r="S1120" s="109"/>
      <c r="T1120" s="112"/>
      <c r="U1120" s="112"/>
      <c r="V1120" s="112"/>
      <c r="W1120" s="112"/>
    </row>
    <row r="1121" spans="1:23" s="2" customFormat="1" ht="12">
      <c r="A1121" s="11"/>
      <c r="B1121" s="108"/>
      <c r="C1121" s="109"/>
      <c r="D1121" s="14" t="str">
        <f>D1120</f>
        <v>钛动科技</v>
      </c>
      <c r="E1121" s="109"/>
      <c r="F1121" s="112"/>
      <c r="G1121" s="109"/>
      <c r="H1121" s="109"/>
      <c r="I1121" s="109"/>
      <c r="J1121" s="109"/>
      <c r="K1121" s="109"/>
      <c r="L1121" s="109"/>
      <c r="M1121" s="109"/>
      <c r="N1121" s="13" t="s">
        <v>11563</v>
      </c>
      <c r="O1121" s="15" t="s">
        <v>285</v>
      </c>
      <c r="P1121" s="15" t="s">
        <v>258</v>
      </c>
      <c r="Q1121" s="13" t="s">
        <v>11564</v>
      </c>
      <c r="R1121" s="109"/>
      <c r="S1121" s="109"/>
      <c r="T1121" s="112"/>
      <c r="U1121" s="112"/>
      <c r="V1121" s="112"/>
      <c r="W1121" s="112"/>
    </row>
    <row r="1122" spans="1:23" s="2" customFormat="1" ht="12">
      <c r="A1122" s="11"/>
      <c r="B1122" s="108"/>
      <c r="C1122" s="109"/>
      <c r="D1122" s="14" t="str">
        <f>D1121</f>
        <v>钛动科技</v>
      </c>
      <c r="E1122" s="109"/>
      <c r="F1122" s="112"/>
      <c r="G1122" s="109"/>
      <c r="H1122" s="109"/>
      <c r="I1122" s="109"/>
      <c r="J1122" s="109"/>
      <c r="K1122" s="109"/>
      <c r="L1122" s="109"/>
      <c r="M1122" s="109"/>
      <c r="N1122" s="13" t="s">
        <v>11565</v>
      </c>
      <c r="O1122" s="13" t="s">
        <v>262</v>
      </c>
      <c r="P1122" s="15" t="s">
        <v>258</v>
      </c>
      <c r="Q1122" s="13" t="s">
        <v>11566</v>
      </c>
      <c r="R1122" s="109"/>
      <c r="S1122" s="109"/>
      <c r="T1122" s="112"/>
      <c r="U1122" s="112"/>
      <c r="V1122" s="112"/>
      <c r="W1122" s="112"/>
    </row>
    <row r="1123" spans="1:23" s="2" customFormat="1" ht="12">
      <c r="A1123" s="11"/>
      <c r="B1123" s="108"/>
      <c r="C1123" s="109"/>
      <c r="D1123" s="14" t="str">
        <f>D1122</f>
        <v>钛动科技</v>
      </c>
      <c r="E1123" s="109"/>
      <c r="F1123" s="112"/>
      <c r="G1123" s="109"/>
      <c r="H1123" s="109"/>
      <c r="I1123" s="109"/>
      <c r="J1123" s="109"/>
      <c r="K1123" s="109"/>
      <c r="L1123" s="109"/>
      <c r="M1123" s="109"/>
      <c r="N1123" s="13" t="s">
        <v>11567</v>
      </c>
      <c r="O1123" s="15" t="s">
        <v>326</v>
      </c>
      <c r="P1123" s="15" t="s">
        <v>261</v>
      </c>
      <c r="Q1123" s="13" t="s">
        <v>11568</v>
      </c>
      <c r="R1123" s="109"/>
      <c r="S1123" s="109"/>
      <c r="T1123" s="112"/>
      <c r="U1123" s="112"/>
      <c r="V1123" s="112"/>
      <c r="W1123" s="112"/>
    </row>
    <row r="1124" spans="1:23" s="2" customFormat="1" ht="12">
      <c r="A1124" s="11"/>
      <c r="B1124" s="108"/>
      <c r="C1124" s="109" t="s">
        <v>11569</v>
      </c>
      <c r="D1124" s="14" t="s">
        <v>11570</v>
      </c>
      <c r="E1124" s="113" t="s">
        <v>11570</v>
      </c>
      <c r="F1124" s="114" t="s">
        <v>11571</v>
      </c>
      <c r="G1124" s="113" t="s">
        <v>11572</v>
      </c>
      <c r="H1124" s="109" t="s">
        <v>11573</v>
      </c>
      <c r="I1124" s="109" t="s">
        <v>1824</v>
      </c>
      <c r="J1124" s="113" t="s">
        <v>1192</v>
      </c>
      <c r="K1124" s="113" t="s">
        <v>272</v>
      </c>
      <c r="L1124" s="113" t="s">
        <v>512</v>
      </c>
      <c r="M1124" s="113" t="s">
        <v>7961</v>
      </c>
      <c r="N1124" s="13" t="s">
        <v>11569</v>
      </c>
      <c r="O1124" s="13" t="s">
        <v>565</v>
      </c>
      <c r="P1124" s="13" t="s">
        <v>987</v>
      </c>
      <c r="Q1124" s="15" t="s">
        <v>11574</v>
      </c>
      <c r="R1124" s="109" t="s">
        <v>2658</v>
      </c>
      <c r="S1124" s="109" t="s">
        <v>11575</v>
      </c>
      <c r="T1124" s="114" t="s">
        <v>11576</v>
      </c>
      <c r="U1124" s="114" t="s">
        <v>11577</v>
      </c>
      <c r="V1124" s="112" t="s">
        <v>11578</v>
      </c>
      <c r="W1124" s="112" t="s">
        <v>11579</v>
      </c>
    </row>
    <row r="1125" spans="1:23" s="2" customFormat="1" ht="12">
      <c r="A1125" s="11"/>
      <c r="B1125" s="108"/>
      <c r="C1125" s="109"/>
      <c r="D1125" s="14" t="str">
        <f>D1124</f>
        <v>易仓科技</v>
      </c>
      <c r="E1125" s="109"/>
      <c r="F1125" s="112"/>
      <c r="G1125" s="109"/>
      <c r="H1125" s="109"/>
      <c r="I1125" s="109"/>
      <c r="J1125" s="109"/>
      <c r="K1125" s="109"/>
      <c r="L1125" s="109"/>
      <c r="M1125" s="109"/>
      <c r="N1125" s="13" t="s">
        <v>11580</v>
      </c>
      <c r="O1125" s="13" t="s">
        <v>257</v>
      </c>
      <c r="P1125" s="13" t="s">
        <v>676</v>
      </c>
      <c r="Q1125" s="15" t="s">
        <v>11581</v>
      </c>
      <c r="R1125" s="109"/>
      <c r="S1125" s="109"/>
      <c r="T1125" s="112"/>
      <c r="U1125" s="112"/>
      <c r="V1125" s="112"/>
      <c r="W1125" s="112"/>
    </row>
    <row r="1126" spans="1:23" s="2" customFormat="1" ht="12">
      <c r="A1126" s="11"/>
      <c r="B1126" s="108"/>
      <c r="C1126" s="109"/>
      <c r="D1126" s="14" t="str">
        <f>D1125</f>
        <v>易仓科技</v>
      </c>
      <c r="E1126" s="109"/>
      <c r="F1126" s="112"/>
      <c r="G1126" s="109"/>
      <c r="H1126" s="109"/>
      <c r="I1126" s="109"/>
      <c r="J1126" s="109"/>
      <c r="K1126" s="109"/>
      <c r="L1126" s="109"/>
      <c r="M1126" s="109"/>
      <c r="N1126" s="13" t="s">
        <v>10691</v>
      </c>
      <c r="O1126" s="13" t="s">
        <v>262</v>
      </c>
      <c r="P1126" s="15" t="s">
        <v>276</v>
      </c>
      <c r="Q1126" s="15" t="s">
        <v>11582</v>
      </c>
      <c r="R1126" s="109"/>
      <c r="S1126" s="109"/>
      <c r="T1126" s="112"/>
      <c r="U1126" s="112"/>
      <c r="V1126" s="112"/>
      <c r="W1126" s="112"/>
    </row>
    <row r="1127" spans="1:23" s="2" customFormat="1" ht="12">
      <c r="A1127" s="11"/>
      <c r="B1127" s="108"/>
      <c r="C1127" s="109" t="s">
        <v>11583</v>
      </c>
      <c r="D1127" s="14" t="s">
        <v>11584</v>
      </c>
      <c r="E1127" s="109" t="s">
        <v>11584</v>
      </c>
      <c r="F1127" s="112" t="s">
        <v>11585</v>
      </c>
      <c r="G1127" s="113" t="s">
        <v>11586</v>
      </c>
      <c r="H1127" s="109" t="s">
        <v>11587</v>
      </c>
      <c r="I1127" s="109" t="s">
        <v>9333</v>
      </c>
      <c r="J1127" s="113" t="s">
        <v>2627</v>
      </c>
      <c r="K1127" s="113" t="s">
        <v>272</v>
      </c>
      <c r="L1127" s="113" t="s">
        <v>1859</v>
      </c>
      <c r="M1127" s="113" t="s">
        <v>2900</v>
      </c>
      <c r="N1127" s="13" t="s">
        <v>11583</v>
      </c>
      <c r="O1127" s="13" t="s">
        <v>317</v>
      </c>
      <c r="P1127" s="15" t="s">
        <v>276</v>
      </c>
      <c r="Q1127" s="13" t="s">
        <v>11588</v>
      </c>
      <c r="R1127" s="109" t="s">
        <v>11589</v>
      </c>
      <c r="S1127" s="109" t="s">
        <v>4437</v>
      </c>
      <c r="T1127" s="114" t="s">
        <v>11590</v>
      </c>
      <c r="U1127" s="114" t="s">
        <v>11591</v>
      </c>
      <c r="V1127" s="112" t="s">
        <v>11592</v>
      </c>
      <c r="W1127" s="112" t="s">
        <v>11593</v>
      </c>
    </row>
    <row r="1128" spans="1:23" s="2" customFormat="1" ht="12">
      <c r="A1128" s="11"/>
      <c r="B1128" s="108"/>
      <c r="C1128" s="109"/>
      <c r="D1128" s="14" t="str">
        <f>D1127</f>
        <v>XTransfer</v>
      </c>
      <c r="E1128" s="109"/>
      <c r="F1128" s="112"/>
      <c r="G1128" s="109"/>
      <c r="H1128" s="109"/>
      <c r="I1128" s="109"/>
      <c r="J1128" s="109"/>
      <c r="K1128" s="109"/>
      <c r="L1128" s="109"/>
      <c r="M1128" s="109"/>
      <c r="N1128" s="13" t="s">
        <v>11594</v>
      </c>
      <c r="O1128" s="13" t="s">
        <v>523</v>
      </c>
      <c r="P1128" s="15" t="s">
        <v>276</v>
      </c>
      <c r="Q1128" s="13" t="s">
        <v>11595</v>
      </c>
      <c r="R1128" s="109"/>
      <c r="S1128" s="109"/>
      <c r="T1128" s="112"/>
      <c r="U1128" s="112"/>
      <c r="V1128" s="112"/>
      <c r="W1128" s="112"/>
    </row>
    <row r="1129" spans="1:23" s="2" customFormat="1" ht="12">
      <c r="A1129" s="11"/>
      <c r="B1129" s="108"/>
      <c r="C1129" s="109"/>
      <c r="D1129" s="14" t="str">
        <f>D1128</f>
        <v>XTransfer</v>
      </c>
      <c r="E1129" s="109"/>
      <c r="F1129" s="112"/>
      <c r="G1129" s="109"/>
      <c r="H1129" s="109"/>
      <c r="I1129" s="109"/>
      <c r="J1129" s="109"/>
      <c r="K1129" s="109"/>
      <c r="L1129" s="109"/>
      <c r="M1129" s="109"/>
      <c r="N1129" s="13" t="s">
        <v>4699</v>
      </c>
      <c r="O1129" s="13" t="s">
        <v>251</v>
      </c>
      <c r="P1129" s="15" t="s">
        <v>276</v>
      </c>
      <c r="Q1129" s="13" t="s">
        <v>11596</v>
      </c>
      <c r="R1129" s="109"/>
      <c r="S1129" s="109"/>
      <c r="T1129" s="112"/>
      <c r="U1129" s="112"/>
      <c r="V1129" s="112"/>
      <c r="W1129" s="112"/>
    </row>
    <row r="1130" spans="1:23" s="2" customFormat="1" ht="12">
      <c r="A1130" s="11"/>
      <c r="B1130" s="108"/>
      <c r="C1130" s="109"/>
      <c r="D1130" s="14" t="str">
        <f>D1129</f>
        <v>XTransfer</v>
      </c>
      <c r="E1130" s="109"/>
      <c r="F1130" s="112"/>
      <c r="G1130" s="109"/>
      <c r="H1130" s="109"/>
      <c r="I1130" s="109"/>
      <c r="J1130" s="109"/>
      <c r="K1130" s="109"/>
      <c r="L1130" s="109"/>
      <c r="M1130" s="109"/>
      <c r="N1130" s="13" t="s">
        <v>10857</v>
      </c>
      <c r="O1130" s="13" t="s">
        <v>257</v>
      </c>
      <c r="P1130" s="13" t="s">
        <v>322</v>
      </c>
      <c r="Q1130" s="15" t="s">
        <v>11597</v>
      </c>
      <c r="R1130" s="109"/>
      <c r="S1130" s="109"/>
      <c r="T1130" s="112"/>
      <c r="U1130" s="112"/>
      <c r="V1130" s="112"/>
      <c r="W1130" s="112"/>
    </row>
    <row r="1131" spans="1:23" s="2" customFormat="1" ht="12">
      <c r="A1131" s="11"/>
      <c r="B1131" s="108"/>
      <c r="C1131" s="109"/>
      <c r="D1131" s="14" t="str">
        <f>D1130</f>
        <v>XTransfer</v>
      </c>
      <c r="E1131" s="109"/>
      <c r="F1131" s="112"/>
      <c r="G1131" s="109"/>
      <c r="H1131" s="109"/>
      <c r="I1131" s="109"/>
      <c r="J1131" s="109"/>
      <c r="K1131" s="109"/>
      <c r="L1131" s="109"/>
      <c r="M1131" s="109"/>
      <c r="N1131" s="13" t="s">
        <v>8316</v>
      </c>
      <c r="O1131" s="13" t="s">
        <v>262</v>
      </c>
      <c r="P1131" s="13" t="s">
        <v>337</v>
      </c>
      <c r="Q1131" s="15" t="s">
        <v>11598</v>
      </c>
      <c r="R1131" s="109"/>
      <c r="S1131" s="109"/>
      <c r="T1131" s="112"/>
      <c r="U1131" s="112"/>
      <c r="V1131" s="112"/>
      <c r="W1131" s="112"/>
    </row>
    <row r="1132" spans="1:23" s="2" customFormat="1" ht="12">
      <c r="A1132" s="11"/>
      <c r="B1132" s="108"/>
      <c r="C1132" s="109"/>
      <c r="D1132" s="14" t="str">
        <f>D1131</f>
        <v>XTransfer</v>
      </c>
      <c r="E1132" s="109"/>
      <c r="F1132" s="112"/>
      <c r="G1132" s="109"/>
      <c r="H1132" s="109"/>
      <c r="I1132" s="109"/>
      <c r="J1132" s="109"/>
      <c r="K1132" s="109"/>
      <c r="L1132" s="109"/>
      <c r="M1132" s="109"/>
      <c r="N1132" s="13" t="s">
        <v>11084</v>
      </c>
      <c r="O1132" s="15" t="s">
        <v>326</v>
      </c>
      <c r="P1132" s="13" t="s">
        <v>460</v>
      </c>
      <c r="Q1132" s="15" t="s">
        <v>11599</v>
      </c>
      <c r="R1132" s="109"/>
      <c r="S1132" s="109"/>
      <c r="T1132" s="112"/>
      <c r="U1132" s="112"/>
      <c r="V1132" s="112"/>
      <c r="W1132" s="112"/>
    </row>
    <row r="1133" spans="1:23" s="2" customFormat="1" ht="12">
      <c r="A1133" s="11"/>
      <c r="B1133" s="108"/>
      <c r="C1133" s="109" t="s">
        <v>5122</v>
      </c>
      <c r="D1133" s="14" t="s">
        <v>11600</v>
      </c>
      <c r="E1133" s="113" t="s">
        <v>11601</v>
      </c>
      <c r="F1133" s="114" t="s">
        <v>11602</v>
      </c>
      <c r="G1133" s="109"/>
      <c r="H1133" s="109" t="s">
        <v>11603</v>
      </c>
      <c r="I1133" s="109" t="s">
        <v>9333</v>
      </c>
      <c r="J1133" s="113" t="s">
        <v>8877</v>
      </c>
      <c r="K1133" s="113" t="s">
        <v>272</v>
      </c>
      <c r="L1133" s="113" t="s">
        <v>512</v>
      </c>
      <c r="M1133" s="113" t="s">
        <v>1483</v>
      </c>
      <c r="N1133" s="13" t="s">
        <v>5122</v>
      </c>
      <c r="O1133" s="13" t="s">
        <v>303</v>
      </c>
      <c r="P1133" s="13" t="s">
        <v>11604</v>
      </c>
      <c r="Q1133" s="13" t="s">
        <v>253</v>
      </c>
      <c r="R1133" s="109" t="s">
        <v>11605</v>
      </c>
      <c r="S1133" s="109" t="s">
        <v>2482</v>
      </c>
      <c r="T1133" s="112" t="s">
        <v>11606</v>
      </c>
      <c r="U1133" s="112" t="s">
        <v>11607</v>
      </c>
      <c r="V1133" s="112" t="s">
        <v>11608</v>
      </c>
      <c r="W1133" s="112" t="s">
        <v>11609</v>
      </c>
    </row>
    <row r="1134" spans="1:23" s="2" customFormat="1" ht="12">
      <c r="A1134" s="11"/>
      <c r="B1134" s="108"/>
      <c r="C1134" s="109"/>
      <c r="D1134" s="14" t="str">
        <f>D1133</f>
        <v>闪电达flash express</v>
      </c>
      <c r="E1134" s="109"/>
      <c r="F1134" s="112"/>
      <c r="G1134" s="109"/>
      <c r="H1134" s="109"/>
      <c r="I1134" s="109"/>
      <c r="J1134" s="109"/>
      <c r="K1134" s="109"/>
      <c r="L1134" s="109"/>
      <c r="M1134" s="109"/>
      <c r="N1134" s="13" t="s">
        <v>9941</v>
      </c>
      <c r="O1134" s="13" t="s">
        <v>310</v>
      </c>
      <c r="P1134" s="13" t="s">
        <v>522</v>
      </c>
      <c r="Q1134" s="13" t="s">
        <v>11610</v>
      </c>
      <c r="R1134" s="109"/>
      <c r="S1134" s="109"/>
      <c r="T1134" s="112"/>
      <c r="U1134" s="112"/>
      <c r="V1134" s="112"/>
      <c r="W1134" s="112"/>
    </row>
    <row r="1135" spans="1:23" s="2" customFormat="1" ht="12">
      <c r="A1135" s="11"/>
      <c r="B1135" s="108"/>
      <c r="C1135" s="109"/>
      <c r="D1135" s="14" t="str">
        <f>D1134</f>
        <v>闪电达flash express</v>
      </c>
      <c r="E1135" s="109"/>
      <c r="F1135" s="112"/>
      <c r="G1135" s="109"/>
      <c r="H1135" s="109"/>
      <c r="I1135" s="109"/>
      <c r="J1135" s="109"/>
      <c r="K1135" s="109"/>
      <c r="L1135" s="109"/>
      <c r="M1135" s="109"/>
      <c r="N1135" s="13" t="s">
        <v>11611</v>
      </c>
      <c r="O1135" s="15" t="s">
        <v>285</v>
      </c>
      <c r="P1135" s="15" t="s">
        <v>276</v>
      </c>
      <c r="Q1135" s="13" t="s">
        <v>11612</v>
      </c>
      <c r="R1135" s="109"/>
      <c r="S1135" s="109"/>
      <c r="T1135" s="112"/>
      <c r="U1135" s="112"/>
      <c r="V1135" s="112"/>
      <c r="W1135" s="112"/>
    </row>
    <row r="1136" spans="1:23" s="2" customFormat="1" ht="12">
      <c r="A1136" s="11"/>
      <c r="B1136" s="108"/>
      <c r="C1136" s="109"/>
      <c r="D1136" s="14" t="str">
        <f>D1135</f>
        <v>闪电达flash express</v>
      </c>
      <c r="E1136" s="109"/>
      <c r="F1136" s="112"/>
      <c r="G1136" s="109"/>
      <c r="H1136" s="109"/>
      <c r="I1136" s="109"/>
      <c r="J1136" s="109"/>
      <c r="K1136" s="109"/>
      <c r="L1136" s="109"/>
      <c r="M1136" s="109"/>
      <c r="N1136" s="13" t="s">
        <v>11613</v>
      </c>
      <c r="O1136" s="13" t="s">
        <v>317</v>
      </c>
      <c r="P1136" s="13" t="s">
        <v>792</v>
      </c>
      <c r="Q1136" s="15" t="s">
        <v>11614</v>
      </c>
      <c r="R1136" s="109"/>
      <c r="S1136" s="109"/>
      <c r="T1136" s="112"/>
      <c r="U1136" s="112"/>
      <c r="V1136" s="112"/>
      <c r="W1136" s="112"/>
    </row>
    <row r="1137" spans="1:23" s="2" customFormat="1" ht="12">
      <c r="A1137" s="11"/>
      <c r="B1137" s="108"/>
      <c r="C1137" s="109"/>
      <c r="D1137" s="14" t="str">
        <f>D1136</f>
        <v>闪电达flash express</v>
      </c>
      <c r="E1137" s="109"/>
      <c r="F1137" s="112"/>
      <c r="G1137" s="109"/>
      <c r="H1137" s="109"/>
      <c r="I1137" s="109"/>
      <c r="J1137" s="109"/>
      <c r="K1137" s="109"/>
      <c r="L1137" s="109"/>
      <c r="M1137" s="109"/>
      <c r="N1137" s="13" t="s">
        <v>9753</v>
      </c>
      <c r="O1137" s="15" t="s">
        <v>326</v>
      </c>
      <c r="P1137" s="13" t="s">
        <v>337</v>
      </c>
      <c r="Q1137" s="15" t="s">
        <v>4353</v>
      </c>
      <c r="R1137" s="109"/>
      <c r="S1137" s="109"/>
      <c r="T1137" s="112"/>
      <c r="U1137" s="112"/>
      <c r="V1137" s="112"/>
      <c r="W1137" s="112"/>
    </row>
    <row r="1138" spans="1:23" s="2" customFormat="1" ht="12">
      <c r="A1138" s="11"/>
      <c r="B1138" s="108"/>
      <c r="C1138" s="109" t="s">
        <v>11615</v>
      </c>
      <c r="D1138" s="14" t="s">
        <v>11616</v>
      </c>
      <c r="E1138" s="109" t="s">
        <v>11616</v>
      </c>
      <c r="F1138" s="112" t="s">
        <v>11617</v>
      </c>
      <c r="G1138" s="109"/>
      <c r="H1138" s="109" t="s">
        <v>11618</v>
      </c>
      <c r="I1138" s="109" t="s">
        <v>1543</v>
      </c>
      <c r="J1138" s="113" t="s">
        <v>1564</v>
      </c>
      <c r="K1138" s="113" t="s">
        <v>272</v>
      </c>
      <c r="L1138" s="113" t="s">
        <v>1101</v>
      </c>
      <c r="M1138" s="113" t="s">
        <v>10772</v>
      </c>
      <c r="N1138" s="13" t="s">
        <v>11615</v>
      </c>
      <c r="O1138" s="15" t="s">
        <v>285</v>
      </c>
      <c r="P1138" s="13" t="s">
        <v>11619</v>
      </c>
      <c r="Q1138" s="13" t="s">
        <v>11620</v>
      </c>
      <c r="R1138" s="109" t="s">
        <v>11621</v>
      </c>
      <c r="S1138" s="109" t="s">
        <v>11622</v>
      </c>
      <c r="T1138" s="112" t="s">
        <v>11623</v>
      </c>
      <c r="U1138" s="112"/>
      <c r="V1138" s="112"/>
      <c r="W1138" s="112"/>
    </row>
    <row r="1139" spans="1:23" s="2" customFormat="1" ht="12">
      <c r="A1139" s="11"/>
      <c r="B1139" s="108"/>
      <c r="C1139" s="109"/>
      <c r="D1139" s="14" t="str">
        <f t="shared" ref="D1139:D1150" si="32">D1138</f>
        <v>Sonendo</v>
      </c>
      <c r="E1139" s="109"/>
      <c r="F1139" s="112"/>
      <c r="G1139" s="109"/>
      <c r="H1139" s="109"/>
      <c r="I1139" s="109"/>
      <c r="J1139" s="109"/>
      <c r="K1139" s="109"/>
      <c r="L1139" s="109"/>
      <c r="M1139" s="109"/>
      <c r="N1139" s="13" t="s">
        <v>11624</v>
      </c>
      <c r="O1139" s="13" t="s">
        <v>283</v>
      </c>
      <c r="P1139" s="15" t="s">
        <v>276</v>
      </c>
      <c r="Q1139" s="13" t="s">
        <v>253</v>
      </c>
      <c r="R1139" s="109"/>
      <c r="S1139" s="109"/>
      <c r="T1139" s="112"/>
      <c r="U1139" s="112"/>
      <c r="V1139" s="112"/>
      <c r="W1139" s="112"/>
    </row>
    <row r="1140" spans="1:23" s="2" customFormat="1" ht="12">
      <c r="A1140" s="11"/>
      <c r="B1140" s="108"/>
      <c r="C1140" s="109"/>
      <c r="D1140" s="14" t="str">
        <f t="shared" si="32"/>
        <v>Sonendo</v>
      </c>
      <c r="E1140" s="109"/>
      <c r="F1140" s="112"/>
      <c r="G1140" s="109"/>
      <c r="H1140" s="109"/>
      <c r="I1140" s="109"/>
      <c r="J1140" s="109"/>
      <c r="K1140" s="109"/>
      <c r="L1140" s="109"/>
      <c r="M1140" s="109"/>
      <c r="N1140" s="13" t="s">
        <v>11625</v>
      </c>
      <c r="O1140" s="15" t="s">
        <v>285</v>
      </c>
      <c r="P1140" s="13" t="s">
        <v>454</v>
      </c>
      <c r="Q1140" s="13" t="s">
        <v>11626</v>
      </c>
      <c r="R1140" s="109"/>
      <c r="S1140" s="109"/>
      <c r="T1140" s="112"/>
      <c r="U1140" s="112"/>
      <c r="V1140" s="112"/>
      <c r="W1140" s="112"/>
    </row>
    <row r="1141" spans="1:23" s="2" customFormat="1" ht="12">
      <c r="A1141" s="11"/>
      <c r="B1141" s="108"/>
      <c r="C1141" s="109"/>
      <c r="D1141" s="14" t="str">
        <f t="shared" si="32"/>
        <v>Sonendo</v>
      </c>
      <c r="E1141" s="109"/>
      <c r="F1141" s="112"/>
      <c r="G1141" s="109"/>
      <c r="H1141" s="109"/>
      <c r="I1141" s="109"/>
      <c r="J1141" s="109"/>
      <c r="K1141" s="109"/>
      <c r="L1141" s="109"/>
      <c r="M1141" s="109"/>
      <c r="N1141" s="13" t="s">
        <v>11627</v>
      </c>
      <c r="O1141" s="15" t="s">
        <v>285</v>
      </c>
      <c r="P1141" s="13" t="s">
        <v>1730</v>
      </c>
      <c r="Q1141" s="13" t="s">
        <v>253</v>
      </c>
      <c r="R1141" s="109"/>
      <c r="S1141" s="109"/>
      <c r="T1141" s="112"/>
      <c r="U1141" s="112"/>
      <c r="V1141" s="112"/>
      <c r="W1141" s="112"/>
    </row>
    <row r="1142" spans="1:23" s="2" customFormat="1" ht="12">
      <c r="A1142" s="11"/>
      <c r="B1142" s="108"/>
      <c r="C1142" s="109"/>
      <c r="D1142" s="14" t="str">
        <f t="shared" si="32"/>
        <v>Sonendo</v>
      </c>
      <c r="E1142" s="109"/>
      <c r="F1142" s="112"/>
      <c r="G1142" s="109"/>
      <c r="H1142" s="109"/>
      <c r="I1142" s="109"/>
      <c r="J1142" s="109"/>
      <c r="K1142" s="109"/>
      <c r="L1142" s="109"/>
      <c r="M1142" s="109"/>
      <c r="N1142" s="13" t="s">
        <v>9380</v>
      </c>
      <c r="O1142" s="13" t="s">
        <v>303</v>
      </c>
      <c r="P1142" s="13" t="s">
        <v>1032</v>
      </c>
      <c r="Q1142" s="13" t="s">
        <v>11628</v>
      </c>
      <c r="R1142" s="109"/>
      <c r="S1142" s="109"/>
      <c r="T1142" s="112"/>
      <c r="U1142" s="112"/>
      <c r="V1142" s="112"/>
      <c r="W1142" s="112"/>
    </row>
    <row r="1143" spans="1:23" s="2" customFormat="1" ht="12">
      <c r="A1143" s="11"/>
      <c r="B1143" s="108"/>
      <c r="C1143" s="109"/>
      <c r="D1143" s="14" t="str">
        <f t="shared" si="32"/>
        <v>Sonendo</v>
      </c>
      <c r="E1143" s="109"/>
      <c r="F1143" s="112"/>
      <c r="G1143" s="109"/>
      <c r="H1143" s="109"/>
      <c r="I1143" s="109"/>
      <c r="J1143" s="109"/>
      <c r="K1143" s="109"/>
      <c r="L1143" s="109"/>
      <c r="M1143" s="109"/>
      <c r="N1143" s="13" t="s">
        <v>706</v>
      </c>
      <c r="O1143" s="13" t="s">
        <v>310</v>
      </c>
      <c r="P1143" s="13" t="s">
        <v>4443</v>
      </c>
      <c r="Q1143" s="13" t="s">
        <v>11629</v>
      </c>
      <c r="R1143" s="109"/>
      <c r="S1143" s="109"/>
      <c r="T1143" s="112"/>
      <c r="U1143" s="112"/>
      <c r="V1143" s="112"/>
      <c r="W1143" s="112"/>
    </row>
    <row r="1144" spans="1:23" s="2" customFormat="1" ht="12">
      <c r="A1144" s="11"/>
      <c r="B1144" s="108"/>
      <c r="C1144" s="109"/>
      <c r="D1144" s="14" t="str">
        <f t="shared" si="32"/>
        <v>Sonendo</v>
      </c>
      <c r="E1144" s="109"/>
      <c r="F1144" s="112"/>
      <c r="G1144" s="109"/>
      <c r="H1144" s="109"/>
      <c r="I1144" s="109"/>
      <c r="J1144" s="109"/>
      <c r="K1144" s="109"/>
      <c r="L1144" s="109"/>
      <c r="M1144" s="109"/>
      <c r="N1144" s="13" t="s">
        <v>541</v>
      </c>
      <c r="O1144" s="13" t="s">
        <v>317</v>
      </c>
      <c r="P1144" s="13" t="s">
        <v>4443</v>
      </c>
      <c r="Q1144" s="13" t="s">
        <v>11630</v>
      </c>
      <c r="R1144" s="109"/>
      <c r="S1144" s="109"/>
      <c r="T1144" s="112"/>
      <c r="U1144" s="112"/>
      <c r="V1144" s="112"/>
      <c r="W1144" s="112"/>
    </row>
    <row r="1145" spans="1:23" s="2" customFormat="1" ht="12">
      <c r="A1145" s="11"/>
      <c r="B1145" s="108"/>
      <c r="C1145" s="109"/>
      <c r="D1145" s="14" t="str">
        <f t="shared" si="32"/>
        <v>Sonendo</v>
      </c>
      <c r="E1145" s="109"/>
      <c r="F1145" s="112"/>
      <c r="G1145" s="109"/>
      <c r="H1145" s="109"/>
      <c r="I1145" s="109"/>
      <c r="J1145" s="109"/>
      <c r="K1145" s="109"/>
      <c r="L1145" s="109"/>
      <c r="M1145" s="109"/>
      <c r="N1145" s="13" t="s">
        <v>11631</v>
      </c>
      <c r="O1145" s="13" t="s">
        <v>523</v>
      </c>
      <c r="P1145" s="13" t="s">
        <v>1669</v>
      </c>
      <c r="Q1145" s="15" t="s">
        <v>11632</v>
      </c>
      <c r="R1145" s="109"/>
      <c r="S1145" s="109"/>
      <c r="T1145" s="112"/>
      <c r="U1145" s="112"/>
      <c r="V1145" s="112"/>
      <c r="W1145" s="112"/>
    </row>
    <row r="1146" spans="1:23" s="2" customFormat="1" ht="12">
      <c r="A1146" s="11"/>
      <c r="B1146" s="108"/>
      <c r="C1146" s="109"/>
      <c r="D1146" s="14" t="str">
        <f t="shared" si="32"/>
        <v>Sonendo</v>
      </c>
      <c r="E1146" s="109"/>
      <c r="F1146" s="112"/>
      <c r="G1146" s="109"/>
      <c r="H1146" s="109"/>
      <c r="I1146" s="109"/>
      <c r="J1146" s="109"/>
      <c r="K1146" s="109"/>
      <c r="L1146" s="109"/>
      <c r="M1146" s="109"/>
      <c r="N1146" s="13" t="s">
        <v>11633</v>
      </c>
      <c r="O1146" s="13" t="s">
        <v>251</v>
      </c>
      <c r="P1146" s="13" t="s">
        <v>11634</v>
      </c>
      <c r="Q1146" s="15" t="s">
        <v>11635</v>
      </c>
      <c r="R1146" s="109"/>
      <c r="S1146" s="109"/>
      <c r="T1146" s="112"/>
      <c r="U1146" s="112"/>
      <c r="V1146" s="112"/>
      <c r="W1146" s="112"/>
    </row>
    <row r="1147" spans="1:23" s="2" customFormat="1" ht="12">
      <c r="A1147" s="11"/>
      <c r="B1147" s="108"/>
      <c r="C1147" s="109"/>
      <c r="D1147" s="14" t="str">
        <f t="shared" si="32"/>
        <v>Sonendo</v>
      </c>
      <c r="E1147" s="109"/>
      <c r="F1147" s="112"/>
      <c r="G1147" s="109"/>
      <c r="H1147" s="109"/>
      <c r="I1147" s="109"/>
      <c r="J1147" s="109"/>
      <c r="K1147" s="109"/>
      <c r="L1147" s="109"/>
      <c r="M1147" s="109"/>
      <c r="N1147" s="13" t="s">
        <v>11636</v>
      </c>
      <c r="O1147" s="13" t="s">
        <v>257</v>
      </c>
      <c r="P1147" s="13" t="s">
        <v>11637</v>
      </c>
      <c r="Q1147" s="13" t="s">
        <v>253</v>
      </c>
      <c r="R1147" s="109"/>
      <c r="S1147" s="109"/>
      <c r="T1147" s="112"/>
      <c r="U1147" s="112"/>
      <c r="V1147" s="112"/>
      <c r="W1147" s="112"/>
    </row>
    <row r="1148" spans="1:23" s="2" customFormat="1" ht="12">
      <c r="A1148" s="11"/>
      <c r="B1148" s="108"/>
      <c r="C1148" s="109"/>
      <c r="D1148" s="14" t="str">
        <f t="shared" si="32"/>
        <v>Sonendo</v>
      </c>
      <c r="E1148" s="109"/>
      <c r="F1148" s="112"/>
      <c r="G1148" s="109"/>
      <c r="H1148" s="109"/>
      <c r="I1148" s="109"/>
      <c r="J1148" s="109"/>
      <c r="K1148" s="109"/>
      <c r="L1148" s="109"/>
      <c r="M1148" s="109"/>
      <c r="N1148" s="13" t="s">
        <v>11638</v>
      </c>
      <c r="O1148" s="13" t="s">
        <v>262</v>
      </c>
      <c r="P1148" s="13" t="s">
        <v>11639</v>
      </c>
      <c r="Q1148" s="13" t="s">
        <v>253</v>
      </c>
      <c r="R1148" s="109"/>
      <c r="S1148" s="109"/>
      <c r="T1148" s="112"/>
      <c r="U1148" s="112"/>
      <c r="V1148" s="112"/>
      <c r="W1148" s="112"/>
    </row>
    <row r="1149" spans="1:23" s="2" customFormat="1" ht="12">
      <c r="A1149" s="11"/>
      <c r="B1149" s="108"/>
      <c r="C1149" s="109"/>
      <c r="D1149" s="14" t="str">
        <f t="shared" si="32"/>
        <v>Sonendo</v>
      </c>
      <c r="E1149" s="109"/>
      <c r="F1149" s="112"/>
      <c r="G1149" s="109"/>
      <c r="H1149" s="109"/>
      <c r="I1149" s="109"/>
      <c r="J1149" s="109"/>
      <c r="K1149" s="109"/>
      <c r="L1149" s="109"/>
      <c r="M1149" s="109"/>
      <c r="N1149" s="13" t="s">
        <v>11640</v>
      </c>
      <c r="O1149" s="15" t="s">
        <v>326</v>
      </c>
      <c r="P1149" s="13" t="s">
        <v>11641</v>
      </c>
      <c r="Q1149" s="13" t="s">
        <v>253</v>
      </c>
      <c r="R1149" s="109"/>
      <c r="S1149" s="109"/>
      <c r="T1149" s="112"/>
      <c r="U1149" s="112"/>
      <c r="V1149" s="112"/>
      <c r="W1149" s="112"/>
    </row>
    <row r="1150" spans="1:23" s="2" customFormat="1" ht="12">
      <c r="A1150" s="11"/>
      <c r="B1150" s="108"/>
      <c r="C1150" s="109"/>
      <c r="D1150" s="14" t="str">
        <f t="shared" si="32"/>
        <v>Sonendo</v>
      </c>
      <c r="E1150" s="109"/>
      <c r="F1150" s="112"/>
      <c r="G1150" s="109"/>
      <c r="H1150" s="109"/>
      <c r="I1150" s="109"/>
      <c r="J1150" s="109"/>
      <c r="K1150" s="109"/>
      <c r="L1150" s="109"/>
      <c r="M1150" s="109"/>
      <c r="N1150" s="13" t="s">
        <v>11642</v>
      </c>
      <c r="O1150" s="15" t="s">
        <v>437</v>
      </c>
      <c r="P1150" s="13" t="s">
        <v>10637</v>
      </c>
      <c r="Q1150" s="13" t="s">
        <v>253</v>
      </c>
      <c r="R1150" s="109"/>
      <c r="S1150" s="109"/>
      <c r="T1150" s="112"/>
      <c r="U1150" s="112"/>
      <c r="V1150" s="112"/>
      <c r="W1150" s="112"/>
    </row>
    <row r="1151" spans="1:23" s="2" customFormat="1" ht="12">
      <c r="A1151" s="11"/>
      <c r="B1151" s="108"/>
      <c r="C1151" s="109" t="s">
        <v>1818</v>
      </c>
      <c r="D1151" s="14" t="s">
        <v>11643</v>
      </c>
      <c r="E1151" s="109" t="s">
        <v>11643</v>
      </c>
      <c r="F1151" s="112" t="s">
        <v>11644</v>
      </c>
      <c r="G1151" s="109"/>
      <c r="H1151" s="109" t="s">
        <v>11645</v>
      </c>
      <c r="I1151" s="109" t="s">
        <v>1944</v>
      </c>
      <c r="J1151" s="113" t="s">
        <v>9286</v>
      </c>
      <c r="K1151" s="113" t="s">
        <v>272</v>
      </c>
      <c r="L1151" s="113" t="s">
        <v>996</v>
      </c>
      <c r="M1151" s="113" t="s">
        <v>11646</v>
      </c>
      <c r="N1151" s="13" t="s">
        <v>1818</v>
      </c>
      <c r="O1151" s="13" t="s">
        <v>257</v>
      </c>
      <c r="P1151" s="13" t="s">
        <v>567</v>
      </c>
      <c r="Q1151" s="13" t="s">
        <v>11647</v>
      </c>
      <c r="R1151" s="109" t="s">
        <v>11648</v>
      </c>
      <c r="S1151" s="109" t="s">
        <v>5127</v>
      </c>
      <c r="T1151" s="112" t="s">
        <v>11649</v>
      </c>
      <c r="U1151" s="112"/>
      <c r="V1151" s="112"/>
      <c r="W1151" s="112"/>
    </row>
    <row r="1152" spans="1:23" s="2" customFormat="1" ht="12">
      <c r="A1152" s="11"/>
      <c r="B1152" s="108"/>
      <c r="C1152" s="109"/>
      <c r="D1152" s="14" t="str">
        <f>D1151</f>
        <v>Challengermode</v>
      </c>
      <c r="E1152" s="109"/>
      <c r="F1152" s="112"/>
      <c r="G1152" s="109"/>
      <c r="H1152" s="109"/>
      <c r="I1152" s="109"/>
      <c r="J1152" s="109"/>
      <c r="K1152" s="109"/>
      <c r="L1152" s="109"/>
      <c r="M1152" s="109"/>
      <c r="N1152" s="13" t="s">
        <v>11650</v>
      </c>
      <c r="O1152" s="13" t="s">
        <v>262</v>
      </c>
      <c r="P1152" s="13" t="s">
        <v>539</v>
      </c>
      <c r="Q1152" s="13" t="s">
        <v>11651</v>
      </c>
      <c r="R1152" s="109"/>
      <c r="S1152" s="109"/>
      <c r="T1152" s="112"/>
      <c r="U1152" s="112"/>
      <c r="V1152" s="112"/>
      <c r="W1152" s="112"/>
    </row>
    <row r="1153" spans="1:23" s="2" customFormat="1" ht="12">
      <c r="A1153" s="11"/>
      <c r="B1153" s="108"/>
      <c r="C1153" s="109"/>
      <c r="D1153" s="14" t="str">
        <f>D1152</f>
        <v>Challengermode</v>
      </c>
      <c r="E1153" s="109"/>
      <c r="F1153" s="112"/>
      <c r="G1153" s="109"/>
      <c r="H1153" s="109"/>
      <c r="I1153" s="109"/>
      <c r="J1153" s="109"/>
      <c r="K1153" s="109"/>
      <c r="L1153" s="109"/>
      <c r="M1153" s="109"/>
      <c r="N1153" s="13" t="s">
        <v>11652</v>
      </c>
      <c r="O1153" s="15" t="s">
        <v>326</v>
      </c>
      <c r="P1153" s="13" t="s">
        <v>11653</v>
      </c>
      <c r="Q1153" s="15" t="s">
        <v>11654</v>
      </c>
      <c r="R1153" s="109"/>
      <c r="S1153" s="109"/>
      <c r="T1153" s="112"/>
      <c r="U1153" s="112"/>
      <c r="V1153" s="112"/>
      <c r="W1153" s="112"/>
    </row>
    <row r="1154" spans="1:23" s="2" customFormat="1" ht="12">
      <c r="A1154" s="11"/>
      <c r="B1154" s="108"/>
      <c r="C1154" s="109" t="s">
        <v>11655</v>
      </c>
      <c r="D1154" s="14" t="s">
        <v>11656</v>
      </c>
      <c r="E1154" s="113" t="s">
        <v>11657</v>
      </c>
      <c r="F1154" s="114" t="s">
        <v>11658</v>
      </c>
      <c r="G1154" s="113" t="s">
        <v>11659</v>
      </c>
      <c r="H1154" s="109" t="s">
        <v>11660</v>
      </c>
      <c r="I1154" s="109" t="s">
        <v>2773</v>
      </c>
      <c r="J1154" s="113" t="s">
        <v>547</v>
      </c>
      <c r="K1154" s="113" t="s">
        <v>272</v>
      </c>
      <c r="L1154" s="113" t="s">
        <v>350</v>
      </c>
      <c r="M1154" s="113" t="s">
        <v>351</v>
      </c>
      <c r="N1154" s="13" t="s">
        <v>11655</v>
      </c>
      <c r="O1154" s="13" t="s">
        <v>257</v>
      </c>
      <c r="P1154" s="15" t="s">
        <v>258</v>
      </c>
      <c r="Q1154" s="15" t="s">
        <v>11661</v>
      </c>
      <c r="R1154" s="109" t="s">
        <v>11662</v>
      </c>
      <c r="S1154" s="109" t="s">
        <v>551</v>
      </c>
      <c r="T1154" s="114" t="s">
        <v>11663</v>
      </c>
      <c r="U1154" s="114" t="s">
        <v>11664</v>
      </c>
      <c r="V1154" s="112" t="s">
        <v>11665</v>
      </c>
      <c r="W1154" s="112" t="s">
        <v>11666</v>
      </c>
    </row>
    <row r="1155" spans="1:23" s="2" customFormat="1" ht="12">
      <c r="A1155" s="11"/>
      <c r="B1155" s="108"/>
      <c r="C1155" s="109"/>
      <c r="D1155" s="14" t="str">
        <f>D1154</f>
        <v>兰雀Lacheer</v>
      </c>
      <c r="E1155" s="109"/>
      <c r="F1155" s="112"/>
      <c r="G1155" s="109"/>
      <c r="H1155" s="109"/>
      <c r="I1155" s="109"/>
      <c r="J1155" s="109"/>
      <c r="K1155" s="109"/>
      <c r="L1155" s="109"/>
      <c r="M1155" s="109"/>
      <c r="N1155" s="13" t="s">
        <v>11667</v>
      </c>
      <c r="O1155" s="13" t="s">
        <v>262</v>
      </c>
      <c r="P1155" s="13" t="s">
        <v>637</v>
      </c>
      <c r="Q1155" s="15" t="s">
        <v>11668</v>
      </c>
      <c r="R1155" s="109"/>
      <c r="S1155" s="109"/>
      <c r="T1155" s="112"/>
      <c r="U1155" s="112"/>
      <c r="V1155" s="112"/>
      <c r="W1155" s="112"/>
    </row>
    <row r="1156" spans="1:23" s="2" customFormat="1" ht="12">
      <c r="A1156" s="11"/>
      <c r="B1156" s="108"/>
      <c r="C1156" s="109" t="s">
        <v>11669</v>
      </c>
      <c r="D1156" s="14" t="s">
        <v>11670</v>
      </c>
      <c r="E1156" s="109" t="s">
        <v>11670</v>
      </c>
      <c r="F1156" s="112" t="s">
        <v>11671</v>
      </c>
      <c r="G1156" s="113" t="s">
        <v>11672</v>
      </c>
      <c r="H1156" s="109"/>
      <c r="I1156" s="109" t="s">
        <v>11673</v>
      </c>
      <c r="J1156" s="113" t="s">
        <v>547</v>
      </c>
      <c r="K1156" s="113" t="s">
        <v>272</v>
      </c>
      <c r="L1156" s="113" t="s">
        <v>485</v>
      </c>
      <c r="M1156" s="113" t="s">
        <v>11674</v>
      </c>
      <c r="N1156" s="13" t="s">
        <v>11669</v>
      </c>
      <c r="O1156" s="13" t="s">
        <v>262</v>
      </c>
      <c r="P1156" s="15" t="s">
        <v>258</v>
      </c>
      <c r="Q1156" s="15" t="s">
        <v>11675</v>
      </c>
      <c r="R1156" s="109" t="s">
        <v>11676</v>
      </c>
      <c r="S1156" s="109" t="s">
        <v>551</v>
      </c>
      <c r="T1156" s="114" t="s">
        <v>11677</v>
      </c>
      <c r="U1156" s="114" t="s">
        <v>11678</v>
      </c>
      <c r="V1156" s="112"/>
      <c r="W1156" s="112"/>
    </row>
    <row r="1157" spans="1:23" s="2" customFormat="1" ht="12">
      <c r="A1157" s="11"/>
      <c r="B1157" s="108"/>
      <c r="C1157" s="109"/>
      <c r="D1157" s="14" t="str">
        <f>D1156</f>
        <v>StarPony</v>
      </c>
      <c r="E1157" s="109"/>
      <c r="F1157" s="112"/>
      <c r="G1157" s="109"/>
      <c r="H1157" s="109"/>
      <c r="I1157" s="109"/>
      <c r="J1157" s="109"/>
      <c r="K1157" s="109"/>
      <c r="L1157" s="109"/>
      <c r="M1157" s="109"/>
      <c r="N1157" s="13" t="s">
        <v>8719</v>
      </c>
      <c r="O1157" s="13" t="s">
        <v>721</v>
      </c>
      <c r="P1157" s="15" t="s">
        <v>341</v>
      </c>
      <c r="Q1157" s="15" t="s">
        <v>11679</v>
      </c>
      <c r="R1157" s="109"/>
      <c r="S1157" s="109"/>
      <c r="T1157" s="112"/>
      <c r="U1157" s="112"/>
      <c r="V1157" s="112"/>
      <c r="W1157" s="112"/>
    </row>
    <row r="1158" spans="1:23" s="2" customFormat="1" ht="12">
      <c r="A1158" s="11"/>
      <c r="B1158" s="108"/>
      <c r="C1158" s="109"/>
      <c r="D1158" s="14" t="str">
        <f>D1157</f>
        <v>StarPony</v>
      </c>
      <c r="E1158" s="109"/>
      <c r="F1158" s="112"/>
      <c r="G1158" s="109"/>
      <c r="H1158" s="109"/>
      <c r="I1158" s="109"/>
      <c r="J1158" s="109"/>
      <c r="K1158" s="109"/>
      <c r="L1158" s="109"/>
      <c r="M1158" s="109"/>
      <c r="N1158" s="13" t="s">
        <v>2521</v>
      </c>
      <c r="O1158" s="15" t="s">
        <v>326</v>
      </c>
      <c r="P1158" s="15" t="s">
        <v>252</v>
      </c>
      <c r="Q1158" s="15" t="s">
        <v>1308</v>
      </c>
      <c r="R1158" s="109"/>
      <c r="S1158" s="109"/>
      <c r="T1158" s="112"/>
      <c r="U1158" s="112"/>
      <c r="V1158" s="112"/>
      <c r="W1158" s="112"/>
    </row>
    <row r="1159" spans="1:23" s="2" customFormat="1" ht="12">
      <c r="A1159" s="11"/>
      <c r="B1159" s="108"/>
      <c r="C1159" s="109"/>
      <c r="D1159" s="14" t="str">
        <f>D1158</f>
        <v>StarPony</v>
      </c>
      <c r="E1159" s="109"/>
      <c r="F1159" s="112"/>
      <c r="G1159" s="109"/>
      <c r="H1159" s="109"/>
      <c r="I1159" s="109"/>
      <c r="J1159" s="109"/>
      <c r="K1159" s="109"/>
      <c r="L1159" s="109"/>
      <c r="M1159" s="109"/>
      <c r="N1159" s="13" t="s">
        <v>11364</v>
      </c>
      <c r="O1159" s="15" t="s">
        <v>437</v>
      </c>
      <c r="P1159" s="15" t="s">
        <v>252</v>
      </c>
      <c r="Q1159" s="15" t="s">
        <v>11680</v>
      </c>
      <c r="R1159" s="109"/>
      <c r="S1159" s="109"/>
      <c r="T1159" s="112"/>
      <c r="U1159" s="112"/>
      <c r="V1159" s="112"/>
      <c r="W1159" s="112"/>
    </row>
    <row r="1160" spans="1:23" s="2" customFormat="1" ht="12">
      <c r="A1160" s="11"/>
      <c r="B1160" s="108"/>
      <c r="C1160" s="109" t="s">
        <v>5478</v>
      </c>
      <c r="D1160" s="14" t="s">
        <v>11681</v>
      </c>
      <c r="E1160" s="109" t="s">
        <v>11681</v>
      </c>
      <c r="F1160" s="114" t="s">
        <v>11682</v>
      </c>
      <c r="G1160" s="109"/>
      <c r="H1160" s="109" t="s">
        <v>11683</v>
      </c>
      <c r="I1160" s="109" t="s">
        <v>4160</v>
      </c>
      <c r="J1160" s="113" t="s">
        <v>2156</v>
      </c>
      <c r="K1160" s="113" t="s">
        <v>272</v>
      </c>
      <c r="L1160" s="113" t="s">
        <v>1859</v>
      </c>
      <c r="M1160" s="113" t="s">
        <v>4452</v>
      </c>
      <c r="N1160" s="13" t="s">
        <v>5478</v>
      </c>
      <c r="O1160" s="13" t="s">
        <v>565</v>
      </c>
      <c r="P1160" s="13" t="s">
        <v>987</v>
      </c>
      <c r="Q1160" s="13" t="s">
        <v>11684</v>
      </c>
      <c r="R1160" s="109" t="s">
        <v>3370</v>
      </c>
      <c r="S1160" s="109" t="s">
        <v>11575</v>
      </c>
      <c r="T1160" s="112" t="s">
        <v>11685</v>
      </c>
      <c r="U1160" s="114" t="s">
        <v>11686</v>
      </c>
      <c r="V1160" s="112"/>
      <c r="W1160" s="112"/>
    </row>
    <row r="1161" spans="1:23" s="2" customFormat="1" ht="12">
      <c r="A1161" s="11"/>
      <c r="B1161" s="108"/>
      <c r="C1161" s="109"/>
      <c r="D1161" s="14" t="str">
        <f>D1160</f>
        <v>FUSE GROUP</v>
      </c>
      <c r="E1161" s="109"/>
      <c r="F1161" s="112"/>
      <c r="G1161" s="109"/>
      <c r="H1161" s="109"/>
      <c r="I1161" s="109"/>
      <c r="J1161" s="109"/>
      <c r="K1161" s="109"/>
      <c r="L1161" s="109"/>
      <c r="M1161" s="109"/>
      <c r="N1161" s="13" t="s">
        <v>2704</v>
      </c>
      <c r="O1161" s="13" t="s">
        <v>257</v>
      </c>
      <c r="P1161" s="15" t="s">
        <v>276</v>
      </c>
      <c r="Q1161" s="13" t="s">
        <v>11687</v>
      </c>
      <c r="R1161" s="109"/>
      <c r="S1161" s="109"/>
      <c r="T1161" s="112"/>
      <c r="U1161" s="112"/>
      <c r="V1161" s="112"/>
      <c r="W1161" s="112"/>
    </row>
    <row r="1162" spans="1:23" s="2" customFormat="1" ht="12">
      <c r="A1162" s="11"/>
      <c r="B1162" s="108"/>
      <c r="C1162" s="109"/>
      <c r="D1162" s="14" t="str">
        <f>D1161</f>
        <v>FUSE GROUP</v>
      </c>
      <c r="E1162" s="109"/>
      <c r="F1162" s="112"/>
      <c r="G1162" s="109"/>
      <c r="H1162" s="109"/>
      <c r="I1162" s="109"/>
      <c r="J1162" s="109"/>
      <c r="K1162" s="109"/>
      <c r="L1162" s="109"/>
      <c r="M1162" s="109"/>
      <c r="N1162" s="13" t="s">
        <v>10254</v>
      </c>
      <c r="O1162" s="13" t="s">
        <v>262</v>
      </c>
      <c r="P1162" s="13" t="s">
        <v>527</v>
      </c>
      <c r="Q1162" s="13" t="s">
        <v>11688</v>
      </c>
      <c r="R1162" s="109"/>
      <c r="S1162" s="109"/>
      <c r="T1162" s="112"/>
      <c r="U1162" s="112"/>
      <c r="V1162" s="112"/>
      <c r="W1162" s="112"/>
    </row>
    <row r="1163" spans="1:23" s="2" customFormat="1" ht="12">
      <c r="A1163" s="11"/>
      <c r="B1163" s="108"/>
      <c r="C1163" s="109" t="s">
        <v>1034</v>
      </c>
      <c r="D1163" s="14" t="s">
        <v>11689</v>
      </c>
      <c r="E1163" s="109" t="s">
        <v>11690</v>
      </c>
      <c r="F1163" s="112" t="s">
        <v>11691</v>
      </c>
      <c r="G1163" s="113" t="s">
        <v>11692</v>
      </c>
      <c r="H1163" s="109"/>
      <c r="I1163" s="109" t="s">
        <v>10108</v>
      </c>
      <c r="J1163" s="113" t="s">
        <v>547</v>
      </c>
      <c r="K1163" s="113" t="s">
        <v>272</v>
      </c>
      <c r="L1163" s="113" t="s">
        <v>350</v>
      </c>
      <c r="M1163" s="113" t="s">
        <v>2314</v>
      </c>
      <c r="N1163" s="13" t="s">
        <v>1034</v>
      </c>
      <c r="O1163" s="13" t="s">
        <v>262</v>
      </c>
      <c r="P1163" s="15" t="s">
        <v>276</v>
      </c>
      <c r="Q1163" s="15" t="s">
        <v>11693</v>
      </c>
      <c r="R1163" s="109" t="s">
        <v>11694</v>
      </c>
      <c r="S1163" s="109" t="s">
        <v>1969</v>
      </c>
      <c r="T1163" s="114" t="s">
        <v>11695</v>
      </c>
      <c r="U1163" s="114" t="s">
        <v>11696</v>
      </c>
      <c r="V1163" s="112" t="s">
        <v>11697</v>
      </c>
      <c r="W1163" s="112" t="s">
        <v>11698</v>
      </c>
    </row>
    <row r="1164" spans="1:23" s="2" customFormat="1" ht="12">
      <c r="A1164" s="11"/>
      <c r="B1164" s="108"/>
      <c r="C1164" s="109"/>
      <c r="D1164" s="14" t="str">
        <f>D1163</f>
        <v>POVISON缪斯科技</v>
      </c>
      <c r="E1164" s="109"/>
      <c r="F1164" s="112"/>
      <c r="G1164" s="109"/>
      <c r="H1164" s="109"/>
      <c r="I1164" s="109"/>
      <c r="J1164" s="109"/>
      <c r="K1164" s="109"/>
      <c r="L1164" s="109"/>
      <c r="M1164" s="109"/>
      <c r="N1164" s="13" t="s">
        <v>11699</v>
      </c>
      <c r="O1164" s="15" t="s">
        <v>326</v>
      </c>
      <c r="P1164" s="15" t="s">
        <v>261</v>
      </c>
      <c r="Q1164" s="13" t="s">
        <v>11564</v>
      </c>
      <c r="R1164" s="109"/>
      <c r="S1164" s="109"/>
      <c r="T1164" s="112"/>
      <c r="U1164" s="112"/>
      <c r="V1164" s="112"/>
      <c r="W1164" s="112"/>
    </row>
    <row r="1165" spans="1:23" s="2" customFormat="1" ht="96">
      <c r="A1165" s="11"/>
      <c r="B1165" s="108"/>
      <c r="C1165" s="13" t="s">
        <v>11700</v>
      </c>
      <c r="D1165" s="19" t="s">
        <v>11701</v>
      </c>
      <c r="E1165" s="15" t="s">
        <v>11701</v>
      </c>
      <c r="F1165" s="16" t="s">
        <v>11702</v>
      </c>
      <c r="G1165" s="15" t="s">
        <v>11703</v>
      </c>
      <c r="H1165" s="13" t="s">
        <v>11704</v>
      </c>
      <c r="I1165" s="13" t="s">
        <v>3332</v>
      </c>
      <c r="J1165" s="15" t="s">
        <v>3617</v>
      </c>
      <c r="K1165" s="15" t="s">
        <v>272</v>
      </c>
      <c r="L1165" s="15" t="s">
        <v>512</v>
      </c>
      <c r="M1165" s="15" t="s">
        <v>11255</v>
      </c>
      <c r="N1165" s="13" t="s">
        <v>11700</v>
      </c>
      <c r="O1165" s="13" t="s">
        <v>262</v>
      </c>
      <c r="P1165" s="15" t="s">
        <v>409</v>
      </c>
      <c r="Q1165" s="13" t="s">
        <v>11564</v>
      </c>
      <c r="R1165" s="13" t="s">
        <v>1484</v>
      </c>
      <c r="S1165" s="13" t="s">
        <v>412</v>
      </c>
      <c r="T1165" s="16" t="s">
        <v>11705</v>
      </c>
      <c r="U1165" s="16" t="s">
        <v>11706</v>
      </c>
      <c r="V1165" s="18" t="s">
        <v>11707</v>
      </c>
      <c r="W1165" s="18" t="s">
        <v>11708</v>
      </c>
    </row>
    <row r="1166" spans="1:23" s="2" customFormat="1" ht="60">
      <c r="A1166" s="11"/>
      <c r="B1166" s="108"/>
      <c r="C1166" s="13" t="s">
        <v>10810</v>
      </c>
      <c r="D1166" s="19" t="s">
        <v>11709</v>
      </c>
      <c r="E1166" s="13" t="s">
        <v>11709</v>
      </c>
      <c r="F1166" s="18" t="s">
        <v>11710</v>
      </c>
      <c r="G1166" s="13"/>
      <c r="H1166" s="13"/>
      <c r="I1166" s="13" t="s">
        <v>5070</v>
      </c>
      <c r="J1166" s="15" t="s">
        <v>5480</v>
      </c>
      <c r="K1166" s="15" t="s">
        <v>272</v>
      </c>
      <c r="L1166" s="15" t="s">
        <v>485</v>
      </c>
      <c r="M1166" s="15" t="s">
        <v>486</v>
      </c>
      <c r="N1166" s="13" t="s">
        <v>10810</v>
      </c>
      <c r="O1166" s="13" t="s">
        <v>262</v>
      </c>
      <c r="P1166" s="13" t="s">
        <v>1949</v>
      </c>
      <c r="Q1166" s="13" t="s">
        <v>11711</v>
      </c>
      <c r="R1166" s="13" t="s">
        <v>11712</v>
      </c>
      <c r="S1166" s="13" t="s">
        <v>11713</v>
      </c>
      <c r="T1166" s="18" t="s">
        <v>11714</v>
      </c>
      <c r="U1166" s="18"/>
      <c r="V1166" s="18"/>
      <c r="W1166" s="18"/>
    </row>
    <row r="1167" spans="1:23" s="2" customFormat="1" ht="12">
      <c r="A1167" s="11"/>
      <c r="B1167" s="108"/>
      <c r="C1167" s="109" t="s">
        <v>11715</v>
      </c>
      <c r="D1167" s="14" t="s">
        <v>11716</v>
      </c>
      <c r="E1167" s="109" t="s">
        <v>11716</v>
      </c>
      <c r="F1167" s="112" t="s">
        <v>11717</v>
      </c>
      <c r="G1167" s="109"/>
      <c r="H1167" s="109" t="s">
        <v>11718</v>
      </c>
      <c r="I1167" s="109" t="s">
        <v>10805</v>
      </c>
      <c r="J1167" s="113" t="s">
        <v>1780</v>
      </c>
      <c r="K1167" s="113" t="s">
        <v>272</v>
      </c>
      <c r="L1167" s="113" t="s">
        <v>1859</v>
      </c>
      <c r="M1167" s="113" t="s">
        <v>8374</v>
      </c>
      <c r="N1167" s="13" t="s">
        <v>11715</v>
      </c>
      <c r="O1167" s="13" t="s">
        <v>262</v>
      </c>
      <c r="P1167" s="13" t="s">
        <v>1164</v>
      </c>
      <c r="Q1167" s="15" t="s">
        <v>11719</v>
      </c>
      <c r="R1167" s="109" t="s">
        <v>11720</v>
      </c>
      <c r="S1167" s="109" t="s">
        <v>3993</v>
      </c>
      <c r="T1167" s="112"/>
      <c r="U1167" s="112"/>
      <c r="V1167" s="112"/>
      <c r="W1167" s="112"/>
    </row>
    <row r="1168" spans="1:23" s="2" customFormat="1" ht="12">
      <c r="A1168" s="11"/>
      <c r="B1168" s="108"/>
      <c r="C1168" s="109"/>
      <c r="D1168" s="14" t="str">
        <f>D1167</f>
        <v>Mindigital</v>
      </c>
      <c r="E1168" s="109"/>
      <c r="F1168" s="112"/>
      <c r="G1168" s="109"/>
      <c r="H1168" s="109"/>
      <c r="I1168" s="109"/>
      <c r="J1168" s="109"/>
      <c r="K1168" s="109"/>
      <c r="L1168" s="109"/>
      <c r="M1168" s="109"/>
      <c r="N1168" s="13" t="s">
        <v>7909</v>
      </c>
      <c r="O1168" s="15" t="s">
        <v>326</v>
      </c>
      <c r="P1168" s="13" t="s">
        <v>639</v>
      </c>
      <c r="Q1168" s="15" t="s">
        <v>11721</v>
      </c>
      <c r="R1168" s="109"/>
      <c r="S1168" s="109"/>
      <c r="T1168" s="112"/>
      <c r="U1168" s="112"/>
      <c r="V1168" s="112"/>
      <c r="W1168" s="112"/>
    </row>
    <row r="1169" spans="1:23" s="2" customFormat="1" ht="108">
      <c r="A1169" s="11"/>
      <c r="B1169" s="107" t="s">
        <v>11722</v>
      </c>
      <c r="C1169" s="13" t="s">
        <v>11723</v>
      </c>
      <c r="D1169" s="19" t="s">
        <v>11724</v>
      </c>
      <c r="E1169" s="15" t="s">
        <v>11724</v>
      </c>
      <c r="F1169" s="16" t="s">
        <v>11725</v>
      </c>
      <c r="G1169" s="15" t="s">
        <v>11726</v>
      </c>
      <c r="H1169" s="13" t="s">
        <v>11727</v>
      </c>
      <c r="I1169" s="13" t="s">
        <v>4762</v>
      </c>
      <c r="J1169" s="15" t="s">
        <v>1192</v>
      </c>
      <c r="K1169" s="15" t="s">
        <v>272</v>
      </c>
      <c r="L1169" s="15" t="s">
        <v>407</v>
      </c>
      <c r="M1169" s="15" t="s">
        <v>560</v>
      </c>
      <c r="N1169" s="13" t="s">
        <v>11723</v>
      </c>
      <c r="O1169" s="15" t="s">
        <v>285</v>
      </c>
      <c r="P1169" s="15" t="s">
        <v>409</v>
      </c>
      <c r="Q1169" s="15" t="s">
        <v>11722</v>
      </c>
      <c r="R1169" s="13" t="s">
        <v>1484</v>
      </c>
      <c r="S1169" s="13" t="s">
        <v>412</v>
      </c>
      <c r="T1169" s="16" t="s">
        <v>11728</v>
      </c>
      <c r="U1169" s="16" t="s">
        <v>11729</v>
      </c>
      <c r="V1169" s="18" t="s">
        <v>11730</v>
      </c>
      <c r="W1169" s="18"/>
    </row>
    <row r="1170" spans="1:23" s="2" customFormat="1" ht="12">
      <c r="A1170" s="11"/>
      <c r="B1170" s="108"/>
      <c r="C1170" s="109" t="s">
        <v>1034</v>
      </c>
      <c r="D1170" s="14" t="s">
        <v>11731</v>
      </c>
      <c r="E1170" s="113" t="s">
        <v>11731</v>
      </c>
      <c r="F1170" s="114" t="s">
        <v>11732</v>
      </c>
      <c r="G1170" s="113" t="s">
        <v>11733</v>
      </c>
      <c r="H1170" s="109" t="s">
        <v>11734</v>
      </c>
      <c r="I1170" s="109" t="s">
        <v>2518</v>
      </c>
      <c r="J1170" s="113" t="s">
        <v>271</v>
      </c>
      <c r="K1170" s="113" t="s">
        <v>272</v>
      </c>
      <c r="L1170" s="113" t="s">
        <v>485</v>
      </c>
      <c r="M1170" s="109" t="s">
        <v>87</v>
      </c>
      <c r="N1170" s="13" t="s">
        <v>1034</v>
      </c>
      <c r="O1170" s="15" t="s">
        <v>471</v>
      </c>
      <c r="P1170" s="15" t="s">
        <v>252</v>
      </c>
      <c r="Q1170" s="15" t="s">
        <v>11722</v>
      </c>
      <c r="R1170" s="109" t="s">
        <v>11312</v>
      </c>
      <c r="S1170" s="113" t="s">
        <v>255</v>
      </c>
      <c r="T1170" s="114" t="s">
        <v>11735</v>
      </c>
      <c r="U1170" s="114" t="s">
        <v>11736</v>
      </c>
      <c r="V1170" s="112" t="s">
        <v>11737</v>
      </c>
      <c r="W1170" s="112" t="s">
        <v>11738</v>
      </c>
    </row>
    <row r="1171" spans="1:23" s="2" customFormat="1" ht="12">
      <c r="A1171" s="11"/>
      <c r="B1171" s="108"/>
      <c r="C1171" s="109"/>
      <c r="D1171" s="14" t="str">
        <f>D1170</f>
        <v>先声智能</v>
      </c>
      <c r="E1171" s="109"/>
      <c r="F1171" s="112"/>
      <c r="G1171" s="109"/>
      <c r="H1171" s="109"/>
      <c r="I1171" s="109"/>
      <c r="J1171" s="109"/>
      <c r="K1171" s="109"/>
      <c r="L1171" s="109"/>
      <c r="M1171" s="109"/>
      <c r="N1171" s="13" t="s">
        <v>11739</v>
      </c>
      <c r="O1171" s="13" t="s">
        <v>257</v>
      </c>
      <c r="P1171" s="15" t="s">
        <v>341</v>
      </c>
      <c r="Q1171" s="15" t="s">
        <v>702</v>
      </c>
      <c r="R1171" s="109"/>
      <c r="S1171" s="109"/>
      <c r="T1171" s="112"/>
      <c r="U1171" s="112"/>
      <c r="V1171" s="112"/>
      <c r="W1171" s="112"/>
    </row>
    <row r="1172" spans="1:23" s="2" customFormat="1" ht="12">
      <c r="A1172" s="11"/>
      <c r="B1172" s="108"/>
      <c r="C1172" s="109"/>
      <c r="D1172" s="14" t="str">
        <f>D1171</f>
        <v>先声智能</v>
      </c>
      <c r="E1172" s="109"/>
      <c r="F1172" s="112"/>
      <c r="G1172" s="109"/>
      <c r="H1172" s="109"/>
      <c r="I1172" s="109"/>
      <c r="J1172" s="109"/>
      <c r="K1172" s="109"/>
      <c r="L1172" s="109"/>
      <c r="M1172" s="109"/>
      <c r="N1172" s="13" t="s">
        <v>2472</v>
      </c>
      <c r="O1172" s="13" t="s">
        <v>262</v>
      </c>
      <c r="P1172" s="15" t="s">
        <v>341</v>
      </c>
      <c r="Q1172" s="15" t="s">
        <v>11740</v>
      </c>
      <c r="R1172" s="109"/>
      <c r="S1172" s="109"/>
      <c r="T1172" s="112"/>
      <c r="U1172" s="112"/>
      <c r="V1172" s="112"/>
      <c r="W1172" s="112"/>
    </row>
    <row r="1173" spans="1:23" s="2" customFormat="1" ht="12">
      <c r="A1173" s="11"/>
      <c r="B1173" s="108"/>
      <c r="C1173" s="109"/>
      <c r="D1173" s="14" t="str">
        <f>D1172</f>
        <v>先声智能</v>
      </c>
      <c r="E1173" s="109"/>
      <c r="F1173" s="112"/>
      <c r="G1173" s="109"/>
      <c r="H1173" s="109"/>
      <c r="I1173" s="109"/>
      <c r="J1173" s="109"/>
      <c r="K1173" s="109"/>
      <c r="L1173" s="109"/>
      <c r="M1173" s="109"/>
      <c r="N1173" s="13" t="s">
        <v>1326</v>
      </c>
      <c r="O1173" s="13" t="s">
        <v>721</v>
      </c>
      <c r="P1173" s="15" t="s">
        <v>341</v>
      </c>
      <c r="Q1173" s="15" t="s">
        <v>11741</v>
      </c>
      <c r="R1173" s="109"/>
      <c r="S1173" s="109"/>
      <c r="T1173" s="112"/>
      <c r="U1173" s="112"/>
      <c r="V1173" s="112"/>
      <c r="W1173" s="112"/>
    </row>
    <row r="1174" spans="1:23" s="2" customFormat="1" ht="12">
      <c r="A1174" s="11"/>
      <c r="B1174" s="108"/>
      <c r="C1174" s="109"/>
      <c r="D1174" s="14" t="str">
        <f>D1173</f>
        <v>先声智能</v>
      </c>
      <c r="E1174" s="109"/>
      <c r="F1174" s="112"/>
      <c r="G1174" s="109"/>
      <c r="H1174" s="109"/>
      <c r="I1174" s="109"/>
      <c r="J1174" s="109"/>
      <c r="K1174" s="109"/>
      <c r="L1174" s="109"/>
      <c r="M1174" s="109"/>
      <c r="N1174" s="13" t="s">
        <v>11742</v>
      </c>
      <c r="O1174" s="15" t="s">
        <v>326</v>
      </c>
      <c r="P1174" s="15" t="s">
        <v>327</v>
      </c>
      <c r="Q1174" s="15" t="s">
        <v>11743</v>
      </c>
      <c r="R1174" s="109"/>
      <c r="S1174" s="109"/>
      <c r="T1174" s="112"/>
      <c r="U1174" s="112"/>
      <c r="V1174" s="112"/>
      <c r="W1174" s="112"/>
    </row>
    <row r="1175" spans="1:23" s="2" customFormat="1" ht="12">
      <c r="A1175" s="11"/>
      <c r="B1175" s="108"/>
      <c r="C1175" s="109" t="s">
        <v>11744</v>
      </c>
      <c r="D1175" s="14" t="s">
        <v>11745</v>
      </c>
      <c r="E1175" s="113" t="s">
        <v>11745</v>
      </c>
      <c r="F1175" s="114" t="s">
        <v>11746</v>
      </c>
      <c r="G1175" s="113" t="s">
        <v>11747</v>
      </c>
      <c r="H1175" s="109" t="s">
        <v>11748</v>
      </c>
      <c r="I1175" s="109" t="s">
        <v>5317</v>
      </c>
      <c r="J1175" s="113" t="s">
        <v>406</v>
      </c>
      <c r="K1175" s="113" t="s">
        <v>272</v>
      </c>
      <c r="L1175" s="113" t="s">
        <v>407</v>
      </c>
      <c r="M1175" s="113" t="s">
        <v>560</v>
      </c>
      <c r="N1175" s="13" t="s">
        <v>11744</v>
      </c>
      <c r="O1175" s="15" t="s">
        <v>471</v>
      </c>
      <c r="P1175" s="15" t="s">
        <v>252</v>
      </c>
      <c r="Q1175" s="15" t="s">
        <v>11722</v>
      </c>
      <c r="R1175" s="109" t="s">
        <v>3742</v>
      </c>
      <c r="S1175" s="113" t="s">
        <v>255</v>
      </c>
      <c r="T1175" s="114" t="s">
        <v>11749</v>
      </c>
      <c r="U1175" s="114" t="s">
        <v>11750</v>
      </c>
      <c r="V1175" s="112"/>
      <c r="W1175" s="112"/>
    </row>
    <row r="1176" spans="1:23" s="2" customFormat="1" ht="12">
      <c r="A1176" s="11"/>
      <c r="B1176" s="108"/>
      <c r="C1176" s="109"/>
      <c r="D1176" s="14" t="str">
        <f>D1175</f>
        <v>拍乐云</v>
      </c>
      <c r="E1176" s="109"/>
      <c r="F1176" s="112"/>
      <c r="G1176" s="109"/>
      <c r="H1176" s="109"/>
      <c r="I1176" s="109"/>
      <c r="J1176" s="109"/>
      <c r="K1176" s="109"/>
      <c r="L1176" s="109"/>
      <c r="M1176" s="109"/>
      <c r="N1176" s="13" t="s">
        <v>11751</v>
      </c>
      <c r="O1176" s="15" t="s">
        <v>326</v>
      </c>
      <c r="P1176" s="13" t="s">
        <v>3740</v>
      </c>
      <c r="Q1176" s="15" t="s">
        <v>421</v>
      </c>
      <c r="R1176" s="109"/>
      <c r="S1176" s="109"/>
      <c r="T1176" s="112"/>
      <c r="U1176" s="112"/>
      <c r="V1176" s="112"/>
      <c r="W1176" s="112"/>
    </row>
    <row r="1177" spans="1:23" s="2" customFormat="1" ht="12">
      <c r="A1177" s="11"/>
      <c r="B1177" s="108"/>
      <c r="C1177" s="109" t="s">
        <v>11752</v>
      </c>
      <c r="D1177" s="14" t="s">
        <v>11753</v>
      </c>
      <c r="E1177" s="113" t="s">
        <v>11754</v>
      </c>
      <c r="F1177" s="114" t="s">
        <v>11755</v>
      </c>
      <c r="G1177" s="113" t="s">
        <v>11756</v>
      </c>
      <c r="H1177" s="109" t="s">
        <v>11757</v>
      </c>
      <c r="I1177" s="109" t="s">
        <v>11278</v>
      </c>
      <c r="J1177" s="113" t="s">
        <v>5047</v>
      </c>
      <c r="K1177" s="113" t="s">
        <v>272</v>
      </c>
      <c r="L1177" s="113" t="s">
        <v>407</v>
      </c>
      <c r="M1177" s="113" t="s">
        <v>560</v>
      </c>
      <c r="N1177" s="13" t="s">
        <v>11752</v>
      </c>
      <c r="O1177" s="15" t="s">
        <v>471</v>
      </c>
      <c r="P1177" s="15" t="s">
        <v>252</v>
      </c>
      <c r="Q1177" s="15" t="s">
        <v>11722</v>
      </c>
      <c r="R1177" s="109" t="s">
        <v>931</v>
      </c>
      <c r="S1177" s="113" t="s">
        <v>255</v>
      </c>
      <c r="T1177" s="114" t="s">
        <v>11758</v>
      </c>
      <c r="U1177" s="114" t="s">
        <v>11759</v>
      </c>
      <c r="V1177" s="112"/>
      <c r="W1177" s="112" t="s">
        <v>11760</v>
      </c>
    </row>
    <row r="1178" spans="1:23" s="2" customFormat="1" ht="12">
      <c r="A1178" s="11"/>
      <c r="B1178" s="108"/>
      <c r="C1178" s="109"/>
      <c r="D1178" s="14" t="str">
        <f>D1177</f>
        <v>我来wolai</v>
      </c>
      <c r="E1178" s="109"/>
      <c r="F1178" s="112"/>
      <c r="G1178" s="109"/>
      <c r="H1178" s="109"/>
      <c r="I1178" s="109"/>
      <c r="J1178" s="109"/>
      <c r="K1178" s="109"/>
      <c r="L1178" s="109"/>
      <c r="M1178" s="109"/>
      <c r="N1178" s="13" t="s">
        <v>11655</v>
      </c>
      <c r="O1178" s="13" t="s">
        <v>262</v>
      </c>
      <c r="P1178" s="15" t="s">
        <v>341</v>
      </c>
      <c r="Q1178" s="15" t="s">
        <v>11761</v>
      </c>
      <c r="R1178" s="109"/>
      <c r="S1178" s="109"/>
      <c r="T1178" s="112"/>
      <c r="U1178" s="112"/>
      <c r="V1178" s="112"/>
      <c r="W1178" s="112"/>
    </row>
    <row r="1179" spans="1:23" s="2" customFormat="1" ht="12">
      <c r="A1179" s="11"/>
      <c r="B1179" s="108" t="s">
        <v>2247</v>
      </c>
      <c r="C1179" s="109" t="s">
        <v>11762</v>
      </c>
      <c r="D1179" s="14" t="s">
        <v>11763</v>
      </c>
      <c r="E1179" s="109" t="s">
        <v>11763</v>
      </c>
      <c r="F1179" s="112" t="s">
        <v>11764</v>
      </c>
      <c r="G1179" s="109"/>
      <c r="H1179" s="109" t="s">
        <v>11765</v>
      </c>
      <c r="I1179" s="109" t="s">
        <v>8876</v>
      </c>
      <c r="J1179" s="113" t="s">
        <v>1725</v>
      </c>
      <c r="K1179" s="113" t="s">
        <v>272</v>
      </c>
      <c r="L1179" s="113" t="s">
        <v>485</v>
      </c>
      <c r="M1179" s="109" t="s">
        <v>87</v>
      </c>
      <c r="N1179" s="13" t="s">
        <v>11762</v>
      </c>
      <c r="O1179" s="15" t="s">
        <v>285</v>
      </c>
      <c r="P1179" s="13" t="s">
        <v>655</v>
      </c>
      <c r="Q1179" s="13" t="s">
        <v>11766</v>
      </c>
      <c r="R1179" s="109" t="s">
        <v>11767</v>
      </c>
      <c r="S1179" s="109" t="s">
        <v>11768</v>
      </c>
      <c r="T1179" s="112" t="s">
        <v>11769</v>
      </c>
      <c r="U1179" s="112"/>
      <c r="V1179" s="112"/>
      <c r="W1179" s="112"/>
    </row>
    <row r="1180" spans="1:23" s="2" customFormat="1" ht="12">
      <c r="A1180" s="11"/>
      <c r="B1180" s="108"/>
      <c r="C1180" s="109"/>
      <c r="D1180" s="14" t="str">
        <f t="shared" ref="D1180:D1201" si="33">D1179</f>
        <v>Byju's</v>
      </c>
      <c r="E1180" s="109"/>
      <c r="F1180" s="112"/>
      <c r="G1180" s="109"/>
      <c r="H1180" s="109"/>
      <c r="I1180" s="109"/>
      <c r="J1180" s="109"/>
      <c r="K1180" s="109"/>
      <c r="L1180" s="109"/>
      <c r="M1180" s="109"/>
      <c r="N1180" s="13" t="s">
        <v>11770</v>
      </c>
      <c r="O1180" s="15" t="s">
        <v>285</v>
      </c>
      <c r="P1180" s="13" t="s">
        <v>655</v>
      </c>
      <c r="Q1180" s="13" t="s">
        <v>11771</v>
      </c>
      <c r="R1180" s="109"/>
      <c r="S1180" s="109"/>
      <c r="T1180" s="112"/>
      <c r="U1180" s="112"/>
      <c r="V1180" s="112"/>
      <c r="W1180" s="112"/>
    </row>
    <row r="1181" spans="1:23" s="2" customFormat="1" ht="12">
      <c r="A1181" s="11"/>
      <c r="B1181" s="108"/>
      <c r="C1181" s="109"/>
      <c r="D1181" s="14" t="str">
        <f t="shared" si="33"/>
        <v>Byju's</v>
      </c>
      <c r="E1181" s="109"/>
      <c r="F1181" s="112"/>
      <c r="G1181" s="109"/>
      <c r="H1181" s="109"/>
      <c r="I1181" s="109"/>
      <c r="J1181" s="109"/>
      <c r="K1181" s="109"/>
      <c r="L1181" s="109"/>
      <c r="M1181" s="109"/>
      <c r="N1181" s="13" t="s">
        <v>11772</v>
      </c>
      <c r="O1181" s="15" t="s">
        <v>285</v>
      </c>
      <c r="P1181" s="13" t="s">
        <v>699</v>
      </c>
      <c r="Q1181" s="13" t="s">
        <v>11773</v>
      </c>
      <c r="R1181" s="109"/>
      <c r="S1181" s="109"/>
      <c r="T1181" s="112"/>
      <c r="U1181" s="112"/>
      <c r="V1181" s="112"/>
      <c r="W1181" s="112"/>
    </row>
    <row r="1182" spans="1:23" s="2" customFormat="1" ht="12">
      <c r="A1182" s="11"/>
      <c r="B1182" s="108"/>
      <c r="C1182" s="109"/>
      <c r="D1182" s="14" t="str">
        <f t="shared" si="33"/>
        <v>Byju's</v>
      </c>
      <c r="E1182" s="109"/>
      <c r="F1182" s="112"/>
      <c r="G1182" s="109"/>
      <c r="H1182" s="109"/>
      <c r="I1182" s="109"/>
      <c r="J1182" s="109"/>
      <c r="K1182" s="109"/>
      <c r="L1182" s="109"/>
      <c r="M1182" s="109"/>
      <c r="N1182" s="13" t="s">
        <v>11774</v>
      </c>
      <c r="O1182" s="15" t="s">
        <v>285</v>
      </c>
      <c r="P1182" s="13" t="s">
        <v>522</v>
      </c>
      <c r="Q1182" s="15" t="s">
        <v>11775</v>
      </c>
      <c r="R1182" s="109"/>
      <c r="S1182" s="109"/>
      <c r="T1182" s="112"/>
      <c r="U1182" s="112"/>
      <c r="V1182" s="112"/>
      <c r="W1182" s="112"/>
    </row>
    <row r="1183" spans="1:23" s="2" customFormat="1" ht="12">
      <c r="A1183" s="11"/>
      <c r="B1183" s="108"/>
      <c r="C1183" s="109"/>
      <c r="D1183" s="14" t="str">
        <f t="shared" si="33"/>
        <v>Byju's</v>
      </c>
      <c r="E1183" s="109"/>
      <c r="F1183" s="112"/>
      <c r="G1183" s="109"/>
      <c r="H1183" s="109"/>
      <c r="I1183" s="109"/>
      <c r="J1183" s="109"/>
      <c r="K1183" s="109"/>
      <c r="L1183" s="109"/>
      <c r="M1183" s="109"/>
      <c r="N1183" s="13" t="s">
        <v>11776</v>
      </c>
      <c r="O1183" s="13" t="s">
        <v>303</v>
      </c>
      <c r="P1183" s="13" t="s">
        <v>984</v>
      </c>
      <c r="Q1183" s="15" t="s">
        <v>11777</v>
      </c>
      <c r="R1183" s="109"/>
      <c r="S1183" s="109"/>
      <c r="T1183" s="112"/>
      <c r="U1183" s="112"/>
      <c r="V1183" s="112"/>
      <c r="W1183" s="112"/>
    </row>
    <row r="1184" spans="1:23" s="2" customFormat="1" ht="12">
      <c r="A1184" s="11"/>
      <c r="B1184" s="108"/>
      <c r="C1184" s="109"/>
      <c r="D1184" s="14" t="str">
        <f t="shared" si="33"/>
        <v>Byju's</v>
      </c>
      <c r="E1184" s="109"/>
      <c r="F1184" s="112"/>
      <c r="G1184" s="109"/>
      <c r="H1184" s="109"/>
      <c r="I1184" s="109"/>
      <c r="J1184" s="109"/>
      <c r="K1184" s="109"/>
      <c r="L1184" s="109"/>
      <c r="M1184" s="109"/>
      <c r="N1184" s="13" t="s">
        <v>811</v>
      </c>
      <c r="O1184" s="13" t="s">
        <v>303</v>
      </c>
      <c r="P1184" s="13" t="s">
        <v>2122</v>
      </c>
      <c r="Q1184" s="13" t="s">
        <v>11778</v>
      </c>
      <c r="R1184" s="109"/>
      <c r="S1184" s="109"/>
      <c r="T1184" s="112"/>
      <c r="U1184" s="112"/>
      <c r="V1184" s="112"/>
      <c r="W1184" s="112"/>
    </row>
    <row r="1185" spans="1:23" s="2" customFormat="1" ht="12">
      <c r="A1185" s="11"/>
      <c r="B1185" s="108"/>
      <c r="C1185" s="109"/>
      <c r="D1185" s="14" t="str">
        <f t="shared" si="33"/>
        <v>Byju's</v>
      </c>
      <c r="E1185" s="109"/>
      <c r="F1185" s="112"/>
      <c r="G1185" s="109"/>
      <c r="H1185" s="109"/>
      <c r="I1185" s="109"/>
      <c r="J1185" s="109"/>
      <c r="K1185" s="109"/>
      <c r="L1185" s="109"/>
      <c r="M1185" s="109"/>
      <c r="N1185" s="13" t="s">
        <v>11779</v>
      </c>
      <c r="O1185" s="15" t="s">
        <v>285</v>
      </c>
      <c r="P1185" s="13" t="s">
        <v>8895</v>
      </c>
      <c r="Q1185" s="13" t="s">
        <v>11780</v>
      </c>
      <c r="R1185" s="109"/>
      <c r="S1185" s="109"/>
      <c r="T1185" s="112"/>
      <c r="U1185" s="112"/>
      <c r="V1185" s="112"/>
      <c r="W1185" s="112"/>
    </row>
    <row r="1186" spans="1:23" s="2" customFormat="1" ht="12">
      <c r="A1186" s="11"/>
      <c r="B1186" s="108"/>
      <c r="C1186" s="109"/>
      <c r="D1186" s="14" t="str">
        <f t="shared" si="33"/>
        <v>Byju's</v>
      </c>
      <c r="E1186" s="109"/>
      <c r="F1186" s="112"/>
      <c r="G1186" s="109"/>
      <c r="H1186" s="109"/>
      <c r="I1186" s="109"/>
      <c r="J1186" s="109"/>
      <c r="K1186" s="109"/>
      <c r="L1186" s="109"/>
      <c r="M1186" s="109"/>
      <c r="N1186" s="13" t="s">
        <v>11111</v>
      </c>
      <c r="O1186" s="15" t="s">
        <v>285</v>
      </c>
      <c r="P1186" s="13" t="s">
        <v>288</v>
      </c>
      <c r="Q1186" s="13" t="s">
        <v>11781</v>
      </c>
      <c r="R1186" s="109"/>
      <c r="S1186" s="109"/>
      <c r="T1186" s="112"/>
      <c r="U1186" s="112"/>
      <c r="V1186" s="112"/>
      <c r="W1186" s="112"/>
    </row>
    <row r="1187" spans="1:23" s="2" customFormat="1" ht="12">
      <c r="A1187" s="11"/>
      <c r="B1187" s="108"/>
      <c r="C1187" s="109"/>
      <c r="D1187" s="14" t="str">
        <f t="shared" si="33"/>
        <v>Byju's</v>
      </c>
      <c r="E1187" s="109"/>
      <c r="F1187" s="112"/>
      <c r="G1187" s="109"/>
      <c r="H1187" s="109"/>
      <c r="I1187" s="109"/>
      <c r="J1187" s="109"/>
      <c r="K1187" s="109"/>
      <c r="L1187" s="109"/>
      <c r="M1187" s="109"/>
      <c r="N1187" s="13" t="s">
        <v>755</v>
      </c>
      <c r="O1187" s="15" t="s">
        <v>285</v>
      </c>
      <c r="P1187" s="13" t="s">
        <v>11782</v>
      </c>
      <c r="Q1187" s="13" t="s">
        <v>4568</v>
      </c>
      <c r="R1187" s="109"/>
      <c r="S1187" s="109"/>
      <c r="T1187" s="112"/>
      <c r="U1187" s="112"/>
      <c r="V1187" s="112"/>
      <c r="W1187" s="112"/>
    </row>
    <row r="1188" spans="1:23" s="2" customFormat="1" ht="12">
      <c r="A1188" s="11"/>
      <c r="B1188" s="108"/>
      <c r="C1188" s="109"/>
      <c r="D1188" s="14" t="str">
        <f t="shared" si="33"/>
        <v>Byju's</v>
      </c>
      <c r="E1188" s="109"/>
      <c r="F1188" s="112"/>
      <c r="G1188" s="109"/>
      <c r="H1188" s="109"/>
      <c r="I1188" s="109"/>
      <c r="J1188" s="109"/>
      <c r="K1188" s="109"/>
      <c r="L1188" s="109"/>
      <c r="M1188" s="109"/>
      <c r="N1188" s="13" t="s">
        <v>3296</v>
      </c>
      <c r="O1188" s="15" t="s">
        <v>285</v>
      </c>
      <c r="P1188" s="13" t="s">
        <v>301</v>
      </c>
      <c r="Q1188" s="13" t="s">
        <v>4568</v>
      </c>
      <c r="R1188" s="109"/>
      <c r="S1188" s="109"/>
      <c r="T1188" s="112"/>
      <c r="U1188" s="112"/>
      <c r="V1188" s="112"/>
      <c r="W1188" s="112"/>
    </row>
    <row r="1189" spans="1:23" s="2" customFormat="1" ht="12">
      <c r="A1189" s="11"/>
      <c r="B1189" s="108"/>
      <c r="C1189" s="109"/>
      <c r="D1189" s="14" t="str">
        <f t="shared" si="33"/>
        <v>Byju's</v>
      </c>
      <c r="E1189" s="109"/>
      <c r="F1189" s="112"/>
      <c r="G1189" s="109"/>
      <c r="H1189" s="109"/>
      <c r="I1189" s="109"/>
      <c r="J1189" s="109"/>
      <c r="K1189" s="109"/>
      <c r="L1189" s="109"/>
      <c r="M1189" s="109"/>
      <c r="N1189" s="13" t="s">
        <v>11783</v>
      </c>
      <c r="O1189" s="15" t="s">
        <v>285</v>
      </c>
      <c r="P1189" s="15" t="s">
        <v>299</v>
      </c>
      <c r="Q1189" s="13" t="s">
        <v>11784</v>
      </c>
      <c r="R1189" s="109"/>
      <c r="S1189" s="109"/>
      <c r="T1189" s="112"/>
      <c r="U1189" s="112"/>
      <c r="V1189" s="112"/>
      <c r="W1189" s="112"/>
    </row>
    <row r="1190" spans="1:23" s="2" customFormat="1" ht="12">
      <c r="A1190" s="11"/>
      <c r="B1190" s="108"/>
      <c r="C1190" s="109"/>
      <c r="D1190" s="14" t="str">
        <f t="shared" si="33"/>
        <v>Byju's</v>
      </c>
      <c r="E1190" s="109"/>
      <c r="F1190" s="112"/>
      <c r="G1190" s="109"/>
      <c r="H1190" s="109"/>
      <c r="I1190" s="109"/>
      <c r="J1190" s="109"/>
      <c r="K1190" s="109"/>
      <c r="L1190" s="109"/>
      <c r="M1190" s="109"/>
      <c r="N1190" s="13" t="s">
        <v>8313</v>
      </c>
      <c r="O1190" s="15" t="s">
        <v>285</v>
      </c>
      <c r="P1190" s="13" t="s">
        <v>792</v>
      </c>
      <c r="Q1190" s="13" t="s">
        <v>4612</v>
      </c>
      <c r="R1190" s="109"/>
      <c r="S1190" s="109"/>
      <c r="T1190" s="112"/>
      <c r="U1190" s="112"/>
      <c r="V1190" s="112"/>
      <c r="W1190" s="112"/>
    </row>
    <row r="1191" spans="1:23" s="2" customFormat="1" ht="12">
      <c r="A1191" s="11"/>
      <c r="B1191" s="108"/>
      <c r="C1191" s="109"/>
      <c r="D1191" s="14" t="str">
        <f t="shared" si="33"/>
        <v>Byju's</v>
      </c>
      <c r="E1191" s="109"/>
      <c r="F1191" s="112"/>
      <c r="G1191" s="109"/>
      <c r="H1191" s="109"/>
      <c r="I1191" s="109"/>
      <c r="J1191" s="109"/>
      <c r="K1191" s="109"/>
      <c r="L1191" s="109"/>
      <c r="M1191" s="109"/>
      <c r="N1191" s="13" t="s">
        <v>11785</v>
      </c>
      <c r="O1191" s="15" t="s">
        <v>285</v>
      </c>
      <c r="P1191" s="13" t="s">
        <v>655</v>
      </c>
      <c r="Q1191" s="15" t="s">
        <v>11786</v>
      </c>
      <c r="R1191" s="109"/>
      <c r="S1191" s="109"/>
      <c r="T1191" s="112"/>
      <c r="U1191" s="112"/>
      <c r="V1191" s="112"/>
      <c r="W1191" s="112"/>
    </row>
    <row r="1192" spans="1:23" s="2" customFormat="1" ht="12">
      <c r="A1192" s="11"/>
      <c r="B1192" s="108"/>
      <c r="C1192" s="109"/>
      <c r="D1192" s="14" t="str">
        <f t="shared" si="33"/>
        <v>Byju's</v>
      </c>
      <c r="E1192" s="109"/>
      <c r="F1192" s="112"/>
      <c r="G1192" s="109"/>
      <c r="H1192" s="109"/>
      <c r="I1192" s="109"/>
      <c r="J1192" s="109"/>
      <c r="K1192" s="109"/>
      <c r="L1192" s="109"/>
      <c r="M1192" s="109"/>
      <c r="N1192" s="13" t="s">
        <v>7892</v>
      </c>
      <c r="O1192" s="15" t="s">
        <v>285</v>
      </c>
      <c r="P1192" s="13" t="s">
        <v>11787</v>
      </c>
      <c r="Q1192" s="15" t="s">
        <v>11788</v>
      </c>
      <c r="R1192" s="109"/>
      <c r="S1192" s="109"/>
      <c r="T1192" s="112"/>
      <c r="U1192" s="112"/>
      <c r="V1192" s="112"/>
      <c r="W1192" s="112"/>
    </row>
    <row r="1193" spans="1:23" s="2" customFormat="1" ht="12">
      <c r="A1193" s="11"/>
      <c r="B1193" s="108"/>
      <c r="C1193" s="109"/>
      <c r="D1193" s="14" t="str">
        <f t="shared" si="33"/>
        <v>Byju's</v>
      </c>
      <c r="E1193" s="109"/>
      <c r="F1193" s="112"/>
      <c r="G1193" s="109"/>
      <c r="H1193" s="109"/>
      <c r="I1193" s="109"/>
      <c r="J1193" s="109"/>
      <c r="K1193" s="109"/>
      <c r="L1193" s="109"/>
      <c r="M1193" s="109"/>
      <c r="N1193" s="13" t="s">
        <v>1803</v>
      </c>
      <c r="O1193" s="15" t="s">
        <v>285</v>
      </c>
      <c r="P1193" s="13" t="s">
        <v>301</v>
      </c>
      <c r="Q1193" s="13" t="s">
        <v>11789</v>
      </c>
      <c r="R1193" s="109"/>
      <c r="S1193" s="109"/>
      <c r="T1193" s="112"/>
      <c r="U1193" s="112"/>
      <c r="V1193" s="112"/>
      <c r="W1193" s="112"/>
    </row>
    <row r="1194" spans="1:23" s="2" customFormat="1" ht="12">
      <c r="A1194" s="11"/>
      <c r="B1194" s="108"/>
      <c r="C1194" s="109"/>
      <c r="D1194" s="14" t="str">
        <f t="shared" si="33"/>
        <v>Byju's</v>
      </c>
      <c r="E1194" s="109"/>
      <c r="F1194" s="112"/>
      <c r="G1194" s="109"/>
      <c r="H1194" s="109"/>
      <c r="I1194" s="109"/>
      <c r="J1194" s="109"/>
      <c r="K1194" s="109"/>
      <c r="L1194" s="109"/>
      <c r="M1194" s="109"/>
      <c r="N1194" s="13" t="s">
        <v>11790</v>
      </c>
      <c r="O1194" s="15" t="s">
        <v>285</v>
      </c>
      <c r="P1194" s="13" t="s">
        <v>320</v>
      </c>
      <c r="Q1194" s="13" t="s">
        <v>11791</v>
      </c>
      <c r="R1194" s="109"/>
      <c r="S1194" s="109"/>
      <c r="T1194" s="112"/>
      <c r="U1194" s="112"/>
      <c r="V1194" s="112"/>
      <c r="W1194" s="112"/>
    </row>
    <row r="1195" spans="1:23" s="2" customFormat="1" ht="12">
      <c r="A1195" s="11"/>
      <c r="B1195" s="108"/>
      <c r="C1195" s="109"/>
      <c r="D1195" s="14" t="str">
        <f t="shared" si="33"/>
        <v>Byju's</v>
      </c>
      <c r="E1195" s="109"/>
      <c r="F1195" s="112"/>
      <c r="G1195" s="109"/>
      <c r="H1195" s="109"/>
      <c r="I1195" s="109"/>
      <c r="J1195" s="109"/>
      <c r="K1195" s="109"/>
      <c r="L1195" s="109"/>
      <c r="M1195" s="109"/>
      <c r="N1195" s="13" t="s">
        <v>11792</v>
      </c>
      <c r="O1195" s="15" t="s">
        <v>285</v>
      </c>
      <c r="P1195" s="13" t="s">
        <v>676</v>
      </c>
      <c r="Q1195" s="15" t="s">
        <v>566</v>
      </c>
      <c r="R1195" s="109"/>
      <c r="S1195" s="109"/>
      <c r="T1195" s="112"/>
      <c r="U1195" s="112"/>
      <c r="V1195" s="112"/>
      <c r="W1195" s="112"/>
    </row>
    <row r="1196" spans="1:23" s="2" customFormat="1" ht="12">
      <c r="A1196" s="11"/>
      <c r="B1196" s="108"/>
      <c r="C1196" s="109"/>
      <c r="D1196" s="14" t="str">
        <f t="shared" si="33"/>
        <v>Byju's</v>
      </c>
      <c r="E1196" s="109"/>
      <c r="F1196" s="112"/>
      <c r="G1196" s="109"/>
      <c r="H1196" s="109"/>
      <c r="I1196" s="109"/>
      <c r="J1196" s="109"/>
      <c r="K1196" s="109"/>
      <c r="L1196" s="109"/>
      <c r="M1196" s="109"/>
      <c r="N1196" s="13" t="s">
        <v>11218</v>
      </c>
      <c r="O1196" s="13" t="s">
        <v>303</v>
      </c>
      <c r="P1196" s="13" t="s">
        <v>805</v>
      </c>
      <c r="Q1196" s="13" t="s">
        <v>11793</v>
      </c>
      <c r="R1196" s="109"/>
      <c r="S1196" s="109"/>
      <c r="T1196" s="112"/>
      <c r="U1196" s="112"/>
      <c r="V1196" s="112"/>
      <c r="W1196" s="112"/>
    </row>
    <row r="1197" spans="1:23" s="2" customFormat="1" ht="12">
      <c r="A1197" s="11"/>
      <c r="B1197" s="108"/>
      <c r="C1197" s="109"/>
      <c r="D1197" s="14" t="str">
        <f t="shared" si="33"/>
        <v>Byju's</v>
      </c>
      <c r="E1197" s="109"/>
      <c r="F1197" s="112"/>
      <c r="G1197" s="109"/>
      <c r="H1197" s="109"/>
      <c r="I1197" s="109"/>
      <c r="J1197" s="109"/>
      <c r="K1197" s="109"/>
      <c r="L1197" s="109"/>
      <c r="M1197" s="109"/>
      <c r="N1197" s="13" t="s">
        <v>9457</v>
      </c>
      <c r="O1197" s="13" t="s">
        <v>310</v>
      </c>
      <c r="P1197" s="13" t="s">
        <v>322</v>
      </c>
      <c r="Q1197" s="13" t="s">
        <v>11794</v>
      </c>
      <c r="R1197" s="109"/>
      <c r="S1197" s="109"/>
      <c r="T1197" s="112"/>
      <c r="U1197" s="112"/>
      <c r="V1197" s="112"/>
      <c r="W1197" s="112"/>
    </row>
    <row r="1198" spans="1:23" s="2" customFormat="1" ht="12">
      <c r="A1198" s="11"/>
      <c r="B1198" s="108"/>
      <c r="C1198" s="109"/>
      <c r="D1198" s="14" t="str">
        <f t="shared" si="33"/>
        <v>Byju's</v>
      </c>
      <c r="E1198" s="109"/>
      <c r="F1198" s="112"/>
      <c r="G1198" s="109"/>
      <c r="H1198" s="109"/>
      <c r="I1198" s="109"/>
      <c r="J1198" s="109"/>
      <c r="K1198" s="109"/>
      <c r="L1198" s="109"/>
      <c r="M1198" s="109"/>
      <c r="N1198" s="13" t="s">
        <v>3047</v>
      </c>
      <c r="O1198" s="13" t="s">
        <v>317</v>
      </c>
      <c r="P1198" s="13" t="s">
        <v>1032</v>
      </c>
      <c r="Q1198" s="13" t="s">
        <v>11795</v>
      </c>
      <c r="R1198" s="109"/>
      <c r="S1198" s="109"/>
      <c r="T1198" s="112"/>
      <c r="U1198" s="112"/>
      <c r="V1198" s="112"/>
      <c r="W1198" s="112"/>
    </row>
    <row r="1199" spans="1:23" s="2" customFormat="1" ht="12">
      <c r="A1199" s="11"/>
      <c r="B1199" s="108"/>
      <c r="C1199" s="109"/>
      <c r="D1199" s="14" t="str">
        <f t="shared" si="33"/>
        <v>Byju's</v>
      </c>
      <c r="E1199" s="109"/>
      <c r="F1199" s="112"/>
      <c r="G1199" s="109"/>
      <c r="H1199" s="109"/>
      <c r="I1199" s="109"/>
      <c r="J1199" s="109"/>
      <c r="K1199" s="109"/>
      <c r="L1199" s="109"/>
      <c r="M1199" s="109"/>
      <c r="N1199" s="13" t="s">
        <v>11796</v>
      </c>
      <c r="O1199" s="13" t="s">
        <v>251</v>
      </c>
      <c r="P1199" s="13" t="s">
        <v>2831</v>
      </c>
      <c r="Q1199" s="13" t="s">
        <v>11797</v>
      </c>
      <c r="R1199" s="109"/>
      <c r="S1199" s="109"/>
      <c r="T1199" s="112"/>
      <c r="U1199" s="112"/>
      <c r="V1199" s="112"/>
      <c r="W1199" s="112"/>
    </row>
    <row r="1200" spans="1:23" s="2" customFormat="1" ht="12">
      <c r="A1200" s="11"/>
      <c r="B1200" s="108"/>
      <c r="C1200" s="109"/>
      <c r="D1200" s="14" t="str">
        <f t="shared" si="33"/>
        <v>Byju's</v>
      </c>
      <c r="E1200" s="109"/>
      <c r="F1200" s="112"/>
      <c r="G1200" s="109"/>
      <c r="H1200" s="109"/>
      <c r="I1200" s="109"/>
      <c r="J1200" s="109"/>
      <c r="K1200" s="109"/>
      <c r="L1200" s="109"/>
      <c r="M1200" s="109"/>
      <c r="N1200" s="13" t="s">
        <v>11798</v>
      </c>
      <c r="O1200" s="13" t="s">
        <v>257</v>
      </c>
      <c r="P1200" s="13" t="s">
        <v>987</v>
      </c>
      <c r="Q1200" s="13" t="s">
        <v>11799</v>
      </c>
      <c r="R1200" s="109"/>
      <c r="S1200" s="109"/>
      <c r="T1200" s="112"/>
      <c r="U1200" s="112"/>
      <c r="V1200" s="112"/>
      <c r="W1200" s="112"/>
    </row>
    <row r="1201" spans="1:23" s="2" customFormat="1" ht="12">
      <c r="A1201" s="11"/>
      <c r="B1201" s="108"/>
      <c r="C1201" s="109"/>
      <c r="D1201" s="14" t="str">
        <f t="shared" si="33"/>
        <v>Byju's</v>
      </c>
      <c r="E1201" s="109"/>
      <c r="F1201" s="112"/>
      <c r="G1201" s="109"/>
      <c r="H1201" s="109"/>
      <c r="I1201" s="109"/>
      <c r="J1201" s="109"/>
      <c r="K1201" s="109"/>
      <c r="L1201" s="109"/>
      <c r="M1201" s="109"/>
      <c r="N1201" s="13" t="s">
        <v>8082</v>
      </c>
      <c r="O1201" s="13" t="s">
        <v>262</v>
      </c>
      <c r="P1201" s="13" t="s">
        <v>678</v>
      </c>
      <c r="Q1201" s="13" t="s">
        <v>11799</v>
      </c>
      <c r="R1201" s="109"/>
      <c r="S1201" s="109"/>
      <c r="T1201" s="112"/>
      <c r="U1201" s="112"/>
      <c r="V1201" s="112"/>
      <c r="W1201" s="112"/>
    </row>
    <row r="1202" spans="1:23" s="2" customFormat="1" ht="12">
      <c r="A1202" s="11"/>
      <c r="B1202" s="108"/>
      <c r="C1202" s="109" t="s">
        <v>11800</v>
      </c>
      <c r="D1202" s="14" t="s">
        <v>11801</v>
      </c>
      <c r="E1202" s="109" t="s">
        <v>11801</v>
      </c>
      <c r="F1202" s="112" t="s">
        <v>11802</v>
      </c>
      <c r="G1202" s="109"/>
      <c r="H1202" s="109" t="s">
        <v>11803</v>
      </c>
      <c r="I1202" s="109" t="s">
        <v>9513</v>
      </c>
      <c r="J1202" s="113" t="s">
        <v>2156</v>
      </c>
      <c r="K1202" s="113" t="s">
        <v>272</v>
      </c>
      <c r="L1202" s="113" t="s">
        <v>3605</v>
      </c>
      <c r="M1202" s="113" t="s">
        <v>11804</v>
      </c>
      <c r="N1202" s="13" t="s">
        <v>11800</v>
      </c>
      <c r="O1202" s="15" t="s">
        <v>285</v>
      </c>
      <c r="P1202" s="13" t="s">
        <v>655</v>
      </c>
      <c r="Q1202" s="13" t="s">
        <v>11805</v>
      </c>
      <c r="R1202" s="109" t="s">
        <v>11806</v>
      </c>
      <c r="S1202" s="109" t="s">
        <v>2449</v>
      </c>
      <c r="T1202" s="112" t="s">
        <v>11807</v>
      </c>
      <c r="U1202" s="112"/>
      <c r="V1202" s="112"/>
      <c r="W1202" s="112"/>
    </row>
    <row r="1203" spans="1:23" s="2" customFormat="1" ht="12">
      <c r="A1203" s="11"/>
      <c r="B1203" s="108"/>
      <c r="C1203" s="109"/>
      <c r="D1203" s="14" t="str">
        <f>D1202</f>
        <v>Dana</v>
      </c>
      <c r="E1203" s="109"/>
      <c r="F1203" s="112"/>
      <c r="G1203" s="109"/>
      <c r="H1203" s="109"/>
      <c r="I1203" s="109"/>
      <c r="J1203" s="109"/>
      <c r="K1203" s="109"/>
      <c r="L1203" s="109"/>
      <c r="M1203" s="109"/>
      <c r="N1203" s="13" t="s">
        <v>11808</v>
      </c>
      <c r="O1203" s="15" t="s">
        <v>471</v>
      </c>
      <c r="P1203" s="15" t="s">
        <v>276</v>
      </c>
      <c r="Q1203" s="13" t="s">
        <v>3284</v>
      </c>
      <c r="R1203" s="109"/>
      <c r="S1203" s="109"/>
      <c r="T1203" s="112"/>
      <c r="U1203" s="112"/>
      <c r="V1203" s="112"/>
      <c r="W1203" s="112"/>
    </row>
    <row r="1204" spans="1:23" s="2" customFormat="1" ht="80.5">
      <c r="A1204" s="11"/>
      <c r="B1204" s="108"/>
      <c r="C1204" s="13" t="s">
        <v>4995</v>
      </c>
      <c r="D1204" s="19" t="s">
        <v>11809</v>
      </c>
      <c r="E1204" s="13" t="s">
        <v>11809</v>
      </c>
      <c r="F1204" s="18" t="s">
        <v>11810</v>
      </c>
      <c r="G1204" s="13"/>
      <c r="H1204" s="13"/>
      <c r="I1204" s="13" t="s">
        <v>4333</v>
      </c>
      <c r="J1204" s="15" t="s">
        <v>11811</v>
      </c>
      <c r="K1204" s="15" t="s">
        <v>272</v>
      </c>
      <c r="L1204" s="15" t="s">
        <v>1859</v>
      </c>
      <c r="M1204" s="15" t="s">
        <v>2900</v>
      </c>
      <c r="N1204" s="13" t="s">
        <v>4995</v>
      </c>
      <c r="O1204" s="15" t="s">
        <v>285</v>
      </c>
      <c r="P1204" s="13" t="s">
        <v>11812</v>
      </c>
      <c r="Q1204" s="13" t="s">
        <v>11813</v>
      </c>
      <c r="R1204" s="13" t="s">
        <v>9427</v>
      </c>
      <c r="S1204" s="13" t="s">
        <v>11814</v>
      </c>
      <c r="T1204" s="18" t="s">
        <v>11815</v>
      </c>
      <c r="U1204" s="18"/>
      <c r="V1204" s="18"/>
      <c r="W1204" s="18"/>
    </row>
  </sheetData>
  <mergeCells count="4011">
    <mergeCell ref="W1138:W1150"/>
    <mergeCell ref="W1151:W1153"/>
    <mergeCell ref="W1154:W1155"/>
    <mergeCell ref="W1156:W1159"/>
    <mergeCell ref="W1160:W1162"/>
    <mergeCell ref="W1163:W1164"/>
    <mergeCell ref="W1167:W1168"/>
    <mergeCell ref="W1170:W1174"/>
    <mergeCell ref="W1175:W1176"/>
    <mergeCell ref="W1177:W1178"/>
    <mergeCell ref="W1179:W1201"/>
    <mergeCell ref="W1202:W1203"/>
    <mergeCell ref="W1064:W1067"/>
    <mergeCell ref="W1068:W1070"/>
    <mergeCell ref="W1072:W1078"/>
    <mergeCell ref="W1079:W1082"/>
    <mergeCell ref="W1083:W1084"/>
    <mergeCell ref="W1085:W1087"/>
    <mergeCell ref="W1088:W1092"/>
    <mergeCell ref="W1093:W1094"/>
    <mergeCell ref="W1096:W1097"/>
    <mergeCell ref="W1100:W1104"/>
    <mergeCell ref="W1105:W1107"/>
    <mergeCell ref="W1108:W1114"/>
    <mergeCell ref="W1115:W1117"/>
    <mergeCell ref="W1118:W1123"/>
    <mergeCell ref="W1124:W1126"/>
    <mergeCell ref="W1127:W1132"/>
    <mergeCell ref="W1133:W1137"/>
    <mergeCell ref="W969:W973"/>
    <mergeCell ref="W974:W979"/>
    <mergeCell ref="W980:W990"/>
    <mergeCell ref="W991:W1000"/>
    <mergeCell ref="W1001:W1008"/>
    <mergeCell ref="W1009:W1013"/>
    <mergeCell ref="W1014:W1018"/>
    <mergeCell ref="W1019:W1023"/>
    <mergeCell ref="W1026:W1027"/>
    <mergeCell ref="W1030:W1032"/>
    <mergeCell ref="W1034:W1035"/>
    <mergeCell ref="W1039:W1040"/>
    <mergeCell ref="W1041:W1043"/>
    <mergeCell ref="W1044:W1048"/>
    <mergeCell ref="W1049:W1053"/>
    <mergeCell ref="W1054:W1059"/>
    <mergeCell ref="W1060:W1063"/>
    <mergeCell ref="W899:W902"/>
    <mergeCell ref="W903:W904"/>
    <mergeCell ref="W907:W908"/>
    <mergeCell ref="W909:W911"/>
    <mergeCell ref="W912:W914"/>
    <mergeCell ref="W915:W917"/>
    <mergeCell ref="W920:W922"/>
    <mergeCell ref="W923:W926"/>
    <mergeCell ref="W928:W929"/>
    <mergeCell ref="W932:W933"/>
    <mergeCell ref="W934:W935"/>
    <mergeCell ref="W936:W943"/>
    <mergeCell ref="W944:W948"/>
    <mergeCell ref="W949:W954"/>
    <mergeCell ref="W955:W959"/>
    <mergeCell ref="W960:W965"/>
    <mergeCell ref="W966:W968"/>
    <mergeCell ref="W820:W824"/>
    <mergeCell ref="W826:W829"/>
    <mergeCell ref="W831:W833"/>
    <mergeCell ref="W834:W836"/>
    <mergeCell ref="W837:W841"/>
    <mergeCell ref="W843:W846"/>
    <mergeCell ref="W848:W850"/>
    <mergeCell ref="W852:W856"/>
    <mergeCell ref="W857:W859"/>
    <mergeCell ref="W862:W863"/>
    <mergeCell ref="W866:W867"/>
    <mergeCell ref="W869:W873"/>
    <mergeCell ref="W874:W875"/>
    <mergeCell ref="W876:W877"/>
    <mergeCell ref="W879:W882"/>
    <mergeCell ref="W883:W893"/>
    <mergeCell ref="W894:W898"/>
    <mergeCell ref="W741:W742"/>
    <mergeCell ref="W743:W745"/>
    <mergeCell ref="W746:W751"/>
    <mergeCell ref="W753:W760"/>
    <mergeCell ref="W761:W767"/>
    <mergeCell ref="W768:W770"/>
    <mergeCell ref="W772:W774"/>
    <mergeCell ref="W776:W777"/>
    <mergeCell ref="W778:W789"/>
    <mergeCell ref="W790:W791"/>
    <mergeCell ref="W792:W793"/>
    <mergeCell ref="W794:W796"/>
    <mergeCell ref="W797:W805"/>
    <mergeCell ref="W806:W807"/>
    <mergeCell ref="W808:W811"/>
    <mergeCell ref="W812:W814"/>
    <mergeCell ref="W816:W819"/>
    <mergeCell ref="W678:W683"/>
    <mergeCell ref="W684:W685"/>
    <mergeCell ref="W686:W687"/>
    <mergeCell ref="W689:W693"/>
    <mergeCell ref="W694:W699"/>
    <mergeCell ref="W700:W702"/>
    <mergeCell ref="W703:W704"/>
    <mergeCell ref="W705:W709"/>
    <mergeCell ref="W710:W711"/>
    <mergeCell ref="W713:W714"/>
    <mergeCell ref="W715:W717"/>
    <mergeCell ref="W719:W720"/>
    <mergeCell ref="W724:W726"/>
    <mergeCell ref="W727:W731"/>
    <mergeCell ref="W732:W734"/>
    <mergeCell ref="W735:W737"/>
    <mergeCell ref="W738:W740"/>
    <mergeCell ref="W610:W611"/>
    <mergeCell ref="W613:W614"/>
    <mergeCell ref="W619:W622"/>
    <mergeCell ref="W623:W626"/>
    <mergeCell ref="W627:W629"/>
    <mergeCell ref="W630:W631"/>
    <mergeCell ref="W635:W636"/>
    <mergeCell ref="W637:W638"/>
    <mergeCell ref="W640:W641"/>
    <mergeCell ref="W642:W645"/>
    <mergeCell ref="W646:W649"/>
    <mergeCell ref="W651:W652"/>
    <mergeCell ref="W653:W654"/>
    <mergeCell ref="W655:W656"/>
    <mergeCell ref="W657:W659"/>
    <mergeCell ref="W662:W671"/>
    <mergeCell ref="W672:W677"/>
    <mergeCell ref="W538:W539"/>
    <mergeCell ref="W540:W541"/>
    <mergeCell ref="W546:W547"/>
    <mergeCell ref="W548:W550"/>
    <mergeCell ref="W551:W552"/>
    <mergeCell ref="W553:W557"/>
    <mergeCell ref="W558:W563"/>
    <mergeCell ref="W565:W570"/>
    <mergeCell ref="W571:W574"/>
    <mergeCell ref="W576:W577"/>
    <mergeCell ref="W578:W579"/>
    <mergeCell ref="W582:W583"/>
    <mergeCell ref="W585:W588"/>
    <mergeCell ref="W590:W595"/>
    <mergeCell ref="W596:W598"/>
    <mergeCell ref="W604:W606"/>
    <mergeCell ref="W607:W608"/>
    <mergeCell ref="W455:W456"/>
    <mergeCell ref="W457:W458"/>
    <mergeCell ref="W459:W463"/>
    <mergeCell ref="W465:W468"/>
    <mergeCell ref="W470:W472"/>
    <mergeCell ref="W473:W485"/>
    <mergeCell ref="W486:W488"/>
    <mergeCell ref="W489:W494"/>
    <mergeCell ref="W495:W497"/>
    <mergeCell ref="W498:W503"/>
    <mergeCell ref="W505:W508"/>
    <mergeCell ref="W509:W511"/>
    <mergeCell ref="W512:W514"/>
    <mergeCell ref="W516:W520"/>
    <mergeCell ref="W521:W522"/>
    <mergeCell ref="W525:W529"/>
    <mergeCell ref="W534:W537"/>
    <mergeCell ref="W385:W390"/>
    <mergeCell ref="W391:W392"/>
    <mergeCell ref="W394:W395"/>
    <mergeCell ref="W397:W407"/>
    <mergeCell ref="W408:W411"/>
    <mergeCell ref="W412:W415"/>
    <mergeCell ref="W416:W420"/>
    <mergeCell ref="W421:W422"/>
    <mergeCell ref="W423:W426"/>
    <mergeCell ref="W427:W430"/>
    <mergeCell ref="W433:W434"/>
    <mergeCell ref="W435:W437"/>
    <mergeCell ref="W438:W441"/>
    <mergeCell ref="W442:W443"/>
    <mergeCell ref="W444:W445"/>
    <mergeCell ref="W446:W448"/>
    <mergeCell ref="W449:W454"/>
    <mergeCell ref="W305:W316"/>
    <mergeCell ref="W317:W320"/>
    <mergeCell ref="W321:W325"/>
    <mergeCell ref="W327:W330"/>
    <mergeCell ref="W331:W336"/>
    <mergeCell ref="W337:W340"/>
    <mergeCell ref="W341:W346"/>
    <mergeCell ref="W348:W351"/>
    <mergeCell ref="W353:W354"/>
    <mergeCell ref="W355:W356"/>
    <mergeCell ref="W357:W360"/>
    <mergeCell ref="W361:W364"/>
    <mergeCell ref="W365:W367"/>
    <mergeCell ref="W368:W375"/>
    <mergeCell ref="W376:W378"/>
    <mergeCell ref="W379:W382"/>
    <mergeCell ref="W383:W384"/>
    <mergeCell ref="W210:W214"/>
    <mergeCell ref="W215:W226"/>
    <mergeCell ref="W227:W229"/>
    <mergeCell ref="W230:W232"/>
    <mergeCell ref="W233:W237"/>
    <mergeCell ref="W238:W241"/>
    <mergeCell ref="W242:W248"/>
    <mergeCell ref="W249:W252"/>
    <mergeCell ref="W253:W257"/>
    <mergeCell ref="W258:W265"/>
    <mergeCell ref="W269:W273"/>
    <mergeCell ref="W275:W276"/>
    <mergeCell ref="W277:W284"/>
    <mergeCell ref="W285:W290"/>
    <mergeCell ref="W291:W297"/>
    <mergeCell ref="W299:W301"/>
    <mergeCell ref="W302:W304"/>
    <mergeCell ref="W118:W120"/>
    <mergeCell ref="W121:W125"/>
    <mergeCell ref="W126:W128"/>
    <mergeCell ref="W131:W133"/>
    <mergeCell ref="W134:W138"/>
    <mergeCell ref="W139:W143"/>
    <mergeCell ref="W144:W145"/>
    <mergeCell ref="W146:W154"/>
    <mergeCell ref="W155:W162"/>
    <mergeCell ref="W163:W169"/>
    <mergeCell ref="W170:W171"/>
    <mergeCell ref="W172:W175"/>
    <mergeCell ref="W176:W178"/>
    <mergeCell ref="W180:W199"/>
    <mergeCell ref="W200:W201"/>
    <mergeCell ref="W202:W205"/>
    <mergeCell ref="W206:W207"/>
    <mergeCell ref="W2:W12"/>
    <mergeCell ref="W13:W34"/>
    <mergeCell ref="W35:W38"/>
    <mergeCell ref="W39:W44"/>
    <mergeCell ref="W45:W47"/>
    <mergeCell ref="W48:W51"/>
    <mergeCell ref="W52:W57"/>
    <mergeCell ref="W58:W65"/>
    <mergeCell ref="W66:W72"/>
    <mergeCell ref="W73:W79"/>
    <mergeCell ref="W80:W81"/>
    <mergeCell ref="W82:W92"/>
    <mergeCell ref="W93:W98"/>
    <mergeCell ref="W99:W106"/>
    <mergeCell ref="W107:W110"/>
    <mergeCell ref="W111:W113"/>
    <mergeCell ref="W114:W117"/>
    <mergeCell ref="V1115:V1117"/>
    <mergeCell ref="V1118:V1123"/>
    <mergeCell ref="V1124:V1126"/>
    <mergeCell ref="V1127:V1132"/>
    <mergeCell ref="V1133:V1137"/>
    <mergeCell ref="V1138:V1150"/>
    <mergeCell ref="V1151:V1153"/>
    <mergeCell ref="V1154:V1155"/>
    <mergeCell ref="V1156:V1159"/>
    <mergeCell ref="V1160:V1162"/>
    <mergeCell ref="V1163:V1164"/>
    <mergeCell ref="V1167:V1168"/>
    <mergeCell ref="V1170:V1174"/>
    <mergeCell ref="V1175:V1176"/>
    <mergeCell ref="V1177:V1178"/>
    <mergeCell ref="V1179:V1201"/>
    <mergeCell ref="V1202:V1203"/>
    <mergeCell ref="V1041:V1043"/>
    <mergeCell ref="V1044:V1048"/>
    <mergeCell ref="V1049:V1053"/>
    <mergeCell ref="V1054:V1059"/>
    <mergeCell ref="V1060:V1063"/>
    <mergeCell ref="V1064:V1067"/>
    <mergeCell ref="V1068:V1070"/>
    <mergeCell ref="V1072:V1078"/>
    <mergeCell ref="V1079:V1082"/>
    <mergeCell ref="V1083:V1084"/>
    <mergeCell ref="V1085:V1087"/>
    <mergeCell ref="V1088:V1092"/>
    <mergeCell ref="V1093:V1094"/>
    <mergeCell ref="V1096:V1097"/>
    <mergeCell ref="V1100:V1104"/>
    <mergeCell ref="V1105:V1107"/>
    <mergeCell ref="V1108:V1114"/>
    <mergeCell ref="V944:V948"/>
    <mergeCell ref="V949:V954"/>
    <mergeCell ref="V955:V959"/>
    <mergeCell ref="V960:V965"/>
    <mergeCell ref="V966:V968"/>
    <mergeCell ref="V969:V973"/>
    <mergeCell ref="V974:V979"/>
    <mergeCell ref="V980:V990"/>
    <mergeCell ref="V991:V1000"/>
    <mergeCell ref="V1001:V1008"/>
    <mergeCell ref="V1009:V1013"/>
    <mergeCell ref="V1014:V1018"/>
    <mergeCell ref="V1019:V1023"/>
    <mergeCell ref="V1026:V1027"/>
    <mergeCell ref="V1030:V1032"/>
    <mergeCell ref="V1034:V1035"/>
    <mergeCell ref="V1039:V1040"/>
    <mergeCell ref="V874:V875"/>
    <mergeCell ref="V876:V877"/>
    <mergeCell ref="V879:V882"/>
    <mergeCell ref="V883:V893"/>
    <mergeCell ref="V894:V898"/>
    <mergeCell ref="V899:V902"/>
    <mergeCell ref="V903:V904"/>
    <mergeCell ref="V907:V908"/>
    <mergeCell ref="V909:V911"/>
    <mergeCell ref="V912:V914"/>
    <mergeCell ref="V915:V917"/>
    <mergeCell ref="V920:V922"/>
    <mergeCell ref="V923:V926"/>
    <mergeCell ref="V928:V929"/>
    <mergeCell ref="V932:V933"/>
    <mergeCell ref="V934:V935"/>
    <mergeCell ref="V936:V943"/>
    <mergeCell ref="V797:V805"/>
    <mergeCell ref="V806:V807"/>
    <mergeCell ref="V808:V811"/>
    <mergeCell ref="V812:V814"/>
    <mergeCell ref="V816:V819"/>
    <mergeCell ref="V820:V824"/>
    <mergeCell ref="V826:V829"/>
    <mergeCell ref="V831:V833"/>
    <mergeCell ref="V834:V836"/>
    <mergeCell ref="V837:V841"/>
    <mergeCell ref="V843:V846"/>
    <mergeCell ref="V848:V850"/>
    <mergeCell ref="V852:V856"/>
    <mergeCell ref="V857:V859"/>
    <mergeCell ref="V862:V863"/>
    <mergeCell ref="V866:V867"/>
    <mergeCell ref="V869:V873"/>
    <mergeCell ref="V724:V726"/>
    <mergeCell ref="V727:V731"/>
    <mergeCell ref="V732:V734"/>
    <mergeCell ref="V735:V737"/>
    <mergeCell ref="V738:V740"/>
    <mergeCell ref="V741:V742"/>
    <mergeCell ref="V743:V745"/>
    <mergeCell ref="V746:V751"/>
    <mergeCell ref="V753:V760"/>
    <mergeCell ref="V761:V767"/>
    <mergeCell ref="V768:V770"/>
    <mergeCell ref="V772:V774"/>
    <mergeCell ref="V776:V777"/>
    <mergeCell ref="V778:V789"/>
    <mergeCell ref="V790:V791"/>
    <mergeCell ref="V792:V793"/>
    <mergeCell ref="V794:V796"/>
    <mergeCell ref="V653:V654"/>
    <mergeCell ref="V655:V656"/>
    <mergeCell ref="V657:V659"/>
    <mergeCell ref="V662:V671"/>
    <mergeCell ref="V672:V677"/>
    <mergeCell ref="V678:V683"/>
    <mergeCell ref="V684:V685"/>
    <mergeCell ref="V686:V687"/>
    <mergeCell ref="V689:V693"/>
    <mergeCell ref="V694:V699"/>
    <mergeCell ref="V700:V702"/>
    <mergeCell ref="V703:V704"/>
    <mergeCell ref="V705:V709"/>
    <mergeCell ref="V710:V711"/>
    <mergeCell ref="V713:V714"/>
    <mergeCell ref="V715:V717"/>
    <mergeCell ref="V719:V720"/>
    <mergeCell ref="V585:V588"/>
    <mergeCell ref="V590:V595"/>
    <mergeCell ref="V596:V598"/>
    <mergeCell ref="V604:V606"/>
    <mergeCell ref="V607:V608"/>
    <mergeCell ref="V610:V611"/>
    <mergeCell ref="V613:V614"/>
    <mergeCell ref="V619:V622"/>
    <mergeCell ref="V623:V626"/>
    <mergeCell ref="V627:V629"/>
    <mergeCell ref="V630:V631"/>
    <mergeCell ref="V635:V636"/>
    <mergeCell ref="V637:V638"/>
    <mergeCell ref="V640:V641"/>
    <mergeCell ref="V642:V645"/>
    <mergeCell ref="V646:V649"/>
    <mergeCell ref="V651:V652"/>
    <mergeCell ref="V512:V514"/>
    <mergeCell ref="V516:V520"/>
    <mergeCell ref="V521:V522"/>
    <mergeCell ref="V525:V529"/>
    <mergeCell ref="V534:V537"/>
    <mergeCell ref="V538:V539"/>
    <mergeCell ref="V540:V541"/>
    <mergeCell ref="V546:V547"/>
    <mergeCell ref="V548:V550"/>
    <mergeCell ref="V551:V552"/>
    <mergeCell ref="V553:V557"/>
    <mergeCell ref="V558:V563"/>
    <mergeCell ref="V565:V570"/>
    <mergeCell ref="V571:V574"/>
    <mergeCell ref="V576:V577"/>
    <mergeCell ref="V578:V579"/>
    <mergeCell ref="V582:V583"/>
    <mergeCell ref="V438:V441"/>
    <mergeCell ref="V442:V443"/>
    <mergeCell ref="V444:V445"/>
    <mergeCell ref="V446:V448"/>
    <mergeCell ref="V449:V454"/>
    <mergeCell ref="V455:V456"/>
    <mergeCell ref="V457:V458"/>
    <mergeCell ref="V459:V463"/>
    <mergeCell ref="V465:V468"/>
    <mergeCell ref="V470:V472"/>
    <mergeCell ref="V473:V485"/>
    <mergeCell ref="V486:V488"/>
    <mergeCell ref="V489:V494"/>
    <mergeCell ref="V495:V497"/>
    <mergeCell ref="V498:V503"/>
    <mergeCell ref="V505:V508"/>
    <mergeCell ref="V509:V511"/>
    <mergeCell ref="V365:V367"/>
    <mergeCell ref="V368:V375"/>
    <mergeCell ref="V376:V378"/>
    <mergeCell ref="V379:V382"/>
    <mergeCell ref="V383:V384"/>
    <mergeCell ref="V385:V390"/>
    <mergeCell ref="V391:V392"/>
    <mergeCell ref="V394:V395"/>
    <mergeCell ref="V397:V407"/>
    <mergeCell ref="V408:V411"/>
    <mergeCell ref="V412:V415"/>
    <mergeCell ref="V416:V420"/>
    <mergeCell ref="V421:V422"/>
    <mergeCell ref="V423:V426"/>
    <mergeCell ref="V427:V430"/>
    <mergeCell ref="V433:V434"/>
    <mergeCell ref="V435:V437"/>
    <mergeCell ref="V277:V284"/>
    <mergeCell ref="V285:V290"/>
    <mergeCell ref="V291:V297"/>
    <mergeCell ref="V299:V301"/>
    <mergeCell ref="V302:V304"/>
    <mergeCell ref="V305:V316"/>
    <mergeCell ref="V317:V320"/>
    <mergeCell ref="V321:V325"/>
    <mergeCell ref="V327:V330"/>
    <mergeCell ref="V331:V336"/>
    <mergeCell ref="V337:V340"/>
    <mergeCell ref="V341:V346"/>
    <mergeCell ref="V348:V351"/>
    <mergeCell ref="V353:V354"/>
    <mergeCell ref="V355:V356"/>
    <mergeCell ref="V357:V360"/>
    <mergeCell ref="V361:V364"/>
    <mergeCell ref="V176:V178"/>
    <mergeCell ref="V180:V199"/>
    <mergeCell ref="V200:V201"/>
    <mergeCell ref="V202:V205"/>
    <mergeCell ref="V206:V207"/>
    <mergeCell ref="V210:V214"/>
    <mergeCell ref="V215:V226"/>
    <mergeCell ref="V227:V229"/>
    <mergeCell ref="V230:V232"/>
    <mergeCell ref="V233:V237"/>
    <mergeCell ref="V238:V241"/>
    <mergeCell ref="V242:V248"/>
    <mergeCell ref="V249:V252"/>
    <mergeCell ref="V253:V257"/>
    <mergeCell ref="V258:V265"/>
    <mergeCell ref="V269:V273"/>
    <mergeCell ref="V275:V276"/>
    <mergeCell ref="U1177:U1178"/>
    <mergeCell ref="U1179:U1201"/>
    <mergeCell ref="U1202:U1203"/>
    <mergeCell ref="V2:V12"/>
    <mergeCell ref="V13:V34"/>
    <mergeCell ref="V35:V38"/>
    <mergeCell ref="V39:V44"/>
    <mergeCell ref="V45:V47"/>
    <mergeCell ref="V48:V51"/>
    <mergeCell ref="V52:V57"/>
    <mergeCell ref="V58:V65"/>
    <mergeCell ref="V66:V72"/>
    <mergeCell ref="V73:V79"/>
    <mergeCell ref="V80:V81"/>
    <mergeCell ref="V82:V92"/>
    <mergeCell ref="V93:V98"/>
    <mergeCell ref="V99:V106"/>
    <mergeCell ref="V107:V110"/>
    <mergeCell ref="V111:V113"/>
    <mergeCell ref="V114:V117"/>
    <mergeCell ref="V118:V120"/>
    <mergeCell ref="V121:V125"/>
    <mergeCell ref="V126:V128"/>
    <mergeCell ref="V131:V133"/>
    <mergeCell ref="V134:V138"/>
    <mergeCell ref="V139:V143"/>
    <mergeCell ref="V144:V145"/>
    <mergeCell ref="V146:V154"/>
    <mergeCell ref="V155:V162"/>
    <mergeCell ref="V163:V169"/>
    <mergeCell ref="V170:V171"/>
    <mergeCell ref="V172:V175"/>
    <mergeCell ref="U1100:U1104"/>
    <mergeCell ref="U1105:U1107"/>
    <mergeCell ref="U1108:U1114"/>
    <mergeCell ref="U1115:U1117"/>
    <mergeCell ref="U1118:U1123"/>
    <mergeCell ref="U1124:U1126"/>
    <mergeCell ref="U1127:U1132"/>
    <mergeCell ref="U1133:U1137"/>
    <mergeCell ref="U1138:U1150"/>
    <mergeCell ref="U1151:U1153"/>
    <mergeCell ref="U1154:U1155"/>
    <mergeCell ref="U1156:U1159"/>
    <mergeCell ref="U1160:U1162"/>
    <mergeCell ref="U1163:U1164"/>
    <mergeCell ref="U1167:U1168"/>
    <mergeCell ref="U1170:U1174"/>
    <mergeCell ref="U1175:U1176"/>
    <mergeCell ref="U1030:U1032"/>
    <mergeCell ref="U1034:U1035"/>
    <mergeCell ref="U1039:U1040"/>
    <mergeCell ref="U1041:U1043"/>
    <mergeCell ref="U1044:U1048"/>
    <mergeCell ref="U1049:U1053"/>
    <mergeCell ref="U1054:U1059"/>
    <mergeCell ref="U1060:U1063"/>
    <mergeCell ref="U1064:U1067"/>
    <mergeCell ref="U1068:U1070"/>
    <mergeCell ref="U1072:U1078"/>
    <mergeCell ref="U1079:U1082"/>
    <mergeCell ref="U1083:U1084"/>
    <mergeCell ref="U1085:U1087"/>
    <mergeCell ref="U1088:U1092"/>
    <mergeCell ref="U1093:U1094"/>
    <mergeCell ref="U1096:U1097"/>
    <mergeCell ref="U932:U933"/>
    <mergeCell ref="U934:U935"/>
    <mergeCell ref="U936:U943"/>
    <mergeCell ref="U944:U948"/>
    <mergeCell ref="U949:U954"/>
    <mergeCell ref="U955:U959"/>
    <mergeCell ref="U960:U965"/>
    <mergeCell ref="U966:U968"/>
    <mergeCell ref="U969:U973"/>
    <mergeCell ref="U974:U979"/>
    <mergeCell ref="U980:U990"/>
    <mergeCell ref="U991:U1000"/>
    <mergeCell ref="U1001:U1008"/>
    <mergeCell ref="U1009:U1013"/>
    <mergeCell ref="U1014:U1018"/>
    <mergeCell ref="U1019:U1023"/>
    <mergeCell ref="U1026:U1027"/>
    <mergeCell ref="U862:U863"/>
    <mergeCell ref="U866:U867"/>
    <mergeCell ref="U869:U873"/>
    <mergeCell ref="U874:U875"/>
    <mergeCell ref="U876:U877"/>
    <mergeCell ref="U879:U882"/>
    <mergeCell ref="U883:U893"/>
    <mergeCell ref="U894:U898"/>
    <mergeCell ref="U899:U902"/>
    <mergeCell ref="U903:U904"/>
    <mergeCell ref="U907:U908"/>
    <mergeCell ref="U909:U911"/>
    <mergeCell ref="U912:U914"/>
    <mergeCell ref="U915:U917"/>
    <mergeCell ref="U920:U922"/>
    <mergeCell ref="U923:U926"/>
    <mergeCell ref="U928:U929"/>
    <mergeCell ref="U790:U791"/>
    <mergeCell ref="U792:U793"/>
    <mergeCell ref="U794:U796"/>
    <mergeCell ref="U797:U805"/>
    <mergeCell ref="U806:U807"/>
    <mergeCell ref="U808:U811"/>
    <mergeCell ref="U812:U814"/>
    <mergeCell ref="U816:U819"/>
    <mergeCell ref="U820:U824"/>
    <mergeCell ref="U826:U829"/>
    <mergeCell ref="U831:U833"/>
    <mergeCell ref="U834:U836"/>
    <mergeCell ref="U837:U841"/>
    <mergeCell ref="U843:U846"/>
    <mergeCell ref="U848:U850"/>
    <mergeCell ref="U852:U856"/>
    <mergeCell ref="U857:U859"/>
    <mergeCell ref="U713:U714"/>
    <mergeCell ref="U715:U717"/>
    <mergeCell ref="U719:U720"/>
    <mergeCell ref="U724:U726"/>
    <mergeCell ref="U727:U731"/>
    <mergeCell ref="U732:U734"/>
    <mergeCell ref="U735:U737"/>
    <mergeCell ref="U738:U740"/>
    <mergeCell ref="U741:U742"/>
    <mergeCell ref="U743:U745"/>
    <mergeCell ref="U746:U751"/>
    <mergeCell ref="U753:U760"/>
    <mergeCell ref="U761:U767"/>
    <mergeCell ref="U768:U770"/>
    <mergeCell ref="U772:U774"/>
    <mergeCell ref="U776:U777"/>
    <mergeCell ref="U778:U789"/>
    <mergeCell ref="U642:U645"/>
    <mergeCell ref="U646:U649"/>
    <mergeCell ref="U651:U652"/>
    <mergeCell ref="U653:U654"/>
    <mergeCell ref="U655:U656"/>
    <mergeCell ref="U657:U659"/>
    <mergeCell ref="U662:U671"/>
    <mergeCell ref="U672:U677"/>
    <mergeCell ref="U678:U683"/>
    <mergeCell ref="U684:U685"/>
    <mergeCell ref="U686:U687"/>
    <mergeCell ref="U689:U693"/>
    <mergeCell ref="U694:U699"/>
    <mergeCell ref="U700:U702"/>
    <mergeCell ref="U703:U704"/>
    <mergeCell ref="U705:U709"/>
    <mergeCell ref="U710:U711"/>
    <mergeCell ref="U576:U577"/>
    <mergeCell ref="U578:U579"/>
    <mergeCell ref="U582:U583"/>
    <mergeCell ref="U585:U588"/>
    <mergeCell ref="U590:U595"/>
    <mergeCell ref="U596:U598"/>
    <mergeCell ref="U604:U606"/>
    <mergeCell ref="U607:U608"/>
    <mergeCell ref="U610:U611"/>
    <mergeCell ref="U613:U614"/>
    <mergeCell ref="U619:U622"/>
    <mergeCell ref="U623:U626"/>
    <mergeCell ref="U627:U629"/>
    <mergeCell ref="U630:U631"/>
    <mergeCell ref="U635:U636"/>
    <mergeCell ref="U637:U638"/>
    <mergeCell ref="U640:U641"/>
    <mergeCell ref="U498:U503"/>
    <mergeCell ref="U505:U508"/>
    <mergeCell ref="U509:U511"/>
    <mergeCell ref="U512:U514"/>
    <mergeCell ref="U516:U520"/>
    <mergeCell ref="U521:U522"/>
    <mergeCell ref="U525:U529"/>
    <mergeCell ref="U534:U537"/>
    <mergeCell ref="U538:U539"/>
    <mergeCell ref="U540:U541"/>
    <mergeCell ref="U546:U547"/>
    <mergeCell ref="U548:U550"/>
    <mergeCell ref="U551:U552"/>
    <mergeCell ref="U553:U557"/>
    <mergeCell ref="U558:U563"/>
    <mergeCell ref="U565:U570"/>
    <mergeCell ref="U571:U574"/>
    <mergeCell ref="U427:U430"/>
    <mergeCell ref="U433:U434"/>
    <mergeCell ref="U435:U437"/>
    <mergeCell ref="U438:U441"/>
    <mergeCell ref="U442:U443"/>
    <mergeCell ref="U444:U445"/>
    <mergeCell ref="U446:U448"/>
    <mergeCell ref="U449:U454"/>
    <mergeCell ref="U455:U456"/>
    <mergeCell ref="U457:U458"/>
    <mergeCell ref="U459:U463"/>
    <mergeCell ref="U465:U468"/>
    <mergeCell ref="U470:U472"/>
    <mergeCell ref="U473:U485"/>
    <mergeCell ref="U486:U488"/>
    <mergeCell ref="U489:U494"/>
    <mergeCell ref="U495:U497"/>
    <mergeCell ref="U355:U356"/>
    <mergeCell ref="U357:U360"/>
    <mergeCell ref="U361:U364"/>
    <mergeCell ref="U365:U367"/>
    <mergeCell ref="U368:U375"/>
    <mergeCell ref="U376:U378"/>
    <mergeCell ref="U379:U382"/>
    <mergeCell ref="U383:U384"/>
    <mergeCell ref="U385:U390"/>
    <mergeCell ref="U391:U392"/>
    <mergeCell ref="U394:U395"/>
    <mergeCell ref="U397:U407"/>
    <mergeCell ref="U408:U411"/>
    <mergeCell ref="U412:U415"/>
    <mergeCell ref="U416:U420"/>
    <mergeCell ref="U421:U422"/>
    <mergeCell ref="U423:U426"/>
    <mergeCell ref="U258:U265"/>
    <mergeCell ref="U269:U273"/>
    <mergeCell ref="U275:U276"/>
    <mergeCell ref="U277:U284"/>
    <mergeCell ref="U285:U290"/>
    <mergeCell ref="U291:U297"/>
    <mergeCell ref="U299:U301"/>
    <mergeCell ref="U302:U304"/>
    <mergeCell ref="U305:U316"/>
    <mergeCell ref="U317:U320"/>
    <mergeCell ref="U321:U325"/>
    <mergeCell ref="U327:U330"/>
    <mergeCell ref="U331:U336"/>
    <mergeCell ref="U337:U340"/>
    <mergeCell ref="U341:U346"/>
    <mergeCell ref="U348:U351"/>
    <mergeCell ref="U353:U354"/>
    <mergeCell ref="U163:U169"/>
    <mergeCell ref="U170:U171"/>
    <mergeCell ref="U172:U175"/>
    <mergeCell ref="U176:U178"/>
    <mergeCell ref="U180:U199"/>
    <mergeCell ref="U200:U201"/>
    <mergeCell ref="U202:U205"/>
    <mergeCell ref="U206:U207"/>
    <mergeCell ref="U210:U214"/>
    <mergeCell ref="U215:U226"/>
    <mergeCell ref="U227:U229"/>
    <mergeCell ref="U230:U232"/>
    <mergeCell ref="U233:U237"/>
    <mergeCell ref="U238:U241"/>
    <mergeCell ref="U242:U248"/>
    <mergeCell ref="U249:U252"/>
    <mergeCell ref="U253:U257"/>
    <mergeCell ref="T1167:T1168"/>
    <mergeCell ref="T1170:T1174"/>
    <mergeCell ref="T1175:T1176"/>
    <mergeCell ref="T1177:T1178"/>
    <mergeCell ref="T1179:T1201"/>
    <mergeCell ref="T1202:T1203"/>
    <mergeCell ref="U2:U12"/>
    <mergeCell ref="U13:U34"/>
    <mergeCell ref="U35:U38"/>
    <mergeCell ref="U39:U44"/>
    <mergeCell ref="U45:U47"/>
    <mergeCell ref="U48:U51"/>
    <mergeCell ref="U52:U57"/>
    <mergeCell ref="U58:U65"/>
    <mergeCell ref="U66:U72"/>
    <mergeCell ref="U73:U79"/>
    <mergeCell ref="U80:U81"/>
    <mergeCell ref="U82:U92"/>
    <mergeCell ref="U93:U98"/>
    <mergeCell ref="U99:U106"/>
    <mergeCell ref="U107:U110"/>
    <mergeCell ref="U111:U113"/>
    <mergeCell ref="U114:U117"/>
    <mergeCell ref="U118:U120"/>
    <mergeCell ref="U121:U125"/>
    <mergeCell ref="U126:U128"/>
    <mergeCell ref="U131:U133"/>
    <mergeCell ref="U134:U138"/>
    <mergeCell ref="U139:U143"/>
    <mergeCell ref="U144:U145"/>
    <mergeCell ref="U146:U154"/>
    <mergeCell ref="U155:U162"/>
    <mergeCell ref="T1088:T1092"/>
    <mergeCell ref="T1093:T1094"/>
    <mergeCell ref="T1096:T1097"/>
    <mergeCell ref="T1100:T1104"/>
    <mergeCell ref="T1105:T1107"/>
    <mergeCell ref="T1108:T1114"/>
    <mergeCell ref="T1115:T1117"/>
    <mergeCell ref="T1118:T1123"/>
    <mergeCell ref="T1124:T1126"/>
    <mergeCell ref="T1127:T1132"/>
    <mergeCell ref="T1133:T1137"/>
    <mergeCell ref="T1138:T1150"/>
    <mergeCell ref="T1151:T1153"/>
    <mergeCell ref="T1154:T1155"/>
    <mergeCell ref="T1156:T1159"/>
    <mergeCell ref="T1160:T1162"/>
    <mergeCell ref="T1163:T1164"/>
    <mergeCell ref="T1014:T1018"/>
    <mergeCell ref="T1019:T1023"/>
    <mergeCell ref="T1026:T1027"/>
    <mergeCell ref="T1030:T1032"/>
    <mergeCell ref="T1034:T1035"/>
    <mergeCell ref="T1039:T1040"/>
    <mergeCell ref="T1041:T1043"/>
    <mergeCell ref="T1044:T1048"/>
    <mergeCell ref="T1049:T1053"/>
    <mergeCell ref="T1054:T1059"/>
    <mergeCell ref="T1060:T1063"/>
    <mergeCell ref="T1064:T1067"/>
    <mergeCell ref="T1068:T1070"/>
    <mergeCell ref="T1072:T1078"/>
    <mergeCell ref="T1079:T1082"/>
    <mergeCell ref="T1083:T1084"/>
    <mergeCell ref="T1085:T1087"/>
    <mergeCell ref="T920:T922"/>
    <mergeCell ref="T923:T926"/>
    <mergeCell ref="T928:T929"/>
    <mergeCell ref="T932:T933"/>
    <mergeCell ref="T934:T935"/>
    <mergeCell ref="T936:T943"/>
    <mergeCell ref="T944:T948"/>
    <mergeCell ref="T949:T954"/>
    <mergeCell ref="T955:T959"/>
    <mergeCell ref="T960:T965"/>
    <mergeCell ref="T966:T968"/>
    <mergeCell ref="T969:T973"/>
    <mergeCell ref="T974:T979"/>
    <mergeCell ref="T980:T990"/>
    <mergeCell ref="T991:T1000"/>
    <mergeCell ref="T1001:T1008"/>
    <mergeCell ref="T1009:T1013"/>
    <mergeCell ref="T848:T850"/>
    <mergeCell ref="T852:T856"/>
    <mergeCell ref="T857:T859"/>
    <mergeCell ref="T862:T863"/>
    <mergeCell ref="T866:T867"/>
    <mergeCell ref="T869:T873"/>
    <mergeCell ref="T874:T875"/>
    <mergeCell ref="T876:T877"/>
    <mergeCell ref="T879:T882"/>
    <mergeCell ref="T883:T893"/>
    <mergeCell ref="T894:T898"/>
    <mergeCell ref="T899:T902"/>
    <mergeCell ref="T903:T904"/>
    <mergeCell ref="T907:T908"/>
    <mergeCell ref="T909:T911"/>
    <mergeCell ref="T912:T914"/>
    <mergeCell ref="T915:T917"/>
    <mergeCell ref="T772:T774"/>
    <mergeCell ref="T776:T777"/>
    <mergeCell ref="T778:T789"/>
    <mergeCell ref="T790:T791"/>
    <mergeCell ref="T792:T793"/>
    <mergeCell ref="T794:T796"/>
    <mergeCell ref="T797:T805"/>
    <mergeCell ref="T806:T807"/>
    <mergeCell ref="T808:T811"/>
    <mergeCell ref="T812:T814"/>
    <mergeCell ref="T816:T819"/>
    <mergeCell ref="T820:T824"/>
    <mergeCell ref="T826:T829"/>
    <mergeCell ref="T831:T833"/>
    <mergeCell ref="T834:T836"/>
    <mergeCell ref="T837:T841"/>
    <mergeCell ref="T843:T846"/>
    <mergeCell ref="T703:T704"/>
    <mergeCell ref="T705:T709"/>
    <mergeCell ref="T710:T711"/>
    <mergeCell ref="T713:T714"/>
    <mergeCell ref="T715:T717"/>
    <mergeCell ref="T719:T720"/>
    <mergeCell ref="T724:T726"/>
    <mergeCell ref="T727:T731"/>
    <mergeCell ref="T732:T734"/>
    <mergeCell ref="T735:T737"/>
    <mergeCell ref="T738:T740"/>
    <mergeCell ref="T741:T742"/>
    <mergeCell ref="T743:T745"/>
    <mergeCell ref="T746:T751"/>
    <mergeCell ref="T753:T760"/>
    <mergeCell ref="T761:T767"/>
    <mergeCell ref="T768:T770"/>
    <mergeCell ref="T635:T636"/>
    <mergeCell ref="T637:T638"/>
    <mergeCell ref="T640:T641"/>
    <mergeCell ref="T642:T645"/>
    <mergeCell ref="T646:T649"/>
    <mergeCell ref="T651:T652"/>
    <mergeCell ref="T653:T654"/>
    <mergeCell ref="T655:T656"/>
    <mergeCell ref="T657:T659"/>
    <mergeCell ref="T662:T671"/>
    <mergeCell ref="T672:T677"/>
    <mergeCell ref="T678:T683"/>
    <mergeCell ref="T684:T685"/>
    <mergeCell ref="T686:T687"/>
    <mergeCell ref="T689:T693"/>
    <mergeCell ref="T694:T699"/>
    <mergeCell ref="T700:T702"/>
    <mergeCell ref="T558:T563"/>
    <mergeCell ref="T565:T570"/>
    <mergeCell ref="T571:T574"/>
    <mergeCell ref="T576:T577"/>
    <mergeCell ref="T578:T579"/>
    <mergeCell ref="T582:T583"/>
    <mergeCell ref="T585:T588"/>
    <mergeCell ref="T590:T595"/>
    <mergeCell ref="T596:T598"/>
    <mergeCell ref="T604:T606"/>
    <mergeCell ref="T607:T608"/>
    <mergeCell ref="T610:T611"/>
    <mergeCell ref="T613:T614"/>
    <mergeCell ref="T619:T622"/>
    <mergeCell ref="T623:T626"/>
    <mergeCell ref="T627:T629"/>
    <mergeCell ref="T630:T631"/>
    <mergeCell ref="T486:T488"/>
    <mergeCell ref="T489:T494"/>
    <mergeCell ref="T495:T497"/>
    <mergeCell ref="T498:T503"/>
    <mergeCell ref="T505:T508"/>
    <mergeCell ref="T509:T511"/>
    <mergeCell ref="T512:T514"/>
    <mergeCell ref="T516:T520"/>
    <mergeCell ref="T521:T522"/>
    <mergeCell ref="T525:T529"/>
    <mergeCell ref="T534:T537"/>
    <mergeCell ref="T538:T539"/>
    <mergeCell ref="T540:T541"/>
    <mergeCell ref="T546:T547"/>
    <mergeCell ref="T548:T550"/>
    <mergeCell ref="T551:T552"/>
    <mergeCell ref="T553:T557"/>
    <mergeCell ref="T416:T420"/>
    <mergeCell ref="T421:T422"/>
    <mergeCell ref="T423:T426"/>
    <mergeCell ref="T427:T430"/>
    <mergeCell ref="T433:T434"/>
    <mergeCell ref="T435:T437"/>
    <mergeCell ref="T438:T441"/>
    <mergeCell ref="T442:T443"/>
    <mergeCell ref="T444:T445"/>
    <mergeCell ref="T446:T448"/>
    <mergeCell ref="T449:T454"/>
    <mergeCell ref="T455:T456"/>
    <mergeCell ref="T457:T458"/>
    <mergeCell ref="T459:T463"/>
    <mergeCell ref="T465:T468"/>
    <mergeCell ref="T470:T472"/>
    <mergeCell ref="T473:T485"/>
    <mergeCell ref="T341:T346"/>
    <mergeCell ref="T348:T351"/>
    <mergeCell ref="T353:T354"/>
    <mergeCell ref="T355:T356"/>
    <mergeCell ref="T357:T360"/>
    <mergeCell ref="T361:T364"/>
    <mergeCell ref="T365:T367"/>
    <mergeCell ref="T368:T375"/>
    <mergeCell ref="T376:T378"/>
    <mergeCell ref="T379:T382"/>
    <mergeCell ref="T383:T384"/>
    <mergeCell ref="T385:T390"/>
    <mergeCell ref="T391:T392"/>
    <mergeCell ref="T394:T395"/>
    <mergeCell ref="T397:T407"/>
    <mergeCell ref="T408:T411"/>
    <mergeCell ref="T412:T415"/>
    <mergeCell ref="T242:T248"/>
    <mergeCell ref="T249:T252"/>
    <mergeCell ref="T253:T257"/>
    <mergeCell ref="T258:T265"/>
    <mergeCell ref="T269:T273"/>
    <mergeCell ref="T275:T276"/>
    <mergeCell ref="T277:T284"/>
    <mergeCell ref="T285:T290"/>
    <mergeCell ref="T291:T297"/>
    <mergeCell ref="T299:T301"/>
    <mergeCell ref="T302:T304"/>
    <mergeCell ref="T305:T316"/>
    <mergeCell ref="T317:T320"/>
    <mergeCell ref="T321:T325"/>
    <mergeCell ref="T327:T330"/>
    <mergeCell ref="T331:T336"/>
    <mergeCell ref="T337:T340"/>
    <mergeCell ref="T144:T145"/>
    <mergeCell ref="T146:T154"/>
    <mergeCell ref="T155:T162"/>
    <mergeCell ref="T163:T169"/>
    <mergeCell ref="T170:T171"/>
    <mergeCell ref="T172:T175"/>
    <mergeCell ref="T176:T178"/>
    <mergeCell ref="T180:T199"/>
    <mergeCell ref="T200:T201"/>
    <mergeCell ref="T202:T205"/>
    <mergeCell ref="T206:T207"/>
    <mergeCell ref="T210:T214"/>
    <mergeCell ref="T215:T226"/>
    <mergeCell ref="T227:T229"/>
    <mergeCell ref="T230:T232"/>
    <mergeCell ref="T233:T237"/>
    <mergeCell ref="T238:T241"/>
    <mergeCell ref="S1156:S1159"/>
    <mergeCell ref="S1160:S1162"/>
    <mergeCell ref="S1163:S1164"/>
    <mergeCell ref="S1167:S1168"/>
    <mergeCell ref="S1170:S1174"/>
    <mergeCell ref="S1175:S1176"/>
    <mergeCell ref="S1177:S1178"/>
    <mergeCell ref="S1179:S1201"/>
    <mergeCell ref="S1202:S1203"/>
    <mergeCell ref="T2:T12"/>
    <mergeCell ref="T13:T34"/>
    <mergeCell ref="T35:T38"/>
    <mergeCell ref="T39:T44"/>
    <mergeCell ref="T45:T47"/>
    <mergeCell ref="T48:T51"/>
    <mergeCell ref="T52:T57"/>
    <mergeCell ref="T58:T65"/>
    <mergeCell ref="T66:T72"/>
    <mergeCell ref="T73:T79"/>
    <mergeCell ref="T80:T81"/>
    <mergeCell ref="T82:T92"/>
    <mergeCell ref="T93:T98"/>
    <mergeCell ref="T99:T106"/>
    <mergeCell ref="T107:T110"/>
    <mergeCell ref="T111:T113"/>
    <mergeCell ref="T114:T117"/>
    <mergeCell ref="T118:T120"/>
    <mergeCell ref="T121:T125"/>
    <mergeCell ref="T126:T128"/>
    <mergeCell ref="T131:T133"/>
    <mergeCell ref="T134:T138"/>
    <mergeCell ref="T139:T143"/>
    <mergeCell ref="S1079:S1082"/>
    <mergeCell ref="S1083:S1084"/>
    <mergeCell ref="S1085:S1087"/>
    <mergeCell ref="S1088:S1092"/>
    <mergeCell ref="S1093:S1094"/>
    <mergeCell ref="S1096:S1097"/>
    <mergeCell ref="S1100:S1104"/>
    <mergeCell ref="S1105:S1107"/>
    <mergeCell ref="S1108:S1114"/>
    <mergeCell ref="S1115:S1117"/>
    <mergeCell ref="S1118:S1123"/>
    <mergeCell ref="S1124:S1126"/>
    <mergeCell ref="S1127:S1132"/>
    <mergeCell ref="S1133:S1137"/>
    <mergeCell ref="S1138:S1150"/>
    <mergeCell ref="S1151:S1153"/>
    <mergeCell ref="S1154:S1155"/>
    <mergeCell ref="S991:S1000"/>
    <mergeCell ref="S1001:S1008"/>
    <mergeCell ref="S1009:S1013"/>
    <mergeCell ref="S1014:S1018"/>
    <mergeCell ref="S1019:S1023"/>
    <mergeCell ref="S1026:S1027"/>
    <mergeCell ref="S1030:S1032"/>
    <mergeCell ref="S1034:S1035"/>
    <mergeCell ref="S1039:S1040"/>
    <mergeCell ref="S1041:S1043"/>
    <mergeCell ref="S1044:S1048"/>
    <mergeCell ref="S1049:S1053"/>
    <mergeCell ref="S1054:S1059"/>
    <mergeCell ref="S1060:S1063"/>
    <mergeCell ref="S1064:S1067"/>
    <mergeCell ref="S1068:S1070"/>
    <mergeCell ref="S1072:S1078"/>
    <mergeCell ref="S909:S911"/>
    <mergeCell ref="S912:S914"/>
    <mergeCell ref="S915:S917"/>
    <mergeCell ref="S920:S922"/>
    <mergeCell ref="S923:S926"/>
    <mergeCell ref="S928:S929"/>
    <mergeCell ref="S932:S933"/>
    <mergeCell ref="S934:S935"/>
    <mergeCell ref="S936:S943"/>
    <mergeCell ref="S944:S948"/>
    <mergeCell ref="S949:S954"/>
    <mergeCell ref="S955:S959"/>
    <mergeCell ref="S960:S965"/>
    <mergeCell ref="S966:S968"/>
    <mergeCell ref="S969:S973"/>
    <mergeCell ref="S974:S979"/>
    <mergeCell ref="S980:S990"/>
    <mergeCell ref="S834:S836"/>
    <mergeCell ref="S837:S841"/>
    <mergeCell ref="S843:S846"/>
    <mergeCell ref="S848:S850"/>
    <mergeCell ref="S852:S856"/>
    <mergeCell ref="S857:S859"/>
    <mergeCell ref="S862:S863"/>
    <mergeCell ref="S866:S867"/>
    <mergeCell ref="S869:S873"/>
    <mergeCell ref="S874:S875"/>
    <mergeCell ref="S876:S877"/>
    <mergeCell ref="S879:S882"/>
    <mergeCell ref="S883:S893"/>
    <mergeCell ref="S894:S898"/>
    <mergeCell ref="S899:S902"/>
    <mergeCell ref="S903:S904"/>
    <mergeCell ref="S907:S908"/>
    <mergeCell ref="S753:S760"/>
    <mergeCell ref="S761:S767"/>
    <mergeCell ref="S768:S770"/>
    <mergeCell ref="S772:S774"/>
    <mergeCell ref="S776:S777"/>
    <mergeCell ref="S778:S789"/>
    <mergeCell ref="S790:S791"/>
    <mergeCell ref="S792:S793"/>
    <mergeCell ref="S794:S796"/>
    <mergeCell ref="S797:S805"/>
    <mergeCell ref="S806:S807"/>
    <mergeCell ref="S808:S811"/>
    <mergeCell ref="S812:S814"/>
    <mergeCell ref="S816:S819"/>
    <mergeCell ref="S820:S824"/>
    <mergeCell ref="S826:S829"/>
    <mergeCell ref="S831:S833"/>
    <mergeCell ref="S689:S693"/>
    <mergeCell ref="S694:S699"/>
    <mergeCell ref="S700:S702"/>
    <mergeCell ref="S703:S704"/>
    <mergeCell ref="S705:S709"/>
    <mergeCell ref="S710:S711"/>
    <mergeCell ref="S713:S714"/>
    <mergeCell ref="S715:S717"/>
    <mergeCell ref="S719:S720"/>
    <mergeCell ref="S724:S726"/>
    <mergeCell ref="S727:S731"/>
    <mergeCell ref="S732:S734"/>
    <mergeCell ref="S735:S737"/>
    <mergeCell ref="S738:S740"/>
    <mergeCell ref="S741:S742"/>
    <mergeCell ref="S743:S745"/>
    <mergeCell ref="S746:S751"/>
    <mergeCell ref="S623:S626"/>
    <mergeCell ref="S627:S629"/>
    <mergeCell ref="S630:S631"/>
    <mergeCell ref="S635:S636"/>
    <mergeCell ref="S637:S638"/>
    <mergeCell ref="S640:S641"/>
    <mergeCell ref="S642:S645"/>
    <mergeCell ref="S646:S649"/>
    <mergeCell ref="S651:S652"/>
    <mergeCell ref="S653:S654"/>
    <mergeCell ref="S655:S656"/>
    <mergeCell ref="S657:S659"/>
    <mergeCell ref="S662:S671"/>
    <mergeCell ref="S672:S677"/>
    <mergeCell ref="S678:S683"/>
    <mergeCell ref="S684:S685"/>
    <mergeCell ref="S686:S687"/>
    <mergeCell ref="S548:S550"/>
    <mergeCell ref="S551:S552"/>
    <mergeCell ref="S553:S557"/>
    <mergeCell ref="S558:S563"/>
    <mergeCell ref="S565:S570"/>
    <mergeCell ref="S571:S574"/>
    <mergeCell ref="S576:S577"/>
    <mergeCell ref="S578:S579"/>
    <mergeCell ref="S582:S583"/>
    <mergeCell ref="S585:S588"/>
    <mergeCell ref="S590:S595"/>
    <mergeCell ref="S596:S598"/>
    <mergeCell ref="S604:S606"/>
    <mergeCell ref="S607:S608"/>
    <mergeCell ref="S610:S611"/>
    <mergeCell ref="S613:S614"/>
    <mergeCell ref="S619:S622"/>
    <mergeCell ref="S465:S468"/>
    <mergeCell ref="S470:S472"/>
    <mergeCell ref="S473:S485"/>
    <mergeCell ref="S486:S488"/>
    <mergeCell ref="S489:S494"/>
    <mergeCell ref="S495:S497"/>
    <mergeCell ref="S498:S503"/>
    <mergeCell ref="S505:S508"/>
    <mergeCell ref="S509:S511"/>
    <mergeCell ref="S512:S514"/>
    <mergeCell ref="S516:S520"/>
    <mergeCell ref="S521:S522"/>
    <mergeCell ref="S525:S529"/>
    <mergeCell ref="S534:S537"/>
    <mergeCell ref="S538:S539"/>
    <mergeCell ref="S540:S541"/>
    <mergeCell ref="S546:S547"/>
    <mergeCell ref="S397:S407"/>
    <mergeCell ref="S408:S411"/>
    <mergeCell ref="S412:S415"/>
    <mergeCell ref="S416:S420"/>
    <mergeCell ref="S421:S422"/>
    <mergeCell ref="S423:S426"/>
    <mergeCell ref="S427:S430"/>
    <mergeCell ref="S433:S434"/>
    <mergeCell ref="S435:S437"/>
    <mergeCell ref="S438:S441"/>
    <mergeCell ref="S442:S443"/>
    <mergeCell ref="S444:S445"/>
    <mergeCell ref="S446:S448"/>
    <mergeCell ref="S449:S454"/>
    <mergeCell ref="S455:S456"/>
    <mergeCell ref="S457:S458"/>
    <mergeCell ref="S459:S463"/>
    <mergeCell ref="S327:S330"/>
    <mergeCell ref="S331:S336"/>
    <mergeCell ref="S337:S340"/>
    <mergeCell ref="S341:S346"/>
    <mergeCell ref="S348:S351"/>
    <mergeCell ref="S353:S354"/>
    <mergeCell ref="S355:S356"/>
    <mergeCell ref="S357:S360"/>
    <mergeCell ref="S361:S364"/>
    <mergeCell ref="S365:S367"/>
    <mergeCell ref="S368:S375"/>
    <mergeCell ref="S376:S378"/>
    <mergeCell ref="S379:S382"/>
    <mergeCell ref="S383:S384"/>
    <mergeCell ref="S385:S390"/>
    <mergeCell ref="S391:S392"/>
    <mergeCell ref="S394:S395"/>
    <mergeCell ref="S230:S232"/>
    <mergeCell ref="S233:S237"/>
    <mergeCell ref="S238:S241"/>
    <mergeCell ref="S242:S248"/>
    <mergeCell ref="S249:S252"/>
    <mergeCell ref="S253:S257"/>
    <mergeCell ref="S258:S265"/>
    <mergeCell ref="S269:S273"/>
    <mergeCell ref="S275:S276"/>
    <mergeCell ref="S277:S284"/>
    <mergeCell ref="S285:S290"/>
    <mergeCell ref="S291:S297"/>
    <mergeCell ref="S299:S301"/>
    <mergeCell ref="S302:S304"/>
    <mergeCell ref="S305:S316"/>
    <mergeCell ref="S317:S320"/>
    <mergeCell ref="S321:S325"/>
    <mergeCell ref="S131:S133"/>
    <mergeCell ref="S134:S138"/>
    <mergeCell ref="S139:S143"/>
    <mergeCell ref="S144:S145"/>
    <mergeCell ref="S146:S154"/>
    <mergeCell ref="S155:S162"/>
    <mergeCell ref="S163:S169"/>
    <mergeCell ref="S170:S171"/>
    <mergeCell ref="S172:S175"/>
    <mergeCell ref="S176:S178"/>
    <mergeCell ref="S180:S199"/>
    <mergeCell ref="S200:S201"/>
    <mergeCell ref="S202:S205"/>
    <mergeCell ref="S206:S207"/>
    <mergeCell ref="S210:S214"/>
    <mergeCell ref="S215:S226"/>
    <mergeCell ref="S227:S229"/>
    <mergeCell ref="R1138:R1150"/>
    <mergeCell ref="R1151:R1153"/>
    <mergeCell ref="R1154:R1155"/>
    <mergeCell ref="R1156:R1159"/>
    <mergeCell ref="R1160:R1162"/>
    <mergeCell ref="R1163:R1164"/>
    <mergeCell ref="R1167:R1168"/>
    <mergeCell ref="R1170:R1174"/>
    <mergeCell ref="R1175:R1176"/>
    <mergeCell ref="R1177:R1178"/>
    <mergeCell ref="R1179:R1201"/>
    <mergeCell ref="R1202:R1203"/>
    <mergeCell ref="S2:S12"/>
    <mergeCell ref="S13:S34"/>
    <mergeCell ref="S35:S38"/>
    <mergeCell ref="S39:S44"/>
    <mergeCell ref="S45:S47"/>
    <mergeCell ref="S48:S51"/>
    <mergeCell ref="S52:S57"/>
    <mergeCell ref="S58:S65"/>
    <mergeCell ref="S66:S72"/>
    <mergeCell ref="S73:S79"/>
    <mergeCell ref="S80:S81"/>
    <mergeCell ref="S82:S92"/>
    <mergeCell ref="S93:S98"/>
    <mergeCell ref="S99:S106"/>
    <mergeCell ref="S107:S110"/>
    <mergeCell ref="S111:S113"/>
    <mergeCell ref="S114:S117"/>
    <mergeCell ref="S118:S120"/>
    <mergeCell ref="S121:S125"/>
    <mergeCell ref="S126:S128"/>
    <mergeCell ref="R1064:R1067"/>
    <mergeCell ref="R1068:R1070"/>
    <mergeCell ref="R1072:R1078"/>
    <mergeCell ref="R1079:R1082"/>
    <mergeCell ref="R1083:R1084"/>
    <mergeCell ref="R1085:R1087"/>
    <mergeCell ref="R1088:R1092"/>
    <mergeCell ref="R1093:R1094"/>
    <mergeCell ref="R1096:R1097"/>
    <mergeCell ref="R1100:R1104"/>
    <mergeCell ref="R1105:R1107"/>
    <mergeCell ref="R1108:R1114"/>
    <mergeCell ref="R1115:R1117"/>
    <mergeCell ref="R1118:R1123"/>
    <mergeCell ref="R1124:R1126"/>
    <mergeCell ref="R1127:R1132"/>
    <mergeCell ref="R1133:R1137"/>
    <mergeCell ref="R969:R973"/>
    <mergeCell ref="R974:R979"/>
    <mergeCell ref="R980:R990"/>
    <mergeCell ref="R991:R1000"/>
    <mergeCell ref="R1001:R1008"/>
    <mergeCell ref="R1009:R1013"/>
    <mergeCell ref="R1014:R1018"/>
    <mergeCell ref="R1019:R1023"/>
    <mergeCell ref="R1026:R1027"/>
    <mergeCell ref="R1030:R1032"/>
    <mergeCell ref="R1034:R1035"/>
    <mergeCell ref="R1039:R1040"/>
    <mergeCell ref="R1041:R1043"/>
    <mergeCell ref="R1044:R1048"/>
    <mergeCell ref="R1049:R1053"/>
    <mergeCell ref="R1054:R1059"/>
    <mergeCell ref="R1060:R1063"/>
    <mergeCell ref="R899:R902"/>
    <mergeCell ref="R903:R904"/>
    <mergeCell ref="R907:R908"/>
    <mergeCell ref="R909:R911"/>
    <mergeCell ref="R912:R914"/>
    <mergeCell ref="R915:R917"/>
    <mergeCell ref="R920:R922"/>
    <mergeCell ref="R923:R926"/>
    <mergeCell ref="R928:R929"/>
    <mergeCell ref="R932:R933"/>
    <mergeCell ref="R934:R935"/>
    <mergeCell ref="R936:R943"/>
    <mergeCell ref="R944:R948"/>
    <mergeCell ref="R949:R954"/>
    <mergeCell ref="R955:R959"/>
    <mergeCell ref="R960:R965"/>
    <mergeCell ref="R966:R968"/>
    <mergeCell ref="R820:R824"/>
    <mergeCell ref="R826:R829"/>
    <mergeCell ref="R831:R833"/>
    <mergeCell ref="R834:R836"/>
    <mergeCell ref="R837:R841"/>
    <mergeCell ref="R843:R846"/>
    <mergeCell ref="R848:R850"/>
    <mergeCell ref="R852:R856"/>
    <mergeCell ref="R857:R859"/>
    <mergeCell ref="R862:R863"/>
    <mergeCell ref="R866:R867"/>
    <mergeCell ref="R869:R873"/>
    <mergeCell ref="R874:R875"/>
    <mergeCell ref="R876:R877"/>
    <mergeCell ref="R879:R882"/>
    <mergeCell ref="R883:R893"/>
    <mergeCell ref="R894:R898"/>
    <mergeCell ref="R741:R742"/>
    <mergeCell ref="R743:R745"/>
    <mergeCell ref="R746:R751"/>
    <mergeCell ref="R753:R760"/>
    <mergeCell ref="R761:R767"/>
    <mergeCell ref="R768:R770"/>
    <mergeCell ref="R772:R774"/>
    <mergeCell ref="R776:R777"/>
    <mergeCell ref="R778:R789"/>
    <mergeCell ref="R790:R791"/>
    <mergeCell ref="R792:R793"/>
    <mergeCell ref="R794:R796"/>
    <mergeCell ref="R797:R805"/>
    <mergeCell ref="R806:R807"/>
    <mergeCell ref="R808:R811"/>
    <mergeCell ref="R812:R814"/>
    <mergeCell ref="R816:R819"/>
    <mergeCell ref="R678:R683"/>
    <mergeCell ref="R684:R685"/>
    <mergeCell ref="R686:R687"/>
    <mergeCell ref="R689:R693"/>
    <mergeCell ref="R694:R699"/>
    <mergeCell ref="R700:R702"/>
    <mergeCell ref="R703:R704"/>
    <mergeCell ref="R705:R709"/>
    <mergeCell ref="R710:R711"/>
    <mergeCell ref="R713:R714"/>
    <mergeCell ref="R715:R717"/>
    <mergeCell ref="R719:R720"/>
    <mergeCell ref="R724:R726"/>
    <mergeCell ref="R727:R731"/>
    <mergeCell ref="R732:R734"/>
    <mergeCell ref="R735:R737"/>
    <mergeCell ref="R738:R740"/>
    <mergeCell ref="R610:R611"/>
    <mergeCell ref="R613:R614"/>
    <mergeCell ref="R619:R622"/>
    <mergeCell ref="R623:R626"/>
    <mergeCell ref="R627:R629"/>
    <mergeCell ref="R630:R631"/>
    <mergeCell ref="R635:R636"/>
    <mergeCell ref="R637:R638"/>
    <mergeCell ref="R640:R641"/>
    <mergeCell ref="R642:R645"/>
    <mergeCell ref="R646:R649"/>
    <mergeCell ref="R651:R652"/>
    <mergeCell ref="R653:R654"/>
    <mergeCell ref="R655:R656"/>
    <mergeCell ref="R657:R659"/>
    <mergeCell ref="R662:R671"/>
    <mergeCell ref="R672:R677"/>
    <mergeCell ref="R538:R539"/>
    <mergeCell ref="R540:R541"/>
    <mergeCell ref="R546:R547"/>
    <mergeCell ref="R548:R550"/>
    <mergeCell ref="R551:R552"/>
    <mergeCell ref="R553:R557"/>
    <mergeCell ref="R558:R563"/>
    <mergeCell ref="R565:R570"/>
    <mergeCell ref="R571:R574"/>
    <mergeCell ref="R576:R577"/>
    <mergeCell ref="R578:R579"/>
    <mergeCell ref="R582:R583"/>
    <mergeCell ref="R585:R588"/>
    <mergeCell ref="R590:R595"/>
    <mergeCell ref="R596:R598"/>
    <mergeCell ref="R604:R606"/>
    <mergeCell ref="R607:R608"/>
    <mergeCell ref="R455:R456"/>
    <mergeCell ref="R457:R458"/>
    <mergeCell ref="R459:R463"/>
    <mergeCell ref="R465:R468"/>
    <mergeCell ref="R470:R472"/>
    <mergeCell ref="R473:R485"/>
    <mergeCell ref="R486:R488"/>
    <mergeCell ref="R489:R494"/>
    <mergeCell ref="R495:R497"/>
    <mergeCell ref="R498:R503"/>
    <mergeCell ref="R505:R508"/>
    <mergeCell ref="R509:R511"/>
    <mergeCell ref="R512:R514"/>
    <mergeCell ref="R516:R520"/>
    <mergeCell ref="R521:R522"/>
    <mergeCell ref="R525:R529"/>
    <mergeCell ref="R534:R537"/>
    <mergeCell ref="R385:R390"/>
    <mergeCell ref="R391:R392"/>
    <mergeCell ref="R394:R395"/>
    <mergeCell ref="R397:R407"/>
    <mergeCell ref="R408:R411"/>
    <mergeCell ref="R412:R415"/>
    <mergeCell ref="R416:R420"/>
    <mergeCell ref="R421:R422"/>
    <mergeCell ref="R423:R426"/>
    <mergeCell ref="R427:R430"/>
    <mergeCell ref="R433:R434"/>
    <mergeCell ref="R435:R437"/>
    <mergeCell ref="R438:R441"/>
    <mergeCell ref="R442:R443"/>
    <mergeCell ref="R444:R445"/>
    <mergeCell ref="R446:R448"/>
    <mergeCell ref="R449:R454"/>
    <mergeCell ref="R305:R316"/>
    <mergeCell ref="R317:R320"/>
    <mergeCell ref="R321:R325"/>
    <mergeCell ref="R327:R330"/>
    <mergeCell ref="R331:R336"/>
    <mergeCell ref="R337:R340"/>
    <mergeCell ref="R341:R346"/>
    <mergeCell ref="R348:R351"/>
    <mergeCell ref="R353:R354"/>
    <mergeCell ref="R355:R356"/>
    <mergeCell ref="R357:R360"/>
    <mergeCell ref="R361:R364"/>
    <mergeCell ref="R365:R367"/>
    <mergeCell ref="R368:R375"/>
    <mergeCell ref="R376:R378"/>
    <mergeCell ref="R379:R382"/>
    <mergeCell ref="R383:R384"/>
    <mergeCell ref="R210:R214"/>
    <mergeCell ref="R215:R226"/>
    <mergeCell ref="R227:R229"/>
    <mergeCell ref="R230:R232"/>
    <mergeCell ref="R233:R237"/>
    <mergeCell ref="R238:R241"/>
    <mergeCell ref="R242:R248"/>
    <mergeCell ref="R249:R252"/>
    <mergeCell ref="R253:R257"/>
    <mergeCell ref="R258:R265"/>
    <mergeCell ref="R269:R273"/>
    <mergeCell ref="R275:R276"/>
    <mergeCell ref="R277:R284"/>
    <mergeCell ref="R285:R290"/>
    <mergeCell ref="R291:R297"/>
    <mergeCell ref="R299:R301"/>
    <mergeCell ref="R302:R304"/>
    <mergeCell ref="R118:R120"/>
    <mergeCell ref="R121:R125"/>
    <mergeCell ref="R126:R128"/>
    <mergeCell ref="R131:R133"/>
    <mergeCell ref="R134:R138"/>
    <mergeCell ref="R139:R143"/>
    <mergeCell ref="R144:R145"/>
    <mergeCell ref="R146:R154"/>
    <mergeCell ref="R155:R162"/>
    <mergeCell ref="R163:R169"/>
    <mergeCell ref="R170:R171"/>
    <mergeCell ref="R172:R175"/>
    <mergeCell ref="R176:R178"/>
    <mergeCell ref="R180:R199"/>
    <mergeCell ref="R200:R201"/>
    <mergeCell ref="R202:R205"/>
    <mergeCell ref="R206:R207"/>
    <mergeCell ref="M1124:M1126"/>
    <mergeCell ref="M1127:M1132"/>
    <mergeCell ref="M1133:M1137"/>
    <mergeCell ref="M1138:M1150"/>
    <mergeCell ref="M1151:M1153"/>
    <mergeCell ref="M1154:M1155"/>
    <mergeCell ref="M1156:M1159"/>
    <mergeCell ref="M1160:M1162"/>
    <mergeCell ref="M1163:M1164"/>
    <mergeCell ref="M1167:M1168"/>
    <mergeCell ref="M1170:M1174"/>
    <mergeCell ref="M1175:M1176"/>
    <mergeCell ref="M1177:M1178"/>
    <mergeCell ref="M1179:M1201"/>
    <mergeCell ref="M1202:M1203"/>
    <mergeCell ref="R2:R12"/>
    <mergeCell ref="R13:R34"/>
    <mergeCell ref="R35:R38"/>
    <mergeCell ref="R39:R44"/>
    <mergeCell ref="R45:R47"/>
    <mergeCell ref="R48:R51"/>
    <mergeCell ref="R52:R57"/>
    <mergeCell ref="R58:R65"/>
    <mergeCell ref="R66:R72"/>
    <mergeCell ref="R73:R79"/>
    <mergeCell ref="R80:R81"/>
    <mergeCell ref="R82:R92"/>
    <mergeCell ref="R93:R98"/>
    <mergeCell ref="R99:R106"/>
    <mergeCell ref="R107:R110"/>
    <mergeCell ref="R111:R113"/>
    <mergeCell ref="R114:R117"/>
    <mergeCell ref="M1049:M1053"/>
    <mergeCell ref="M1054:M1059"/>
    <mergeCell ref="M1060:M1063"/>
    <mergeCell ref="M1064:M1067"/>
    <mergeCell ref="M1068:M1070"/>
    <mergeCell ref="M1072:M1078"/>
    <mergeCell ref="M1079:M1082"/>
    <mergeCell ref="M1083:M1084"/>
    <mergeCell ref="M1085:M1087"/>
    <mergeCell ref="M1088:M1092"/>
    <mergeCell ref="M1093:M1094"/>
    <mergeCell ref="M1096:M1097"/>
    <mergeCell ref="M1100:M1104"/>
    <mergeCell ref="M1105:M1107"/>
    <mergeCell ref="M1108:M1114"/>
    <mergeCell ref="M1115:M1117"/>
    <mergeCell ref="M1118:M1123"/>
    <mergeCell ref="M955:M959"/>
    <mergeCell ref="M960:M965"/>
    <mergeCell ref="M966:M968"/>
    <mergeCell ref="M969:M973"/>
    <mergeCell ref="M974:M979"/>
    <mergeCell ref="M980:M990"/>
    <mergeCell ref="M991:M1000"/>
    <mergeCell ref="M1001:M1008"/>
    <mergeCell ref="M1009:M1013"/>
    <mergeCell ref="M1014:M1018"/>
    <mergeCell ref="M1019:M1023"/>
    <mergeCell ref="M1026:M1027"/>
    <mergeCell ref="M1030:M1032"/>
    <mergeCell ref="M1034:M1035"/>
    <mergeCell ref="M1039:M1040"/>
    <mergeCell ref="M1041:M1043"/>
    <mergeCell ref="M1044:M1048"/>
    <mergeCell ref="M879:M882"/>
    <mergeCell ref="M883:M893"/>
    <mergeCell ref="M894:M898"/>
    <mergeCell ref="M899:M902"/>
    <mergeCell ref="M903:M904"/>
    <mergeCell ref="M907:M908"/>
    <mergeCell ref="M909:M911"/>
    <mergeCell ref="M912:M914"/>
    <mergeCell ref="M915:M917"/>
    <mergeCell ref="M920:M922"/>
    <mergeCell ref="M923:M926"/>
    <mergeCell ref="M928:M929"/>
    <mergeCell ref="M932:M933"/>
    <mergeCell ref="M934:M935"/>
    <mergeCell ref="M936:M943"/>
    <mergeCell ref="M944:M948"/>
    <mergeCell ref="M949:M954"/>
    <mergeCell ref="M808:M811"/>
    <mergeCell ref="M812:M814"/>
    <mergeCell ref="M816:M819"/>
    <mergeCell ref="M820:M824"/>
    <mergeCell ref="M826:M829"/>
    <mergeCell ref="M831:M833"/>
    <mergeCell ref="M834:M836"/>
    <mergeCell ref="M837:M841"/>
    <mergeCell ref="M843:M846"/>
    <mergeCell ref="M848:M850"/>
    <mergeCell ref="M852:M856"/>
    <mergeCell ref="M857:M859"/>
    <mergeCell ref="M862:M863"/>
    <mergeCell ref="M866:M867"/>
    <mergeCell ref="M869:M873"/>
    <mergeCell ref="M874:M875"/>
    <mergeCell ref="M876:M877"/>
    <mergeCell ref="M732:M734"/>
    <mergeCell ref="M735:M737"/>
    <mergeCell ref="M738:M740"/>
    <mergeCell ref="M741:M742"/>
    <mergeCell ref="M743:M745"/>
    <mergeCell ref="M746:M751"/>
    <mergeCell ref="M753:M760"/>
    <mergeCell ref="M761:M767"/>
    <mergeCell ref="M768:M770"/>
    <mergeCell ref="M772:M774"/>
    <mergeCell ref="M776:M777"/>
    <mergeCell ref="M778:M789"/>
    <mergeCell ref="M790:M791"/>
    <mergeCell ref="M792:M793"/>
    <mergeCell ref="M794:M796"/>
    <mergeCell ref="M797:M805"/>
    <mergeCell ref="M806:M807"/>
    <mergeCell ref="M657:M659"/>
    <mergeCell ref="M662:M671"/>
    <mergeCell ref="M672:M677"/>
    <mergeCell ref="M678:M683"/>
    <mergeCell ref="M684:M685"/>
    <mergeCell ref="M686:M687"/>
    <mergeCell ref="M689:M693"/>
    <mergeCell ref="M694:M699"/>
    <mergeCell ref="M700:M702"/>
    <mergeCell ref="M703:M704"/>
    <mergeCell ref="M705:M709"/>
    <mergeCell ref="M710:M711"/>
    <mergeCell ref="M713:M714"/>
    <mergeCell ref="M715:M717"/>
    <mergeCell ref="M719:M720"/>
    <mergeCell ref="M724:M726"/>
    <mergeCell ref="M727:M731"/>
    <mergeCell ref="M596:M598"/>
    <mergeCell ref="M604:M606"/>
    <mergeCell ref="M607:M608"/>
    <mergeCell ref="M610:M611"/>
    <mergeCell ref="M613:M614"/>
    <mergeCell ref="M619:M622"/>
    <mergeCell ref="M623:M626"/>
    <mergeCell ref="M627:M629"/>
    <mergeCell ref="M630:M631"/>
    <mergeCell ref="M635:M636"/>
    <mergeCell ref="M637:M638"/>
    <mergeCell ref="M640:M641"/>
    <mergeCell ref="M642:M645"/>
    <mergeCell ref="M646:M649"/>
    <mergeCell ref="M651:M652"/>
    <mergeCell ref="M653:M654"/>
    <mergeCell ref="M655:M656"/>
    <mergeCell ref="M521:M522"/>
    <mergeCell ref="M525:M529"/>
    <mergeCell ref="M534:M537"/>
    <mergeCell ref="M538:M539"/>
    <mergeCell ref="M540:M541"/>
    <mergeCell ref="M546:M547"/>
    <mergeCell ref="M548:M550"/>
    <mergeCell ref="M551:M552"/>
    <mergeCell ref="M553:M557"/>
    <mergeCell ref="M558:M563"/>
    <mergeCell ref="M565:M570"/>
    <mergeCell ref="M571:M574"/>
    <mergeCell ref="M576:M577"/>
    <mergeCell ref="M578:M579"/>
    <mergeCell ref="M582:M583"/>
    <mergeCell ref="M585:M588"/>
    <mergeCell ref="M590:M595"/>
    <mergeCell ref="M444:M445"/>
    <mergeCell ref="M446:M448"/>
    <mergeCell ref="M449:M454"/>
    <mergeCell ref="M455:M456"/>
    <mergeCell ref="M457:M458"/>
    <mergeCell ref="M459:M463"/>
    <mergeCell ref="M465:M468"/>
    <mergeCell ref="M470:M472"/>
    <mergeCell ref="M473:M485"/>
    <mergeCell ref="M486:M488"/>
    <mergeCell ref="M489:M494"/>
    <mergeCell ref="M495:M497"/>
    <mergeCell ref="M498:M503"/>
    <mergeCell ref="M505:M508"/>
    <mergeCell ref="M509:M511"/>
    <mergeCell ref="M512:M514"/>
    <mergeCell ref="M516:M520"/>
    <mergeCell ref="M376:M378"/>
    <mergeCell ref="M379:M382"/>
    <mergeCell ref="M383:M384"/>
    <mergeCell ref="M385:M390"/>
    <mergeCell ref="M391:M392"/>
    <mergeCell ref="M394:M395"/>
    <mergeCell ref="M397:M407"/>
    <mergeCell ref="M408:M411"/>
    <mergeCell ref="M412:M415"/>
    <mergeCell ref="M416:M420"/>
    <mergeCell ref="M421:M422"/>
    <mergeCell ref="M423:M426"/>
    <mergeCell ref="M427:M430"/>
    <mergeCell ref="M433:M434"/>
    <mergeCell ref="M435:M437"/>
    <mergeCell ref="M438:M441"/>
    <mergeCell ref="M442:M443"/>
    <mergeCell ref="M291:M297"/>
    <mergeCell ref="M299:M301"/>
    <mergeCell ref="M302:M304"/>
    <mergeCell ref="M305:M316"/>
    <mergeCell ref="M317:M320"/>
    <mergeCell ref="M321:M325"/>
    <mergeCell ref="M327:M330"/>
    <mergeCell ref="M331:M336"/>
    <mergeCell ref="M337:M340"/>
    <mergeCell ref="M341:M346"/>
    <mergeCell ref="M348:M351"/>
    <mergeCell ref="M353:M354"/>
    <mergeCell ref="M355:M356"/>
    <mergeCell ref="M357:M360"/>
    <mergeCell ref="M361:M364"/>
    <mergeCell ref="M365:M367"/>
    <mergeCell ref="M368:M375"/>
    <mergeCell ref="M200:M201"/>
    <mergeCell ref="M202:M205"/>
    <mergeCell ref="M206:M207"/>
    <mergeCell ref="M210:M214"/>
    <mergeCell ref="M215:M226"/>
    <mergeCell ref="M227:M229"/>
    <mergeCell ref="M230:M232"/>
    <mergeCell ref="M233:M237"/>
    <mergeCell ref="M238:M241"/>
    <mergeCell ref="M242:M248"/>
    <mergeCell ref="M249:M252"/>
    <mergeCell ref="M253:M257"/>
    <mergeCell ref="M258:M265"/>
    <mergeCell ref="M269:M273"/>
    <mergeCell ref="M275:M276"/>
    <mergeCell ref="M277:M284"/>
    <mergeCell ref="M285:M290"/>
    <mergeCell ref="L1202:L1203"/>
    <mergeCell ref="M2:M12"/>
    <mergeCell ref="M13:M34"/>
    <mergeCell ref="M35:M38"/>
    <mergeCell ref="M39:M44"/>
    <mergeCell ref="M45:M47"/>
    <mergeCell ref="M48:M51"/>
    <mergeCell ref="M52:M57"/>
    <mergeCell ref="M58:M65"/>
    <mergeCell ref="M66:M72"/>
    <mergeCell ref="M73:M79"/>
    <mergeCell ref="M80:M81"/>
    <mergeCell ref="M82:M92"/>
    <mergeCell ref="M93:M98"/>
    <mergeCell ref="M99:M106"/>
    <mergeCell ref="M107:M110"/>
    <mergeCell ref="M111:M113"/>
    <mergeCell ref="M114:M117"/>
    <mergeCell ref="M118:M120"/>
    <mergeCell ref="M121:M125"/>
    <mergeCell ref="M126:M128"/>
    <mergeCell ref="M131:M133"/>
    <mergeCell ref="M134:M138"/>
    <mergeCell ref="M139:M143"/>
    <mergeCell ref="M144:M145"/>
    <mergeCell ref="M146:M154"/>
    <mergeCell ref="M155:M162"/>
    <mergeCell ref="M163:M169"/>
    <mergeCell ref="M170:M171"/>
    <mergeCell ref="M172:M175"/>
    <mergeCell ref="M176:M178"/>
    <mergeCell ref="M180:M199"/>
    <mergeCell ref="L1108:L1114"/>
    <mergeCell ref="L1115:L1117"/>
    <mergeCell ref="L1118:L1123"/>
    <mergeCell ref="L1124:L1126"/>
    <mergeCell ref="L1127:L1132"/>
    <mergeCell ref="L1133:L1137"/>
    <mergeCell ref="L1138:L1150"/>
    <mergeCell ref="L1151:L1153"/>
    <mergeCell ref="L1154:L1155"/>
    <mergeCell ref="L1156:L1159"/>
    <mergeCell ref="L1160:L1162"/>
    <mergeCell ref="L1163:L1164"/>
    <mergeCell ref="L1167:L1168"/>
    <mergeCell ref="L1170:L1174"/>
    <mergeCell ref="L1175:L1176"/>
    <mergeCell ref="L1177:L1178"/>
    <mergeCell ref="L1179:L1201"/>
    <mergeCell ref="L1039:L1040"/>
    <mergeCell ref="L1041:L1043"/>
    <mergeCell ref="L1044:L1048"/>
    <mergeCell ref="L1049:L1053"/>
    <mergeCell ref="L1054:L1059"/>
    <mergeCell ref="L1060:L1063"/>
    <mergeCell ref="L1064:L1067"/>
    <mergeCell ref="L1068:L1070"/>
    <mergeCell ref="L1072:L1078"/>
    <mergeCell ref="L1079:L1082"/>
    <mergeCell ref="L1083:L1084"/>
    <mergeCell ref="L1085:L1087"/>
    <mergeCell ref="L1088:L1092"/>
    <mergeCell ref="L1093:L1094"/>
    <mergeCell ref="L1096:L1097"/>
    <mergeCell ref="L1100:L1104"/>
    <mergeCell ref="L1105:L1107"/>
    <mergeCell ref="L936:L943"/>
    <mergeCell ref="L944:L948"/>
    <mergeCell ref="L949:L954"/>
    <mergeCell ref="L955:L959"/>
    <mergeCell ref="L960:L965"/>
    <mergeCell ref="L966:L968"/>
    <mergeCell ref="L969:L973"/>
    <mergeCell ref="L974:L979"/>
    <mergeCell ref="L980:L990"/>
    <mergeCell ref="L991:L1000"/>
    <mergeCell ref="L1001:L1008"/>
    <mergeCell ref="L1009:L1013"/>
    <mergeCell ref="L1014:L1018"/>
    <mergeCell ref="L1019:L1023"/>
    <mergeCell ref="L1026:L1027"/>
    <mergeCell ref="L1030:L1032"/>
    <mergeCell ref="L1034:L1035"/>
    <mergeCell ref="L869:L873"/>
    <mergeCell ref="L874:L875"/>
    <mergeCell ref="L876:L877"/>
    <mergeCell ref="L879:L882"/>
    <mergeCell ref="L883:L893"/>
    <mergeCell ref="L894:L898"/>
    <mergeCell ref="L899:L902"/>
    <mergeCell ref="L903:L904"/>
    <mergeCell ref="L907:L908"/>
    <mergeCell ref="L909:L911"/>
    <mergeCell ref="L912:L914"/>
    <mergeCell ref="L915:L917"/>
    <mergeCell ref="L920:L922"/>
    <mergeCell ref="L923:L926"/>
    <mergeCell ref="L928:L929"/>
    <mergeCell ref="L932:L933"/>
    <mergeCell ref="L934:L935"/>
    <mergeCell ref="L794:L796"/>
    <mergeCell ref="L797:L805"/>
    <mergeCell ref="L806:L807"/>
    <mergeCell ref="L808:L811"/>
    <mergeCell ref="L812:L814"/>
    <mergeCell ref="L816:L819"/>
    <mergeCell ref="L820:L824"/>
    <mergeCell ref="L826:L829"/>
    <mergeCell ref="L831:L833"/>
    <mergeCell ref="L834:L836"/>
    <mergeCell ref="L837:L841"/>
    <mergeCell ref="L843:L846"/>
    <mergeCell ref="L848:L850"/>
    <mergeCell ref="L852:L856"/>
    <mergeCell ref="L857:L859"/>
    <mergeCell ref="L862:L863"/>
    <mergeCell ref="L866:L867"/>
    <mergeCell ref="L719:L720"/>
    <mergeCell ref="L724:L726"/>
    <mergeCell ref="L727:L731"/>
    <mergeCell ref="L732:L734"/>
    <mergeCell ref="L735:L737"/>
    <mergeCell ref="L738:L740"/>
    <mergeCell ref="L741:L742"/>
    <mergeCell ref="L743:L745"/>
    <mergeCell ref="L746:L751"/>
    <mergeCell ref="L753:L760"/>
    <mergeCell ref="L761:L767"/>
    <mergeCell ref="L768:L770"/>
    <mergeCell ref="L772:L774"/>
    <mergeCell ref="L776:L777"/>
    <mergeCell ref="L778:L789"/>
    <mergeCell ref="L790:L791"/>
    <mergeCell ref="L792:L793"/>
    <mergeCell ref="L651:L652"/>
    <mergeCell ref="L653:L654"/>
    <mergeCell ref="L655:L656"/>
    <mergeCell ref="L657:L659"/>
    <mergeCell ref="L662:L671"/>
    <mergeCell ref="L672:L677"/>
    <mergeCell ref="L678:L683"/>
    <mergeCell ref="L684:L685"/>
    <mergeCell ref="L686:L687"/>
    <mergeCell ref="L689:L693"/>
    <mergeCell ref="L694:L699"/>
    <mergeCell ref="L700:L702"/>
    <mergeCell ref="L703:L704"/>
    <mergeCell ref="L705:L709"/>
    <mergeCell ref="L710:L711"/>
    <mergeCell ref="L713:L714"/>
    <mergeCell ref="L715:L717"/>
    <mergeCell ref="L582:L583"/>
    <mergeCell ref="L585:L588"/>
    <mergeCell ref="L590:L595"/>
    <mergeCell ref="L596:L598"/>
    <mergeCell ref="L604:L606"/>
    <mergeCell ref="L607:L608"/>
    <mergeCell ref="L610:L611"/>
    <mergeCell ref="L613:L614"/>
    <mergeCell ref="L619:L622"/>
    <mergeCell ref="L623:L626"/>
    <mergeCell ref="L627:L629"/>
    <mergeCell ref="L630:L631"/>
    <mergeCell ref="L635:L636"/>
    <mergeCell ref="L637:L638"/>
    <mergeCell ref="L640:L641"/>
    <mergeCell ref="L642:L645"/>
    <mergeCell ref="L646:L649"/>
    <mergeCell ref="L509:L511"/>
    <mergeCell ref="L512:L514"/>
    <mergeCell ref="L516:L520"/>
    <mergeCell ref="L521:L522"/>
    <mergeCell ref="L525:L529"/>
    <mergeCell ref="L534:L537"/>
    <mergeCell ref="L538:L539"/>
    <mergeCell ref="L540:L541"/>
    <mergeCell ref="L546:L547"/>
    <mergeCell ref="L548:L550"/>
    <mergeCell ref="L551:L552"/>
    <mergeCell ref="L553:L557"/>
    <mergeCell ref="L558:L563"/>
    <mergeCell ref="L565:L570"/>
    <mergeCell ref="L571:L574"/>
    <mergeCell ref="L576:L577"/>
    <mergeCell ref="L578:L579"/>
    <mergeCell ref="L435:L437"/>
    <mergeCell ref="L438:L441"/>
    <mergeCell ref="L442:L443"/>
    <mergeCell ref="L444:L445"/>
    <mergeCell ref="L446:L448"/>
    <mergeCell ref="L449:L454"/>
    <mergeCell ref="L455:L456"/>
    <mergeCell ref="L457:L458"/>
    <mergeCell ref="L459:L463"/>
    <mergeCell ref="L465:L468"/>
    <mergeCell ref="L470:L472"/>
    <mergeCell ref="L473:L485"/>
    <mergeCell ref="L486:L488"/>
    <mergeCell ref="L489:L494"/>
    <mergeCell ref="L495:L497"/>
    <mergeCell ref="L498:L503"/>
    <mergeCell ref="L505:L508"/>
    <mergeCell ref="L361:L364"/>
    <mergeCell ref="L365:L367"/>
    <mergeCell ref="L368:L375"/>
    <mergeCell ref="L376:L378"/>
    <mergeCell ref="L379:L382"/>
    <mergeCell ref="L383:L384"/>
    <mergeCell ref="L385:L390"/>
    <mergeCell ref="L391:L392"/>
    <mergeCell ref="L394:L395"/>
    <mergeCell ref="L397:L407"/>
    <mergeCell ref="L408:L411"/>
    <mergeCell ref="L412:L415"/>
    <mergeCell ref="L416:L420"/>
    <mergeCell ref="L421:L422"/>
    <mergeCell ref="L423:L426"/>
    <mergeCell ref="L427:L430"/>
    <mergeCell ref="L433:L434"/>
    <mergeCell ref="L275:L276"/>
    <mergeCell ref="L277:L284"/>
    <mergeCell ref="L285:L290"/>
    <mergeCell ref="L291:L297"/>
    <mergeCell ref="L299:L301"/>
    <mergeCell ref="L302:L304"/>
    <mergeCell ref="L305:L316"/>
    <mergeCell ref="L317:L320"/>
    <mergeCell ref="L321:L325"/>
    <mergeCell ref="L327:L330"/>
    <mergeCell ref="L331:L336"/>
    <mergeCell ref="L337:L340"/>
    <mergeCell ref="L341:L346"/>
    <mergeCell ref="L348:L351"/>
    <mergeCell ref="L353:L354"/>
    <mergeCell ref="L355:L356"/>
    <mergeCell ref="L357:L360"/>
    <mergeCell ref="L172:L175"/>
    <mergeCell ref="L176:L178"/>
    <mergeCell ref="L180:L199"/>
    <mergeCell ref="L200:L201"/>
    <mergeCell ref="L202:L205"/>
    <mergeCell ref="L206:L207"/>
    <mergeCell ref="L210:L214"/>
    <mergeCell ref="L215:L226"/>
    <mergeCell ref="L227:L229"/>
    <mergeCell ref="L230:L232"/>
    <mergeCell ref="L233:L237"/>
    <mergeCell ref="L238:L241"/>
    <mergeCell ref="L242:L248"/>
    <mergeCell ref="L249:L252"/>
    <mergeCell ref="L253:L257"/>
    <mergeCell ref="L258:L265"/>
    <mergeCell ref="L269:L273"/>
    <mergeCell ref="K1175:K1176"/>
    <mergeCell ref="K1177:K1178"/>
    <mergeCell ref="K1179:K1201"/>
    <mergeCell ref="K1202:K1203"/>
    <mergeCell ref="L2:L12"/>
    <mergeCell ref="L13:L34"/>
    <mergeCell ref="L35:L38"/>
    <mergeCell ref="L39:L44"/>
    <mergeCell ref="L45:L47"/>
    <mergeCell ref="L48:L51"/>
    <mergeCell ref="L52:L57"/>
    <mergeCell ref="L58:L65"/>
    <mergeCell ref="L66:L72"/>
    <mergeCell ref="L73:L79"/>
    <mergeCell ref="L80:L81"/>
    <mergeCell ref="L82:L92"/>
    <mergeCell ref="L93:L98"/>
    <mergeCell ref="L99:L106"/>
    <mergeCell ref="L107:L110"/>
    <mergeCell ref="L111:L113"/>
    <mergeCell ref="L114:L117"/>
    <mergeCell ref="L118:L120"/>
    <mergeCell ref="L121:L125"/>
    <mergeCell ref="L126:L128"/>
    <mergeCell ref="L131:L133"/>
    <mergeCell ref="L134:L138"/>
    <mergeCell ref="L139:L143"/>
    <mergeCell ref="L144:L145"/>
    <mergeCell ref="L146:L154"/>
    <mergeCell ref="L155:L162"/>
    <mergeCell ref="L163:L169"/>
    <mergeCell ref="L170:L171"/>
    <mergeCell ref="K1096:K1097"/>
    <mergeCell ref="K1100:K1104"/>
    <mergeCell ref="K1105:K1107"/>
    <mergeCell ref="K1108:K1114"/>
    <mergeCell ref="K1115:K1117"/>
    <mergeCell ref="K1118:K1123"/>
    <mergeCell ref="K1124:K1126"/>
    <mergeCell ref="K1127:K1132"/>
    <mergeCell ref="K1133:K1137"/>
    <mergeCell ref="K1138:K1150"/>
    <mergeCell ref="K1151:K1153"/>
    <mergeCell ref="K1154:K1155"/>
    <mergeCell ref="K1156:K1159"/>
    <mergeCell ref="K1160:K1162"/>
    <mergeCell ref="K1163:K1164"/>
    <mergeCell ref="K1167:K1168"/>
    <mergeCell ref="K1170:K1174"/>
    <mergeCell ref="K1026:K1027"/>
    <mergeCell ref="K1030:K1032"/>
    <mergeCell ref="K1034:K1035"/>
    <mergeCell ref="K1039:K1040"/>
    <mergeCell ref="K1041:K1043"/>
    <mergeCell ref="K1044:K1048"/>
    <mergeCell ref="K1049:K1053"/>
    <mergeCell ref="K1054:K1059"/>
    <mergeCell ref="K1060:K1063"/>
    <mergeCell ref="K1064:K1067"/>
    <mergeCell ref="K1068:K1070"/>
    <mergeCell ref="K1072:K1078"/>
    <mergeCell ref="K1079:K1082"/>
    <mergeCell ref="K1083:K1084"/>
    <mergeCell ref="K1085:K1087"/>
    <mergeCell ref="K1088:K1092"/>
    <mergeCell ref="K1093:K1094"/>
    <mergeCell ref="K928:K929"/>
    <mergeCell ref="K932:K933"/>
    <mergeCell ref="K934:K935"/>
    <mergeCell ref="K936:K943"/>
    <mergeCell ref="K944:K948"/>
    <mergeCell ref="K949:K954"/>
    <mergeCell ref="K955:K959"/>
    <mergeCell ref="K960:K965"/>
    <mergeCell ref="K966:K968"/>
    <mergeCell ref="K969:K973"/>
    <mergeCell ref="K974:K979"/>
    <mergeCell ref="K980:K990"/>
    <mergeCell ref="K991:K1000"/>
    <mergeCell ref="K1001:K1008"/>
    <mergeCell ref="K1009:K1013"/>
    <mergeCell ref="K1014:K1018"/>
    <mergeCell ref="K1019:K1023"/>
    <mergeCell ref="K857:K859"/>
    <mergeCell ref="K862:K863"/>
    <mergeCell ref="K866:K867"/>
    <mergeCell ref="K869:K873"/>
    <mergeCell ref="K874:K875"/>
    <mergeCell ref="K876:K877"/>
    <mergeCell ref="K879:K882"/>
    <mergeCell ref="K883:K893"/>
    <mergeCell ref="K894:K898"/>
    <mergeCell ref="K899:K902"/>
    <mergeCell ref="K903:K904"/>
    <mergeCell ref="K907:K908"/>
    <mergeCell ref="K909:K911"/>
    <mergeCell ref="K912:K914"/>
    <mergeCell ref="K915:K917"/>
    <mergeCell ref="K920:K922"/>
    <mergeCell ref="K923:K926"/>
    <mergeCell ref="K778:K789"/>
    <mergeCell ref="K790:K791"/>
    <mergeCell ref="K792:K793"/>
    <mergeCell ref="K794:K796"/>
    <mergeCell ref="K797:K805"/>
    <mergeCell ref="K806:K807"/>
    <mergeCell ref="K808:K811"/>
    <mergeCell ref="K812:K814"/>
    <mergeCell ref="K816:K819"/>
    <mergeCell ref="K820:K824"/>
    <mergeCell ref="K826:K829"/>
    <mergeCell ref="K831:K833"/>
    <mergeCell ref="K834:K836"/>
    <mergeCell ref="K837:K841"/>
    <mergeCell ref="K843:K846"/>
    <mergeCell ref="K848:K850"/>
    <mergeCell ref="K852:K856"/>
    <mergeCell ref="K710:K711"/>
    <mergeCell ref="K713:K714"/>
    <mergeCell ref="K715:K717"/>
    <mergeCell ref="K719:K720"/>
    <mergeCell ref="K724:K726"/>
    <mergeCell ref="K727:K731"/>
    <mergeCell ref="K732:K734"/>
    <mergeCell ref="K735:K737"/>
    <mergeCell ref="K738:K740"/>
    <mergeCell ref="K741:K742"/>
    <mergeCell ref="K743:K745"/>
    <mergeCell ref="K746:K751"/>
    <mergeCell ref="K753:K760"/>
    <mergeCell ref="K761:K767"/>
    <mergeCell ref="K768:K770"/>
    <mergeCell ref="K772:K774"/>
    <mergeCell ref="K776:K777"/>
    <mergeCell ref="K640:K641"/>
    <mergeCell ref="K642:K645"/>
    <mergeCell ref="K646:K649"/>
    <mergeCell ref="K651:K652"/>
    <mergeCell ref="K653:K654"/>
    <mergeCell ref="K655:K656"/>
    <mergeCell ref="K657:K659"/>
    <mergeCell ref="K662:K671"/>
    <mergeCell ref="K672:K677"/>
    <mergeCell ref="K678:K683"/>
    <mergeCell ref="K684:K685"/>
    <mergeCell ref="K686:K687"/>
    <mergeCell ref="K689:K693"/>
    <mergeCell ref="K694:K699"/>
    <mergeCell ref="K700:K702"/>
    <mergeCell ref="K703:K704"/>
    <mergeCell ref="K705:K709"/>
    <mergeCell ref="K571:K574"/>
    <mergeCell ref="K576:K577"/>
    <mergeCell ref="K578:K579"/>
    <mergeCell ref="K582:K583"/>
    <mergeCell ref="K585:K588"/>
    <mergeCell ref="K590:K595"/>
    <mergeCell ref="K596:K598"/>
    <mergeCell ref="K604:K606"/>
    <mergeCell ref="K607:K608"/>
    <mergeCell ref="K610:K611"/>
    <mergeCell ref="K613:K614"/>
    <mergeCell ref="K619:K622"/>
    <mergeCell ref="K623:K626"/>
    <mergeCell ref="K627:K629"/>
    <mergeCell ref="K630:K631"/>
    <mergeCell ref="K635:K636"/>
    <mergeCell ref="K637:K638"/>
    <mergeCell ref="K495:K497"/>
    <mergeCell ref="K498:K503"/>
    <mergeCell ref="K505:K508"/>
    <mergeCell ref="K509:K511"/>
    <mergeCell ref="K512:K514"/>
    <mergeCell ref="K516:K520"/>
    <mergeCell ref="K521:K522"/>
    <mergeCell ref="K525:K529"/>
    <mergeCell ref="K534:K537"/>
    <mergeCell ref="K538:K539"/>
    <mergeCell ref="K540:K541"/>
    <mergeCell ref="K546:K547"/>
    <mergeCell ref="K548:K550"/>
    <mergeCell ref="K551:K552"/>
    <mergeCell ref="K553:K557"/>
    <mergeCell ref="K558:K563"/>
    <mergeCell ref="K565:K570"/>
    <mergeCell ref="K423:K426"/>
    <mergeCell ref="K427:K430"/>
    <mergeCell ref="K433:K434"/>
    <mergeCell ref="K435:K437"/>
    <mergeCell ref="K438:K441"/>
    <mergeCell ref="K442:K443"/>
    <mergeCell ref="K444:K445"/>
    <mergeCell ref="K446:K448"/>
    <mergeCell ref="K449:K454"/>
    <mergeCell ref="K455:K456"/>
    <mergeCell ref="K457:K458"/>
    <mergeCell ref="K459:K463"/>
    <mergeCell ref="K465:K468"/>
    <mergeCell ref="K470:K472"/>
    <mergeCell ref="K473:K485"/>
    <mergeCell ref="K486:K488"/>
    <mergeCell ref="K489:K494"/>
    <mergeCell ref="K353:K354"/>
    <mergeCell ref="K355:K356"/>
    <mergeCell ref="K357:K360"/>
    <mergeCell ref="K361:K364"/>
    <mergeCell ref="K365:K367"/>
    <mergeCell ref="K368:K375"/>
    <mergeCell ref="K376:K378"/>
    <mergeCell ref="K379:K382"/>
    <mergeCell ref="K383:K384"/>
    <mergeCell ref="K385:K390"/>
    <mergeCell ref="K391:K392"/>
    <mergeCell ref="K394:K395"/>
    <mergeCell ref="K397:K407"/>
    <mergeCell ref="K408:K411"/>
    <mergeCell ref="K412:K415"/>
    <mergeCell ref="K416:K420"/>
    <mergeCell ref="K421:K422"/>
    <mergeCell ref="K253:K257"/>
    <mergeCell ref="K258:K265"/>
    <mergeCell ref="K269:K273"/>
    <mergeCell ref="K275:K276"/>
    <mergeCell ref="K277:K284"/>
    <mergeCell ref="K285:K290"/>
    <mergeCell ref="K291:K297"/>
    <mergeCell ref="K299:K301"/>
    <mergeCell ref="K302:K304"/>
    <mergeCell ref="K305:K316"/>
    <mergeCell ref="K317:K320"/>
    <mergeCell ref="K321:K325"/>
    <mergeCell ref="K327:K330"/>
    <mergeCell ref="K331:K336"/>
    <mergeCell ref="K337:K340"/>
    <mergeCell ref="K341:K346"/>
    <mergeCell ref="K348:K351"/>
    <mergeCell ref="K155:K162"/>
    <mergeCell ref="K163:K169"/>
    <mergeCell ref="K170:K171"/>
    <mergeCell ref="K172:K175"/>
    <mergeCell ref="K176:K178"/>
    <mergeCell ref="K180:K199"/>
    <mergeCell ref="K200:K201"/>
    <mergeCell ref="K202:K205"/>
    <mergeCell ref="K206:K207"/>
    <mergeCell ref="K210:K214"/>
    <mergeCell ref="K215:K226"/>
    <mergeCell ref="K227:K229"/>
    <mergeCell ref="K230:K232"/>
    <mergeCell ref="K233:K237"/>
    <mergeCell ref="K238:K241"/>
    <mergeCell ref="K242:K248"/>
    <mergeCell ref="K249:K252"/>
    <mergeCell ref="J1163:J1164"/>
    <mergeCell ref="J1167:J1168"/>
    <mergeCell ref="J1170:J1174"/>
    <mergeCell ref="J1175:J1176"/>
    <mergeCell ref="J1177:J1178"/>
    <mergeCell ref="J1179:J1201"/>
    <mergeCell ref="J1202:J1203"/>
    <mergeCell ref="K2:K12"/>
    <mergeCell ref="K13:K34"/>
    <mergeCell ref="K35:K38"/>
    <mergeCell ref="K39:K44"/>
    <mergeCell ref="K45:K47"/>
    <mergeCell ref="K48:K51"/>
    <mergeCell ref="K52:K57"/>
    <mergeCell ref="K58:K65"/>
    <mergeCell ref="K66:K72"/>
    <mergeCell ref="K73:K79"/>
    <mergeCell ref="K80:K81"/>
    <mergeCell ref="K82:K92"/>
    <mergeCell ref="K93:K98"/>
    <mergeCell ref="K99:K106"/>
    <mergeCell ref="K107:K110"/>
    <mergeCell ref="K111:K113"/>
    <mergeCell ref="K114:K117"/>
    <mergeCell ref="K118:K120"/>
    <mergeCell ref="K121:K125"/>
    <mergeCell ref="K126:K128"/>
    <mergeCell ref="K131:K133"/>
    <mergeCell ref="K134:K138"/>
    <mergeCell ref="K139:K143"/>
    <mergeCell ref="K144:K145"/>
    <mergeCell ref="K146:K154"/>
    <mergeCell ref="J1085:J1087"/>
    <mergeCell ref="J1088:J1092"/>
    <mergeCell ref="J1093:J1094"/>
    <mergeCell ref="J1096:J1097"/>
    <mergeCell ref="J1100:J1104"/>
    <mergeCell ref="J1105:J1107"/>
    <mergeCell ref="J1108:J1114"/>
    <mergeCell ref="J1115:J1117"/>
    <mergeCell ref="J1118:J1123"/>
    <mergeCell ref="J1124:J1126"/>
    <mergeCell ref="J1127:J1132"/>
    <mergeCell ref="J1133:J1137"/>
    <mergeCell ref="J1138:J1150"/>
    <mergeCell ref="J1151:J1153"/>
    <mergeCell ref="J1154:J1155"/>
    <mergeCell ref="J1156:J1159"/>
    <mergeCell ref="J1160:J1162"/>
    <mergeCell ref="J1009:J1013"/>
    <mergeCell ref="J1014:J1018"/>
    <mergeCell ref="J1019:J1023"/>
    <mergeCell ref="J1026:J1027"/>
    <mergeCell ref="J1030:J1032"/>
    <mergeCell ref="J1034:J1035"/>
    <mergeCell ref="J1039:J1040"/>
    <mergeCell ref="J1041:J1043"/>
    <mergeCell ref="J1044:J1048"/>
    <mergeCell ref="J1049:J1053"/>
    <mergeCell ref="J1054:J1059"/>
    <mergeCell ref="J1060:J1063"/>
    <mergeCell ref="J1064:J1067"/>
    <mergeCell ref="J1068:J1070"/>
    <mergeCell ref="J1072:J1078"/>
    <mergeCell ref="J1079:J1082"/>
    <mergeCell ref="J1083:J1084"/>
    <mergeCell ref="J915:J917"/>
    <mergeCell ref="J920:J922"/>
    <mergeCell ref="J923:J926"/>
    <mergeCell ref="J928:J929"/>
    <mergeCell ref="J932:J933"/>
    <mergeCell ref="J934:J935"/>
    <mergeCell ref="J936:J943"/>
    <mergeCell ref="J944:J948"/>
    <mergeCell ref="J949:J954"/>
    <mergeCell ref="J955:J959"/>
    <mergeCell ref="J960:J965"/>
    <mergeCell ref="J966:J968"/>
    <mergeCell ref="J969:J973"/>
    <mergeCell ref="J974:J979"/>
    <mergeCell ref="J980:J990"/>
    <mergeCell ref="J991:J1000"/>
    <mergeCell ref="J1001:J1008"/>
    <mergeCell ref="J843:J846"/>
    <mergeCell ref="J848:J850"/>
    <mergeCell ref="J852:J856"/>
    <mergeCell ref="J857:J859"/>
    <mergeCell ref="J862:J863"/>
    <mergeCell ref="J866:J867"/>
    <mergeCell ref="J869:J873"/>
    <mergeCell ref="J874:J875"/>
    <mergeCell ref="J876:J877"/>
    <mergeCell ref="J879:J882"/>
    <mergeCell ref="J883:J893"/>
    <mergeCell ref="J894:J898"/>
    <mergeCell ref="J899:J902"/>
    <mergeCell ref="J903:J904"/>
    <mergeCell ref="J907:J908"/>
    <mergeCell ref="J909:J911"/>
    <mergeCell ref="J912:J914"/>
    <mergeCell ref="J768:J770"/>
    <mergeCell ref="J772:J774"/>
    <mergeCell ref="J776:J777"/>
    <mergeCell ref="J778:J789"/>
    <mergeCell ref="J790:J791"/>
    <mergeCell ref="J792:J793"/>
    <mergeCell ref="J794:J796"/>
    <mergeCell ref="J797:J805"/>
    <mergeCell ref="J806:J807"/>
    <mergeCell ref="J808:J811"/>
    <mergeCell ref="J812:J814"/>
    <mergeCell ref="J816:J819"/>
    <mergeCell ref="J820:J824"/>
    <mergeCell ref="J826:J829"/>
    <mergeCell ref="J831:J833"/>
    <mergeCell ref="J834:J836"/>
    <mergeCell ref="J837:J841"/>
    <mergeCell ref="J700:J702"/>
    <mergeCell ref="J703:J704"/>
    <mergeCell ref="J705:J709"/>
    <mergeCell ref="J710:J711"/>
    <mergeCell ref="J713:J714"/>
    <mergeCell ref="J715:J717"/>
    <mergeCell ref="J719:J720"/>
    <mergeCell ref="J724:J726"/>
    <mergeCell ref="J727:J731"/>
    <mergeCell ref="J732:J734"/>
    <mergeCell ref="J735:J737"/>
    <mergeCell ref="J738:J740"/>
    <mergeCell ref="J741:J742"/>
    <mergeCell ref="J743:J745"/>
    <mergeCell ref="J746:J751"/>
    <mergeCell ref="J753:J760"/>
    <mergeCell ref="J761:J767"/>
    <mergeCell ref="J630:J631"/>
    <mergeCell ref="J635:J636"/>
    <mergeCell ref="J637:J638"/>
    <mergeCell ref="J640:J641"/>
    <mergeCell ref="J642:J645"/>
    <mergeCell ref="J646:J649"/>
    <mergeCell ref="J651:J652"/>
    <mergeCell ref="J653:J654"/>
    <mergeCell ref="J655:J656"/>
    <mergeCell ref="J657:J659"/>
    <mergeCell ref="J662:J671"/>
    <mergeCell ref="J672:J677"/>
    <mergeCell ref="J678:J683"/>
    <mergeCell ref="J684:J685"/>
    <mergeCell ref="J686:J687"/>
    <mergeCell ref="J689:J693"/>
    <mergeCell ref="J694:J699"/>
    <mergeCell ref="J553:J557"/>
    <mergeCell ref="J558:J563"/>
    <mergeCell ref="J565:J570"/>
    <mergeCell ref="J571:J574"/>
    <mergeCell ref="J576:J577"/>
    <mergeCell ref="J578:J579"/>
    <mergeCell ref="J582:J583"/>
    <mergeCell ref="J585:J588"/>
    <mergeCell ref="J590:J595"/>
    <mergeCell ref="J596:J598"/>
    <mergeCell ref="J604:J606"/>
    <mergeCell ref="J607:J608"/>
    <mergeCell ref="J610:J611"/>
    <mergeCell ref="J613:J614"/>
    <mergeCell ref="J619:J622"/>
    <mergeCell ref="J623:J626"/>
    <mergeCell ref="J627:J629"/>
    <mergeCell ref="J473:J485"/>
    <mergeCell ref="J486:J488"/>
    <mergeCell ref="J489:J494"/>
    <mergeCell ref="J495:J497"/>
    <mergeCell ref="J498:J503"/>
    <mergeCell ref="J505:J508"/>
    <mergeCell ref="J509:J511"/>
    <mergeCell ref="J512:J514"/>
    <mergeCell ref="J516:J520"/>
    <mergeCell ref="J521:J522"/>
    <mergeCell ref="J525:J529"/>
    <mergeCell ref="J534:J537"/>
    <mergeCell ref="J538:J539"/>
    <mergeCell ref="J540:J541"/>
    <mergeCell ref="J546:J547"/>
    <mergeCell ref="J548:J550"/>
    <mergeCell ref="J551:J552"/>
    <mergeCell ref="J412:J415"/>
    <mergeCell ref="J416:J420"/>
    <mergeCell ref="J421:J422"/>
    <mergeCell ref="J423:J426"/>
    <mergeCell ref="J427:J430"/>
    <mergeCell ref="J433:J434"/>
    <mergeCell ref="J435:J437"/>
    <mergeCell ref="J438:J441"/>
    <mergeCell ref="J442:J443"/>
    <mergeCell ref="J444:J445"/>
    <mergeCell ref="J446:J448"/>
    <mergeCell ref="J449:J454"/>
    <mergeCell ref="J455:J456"/>
    <mergeCell ref="J457:J458"/>
    <mergeCell ref="J459:J463"/>
    <mergeCell ref="J465:J468"/>
    <mergeCell ref="J470:J472"/>
    <mergeCell ref="J337:J340"/>
    <mergeCell ref="J341:J346"/>
    <mergeCell ref="J348:J351"/>
    <mergeCell ref="J353:J354"/>
    <mergeCell ref="J355:J356"/>
    <mergeCell ref="J357:J360"/>
    <mergeCell ref="J361:J364"/>
    <mergeCell ref="J365:J367"/>
    <mergeCell ref="J368:J375"/>
    <mergeCell ref="J376:J378"/>
    <mergeCell ref="J379:J382"/>
    <mergeCell ref="J383:J384"/>
    <mergeCell ref="J385:J390"/>
    <mergeCell ref="J391:J392"/>
    <mergeCell ref="J394:J395"/>
    <mergeCell ref="J397:J407"/>
    <mergeCell ref="J408:J411"/>
    <mergeCell ref="J238:J241"/>
    <mergeCell ref="J242:J248"/>
    <mergeCell ref="J249:J252"/>
    <mergeCell ref="J253:J257"/>
    <mergeCell ref="J258:J265"/>
    <mergeCell ref="J269:J273"/>
    <mergeCell ref="J275:J276"/>
    <mergeCell ref="J277:J284"/>
    <mergeCell ref="J285:J290"/>
    <mergeCell ref="J291:J297"/>
    <mergeCell ref="J299:J301"/>
    <mergeCell ref="J302:J304"/>
    <mergeCell ref="J305:J316"/>
    <mergeCell ref="J317:J320"/>
    <mergeCell ref="J321:J325"/>
    <mergeCell ref="J327:J330"/>
    <mergeCell ref="J331:J336"/>
    <mergeCell ref="J139:J143"/>
    <mergeCell ref="J144:J145"/>
    <mergeCell ref="J146:J154"/>
    <mergeCell ref="J155:J162"/>
    <mergeCell ref="J163:J169"/>
    <mergeCell ref="J170:J171"/>
    <mergeCell ref="J172:J175"/>
    <mergeCell ref="J176:J178"/>
    <mergeCell ref="J180:J199"/>
    <mergeCell ref="J200:J201"/>
    <mergeCell ref="J202:J205"/>
    <mergeCell ref="J206:J207"/>
    <mergeCell ref="J210:J214"/>
    <mergeCell ref="J215:J226"/>
    <mergeCell ref="J227:J229"/>
    <mergeCell ref="J230:J232"/>
    <mergeCell ref="J233:J237"/>
    <mergeCell ref="I1154:I1155"/>
    <mergeCell ref="I1156:I1159"/>
    <mergeCell ref="I1160:I1162"/>
    <mergeCell ref="I1163:I1164"/>
    <mergeCell ref="I1167:I1168"/>
    <mergeCell ref="I1170:I1174"/>
    <mergeCell ref="I1175:I1176"/>
    <mergeCell ref="I1177:I1178"/>
    <mergeCell ref="I1179:I1201"/>
    <mergeCell ref="I1202:I1203"/>
    <mergeCell ref="J2:J12"/>
    <mergeCell ref="J13:J34"/>
    <mergeCell ref="J35:J38"/>
    <mergeCell ref="J39:J44"/>
    <mergeCell ref="J45:J47"/>
    <mergeCell ref="J48:J51"/>
    <mergeCell ref="J52:J57"/>
    <mergeCell ref="J58:J65"/>
    <mergeCell ref="J66:J72"/>
    <mergeCell ref="J73:J79"/>
    <mergeCell ref="J80:J81"/>
    <mergeCell ref="J82:J92"/>
    <mergeCell ref="J93:J98"/>
    <mergeCell ref="J99:J106"/>
    <mergeCell ref="J107:J110"/>
    <mergeCell ref="J111:J113"/>
    <mergeCell ref="J114:J117"/>
    <mergeCell ref="J118:J120"/>
    <mergeCell ref="J121:J125"/>
    <mergeCell ref="J126:J128"/>
    <mergeCell ref="J131:J133"/>
    <mergeCell ref="J134:J138"/>
    <mergeCell ref="I1072:I1078"/>
    <mergeCell ref="I1079:I1082"/>
    <mergeCell ref="I1083:I1084"/>
    <mergeCell ref="I1085:I1087"/>
    <mergeCell ref="I1088:I1092"/>
    <mergeCell ref="I1093:I1094"/>
    <mergeCell ref="I1096:I1097"/>
    <mergeCell ref="I1100:I1104"/>
    <mergeCell ref="I1105:I1107"/>
    <mergeCell ref="I1108:I1114"/>
    <mergeCell ref="I1115:I1117"/>
    <mergeCell ref="I1118:I1123"/>
    <mergeCell ref="I1124:I1126"/>
    <mergeCell ref="I1127:I1132"/>
    <mergeCell ref="I1133:I1137"/>
    <mergeCell ref="I1138:I1150"/>
    <mergeCell ref="I1151:I1153"/>
    <mergeCell ref="I980:I990"/>
    <mergeCell ref="I991:I1000"/>
    <mergeCell ref="I1001:I1008"/>
    <mergeCell ref="I1009:I1013"/>
    <mergeCell ref="I1014:I1018"/>
    <mergeCell ref="I1019:I1023"/>
    <mergeCell ref="I1026:I1027"/>
    <mergeCell ref="I1030:I1032"/>
    <mergeCell ref="I1034:I1035"/>
    <mergeCell ref="I1039:I1040"/>
    <mergeCell ref="I1041:I1043"/>
    <mergeCell ref="I1044:I1048"/>
    <mergeCell ref="I1049:I1053"/>
    <mergeCell ref="I1054:I1059"/>
    <mergeCell ref="I1060:I1063"/>
    <mergeCell ref="I1064:I1067"/>
    <mergeCell ref="I1068:I1070"/>
    <mergeCell ref="I907:I908"/>
    <mergeCell ref="I909:I911"/>
    <mergeCell ref="I912:I914"/>
    <mergeCell ref="I915:I917"/>
    <mergeCell ref="I920:I922"/>
    <mergeCell ref="I923:I926"/>
    <mergeCell ref="I928:I929"/>
    <mergeCell ref="I932:I933"/>
    <mergeCell ref="I934:I935"/>
    <mergeCell ref="I936:I943"/>
    <mergeCell ref="I944:I948"/>
    <mergeCell ref="I949:I954"/>
    <mergeCell ref="I955:I959"/>
    <mergeCell ref="I960:I965"/>
    <mergeCell ref="I966:I968"/>
    <mergeCell ref="I969:I973"/>
    <mergeCell ref="I974:I979"/>
    <mergeCell ref="I831:I833"/>
    <mergeCell ref="I834:I836"/>
    <mergeCell ref="I837:I841"/>
    <mergeCell ref="I843:I846"/>
    <mergeCell ref="I848:I850"/>
    <mergeCell ref="I852:I856"/>
    <mergeCell ref="I857:I859"/>
    <mergeCell ref="I862:I863"/>
    <mergeCell ref="I866:I867"/>
    <mergeCell ref="I869:I873"/>
    <mergeCell ref="I874:I875"/>
    <mergeCell ref="I876:I877"/>
    <mergeCell ref="I879:I882"/>
    <mergeCell ref="I883:I893"/>
    <mergeCell ref="I894:I898"/>
    <mergeCell ref="I899:I902"/>
    <mergeCell ref="I903:I904"/>
    <mergeCell ref="I746:I751"/>
    <mergeCell ref="I753:I760"/>
    <mergeCell ref="I761:I767"/>
    <mergeCell ref="I768:I770"/>
    <mergeCell ref="I772:I774"/>
    <mergeCell ref="I776:I777"/>
    <mergeCell ref="I778:I789"/>
    <mergeCell ref="I790:I791"/>
    <mergeCell ref="I792:I793"/>
    <mergeCell ref="I794:I796"/>
    <mergeCell ref="I797:I805"/>
    <mergeCell ref="I806:I807"/>
    <mergeCell ref="I808:I811"/>
    <mergeCell ref="I812:I814"/>
    <mergeCell ref="I816:I819"/>
    <mergeCell ref="I820:I824"/>
    <mergeCell ref="I826:I829"/>
    <mergeCell ref="I686:I687"/>
    <mergeCell ref="I689:I693"/>
    <mergeCell ref="I694:I699"/>
    <mergeCell ref="I700:I702"/>
    <mergeCell ref="I703:I704"/>
    <mergeCell ref="I705:I709"/>
    <mergeCell ref="I710:I711"/>
    <mergeCell ref="I713:I714"/>
    <mergeCell ref="I715:I717"/>
    <mergeCell ref="I719:I720"/>
    <mergeCell ref="I724:I726"/>
    <mergeCell ref="I727:I731"/>
    <mergeCell ref="I732:I734"/>
    <mergeCell ref="I735:I737"/>
    <mergeCell ref="I738:I740"/>
    <mergeCell ref="I741:I742"/>
    <mergeCell ref="I743:I745"/>
    <mergeCell ref="I619:I622"/>
    <mergeCell ref="I623:I626"/>
    <mergeCell ref="I627:I629"/>
    <mergeCell ref="I630:I631"/>
    <mergeCell ref="I635:I636"/>
    <mergeCell ref="I637:I638"/>
    <mergeCell ref="I640:I641"/>
    <mergeCell ref="I642:I645"/>
    <mergeCell ref="I646:I649"/>
    <mergeCell ref="I651:I652"/>
    <mergeCell ref="I653:I654"/>
    <mergeCell ref="I655:I656"/>
    <mergeCell ref="I657:I659"/>
    <mergeCell ref="I662:I671"/>
    <mergeCell ref="I672:I677"/>
    <mergeCell ref="I678:I683"/>
    <mergeCell ref="I684:I685"/>
    <mergeCell ref="I546:I547"/>
    <mergeCell ref="I548:I550"/>
    <mergeCell ref="I551:I552"/>
    <mergeCell ref="I553:I557"/>
    <mergeCell ref="I558:I563"/>
    <mergeCell ref="I565:I570"/>
    <mergeCell ref="I571:I574"/>
    <mergeCell ref="I576:I577"/>
    <mergeCell ref="I578:I579"/>
    <mergeCell ref="I582:I583"/>
    <mergeCell ref="I585:I588"/>
    <mergeCell ref="I590:I595"/>
    <mergeCell ref="I596:I598"/>
    <mergeCell ref="I604:I606"/>
    <mergeCell ref="I607:I608"/>
    <mergeCell ref="I610:I611"/>
    <mergeCell ref="I613:I614"/>
    <mergeCell ref="I459:I463"/>
    <mergeCell ref="I465:I468"/>
    <mergeCell ref="I470:I472"/>
    <mergeCell ref="I473:I485"/>
    <mergeCell ref="I486:I488"/>
    <mergeCell ref="I489:I494"/>
    <mergeCell ref="I495:I497"/>
    <mergeCell ref="I498:I503"/>
    <mergeCell ref="I505:I508"/>
    <mergeCell ref="I509:I511"/>
    <mergeCell ref="I512:I514"/>
    <mergeCell ref="I516:I520"/>
    <mergeCell ref="I521:I522"/>
    <mergeCell ref="I525:I529"/>
    <mergeCell ref="I534:I537"/>
    <mergeCell ref="I538:I539"/>
    <mergeCell ref="I540:I541"/>
    <mergeCell ref="I394:I395"/>
    <mergeCell ref="I397:I407"/>
    <mergeCell ref="I408:I411"/>
    <mergeCell ref="I412:I415"/>
    <mergeCell ref="I416:I420"/>
    <mergeCell ref="I421:I422"/>
    <mergeCell ref="I423:I426"/>
    <mergeCell ref="I427:I430"/>
    <mergeCell ref="I433:I434"/>
    <mergeCell ref="I435:I437"/>
    <mergeCell ref="I438:I441"/>
    <mergeCell ref="I442:I443"/>
    <mergeCell ref="I444:I445"/>
    <mergeCell ref="I446:I448"/>
    <mergeCell ref="I449:I454"/>
    <mergeCell ref="I455:I456"/>
    <mergeCell ref="I457:I458"/>
    <mergeCell ref="I321:I325"/>
    <mergeCell ref="I327:I330"/>
    <mergeCell ref="I331:I336"/>
    <mergeCell ref="I337:I340"/>
    <mergeCell ref="I341:I346"/>
    <mergeCell ref="I348:I351"/>
    <mergeCell ref="I353:I354"/>
    <mergeCell ref="I355:I356"/>
    <mergeCell ref="I357:I360"/>
    <mergeCell ref="I361:I364"/>
    <mergeCell ref="I365:I367"/>
    <mergeCell ref="I368:I375"/>
    <mergeCell ref="I376:I378"/>
    <mergeCell ref="I379:I382"/>
    <mergeCell ref="I383:I384"/>
    <mergeCell ref="I385:I390"/>
    <mergeCell ref="I391:I392"/>
    <mergeCell ref="I227:I229"/>
    <mergeCell ref="I230:I232"/>
    <mergeCell ref="I233:I237"/>
    <mergeCell ref="I238:I241"/>
    <mergeCell ref="I242:I248"/>
    <mergeCell ref="I249:I252"/>
    <mergeCell ref="I253:I257"/>
    <mergeCell ref="I258:I265"/>
    <mergeCell ref="I269:I273"/>
    <mergeCell ref="I275:I276"/>
    <mergeCell ref="I277:I284"/>
    <mergeCell ref="I285:I290"/>
    <mergeCell ref="I291:I297"/>
    <mergeCell ref="I299:I301"/>
    <mergeCell ref="I302:I304"/>
    <mergeCell ref="I305:I316"/>
    <mergeCell ref="I317:I320"/>
    <mergeCell ref="I126:I128"/>
    <mergeCell ref="I131:I133"/>
    <mergeCell ref="I134:I138"/>
    <mergeCell ref="I139:I143"/>
    <mergeCell ref="I144:I145"/>
    <mergeCell ref="I146:I154"/>
    <mergeCell ref="I155:I162"/>
    <mergeCell ref="I163:I169"/>
    <mergeCell ref="I170:I171"/>
    <mergeCell ref="I172:I175"/>
    <mergeCell ref="I176:I178"/>
    <mergeCell ref="I180:I199"/>
    <mergeCell ref="I200:I201"/>
    <mergeCell ref="I202:I205"/>
    <mergeCell ref="I206:I207"/>
    <mergeCell ref="I210:I214"/>
    <mergeCell ref="I215:I226"/>
    <mergeCell ref="H1133:H1137"/>
    <mergeCell ref="H1138:H1150"/>
    <mergeCell ref="H1151:H1153"/>
    <mergeCell ref="H1154:H1155"/>
    <mergeCell ref="H1156:H1159"/>
    <mergeCell ref="H1160:H1162"/>
    <mergeCell ref="H1163:H1164"/>
    <mergeCell ref="H1167:H1168"/>
    <mergeCell ref="H1170:H1174"/>
    <mergeCell ref="H1175:H1176"/>
    <mergeCell ref="H1177:H1178"/>
    <mergeCell ref="H1179:H1201"/>
    <mergeCell ref="H1202:H1203"/>
    <mergeCell ref="I2:I12"/>
    <mergeCell ref="I13:I34"/>
    <mergeCell ref="I35:I38"/>
    <mergeCell ref="I39:I44"/>
    <mergeCell ref="I45:I47"/>
    <mergeCell ref="I48:I51"/>
    <mergeCell ref="I52:I57"/>
    <mergeCell ref="I58:I65"/>
    <mergeCell ref="I66:I72"/>
    <mergeCell ref="I73:I79"/>
    <mergeCell ref="I80:I81"/>
    <mergeCell ref="I82:I92"/>
    <mergeCell ref="I93:I98"/>
    <mergeCell ref="I99:I106"/>
    <mergeCell ref="I107:I110"/>
    <mergeCell ref="I111:I113"/>
    <mergeCell ref="I114:I117"/>
    <mergeCell ref="I118:I120"/>
    <mergeCell ref="I121:I125"/>
    <mergeCell ref="H1060:H1063"/>
    <mergeCell ref="H1064:H1067"/>
    <mergeCell ref="H1068:H1070"/>
    <mergeCell ref="H1072:H1078"/>
    <mergeCell ref="H1079:H1082"/>
    <mergeCell ref="H1083:H1084"/>
    <mergeCell ref="H1085:H1087"/>
    <mergeCell ref="H1088:H1092"/>
    <mergeCell ref="H1093:H1094"/>
    <mergeCell ref="H1096:H1097"/>
    <mergeCell ref="H1100:H1104"/>
    <mergeCell ref="H1105:H1107"/>
    <mergeCell ref="H1108:H1114"/>
    <mergeCell ref="H1115:H1117"/>
    <mergeCell ref="H1118:H1123"/>
    <mergeCell ref="H1124:H1126"/>
    <mergeCell ref="H1127:H1132"/>
    <mergeCell ref="H966:H968"/>
    <mergeCell ref="H969:H973"/>
    <mergeCell ref="H974:H979"/>
    <mergeCell ref="H980:H990"/>
    <mergeCell ref="H991:H1000"/>
    <mergeCell ref="H1001:H1008"/>
    <mergeCell ref="H1009:H1013"/>
    <mergeCell ref="H1014:H1018"/>
    <mergeCell ref="H1019:H1023"/>
    <mergeCell ref="H1026:H1027"/>
    <mergeCell ref="H1030:H1032"/>
    <mergeCell ref="H1034:H1035"/>
    <mergeCell ref="H1039:H1040"/>
    <mergeCell ref="H1041:H1043"/>
    <mergeCell ref="H1044:H1048"/>
    <mergeCell ref="H1049:H1053"/>
    <mergeCell ref="H1054:H1059"/>
    <mergeCell ref="H894:H898"/>
    <mergeCell ref="H899:H902"/>
    <mergeCell ref="H903:H904"/>
    <mergeCell ref="H907:H908"/>
    <mergeCell ref="H909:H911"/>
    <mergeCell ref="H912:H914"/>
    <mergeCell ref="H915:H917"/>
    <mergeCell ref="H920:H922"/>
    <mergeCell ref="H923:H926"/>
    <mergeCell ref="H928:H929"/>
    <mergeCell ref="H932:H933"/>
    <mergeCell ref="H934:H935"/>
    <mergeCell ref="H936:H943"/>
    <mergeCell ref="H944:H948"/>
    <mergeCell ref="H949:H954"/>
    <mergeCell ref="H955:H959"/>
    <mergeCell ref="H960:H965"/>
    <mergeCell ref="H816:H819"/>
    <mergeCell ref="H820:H824"/>
    <mergeCell ref="H826:H829"/>
    <mergeCell ref="H831:H833"/>
    <mergeCell ref="H834:H836"/>
    <mergeCell ref="H837:H841"/>
    <mergeCell ref="H843:H846"/>
    <mergeCell ref="H848:H850"/>
    <mergeCell ref="H852:H856"/>
    <mergeCell ref="H857:H859"/>
    <mergeCell ref="H862:H863"/>
    <mergeCell ref="H866:H867"/>
    <mergeCell ref="H869:H873"/>
    <mergeCell ref="H874:H875"/>
    <mergeCell ref="H876:H877"/>
    <mergeCell ref="H879:H882"/>
    <mergeCell ref="H883:H893"/>
    <mergeCell ref="H738:H740"/>
    <mergeCell ref="H741:H742"/>
    <mergeCell ref="H743:H745"/>
    <mergeCell ref="H746:H751"/>
    <mergeCell ref="H753:H760"/>
    <mergeCell ref="H761:H767"/>
    <mergeCell ref="H768:H770"/>
    <mergeCell ref="H772:H774"/>
    <mergeCell ref="H776:H777"/>
    <mergeCell ref="H778:H789"/>
    <mergeCell ref="H790:H791"/>
    <mergeCell ref="H792:H793"/>
    <mergeCell ref="H794:H796"/>
    <mergeCell ref="H797:H805"/>
    <mergeCell ref="H806:H807"/>
    <mergeCell ref="H808:H811"/>
    <mergeCell ref="H812:H814"/>
    <mergeCell ref="H672:H677"/>
    <mergeCell ref="H678:H683"/>
    <mergeCell ref="H684:H685"/>
    <mergeCell ref="H686:H687"/>
    <mergeCell ref="H689:H693"/>
    <mergeCell ref="H694:H699"/>
    <mergeCell ref="H700:H702"/>
    <mergeCell ref="H703:H704"/>
    <mergeCell ref="H705:H709"/>
    <mergeCell ref="H710:H711"/>
    <mergeCell ref="H713:H714"/>
    <mergeCell ref="H715:H717"/>
    <mergeCell ref="H719:H720"/>
    <mergeCell ref="H724:H726"/>
    <mergeCell ref="H727:H731"/>
    <mergeCell ref="H732:H734"/>
    <mergeCell ref="H735:H737"/>
    <mergeCell ref="H607:H608"/>
    <mergeCell ref="H610:H611"/>
    <mergeCell ref="H613:H614"/>
    <mergeCell ref="H619:H622"/>
    <mergeCell ref="H623:H626"/>
    <mergeCell ref="H627:H629"/>
    <mergeCell ref="H630:H631"/>
    <mergeCell ref="H635:H636"/>
    <mergeCell ref="H637:H638"/>
    <mergeCell ref="H640:H641"/>
    <mergeCell ref="H642:H645"/>
    <mergeCell ref="H646:H649"/>
    <mergeCell ref="H651:H652"/>
    <mergeCell ref="H653:H654"/>
    <mergeCell ref="H655:H656"/>
    <mergeCell ref="H657:H659"/>
    <mergeCell ref="H662:H671"/>
    <mergeCell ref="H534:H537"/>
    <mergeCell ref="H538:H539"/>
    <mergeCell ref="H540:H541"/>
    <mergeCell ref="H546:H547"/>
    <mergeCell ref="H548:H550"/>
    <mergeCell ref="H551:H552"/>
    <mergeCell ref="H553:H557"/>
    <mergeCell ref="H558:H563"/>
    <mergeCell ref="H565:H570"/>
    <mergeCell ref="H571:H574"/>
    <mergeCell ref="H576:H577"/>
    <mergeCell ref="H578:H579"/>
    <mergeCell ref="H582:H583"/>
    <mergeCell ref="H585:H588"/>
    <mergeCell ref="H590:H595"/>
    <mergeCell ref="H596:H598"/>
    <mergeCell ref="H604:H606"/>
    <mergeCell ref="H449:H454"/>
    <mergeCell ref="H455:H456"/>
    <mergeCell ref="H457:H458"/>
    <mergeCell ref="H459:H463"/>
    <mergeCell ref="H465:H468"/>
    <mergeCell ref="H470:H472"/>
    <mergeCell ref="H473:H485"/>
    <mergeCell ref="H486:H488"/>
    <mergeCell ref="H489:H494"/>
    <mergeCell ref="H495:H497"/>
    <mergeCell ref="H498:H503"/>
    <mergeCell ref="H505:H508"/>
    <mergeCell ref="H509:H511"/>
    <mergeCell ref="H512:H514"/>
    <mergeCell ref="H516:H520"/>
    <mergeCell ref="H521:H522"/>
    <mergeCell ref="H525:H529"/>
    <mergeCell ref="H383:H384"/>
    <mergeCell ref="H385:H390"/>
    <mergeCell ref="H391:H392"/>
    <mergeCell ref="H394:H395"/>
    <mergeCell ref="H397:H407"/>
    <mergeCell ref="H408:H411"/>
    <mergeCell ref="H412:H415"/>
    <mergeCell ref="H416:H420"/>
    <mergeCell ref="H421:H422"/>
    <mergeCell ref="H423:H426"/>
    <mergeCell ref="H427:H430"/>
    <mergeCell ref="H433:H434"/>
    <mergeCell ref="H435:H437"/>
    <mergeCell ref="H438:H441"/>
    <mergeCell ref="H442:H443"/>
    <mergeCell ref="H444:H445"/>
    <mergeCell ref="H446:H448"/>
    <mergeCell ref="H302:H304"/>
    <mergeCell ref="H305:H316"/>
    <mergeCell ref="H317:H320"/>
    <mergeCell ref="H321:H325"/>
    <mergeCell ref="H327:H330"/>
    <mergeCell ref="H331:H336"/>
    <mergeCell ref="H337:H340"/>
    <mergeCell ref="H341:H346"/>
    <mergeCell ref="H348:H351"/>
    <mergeCell ref="H353:H354"/>
    <mergeCell ref="H355:H356"/>
    <mergeCell ref="H357:H360"/>
    <mergeCell ref="H361:H364"/>
    <mergeCell ref="H365:H367"/>
    <mergeCell ref="H368:H375"/>
    <mergeCell ref="H376:H378"/>
    <mergeCell ref="H379:H382"/>
    <mergeCell ref="H206:H207"/>
    <mergeCell ref="H210:H214"/>
    <mergeCell ref="H215:H226"/>
    <mergeCell ref="H227:H229"/>
    <mergeCell ref="H230:H232"/>
    <mergeCell ref="H233:H237"/>
    <mergeCell ref="H238:H241"/>
    <mergeCell ref="H242:H248"/>
    <mergeCell ref="H249:H252"/>
    <mergeCell ref="H253:H257"/>
    <mergeCell ref="H258:H265"/>
    <mergeCell ref="H269:H273"/>
    <mergeCell ref="H275:H276"/>
    <mergeCell ref="H277:H284"/>
    <mergeCell ref="H285:H290"/>
    <mergeCell ref="H291:H297"/>
    <mergeCell ref="H299:H301"/>
    <mergeCell ref="H114:H117"/>
    <mergeCell ref="H118:H120"/>
    <mergeCell ref="H121:H125"/>
    <mergeCell ref="H126:H128"/>
    <mergeCell ref="H131:H133"/>
    <mergeCell ref="H134:H138"/>
    <mergeCell ref="H139:H143"/>
    <mergeCell ref="H144:H145"/>
    <mergeCell ref="H146:H154"/>
    <mergeCell ref="H155:H162"/>
    <mergeCell ref="H163:H169"/>
    <mergeCell ref="H170:H171"/>
    <mergeCell ref="H172:H175"/>
    <mergeCell ref="H176:H178"/>
    <mergeCell ref="H180:H199"/>
    <mergeCell ref="H200:H201"/>
    <mergeCell ref="H202:H205"/>
    <mergeCell ref="G1118:G1123"/>
    <mergeCell ref="G1124:G1126"/>
    <mergeCell ref="G1127:G1132"/>
    <mergeCell ref="G1133:G1137"/>
    <mergeCell ref="G1138:G1150"/>
    <mergeCell ref="G1151:G1153"/>
    <mergeCell ref="G1154:G1155"/>
    <mergeCell ref="G1156:G1159"/>
    <mergeCell ref="G1160:G1162"/>
    <mergeCell ref="G1163:G1164"/>
    <mergeCell ref="G1167:G1168"/>
    <mergeCell ref="G1170:G1174"/>
    <mergeCell ref="G1175:G1176"/>
    <mergeCell ref="G1177:G1178"/>
    <mergeCell ref="G1179:G1201"/>
    <mergeCell ref="G1202:G1203"/>
    <mergeCell ref="H2:H12"/>
    <mergeCell ref="H13:H34"/>
    <mergeCell ref="H35:H38"/>
    <mergeCell ref="H39:H44"/>
    <mergeCell ref="H45:H47"/>
    <mergeCell ref="H48:H51"/>
    <mergeCell ref="H52:H57"/>
    <mergeCell ref="H58:H65"/>
    <mergeCell ref="H66:H72"/>
    <mergeCell ref="H73:H79"/>
    <mergeCell ref="H80:H81"/>
    <mergeCell ref="H82:H92"/>
    <mergeCell ref="H93:H98"/>
    <mergeCell ref="H99:H106"/>
    <mergeCell ref="H107:H110"/>
    <mergeCell ref="H111:H113"/>
    <mergeCell ref="G1044:G1048"/>
    <mergeCell ref="G1049:G1053"/>
    <mergeCell ref="G1054:G1059"/>
    <mergeCell ref="G1060:G1063"/>
    <mergeCell ref="G1064:G1067"/>
    <mergeCell ref="G1068:G1070"/>
    <mergeCell ref="G1072:G1078"/>
    <mergeCell ref="G1079:G1082"/>
    <mergeCell ref="G1083:G1084"/>
    <mergeCell ref="G1085:G1087"/>
    <mergeCell ref="G1088:G1092"/>
    <mergeCell ref="G1093:G1094"/>
    <mergeCell ref="G1096:G1097"/>
    <mergeCell ref="G1100:G1104"/>
    <mergeCell ref="G1105:G1107"/>
    <mergeCell ref="G1108:G1114"/>
    <mergeCell ref="G1115:G1117"/>
    <mergeCell ref="G949:G954"/>
    <mergeCell ref="G955:G959"/>
    <mergeCell ref="G960:G965"/>
    <mergeCell ref="G966:G968"/>
    <mergeCell ref="G969:G973"/>
    <mergeCell ref="G974:G979"/>
    <mergeCell ref="G980:G990"/>
    <mergeCell ref="G991:G1000"/>
    <mergeCell ref="G1001:G1008"/>
    <mergeCell ref="G1009:G1013"/>
    <mergeCell ref="G1014:G1018"/>
    <mergeCell ref="G1019:G1023"/>
    <mergeCell ref="G1026:G1027"/>
    <mergeCell ref="G1030:G1032"/>
    <mergeCell ref="G1034:G1035"/>
    <mergeCell ref="G1039:G1040"/>
    <mergeCell ref="G1041:G1043"/>
    <mergeCell ref="G876:G877"/>
    <mergeCell ref="G879:G882"/>
    <mergeCell ref="G883:G893"/>
    <mergeCell ref="G894:G898"/>
    <mergeCell ref="G899:G902"/>
    <mergeCell ref="G903:G904"/>
    <mergeCell ref="G907:G908"/>
    <mergeCell ref="G909:G911"/>
    <mergeCell ref="G912:G914"/>
    <mergeCell ref="G915:G917"/>
    <mergeCell ref="G920:G922"/>
    <mergeCell ref="G923:G926"/>
    <mergeCell ref="G928:G929"/>
    <mergeCell ref="G932:G933"/>
    <mergeCell ref="G934:G935"/>
    <mergeCell ref="G936:G943"/>
    <mergeCell ref="G944:G948"/>
    <mergeCell ref="G806:G807"/>
    <mergeCell ref="G808:G811"/>
    <mergeCell ref="G812:G814"/>
    <mergeCell ref="G816:G819"/>
    <mergeCell ref="G820:G824"/>
    <mergeCell ref="G826:G829"/>
    <mergeCell ref="G831:G833"/>
    <mergeCell ref="G834:G836"/>
    <mergeCell ref="G837:G841"/>
    <mergeCell ref="G843:G846"/>
    <mergeCell ref="G848:G850"/>
    <mergeCell ref="G852:G856"/>
    <mergeCell ref="G857:G859"/>
    <mergeCell ref="G862:G863"/>
    <mergeCell ref="G866:G867"/>
    <mergeCell ref="G869:G873"/>
    <mergeCell ref="G874:G875"/>
    <mergeCell ref="G727:G731"/>
    <mergeCell ref="G732:G734"/>
    <mergeCell ref="G735:G737"/>
    <mergeCell ref="G738:G740"/>
    <mergeCell ref="G741:G742"/>
    <mergeCell ref="G743:G745"/>
    <mergeCell ref="G746:G751"/>
    <mergeCell ref="G753:G760"/>
    <mergeCell ref="G761:G767"/>
    <mergeCell ref="G768:G770"/>
    <mergeCell ref="G772:G774"/>
    <mergeCell ref="G776:G777"/>
    <mergeCell ref="G778:G789"/>
    <mergeCell ref="G790:G791"/>
    <mergeCell ref="G792:G793"/>
    <mergeCell ref="G794:G796"/>
    <mergeCell ref="G797:G805"/>
    <mergeCell ref="G655:G656"/>
    <mergeCell ref="G657:G659"/>
    <mergeCell ref="G662:G671"/>
    <mergeCell ref="G672:G677"/>
    <mergeCell ref="G678:G683"/>
    <mergeCell ref="G684:G685"/>
    <mergeCell ref="G686:G687"/>
    <mergeCell ref="G689:G693"/>
    <mergeCell ref="G694:G699"/>
    <mergeCell ref="G700:G702"/>
    <mergeCell ref="G703:G704"/>
    <mergeCell ref="G705:G709"/>
    <mergeCell ref="G710:G711"/>
    <mergeCell ref="G713:G714"/>
    <mergeCell ref="G715:G717"/>
    <mergeCell ref="G719:G720"/>
    <mergeCell ref="G724:G726"/>
    <mergeCell ref="G590:G595"/>
    <mergeCell ref="G596:G598"/>
    <mergeCell ref="G604:G606"/>
    <mergeCell ref="G607:G608"/>
    <mergeCell ref="G610:G611"/>
    <mergeCell ref="G613:G614"/>
    <mergeCell ref="G619:G622"/>
    <mergeCell ref="G623:G626"/>
    <mergeCell ref="G627:G629"/>
    <mergeCell ref="G630:G631"/>
    <mergeCell ref="G635:G636"/>
    <mergeCell ref="G637:G638"/>
    <mergeCell ref="G640:G641"/>
    <mergeCell ref="G642:G645"/>
    <mergeCell ref="G646:G649"/>
    <mergeCell ref="G651:G652"/>
    <mergeCell ref="G653:G654"/>
    <mergeCell ref="G516:G520"/>
    <mergeCell ref="G521:G522"/>
    <mergeCell ref="G525:G529"/>
    <mergeCell ref="G534:G537"/>
    <mergeCell ref="G538:G539"/>
    <mergeCell ref="G540:G541"/>
    <mergeCell ref="G546:G547"/>
    <mergeCell ref="G548:G550"/>
    <mergeCell ref="G551:G552"/>
    <mergeCell ref="G553:G557"/>
    <mergeCell ref="G558:G563"/>
    <mergeCell ref="G565:G570"/>
    <mergeCell ref="G571:G574"/>
    <mergeCell ref="G576:G577"/>
    <mergeCell ref="G578:G579"/>
    <mergeCell ref="G582:G583"/>
    <mergeCell ref="G585:G588"/>
    <mergeCell ref="G442:G443"/>
    <mergeCell ref="G444:G445"/>
    <mergeCell ref="G446:G448"/>
    <mergeCell ref="G449:G454"/>
    <mergeCell ref="G455:G456"/>
    <mergeCell ref="G457:G458"/>
    <mergeCell ref="G459:G463"/>
    <mergeCell ref="G465:G468"/>
    <mergeCell ref="G470:G472"/>
    <mergeCell ref="G473:G485"/>
    <mergeCell ref="G486:G488"/>
    <mergeCell ref="G489:G494"/>
    <mergeCell ref="G495:G497"/>
    <mergeCell ref="G498:G503"/>
    <mergeCell ref="G505:G508"/>
    <mergeCell ref="G509:G511"/>
    <mergeCell ref="G512:G514"/>
    <mergeCell ref="G368:G375"/>
    <mergeCell ref="G376:G378"/>
    <mergeCell ref="G379:G382"/>
    <mergeCell ref="G383:G384"/>
    <mergeCell ref="G385:G390"/>
    <mergeCell ref="G391:G392"/>
    <mergeCell ref="G394:G395"/>
    <mergeCell ref="G397:G407"/>
    <mergeCell ref="G408:G411"/>
    <mergeCell ref="G412:G415"/>
    <mergeCell ref="G416:G420"/>
    <mergeCell ref="G421:G422"/>
    <mergeCell ref="G423:G426"/>
    <mergeCell ref="G427:G430"/>
    <mergeCell ref="G433:G434"/>
    <mergeCell ref="G435:G437"/>
    <mergeCell ref="G438:G441"/>
    <mergeCell ref="G285:G290"/>
    <mergeCell ref="G291:G297"/>
    <mergeCell ref="G299:G301"/>
    <mergeCell ref="G302:G304"/>
    <mergeCell ref="G305:G316"/>
    <mergeCell ref="G317:G320"/>
    <mergeCell ref="G321:G325"/>
    <mergeCell ref="G327:G330"/>
    <mergeCell ref="G331:G336"/>
    <mergeCell ref="G337:G340"/>
    <mergeCell ref="G341:G346"/>
    <mergeCell ref="G348:G351"/>
    <mergeCell ref="G353:G354"/>
    <mergeCell ref="G355:G356"/>
    <mergeCell ref="G357:G360"/>
    <mergeCell ref="G361:G364"/>
    <mergeCell ref="G365:G367"/>
    <mergeCell ref="G180:G199"/>
    <mergeCell ref="G200:G201"/>
    <mergeCell ref="G202:G205"/>
    <mergeCell ref="G206:G207"/>
    <mergeCell ref="G210:G214"/>
    <mergeCell ref="G215:G226"/>
    <mergeCell ref="G227:G229"/>
    <mergeCell ref="G230:G232"/>
    <mergeCell ref="G233:G237"/>
    <mergeCell ref="G238:G241"/>
    <mergeCell ref="G242:G248"/>
    <mergeCell ref="G249:G252"/>
    <mergeCell ref="G253:G257"/>
    <mergeCell ref="G258:G265"/>
    <mergeCell ref="G269:G273"/>
    <mergeCell ref="G275:G276"/>
    <mergeCell ref="G277:G284"/>
    <mergeCell ref="F1179:F1201"/>
    <mergeCell ref="F1202:F1203"/>
    <mergeCell ref="G2:G12"/>
    <mergeCell ref="G13:G34"/>
    <mergeCell ref="G35:G38"/>
    <mergeCell ref="G39:G44"/>
    <mergeCell ref="G45:G47"/>
    <mergeCell ref="G48:G51"/>
    <mergeCell ref="G52:G57"/>
    <mergeCell ref="G58:G65"/>
    <mergeCell ref="G66:G72"/>
    <mergeCell ref="G73:G79"/>
    <mergeCell ref="G80:G81"/>
    <mergeCell ref="G82:G92"/>
    <mergeCell ref="G93:G98"/>
    <mergeCell ref="G99:G106"/>
    <mergeCell ref="G107:G110"/>
    <mergeCell ref="G111:G113"/>
    <mergeCell ref="G114:G117"/>
    <mergeCell ref="G118:G120"/>
    <mergeCell ref="G121:G125"/>
    <mergeCell ref="G126:G128"/>
    <mergeCell ref="G131:G133"/>
    <mergeCell ref="G134:G138"/>
    <mergeCell ref="G139:G143"/>
    <mergeCell ref="G144:G145"/>
    <mergeCell ref="G146:G154"/>
    <mergeCell ref="G155:G162"/>
    <mergeCell ref="G163:G169"/>
    <mergeCell ref="G170:G171"/>
    <mergeCell ref="G172:G175"/>
    <mergeCell ref="G176:G178"/>
    <mergeCell ref="F1105:F1107"/>
    <mergeCell ref="F1108:F1114"/>
    <mergeCell ref="F1115:F1117"/>
    <mergeCell ref="F1118:F1123"/>
    <mergeCell ref="F1124:F1126"/>
    <mergeCell ref="F1127:F1132"/>
    <mergeCell ref="F1133:F1137"/>
    <mergeCell ref="F1138:F1150"/>
    <mergeCell ref="F1151:F1153"/>
    <mergeCell ref="F1154:F1155"/>
    <mergeCell ref="F1156:F1159"/>
    <mergeCell ref="F1160:F1162"/>
    <mergeCell ref="F1163:F1164"/>
    <mergeCell ref="F1167:F1168"/>
    <mergeCell ref="F1170:F1174"/>
    <mergeCell ref="F1175:F1176"/>
    <mergeCell ref="F1177:F1178"/>
    <mergeCell ref="F1034:F1035"/>
    <mergeCell ref="F1039:F1040"/>
    <mergeCell ref="F1041:F1043"/>
    <mergeCell ref="F1044:F1048"/>
    <mergeCell ref="F1049:F1053"/>
    <mergeCell ref="F1054:F1059"/>
    <mergeCell ref="F1060:F1063"/>
    <mergeCell ref="F1064:F1067"/>
    <mergeCell ref="F1068:F1070"/>
    <mergeCell ref="F1072:F1078"/>
    <mergeCell ref="F1079:F1082"/>
    <mergeCell ref="F1083:F1084"/>
    <mergeCell ref="F1085:F1087"/>
    <mergeCell ref="F1088:F1092"/>
    <mergeCell ref="F1093:F1094"/>
    <mergeCell ref="F1096:F1097"/>
    <mergeCell ref="F1100:F1104"/>
    <mergeCell ref="F934:F935"/>
    <mergeCell ref="F936:F943"/>
    <mergeCell ref="F944:F948"/>
    <mergeCell ref="F949:F954"/>
    <mergeCell ref="F955:F959"/>
    <mergeCell ref="F960:F965"/>
    <mergeCell ref="F966:F968"/>
    <mergeCell ref="F969:F973"/>
    <mergeCell ref="F974:F979"/>
    <mergeCell ref="F980:F990"/>
    <mergeCell ref="F991:F1000"/>
    <mergeCell ref="F1001:F1008"/>
    <mergeCell ref="F1009:F1013"/>
    <mergeCell ref="F1014:F1018"/>
    <mergeCell ref="F1019:F1023"/>
    <mergeCell ref="F1026:F1027"/>
    <mergeCell ref="F1030:F1032"/>
    <mergeCell ref="F866:F867"/>
    <mergeCell ref="F869:F873"/>
    <mergeCell ref="F874:F875"/>
    <mergeCell ref="F876:F877"/>
    <mergeCell ref="F879:F882"/>
    <mergeCell ref="F883:F893"/>
    <mergeCell ref="F894:F898"/>
    <mergeCell ref="F899:F902"/>
    <mergeCell ref="F903:F904"/>
    <mergeCell ref="F907:F908"/>
    <mergeCell ref="F909:F911"/>
    <mergeCell ref="F912:F914"/>
    <mergeCell ref="F915:F917"/>
    <mergeCell ref="F920:F922"/>
    <mergeCell ref="F923:F926"/>
    <mergeCell ref="F928:F929"/>
    <mergeCell ref="F932:F933"/>
    <mergeCell ref="F792:F793"/>
    <mergeCell ref="F794:F796"/>
    <mergeCell ref="F797:F805"/>
    <mergeCell ref="F806:F807"/>
    <mergeCell ref="F808:F811"/>
    <mergeCell ref="F812:F814"/>
    <mergeCell ref="F816:F819"/>
    <mergeCell ref="F820:F824"/>
    <mergeCell ref="F826:F829"/>
    <mergeCell ref="F831:F833"/>
    <mergeCell ref="F834:F836"/>
    <mergeCell ref="F837:F841"/>
    <mergeCell ref="F843:F846"/>
    <mergeCell ref="F848:F850"/>
    <mergeCell ref="F852:F856"/>
    <mergeCell ref="F857:F859"/>
    <mergeCell ref="F862:F863"/>
    <mergeCell ref="F715:F717"/>
    <mergeCell ref="F719:F720"/>
    <mergeCell ref="F724:F726"/>
    <mergeCell ref="F727:F731"/>
    <mergeCell ref="F732:F734"/>
    <mergeCell ref="F735:F737"/>
    <mergeCell ref="F738:F740"/>
    <mergeCell ref="F741:F742"/>
    <mergeCell ref="F743:F745"/>
    <mergeCell ref="F746:F751"/>
    <mergeCell ref="F753:F760"/>
    <mergeCell ref="F761:F767"/>
    <mergeCell ref="F768:F770"/>
    <mergeCell ref="F772:F774"/>
    <mergeCell ref="F776:F777"/>
    <mergeCell ref="F778:F789"/>
    <mergeCell ref="F790:F791"/>
    <mergeCell ref="F646:F649"/>
    <mergeCell ref="F651:F652"/>
    <mergeCell ref="F653:F654"/>
    <mergeCell ref="F655:F656"/>
    <mergeCell ref="F657:F659"/>
    <mergeCell ref="F662:F671"/>
    <mergeCell ref="F672:F677"/>
    <mergeCell ref="F678:F683"/>
    <mergeCell ref="F684:F685"/>
    <mergeCell ref="F686:F687"/>
    <mergeCell ref="F689:F693"/>
    <mergeCell ref="F694:F699"/>
    <mergeCell ref="F700:F702"/>
    <mergeCell ref="F703:F704"/>
    <mergeCell ref="F705:F709"/>
    <mergeCell ref="F710:F711"/>
    <mergeCell ref="F713:F714"/>
    <mergeCell ref="F578:F579"/>
    <mergeCell ref="F582:F583"/>
    <mergeCell ref="F585:F588"/>
    <mergeCell ref="F590:F595"/>
    <mergeCell ref="F596:F598"/>
    <mergeCell ref="F604:F606"/>
    <mergeCell ref="F607:F608"/>
    <mergeCell ref="F610:F611"/>
    <mergeCell ref="F613:F614"/>
    <mergeCell ref="F619:F622"/>
    <mergeCell ref="F623:F626"/>
    <mergeCell ref="F627:F629"/>
    <mergeCell ref="F630:F631"/>
    <mergeCell ref="F635:F636"/>
    <mergeCell ref="F637:F638"/>
    <mergeCell ref="F640:F641"/>
    <mergeCell ref="F642:F645"/>
    <mergeCell ref="F505:F508"/>
    <mergeCell ref="F509:F511"/>
    <mergeCell ref="F512:F514"/>
    <mergeCell ref="F516:F520"/>
    <mergeCell ref="F521:F522"/>
    <mergeCell ref="F525:F529"/>
    <mergeCell ref="F534:F537"/>
    <mergeCell ref="F538:F539"/>
    <mergeCell ref="F540:F541"/>
    <mergeCell ref="F546:F547"/>
    <mergeCell ref="F548:F550"/>
    <mergeCell ref="F551:F552"/>
    <mergeCell ref="F553:F557"/>
    <mergeCell ref="F558:F563"/>
    <mergeCell ref="F565:F570"/>
    <mergeCell ref="F571:F574"/>
    <mergeCell ref="F576:F577"/>
    <mergeCell ref="F433:F434"/>
    <mergeCell ref="F435:F437"/>
    <mergeCell ref="F438:F441"/>
    <mergeCell ref="F442:F443"/>
    <mergeCell ref="F444:F445"/>
    <mergeCell ref="F446:F448"/>
    <mergeCell ref="F449:F454"/>
    <mergeCell ref="F455:F456"/>
    <mergeCell ref="F457:F458"/>
    <mergeCell ref="F459:F463"/>
    <mergeCell ref="F465:F468"/>
    <mergeCell ref="F470:F472"/>
    <mergeCell ref="F473:F485"/>
    <mergeCell ref="F486:F488"/>
    <mergeCell ref="F489:F494"/>
    <mergeCell ref="F495:F497"/>
    <mergeCell ref="F498:F503"/>
    <mergeCell ref="F357:F360"/>
    <mergeCell ref="F361:F364"/>
    <mergeCell ref="F365:F367"/>
    <mergeCell ref="F368:F375"/>
    <mergeCell ref="F376:F378"/>
    <mergeCell ref="F379:F382"/>
    <mergeCell ref="F383:F384"/>
    <mergeCell ref="F385:F390"/>
    <mergeCell ref="F391:F392"/>
    <mergeCell ref="F394:F395"/>
    <mergeCell ref="F397:F407"/>
    <mergeCell ref="F408:F411"/>
    <mergeCell ref="F412:F415"/>
    <mergeCell ref="F416:F420"/>
    <mergeCell ref="F421:F422"/>
    <mergeCell ref="F423:F426"/>
    <mergeCell ref="F427:F430"/>
    <mergeCell ref="F269:F273"/>
    <mergeCell ref="F275:F276"/>
    <mergeCell ref="F277:F284"/>
    <mergeCell ref="F285:F290"/>
    <mergeCell ref="F291:F297"/>
    <mergeCell ref="F299:F301"/>
    <mergeCell ref="F302:F304"/>
    <mergeCell ref="F305:F316"/>
    <mergeCell ref="F317:F320"/>
    <mergeCell ref="F321:F325"/>
    <mergeCell ref="F327:F330"/>
    <mergeCell ref="F331:F336"/>
    <mergeCell ref="F337:F340"/>
    <mergeCell ref="F341:F346"/>
    <mergeCell ref="F348:F351"/>
    <mergeCell ref="F353:F354"/>
    <mergeCell ref="F355:F356"/>
    <mergeCell ref="F170:F171"/>
    <mergeCell ref="F172:F175"/>
    <mergeCell ref="F176:F178"/>
    <mergeCell ref="F180:F199"/>
    <mergeCell ref="F200:F201"/>
    <mergeCell ref="F202:F205"/>
    <mergeCell ref="F206:F207"/>
    <mergeCell ref="F210:F214"/>
    <mergeCell ref="F215:F226"/>
    <mergeCell ref="F227:F229"/>
    <mergeCell ref="F230:F232"/>
    <mergeCell ref="F233:F237"/>
    <mergeCell ref="F238:F241"/>
    <mergeCell ref="F242:F248"/>
    <mergeCell ref="F249:F252"/>
    <mergeCell ref="F253:F257"/>
    <mergeCell ref="F258:F265"/>
    <mergeCell ref="E1170:E1174"/>
    <mergeCell ref="E1175:E1176"/>
    <mergeCell ref="E1177:E1178"/>
    <mergeCell ref="E1179:E1201"/>
    <mergeCell ref="E1202:E1203"/>
    <mergeCell ref="F2:F12"/>
    <mergeCell ref="F13:F34"/>
    <mergeCell ref="F35:F38"/>
    <mergeCell ref="F39:F44"/>
    <mergeCell ref="F45:F47"/>
    <mergeCell ref="F48:F51"/>
    <mergeCell ref="F52:F57"/>
    <mergeCell ref="F58:F65"/>
    <mergeCell ref="F66:F72"/>
    <mergeCell ref="F73:F79"/>
    <mergeCell ref="F80:F81"/>
    <mergeCell ref="F82:F92"/>
    <mergeCell ref="F93:F98"/>
    <mergeCell ref="F99:F106"/>
    <mergeCell ref="F107:F110"/>
    <mergeCell ref="F111:F113"/>
    <mergeCell ref="F114:F117"/>
    <mergeCell ref="F118:F120"/>
    <mergeCell ref="F121:F125"/>
    <mergeCell ref="F126:F128"/>
    <mergeCell ref="F131:F133"/>
    <mergeCell ref="F134:F138"/>
    <mergeCell ref="F139:F143"/>
    <mergeCell ref="F144:F145"/>
    <mergeCell ref="F146:F154"/>
    <mergeCell ref="F155:F162"/>
    <mergeCell ref="F163:F169"/>
    <mergeCell ref="E1093:E1094"/>
    <mergeCell ref="E1096:E1097"/>
    <mergeCell ref="E1100:E1104"/>
    <mergeCell ref="E1105:E1107"/>
    <mergeCell ref="E1108:E1114"/>
    <mergeCell ref="E1115:E1117"/>
    <mergeCell ref="E1118:E1123"/>
    <mergeCell ref="E1124:E1126"/>
    <mergeCell ref="E1127:E1132"/>
    <mergeCell ref="E1133:E1137"/>
    <mergeCell ref="E1138:E1150"/>
    <mergeCell ref="E1151:E1153"/>
    <mergeCell ref="E1154:E1155"/>
    <mergeCell ref="E1156:E1159"/>
    <mergeCell ref="E1160:E1162"/>
    <mergeCell ref="E1163:E1164"/>
    <mergeCell ref="E1167:E1168"/>
    <mergeCell ref="E1019:E1023"/>
    <mergeCell ref="E1026:E1027"/>
    <mergeCell ref="E1030:E1032"/>
    <mergeCell ref="E1034:E1035"/>
    <mergeCell ref="E1039:E1040"/>
    <mergeCell ref="E1041:E1043"/>
    <mergeCell ref="E1044:E1048"/>
    <mergeCell ref="E1049:E1053"/>
    <mergeCell ref="E1054:E1059"/>
    <mergeCell ref="E1060:E1063"/>
    <mergeCell ref="E1064:E1067"/>
    <mergeCell ref="E1068:E1070"/>
    <mergeCell ref="E1072:E1078"/>
    <mergeCell ref="E1079:E1082"/>
    <mergeCell ref="E1083:E1084"/>
    <mergeCell ref="E1085:E1087"/>
    <mergeCell ref="E1088:E1092"/>
    <mergeCell ref="E923:E926"/>
    <mergeCell ref="E928:E929"/>
    <mergeCell ref="E932:E933"/>
    <mergeCell ref="E934:E935"/>
    <mergeCell ref="E936:E943"/>
    <mergeCell ref="E944:E948"/>
    <mergeCell ref="E949:E954"/>
    <mergeCell ref="E955:E959"/>
    <mergeCell ref="E960:E965"/>
    <mergeCell ref="E966:E968"/>
    <mergeCell ref="E969:E973"/>
    <mergeCell ref="E974:E979"/>
    <mergeCell ref="E980:E990"/>
    <mergeCell ref="E991:E1000"/>
    <mergeCell ref="E1001:E1008"/>
    <mergeCell ref="E1009:E1013"/>
    <mergeCell ref="E1014:E1018"/>
    <mergeCell ref="E852:E856"/>
    <mergeCell ref="E857:E859"/>
    <mergeCell ref="E862:E863"/>
    <mergeCell ref="E866:E867"/>
    <mergeCell ref="E869:E873"/>
    <mergeCell ref="E874:E875"/>
    <mergeCell ref="E876:E877"/>
    <mergeCell ref="E879:E882"/>
    <mergeCell ref="E883:E893"/>
    <mergeCell ref="E894:E898"/>
    <mergeCell ref="E899:E902"/>
    <mergeCell ref="E903:E904"/>
    <mergeCell ref="E907:E908"/>
    <mergeCell ref="E909:E911"/>
    <mergeCell ref="E912:E914"/>
    <mergeCell ref="E915:E917"/>
    <mergeCell ref="E920:E922"/>
    <mergeCell ref="E776:E777"/>
    <mergeCell ref="E778:E789"/>
    <mergeCell ref="E790:E791"/>
    <mergeCell ref="E792:E793"/>
    <mergeCell ref="E794:E796"/>
    <mergeCell ref="E797:E805"/>
    <mergeCell ref="E806:E807"/>
    <mergeCell ref="E808:E811"/>
    <mergeCell ref="E812:E814"/>
    <mergeCell ref="E816:E819"/>
    <mergeCell ref="E820:E824"/>
    <mergeCell ref="E826:E829"/>
    <mergeCell ref="E831:E833"/>
    <mergeCell ref="E834:E836"/>
    <mergeCell ref="E837:E841"/>
    <mergeCell ref="E843:E846"/>
    <mergeCell ref="E848:E850"/>
    <mergeCell ref="E705:E709"/>
    <mergeCell ref="E710:E711"/>
    <mergeCell ref="E713:E714"/>
    <mergeCell ref="E715:E717"/>
    <mergeCell ref="E719:E720"/>
    <mergeCell ref="E724:E726"/>
    <mergeCell ref="E727:E731"/>
    <mergeCell ref="E732:E734"/>
    <mergeCell ref="E735:E737"/>
    <mergeCell ref="E738:E740"/>
    <mergeCell ref="E741:E742"/>
    <mergeCell ref="E743:E745"/>
    <mergeCell ref="E746:E751"/>
    <mergeCell ref="E753:E760"/>
    <mergeCell ref="E761:E767"/>
    <mergeCell ref="E768:E770"/>
    <mergeCell ref="E772:E774"/>
    <mergeCell ref="E637:E638"/>
    <mergeCell ref="E640:E641"/>
    <mergeCell ref="E642:E645"/>
    <mergeCell ref="E646:E649"/>
    <mergeCell ref="E651:E652"/>
    <mergeCell ref="E653:E654"/>
    <mergeCell ref="E655:E656"/>
    <mergeCell ref="E657:E659"/>
    <mergeCell ref="E662:E671"/>
    <mergeCell ref="E672:E677"/>
    <mergeCell ref="E678:E683"/>
    <mergeCell ref="E684:E685"/>
    <mergeCell ref="E686:E687"/>
    <mergeCell ref="E689:E693"/>
    <mergeCell ref="E694:E699"/>
    <mergeCell ref="E700:E702"/>
    <mergeCell ref="E703:E704"/>
    <mergeCell ref="E565:E570"/>
    <mergeCell ref="E571:E574"/>
    <mergeCell ref="E576:E577"/>
    <mergeCell ref="E578:E579"/>
    <mergeCell ref="E582:E583"/>
    <mergeCell ref="E585:E588"/>
    <mergeCell ref="E590:E595"/>
    <mergeCell ref="E596:E598"/>
    <mergeCell ref="E604:E606"/>
    <mergeCell ref="E607:E608"/>
    <mergeCell ref="E610:E611"/>
    <mergeCell ref="E613:E614"/>
    <mergeCell ref="E619:E622"/>
    <mergeCell ref="E623:E626"/>
    <mergeCell ref="E627:E629"/>
    <mergeCell ref="E630:E631"/>
    <mergeCell ref="E635:E636"/>
    <mergeCell ref="E489:E494"/>
    <mergeCell ref="E495:E497"/>
    <mergeCell ref="E498:E503"/>
    <mergeCell ref="E505:E508"/>
    <mergeCell ref="E509:E511"/>
    <mergeCell ref="E512:E514"/>
    <mergeCell ref="E516:E520"/>
    <mergeCell ref="E521:E522"/>
    <mergeCell ref="E525:E529"/>
    <mergeCell ref="E534:E537"/>
    <mergeCell ref="E538:E539"/>
    <mergeCell ref="E540:E541"/>
    <mergeCell ref="E546:E547"/>
    <mergeCell ref="E548:E550"/>
    <mergeCell ref="E551:E552"/>
    <mergeCell ref="E553:E557"/>
    <mergeCell ref="E558:E563"/>
    <mergeCell ref="E421:E422"/>
    <mergeCell ref="E423:E426"/>
    <mergeCell ref="E427:E430"/>
    <mergeCell ref="E433:E434"/>
    <mergeCell ref="E435:E437"/>
    <mergeCell ref="E438:E441"/>
    <mergeCell ref="E442:E443"/>
    <mergeCell ref="E444:E445"/>
    <mergeCell ref="E446:E448"/>
    <mergeCell ref="E449:E454"/>
    <mergeCell ref="E455:E456"/>
    <mergeCell ref="E457:E458"/>
    <mergeCell ref="E459:E463"/>
    <mergeCell ref="E465:E468"/>
    <mergeCell ref="E470:E472"/>
    <mergeCell ref="E473:E485"/>
    <mergeCell ref="E486:E488"/>
    <mergeCell ref="E348:E351"/>
    <mergeCell ref="E353:E354"/>
    <mergeCell ref="E355:E356"/>
    <mergeCell ref="E357:E360"/>
    <mergeCell ref="E361:E364"/>
    <mergeCell ref="E365:E367"/>
    <mergeCell ref="E368:E375"/>
    <mergeCell ref="E376:E378"/>
    <mergeCell ref="E379:E382"/>
    <mergeCell ref="E383:E384"/>
    <mergeCell ref="E385:E390"/>
    <mergeCell ref="E391:E392"/>
    <mergeCell ref="E394:E395"/>
    <mergeCell ref="E397:E407"/>
    <mergeCell ref="E408:E411"/>
    <mergeCell ref="E412:E415"/>
    <mergeCell ref="E416:E420"/>
    <mergeCell ref="E249:E252"/>
    <mergeCell ref="E253:E257"/>
    <mergeCell ref="E258:E265"/>
    <mergeCell ref="E269:E273"/>
    <mergeCell ref="E275:E276"/>
    <mergeCell ref="E277:E284"/>
    <mergeCell ref="E285:E290"/>
    <mergeCell ref="E291:E297"/>
    <mergeCell ref="E299:E301"/>
    <mergeCell ref="E302:E304"/>
    <mergeCell ref="E305:E316"/>
    <mergeCell ref="E317:E320"/>
    <mergeCell ref="E321:E325"/>
    <mergeCell ref="E327:E330"/>
    <mergeCell ref="E331:E336"/>
    <mergeCell ref="E337:E340"/>
    <mergeCell ref="E341:E346"/>
    <mergeCell ref="E146:E154"/>
    <mergeCell ref="E155:E162"/>
    <mergeCell ref="E163:E169"/>
    <mergeCell ref="E170:E171"/>
    <mergeCell ref="E172:E175"/>
    <mergeCell ref="E176:E178"/>
    <mergeCell ref="E180:E199"/>
    <mergeCell ref="E200:E201"/>
    <mergeCell ref="E202:E205"/>
    <mergeCell ref="E206:E207"/>
    <mergeCell ref="E210:E214"/>
    <mergeCell ref="E215:E226"/>
    <mergeCell ref="E227:E229"/>
    <mergeCell ref="E230:E232"/>
    <mergeCell ref="E233:E237"/>
    <mergeCell ref="E238:E241"/>
    <mergeCell ref="E242:E248"/>
    <mergeCell ref="C1160:C1162"/>
    <mergeCell ref="C1163:C1164"/>
    <mergeCell ref="C1167:C1168"/>
    <mergeCell ref="C1170:C1174"/>
    <mergeCell ref="C1175:C1176"/>
    <mergeCell ref="C1177:C1178"/>
    <mergeCell ref="C1179:C1201"/>
    <mergeCell ref="C1202:C1203"/>
    <mergeCell ref="E2:E12"/>
    <mergeCell ref="E13:E34"/>
    <mergeCell ref="E35:E38"/>
    <mergeCell ref="E39:E44"/>
    <mergeCell ref="E45:E47"/>
    <mergeCell ref="E48:E51"/>
    <mergeCell ref="E52:E57"/>
    <mergeCell ref="E58:E65"/>
    <mergeCell ref="E66:E72"/>
    <mergeCell ref="E73:E79"/>
    <mergeCell ref="E80:E81"/>
    <mergeCell ref="E82:E92"/>
    <mergeCell ref="E93:E98"/>
    <mergeCell ref="E99:E106"/>
    <mergeCell ref="E107:E110"/>
    <mergeCell ref="E111:E113"/>
    <mergeCell ref="E114:E117"/>
    <mergeCell ref="E118:E120"/>
    <mergeCell ref="E121:E125"/>
    <mergeCell ref="E126:E128"/>
    <mergeCell ref="E131:E133"/>
    <mergeCell ref="E134:E138"/>
    <mergeCell ref="E139:E143"/>
    <mergeCell ref="E144:E145"/>
    <mergeCell ref="C1083:C1084"/>
    <mergeCell ref="C1085:C1087"/>
    <mergeCell ref="C1088:C1092"/>
    <mergeCell ref="C1093:C1094"/>
    <mergeCell ref="C1096:C1097"/>
    <mergeCell ref="C1100:C1104"/>
    <mergeCell ref="C1105:C1107"/>
    <mergeCell ref="C1108:C1114"/>
    <mergeCell ref="C1115:C1117"/>
    <mergeCell ref="C1118:C1123"/>
    <mergeCell ref="C1124:C1126"/>
    <mergeCell ref="C1127:C1132"/>
    <mergeCell ref="C1133:C1137"/>
    <mergeCell ref="C1138:C1150"/>
    <mergeCell ref="C1151:C1153"/>
    <mergeCell ref="C1154:C1155"/>
    <mergeCell ref="C1156:C1159"/>
    <mergeCell ref="C1001:C1008"/>
    <mergeCell ref="C1009:C1013"/>
    <mergeCell ref="C1014:C1018"/>
    <mergeCell ref="C1019:C1023"/>
    <mergeCell ref="C1026:C1027"/>
    <mergeCell ref="C1030:C1032"/>
    <mergeCell ref="C1034:C1035"/>
    <mergeCell ref="C1039:C1040"/>
    <mergeCell ref="C1041:C1043"/>
    <mergeCell ref="C1044:C1048"/>
    <mergeCell ref="C1049:C1053"/>
    <mergeCell ref="C1054:C1059"/>
    <mergeCell ref="C1060:C1063"/>
    <mergeCell ref="C1064:C1067"/>
    <mergeCell ref="C1068:C1070"/>
    <mergeCell ref="C1072:C1078"/>
    <mergeCell ref="C1079:C1082"/>
    <mergeCell ref="C912:C914"/>
    <mergeCell ref="C915:C917"/>
    <mergeCell ref="C920:C922"/>
    <mergeCell ref="C923:C926"/>
    <mergeCell ref="C928:C929"/>
    <mergeCell ref="C932:C933"/>
    <mergeCell ref="C934:C935"/>
    <mergeCell ref="C936:C943"/>
    <mergeCell ref="C944:C948"/>
    <mergeCell ref="C949:C954"/>
    <mergeCell ref="C955:C959"/>
    <mergeCell ref="C960:C965"/>
    <mergeCell ref="C966:C968"/>
    <mergeCell ref="C969:C973"/>
    <mergeCell ref="C974:C979"/>
    <mergeCell ref="C980:C990"/>
    <mergeCell ref="C991:C1000"/>
    <mergeCell ref="C837:C841"/>
    <mergeCell ref="C843:C846"/>
    <mergeCell ref="C848:C850"/>
    <mergeCell ref="C852:C856"/>
    <mergeCell ref="C857:C859"/>
    <mergeCell ref="C862:C863"/>
    <mergeCell ref="C866:C867"/>
    <mergeCell ref="C869:C873"/>
    <mergeCell ref="C874:C875"/>
    <mergeCell ref="C876:C877"/>
    <mergeCell ref="C879:C882"/>
    <mergeCell ref="C883:C893"/>
    <mergeCell ref="C894:C898"/>
    <mergeCell ref="C899:C902"/>
    <mergeCell ref="C903:C904"/>
    <mergeCell ref="C907:C908"/>
    <mergeCell ref="C909:C911"/>
    <mergeCell ref="C761:C767"/>
    <mergeCell ref="C768:C770"/>
    <mergeCell ref="C772:C774"/>
    <mergeCell ref="C776:C777"/>
    <mergeCell ref="C778:C789"/>
    <mergeCell ref="C790:C791"/>
    <mergeCell ref="C792:C793"/>
    <mergeCell ref="C794:C796"/>
    <mergeCell ref="C797:C805"/>
    <mergeCell ref="C806:C807"/>
    <mergeCell ref="C808:C811"/>
    <mergeCell ref="C812:C814"/>
    <mergeCell ref="C816:C819"/>
    <mergeCell ref="C820:C824"/>
    <mergeCell ref="C826:C829"/>
    <mergeCell ref="C831:C833"/>
    <mergeCell ref="C834:C836"/>
    <mergeCell ref="C694:C699"/>
    <mergeCell ref="C700:C702"/>
    <mergeCell ref="C703:C704"/>
    <mergeCell ref="C705:C709"/>
    <mergeCell ref="C710:C711"/>
    <mergeCell ref="C713:C714"/>
    <mergeCell ref="C715:C717"/>
    <mergeCell ref="C719:C720"/>
    <mergeCell ref="C724:C726"/>
    <mergeCell ref="C727:C731"/>
    <mergeCell ref="C732:C734"/>
    <mergeCell ref="C735:C737"/>
    <mergeCell ref="C738:C740"/>
    <mergeCell ref="C741:C742"/>
    <mergeCell ref="C743:C745"/>
    <mergeCell ref="C746:C751"/>
    <mergeCell ref="C753:C760"/>
    <mergeCell ref="C627:C629"/>
    <mergeCell ref="C630:C631"/>
    <mergeCell ref="C635:C636"/>
    <mergeCell ref="C637:C638"/>
    <mergeCell ref="C640:C641"/>
    <mergeCell ref="C642:C645"/>
    <mergeCell ref="C646:C649"/>
    <mergeCell ref="C651:C652"/>
    <mergeCell ref="C653:C654"/>
    <mergeCell ref="C655:C656"/>
    <mergeCell ref="C657:C659"/>
    <mergeCell ref="C662:C671"/>
    <mergeCell ref="C672:C677"/>
    <mergeCell ref="C678:C683"/>
    <mergeCell ref="C684:C685"/>
    <mergeCell ref="C686:C687"/>
    <mergeCell ref="C689:C693"/>
    <mergeCell ref="C551:C552"/>
    <mergeCell ref="C553:C557"/>
    <mergeCell ref="C558:C563"/>
    <mergeCell ref="C565:C570"/>
    <mergeCell ref="C571:C574"/>
    <mergeCell ref="C576:C577"/>
    <mergeCell ref="C578:C579"/>
    <mergeCell ref="C582:C583"/>
    <mergeCell ref="C585:C588"/>
    <mergeCell ref="C590:C595"/>
    <mergeCell ref="C596:C598"/>
    <mergeCell ref="C604:C606"/>
    <mergeCell ref="C607:C608"/>
    <mergeCell ref="C610:C611"/>
    <mergeCell ref="C613:C614"/>
    <mergeCell ref="C619:C622"/>
    <mergeCell ref="C623:C626"/>
    <mergeCell ref="C470:C472"/>
    <mergeCell ref="C473:C485"/>
    <mergeCell ref="C486:C488"/>
    <mergeCell ref="C489:C494"/>
    <mergeCell ref="C495:C497"/>
    <mergeCell ref="C498:C503"/>
    <mergeCell ref="C505:C508"/>
    <mergeCell ref="C509:C511"/>
    <mergeCell ref="C512:C514"/>
    <mergeCell ref="C516:C520"/>
    <mergeCell ref="C521:C522"/>
    <mergeCell ref="C525:C529"/>
    <mergeCell ref="C534:C537"/>
    <mergeCell ref="C538:C539"/>
    <mergeCell ref="C540:C541"/>
    <mergeCell ref="C546:C547"/>
    <mergeCell ref="C548:C550"/>
    <mergeCell ref="C408:C411"/>
    <mergeCell ref="C412:C415"/>
    <mergeCell ref="C416:C420"/>
    <mergeCell ref="C421:C422"/>
    <mergeCell ref="C423:C426"/>
    <mergeCell ref="C427:C430"/>
    <mergeCell ref="C433:C434"/>
    <mergeCell ref="C435:C437"/>
    <mergeCell ref="C438:C441"/>
    <mergeCell ref="C442:C443"/>
    <mergeCell ref="C444:C445"/>
    <mergeCell ref="C446:C448"/>
    <mergeCell ref="C449:C454"/>
    <mergeCell ref="C455:C456"/>
    <mergeCell ref="C457:C458"/>
    <mergeCell ref="C459:C463"/>
    <mergeCell ref="C465:C468"/>
    <mergeCell ref="C331:C336"/>
    <mergeCell ref="C337:C340"/>
    <mergeCell ref="C341:C346"/>
    <mergeCell ref="C348:C351"/>
    <mergeCell ref="C353:C354"/>
    <mergeCell ref="C355:C356"/>
    <mergeCell ref="C357:C360"/>
    <mergeCell ref="C361:C364"/>
    <mergeCell ref="C365:C367"/>
    <mergeCell ref="C368:C375"/>
    <mergeCell ref="C376:C378"/>
    <mergeCell ref="C379:C382"/>
    <mergeCell ref="C383:C384"/>
    <mergeCell ref="C385:C390"/>
    <mergeCell ref="C391:C392"/>
    <mergeCell ref="C394:C395"/>
    <mergeCell ref="C397:C407"/>
    <mergeCell ref="C233:C237"/>
    <mergeCell ref="C238:C241"/>
    <mergeCell ref="C242:C248"/>
    <mergeCell ref="C249:C252"/>
    <mergeCell ref="C253:C257"/>
    <mergeCell ref="C258:C265"/>
    <mergeCell ref="C269:C273"/>
    <mergeCell ref="C275:C276"/>
    <mergeCell ref="C277:C284"/>
    <mergeCell ref="C285:C290"/>
    <mergeCell ref="C291:C297"/>
    <mergeCell ref="C299:C301"/>
    <mergeCell ref="C302:C304"/>
    <mergeCell ref="C305:C316"/>
    <mergeCell ref="C317:C320"/>
    <mergeCell ref="C321:C325"/>
    <mergeCell ref="C327:C330"/>
    <mergeCell ref="C134:C138"/>
    <mergeCell ref="C139:C143"/>
    <mergeCell ref="C144:C145"/>
    <mergeCell ref="C146:C154"/>
    <mergeCell ref="C155:C162"/>
    <mergeCell ref="C163:C169"/>
    <mergeCell ref="C170:C171"/>
    <mergeCell ref="C172:C175"/>
    <mergeCell ref="C176:C178"/>
    <mergeCell ref="C180:C199"/>
    <mergeCell ref="C200:C201"/>
    <mergeCell ref="C202:C205"/>
    <mergeCell ref="C206:C207"/>
    <mergeCell ref="C210:C214"/>
    <mergeCell ref="C215:C226"/>
    <mergeCell ref="C227:C229"/>
    <mergeCell ref="C230:C232"/>
    <mergeCell ref="B2:B661"/>
    <mergeCell ref="B662:B731"/>
    <mergeCell ref="B732:B737"/>
    <mergeCell ref="B738:B868"/>
    <mergeCell ref="B869:B935"/>
    <mergeCell ref="B936:B1038"/>
    <mergeCell ref="B1039:B1071"/>
    <mergeCell ref="B1072:B1099"/>
    <mergeCell ref="B1100:B1168"/>
    <mergeCell ref="B1169:B1178"/>
    <mergeCell ref="B1179:B1204"/>
    <mergeCell ref="C2:C12"/>
    <mergeCell ref="C13:C34"/>
    <mergeCell ref="C35:C38"/>
    <mergeCell ref="C39:C44"/>
    <mergeCell ref="C45:C47"/>
    <mergeCell ref="C48:C51"/>
    <mergeCell ref="C52:C57"/>
    <mergeCell ref="C58:C65"/>
    <mergeCell ref="C66:C72"/>
    <mergeCell ref="C73:C79"/>
    <mergeCell ref="C80:C81"/>
    <mergeCell ref="C82:C92"/>
    <mergeCell ref="C93:C98"/>
    <mergeCell ref="C99:C106"/>
    <mergeCell ref="C107:C110"/>
    <mergeCell ref="C111:C113"/>
    <mergeCell ref="C114:C117"/>
    <mergeCell ref="C118:C120"/>
    <mergeCell ref="C121:C125"/>
    <mergeCell ref="C126:C128"/>
    <mergeCell ref="C131:C1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阿里系投资情况概览</vt:lpstr>
      <vt:lpstr>阿里投资_2020-2023</vt:lpstr>
      <vt:lpstr>阿里投资_Full</vt:lpstr>
      <vt:lpstr>阿里系其他主体投资</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HOU</cp:lastModifiedBy>
  <dcterms:created xsi:type="dcterms:W3CDTF">2023-07-29T16:35:00Z</dcterms:created>
  <dcterms:modified xsi:type="dcterms:W3CDTF">2023-07-29T12:40:23Z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AAD3CC6296084CC0AA7A06F10C6EA92B</vt:lpwstr>
  </property>
  <property fmtid="{D5CDD505-2E9C-101B-9397-08002B2CF9AE}" pid="3" name="KSOProductBuildVer">
    <vt:lpwstr>1033-11.2.0.11537</vt:lpwstr>
  </property>
</Properties>
</file>