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工作文件\1产品-金股、本周精选 等\1产品-金股\"/>
    </mc:Choice>
  </mc:AlternateContent>
  <bookViews>
    <workbookView xWindow="8130" yWindow="0" windowWidth="11085" windowHeight="7545"/>
  </bookViews>
  <sheets>
    <sheet name="金股推荐逻辑" sheetId="8" r:id="rId1"/>
    <sheet name="简表" sheetId="7" r:id="rId2"/>
  </sheets>
  <definedNames>
    <definedName name="_xlnm._FilterDatabase" localSheetId="0" hidden="1">金股推荐逻辑!$B$1:$B$26</definedName>
  </definedNames>
  <calcPr calcId="152511"/>
</workbook>
</file>

<file path=xl/calcChain.xml><?xml version="1.0" encoding="utf-8"?>
<calcChain xmlns="http://schemas.openxmlformats.org/spreadsheetml/2006/main">
  <c r="B1" i="7" l="1"/>
  <c r="B2" i="7"/>
  <c r="B3" i="7"/>
  <c r="B4" i="7"/>
  <c r="B5" i="7"/>
  <c r="B6" i="7"/>
  <c r="B7" i="7"/>
  <c r="B8" i="7"/>
  <c r="B9" i="7"/>
  <c r="B10" i="7"/>
  <c r="A10" i="7"/>
  <c r="A9" i="7"/>
  <c r="A8" i="7"/>
  <c r="A7" i="7"/>
  <c r="A6" i="7"/>
  <c r="A5" i="7"/>
  <c r="A4" i="7"/>
  <c r="A3" i="7"/>
  <c r="A2" i="7"/>
  <c r="A1" i="7"/>
</calcChain>
</file>

<file path=xl/sharedStrings.xml><?xml version="1.0" encoding="utf-8"?>
<sst xmlns="http://schemas.openxmlformats.org/spreadsheetml/2006/main" count="76" uniqueCount="64">
  <si>
    <t>序号</t>
  </si>
  <si>
    <t>股票名称</t>
  </si>
  <si>
    <t>行业</t>
  </si>
  <si>
    <t>注：以上信息以华泰研究所最新发布的研报为准。</t>
  </si>
  <si>
    <t>4</t>
    <phoneticPr fontId="5" type="noConversion"/>
  </si>
  <si>
    <t>6</t>
    <phoneticPr fontId="5" type="noConversion"/>
  </si>
  <si>
    <t>9</t>
    <phoneticPr fontId="5" type="noConversion"/>
  </si>
  <si>
    <t>深度咨询</t>
    <phoneticPr fontId="5" type="noConversion"/>
  </si>
  <si>
    <t>EPS</t>
    <phoneticPr fontId="5" type="noConversion"/>
  </si>
  <si>
    <t>PE</t>
    <phoneticPr fontId="5" type="noConversion"/>
  </si>
  <si>
    <t>5</t>
    <phoneticPr fontId="5" type="noConversion"/>
  </si>
  <si>
    <t>2024E</t>
  </si>
  <si>
    <t>2</t>
    <phoneticPr fontId="5" type="noConversion"/>
  </si>
  <si>
    <t>2025E</t>
  </si>
  <si>
    <t>1</t>
    <phoneticPr fontId="5" type="noConversion"/>
  </si>
  <si>
    <t>银行</t>
    <phoneticPr fontId="5" type="noConversion"/>
  </si>
  <si>
    <t>沈　娟 | 银行与证券首席 S0570514040002/BPN843
18688799197
shenjuan@htsc.com</t>
    <phoneticPr fontId="5" type="noConversion"/>
  </si>
  <si>
    <t>8</t>
    <phoneticPr fontId="5" type="noConversion"/>
  </si>
  <si>
    <t>7</t>
    <phoneticPr fontId="5" type="noConversion"/>
  </si>
  <si>
    <t>3</t>
    <phoneticPr fontId="5" type="noConversion"/>
  </si>
  <si>
    <t>10</t>
    <phoneticPr fontId="5" type="noConversion"/>
  </si>
  <si>
    <t>黄乐平 | 科技与电子首席 S0570521050001/AUZ066
14715372496
leping.huang@htsc.com</t>
    <phoneticPr fontId="5" type="noConversion"/>
  </si>
  <si>
    <t>倪正洋 | 机械首席 S0570522100004/BTM566
18321162658
nizhengyang@htsc.com</t>
    <phoneticPr fontId="5" type="noConversion"/>
  </si>
  <si>
    <t xml:space="preserve">代　雯 | 医药首席 S0570516120002/BFI915
18817874390
daiwen@htsc.com </t>
    <phoneticPr fontId="5" type="noConversion"/>
  </si>
  <si>
    <t>食品饮料</t>
    <phoneticPr fontId="5" type="noConversion"/>
  </si>
  <si>
    <t>电新</t>
    <phoneticPr fontId="5" type="noConversion"/>
  </si>
  <si>
    <t>电子</t>
    <phoneticPr fontId="5" type="noConversion"/>
  </si>
  <si>
    <t>2026E</t>
  </si>
  <si>
    <t>龚源月 | 食品饮料首席 S0570520100001/BQL737
15021256686
gongyuanyue@htsc.com</t>
    <phoneticPr fontId="5" type="noConversion"/>
  </si>
  <si>
    <t>边文姣 | 电新组长 S0570518110004/BSJ399
13246620386
bianwenjiao@htsc.com</t>
    <phoneticPr fontId="5" type="noConversion"/>
  </si>
  <si>
    <t>华泰研究所5月金股推荐</t>
    <phoneticPr fontId="5" type="noConversion"/>
  </si>
  <si>
    <t>王　兴 | 通信首席 S0570523070003
13951666824
wangxing@htsc.com</t>
    <phoneticPr fontId="5" type="noConversion"/>
  </si>
  <si>
    <t>医药</t>
  </si>
  <si>
    <t>机械</t>
  </si>
  <si>
    <t>通信</t>
  </si>
  <si>
    <t>交通运输</t>
  </si>
  <si>
    <t>农林牧渔</t>
  </si>
  <si>
    <t>汽车</t>
  </si>
  <si>
    <t>万孚生物
300482</t>
    <phoneticPr fontId="5" type="noConversion"/>
  </si>
  <si>
    <t>北方华创
002371</t>
    <phoneticPr fontId="5" type="noConversion"/>
  </si>
  <si>
    <t>2023E</t>
    <phoneticPr fontId="5" type="noConversion"/>
  </si>
  <si>
    <t>2024E</t>
    <phoneticPr fontId="5" type="noConversion"/>
  </si>
  <si>
    <t>2025E</t>
    <phoneticPr fontId="5" type="noConversion"/>
  </si>
  <si>
    <t>宁德时代
300750</t>
    <phoneticPr fontId="5" type="noConversion"/>
  </si>
  <si>
    <t>广和通
300638</t>
    <phoneticPr fontId="5" type="noConversion"/>
  </si>
  <si>
    <t>招商银行
600036</t>
    <phoneticPr fontId="5" type="noConversion"/>
  </si>
  <si>
    <t>东航物流
601156</t>
    <phoneticPr fontId="5" type="noConversion"/>
  </si>
  <si>
    <t>泸州老窖
000568</t>
    <phoneticPr fontId="5" type="noConversion"/>
  </si>
  <si>
    <t>推荐逻辑：
公司传染病检测、慢病检测、妊娠及优生优育检测、毒品药物滥用检测等常规核心业务发展驱动因素充分（如常规传染病检测需求持续提升、荧光业务市场认可度强化、化学发光业务设备装机及试剂持续放量、毒检及优生优育检测新品陆续导入等），且国内及海外商业推广进展顺利，我们看好公司24年常规业务收入快速增长。
催化剂
1、甲乙流呼吸道三联检获批美国FDA EUA
2、国际部业务推进顺利，收入快速增长有望持续兑现
相关研报：重磅新品获批，看好后续表现 2024-04-22</t>
    <phoneticPr fontId="5" type="noConversion"/>
  </si>
  <si>
    <t>推荐逻辑：
1）海外需求右侧确认；2）国内藏锋敛颖，复苏已在途；3）工业缝纫机周期大底，高赔率
催化剂
6月新品发布
相关研报：市占率和盈利能力表现亮眼 2024-04-30</t>
    <phoneticPr fontId="5" type="noConversion"/>
  </si>
  <si>
    <t>推荐逻辑：
受益于公司半导体设备业务的市占率稳步提升，营收持续增长，2023年公司新签订单超过300亿元，其中集成电路领域占比超过70%，看好2024年中国本土晶圆制造厂商资本开支维持高强度及半导体设备国产化进程加速。
催化剂
下游持续扩产，新签订单超预期
相关研报：1Q预告业绩高增，盈利能力持续向好 2024-04-14</t>
    <phoneticPr fontId="5" type="noConversion"/>
  </si>
  <si>
    <t>推荐逻辑：
1）盈利表现有韧性，分红、现金流超预期；
2）全球市场竞争力强劲，持续巩固全球市场龙头地位，加速出海；
3）新能源创新全球领先，新技术助力保持溢价能力。
催化剂
盈利表现超预期，出海与新技术持续赋能增长
相关研报：Q1利润增长超预期，龙头优势显著 2024-04-15</t>
    <phoneticPr fontId="5" type="noConversion"/>
  </si>
  <si>
    <t>推荐逻辑：
机制领先+基本面韧性强+受益于地产政策放松+市场情绪改善利好
催化剂
此前市场担心地产风险压制招行估值，近期地产政策边际放松，提振市场信心
相关研报：分红再提升，深耕高质量 2024-03-26</t>
    <phoneticPr fontId="5" type="noConversion"/>
  </si>
  <si>
    <t>推荐逻辑：
1）新一轮长协价格表现良好，24年公司业绩有望超预期。
2）航空货运供需结构有望向好，带动运价提升。
3）向两端延伸攫取产业链附加值，第二成长曲线可期。
催化剂
运价环比持续上涨
相关研报：高景气有望持续，24年期待高增长 2024-04-24</t>
    <phoneticPr fontId="5" type="noConversion"/>
  </si>
  <si>
    <t>推荐逻辑：
24Q1净利超预期，海外经营有望加速向好，看好盈利持续改善；空悬系统自制进展积极，在手订单充沛。
催化剂
海外子公司经营改善，空悬总成订单拓展
相关研报：Q1净利同比高增，24年盈利改善可期 2024-04-13</t>
    <phoneticPr fontId="5" type="noConversion"/>
  </si>
  <si>
    <t>杰克股份
603337</t>
    <phoneticPr fontId="5" type="noConversion"/>
  </si>
  <si>
    <t>推荐逻辑：
①公司Q1业绩延续稳健增长，估值处于低位；②未来来看，公司有望受益AI边缘计算、自动驾驶等新技术发展趋势。
催化剂
一季报业绩催化
相关研报：1Q24业绩快速增长，盈利能力向好 2024-04-29</t>
    <phoneticPr fontId="5" type="noConversion"/>
  </si>
  <si>
    <t>沈晓峰 | 交运首席 S0570516110001/BCG366
18616578663
shenxiaofeng@htsc.com</t>
    <phoneticPr fontId="5" type="noConversion"/>
  </si>
  <si>
    <t>推荐逻辑：
1）公司春节开门红预计顺利完成，24Q1业绩有保障。
2）中长期看，国窖系列仍有望受益于经济复苏保持稳健增长，低度国窖受益于次高端扩容，特曲系列等进入规模增量阶段，公司增长势能有望延续。
3）当前公司对应24年估值约16-17x，估值性价比突出。
催化剂
一季度业绩催化
相关研报：Q1延续高增，公司势能延续 2024-04-27</t>
    <phoneticPr fontId="5" type="noConversion"/>
  </si>
  <si>
    <t>海大集团
002311</t>
    <phoneticPr fontId="5" type="noConversion"/>
  </si>
  <si>
    <t>熊承慧 | 农林牧渔首席 S0570522120004/BPK020  
13811823824
xiongchenghui@htsc.com</t>
    <phoneticPr fontId="5" type="noConversion"/>
  </si>
  <si>
    <t>推荐逻辑：
养殖如期扭亏、叠加饲料主业吨利润改善，24Q1盈利高增YoY+111%、超预期（35%~47%）。考虑到2024年鱼价反转可期、公司龙头优势明显或实现饲料主业的先行修复，同时养殖业务盈利贡献转正、公司盈利拐点于24Q1显现
催化剂
24Q1盈利高增
相关研报：饲料养殖双双高增，季报开门红 2024-04-22</t>
    <phoneticPr fontId="5" type="noConversion"/>
  </si>
  <si>
    <t>中鼎股份
000887</t>
    <phoneticPr fontId="5" type="noConversion"/>
  </si>
  <si>
    <t>宋亭亭 | 汽车首席 S0570522110001/BTK945  
18516590900
songtingting021619@htsc.com</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</si>
</sst>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_ "/>
    <numFmt numFmtId="177" formatCode="0.00_);[Red]\(0.00\)"/>
  </numFmts>
  <fonts count="9" x14ac:knownFonts="1">
    <font>
      <sz val="11"/>
      <color theme="1"/>
      <name val="等线"/>
      <charset val="134"/>
    </font>
    <font>
      <b/>
      <sz val="18"/>
      <color rgb="FFFFFFFF"/>
      <name val="微软雅黑"/>
      <family val="2"/>
      <charset val="134"/>
    </font>
    <font>
      <b/>
      <sz val="11"/>
      <color rgb="FFC00000"/>
      <name val="微软雅黑"/>
      <family val="2"/>
      <charset val="134"/>
    </font>
    <font>
      <b/>
      <sz val="11"/>
      <color rgb="FF000000"/>
      <name val="微软雅黑"/>
      <family val="2"/>
      <charset val="134"/>
    </font>
    <font>
      <sz val="10"/>
      <color theme="1"/>
      <name val="微软雅黑"/>
      <family val="2"/>
      <charset val="134"/>
    </font>
    <font>
      <sz val="9"/>
      <name val="等线"/>
      <family val="3"/>
      <charset val="134"/>
    </font>
    <font>
      <sz val="11"/>
      <color rgb="FF000000"/>
      <name val="思源黑体 CN Bold"/>
      <family val="2"/>
      <charset val="134"/>
    </font>
    <font>
      <sz val="11"/>
      <color theme="1"/>
      <name val="等线"/>
      <family val="3"/>
      <charset val="134"/>
    </font>
    <font>
      <sz val="10"/>
      <name val="微软雅黑"/>
      <family val="2"/>
      <charset val="134"/>
    </font>
  </fonts>
  <fills count="7">
    <fill>
      <patternFill patternType="none"/>
    </fill>
    <fill>
      <patternFill patternType="gray125"/>
    </fill>
    <fill>
      <patternFill patternType="solid">
        <fgColor rgb="FFC00000"/>
        <bgColor indexed="64"/>
      </patternFill>
    </fill>
    <fill>
      <patternFill patternType="solid">
        <fgColor rgb="FFEEECE1"/>
        <bgColor indexed="64"/>
      </patternFill>
    </fill>
    <fill>
      <patternFill patternType="solid">
        <fgColor rgb="FFFFFFFF"/>
        <bgColor indexed="64"/>
      </patternFill>
    </fill>
    <fill>
      <patternFill patternType="solid">
        <fgColor rgb="FFE8F3FE"/>
        <bgColor indexed="64"/>
      </patternFill>
    </fill>
    <fill>
      <patternFill patternType="solid">
        <fgColor theme="0"/>
        <bgColor indexed="64"/>
      </patternFill>
    </fill>
  </fills>
  <borders count="1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49" fontId="0" fillId="0" borderId="0" xfId="0" applyNumberFormat="1">
      <alignment vertical="center"/>
    </xf>
    <xf numFmtId="49" fontId="3" fillId="3" borderId="4"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176" fontId="6" fillId="5" borderId="0" xfId="0" applyNumberFormat="1" applyFont="1" applyFill="1" applyBorder="1" applyAlignment="1">
      <alignment horizontal="center" vertical="center" wrapText="1"/>
    </xf>
    <xf numFmtId="0" fontId="0" fillId="0" borderId="0" xfId="0" applyBorder="1">
      <alignment vertical="center"/>
    </xf>
    <xf numFmtId="0" fontId="0" fillId="5" borderId="0" xfId="0" applyFill="1" applyBorder="1">
      <alignment vertical="center"/>
    </xf>
    <xf numFmtId="0" fontId="0" fillId="6" borderId="0" xfId="0" applyFill="1" applyBorder="1">
      <alignment vertical="center"/>
    </xf>
    <xf numFmtId="176" fontId="0" fillId="6" borderId="0" xfId="0" applyNumberFormat="1" applyFill="1" applyBorder="1">
      <alignment vertical="center"/>
    </xf>
    <xf numFmtId="177" fontId="2" fillId="0" borderId="4" xfId="0" applyNumberFormat="1" applyFont="1" applyBorder="1" applyAlignment="1">
      <alignment horizontal="center" vertical="center" wrapText="1"/>
    </xf>
    <xf numFmtId="177" fontId="3" fillId="3" borderId="4" xfId="0" applyNumberFormat="1" applyFont="1" applyFill="1" applyBorder="1" applyAlignment="1">
      <alignment horizontal="center" vertical="center"/>
    </xf>
    <xf numFmtId="177" fontId="0" fillId="0" borderId="0" xfId="0" applyNumberFormat="1">
      <alignment vertical="center"/>
    </xf>
    <xf numFmtId="49" fontId="7" fillId="0" borderId="0" xfId="0" applyNumberFormat="1" applyFont="1">
      <alignment vertical="center"/>
    </xf>
    <xf numFmtId="0" fontId="2" fillId="0" borderId="4" xfId="0" applyNumberFormat="1" applyFont="1" applyBorder="1" applyAlignment="1">
      <alignment horizontal="center" vertical="center" wrapText="1"/>
    </xf>
    <xf numFmtId="177" fontId="3" fillId="3" borderId="4" xfId="0" applyNumberFormat="1" applyFont="1" applyFill="1" applyBorder="1" applyAlignment="1">
      <alignment horizontal="center" vertical="center" wrapText="1"/>
    </xf>
    <xf numFmtId="49" fontId="8" fillId="4" borderId="5" xfId="0" applyNumberFormat="1" applyFont="1" applyFill="1" applyBorder="1" applyAlignment="1">
      <alignment horizontal="left" vertical="center" wrapText="1"/>
    </xf>
    <xf numFmtId="49" fontId="8" fillId="4" borderId="0" xfId="0" applyNumberFormat="1" applyFont="1" applyFill="1" applyBorder="1" applyAlignment="1">
      <alignment horizontal="left" vertical="center" wrapText="1"/>
    </xf>
    <xf numFmtId="49" fontId="8" fillId="4" borderId="6" xfId="0" applyNumberFormat="1" applyFont="1" applyFill="1" applyBorder="1" applyAlignment="1">
      <alignment horizontal="left" vertical="center" wrapText="1"/>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9" xfId="0" applyNumberFormat="1" applyFont="1" applyBorder="1" applyAlignment="1">
      <alignment horizontal="left" vertical="center"/>
    </xf>
    <xf numFmtId="49" fontId="8" fillId="4" borderId="5" xfId="0" applyNumberFormat="1" applyFont="1" applyFill="1" applyBorder="1" applyAlignment="1">
      <alignment horizontal="left" vertical="center" wrapText="1"/>
    </xf>
    <xf numFmtId="49" fontId="8" fillId="4" borderId="0" xfId="0" applyNumberFormat="1" applyFont="1" applyFill="1" applyBorder="1" applyAlignment="1">
      <alignment horizontal="left" vertical="center" wrapText="1"/>
    </xf>
    <xf numFmtId="49" fontId="8" fillId="4" borderId="6" xfId="0" applyNumberFormat="1" applyFont="1" applyFill="1" applyBorder="1" applyAlignment="1">
      <alignment horizontal="left" vertical="center" wrapText="1"/>
    </xf>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2" fillId="0" borderId="4" xfId="0" applyNumberFormat="1" applyFont="1" applyBorder="1" applyAlignment="1">
      <alignment horizontal="center" vertical="center"/>
    </xf>
    <xf numFmtId="177" fontId="2" fillId="0" borderId="7" xfId="0" applyNumberFormat="1" applyFont="1" applyBorder="1" applyAlignment="1">
      <alignment horizontal="center" vertical="center" wrapText="1"/>
    </xf>
    <xf numFmtId="177" fontId="2" fillId="0" borderId="8" xfId="0" applyNumberFormat="1" applyFont="1" applyBorder="1" applyAlignment="1">
      <alignment horizontal="center" vertical="center" wrapText="1"/>
    </xf>
    <xf numFmtId="177" fontId="2" fillId="0" borderId="9"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E8F3FE"/>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tabSelected="1" zoomScale="90" zoomScaleNormal="90" workbookViewId="0">
      <pane ySplit="3" topLeftCell="A4" activePane="bottomLeft" state="frozen"/>
      <selection pane="bottomLeft" sqref="A1:L1"/>
    </sheetView>
  </sheetViews>
  <sheetFormatPr defaultColWidth="9" defaultRowHeight="14.25" x14ac:dyDescent="0.2"/>
  <cols>
    <col min="1" max="1" width="5.5" style="1" customWidth="1"/>
    <col min="2" max="2" width="12.625" style="1" customWidth="1"/>
    <col min="3" max="3" width="9.375" style="1" customWidth="1"/>
    <col min="4" max="7" width="8.75" style="12" customWidth="1"/>
    <col min="8" max="8" width="9.5" style="12" customWidth="1"/>
    <col min="9" max="9" width="9.875" style="12" customWidth="1"/>
    <col min="10" max="10" width="8.75" style="12" customWidth="1"/>
    <col min="11" max="11" width="9.75" style="12" customWidth="1"/>
    <col min="12" max="12" width="52.875" style="1" customWidth="1"/>
    <col min="13" max="16384" width="9" style="1"/>
  </cols>
  <sheetData>
    <row r="1" spans="1:12" ht="33.75" customHeight="1" x14ac:dyDescent="0.2">
      <c r="A1" s="25" t="s">
        <v>30</v>
      </c>
      <c r="B1" s="26"/>
      <c r="C1" s="26"/>
      <c r="D1" s="26"/>
      <c r="E1" s="26"/>
      <c r="F1" s="26"/>
      <c r="G1" s="26"/>
      <c r="H1" s="26"/>
      <c r="I1" s="26"/>
      <c r="J1" s="26"/>
      <c r="K1" s="26"/>
      <c r="L1" s="27"/>
    </row>
    <row r="2" spans="1:12" ht="18" customHeight="1" x14ac:dyDescent="0.2">
      <c r="A2" s="28" t="s">
        <v>0</v>
      </c>
      <c r="B2" s="28" t="s">
        <v>1</v>
      </c>
      <c r="C2" s="28" t="s">
        <v>2</v>
      </c>
      <c r="D2" s="29" t="s">
        <v>8</v>
      </c>
      <c r="E2" s="30"/>
      <c r="F2" s="30"/>
      <c r="G2" s="31"/>
      <c r="H2" s="29" t="s">
        <v>9</v>
      </c>
      <c r="I2" s="30"/>
      <c r="J2" s="30"/>
      <c r="K2" s="31"/>
      <c r="L2" s="32" t="s">
        <v>7</v>
      </c>
    </row>
    <row r="3" spans="1:12" ht="18" customHeight="1" x14ac:dyDescent="0.2">
      <c r="A3" s="28"/>
      <c r="B3" s="28"/>
      <c r="C3" s="28"/>
      <c r="D3" s="14">
        <v>2023</v>
      </c>
      <c r="E3" s="10" t="s">
        <v>11</v>
      </c>
      <c r="F3" s="10" t="s">
        <v>13</v>
      </c>
      <c r="G3" s="10" t="s">
        <v>27</v>
      </c>
      <c r="H3" s="14">
        <v>2023</v>
      </c>
      <c r="I3" s="10" t="s">
        <v>11</v>
      </c>
      <c r="J3" s="10" t="s">
        <v>13</v>
      </c>
      <c r="K3" s="10" t="s">
        <v>27</v>
      </c>
      <c r="L3" s="32"/>
    </row>
    <row r="4" spans="1:12" ht="52.15" customHeight="1" x14ac:dyDescent="0.2">
      <c r="A4" s="2" t="s">
        <v>14</v>
      </c>
      <c r="B4" s="3" t="s">
        <v>38</v>
      </c>
      <c r="C4" s="4" t="s">
        <v>32</v>
      </c>
      <c r="D4" s="11">
        <v>1.03</v>
      </c>
      <c r="E4" s="11">
        <v>1.38</v>
      </c>
      <c r="F4" s="11">
        <v>1.8</v>
      </c>
      <c r="G4" s="11">
        <v>2.29</v>
      </c>
      <c r="H4" s="11">
        <v>24.67</v>
      </c>
      <c r="I4" s="11">
        <v>18.489999999999998</v>
      </c>
      <c r="J4" s="11">
        <v>14.17</v>
      </c>
      <c r="K4" s="11">
        <v>11.12</v>
      </c>
      <c r="L4" s="2" t="s">
        <v>23</v>
      </c>
    </row>
    <row r="5" spans="1:12" s="13" customFormat="1" ht="114.95" customHeight="1" x14ac:dyDescent="0.2">
      <c r="A5" s="22" t="s">
        <v>48</v>
      </c>
      <c r="B5" s="23"/>
      <c r="C5" s="23"/>
      <c r="D5" s="23"/>
      <c r="E5" s="23"/>
      <c r="F5" s="23"/>
      <c r="G5" s="23"/>
      <c r="H5" s="23"/>
      <c r="I5" s="23"/>
      <c r="J5" s="23"/>
      <c r="K5" s="23"/>
      <c r="L5" s="24"/>
    </row>
    <row r="6" spans="1:12" ht="52.15" customHeight="1" x14ac:dyDescent="0.2">
      <c r="A6" s="2" t="s">
        <v>12</v>
      </c>
      <c r="B6" s="3" t="s">
        <v>55</v>
      </c>
      <c r="C6" s="4" t="s">
        <v>33</v>
      </c>
      <c r="D6" s="11">
        <v>1.1100000000000001</v>
      </c>
      <c r="E6" s="11">
        <v>1.49</v>
      </c>
      <c r="F6" s="11">
        <v>2.37</v>
      </c>
      <c r="G6" s="11">
        <v>2.65</v>
      </c>
      <c r="H6" s="11">
        <v>21.71</v>
      </c>
      <c r="I6" s="11">
        <v>16.190000000000001</v>
      </c>
      <c r="J6" s="11">
        <v>10.17</v>
      </c>
      <c r="K6" s="11">
        <v>9.1199999999999992</v>
      </c>
      <c r="L6" s="2" t="s">
        <v>22</v>
      </c>
    </row>
    <row r="7" spans="1:12" s="13" customFormat="1" ht="114.95" customHeight="1" x14ac:dyDescent="0.2">
      <c r="A7" s="22" t="s">
        <v>49</v>
      </c>
      <c r="B7" s="23"/>
      <c r="C7" s="23"/>
      <c r="D7" s="23"/>
      <c r="E7" s="23"/>
      <c r="F7" s="23"/>
      <c r="G7" s="23"/>
      <c r="H7" s="23"/>
      <c r="I7" s="23"/>
      <c r="J7" s="23"/>
      <c r="K7" s="23"/>
      <c r="L7" s="24"/>
    </row>
    <row r="8" spans="1:12" ht="18" customHeight="1" x14ac:dyDescent="0.2">
      <c r="A8" s="16"/>
      <c r="B8" s="17"/>
      <c r="C8" s="17"/>
      <c r="D8" s="14">
        <v>2022</v>
      </c>
      <c r="E8" s="10" t="s">
        <v>40</v>
      </c>
      <c r="F8" s="10" t="s">
        <v>41</v>
      </c>
      <c r="G8" s="10" t="s">
        <v>42</v>
      </c>
      <c r="H8" s="14">
        <v>2022</v>
      </c>
      <c r="I8" s="10" t="s">
        <v>40</v>
      </c>
      <c r="J8" s="10" t="s">
        <v>41</v>
      </c>
      <c r="K8" s="10" t="s">
        <v>42</v>
      </c>
      <c r="L8" s="18"/>
    </row>
    <row r="9" spans="1:12" ht="52.15" customHeight="1" x14ac:dyDescent="0.2">
      <c r="A9" s="2" t="s">
        <v>19</v>
      </c>
      <c r="B9" s="3" t="s">
        <v>39</v>
      </c>
      <c r="C9" s="4" t="s">
        <v>26</v>
      </c>
      <c r="D9" s="11">
        <v>4.4400000000000004</v>
      </c>
      <c r="E9" s="11">
        <v>7.35</v>
      </c>
      <c r="F9" s="11">
        <v>11.26</v>
      </c>
      <c r="G9" s="11">
        <v>15.26</v>
      </c>
      <c r="H9" s="11">
        <v>65.36</v>
      </c>
      <c r="I9" s="11">
        <v>39.44</v>
      </c>
      <c r="J9" s="11">
        <v>25.75</v>
      </c>
      <c r="K9" s="11">
        <v>19</v>
      </c>
      <c r="L9" s="15" t="s">
        <v>21</v>
      </c>
    </row>
    <row r="10" spans="1:12" ht="114.95" customHeight="1" x14ac:dyDescent="0.2">
      <c r="A10" s="22" t="s">
        <v>50</v>
      </c>
      <c r="B10" s="23"/>
      <c r="C10" s="23"/>
      <c r="D10" s="23"/>
      <c r="E10" s="23"/>
      <c r="F10" s="23"/>
      <c r="G10" s="23"/>
      <c r="H10" s="23"/>
      <c r="I10" s="23"/>
      <c r="J10" s="23"/>
      <c r="K10" s="23"/>
      <c r="L10" s="24"/>
    </row>
    <row r="11" spans="1:12" ht="52.15" customHeight="1" x14ac:dyDescent="0.2">
      <c r="A11" s="2" t="s">
        <v>4</v>
      </c>
      <c r="B11" s="3" t="s">
        <v>43</v>
      </c>
      <c r="C11" s="4" t="s">
        <v>25</v>
      </c>
      <c r="D11" s="11">
        <v>10.029999999999999</v>
      </c>
      <c r="E11" s="11">
        <v>11.51</v>
      </c>
      <c r="F11" s="11">
        <v>13.73</v>
      </c>
      <c r="G11" s="11">
        <v>15.56</v>
      </c>
      <c r="H11" s="11">
        <v>19.66</v>
      </c>
      <c r="I11" s="11">
        <v>17.13</v>
      </c>
      <c r="J11" s="11">
        <v>14.36</v>
      </c>
      <c r="K11" s="11">
        <v>12.67</v>
      </c>
      <c r="L11" s="2" t="s">
        <v>29</v>
      </c>
    </row>
    <row r="12" spans="1:12" ht="114.95" customHeight="1" x14ac:dyDescent="0.2">
      <c r="A12" s="22" t="s">
        <v>51</v>
      </c>
      <c r="B12" s="23"/>
      <c r="C12" s="23"/>
      <c r="D12" s="23"/>
      <c r="E12" s="23"/>
      <c r="F12" s="23"/>
      <c r="G12" s="23"/>
      <c r="H12" s="23"/>
      <c r="I12" s="23"/>
      <c r="J12" s="23"/>
      <c r="K12" s="23"/>
      <c r="L12" s="24"/>
    </row>
    <row r="13" spans="1:12" ht="52.15" customHeight="1" x14ac:dyDescent="0.2">
      <c r="A13" s="2" t="s">
        <v>10</v>
      </c>
      <c r="B13" s="3" t="s">
        <v>44</v>
      </c>
      <c r="C13" s="11" t="s">
        <v>34</v>
      </c>
      <c r="D13" s="11">
        <v>0.74</v>
      </c>
      <c r="E13" s="11">
        <v>0.95</v>
      </c>
      <c r="F13" s="11">
        <v>1.2</v>
      </c>
      <c r="G13" s="11">
        <v>1.44</v>
      </c>
      <c r="H13" s="11">
        <v>22.05</v>
      </c>
      <c r="I13" s="11">
        <v>17.13</v>
      </c>
      <c r="J13" s="11">
        <v>13.51</v>
      </c>
      <c r="K13" s="11">
        <v>11.28</v>
      </c>
      <c r="L13" s="2" t="s">
        <v>31</v>
      </c>
    </row>
    <row r="14" spans="1:12" ht="114.95" customHeight="1" x14ac:dyDescent="0.2">
      <c r="A14" s="22" t="s">
        <v>56</v>
      </c>
      <c r="B14" s="23"/>
      <c r="C14" s="23"/>
      <c r="D14" s="23"/>
      <c r="E14" s="23"/>
      <c r="F14" s="23"/>
      <c r="G14" s="23"/>
      <c r="H14" s="23"/>
      <c r="I14" s="23"/>
      <c r="J14" s="23"/>
      <c r="K14" s="23"/>
      <c r="L14" s="24"/>
    </row>
    <row r="15" spans="1:12" ht="52.15" customHeight="1" x14ac:dyDescent="0.2">
      <c r="A15" s="2" t="s">
        <v>5</v>
      </c>
      <c r="B15" s="3" t="s">
        <v>45</v>
      </c>
      <c r="C15" s="4" t="s">
        <v>15</v>
      </c>
      <c r="D15" s="11">
        <v>5.63</v>
      </c>
      <c r="E15" s="11">
        <v>5.91</v>
      </c>
      <c r="F15" s="11">
        <v>6.15</v>
      </c>
      <c r="G15" s="11">
        <v>6.54</v>
      </c>
      <c r="H15" s="11">
        <v>5.57</v>
      </c>
      <c r="I15" s="11">
        <v>5.31</v>
      </c>
      <c r="J15" s="11">
        <v>5.0999999999999996</v>
      </c>
      <c r="K15" s="11">
        <v>4.79</v>
      </c>
      <c r="L15" s="2" t="s">
        <v>16</v>
      </c>
    </row>
    <row r="16" spans="1:12" ht="114.95" customHeight="1" x14ac:dyDescent="0.2">
      <c r="A16" s="22" t="s">
        <v>52</v>
      </c>
      <c r="B16" s="23"/>
      <c r="C16" s="23"/>
      <c r="D16" s="23"/>
      <c r="E16" s="23"/>
      <c r="F16" s="23"/>
      <c r="G16" s="23"/>
      <c r="H16" s="23"/>
      <c r="I16" s="23"/>
      <c r="J16" s="23"/>
      <c r="K16" s="23"/>
      <c r="L16" s="24"/>
    </row>
    <row r="17" spans="1:12" ht="58.9" customHeight="1" x14ac:dyDescent="0.2">
      <c r="A17" s="2" t="s">
        <v>18</v>
      </c>
      <c r="B17" s="3" t="s">
        <v>46</v>
      </c>
      <c r="C17" s="4" t="s">
        <v>35</v>
      </c>
      <c r="D17" s="11">
        <v>1.57</v>
      </c>
      <c r="E17" s="11">
        <v>2.2599999999999998</v>
      </c>
      <c r="F17" s="11">
        <v>2.66</v>
      </c>
      <c r="G17" s="11">
        <v>2.87</v>
      </c>
      <c r="H17" s="11">
        <v>10.71</v>
      </c>
      <c r="I17" s="11">
        <v>7.42</v>
      </c>
      <c r="J17" s="11">
        <v>6.32</v>
      </c>
      <c r="K17" s="11">
        <v>5.84</v>
      </c>
      <c r="L17" s="2" t="s">
        <v>57</v>
      </c>
    </row>
    <row r="18" spans="1:12" ht="114.95" customHeight="1" x14ac:dyDescent="0.2">
      <c r="A18" s="22" t="s">
        <v>53</v>
      </c>
      <c r="B18" s="23"/>
      <c r="C18" s="23"/>
      <c r="D18" s="23"/>
      <c r="E18" s="23"/>
      <c r="F18" s="23"/>
      <c r="G18" s="23"/>
      <c r="H18" s="23"/>
      <c r="I18" s="23"/>
      <c r="J18" s="23"/>
      <c r="K18" s="23"/>
      <c r="L18" s="24"/>
    </row>
    <row r="19" spans="1:12" ht="52.15" customHeight="1" x14ac:dyDescent="0.2">
      <c r="A19" s="2" t="s">
        <v>17</v>
      </c>
      <c r="B19" s="3" t="s">
        <v>47</v>
      </c>
      <c r="C19" s="4" t="s">
        <v>24</v>
      </c>
      <c r="D19" s="11">
        <v>9</v>
      </c>
      <c r="E19" s="11">
        <v>11.13</v>
      </c>
      <c r="F19" s="11">
        <v>13.62</v>
      </c>
      <c r="G19" s="11">
        <v>16.48</v>
      </c>
      <c r="H19" s="11">
        <v>20.72</v>
      </c>
      <c r="I19" s="11">
        <v>16.75</v>
      </c>
      <c r="J19" s="11">
        <v>13.69</v>
      </c>
      <c r="K19" s="11">
        <v>11.31</v>
      </c>
      <c r="L19" s="15" t="s">
        <v>28</v>
      </c>
    </row>
    <row r="20" spans="1:12" ht="114.95" customHeight="1" x14ac:dyDescent="0.2">
      <c r="A20" s="22" t="s">
        <v>58</v>
      </c>
      <c r="B20" s="23"/>
      <c r="C20" s="23"/>
      <c r="D20" s="23"/>
      <c r="E20" s="23"/>
      <c r="F20" s="23"/>
      <c r="G20" s="23"/>
      <c r="H20" s="23"/>
      <c r="I20" s="23"/>
      <c r="J20" s="23"/>
      <c r="K20" s="23"/>
      <c r="L20" s="24"/>
    </row>
    <row r="21" spans="1:12" ht="52.15" customHeight="1" x14ac:dyDescent="0.2">
      <c r="A21" s="2" t="s">
        <v>6</v>
      </c>
      <c r="B21" s="3" t="s">
        <v>59</v>
      </c>
      <c r="C21" s="4" t="s">
        <v>36</v>
      </c>
      <c r="D21" s="11">
        <v>1.65</v>
      </c>
      <c r="E21" s="11">
        <v>2.4</v>
      </c>
      <c r="F21" s="11">
        <v>3.61</v>
      </c>
      <c r="G21" s="11">
        <v>4.0199999999999996</v>
      </c>
      <c r="H21" s="11">
        <v>29.59</v>
      </c>
      <c r="I21" s="11">
        <v>20.3</v>
      </c>
      <c r="J21" s="11">
        <v>13.51</v>
      </c>
      <c r="K21" s="11">
        <v>12.14</v>
      </c>
      <c r="L21" s="15" t="s">
        <v>60</v>
      </c>
    </row>
    <row r="22" spans="1:12" ht="114.95" customHeight="1" x14ac:dyDescent="0.2">
      <c r="A22" s="22" t="s">
        <v>61</v>
      </c>
      <c r="B22" s="23"/>
      <c r="C22" s="23"/>
      <c r="D22" s="23"/>
      <c r="E22" s="23"/>
      <c r="F22" s="23"/>
      <c r="G22" s="23"/>
      <c r="H22" s="23"/>
      <c r="I22" s="23"/>
      <c r="J22" s="23"/>
      <c r="K22" s="23"/>
      <c r="L22" s="24"/>
    </row>
    <row r="23" spans="1:12" ht="18" customHeight="1" x14ac:dyDescent="0.2">
      <c r="A23" s="16"/>
      <c r="B23" s="17"/>
      <c r="C23" s="17"/>
      <c r="D23" s="14">
        <v>2022</v>
      </c>
      <c r="E23" s="10" t="s">
        <v>40</v>
      </c>
      <c r="F23" s="10" t="s">
        <v>41</v>
      </c>
      <c r="G23" s="10" t="s">
        <v>42</v>
      </c>
      <c r="H23" s="14">
        <v>2022</v>
      </c>
      <c r="I23" s="10" t="s">
        <v>40</v>
      </c>
      <c r="J23" s="10" t="s">
        <v>41</v>
      </c>
      <c r="K23" s="10" t="s">
        <v>42</v>
      </c>
      <c r="L23" s="18"/>
    </row>
    <row r="24" spans="1:12" ht="52.15" customHeight="1" x14ac:dyDescent="0.2">
      <c r="A24" s="2" t="s">
        <v>20</v>
      </c>
      <c r="B24" s="3" t="s">
        <v>62</v>
      </c>
      <c r="C24" s="4" t="s">
        <v>37</v>
      </c>
      <c r="D24" s="11">
        <v>0.73</v>
      </c>
      <c r="E24" s="11">
        <v>0.86</v>
      </c>
      <c r="F24" s="11">
        <v>1.1000000000000001</v>
      </c>
      <c r="G24" s="11">
        <v>1.38</v>
      </c>
      <c r="H24" s="11">
        <v>15.69</v>
      </c>
      <c r="I24" s="11">
        <v>13.37</v>
      </c>
      <c r="J24" s="11">
        <v>10.42</v>
      </c>
      <c r="K24" s="11">
        <v>8.3000000000000007</v>
      </c>
      <c r="L24" s="2" t="s">
        <v>63</v>
      </c>
    </row>
    <row r="25" spans="1:12" ht="114.95" customHeight="1" x14ac:dyDescent="0.2">
      <c r="A25" s="22" t="s">
        <v>54</v>
      </c>
      <c r="B25" s="23"/>
      <c r="C25" s="23"/>
      <c r="D25" s="23"/>
      <c r="E25" s="23"/>
      <c r="F25" s="23"/>
      <c r="G25" s="23"/>
      <c r="H25" s="23"/>
      <c r="I25" s="23"/>
      <c r="J25" s="23"/>
      <c r="K25" s="23"/>
      <c r="L25" s="24"/>
    </row>
    <row r="26" spans="1:12" ht="21" customHeight="1" x14ac:dyDescent="0.2">
      <c r="A26" s="19" t="s">
        <v>3</v>
      </c>
      <c r="B26" s="20"/>
      <c r="C26" s="20"/>
      <c r="D26" s="20"/>
      <c r="E26" s="20"/>
      <c r="F26" s="20"/>
      <c r="G26" s="20"/>
      <c r="H26" s="20"/>
      <c r="I26" s="20"/>
      <c r="J26" s="20"/>
      <c r="K26" s="20"/>
      <c r="L26" s="21"/>
    </row>
  </sheetData>
  <mergeCells count="18">
    <mergeCell ref="A1:L1"/>
    <mergeCell ref="A2:A3"/>
    <mergeCell ref="B2:B3"/>
    <mergeCell ref="C2:C3"/>
    <mergeCell ref="D2:G2"/>
    <mergeCell ref="H2:K2"/>
    <mergeCell ref="L2:L3"/>
    <mergeCell ref="A5:L5"/>
    <mergeCell ref="A20:L20"/>
    <mergeCell ref="A7:L7"/>
    <mergeCell ref="A10:L10"/>
    <mergeCell ref="A18:L18"/>
    <mergeCell ref="A16:L16"/>
    <mergeCell ref="A26:L26"/>
    <mergeCell ref="A22:L22"/>
    <mergeCell ref="A25:L25"/>
    <mergeCell ref="A12:L12"/>
    <mergeCell ref="A14:L14"/>
  </mergeCells>
  <phoneticPr fontId="5" type="noConversion"/>
  <pageMargins left="0.7" right="0.7" top="0.75" bottom="0.75" header="0.3" footer="0.3"/>
  <pageSetup paperSize="9" scale="5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topLeftCell="A4" zoomScale="150" zoomScaleNormal="150" workbookViewId="0">
      <selection sqref="A1:B10"/>
    </sheetView>
  </sheetViews>
  <sheetFormatPr defaultColWidth="9" defaultRowHeight="14.25" x14ac:dyDescent="0.2"/>
  <cols>
    <col min="1" max="2" width="25.5" style="6" customWidth="1"/>
    <col min="3" max="3" width="9" style="8"/>
    <col min="4" max="16384" width="9" style="6"/>
  </cols>
  <sheetData>
    <row r="1" spans="1:3" ht="44.65" customHeight="1" x14ac:dyDescent="0.2">
      <c r="A1" s="5" t="str">
        <f>金股推荐逻辑!B4</f>
        <v>万孚生物
300482</v>
      </c>
      <c r="B1" s="5" t="str">
        <f>金股推荐逻辑!C4</f>
        <v>医药</v>
      </c>
      <c r="C1" s="9"/>
    </row>
    <row r="2" spans="1:3" ht="44.65" customHeight="1" x14ac:dyDescent="0.2">
      <c r="A2" s="5" t="str">
        <f>金股推荐逻辑!B6</f>
        <v>杰克股份
603337</v>
      </c>
      <c r="B2" s="5" t="str">
        <f>金股推荐逻辑!C6</f>
        <v>机械</v>
      </c>
      <c r="C2" s="9"/>
    </row>
    <row r="3" spans="1:3" ht="44.65" customHeight="1" x14ac:dyDescent="0.2">
      <c r="A3" s="5" t="str">
        <f>金股推荐逻辑!B9</f>
        <v>北方华创
002371</v>
      </c>
      <c r="B3" s="5" t="str">
        <f>金股推荐逻辑!C9</f>
        <v>电子</v>
      </c>
      <c r="C3" s="9"/>
    </row>
    <row r="4" spans="1:3" ht="44.65" customHeight="1" x14ac:dyDescent="0.2">
      <c r="A4" s="5" t="str">
        <f>金股推荐逻辑!B11</f>
        <v>宁德时代
300750</v>
      </c>
      <c r="B4" s="5" t="str">
        <f>金股推荐逻辑!C11</f>
        <v>电新</v>
      </c>
      <c r="C4" s="9"/>
    </row>
    <row r="5" spans="1:3" ht="44.65" customHeight="1" x14ac:dyDescent="0.2">
      <c r="A5" s="5" t="str">
        <f>金股推荐逻辑!B13</f>
        <v>广和通
300638</v>
      </c>
      <c r="B5" s="5" t="str">
        <f>金股推荐逻辑!C13</f>
        <v>通信</v>
      </c>
      <c r="C5" s="9"/>
    </row>
    <row r="6" spans="1:3" ht="44.65" customHeight="1" x14ac:dyDescent="0.2">
      <c r="A6" s="5" t="str">
        <f>金股推荐逻辑!B15</f>
        <v>招商银行
600036</v>
      </c>
      <c r="B6" s="5" t="str">
        <f>金股推荐逻辑!C15</f>
        <v>银行</v>
      </c>
      <c r="C6" s="9"/>
    </row>
    <row r="7" spans="1:3" ht="44.65" customHeight="1" x14ac:dyDescent="0.2">
      <c r="A7" s="5" t="str">
        <f>金股推荐逻辑!B17</f>
        <v>东航物流
601156</v>
      </c>
      <c r="B7" s="5" t="str">
        <f>金股推荐逻辑!C17</f>
        <v>交通运输</v>
      </c>
      <c r="C7" s="9"/>
    </row>
    <row r="8" spans="1:3" ht="44.65" customHeight="1" x14ac:dyDescent="0.2">
      <c r="A8" s="5" t="str">
        <f>金股推荐逻辑!B19</f>
        <v>泸州老窖
000568</v>
      </c>
      <c r="B8" s="5" t="str">
        <f>金股推荐逻辑!C19</f>
        <v>食品饮料</v>
      </c>
      <c r="C8" s="9"/>
    </row>
    <row r="9" spans="1:3" ht="44.65" customHeight="1" x14ac:dyDescent="0.2">
      <c r="A9" s="5" t="str">
        <f>金股推荐逻辑!B21</f>
        <v>海大集团
002311</v>
      </c>
      <c r="B9" s="5" t="str">
        <f>金股推荐逻辑!C21</f>
        <v>农林牧渔</v>
      </c>
      <c r="C9" s="9"/>
    </row>
    <row r="10" spans="1:3" ht="44.65" customHeight="1" x14ac:dyDescent="0.2">
      <c r="A10" s="5" t="str">
        <f>金股推荐逻辑!B24</f>
        <v>中鼎股份
000887</v>
      </c>
      <c r="B10" s="5" t="str">
        <f>金股推荐逻辑!C24</f>
        <v>汽车</v>
      </c>
      <c r="C10" s="9"/>
    </row>
    <row r="11" spans="1:3" s="8" customFormat="1" x14ac:dyDescent="0.2">
      <c r="A11" s="7"/>
      <c r="B11" s="7"/>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金股推荐逻辑</vt:lpstr>
      <vt:lpstr>简表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dc:creator>
  <cp:lastModifiedBy>荆子钰</cp:lastModifiedBy>
  <cp:lastPrinted>2020-09-30T02:20:00Z</cp:lastPrinted>
  <dcterms:created xsi:type="dcterms:W3CDTF">2019-03-27T09:02:00Z</dcterms:created>
  <dcterms:modified xsi:type="dcterms:W3CDTF">2024-04-30T01:45:17Z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2052-10.8.2.7119</vt:lpwstr>
  </property>
</Properties>
</file>